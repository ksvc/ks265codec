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KindsOfCodec\ks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zerolaten_veryfast" sheetId="125" r:id="rId3"/>
    <sheet name="X264vsQY265_offline_veryfast" sheetId="112" r:id="rId4"/>
    <sheet name="X264vsQY265_offline_slow" sheetId="118" r:id="rId5"/>
    <sheet name="X264vsQY265_offline_placebo" sheetId="144" r:id="rId6"/>
    <sheet name="X265vsQY265_zerolaten_ultrafast" sheetId="134" r:id="rId7"/>
    <sheet name="X265vsQY265_offline_ultrafast" sheetId="128" r:id="rId8"/>
    <sheet name="X265vsQY265_offline_slow" sheetId="126" r:id="rId9"/>
    <sheet name="X265vsQY265_offline_veryslow" sheetId="153" r:id="rId10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U9" i="153" l="1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81" i="153"/>
  <c r="Q63" i="135"/>
  <c r="Q62" i="135"/>
  <c r="Q61" i="135"/>
  <c r="Q60" i="135"/>
  <c r="Q59" i="135"/>
  <c r="Q58" i="135"/>
  <c r="O9" i="153"/>
  <c r="O10" i="153"/>
  <c r="O11" i="153"/>
  <c r="O12" i="153"/>
  <c r="H9" i="153"/>
  <c r="H10" i="153"/>
  <c r="H11" i="153"/>
  <c r="H12" i="153"/>
  <c r="T9" i="153"/>
  <c r="O13" i="153"/>
  <c r="O14" i="153"/>
  <c r="O15" i="153"/>
  <c r="O16" i="153"/>
  <c r="H13" i="153"/>
  <c r="H14" i="153"/>
  <c r="H15" i="153"/>
  <c r="H16" i="153"/>
  <c r="T13" i="153"/>
  <c r="O17" i="153"/>
  <c r="O18" i="153"/>
  <c r="O19" i="153"/>
  <c r="O20" i="153"/>
  <c r="H17" i="153"/>
  <c r="H18" i="153"/>
  <c r="H19" i="153"/>
  <c r="H20" i="153"/>
  <c r="T17" i="153"/>
  <c r="O21" i="153"/>
  <c r="O22" i="153"/>
  <c r="O23" i="153"/>
  <c r="O24" i="153"/>
  <c r="H21" i="153"/>
  <c r="H22" i="153"/>
  <c r="H23" i="153"/>
  <c r="H24" i="153"/>
  <c r="T21" i="153"/>
  <c r="O25" i="153"/>
  <c r="O26" i="153"/>
  <c r="O27" i="153"/>
  <c r="O28" i="153"/>
  <c r="H25" i="153"/>
  <c r="H26" i="153"/>
  <c r="H27" i="153"/>
  <c r="H28" i="153"/>
  <c r="T25" i="153"/>
  <c r="O29" i="153"/>
  <c r="O30" i="153"/>
  <c r="O31" i="153"/>
  <c r="O32" i="153"/>
  <c r="H29" i="153"/>
  <c r="H30" i="153"/>
  <c r="H31" i="153"/>
  <c r="H32" i="153"/>
  <c r="T29" i="153"/>
  <c r="O33" i="153"/>
  <c r="O34" i="153"/>
  <c r="O35" i="153"/>
  <c r="O36" i="153"/>
  <c r="H33" i="153"/>
  <c r="H34" i="153"/>
  <c r="H35" i="153"/>
  <c r="H36" i="153"/>
  <c r="T33" i="153"/>
  <c r="O37" i="153"/>
  <c r="O38" i="153"/>
  <c r="O39" i="153"/>
  <c r="O40" i="153"/>
  <c r="H37" i="153"/>
  <c r="H38" i="153"/>
  <c r="H39" i="153"/>
  <c r="H40" i="153"/>
  <c r="T37" i="153"/>
  <c r="O41" i="153"/>
  <c r="O42" i="153"/>
  <c r="O43" i="153"/>
  <c r="O44" i="153"/>
  <c r="H41" i="153"/>
  <c r="H42" i="153"/>
  <c r="H43" i="153"/>
  <c r="H44" i="153"/>
  <c r="T41" i="153"/>
  <c r="O45" i="153"/>
  <c r="O46" i="153"/>
  <c r="O47" i="153"/>
  <c r="O48" i="153"/>
  <c r="H45" i="153"/>
  <c r="H46" i="153"/>
  <c r="H47" i="153"/>
  <c r="H48" i="153"/>
  <c r="T45" i="153"/>
  <c r="O49" i="153"/>
  <c r="O50" i="153"/>
  <c r="O51" i="153"/>
  <c r="O52" i="153"/>
  <c r="H49" i="153"/>
  <c r="H50" i="153"/>
  <c r="H51" i="153"/>
  <c r="H52" i="153"/>
  <c r="T49" i="153"/>
  <c r="O53" i="153"/>
  <c r="O54" i="153"/>
  <c r="O55" i="153"/>
  <c r="O56" i="153"/>
  <c r="H53" i="153"/>
  <c r="H54" i="153"/>
  <c r="H55" i="153"/>
  <c r="H56" i="153"/>
  <c r="T53" i="153"/>
  <c r="O57" i="153"/>
  <c r="O58" i="153"/>
  <c r="O59" i="153"/>
  <c r="O60" i="153"/>
  <c r="H57" i="153"/>
  <c r="H58" i="153"/>
  <c r="H59" i="153"/>
  <c r="H60" i="153"/>
  <c r="T57" i="153"/>
  <c r="O61" i="153"/>
  <c r="O62" i="153"/>
  <c r="O63" i="153"/>
  <c r="O64" i="153"/>
  <c r="H61" i="153"/>
  <c r="H62" i="153"/>
  <c r="H63" i="153"/>
  <c r="H64" i="153"/>
  <c r="T61" i="153"/>
  <c r="O65" i="153"/>
  <c r="O66" i="153"/>
  <c r="O67" i="153"/>
  <c r="O68" i="153"/>
  <c r="H65" i="153"/>
  <c r="H66" i="153"/>
  <c r="H67" i="153"/>
  <c r="H68" i="153"/>
  <c r="T65" i="153"/>
  <c r="O69" i="153"/>
  <c r="O70" i="153"/>
  <c r="O71" i="153"/>
  <c r="O72" i="153"/>
  <c r="H69" i="153"/>
  <c r="H70" i="153"/>
  <c r="H71" i="153"/>
  <c r="H72" i="153"/>
  <c r="T69" i="153"/>
  <c r="O73" i="153"/>
  <c r="O74" i="153"/>
  <c r="O75" i="153"/>
  <c r="O76" i="153"/>
  <c r="H73" i="153"/>
  <c r="H74" i="153"/>
  <c r="H75" i="153"/>
  <c r="H76" i="153"/>
  <c r="T73" i="153"/>
  <c r="O77" i="153"/>
  <c r="O78" i="153"/>
  <c r="O79" i="153"/>
  <c r="O80" i="153"/>
  <c r="H77" i="153"/>
  <c r="H78" i="153"/>
  <c r="H79" i="153"/>
  <c r="H80" i="153"/>
  <c r="T77" i="153"/>
  <c r="T81" i="153"/>
  <c r="P63" i="135"/>
  <c r="P62" i="135"/>
  <c r="P61" i="135"/>
  <c r="P60" i="135"/>
  <c r="P59" i="135"/>
  <c r="P58" i="135"/>
  <c r="S9" i="153"/>
  <c r="S13" i="153"/>
  <c r="S17" i="153"/>
  <c r="S21" i="153"/>
  <c r="S25" i="153"/>
  <c r="S29" i="153"/>
  <c r="S33" i="153"/>
  <c r="S37" i="153"/>
  <c r="S41" i="153"/>
  <c r="S45" i="153"/>
  <c r="S49" i="153"/>
  <c r="S53" i="153"/>
  <c r="S57" i="153"/>
  <c r="S61" i="153"/>
  <c r="S65" i="153"/>
  <c r="S69" i="153"/>
  <c r="S73" i="153"/>
  <c r="S77" i="153"/>
  <c r="S81" i="153"/>
  <c r="O63" i="135"/>
  <c r="O62" i="135"/>
  <c r="O61" i="135"/>
  <c r="O60" i="135"/>
  <c r="O59" i="135"/>
  <c r="O58" i="135"/>
  <c r="R9" i="153"/>
  <c r="R13" i="153"/>
  <c r="R17" i="153"/>
  <c r="R21" i="153"/>
  <c r="R25" i="153"/>
  <c r="R29" i="153"/>
  <c r="R33" i="153"/>
  <c r="R37" i="153"/>
  <c r="R41" i="153"/>
  <c r="R45" i="153"/>
  <c r="R49" i="153"/>
  <c r="R53" i="153"/>
  <c r="R57" i="153"/>
  <c r="R61" i="153"/>
  <c r="R65" i="153"/>
  <c r="R69" i="153"/>
  <c r="R73" i="153"/>
  <c r="R77" i="153"/>
  <c r="R81" i="153"/>
  <c r="N63" i="135"/>
  <c r="N62" i="135"/>
  <c r="N61" i="135"/>
  <c r="N60" i="135"/>
  <c r="N59" i="135"/>
  <c r="N58" i="135"/>
  <c r="Q9" i="153"/>
  <c r="Q13" i="153"/>
  <c r="Q17" i="153"/>
  <c r="Q21" i="153"/>
  <c r="Q25" i="153"/>
  <c r="Q29" i="153"/>
  <c r="Q33" i="153"/>
  <c r="Q37" i="153"/>
  <c r="Q41" i="153"/>
  <c r="Q45" i="153"/>
  <c r="Q49" i="153"/>
  <c r="Q53" i="153"/>
  <c r="Q57" i="153"/>
  <c r="Q61" i="153"/>
  <c r="Q65" i="153"/>
  <c r="Q69" i="153"/>
  <c r="Q73" i="153"/>
  <c r="Q77" i="153"/>
  <c r="Q81" i="153"/>
  <c r="M63" i="135"/>
  <c r="M62" i="135"/>
  <c r="M61" i="135"/>
  <c r="M60" i="135"/>
  <c r="M59" i="135"/>
  <c r="M58" i="135"/>
  <c r="U87" i="128"/>
  <c r="U88" i="128"/>
  <c r="U89" i="128"/>
  <c r="U90" i="128"/>
  <c r="U91" i="128"/>
  <c r="U92" i="128"/>
  <c r="U93" i="128"/>
  <c r="U94" i="128"/>
  <c r="U95" i="128"/>
  <c r="U96" i="128"/>
  <c r="U97" i="128"/>
  <c r="U98" i="128"/>
  <c r="U99" i="128"/>
  <c r="U100" i="128"/>
  <c r="U101" i="128"/>
  <c r="U102" i="128"/>
  <c r="U103" i="128"/>
  <c r="U104" i="128"/>
  <c r="U105" i="128"/>
  <c r="U106" i="128"/>
  <c r="U107" i="128"/>
  <c r="U108" i="128"/>
  <c r="U109" i="128"/>
  <c r="U110" i="128"/>
  <c r="U111" i="128"/>
  <c r="U112" i="128"/>
  <c r="U113" i="128"/>
  <c r="U114" i="128"/>
  <c r="U115" i="128"/>
  <c r="U116" i="128"/>
  <c r="U117" i="128"/>
  <c r="U118" i="128"/>
  <c r="U119" i="128"/>
  <c r="U120" i="128"/>
  <c r="U121" i="128"/>
  <c r="U122" i="128"/>
  <c r="U123" i="128"/>
  <c r="U124" i="128"/>
  <c r="U125" i="128"/>
  <c r="U126" i="128"/>
  <c r="U127" i="128"/>
  <c r="U128" i="128"/>
  <c r="U129" i="128"/>
  <c r="U130" i="128"/>
  <c r="U131" i="128"/>
  <c r="U132" i="128"/>
  <c r="U133" i="128"/>
  <c r="U134" i="128"/>
  <c r="U135" i="128"/>
  <c r="U136" i="128"/>
  <c r="U137" i="128"/>
  <c r="U138" i="128"/>
  <c r="U139" i="128"/>
  <c r="U140" i="128"/>
  <c r="U141" i="128"/>
  <c r="U142" i="128"/>
  <c r="U143" i="128"/>
  <c r="U144" i="128"/>
  <c r="U145" i="128"/>
  <c r="U146" i="128"/>
  <c r="U147" i="128"/>
  <c r="U148" i="128"/>
  <c r="U149" i="128"/>
  <c r="U150" i="128"/>
  <c r="U151" i="128"/>
  <c r="U152" i="128"/>
  <c r="U153" i="128"/>
  <c r="U154" i="128"/>
  <c r="U155" i="128"/>
  <c r="U156" i="128"/>
  <c r="U157" i="128"/>
  <c r="U158" i="128"/>
  <c r="U159" i="128"/>
  <c r="Q41" i="135"/>
  <c r="Q40" i="135"/>
  <c r="Q39" i="135"/>
  <c r="Q38" i="135"/>
  <c r="Q37" i="135"/>
  <c r="Q36" i="135"/>
  <c r="U9" i="128"/>
  <c r="U10" i="128"/>
  <c r="U11" i="128"/>
  <c r="U12" i="128"/>
  <c r="U13" i="128"/>
  <c r="U14" i="128"/>
  <c r="U15" i="128"/>
  <c r="U16" i="128"/>
  <c r="U17" i="128"/>
  <c r="U18" i="128"/>
  <c r="U19" i="128"/>
  <c r="U20" i="128"/>
  <c r="U21" i="128"/>
  <c r="U22" i="128"/>
  <c r="U23" i="128"/>
  <c r="U24" i="128"/>
  <c r="U25" i="128"/>
  <c r="U26" i="128"/>
  <c r="U27" i="128"/>
  <c r="U28" i="128"/>
  <c r="U29" i="128"/>
  <c r="U30" i="128"/>
  <c r="U31" i="128"/>
  <c r="U32" i="128"/>
  <c r="U33" i="128"/>
  <c r="U34" i="128"/>
  <c r="U35" i="128"/>
  <c r="U36" i="128"/>
  <c r="U37" i="128"/>
  <c r="U38" i="128"/>
  <c r="U39" i="128"/>
  <c r="U40" i="128"/>
  <c r="U41" i="128"/>
  <c r="U42" i="128"/>
  <c r="U43" i="128"/>
  <c r="U44" i="128"/>
  <c r="U45" i="128"/>
  <c r="U46" i="128"/>
  <c r="U47" i="128"/>
  <c r="U48" i="128"/>
  <c r="U49" i="128"/>
  <c r="U50" i="128"/>
  <c r="U51" i="128"/>
  <c r="U52" i="128"/>
  <c r="U53" i="128"/>
  <c r="U54" i="128"/>
  <c r="U55" i="128"/>
  <c r="U56" i="128"/>
  <c r="U57" i="128"/>
  <c r="U58" i="128"/>
  <c r="U59" i="128"/>
  <c r="U60" i="128"/>
  <c r="U61" i="128"/>
  <c r="U62" i="128"/>
  <c r="U63" i="128"/>
  <c r="U64" i="128"/>
  <c r="U65" i="128"/>
  <c r="U66" i="128"/>
  <c r="U67" i="128"/>
  <c r="U68" i="128"/>
  <c r="U69" i="128"/>
  <c r="U70" i="128"/>
  <c r="U71" i="128"/>
  <c r="U72" i="128"/>
  <c r="U73" i="128"/>
  <c r="U74" i="128"/>
  <c r="U75" i="128"/>
  <c r="U76" i="128"/>
  <c r="U77" i="128"/>
  <c r="U78" i="128"/>
  <c r="U79" i="128"/>
  <c r="U80" i="128"/>
  <c r="U81" i="128"/>
  <c r="Q35" i="135"/>
  <c r="Q34" i="135"/>
  <c r="Q33" i="135"/>
  <c r="Q32" i="135"/>
  <c r="Q31" i="135"/>
  <c r="Q30" i="135"/>
  <c r="O87" i="128"/>
  <c r="O88" i="128"/>
  <c r="O89" i="128"/>
  <c r="O90" i="128"/>
  <c r="H87" i="128"/>
  <c r="H88" i="128"/>
  <c r="H89" i="128"/>
  <c r="H90" i="128"/>
  <c r="T87" i="128"/>
  <c r="O91" i="128"/>
  <c r="O92" i="128"/>
  <c r="O93" i="128"/>
  <c r="O94" i="128"/>
  <c r="H91" i="128"/>
  <c r="H92" i="128"/>
  <c r="H93" i="128"/>
  <c r="H94" i="128"/>
  <c r="T91" i="128"/>
  <c r="O95" i="128"/>
  <c r="O96" i="128"/>
  <c r="O97" i="128"/>
  <c r="O98" i="128"/>
  <c r="H95" i="128"/>
  <c r="H96" i="128"/>
  <c r="H97" i="128"/>
  <c r="H98" i="128"/>
  <c r="T95" i="128"/>
  <c r="O99" i="128"/>
  <c r="O100" i="128"/>
  <c r="O101" i="128"/>
  <c r="O102" i="128"/>
  <c r="H99" i="128"/>
  <c r="H100" i="128"/>
  <c r="H101" i="128"/>
  <c r="H102" i="128"/>
  <c r="T99" i="128"/>
  <c r="O103" i="128"/>
  <c r="O104" i="128"/>
  <c r="O105" i="128"/>
  <c r="O106" i="128"/>
  <c r="H103" i="128"/>
  <c r="H104" i="128"/>
  <c r="H105" i="128"/>
  <c r="H106" i="128"/>
  <c r="T103" i="128"/>
  <c r="O107" i="128"/>
  <c r="O108" i="128"/>
  <c r="O109" i="128"/>
  <c r="O110" i="128"/>
  <c r="H107" i="128"/>
  <c r="H108" i="128"/>
  <c r="H109" i="128"/>
  <c r="H110" i="128"/>
  <c r="T107" i="128"/>
  <c r="O111" i="128"/>
  <c r="O112" i="128"/>
  <c r="O113" i="128"/>
  <c r="O114" i="128"/>
  <c r="H111" i="128"/>
  <c r="H112" i="128"/>
  <c r="H113" i="128"/>
  <c r="H114" i="128"/>
  <c r="T111" i="128"/>
  <c r="O115" i="128"/>
  <c r="O116" i="128"/>
  <c r="O117" i="128"/>
  <c r="O118" i="128"/>
  <c r="H115" i="128"/>
  <c r="H116" i="128"/>
  <c r="H117" i="128"/>
  <c r="H118" i="128"/>
  <c r="T115" i="128"/>
  <c r="O119" i="128"/>
  <c r="O120" i="128"/>
  <c r="O121" i="128"/>
  <c r="O122" i="128"/>
  <c r="H119" i="128"/>
  <c r="H120" i="128"/>
  <c r="H121" i="128"/>
  <c r="H122" i="128"/>
  <c r="T119" i="128"/>
  <c r="O123" i="128"/>
  <c r="O124" i="128"/>
  <c r="O125" i="128"/>
  <c r="O126" i="128"/>
  <c r="H123" i="128"/>
  <c r="H124" i="128"/>
  <c r="H125" i="128"/>
  <c r="H126" i="128"/>
  <c r="T123" i="128"/>
  <c r="O127" i="128"/>
  <c r="O128" i="128"/>
  <c r="O129" i="128"/>
  <c r="O130" i="128"/>
  <c r="H127" i="128"/>
  <c r="H128" i="128"/>
  <c r="H129" i="128"/>
  <c r="H130" i="128"/>
  <c r="T127" i="128"/>
  <c r="O131" i="128"/>
  <c r="O132" i="128"/>
  <c r="O133" i="128"/>
  <c r="O134" i="128"/>
  <c r="H131" i="128"/>
  <c r="H132" i="128"/>
  <c r="H133" i="128"/>
  <c r="H134" i="128"/>
  <c r="T131" i="128"/>
  <c r="O135" i="128"/>
  <c r="O136" i="128"/>
  <c r="O137" i="128"/>
  <c r="O138" i="128"/>
  <c r="H135" i="128"/>
  <c r="H136" i="128"/>
  <c r="H137" i="128"/>
  <c r="H138" i="128"/>
  <c r="T135" i="128"/>
  <c r="O139" i="128"/>
  <c r="O140" i="128"/>
  <c r="O141" i="128"/>
  <c r="O142" i="128"/>
  <c r="H139" i="128"/>
  <c r="H140" i="128"/>
  <c r="H141" i="128"/>
  <c r="H142" i="128"/>
  <c r="T139" i="128"/>
  <c r="O143" i="128"/>
  <c r="O144" i="128"/>
  <c r="O145" i="128"/>
  <c r="O146" i="128"/>
  <c r="H143" i="128"/>
  <c r="H144" i="128"/>
  <c r="H145" i="128"/>
  <c r="H146" i="128"/>
  <c r="T143" i="128"/>
  <c r="O147" i="128"/>
  <c r="O148" i="128"/>
  <c r="O149" i="128"/>
  <c r="O150" i="128"/>
  <c r="H147" i="128"/>
  <c r="H148" i="128"/>
  <c r="H149" i="128"/>
  <c r="H150" i="128"/>
  <c r="T147" i="128"/>
  <c r="O151" i="128"/>
  <c r="O152" i="128"/>
  <c r="O153" i="128"/>
  <c r="O154" i="128"/>
  <c r="H151" i="128"/>
  <c r="H152" i="128"/>
  <c r="H153" i="128"/>
  <c r="H154" i="128"/>
  <c r="T151" i="128"/>
  <c r="O155" i="128"/>
  <c r="O156" i="128"/>
  <c r="O157" i="128"/>
  <c r="O158" i="128"/>
  <c r="H155" i="128"/>
  <c r="H156" i="128"/>
  <c r="H157" i="128"/>
  <c r="H158" i="128"/>
  <c r="T155" i="128"/>
  <c r="T159" i="128"/>
  <c r="P41" i="135"/>
  <c r="P40" i="135"/>
  <c r="P39" i="135"/>
  <c r="P38" i="135"/>
  <c r="P37" i="135"/>
  <c r="P36" i="135"/>
  <c r="O9" i="128"/>
  <c r="O10" i="128"/>
  <c r="O11" i="128"/>
  <c r="O12" i="128"/>
  <c r="H9" i="128"/>
  <c r="H10" i="128"/>
  <c r="H11" i="128"/>
  <c r="H12" i="128"/>
  <c r="T9" i="128"/>
  <c r="O13" i="128"/>
  <c r="O14" i="128"/>
  <c r="O15" i="128"/>
  <c r="O16" i="128"/>
  <c r="H13" i="128"/>
  <c r="H14" i="128"/>
  <c r="H15" i="128"/>
  <c r="H16" i="128"/>
  <c r="T13" i="128"/>
  <c r="O17" i="128"/>
  <c r="O18" i="128"/>
  <c r="O19" i="128"/>
  <c r="O20" i="128"/>
  <c r="H17" i="128"/>
  <c r="H18" i="128"/>
  <c r="H19" i="128"/>
  <c r="H20" i="128"/>
  <c r="T17" i="128"/>
  <c r="O21" i="128"/>
  <c r="O22" i="128"/>
  <c r="O23" i="128"/>
  <c r="O24" i="128"/>
  <c r="H21" i="128"/>
  <c r="H22" i="128"/>
  <c r="H23" i="128"/>
  <c r="H24" i="128"/>
  <c r="T21" i="128"/>
  <c r="O25" i="128"/>
  <c r="O26" i="128"/>
  <c r="O27" i="128"/>
  <c r="O28" i="128"/>
  <c r="H25" i="128"/>
  <c r="H26" i="128"/>
  <c r="H27" i="128"/>
  <c r="H28" i="128"/>
  <c r="T25" i="128"/>
  <c r="O29" i="128"/>
  <c r="O30" i="128"/>
  <c r="O31" i="128"/>
  <c r="O32" i="128"/>
  <c r="H29" i="128"/>
  <c r="H30" i="128"/>
  <c r="H31" i="128"/>
  <c r="H32" i="128"/>
  <c r="T29" i="128"/>
  <c r="O33" i="128"/>
  <c r="O34" i="128"/>
  <c r="O35" i="128"/>
  <c r="O36" i="128"/>
  <c r="H33" i="128"/>
  <c r="H34" i="128"/>
  <c r="H35" i="128"/>
  <c r="H36" i="128"/>
  <c r="T33" i="128"/>
  <c r="O37" i="128"/>
  <c r="O38" i="128"/>
  <c r="O39" i="128"/>
  <c r="O40" i="128"/>
  <c r="H37" i="128"/>
  <c r="H38" i="128"/>
  <c r="H39" i="128"/>
  <c r="H40" i="128"/>
  <c r="T37" i="128"/>
  <c r="O41" i="128"/>
  <c r="O42" i="128"/>
  <c r="O43" i="128"/>
  <c r="O44" i="128"/>
  <c r="H41" i="128"/>
  <c r="H42" i="128"/>
  <c r="H43" i="128"/>
  <c r="H44" i="128"/>
  <c r="T41" i="128"/>
  <c r="O45" i="128"/>
  <c r="O46" i="128"/>
  <c r="O47" i="128"/>
  <c r="O48" i="128"/>
  <c r="H45" i="128"/>
  <c r="H46" i="128"/>
  <c r="H47" i="128"/>
  <c r="H48" i="128"/>
  <c r="T45" i="128"/>
  <c r="O49" i="128"/>
  <c r="O50" i="128"/>
  <c r="O51" i="128"/>
  <c r="O52" i="128"/>
  <c r="H49" i="128"/>
  <c r="H50" i="128"/>
  <c r="H51" i="128"/>
  <c r="H52" i="128"/>
  <c r="T49" i="128"/>
  <c r="O53" i="128"/>
  <c r="O54" i="128"/>
  <c r="O55" i="128"/>
  <c r="O56" i="128"/>
  <c r="H53" i="128"/>
  <c r="H54" i="128"/>
  <c r="H55" i="128"/>
  <c r="H56" i="128"/>
  <c r="T53" i="128"/>
  <c r="O57" i="128"/>
  <c r="O58" i="128"/>
  <c r="O59" i="128"/>
  <c r="O60" i="128"/>
  <c r="H57" i="128"/>
  <c r="H58" i="128"/>
  <c r="H59" i="128"/>
  <c r="H60" i="128"/>
  <c r="T57" i="128"/>
  <c r="O61" i="128"/>
  <c r="O62" i="128"/>
  <c r="O63" i="128"/>
  <c r="O64" i="128"/>
  <c r="H61" i="128"/>
  <c r="H62" i="128"/>
  <c r="H63" i="128"/>
  <c r="H64" i="128"/>
  <c r="T61" i="128"/>
  <c r="O65" i="128"/>
  <c r="O66" i="128"/>
  <c r="O67" i="128"/>
  <c r="O68" i="128"/>
  <c r="H65" i="128"/>
  <c r="H66" i="128"/>
  <c r="H67" i="128"/>
  <c r="H68" i="128"/>
  <c r="T65" i="128"/>
  <c r="O69" i="128"/>
  <c r="O70" i="128"/>
  <c r="O71" i="128"/>
  <c r="O72" i="128"/>
  <c r="H69" i="128"/>
  <c r="H70" i="128"/>
  <c r="H71" i="128"/>
  <c r="H72" i="128"/>
  <c r="T69" i="128"/>
  <c r="O73" i="128"/>
  <c r="O74" i="128"/>
  <c r="O75" i="128"/>
  <c r="O76" i="128"/>
  <c r="H73" i="128"/>
  <c r="H74" i="128"/>
  <c r="H75" i="128"/>
  <c r="H76" i="128"/>
  <c r="T73" i="128"/>
  <c r="O77" i="128"/>
  <c r="O78" i="128"/>
  <c r="O79" i="128"/>
  <c r="O80" i="128"/>
  <c r="H77" i="128"/>
  <c r="H78" i="128"/>
  <c r="H79" i="128"/>
  <c r="H80" i="128"/>
  <c r="T77" i="128"/>
  <c r="T81" i="128"/>
  <c r="P35" i="135"/>
  <c r="P34" i="135"/>
  <c r="P33" i="135"/>
  <c r="P32" i="135"/>
  <c r="P31" i="135"/>
  <c r="P30" i="135"/>
  <c r="S87" i="128"/>
  <c r="S91" i="128"/>
  <c r="S95" i="128"/>
  <c r="S99" i="128"/>
  <c r="S103" i="128"/>
  <c r="S107" i="128"/>
  <c r="S111" i="128"/>
  <c r="S115" i="128"/>
  <c r="S119" i="128"/>
  <c r="S123" i="128"/>
  <c r="S127" i="128"/>
  <c r="S131" i="128"/>
  <c r="S135" i="128"/>
  <c r="S139" i="128"/>
  <c r="S143" i="128"/>
  <c r="S147" i="128"/>
  <c r="S151" i="128"/>
  <c r="S155" i="128"/>
  <c r="S159" i="128"/>
  <c r="O41" i="135"/>
  <c r="O40" i="135"/>
  <c r="O39" i="135"/>
  <c r="O38" i="135"/>
  <c r="O37" i="135"/>
  <c r="O36" i="135"/>
  <c r="S9" i="128"/>
  <c r="S13" i="128"/>
  <c r="S17" i="128"/>
  <c r="S21" i="128"/>
  <c r="S25" i="128"/>
  <c r="S29" i="128"/>
  <c r="S33" i="128"/>
  <c r="S37" i="128"/>
  <c r="S41" i="128"/>
  <c r="S45" i="128"/>
  <c r="S49" i="128"/>
  <c r="S53" i="128"/>
  <c r="S57" i="128"/>
  <c r="S61" i="128"/>
  <c r="S65" i="128"/>
  <c r="S69" i="128"/>
  <c r="S73" i="128"/>
  <c r="S77" i="128"/>
  <c r="S81" i="128"/>
  <c r="O35" i="135"/>
  <c r="O34" i="135"/>
  <c r="O33" i="135"/>
  <c r="O32" i="135"/>
  <c r="O31" i="135"/>
  <c r="O30" i="135"/>
  <c r="R87" i="128"/>
  <c r="R91" i="128"/>
  <c r="R95" i="128"/>
  <c r="R99" i="128"/>
  <c r="R103" i="128"/>
  <c r="R107" i="128"/>
  <c r="R111" i="128"/>
  <c r="R115" i="128"/>
  <c r="R119" i="128"/>
  <c r="R123" i="128"/>
  <c r="R127" i="128"/>
  <c r="R131" i="128"/>
  <c r="R135" i="128"/>
  <c r="R139" i="128"/>
  <c r="R143" i="128"/>
  <c r="R147" i="128"/>
  <c r="R151" i="128"/>
  <c r="R155" i="128"/>
  <c r="R159" i="128"/>
  <c r="N41" i="135"/>
  <c r="N40" i="135"/>
  <c r="N39" i="135"/>
  <c r="N38" i="135"/>
  <c r="N37" i="135"/>
  <c r="N36" i="135"/>
  <c r="R9" i="128"/>
  <c r="R13" i="128"/>
  <c r="R17" i="128"/>
  <c r="R21" i="128"/>
  <c r="R25" i="128"/>
  <c r="R29" i="128"/>
  <c r="R33" i="128"/>
  <c r="R37" i="128"/>
  <c r="R41" i="128"/>
  <c r="R45" i="128"/>
  <c r="R49" i="128"/>
  <c r="R53" i="128"/>
  <c r="R57" i="128"/>
  <c r="R61" i="128"/>
  <c r="R65" i="128"/>
  <c r="R69" i="128"/>
  <c r="R73" i="128"/>
  <c r="R77" i="128"/>
  <c r="R81" i="128"/>
  <c r="N35" i="135"/>
  <c r="N34" i="135"/>
  <c r="N33" i="135"/>
  <c r="N32" i="135"/>
  <c r="N31" i="135"/>
  <c r="N30" i="135"/>
  <c r="Q87" i="128"/>
  <c r="Q91" i="128"/>
  <c r="Q95" i="128"/>
  <c r="Q99" i="128"/>
  <c r="Q103" i="128"/>
  <c r="Q107" i="128"/>
  <c r="Q111" i="128"/>
  <c r="Q115" i="128"/>
  <c r="Q119" i="128"/>
  <c r="Q123" i="128"/>
  <c r="Q127" i="128"/>
  <c r="Q131" i="128"/>
  <c r="Q135" i="128"/>
  <c r="Q139" i="128"/>
  <c r="Q143" i="128"/>
  <c r="Q147" i="128"/>
  <c r="Q151" i="128"/>
  <c r="Q155" i="128"/>
  <c r="Q159" i="128"/>
  <c r="M41" i="135"/>
  <c r="M40" i="135"/>
  <c r="M39" i="135"/>
  <c r="M38" i="135"/>
  <c r="M37" i="135"/>
  <c r="M36" i="135"/>
  <c r="Q9" i="128"/>
  <c r="Q13" i="128"/>
  <c r="Q17" i="128"/>
  <c r="Q21" i="128"/>
  <c r="Q25" i="128"/>
  <c r="Q29" i="128"/>
  <c r="Q33" i="128"/>
  <c r="Q37" i="128"/>
  <c r="Q41" i="128"/>
  <c r="Q45" i="128"/>
  <c r="Q49" i="128"/>
  <c r="Q53" i="128"/>
  <c r="Q57" i="128"/>
  <c r="Q61" i="128"/>
  <c r="Q65" i="128"/>
  <c r="Q69" i="128"/>
  <c r="Q73" i="128"/>
  <c r="Q77" i="128"/>
  <c r="Q81" i="128"/>
  <c r="M35" i="135"/>
  <c r="M34" i="135"/>
  <c r="M33" i="135"/>
  <c r="M32" i="135"/>
  <c r="M31" i="135"/>
  <c r="M30" i="135"/>
  <c r="Q9" i="134"/>
  <c r="Q13" i="134"/>
  <c r="M9" i="135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U125" i="126"/>
  <c r="U126" i="126"/>
  <c r="U127" i="126"/>
  <c r="U128" i="126"/>
  <c r="U129" i="126"/>
  <c r="U130" i="126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Q55" i="135"/>
  <c r="Q54" i="135"/>
  <c r="Q53" i="135"/>
  <c r="Q52" i="135"/>
  <c r="Q51" i="135"/>
  <c r="Q50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81" i="126"/>
  <c r="Q49" i="135"/>
  <c r="Q48" i="135"/>
  <c r="Q47" i="135"/>
  <c r="Q46" i="135"/>
  <c r="Q45" i="135"/>
  <c r="Q44" i="135"/>
  <c r="O87" i="126"/>
  <c r="O88" i="126"/>
  <c r="O89" i="126"/>
  <c r="O90" i="126"/>
  <c r="H87" i="126"/>
  <c r="H88" i="126"/>
  <c r="H89" i="126"/>
  <c r="H90" i="126"/>
  <c r="T87" i="126"/>
  <c r="O91" i="126"/>
  <c r="O92" i="126"/>
  <c r="O93" i="126"/>
  <c r="O94" i="126"/>
  <c r="H91" i="126"/>
  <c r="H92" i="126"/>
  <c r="H93" i="126"/>
  <c r="H94" i="126"/>
  <c r="T91" i="126"/>
  <c r="O95" i="126"/>
  <c r="O96" i="126"/>
  <c r="O97" i="126"/>
  <c r="O98" i="126"/>
  <c r="H95" i="126"/>
  <c r="H96" i="126"/>
  <c r="H97" i="126"/>
  <c r="H98" i="126"/>
  <c r="T95" i="126"/>
  <c r="O99" i="126"/>
  <c r="O100" i="126"/>
  <c r="O101" i="126"/>
  <c r="O102" i="126"/>
  <c r="H99" i="126"/>
  <c r="H100" i="126"/>
  <c r="H101" i="126"/>
  <c r="H102" i="126"/>
  <c r="T99" i="126"/>
  <c r="O103" i="126"/>
  <c r="O104" i="126"/>
  <c r="O105" i="126"/>
  <c r="O106" i="126"/>
  <c r="H103" i="126"/>
  <c r="H104" i="126"/>
  <c r="H105" i="126"/>
  <c r="H106" i="126"/>
  <c r="T103" i="126"/>
  <c r="O107" i="126"/>
  <c r="O108" i="126"/>
  <c r="O109" i="126"/>
  <c r="O110" i="126"/>
  <c r="H107" i="126"/>
  <c r="H108" i="126"/>
  <c r="H109" i="126"/>
  <c r="H110" i="126"/>
  <c r="T107" i="126"/>
  <c r="O111" i="126"/>
  <c r="O112" i="126"/>
  <c r="O113" i="126"/>
  <c r="O114" i="126"/>
  <c r="H111" i="126"/>
  <c r="H112" i="126"/>
  <c r="H113" i="126"/>
  <c r="H114" i="126"/>
  <c r="T111" i="126"/>
  <c r="O115" i="126"/>
  <c r="O116" i="126"/>
  <c r="O117" i="126"/>
  <c r="O118" i="126"/>
  <c r="H115" i="126"/>
  <c r="H116" i="126"/>
  <c r="H117" i="126"/>
  <c r="H118" i="126"/>
  <c r="T115" i="126"/>
  <c r="O119" i="126"/>
  <c r="O120" i="126"/>
  <c r="O121" i="126"/>
  <c r="O122" i="126"/>
  <c r="H119" i="126"/>
  <c r="H120" i="126"/>
  <c r="H121" i="126"/>
  <c r="H122" i="126"/>
  <c r="T119" i="126"/>
  <c r="O123" i="126"/>
  <c r="O124" i="126"/>
  <c r="O125" i="126"/>
  <c r="O126" i="126"/>
  <c r="H123" i="126"/>
  <c r="H124" i="126"/>
  <c r="H125" i="126"/>
  <c r="H126" i="126"/>
  <c r="T123" i="126"/>
  <c r="O127" i="126"/>
  <c r="O128" i="126"/>
  <c r="O129" i="126"/>
  <c r="O130" i="126"/>
  <c r="H127" i="126"/>
  <c r="H128" i="126"/>
  <c r="H129" i="126"/>
  <c r="H130" i="126"/>
  <c r="T127" i="126"/>
  <c r="O131" i="126"/>
  <c r="O132" i="126"/>
  <c r="O133" i="126"/>
  <c r="O134" i="126"/>
  <c r="H131" i="126"/>
  <c r="H132" i="126"/>
  <c r="H133" i="126"/>
  <c r="H134" i="126"/>
  <c r="T131" i="126"/>
  <c r="O135" i="126"/>
  <c r="O136" i="126"/>
  <c r="O137" i="126"/>
  <c r="O138" i="126"/>
  <c r="H135" i="126"/>
  <c r="H136" i="126"/>
  <c r="H137" i="126"/>
  <c r="H138" i="126"/>
  <c r="T135" i="126"/>
  <c r="O139" i="126"/>
  <c r="O140" i="126"/>
  <c r="O141" i="126"/>
  <c r="O142" i="126"/>
  <c r="H139" i="126"/>
  <c r="H140" i="126"/>
  <c r="H141" i="126"/>
  <c r="H142" i="126"/>
  <c r="T139" i="126"/>
  <c r="O143" i="126"/>
  <c r="O144" i="126"/>
  <c r="O145" i="126"/>
  <c r="O146" i="126"/>
  <c r="H143" i="126"/>
  <c r="H144" i="126"/>
  <c r="H145" i="126"/>
  <c r="H146" i="126"/>
  <c r="T143" i="126"/>
  <c r="O147" i="126"/>
  <c r="O148" i="126"/>
  <c r="O149" i="126"/>
  <c r="O150" i="126"/>
  <c r="H147" i="126"/>
  <c r="H148" i="126"/>
  <c r="H149" i="126"/>
  <c r="H150" i="126"/>
  <c r="T147" i="126"/>
  <c r="O151" i="126"/>
  <c r="O152" i="126"/>
  <c r="O153" i="126"/>
  <c r="O154" i="126"/>
  <c r="H151" i="126"/>
  <c r="H152" i="126"/>
  <c r="H153" i="126"/>
  <c r="H154" i="126"/>
  <c r="T151" i="126"/>
  <c r="O155" i="126"/>
  <c r="O156" i="126"/>
  <c r="O157" i="126"/>
  <c r="O158" i="126"/>
  <c r="H155" i="126"/>
  <c r="H156" i="126"/>
  <c r="H157" i="126"/>
  <c r="H158" i="126"/>
  <c r="T155" i="126"/>
  <c r="T159" i="126"/>
  <c r="P55" i="135"/>
  <c r="P54" i="135"/>
  <c r="P53" i="135"/>
  <c r="P52" i="135"/>
  <c r="P51" i="135"/>
  <c r="P50" i="135"/>
  <c r="O9" i="126"/>
  <c r="O10" i="126"/>
  <c r="O11" i="126"/>
  <c r="O12" i="126"/>
  <c r="H9" i="126"/>
  <c r="H10" i="126"/>
  <c r="H11" i="126"/>
  <c r="H12" i="126"/>
  <c r="T9" i="126"/>
  <c r="O13" i="126"/>
  <c r="O14" i="126"/>
  <c r="O15" i="126"/>
  <c r="O16" i="126"/>
  <c r="H13" i="126"/>
  <c r="H14" i="126"/>
  <c r="H15" i="126"/>
  <c r="H16" i="126"/>
  <c r="T13" i="126"/>
  <c r="O17" i="126"/>
  <c r="O18" i="126"/>
  <c r="O19" i="126"/>
  <c r="O20" i="126"/>
  <c r="H17" i="126"/>
  <c r="H18" i="126"/>
  <c r="H19" i="126"/>
  <c r="H20" i="126"/>
  <c r="T17" i="126"/>
  <c r="O21" i="126"/>
  <c r="O22" i="126"/>
  <c r="O23" i="126"/>
  <c r="O24" i="126"/>
  <c r="H21" i="126"/>
  <c r="H22" i="126"/>
  <c r="H23" i="126"/>
  <c r="H24" i="126"/>
  <c r="T21" i="126"/>
  <c r="O25" i="126"/>
  <c r="O26" i="126"/>
  <c r="O27" i="126"/>
  <c r="O28" i="126"/>
  <c r="H25" i="126"/>
  <c r="H26" i="126"/>
  <c r="H27" i="126"/>
  <c r="H28" i="126"/>
  <c r="T25" i="126"/>
  <c r="O29" i="126"/>
  <c r="O30" i="126"/>
  <c r="O31" i="126"/>
  <c r="O32" i="126"/>
  <c r="H29" i="126"/>
  <c r="H30" i="126"/>
  <c r="H31" i="126"/>
  <c r="H32" i="126"/>
  <c r="T29" i="126"/>
  <c r="O33" i="126"/>
  <c r="O34" i="126"/>
  <c r="O35" i="126"/>
  <c r="O36" i="126"/>
  <c r="H33" i="126"/>
  <c r="H34" i="126"/>
  <c r="H35" i="126"/>
  <c r="H36" i="126"/>
  <c r="T33" i="126"/>
  <c r="O37" i="126"/>
  <c r="O38" i="126"/>
  <c r="O39" i="126"/>
  <c r="O40" i="126"/>
  <c r="H37" i="126"/>
  <c r="H38" i="126"/>
  <c r="H39" i="126"/>
  <c r="H40" i="126"/>
  <c r="T37" i="126"/>
  <c r="O41" i="126"/>
  <c r="O42" i="126"/>
  <c r="O43" i="126"/>
  <c r="O44" i="126"/>
  <c r="H41" i="126"/>
  <c r="H42" i="126"/>
  <c r="H43" i="126"/>
  <c r="H44" i="126"/>
  <c r="T41" i="126"/>
  <c r="O45" i="126"/>
  <c r="O46" i="126"/>
  <c r="O47" i="126"/>
  <c r="O48" i="126"/>
  <c r="H45" i="126"/>
  <c r="H46" i="126"/>
  <c r="H47" i="126"/>
  <c r="H48" i="126"/>
  <c r="T45" i="126"/>
  <c r="O49" i="126"/>
  <c r="O50" i="126"/>
  <c r="O51" i="126"/>
  <c r="O52" i="126"/>
  <c r="H49" i="126"/>
  <c r="H50" i="126"/>
  <c r="H51" i="126"/>
  <c r="H52" i="126"/>
  <c r="T49" i="126"/>
  <c r="O53" i="126"/>
  <c r="O54" i="126"/>
  <c r="O55" i="126"/>
  <c r="O56" i="126"/>
  <c r="H53" i="126"/>
  <c r="H54" i="126"/>
  <c r="H55" i="126"/>
  <c r="H56" i="126"/>
  <c r="T53" i="126"/>
  <c r="O57" i="126"/>
  <c r="O58" i="126"/>
  <c r="O59" i="126"/>
  <c r="O60" i="126"/>
  <c r="H57" i="126"/>
  <c r="H58" i="126"/>
  <c r="H59" i="126"/>
  <c r="H60" i="126"/>
  <c r="T57" i="126"/>
  <c r="O61" i="126"/>
  <c r="O62" i="126"/>
  <c r="O63" i="126"/>
  <c r="O64" i="126"/>
  <c r="H61" i="126"/>
  <c r="H62" i="126"/>
  <c r="H63" i="126"/>
  <c r="H64" i="126"/>
  <c r="T61" i="126"/>
  <c r="O65" i="126"/>
  <c r="O66" i="126"/>
  <c r="O67" i="126"/>
  <c r="O68" i="126"/>
  <c r="H65" i="126"/>
  <c r="H66" i="126"/>
  <c r="H67" i="126"/>
  <c r="H68" i="126"/>
  <c r="T65" i="126"/>
  <c r="O69" i="126"/>
  <c r="O70" i="126"/>
  <c r="O71" i="126"/>
  <c r="O72" i="126"/>
  <c r="H69" i="126"/>
  <c r="H70" i="126"/>
  <c r="H71" i="126"/>
  <c r="H72" i="126"/>
  <c r="T69" i="126"/>
  <c r="O73" i="126"/>
  <c r="O74" i="126"/>
  <c r="O75" i="126"/>
  <c r="O76" i="126"/>
  <c r="H73" i="126"/>
  <c r="H74" i="126"/>
  <c r="H75" i="126"/>
  <c r="H76" i="126"/>
  <c r="T73" i="126"/>
  <c r="O77" i="126"/>
  <c r="O78" i="126"/>
  <c r="O79" i="126"/>
  <c r="O80" i="126"/>
  <c r="H77" i="126"/>
  <c r="H78" i="126"/>
  <c r="H79" i="126"/>
  <c r="H80" i="126"/>
  <c r="T77" i="126"/>
  <c r="T81" i="126"/>
  <c r="P49" i="135"/>
  <c r="P48" i="135"/>
  <c r="P47" i="135"/>
  <c r="P46" i="135"/>
  <c r="P45" i="135"/>
  <c r="P44" i="135"/>
  <c r="S87" i="126"/>
  <c r="S91" i="126"/>
  <c r="S95" i="126"/>
  <c r="S99" i="126"/>
  <c r="S103" i="126"/>
  <c r="S107" i="126"/>
  <c r="S111" i="126"/>
  <c r="S115" i="126"/>
  <c r="S119" i="126"/>
  <c r="S123" i="126"/>
  <c r="S127" i="126"/>
  <c r="S131" i="126"/>
  <c r="S135" i="126"/>
  <c r="S139" i="126"/>
  <c r="S143" i="126"/>
  <c r="S147" i="126"/>
  <c r="S151" i="126"/>
  <c r="S155" i="126"/>
  <c r="S159" i="126"/>
  <c r="O55" i="135"/>
  <c r="O54" i="135"/>
  <c r="O53" i="135"/>
  <c r="O52" i="135"/>
  <c r="O51" i="135"/>
  <c r="O50" i="135"/>
  <c r="S9" i="126"/>
  <c r="S13" i="126"/>
  <c r="S17" i="126"/>
  <c r="S21" i="126"/>
  <c r="S25" i="126"/>
  <c r="S29" i="126"/>
  <c r="S33" i="126"/>
  <c r="S37" i="126"/>
  <c r="S41" i="126"/>
  <c r="S45" i="126"/>
  <c r="S49" i="126"/>
  <c r="S53" i="126"/>
  <c r="S57" i="126"/>
  <c r="S61" i="126"/>
  <c r="S65" i="126"/>
  <c r="S69" i="126"/>
  <c r="S73" i="126"/>
  <c r="S77" i="126"/>
  <c r="S81" i="126"/>
  <c r="O49" i="135"/>
  <c r="O48" i="135"/>
  <c r="O47" i="135"/>
  <c r="O46" i="135"/>
  <c r="O45" i="135"/>
  <c r="O44" i="135"/>
  <c r="R87" i="126"/>
  <c r="R91" i="126"/>
  <c r="R95" i="126"/>
  <c r="R99" i="126"/>
  <c r="R103" i="126"/>
  <c r="R107" i="126"/>
  <c r="R111" i="126"/>
  <c r="R115" i="126"/>
  <c r="R119" i="126"/>
  <c r="R123" i="126"/>
  <c r="R127" i="126"/>
  <c r="R131" i="126"/>
  <c r="R135" i="126"/>
  <c r="R139" i="126"/>
  <c r="R143" i="126"/>
  <c r="R147" i="126"/>
  <c r="R151" i="126"/>
  <c r="R155" i="126"/>
  <c r="R159" i="126"/>
  <c r="N55" i="135"/>
  <c r="N54" i="135"/>
  <c r="N53" i="135"/>
  <c r="N52" i="135"/>
  <c r="N51" i="135"/>
  <c r="N50" i="135"/>
  <c r="R9" i="126"/>
  <c r="R13" i="126"/>
  <c r="R17" i="126"/>
  <c r="R21" i="126"/>
  <c r="R25" i="126"/>
  <c r="R29" i="126"/>
  <c r="R33" i="126"/>
  <c r="R37" i="126"/>
  <c r="R41" i="126"/>
  <c r="R45" i="126"/>
  <c r="R49" i="126"/>
  <c r="R53" i="126"/>
  <c r="R57" i="126"/>
  <c r="R61" i="126"/>
  <c r="R65" i="126"/>
  <c r="R69" i="126"/>
  <c r="R73" i="126"/>
  <c r="R77" i="126"/>
  <c r="R81" i="126"/>
  <c r="N49" i="135"/>
  <c r="N48" i="135"/>
  <c r="N47" i="135"/>
  <c r="N46" i="135"/>
  <c r="N45" i="135"/>
  <c r="N44" i="135"/>
  <c r="Q87" i="126"/>
  <c r="Q91" i="126"/>
  <c r="Q95" i="126"/>
  <c r="Q99" i="126"/>
  <c r="Q103" i="126"/>
  <c r="Q107" i="126"/>
  <c r="Q111" i="126"/>
  <c r="Q115" i="126"/>
  <c r="Q119" i="126"/>
  <c r="Q123" i="126"/>
  <c r="Q127" i="126"/>
  <c r="Q131" i="126"/>
  <c r="Q135" i="126"/>
  <c r="Q139" i="126"/>
  <c r="Q143" i="126"/>
  <c r="Q147" i="126"/>
  <c r="Q151" i="126"/>
  <c r="Q155" i="126"/>
  <c r="Q159" i="126"/>
  <c r="M55" i="135"/>
  <c r="M54" i="135"/>
  <c r="M53" i="135"/>
  <c r="M52" i="135"/>
  <c r="M51" i="135"/>
  <c r="M50" i="135"/>
  <c r="Q9" i="126"/>
  <c r="Q13" i="126"/>
  <c r="Q17" i="126"/>
  <c r="Q21" i="126"/>
  <c r="Q25" i="126"/>
  <c r="Q29" i="126"/>
  <c r="Q33" i="126"/>
  <c r="Q37" i="126"/>
  <c r="Q41" i="126"/>
  <c r="Q45" i="126"/>
  <c r="Q49" i="126"/>
  <c r="Q53" i="126"/>
  <c r="Q57" i="126"/>
  <c r="Q61" i="126"/>
  <c r="Q65" i="126"/>
  <c r="Q69" i="126"/>
  <c r="Q73" i="126"/>
  <c r="Q77" i="126"/>
  <c r="Q81" i="126"/>
  <c r="M49" i="135"/>
  <c r="M48" i="135"/>
  <c r="M47" i="135"/>
  <c r="M46" i="135"/>
  <c r="M45" i="135"/>
  <c r="M44" i="135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81" i="144"/>
  <c r="G63" i="135"/>
  <c r="H9" i="144"/>
  <c r="H10" i="144"/>
  <c r="H11" i="144"/>
  <c r="O9" i="144"/>
  <c r="H12" i="144"/>
  <c r="O10" i="144"/>
  <c r="O11" i="144"/>
  <c r="O12" i="144"/>
  <c r="T9" i="144"/>
  <c r="H13" i="144"/>
  <c r="H14" i="144"/>
  <c r="H15" i="144"/>
  <c r="O13" i="144"/>
  <c r="H16" i="144"/>
  <c r="O14" i="144"/>
  <c r="O15" i="144"/>
  <c r="O16" i="144"/>
  <c r="T13" i="144"/>
  <c r="H17" i="144"/>
  <c r="H18" i="144"/>
  <c r="H19" i="144"/>
  <c r="O17" i="144"/>
  <c r="H20" i="144"/>
  <c r="O18" i="144"/>
  <c r="O19" i="144"/>
  <c r="O20" i="144"/>
  <c r="T17" i="144"/>
  <c r="H21" i="144"/>
  <c r="H22" i="144"/>
  <c r="H23" i="144"/>
  <c r="O21" i="144"/>
  <c r="H24" i="144"/>
  <c r="O22" i="144"/>
  <c r="O23" i="144"/>
  <c r="O24" i="144"/>
  <c r="T21" i="144"/>
  <c r="H25" i="144"/>
  <c r="H26" i="144"/>
  <c r="H27" i="144"/>
  <c r="O25" i="144"/>
  <c r="H28" i="144"/>
  <c r="O26" i="144"/>
  <c r="O27" i="144"/>
  <c r="O28" i="144"/>
  <c r="T25" i="144"/>
  <c r="H29" i="144"/>
  <c r="H30" i="144"/>
  <c r="H31" i="144"/>
  <c r="O29" i="144"/>
  <c r="H32" i="144"/>
  <c r="O30" i="144"/>
  <c r="O31" i="144"/>
  <c r="O32" i="144"/>
  <c r="T29" i="144"/>
  <c r="H33" i="144"/>
  <c r="H34" i="144"/>
  <c r="H35" i="144"/>
  <c r="O33" i="144"/>
  <c r="H36" i="144"/>
  <c r="O34" i="144"/>
  <c r="O35" i="144"/>
  <c r="O36" i="144"/>
  <c r="T33" i="144"/>
  <c r="H37" i="144"/>
  <c r="H38" i="144"/>
  <c r="H39" i="144"/>
  <c r="O37" i="144"/>
  <c r="H40" i="144"/>
  <c r="O38" i="144"/>
  <c r="O39" i="144"/>
  <c r="O40" i="144"/>
  <c r="T37" i="144"/>
  <c r="H41" i="144"/>
  <c r="H42" i="144"/>
  <c r="H43" i="144"/>
  <c r="O41" i="144"/>
  <c r="H44" i="144"/>
  <c r="O42" i="144"/>
  <c r="O43" i="144"/>
  <c r="O44" i="144"/>
  <c r="T41" i="144"/>
  <c r="H45" i="144"/>
  <c r="H46" i="144"/>
  <c r="H47" i="144"/>
  <c r="O45" i="144"/>
  <c r="H48" i="144"/>
  <c r="O46" i="144"/>
  <c r="O47" i="144"/>
  <c r="O48" i="144"/>
  <c r="T45" i="144"/>
  <c r="H49" i="144"/>
  <c r="H50" i="144"/>
  <c r="H51" i="144"/>
  <c r="O49" i="144"/>
  <c r="H52" i="144"/>
  <c r="O50" i="144"/>
  <c r="O51" i="144"/>
  <c r="O52" i="144"/>
  <c r="T49" i="144"/>
  <c r="H53" i="144"/>
  <c r="H54" i="144"/>
  <c r="H55" i="144"/>
  <c r="O53" i="144"/>
  <c r="H56" i="144"/>
  <c r="O54" i="144"/>
  <c r="O55" i="144"/>
  <c r="O56" i="144"/>
  <c r="T53" i="144"/>
  <c r="H57" i="144"/>
  <c r="H58" i="144"/>
  <c r="H59" i="144"/>
  <c r="O57" i="144"/>
  <c r="H60" i="144"/>
  <c r="O58" i="144"/>
  <c r="O59" i="144"/>
  <c r="O60" i="144"/>
  <c r="T57" i="144"/>
  <c r="H61" i="144"/>
  <c r="H62" i="144"/>
  <c r="H63" i="144"/>
  <c r="O61" i="144"/>
  <c r="H64" i="144"/>
  <c r="O62" i="144"/>
  <c r="O63" i="144"/>
  <c r="O64" i="144"/>
  <c r="T61" i="144"/>
  <c r="H65" i="144"/>
  <c r="H66" i="144"/>
  <c r="H67" i="144"/>
  <c r="O65" i="144"/>
  <c r="H68" i="144"/>
  <c r="O66" i="144"/>
  <c r="O67" i="144"/>
  <c r="O68" i="144"/>
  <c r="T65" i="144"/>
  <c r="H69" i="144"/>
  <c r="H70" i="144"/>
  <c r="H71" i="144"/>
  <c r="O69" i="144"/>
  <c r="H72" i="144"/>
  <c r="O70" i="144"/>
  <c r="O71" i="144"/>
  <c r="O72" i="144"/>
  <c r="T69" i="144"/>
  <c r="H73" i="144"/>
  <c r="H74" i="144"/>
  <c r="H75" i="144"/>
  <c r="O73" i="144"/>
  <c r="H76" i="144"/>
  <c r="O74" i="144"/>
  <c r="O75" i="144"/>
  <c r="O76" i="144"/>
  <c r="T73" i="144"/>
  <c r="H77" i="144"/>
  <c r="H78" i="144"/>
  <c r="H79" i="144"/>
  <c r="O77" i="144"/>
  <c r="H80" i="144"/>
  <c r="O78" i="144"/>
  <c r="O79" i="144"/>
  <c r="O80" i="144"/>
  <c r="T77" i="144"/>
  <c r="T81" i="144"/>
  <c r="F63" i="135"/>
  <c r="S9" i="144"/>
  <c r="S13" i="144"/>
  <c r="S17" i="144"/>
  <c r="S21" i="144"/>
  <c r="S25" i="144"/>
  <c r="S29" i="144"/>
  <c r="S33" i="144"/>
  <c r="S37" i="144"/>
  <c r="S41" i="144"/>
  <c r="S45" i="144"/>
  <c r="S49" i="144"/>
  <c r="S53" i="144"/>
  <c r="S57" i="144"/>
  <c r="S61" i="144"/>
  <c r="S65" i="144"/>
  <c r="S69" i="144"/>
  <c r="S73" i="144"/>
  <c r="S77" i="144"/>
  <c r="S81" i="144"/>
  <c r="E63" i="135"/>
  <c r="R9" i="144"/>
  <c r="R13" i="144"/>
  <c r="R17" i="144"/>
  <c r="R21" i="144"/>
  <c r="R25" i="144"/>
  <c r="R29" i="144"/>
  <c r="R33" i="144"/>
  <c r="R37" i="144"/>
  <c r="R41" i="144"/>
  <c r="R45" i="144"/>
  <c r="R49" i="144"/>
  <c r="R53" i="144"/>
  <c r="R57" i="144"/>
  <c r="R61" i="144"/>
  <c r="R65" i="144"/>
  <c r="R69" i="144"/>
  <c r="R73" i="144"/>
  <c r="R77" i="144"/>
  <c r="R81" i="144"/>
  <c r="D63" i="135"/>
  <c r="Q9" i="144"/>
  <c r="Q13" i="144"/>
  <c r="Q17" i="144"/>
  <c r="Q21" i="144"/>
  <c r="Q25" i="144"/>
  <c r="Q29" i="144"/>
  <c r="Q33" i="144"/>
  <c r="Q37" i="144"/>
  <c r="Q41" i="144"/>
  <c r="Q45" i="144"/>
  <c r="Q49" i="144"/>
  <c r="Q53" i="144"/>
  <c r="Q57" i="144"/>
  <c r="Q61" i="144"/>
  <c r="Q65" i="144"/>
  <c r="Q69" i="144"/>
  <c r="Q73" i="144"/>
  <c r="Q77" i="144"/>
  <c r="Q81" i="144"/>
  <c r="C63" i="135"/>
  <c r="G62" i="135"/>
  <c r="F62" i="135"/>
  <c r="E62" i="135"/>
  <c r="D62" i="135"/>
  <c r="C62" i="135"/>
  <c r="G61" i="135"/>
  <c r="F61" i="135"/>
  <c r="E61" i="135"/>
  <c r="D61" i="135"/>
  <c r="C61" i="135"/>
  <c r="G60" i="135"/>
  <c r="F60" i="135"/>
  <c r="E60" i="135"/>
  <c r="D60" i="135"/>
  <c r="C60" i="135"/>
  <c r="G59" i="135"/>
  <c r="F59" i="135"/>
  <c r="E59" i="135"/>
  <c r="D59" i="135"/>
  <c r="C59" i="135"/>
  <c r="G58" i="135"/>
  <c r="F58" i="135"/>
  <c r="E58" i="135"/>
  <c r="D58" i="135"/>
  <c r="C58" i="135"/>
  <c r="R9" i="134"/>
  <c r="R13" i="134"/>
  <c r="N9" i="135"/>
  <c r="S9" i="134"/>
  <c r="S13" i="134"/>
  <c r="O9" i="135"/>
  <c r="O9" i="134"/>
  <c r="O10" i="134"/>
  <c r="O11" i="134"/>
  <c r="O12" i="134"/>
  <c r="H9" i="134"/>
  <c r="H10" i="134"/>
  <c r="H11" i="134"/>
  <c r="H12" i="134"/>
  <c r="T9" i="134"/>
  <c r="O13" i="134"/>
  <c r="O14" i="134"/>
  <c r="O15" i="134"/>
  <c r="O16" i="134"/>
  <c r="H13" i="134"/>
  <c r="H14" i="134"/>
  <c r="H15" i="134"/>
  <c r="H16" i="134"/>
  <c r="T13" i="134"/>
  <c r="P9" i="135"/>
  <c r="U9" i="134"/>
  <c r="U10" i="134"/>
  <c r="U11" i="134"/>
  <c r="U12" i="134"/>
  <c r="U13" i="134"/>
  <c r="U14" i="134"/>
  <c r="U15" i="134"/>
  <c r="U16" i="134"/>
  <c r="Q9" i="135"/>
  <c r="R17" i="134"/>
  <c r="R21" i="134"/>
  <c r="R25" i="134"/>
  <c r="R29" i="134"/>
  <c r="R33" i="134"/>
  <c r="N10" i="135"/>
  <c r="S17" i="134"/>
  <c r="S21" i="134"/>
  <c r="S25" i="134"/>
  <c r="S29" i="134"/>
  <c r="S33" i="134"/>
  <c r="O10" i="135"/>
  <c r="O17" i="134"/>
  <c r="O18" i="134"/>
  <c r="O19" i="134"/>
  <c r="O20" i="134"/>
  <c r="H17" i="134"/>
  <c r="H18" i="134"/>
  <c r="H19" i="134"/>
  <c r="H20" i="134"/>
  <c r="T17" i="134"/>
  <c r="O21" i="134"/>
  <c r="O22" i="134"/>
  <c r="O23" i="134"/>
  <c r="O24" i="134"/>
  <c r="H21" i="134"/>
  <c r="H22" i="134"/>
  <c r="H23" i="134"/>
  <c r="H24" i="134"/>
  <c r="T21" i="134"/>
  <c r="O25" i="134"/>
  <c r="O26" i="134"/>
  <c r="O27" i="134"/>
  <c r="O28" i="134"/>
  <c r="H25" i="134"/>
  <c r="H26" i="134"/>
  <c r="H27" i="134"/>
  <c r="H28" i="134"/>
  <c r="T25" i="134"/>
  <c r="O29" i="134"/>
  <c r="O30" i="134"/>
  <c r="O31" i="134"/>
  <c r="O32" i="134"/>
  <c r="H29" i="134"/>
  <c r="H30" i="134"/>
  <c r="H31" i="134"/>
  <c r="H32" i="134"/>
  <c r="T29" i="134"/>
  <c r="O33" i="134"/>
  <c r="O34" i="134"/>
  <c r="O35" i="134"/>
  <c r="O36" i="134"/>
  <c r="H33" i="134"/>
  <c r="H34" i="134"/>
  <c r="H35" i="134"/>
  <c r="H36" i="134"/>
  <c r="T33" i="134"/>
  <c r="P10" i="135"/>
  <c r="U17" i="134"/>
  <c r="U18" i="134"/>
  <c r="U19" i="134"/>
  <c r="U20" i="134"/>
  <c r="U21" i="134"/>
  <c r="U22" i="134"/>
  <c r="U23" i="134"/>
  <c r="U24" i="134"/>
  <c r="U25" i="134"/>
  <c r="U26" i="134"/>
  <c r="U27" i="134"/>
  <c r="U28" i="134"/>
  <c r="U29" i="134"/>
  <c r="U30" i="134"/>
  <c r="U31" i="134"/>
  <c r="U32" i="134"/>
  <c r="U33" i="134"/>
  <c r="U34" i="134"/>
  <c r="U35" i="134"/>
  <c r="U36" i="134"/>
  <c r="Q10" i="135"/>
  <c r="R37" i="134"/>
  <c r="R41" i="134"/>
  <c r="R45" i="134"/>
  <c r="R49" i="134"/>
  <c r="N11" i="135"/>
  <c r="S37" i="134"/>
  <c r="S41" i="134"/>
  <c r="S45" i="134"/>
  <c r="S49" i="134"/>
  <c r="O11" i="135"/>
  <c r="O37" i="134"/>
  <c r="O38" i="134"/>
  <c r="O39" i="134"/>
  <c r="O40" i="134"/>
  <c r="H37" i="134"/>
  <c r="H38" i="134"/>
  <c r="H39" i="134"/>
  <c r="H40" i="134"/>
  <c r="T37" i="134"/>
  <c r="O41" i="134"/>
  <c r="O42" i="134"/>
  <c r="O43" i="134"/>
  <c r="O44" i="134"/>
  <c r="H41" i="134"/>
  <c r="H42" i="134"/>
  <c r="H43" i="134"/>
  <c r="H44" i="134"/>
  <c r="T41" i="134"/>
  <c r="O45" i="134"/>
  <c r="O46" i="134"/>
  <c r="O47" i="134"/>
  <c r="O48" i="134"/>
  <c r="H45" i="134"/>
  <c r="H46" i="134"/>
  <c r="H47" i="134"/>
  <c r="H48" i="134"/>
  <c r="T45" i="134"/>
  <c r="O49" i="134"/>
  <c r="O50" i="134"/>
  <c r="O51" i="134"/>
  <c r="O52" i="134"/>
  <c r="H49" i="134"/>
  <c r="H50" i="134"/>
  <c r="H51" i="134"/>
  <c r="H52" i="134"/>
  <c r="T49" i="134"/>
  <c r="P11" i="135"/>
  <c r="U37" i="134"/>
  <c r="U38" i="134"/>
  <c r="U39" i="134"/>
  <c r="U40" i="134"/>
  <c r="U41" i="134"/>
  <c r="U42" i="134"/>
  <c r="U43" i="134"/>
  <c r="U44" i="134"/>
  <c r="U45" i="134"/>
  <c r="U46" i="134"/>
  <c r="U47" i="134"/>
  <c r="U48" i="134"/>
  <c r="U49" i="134"/>
  <c r="U50" i="134"/>
  <c r="U51" i="134"/>
  <c r="U52" i="134"/>
  <c r="Q11" i="135"/>
  <c r="R53" i="134"/>
  <c r="R57" i="134"/>
  <c r="R61" i="134"/>
  <c r="R65" i="134"/>
  <c r="N12" i="135"/>
  <c r="S53" i="134"/>
  <c r="S57" i="134"/>
  <c r="S61" i="134"/>
  <c r="S65" i="134"/>
  <c r="O12" i="135"/>
  <c r="O53" i="134"/>
  <c r="O54" i="134"/>
  <c r="O55" i="134"/>
  <c r="O56" i="134"/>
  <c r="H53" i="134"/>
  <c r="H54" i="134"/>
  <c r="H55" i="134"/>
  <c r="H56" i="134"/>
  <c r="T53" i="134"/>
  <c r="O57" i="134"/>
  <c r="O58" i="134"/>
  <c r="O59" i="134"/>
  <c r="O60" i="134"/>
  <c r="H57" i="134"/>
  <c r="H58" i="134"/>
  <c r="H59" i="134"/>
  <c r="H60" i="134"/>
  <c r="T57" i="134"/>
  <c r="O61" i="134"/>
  <c r="O62" i="134"/>
  <c r="O63" i="134"/>
  <c r="O64" i="134"/>
  <c r="H61" i="134"/>
  <c r="H62" i="134"/>
  <c r="H63" i="134"/>
  <c r="H64" i="134"/>
  <c r="T61" i="134"/>
  <c r="O65" i="134"/>
  <c r="O66" i="134"/>
  <c r="O67" i="134"/>
  <c r="O68" i="134"/>
  <c r="H65" i="134"/>
  <c r="H66" i="134"/>
  <c r="H67" i="134"/>
  <c r="H68" i="134"/>
  <c r="T65" i="134"/>
  <c r="P12" i="135"/>
  <c r="U53" i="134"/>
  <c r="U54" i="134"/>
  <c r="U55" i="134"/>
  <c r="U56" i="134"/>
  <c r="U57" i="134"/>
  <c r="U58" i="134"/>
  <c r="U59" i="134"/>
  <c r="U60" i="134"/>
  <c r="U61" i="134"/>
  <c r="U62" i="134"/>
  <c r="U63" i="134"/>
  <c r="U64" i="134"/>
  <c r="U65" i="134"/>
  <c r="U66" i="134"/>
  <c r="U67" i="134"/>
  <c r="U68" i="134"/>
  <c r="Q12" i="135"/>
  <c r="R69" i="134"/>
  <c r="R73" i="134"/>
  <c r="R77" i="134"/>
  <c r="N13" i="135"/>
  <c r="S69" i="134"/>
  <c r="S73" i="134"/>
  <c r="S77" i="134"/>
  <c r="O13" i="135"/>
  <c r="O69" i="134"/>
  <c r="O70" i="134"/>
  <c r="O71" i="134"/>
  <c r="O72" i="134"/>
  <c r="H69" i="134"/>
  <c r="H70" i="134"/>
  <c r="H71" i="134"/>
  <c r="H72" i="134"/>
  <c r="T69" i="134"/>
  <c r="O73" i="134"/>
  <c r="O74" i="134"/>
  <c r="O75" i="134"/>
  <c r="O76" i="134"/>
  <c r="H73" i="134"/>
  <c r="H74" i="134"/>
  <c r="H75" i="134"/>
  <c r="H76" i="134"/>
  <c r="T73" i="134"/>
  <c r="O77" i="134"/>
  <c r="O78" i="134"/>
  <c r="O79" i="134"/>
  <c r="O80" i="134"/>
  <c r="H77" i="134"/>
  <c r="H78" i="134"/>
  <c r="H79" i="134"/>
  <c r="H80" i="134"/>
  <c r="T77" i="134"/>
  <c r="P13" i="135"/>
  <c r="U69" i="134"/>
  <c r="U70" i="134"/>
  <c r="U71" i="134"/>
  <c r="U72" i="134"/>
  <c r="U73" i="134"/>
  <c r="U74" i="134"/>
  <c r="U75" i="134"/>
  <c r="U76" i="134"/>
  <c r="U77" i="134"/>
  <c r="U78" i="134"/>
  <c r="U79" i="134"/>
  <c r="U80" i="134"/>
  <c r="Q13" i="135"/>
  <c r="R81" i="134"/>
  <c r="N14" i="135"/>
  <c r="S81" i="134"/>
  <c r="O14" i="135"/>
  <c r="T81" i="134"/>
  <c r="P14" i="135"/>
  <c r="U81" i="134"/>
  <c r="Q14" i="135"/>
  <c r="R87" i="134"/>
  <c r="R91" i="134"/>
  <c r="N15" i="135"/>
  <c r="S87" i="134"/>
  <c r="S91" i="134"/>
  <c r="O15" i="135"/>
  <c r="O87" i="134"/>
  <c r="O88" i="134"/>
  <c r="O89" i="134"/>
  <c r="O90" i="134"/>
  <c r="H87" i="134"/>
  <c r="H88" i="134"/>
  <c r="H89" i="134"/>
  <c r="H90" i="134"/>
  <c r="T87" i="134"/>
  <c r="O91" i="134"/>
  <c r="O92" i="134"/>
  <c r="O93" i="134"/>
  <c r="O94" i="134"/>
  <c r="H91" i="134"/>
  <c r="H92" i="134"/>
  <c r="H93" i="134"/>
  <c r="H94" i="134"/>
  <c r="T91" i="134"/>
  <c r="P15" i="135"/>
  <c r="U87" i="134"/>
  <c r="U88" i="134"/>
  <c r="U89" i="134"/>
  <c r="U90" i="134"/>
  <c r="U91" i="134"/>
  <c r="U92" i="134"/>
  <c r="U93" i="134"/>
  <c r="U94" i="134"/>
  <c r="Q15" i="135"/>
  <c r="R95" i="134"/>
  <c r="R99" i="134"/>
  <c r="R103" i="134"/>
  <c r="R107" i="134"/>
  <c r="R111" i="134"/>
  <c r="N16" i="135"/>
  <c r="S95" i="134"/>
  <c r="S99" i="134"/>
  <c r="S103" i="134"/>
  <c r="S107" i="134"/>
  <c r="S111" i="134"/>
  <c r="O16" i="135"/>
  <c r="O95" i="134"/>
  <c r="O96" i="134"/>
  <c r="O97" i="134"/>
  <c r="O98" i="134"/>
  <c r="H95" i="134"/>
  <c r="H96" i="134"/>
  <c r="H97" i="134"/>
  <c r="H98" i="134"/>
  <c r="T95" i="134"/>
  <c r="O99" i="134"/>
  <c r="O100" i="134"/>
  <c r="O101" i="134"/>
  <c r="O102" i="134"/>
  <c r="H99" i="134"/>
  <c r="H100" i="134"/>
  <c r="H101" i="134"/>
  <c r="H102" i="134"/>
  <c r="T99" i="134"/>
  <c r="O103" i="134"/>
  <c r="O104" i="134"/>
  <c r="O105" i="134"/>
  <c r="O106" i="134"/>
  <c r="H103" i="134"/>
  <c r="H104" i="134"/>
  <c r="H105" i="134"/>
  <c r="H106" i="134"/>
  <c r="T103" i="134"/>
  <c r="O107" i="134"/>
  <c r="O108" i="134"/>
  <c r="O109" i="134"/>
  <c r="O110" i="134"/>
  <c r="H107" i="134"/>
  <c r="H108" i="134"/>
  <c r="H109" i="134"/>
  <c r="H110" i="134"/>
  <c r="T107" i="134"/>
  <c r="O111" i="134"/>
  <c r="O112" i="134"/>
  <c r="O113" i="134"/>
  <c r="O114" i="134"/>
  <c r="H111" i="134"/>
  <c r="H112" i="134"/>
  <c r="H113" i="134"/>
  <c r="H114" i="134"/>
  <c r="T111" i="134"/>
  <c r="P16" i="135"/>
  <c r="U95" i="134"/>
  <c r="U96" i="134"/>
  <c r="U97" i="134"/>
  <c r="U98" i="134"/>
  <c r="U99" i="134"/>
  <c r="U100" i="134"/>
  <c r="U101" i="134"/>
  <c r="U102" i="134"/>
  <c r="U103" i="134"/>
  <c r="U104" i="134"/>
  <c r="U105" i="134"/>
  <c r="U106" i="134"/>
  <c r="U107" i="134"/>
  <c r="U108" i="134"/>
  <c r="U109" i="134"/>
  <c r="U110" i="134"/>
  <c r="U111" i="134"/>
  <c r="U112" i="134"/>
  <c r="U113" i="134"/>
  <c r="U114" i="134"/>
  <c r="Q16" i="135"/>
  <c r="R115" i="134"/>
  <c r="R119" i="134"/>
  <c r="R123" i="134"/>
  <c r="R127" i="134"/>
  <c r="N17" i="135"/>
  <c r="S115" i="134"/>
  <c r="S119" i="134"/>
  <c r="S123" i="134"/>
  <c r="S127" i="134"/>
  <c r="O17" i="135"/>
  <c r="O115" i="134"/>
  <c r="O116" i="134"/>
  <c r="O117" i="134"/>
  <c r="O118" i="134"/>
  <c r="H115" i="134"/>
  <c r="H116" i="134"/>
  <c r="H117" i="134"/>
  <c r="H118" i="134"/>
  <c r="T115" i="134"/>
  <c r="O119" i="134"/>
  <c r="O120" i="134"/>
  <c r="O121" i="134"/>
  <c r="O122" i="134"/>
  <c r="H119" i="134"/>
  <c r="H120" i="134"/>
  <c r="H121" i="134"/>
  <c r="H122" i="134"/>
  <c r="T119" i="134"/>
  <c r="O123" i="134"/>
  <c r="O124" i="134"/>
  <c r="O125" i="134"/>
  <c r="O126" i="134"/>
  <c r="H123" i="134"/>
  <c r="H124" i="134"/>
  <c r="H125" i="134"/>
  <c r="H126" i="134"/>
  <c r="T123" i="134"/>
  <c r="O127" i="134"/>
  <c r="O128" i="134"/>
  <c r="O129" i="134"/>
  <c r="O130" i="134"/>
  <c r="H127" i="134"/>
  <c r="H128" i="134"/>
  <c r="H129" i="134"/>
  <c r="H130" i="134"/>
  <c r="T127" i="134"/>
  <c r="P17" i="135"/>
  <c r="U115" i="134"/>
  <c r="U116" i="134"/>
  <c r="U117" i="134"/>
  <c r="U118" i="134"/>
  <c r="U119" i="134"/>
  <c r="U120" i="134"/>
  <c r="U121" i="134"/>
  <c r="U122" i="134"/>
  <c r="U123" i="134"/>
  <c r="U124" i="134"/>
  <c r="U125" i="134"/>
  <c r="U126" i="134"/>
  <c r="U127" i="134"/>
  <c r="U128" i="134"/>
  <c r="U129" i="134"/>
  <c r="U130" i="134"/>
  <c r="Q17" i="135"/>
  <c r="R131" i="134"/>
  <c r="R135" i="134"/>
  <c r="R139" i="134"/>
  <c r="R143" i="134"/>
  <c r="N18" i="135"/>
  <c r="S131" i="134"/>
  <c r="S135" i="134"/>
  <c r="S139" i="134"/>
  <c r="S143" i="134"/>
  <c r="O18" i="135"/>
  <c r="O131" i="134"/>
  <c r="O132" i="134"/>
  <c r="O133" i="134"/>
  <c r="O134" i="134"/>
  <c r="H131" i="134"/>
  <c r="H132" i="134"/>
  <c r="H133" i="134"/>
  <c r="H134" i="134"/>
  <c r="T131" i="134"/>
  <c r="O135" i="134"/>
  <c r="O136" i="134"/>
  <c r="O137" i="134"/>
  <c r="O138" i="134"/>
  <c r="H135" i="134"/>
  <c r="H136" i="134"/>
  <c r="H137" i="134"/>
  <c r="H138" i="134"/>
  <c r="T135" i="134"/>
  <c r="O139" i="134"/>
  <c r="O140" i="134"/>
  <c r="O141" i="134"/>
  <c r="O142" i="134"/>
  <c r="H139" i="134"/>
  <c r="H140" i="134"/>
  <c r="H141" i="134"/>
  <c r="H142" i="134"/>
  <c r="T139" i="134"/>
  <c r="O143" i="134"/>
  <c r="O144" i="134"/>
  <c r="O145" i="134"/>
  <c r="O146" i="134"/>
  <c r="H143" i="134"/>
  <c r="H144" i="134"/>
  <c r="H145" i="134"/>
  <c r="H146" i="134"/>
  <c r="T143" i="134"/>
  <c r="P18" i="135"/>
  <c r="U131" i="134"/>
  <c r="U132" i="134"/>
  <c r="U133" i="134"/>
  <c r="U134" i="134"/>
  <c r="U135" i="134"/>
  <c r="U136" i="134"/>
  <c r="U137" i="134"/>
  <c r="U138" i="134"/>
  <c r="U139" i="134"/>
  <c r="U140" i="134"/>
  <c r="U141" i="134"/>
  <c r="U142" i="134"/>
  <c r="U143" i="134"/>
  <c r="U144" i="134"/>
  <c r="U145" i="134"/>
  <c r="U146" i="134"/>
  <c r="Q18" i="135"/>
  <c r="R147" i="134"/>
  <c r="R151" i="134"/>
  <c r="R155" i="134"/>
  <c r="N19" i="135"/>
  <c r="S147" i="134"/>
  <c r="S151" i="134"/>
  <c r="S155" i="134"/>
  <c r="O19" i="135"/>
  <c r="O147" i="134"/>
  <c r="O148" i="134"/>
  <c r="O149" i="134"/>
  <c r="O150" i="134"/>
  <c r="H147" i="134"/>
  <c r="H148" i="134"/>
  <c r="H149" i="134"/>
  <c r="H150" i="134"/>
  <c r="T147" i="134"/>
  <c r="O151" i="134"/>
  <c r="O152" i="134"/>
  <c r="O153" i="134"/>
  <c r="O154" i="134"/>
  <c r="H151" i="134"/>
  <c r="H152" i="134"/>
  <c r="H153" i="134"/>
  <c r="H154" i="134"/>
  <c r="T151" i="134"/>
  <c r="O155" i="134"/>
  <c r="O156" i="134"/>
  <c r="O157" i="134"/>
  <c r="O158" i="134"/>
  <c r="H155" i="134"/>
  <c r="H156" i="134"/>
  <c r="H157" i="134"/>
  <c r="H158" i="134"/>
  <c r="T155" i="134"/>
  <c r="P19" i="135"/>
  <c r="U147" i="134"/>
  <c r="U148" i="134"/>
  <c r="U149" i="134"/>
  <c r="U150" i="134"/>
  <c r="U151" i="134"/>
  <c r="U152" i="134"/>
  <c r="U153" i="134"/>
  <c r="U154" i="134"/>
  <c r="U155" i="134"/>
  <c r="U156" i="134"/>
  <c r="U157" i="134"/>
  <c r="U158" i="134"/>
  <c r="Q19" i="135"/>
  <c r="R159" i="134"/>
  <c r="N20" i="135"/>
  <c r="S159" i="134"/>
  <c r="O20" i="135"/>
  <c r="T159" i="134"/>
  <c r="P20" i="135"/>
  <c r="U159" i="134"/>
  <c r="Q20" i="135"/>
  <c r="Q87" i="134"/>
  <c r="Q91" i="134"/>
  <c r="Q95" i="134"/>
  <c r="Q99" i="134"/>
  <c r="Q103" i="134"/>
  <c r="Q107" i="134"/>
  <c r="Q111" i="134"/>
  <c r="Q115" i="134"/>
  <c r="Q119" i="134"/>
  <c r="Q123" i="134"/>
  <c r="Q127" i="134"/>
  <c r="Q131" i="134"/>
  <c r="Q135" i="134"/>
  <c r="Q139" i="134"/>
  <c r="Q143" i="134"/>
  <c r="Q147" i="134"/>
  <c r="Q151" i="134"/>
  <c r="Q155" i="134"/>
  <c r="Q159" i="134"/>
  <c r="M20" i="135"/>
  <c r="M19" i="135"/>
  <c r="M18" i="135"/>
  <c r="M17" i="135"/>
  <c r="M16" i="135"/>
  <c r="M15" i="135"/>
  <c r="Q17" i="134"/>
  <c r="Q21" i="134"/>
  <c r="Q25" i="134"/>
  <c r="Q29" i="134"/>
  <c r="Q33" i="134"/>
  <c r="Q37" i="134"/>
  <c r="Q41" i="134"/>
  <c r="Q45" i="134"/>
  <c r="Q49" i="134"/>
  <c r="Q53" i="134"/>
  <c r="Q57" i="134"/>
  <c r="Q61" i="134"/>
  <c r="Q65" i="134"/>
  <c r="Q69" i="134"/>
  <c r="Q73" i="134"/>
  <c r="Q77" i="134"/>
  <c r="Q81" i="134"/>
  <c r="M14" i="135"/>
  <c r="M13" i="135"/>
  <c r="M12" i="135"/>
  <c r="M11" i="135"/>
  <c r="M10" i="135"/>
  <c r="Q9" i="125"/>
  <c r="Q13" i="125"/>
  <c r="C9" i="135"/>
  <c r="R9" i="118"/>
  <c r="R13" i="118"/>
  <c r="D44" i="135"/>
  <c r="S9" i="118"/>
  <c r="S13" i="118"/>
  <c r="E44" i="135"/>
  <c r="O9" i="118"/>
  <c r="O10" i="118"/>
  <c r="O11" i="118"/>
  <c r="O12" i="118"/>
  <c r="H9" i="118"/>
  <c r="H10" i="118"/>
  <c r="H11" i="118"/>
  <c r="H12" i="118"/>
  <c r="T9" i="118"/>
  <c r="O13" i="118"/>
  <c r="O14" i="118"/>
  <c r="O15" i="118"/>
  <c r="O16" i="118"/>
  <c r="H13" i="118"/>
  <c r="H14" i="118"/>
  <c r="H15" i="118"/>
  <c r="H16" i="118"/>
  <c r="T13" i="118"/>
  <c r="F44" i="135"/>
  <c r="U9" i="118"/>
  <c r="U10" i="118"/>
  <c r="U11" i="118"/>
  <c r="U12" i="118"/>
  <c r="U13" i="118"/>
  <c r="U14" i="118"/>
  <c r="U15" i="118"/>
  <c r="U16" i="118"/>
  <c r="G44" i="135"/>
  <c r="R17" i="118"/>
  <c r="R21" i="118"/>
  <c r="R25" i="118"/>
  <c r="R29" i="118"/>
  <c r="R33" i="118"/>
  <c r="D45" i="135"/>
  <c r="S17" i="118"/>
  <c r="S21" i="118"/>
  <c r="S25" i="118"/>
  <c r="S29" i="118"/>
  <c r="S33" i="118"/>
  <c r="E45" i="135"/>
  <c r="O17" i="118"/>
  <c r="O18" i="118"/>
  <c r="O19" i="118"/>
  <c r="O20" i="118"/>
  <c r="H17" i="118"/>
  <c r="H18" i="118"/>
  <c r="H19" i="118"/>
  <c r="H20" i="118"/>
  <c r="T17" i="118"/>
  <c r="O21" i="118"/>
  <c r="O22" i="118"/>
  <c r="O23" i="118"/>
  <c r="O24" i="118"/>
  <c r="H21" i="118"/>
  <c r="H22" i="118"/>
  <c r="H23" i="118"/>
  <c r="H24" i="118"/>
  <c r="T21" i="118"/>
  <c r="O25" i="118"/>
  <c r="O26" i="118"/>
  <c r="O27" i="118"/>
  <c r="O28" i="118"/>
  <c r="H25" i="118"/>
  <c r="H26" i="118"/>
  <c r="H27" i="118"/>
  <c r="H28" i="118"/>
  <c r="T25" i="118"/>
  <c r="O29" i="118"/>
  <c r="O30" i="118"/>
  <c r="O31" i="118"/>
  <c r="O32" i="118"/>
  <c r="H29" i="118"/>
  <c r="H30" i="118"/>
  <c r="H31" i="118"/>
  <c r="H32" i="118"/>
  <c r="T29" i="118"/>
  <c r="O33" i="118"/>
  <c r="O34" i="118"/>
  <c r="O35" i="118"/>
  <c r="O36" i="118"/>
  <c r="H33" i="118"/>
  <c r="H34" i="118"/>
  <c r="H35" i="118"/>
  <c r="H36" i="118"/>
  <c r="T33" i="118"/>
  <c r="F45" i="135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45" i="135"/>
  <c r="R37" i="118"/>
  <c r="R41" i="118"/>
  <c r="R45" i="118"/>
  <c r="R49" i="118"/>
  <c r="D46" i="135"/>
  <c r="S37" i="118"/>
  <c r="S41" i="118"/>
  <c r="S45" i="118"/>
  <c r="S49" i="118"/>
  <c r="E46" i="135"/>
  <c r="O37" i="118"/>
  <c r="O38" i="118"/>
  <c r="O39" i="118"/>
  <c r="O40" i="118"/>
  <c r="H37" i="118"/>
  <c r="H38" i="118"/>
  <c r="H39" i="118"/>
  <c r="H40" i="118"/>
  <c r="T37" i="118"/>
  <c r="O41" i="118"/>
  <c r="O42" i="118"/>
  <c r="O43" i="118"/>
  <c r="O44" i="118"/>
  <c r="H41" i="118"/>
  <c r="H42" i="118"/>
  <c r="H43" i="118"/>
  <c r="H44" i="118"/>
  <c r="T41" i="118"/>
  <c r="O45" i="118"/>
  <c r="O46" i="118"/>
  <c r="O47" i="118"/>
  <c r="O48" i="118"/>
  <c r="H45" i="118"/>
  <c r="H46" i="118"/>
  <c r="H47" i="118"/>
  <c r="H48" i="118"/>
  <c r="T45" i="118"/>
  <c r="O49" i="118"/>
  <c r="O50" i="118"/>
  <c r="O51" i="118"/>
  <c r="O52" i="118"/>
  <c r="H49" i="118"/>
  <c r="H50" i="118"/>
  <c r="H51" i="118"/>
  <c r="H52" i="118"/>
  <c r="T49" i="118"/>
  <c r="F46" i="135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46" i="135"/>
  <c r="R53" i="118"/>
  <c r="R57" i="118"/>
  <c r="R61" i="118"/>
  <c r="R65" i="118"/>
  <c r="D47" i="135"/>
  <c r="S53" i="118"/>
  <c r="S57" i="118"/>
  <c r="S61" i="118"/>
  <c r="S65" i="118"/>
  <c r="E47" i="135"/>
  <c r="O53" i="118"/>
  <c r="O54" i="118"/>
  <c r="O55" i="118"/>
  <c r="O56" i="118"/>
  <c r="H53" i="118"/>
  <c r="H54" i="118"/>
  <c r="H55" i="118"/>
  <c r="H56" i="118"/>
  <c r="T53" i="118"/>
  <c r="O57" i="118"/>
  <c r="O58" i="118"/>
  <c r="O59" i="118"/>
  <c r="O60" i="118"/>
  <c r="H57" i="118"/>
  <c r="H58" i="118"/>
  <c r="H59" i="118"/>
  <c r="H60" i="118"/>
  <c r="T57" i="118"/>
  <c r="O61" i="118"/>
  <c r="O62" i="118"/>
  <c r="O63" i="118"/>
  <c r="O64" i="118"/>
  <c r="H61" i="118"/>
  <c r="H62" i="118"/>
  <c r="H63" i="118"/>
  <c r="H64" i="118"/>
  <c r="T61" i="118"/>
  <c r="O65" i="118"/>
  <c r="O66" i="118"/>
  <c r="O67" i="118"/>
  <c r="O68" i="118"/>
  <c r="H65" i="118"/>
  <c r="H66" i="118"/>
  <c r="H67" i="118"/>
  <c r="H68" i="118"/>
  <c r="T65" i="118"/>
  <c r="F47" i="135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47" i="135"/>
  <c r="R69" i="118"/>
  <c r="R73" i="118"/>
  <c r="R77" i="118"/>
  <c r="D48" i="135"/>
  <c r="S69" i="118"/>
  <c r="S73" i="118"/>
  <c r="S77" i="118"/>
  <c r="E48" i="135"/>
  <c r="O69" i="118"/>
  <c r="O70" i="118"/>
  <c r="O71" i="118"/>
  <c r="O72" i="118"/>
  <c r="H69" i="118"/>
  <c r="H70" i="118"/>
  <c r="H71" i="118"/>
  <c r="H72" i="118"/>
  <c r="T69" i="118"/>
  <c r="O73" i="118"/>
  <c r="O74" i="118"/>
  <c r="O75" i="118"/>
  <c r="O76" i="118"/>
  <c r="H73" i="118"/>
  <c r="H74" i="118"/>
  <c r="H75" i="118"/>
  <c r="H76" i="118"/>
  <c r="T73" i="118"/>
  <c r="O77" i="118"/>
  <c r="O78" i="118"/>
  <c r="O79" i="118"/>
  <c r="O80" i="118"/>
  <c r="H77" i="118"/>
  <c r="H78" i="118"/>
  <c r="H79" i="118"/>
  <c r="H80" i="118"/>
  <c r="T77" i="118"/>
  <c r="F48" i="135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48" i="135"/>
  <c r="R81" i="118"/>
  <c r="D49" i="135"/>
  <c r="S81" i="118"/>
  <c r="E49" i="135"/>
  <c r="T81" i="118"/>
  <c r="F49" i="135"/>
  <c r="U81" i="118"/>
  <c r="G49" i="135"/>
  <c r="R87" i="118"/>
  <c r="R91" i="118"/>
  <c r="D50" i="135"/>
  <c r="S87" i="118"/>
  <c r="S91" i="118"/>
  <c r="E50" i="135"/>
  <c r="O87" i="118"/>
  <c r="O88" i="118"/>
  <c r="O89" i="118"/>
  <c r="O90" i="118"/>
  <c r="H87" i="118"/>
  <c r="H88" i="118"/>
  <c r="H89" i="118"/>
  <c r="H90" i="118"/>
  <c r="T87" i="118"/>
  <c r="O91" i="118"/>
  <c r="O92" i="118"/>
  <c r="O93" i="118"/>
  <c r="O94" i="118"/>
  <c r="H91" i="118"/>
  <c r="H92" i="118"/>
  <c r="H93" i="118"/>
  <c r="H94" i="118"/>
  <c r="T91" i="118"/>
  <c r="F50" i="135"/>
  <c r="U87" i="118"/>
  <c r="U88" i="118"/>
  <c r="U89" i="118"/>
  <c r="U90" i="118"/>
  <c r="U91" i="118"/>
  <c r="U92" i="118"/>
  <c r="U93" i="118"/>
  <c r="U94" i="118"/>
  <c r="G50" i="135"/>
  <c r="R95" i="118"/>
  <c r="R99" i="118"/>
  <c r="R103" i="118"/>
  <c r="R107" i="118"/>
  <c r="R111" i="118"/>
  <c r="D51" i="135"/>
  <c r="S95" i="118"/>
  <c r="S99" i="118"/>
  <c r="S103" i="118"/>
  <c r="S107" i="118"/>
  <c r="S111" i="118"/>
  <c r="E51" i="135"/>
  <c r="O95" i="118"/>
  <c r="O96" i="118"/>
  <c r="O97" i="118"/>
  <c r="O98" i="118"/>
  <c r="H95" i="118"/>
  <c r="H96" i="118"/>
  <c r="H97" i="118"/>
  <c r="H98" i="118"/>
  <c r="T95" i="118"/>
  <c r="O99" i="118"/>
  <c r="O100" i="118"/>
  <c r="O101" i="118"/>
  <c r="O102" i="118"/>
  <c r="H99" i="118"/>
  <c r="H100" i="118"/>
  <c r="H101" i="118"/>
  <c r="H102" i="118"/>
  <c r="T99" i="118"/>
  <c r="O103" i="118"/>
  <c r="O104" i="118"/>
  <c r="O105" i="118"/>
  <c r="O106" i="118"/>
  <c r="H103" i="118"/>
  <c r="H104" i="118"/>
  <c r="H105" i="118"/>
  <c r="H106" i="118"/>
  <c r="T103" i="118"/>
  <c r="O107" i="118"/>
  <c r="O108" i="118"/>
  <c r="O109" i="118"/>
  <c r="O110" i="118"/>
  <c r="H107" i="118"/>
  <c r="H108" i="118"/>
  <c r="H109" i="118"/>
  <c r="H110" i="118"/>
  <c r="T107" i="118"/>
  <c r="O111" i="118"/>
  <c r="O112" i="118"/>
  <c r="O113" i="118"/>
  <c r="O114" i="118"/>
  <c r="H111" i="118"/>
  <c r="H112" i="118"/>
  <c r="H113" i="118"/>
  <c r="H114" i="118"/>
  <c r="T111" i="118"/>
  <c r="F51" i="135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G51" i="135"/>
  <c r="R115" i="118"/>
  <c r="R119" i="118"/>
  <c r="R123" i="118"/>
  <c r="R127" i="118"/>
  <c r="D52" i="135"/>
  <c r="S115" i="118"/>
  <c r="S119" i="118"/>
  <c r="S123" i="118"/>
  <c r="S127" i="118"/>
  <c r="E52" i="135"/>
  <c r="O115" i="118"/>
  <c r="O116" i="118"/>
  <c r="O117" i="118"/>
  <c r="O118" i="118"/>
  <c r="H115" i="118"/>
  <c r="H116" i="118"/>
  <c r="H117" i="118"/>
  <c r="H118" i="118"/>
  <c r="T115" i="118"/>
  <c r="O119" i="118"/>
  <c r="O120" i="118"/>
  <c r="O121" i="118"/>
  <c r="O122" i="118"/>
  <c r="H119" i="118"/>
  <c r="H120" i="118"/>
  <c r="H121" i="118"/>
  <c r="H122" i="118"/>
  <c r="T119" i="118"/>
  <c r="O123" i="118"/>
  <c r="O124" i="118"/>
  <c r="O125" i="118"/>
  <c r="O126" i="118"/>
  <c r="H123" i="118"/>
  <c r="H124" i="118"/>
  <c r="H125" i="118"/>
  <c r="H126" i="118"/>
  <c r="T123" i="118"/>
  <c r="O127" i="118"/>
  <c r="O128" i="118"/>
  <c r="O129" i="118"/>
  <c r="O130" i="118"/>
  <c r="H127" i="118"/>
  <c r="H128" i="118"/>
  <c r="H129" i="118"/>
  <c r="H130" i="118"/>
  <c r="T127" i="118"/>
  <c r="F52" i="135"/>
  <c r="U115" i="118"/>
  <c r="U116" i="118"/>
  <c r="U117" i="118"/>
  <c r="U118" i="118"/>
  <c r="U119" i="118"/>
  <c r="U120" i="118"/>
  <c r="U121" i="118"/>
  <c r="U122" i="118"/>
  <c r="U123" i="118"/>
  <c r="U124" i="118"/>
  <c r="U125" i="118"/>
  <c r="U126" i="118"/>
  <c r="U127" i="118"/>
  <c r="U128" i="118"/>
  <c r="U129" i="118"/>
  <c r="U130" i="118"/>
  <c r="G52" i="135"/>
  <c r="R131" i="118"/>
  <c r="R135" i="118"/>
  <c r="R139" i="118"/>
  <c r="R143" i="118"/>
  <c r="D53" i="135"/>
  <c r="S131" i="118"/>
  <c r="S135" i="118"/>
  <c r="S139" i="118"/>
  <c r="S143" i="118"/>
  <c r="E53" i="135"/>
  <c r="O131" i="118"/>
  <c r="O132" i="118"/>
  <c r="O133" i="118"/>
  <c r="O134" i="118"/>
  <c r="H131" i="118"/>
  <c r="H132" i="118"/>
  <c r="H133" i="118"/>
  <c r="H134" i="118"/>
  <c r="T131" i="118"/>
  <c r="O135" i="118"/>
  <c r="O136" i="118"/>
  <c r="O137" i="118"/>
  <c r="O138" i="118"/>
  <c r="H135" i="118"/>
  <c r="H136" i="118"/>
  <c r="H137" i="118"/>
  <c r="H138" i="118"/>
  <c r="T135" i="118"/>
  <c r="O139" i="118"/>
  <c r="O140" i="118"/>
  <c r="O141" i="118"/>
  <c r="O142" i="118"/>
  <c r="H139" i="118"/>
  <c r="H140" i="118"/>
  <c r="H141" i="118"/>
  <c r="H142" i="118"/>
  <c r="T139" i="118"/>
  <c r="O143" i="118"/>
  <c r="O144" i="118"/>
  <c r="O145" i="118"/>
  <c r="O146" i="118"/>
  <c r="H143" i="118"/>
  <c r="H144" i="118"/>
  <c r="H145" i="118"/>
  <c r="H146" i="118"/>
  <c r="T143" i="118"/>
  <c r="F53" i="135"/>
  <c r="U131" i="118"/>
  <c r="U132" i="118"/>
  <c r="U133" i="118"/>
  <c r="U134" i="118"/>
  <c r="U135" i="118"/>
  <c r="U136" i="118"/>
  <c r="U137" i="118"/>
  <c r="U138" i="118"/>
  <c r="U139" i="118"/>
  <c r="U140" i="118"/>
  <c r="U141" i="118"/>
  <c r="U142" i="118"/>
  <c r="U143" i="118"/>
  <c r="U144" i="118"/>
  <c r="U145" i="118"/>
  <c r="U146" i="118"/>
  <c r="G53" i="135"/>
  <c r="R147" i="118"/>
  <c r="R151" i="118"/>
  <c r="R155" i="118"/>
  <c r="D54" i="135"/>
  <c r="S147" i="118"/>
  <c r="S151" i="118"/>
  <c r="S155" i="118"/>
  <c r="E54" i="135"/>
  <c r="O147" i="118"/>
  <c r="O148" i="118"/>
  <c r="O149" i="118"/>
  <c r="O150" i="118"/>
  <c r="H147" i="118"/>
  <c r="H148" i="118"/>
  <c r="H149" i="118"/>
  <c r="H150" i="118"/>
  <c r="T147" i="118"/>
  <c r="O151" i="118"/>
  <c r="O152" i="118"/>
  <c r="O153" i="118"/>
  <c r="O154" i="118"/>
  <c r="H151" i="118"/>
  <c r="H152" i="118"/>
  <c r="H153" i="118"/>
  <c r="H154" i="118"/>
  <c r="T151" i="118"/>
  <c r="O155" i="118"/>
  <c r="O156" i="118"/>
  <c r="O157" i="118"/>
  <c r="O158" i="118"/>
  <c r="H155" i="118"/>
  <c r="H156" i="118"/>
  <c r="H157" i="118"/>
  <c r="H158" i="118"/>
  <c r="T155" i="118"/>
  <c r="F54" i="135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54" i="135"/>
  <c r="R159" i="118"/>
  <c r="D55" i="135"/>
  <c r="S159" i="118"/>
  <c r="E55" i="135"/>
  <c r="T159" i="118"/>
  <c r="F55" i="135"/>
  <c r="U159" i="118"/>
  <c r="G55" i="135"/>
  <c r="R9" i="112"/>
  <c r="R13" i="112"/>
  <c r="D30" i="135"/>
  <c r="S9" i="112"/>
  <c r="S13" i="112"/>
  <c r="E30" i="135"/>
  <c r="O9" i="112"/>
  <c r="O10" i="112"/>
  <c r="O11" i="112"/>
  <c r="O12" i="112"/>
  <c r="H9" i="112"/>
  <c r="H10" i="112"/>
  <c r="H11" i="112"/>
  <c r="H12" i="112"/>
  <c r="T9" i="112"/>
  <c r="O13" i="112"/>
  <c r="O14" i="112"/>
  <c r="O15" i="112"/>
  <c r="O16" i="112"/>
  <c r="H13" i="112"/>
  <c r="H14" i="112"/>
  <c r="H15" i="112"/>
  <c r="H16" i="112"/>
  <c r="T13" i="112"/>
  <c r="F30" i="135"/>
  <c r="U9" i="112"/>
  <c r="U10" i="112"/>
  <c r="U11" i="112"/>
  <c r="U12" i="112"/>
  <c r="U13" i="112"/>
  <c r="U14" i="112"/>
  <c r="U15" i="112"/>
  <c r="U16" i="112"/>
  <c r="G30" i="135"/>
  <c r="R17" i="112"/>
  <c r="R21" i="112"/>
  <c r="R25" i="112"/>
  <c r="R29" i="112"/>
  <c r="R33" i="112"/>
  <c r="D31" i="135"/>
  <c r="S17" i="112"/>
  <c r="S21" i="112"/>
  <c r="S25" i="112"/>
  <c r="S29" i="112"/>
  <c r="S33" i="112"/>
  <c r="E31" i="135"/>
  <c r="O17" i="112"/>
  <c r="O18" i="112"/>
  <c r="O19" i="112"/>
  <c r="O20" i="112"/>
  <c r="H17" i="112"/>
  <c r="H18" i="112"/>
  <c r="H19" i="112"/>
  <c r="H20" i="112"/>
  <c r="T17" i="112"/>
  <c r="O21" i="112"/>
  <c r="O22" i="112"/>
  <c r="O23" i="112"/>
  <c r="O24" i="112"/>
  <c r="H21" i="112"/>
  <c r="H22" i="112"/>
  <c r="H23" i="112"/>
  <c r="H24" i="112"/>
  <c r="T21" i="112"/>
  <c r="O25" i="112"/>
  <c r="O26" i="112"/>
  <c r="O27" i="112"/>
  <c r="O28" i="112"/>
  <c r="H25" i="112"/>
  <c r="H26" i="112"/>
  <c r="H27" i="112"/>
  <c r="H28" i="112"/>
  <c r="T25" i="112"/>
  <c r="O29" i="112"/>
  <c r="O30" i="112"/>
  <c r="O31" i="112"/>
  <c r="O32" i="112"/>
  <c r="H29" i="112"/>
  <c r="H30" i="112"/>
  <c r="H31" i="112"/>
  <c r="H32" i="112"/>
  <c r="T29" i="112"/>
  <c r="O33" i="112"/>
  <c r="O34" i="112"/>
  <c r="O35" i="112"/>
  <c r="O36" i="112"/>
  <c r="H33" i="112"/>
  <c r="H34" i="112"/>
  <c r="H35" i="112"/>
  <c r="H36" i="112"/>
  <c r="T33" i="112"/>
  <c r="F31" i="135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31" i="135"/>
  <c r="R37" i="112"/>
  <c r="R41" i="112"/>
  <c r="R45" i="112"/>
  <c r="R49" i="112"/>
  <c r="D32" i="135"/>
  <c r="S37" i="112"/>
  <c r="S41" i="112"/>
  <c r="S45" i="112"/>
  <c r="S49" i="112"/>
  <c r="E32" i="135"/>
  <c r="O37" i="112"/>
  <c r="O38" i="112"/>
  <c r="O39" i="112"/>
  <c r="O40" i="112"/>
  <c r="H37" i="112"/>
  <c r="H38" i="112"/>
  <c r="H39" i="112"/>
  <c r="H40" i="112"/>
  <c r="T37" i="112"/>
  <c r="O41" i="112"/>
  <c r="O42" i="112"/>
  <c r="O43" i="112"/>
  <c r="O44" i="112"/>
  <c r="H41" i="112"/>
  <c r="H42" i="112"/>
  <c r="H43" i="112"/>
  <c r="H44" i="112"/>
  <c r="T41" i="112"/>
  <c r="O45" i="112"/>
  <c r="O46" i="112"/>
  <c r="O47" i="112"/>
  <c r="O48" i="112"/>
  <c r="H45" i="112"/>
  <c r="H46" i="112"/>
  <c r="H47" i="112"/>
  <c r="H48" i="112"/>
  <c r="T45" i="112"/>
  <c r="O49" i="112"/>
  <c r="O50" i="112"/>
  <c r="O51" i="112"/>
  <c r="O52" i="112"/>
  <c r="H49" i="112"/>
  <c r="H50" i="112"/>
  <c r="H51" i="112"/>
  <c r="H52" i="112"/>
  <c r="T49" i="112"/>
  <c r="F32" i="135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32" i="135"/>
  <c r="R53" i="112"/>
  <c r="R57" i="112"/>
  <c r="R61" i="112"/>
  <c r="R65" i="112"/>
  <c r="D33" i="135"/>
  <c r="S53" i="112"/>
  <c r="S57" i="112"/>
  <c r="S61" i="112"/>
  <c r="S65" i="112"/>
  <c r="E33" i="135"/>
  <c r="O53" i="112"/>
  <c r="O54" i="112"/>
  <c r="O55" i="112"/>
  <c r="O56" i="112"/>
  <c r="H53" i="112"/>
  <c r="H54" i="112"/>
  <c r="H55" i="112"/>
  <c r="H56" i="112"/>
  <c r="T53" i="112"/>
  <c r="O57" i="112"/>
  <c r="O58" i="112"/>
  <c r="O59" i="112"/>
  <c r="O60" i="112"/>
  <c r="H57" i="112"/>
  <c r="H58" i="112"/>
  <c r="H59" i="112"/>
  <c r="H60" i="112"/>
  <c r="T57" i="112"/>
  <c r="O61" i="112"/>
  <c r="O62" i="112"/>
  <c r="O63" i="112"/>
  <c r="O64" i="112"/>
  <c r="H61" i="112"/>
  <c r="H62" i="112"/>
  <c r="H63" i="112"/>
  <c r="H64" i="112"/>
  <c r="T61" i="112"/>
  <c r="O65" i="112"/>
  <c r="O66" i="112"/>
  <c r="O67" i="112"/>
  <c r="O68" i="112"/>
  <c r="H65" i="112"/>
  <c r="H66" i="112"/>
  <c r="H67" i="112"/>
  <c r="H68" i="112"/>
  <c r="T65" i="112"/>
  <c r="F33" i="135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33" i="135"/>
  <c r="R69" i="112"/>
  <c r="R73" i="112"/>
  <c r="R77" i="112"/>
  <c r="D34" i="135"/>
  <c r="S69" i="112"/>
  <c r="S73" i="112"/>
  <c r="S77" i="112"/>
  <c r="E34" i="135"/>
  <c r="O69" i="112"/>
  <c r="O70" i="112"/>
  <c r="O71" i="112"/>
  <c r="O72" i="112"/>
  <c r="H69" i="112"/>
  <c r="H70" i="112"/>
  <c r="H71" i="112"/>
  <c r="H72" i="112"/>
  <c r="T69" i="112"/>
  <c r="O73" i="112"/>
  <c r="O74" i="112"/>
  <c r="O75" i="112"/>
  <c r="O76" i="112"/>
  <c r="H73" i="112"/>
  <c r="H74" i="112"/>
  <c r="H75" i="112"/>
  <c r="H76" i="112"/>
  <c r="T73" i="112"/>
  <c r="O77" i="112"/>
  <c r="O78" i="112"/>
  <c r="O79" i="112"/>
  <c r="O80" i="112"/>
  <c r="H77" i="112"/>
  <c r="H78" i="112"/>
  <c r="H79" i="112"/>
  <c r="H80" i="112"/>
  <c r="T77" i="112"/>
  <c r="F34" i="135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34" i="135"/>
  <c r="R81" i="112"/>
  <c r="D35" i="135"/>
  <c r="S81" i="112"/>
  <c r="E35" i="135"/>
  <c r="T81" i="112"/>
  <c r="F35" i="135"/>
  <c r="U81" i="112"/>
  <c r="G35" i="135"/>
  <c r="R87" i="112"/>
  <c r="R91" i="112"/>
  <c r="D36" i="135"/>
  <c r="S87" i="112"/>
  <c r="S91" i="112"/>
  <c r="E36" i="135"/>
  <c r="O87" i="112"/>
  <c r="O88" i="112"/>
  <c r="O89" i="112"/>
  <c r="O90" i="112"/>
  <c r="H87" i="112"/>
  <c r="H88" i="112"/>
  <c r="H89" i="112"/>
  <c r="H90" i="112"/>
  <c r="T87" i="112"/>
  <c r="O91" i="112"/>
  <c r="O92" i="112"/>
  <c r="O93" i="112"/>
  <c r="O94" i="112"/>
  <c r="H91" i="112"/>
  <c r="H92" i="112"/>
  <c r="H93" i="112"/>
  <c r="H94" i="112"/>
  <c r="T91" i="112"/>
  <c r="F36" i="135"/>
  <c r="U87" i="112"/>
  <c r="U88" i="112"/>
  <c r="U89" i="112"/>
  <c r="U90" i="112"/>
  <c r="U91" i="112"/>
  <c r="U92" i="112"/>
  <c r="U93" i="112"/>
  <c r="U94" i="112"/>
  <c r="G36" i="135"/>
  <c r="R95" i="112"/>
  <c r="R99" i="112"/>
  <c r="R103" i="112"/>
  <c r="R107" i="112"/>
  <c r="R111" i="112"/>
  <c r="D37" i="135"/>
  <c r="S95" i="112"/>
  <c r="S99" i="112"/>
  <c r="S103" i="112"/>
  <c r="S107" i="112"/>
  <c r="S111" i="112"/>
  <c r="E37" i="135"/>
  <c r="O95" i="112"/>
  <c r="O96" i="112"/>
  <c r="O97" i="112"/>
  <c r="O98" i="112"/>
  <c r="H95" i="112"/>
  <c r="H96" i="112"/>
  <c r="H97" i="112"/>
  <c r="H98" i="112"/>
  <c r="T95" i="112"/>
  <c r="O99" i="112"/>
  <c r="O100" i="112"/>
  <c r="O101" i="112"/>
  <c r="O102" i="112"/>
  <c r="H99" i="112"/>
  <c r="H100" i="112"/>
  <c r="H101" i="112"/>
  <c r="H102" i="112"/>
  <c r="T99" i="112"/>
  <c r="O103" i="112"/>
  <c r="O104" i="112"/>
  <c r="O105" i="112"/>
  <c r="O106" i="112"/>
  <c r="H103" i="112"/>
  <c r="H104" i="112"/>
  <c r="H105" i="112"/>
  <c r="H106" i="112"/>
  <c r="T103" i="112"/>
  <c r="O107" i="112"/>
  <c r="O108" i="112"/>
  <c r="O109" i="112"/>
  <c r="O110" i="112"/>
  <c r="H107" i="112"/>
  <c r="H108" i="112"/>
  <c r="H109" i="112"/>
  <c r="H110" i="112"/>
  <c r="T107" i="112"/>
  <c r="O111" i="112"/>
  <c r="O112" i="112"/>
  <c r="O113" i="112"/>
  <c r="O114" i="112"/>
  <c r="H111" i="112"/>
  <c r="H112" i="112"/>
  <c r="H113" i="112"/>
  <c r="H114" i="112"/>
  <c r="T111" i="112"/>
  <c r="F37" i="135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G37" i="135"/>
  <c r="R115" i="112"/>
  <c r="R119" i="112"/>
  <c r="R123" i="112"/>
  <c r="R127" i="112"/>
  <c r="D38" i="135"/>
  <c r="S115" i="112"/>
  <c r="S119" i="112"/>
  <c r="S123" i="112"/>
  <c r="S127" i="112"/>
  <c r="E38" i="135"/>
  <c r="O115" i="112"/>
  <c r="O116" i="112"/>
  <c r="O117" i="112"/>
  <c r="O118" i="112"/>
  <c r="H115" i="112"/>
  <c r="H116" i="112"/>
  <c r="H117" i="112"/>
  <c r="H118" i="112"/>
  <c r="T115" i="112"/>
  <c r="O119" i="112"/>
  <c r="O120" i="112"/>
  <c r="O121" i="112"/>
  <c r="O122" i="112"/>
  <c r="H119" i="112"/>
  <c r="H120" i="112"/>
  <c r="H121" i="112"/>
  <c r="H122" i="112"/>
  <c r="T119" i="112"/>
  <c r="O123" i="112"/>
  <c r="O124" i="112"/>
  <c r="O125" i="112"/>
  <c r="O126" i="112"/>
  <c r="H123" i="112"/>
  <c r="H124" i="112"/>
  <c r="H125" i="112"/>
  <c r="H126" i="112"/>
  <c r="T123" i="112"/>
  <c r="O127" i="112"/>
  <c r="O128" i="112"/>
  <c r="O129" i="112"/>
  <c r="O130" i="112"/>
  <c r="H127" i="112"/>
  <c r="H128" i="112"/>
  <c r="H129" i="112"/>
  <c r="H130" i="112"/>
  <c r="T127" i="112"/>
  <c r="F38" i="135"/>
  <c r="U115" i="112"/>
  <c r="U116" i="112"/>
  <c r="U117" i="112"/>
  <c r="U118" i="112"/>
  <c r="U119" i="112"/>
  <c r="U120" i="112"/>
  <c r="U121" i="112"/>
  <c r="U122" i="112"/>
  <c r="U123" i="112"/>
  <c r="U124" i="112"/>
  <c r="U125" i="112"/>
  <c r="U126" i="112"/>
  <c r="U127" i="112"/>
  <c r="U128" i="112"/>
  <c r="U129" i="112"/>
  <c r="U130" i="112"/>
  <c r="G38" i="135"/>
  <c r="R131" i="112"/>
  <c r="R135" i="112"/>
  <c r="R139" i="112"/>
  <c r="R143" i="112"/>
  <c r="D39" i="135"/>
  <c r="S131" i="112"/>
  <c r="S135" i="112"/>
  <c r="S139" i="112"/>
  <c r="S143" i="112"/>
  <c r="E39" i="135"/>
  <c r="O131" i="112"/>
  <c r="O132" i="112"/>
  <c r="O133" i="112"/>
  <c r="O134" i="112"/>
  <c r="H131" i="112"/>
  <c r="H132" i="112"/>
  <c r="H133" i="112"/>
  <c r="H134" i="112"/>
  <c r="T131" i="112"/>
  <c r="O135" i="112"/>
  <c r="O136" i="112"/>
  <c r="O137" i="112"/>
  <c r="O138" i="112"/>
  <c r="H135" i="112"/>
  <c r="H136" i="112"/>
  <c r="H137" i="112"/>
  <c r="H138" i="112"/>
  <c r="T135" i="112"/>
  <c r="O139" i="112"/>
  <c r="O140" i="112"/>
  <c r="O141" i="112"/>
  <c r="O142" i="112"/>
  <c r="H139" i="112"/>
  <c r="H140" i="112"/>
  <c r="H141" i="112"/>
  <c r="H142" i="112"/>
  <c r="T139" i="112"/>
  <c r="O143" i="112"/>
  <c r="O144" i="112"/>
  <c r="O145" i="112"/>
  <c r="O146" i="112"/>
  <c r="H143" i="112"/>
  <c r="H144" i="112"/>
  <c r="H145" i="112"/>
  <c r="H146" i="112"/>
  <c r="T143" i="112"/>
  <c r="F39" i="135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G39" i="135"/>
  <c r="R147" i="112"/>
  <c r="R151" i="112"/>
  <c r="R155" i="112"/>
  <c r="D40" i="135"/>
  <c r="S147" i="112"/>
  <c r="S151" i="112"/>
  <c r="S155" i="112"/>
  <c r="E40" i="135"/>
  <c r="O147" i="112"/>
  <c r="O148" i="112"/>
  <c r="O149" i="112"/>
  <c r="O150" i="112"/>
  <c r="H147" i="112"/>
  <c r="H148" i="112"/>
  <c r="H149" i="112"/>
  <c r="H150" i="112"/>
  <c r="T147" i="112"/>
  <c r="O151" i="112"/>
  <c r="O152" i="112"/>
  <c r="O153" i="112"/>
  <c r="O154" i="112"/>
  <c r="H151" i="112"/>
  <c r="H152" i="112"/>
  <c r="H153" i="112"/>
  <c r="H154" i="112"/>
  <c r="T151" i="112"/>
  <c r="O155" i="112"/>
  <c r="O156" i="112"/>
  <c r="O157" i="112"/>
  <c r="O158" i="112"/>
  <c r="H155" i="112"/>
  <c r="H156" i="112"/>
  <c r="H157" i="112"/>
  <c r="H158" i="112"/>
  <c r="T155" i="112"/>
  <c r="F40" i="135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40" i="135"/>
  <c r="R159" i="112"/>
  <c r="D41" i="135"/>
  <c r="S159" i="112"/>
  <c r="E41" i="135"/>
  <c r="T159" i="112"/>
  <c r="F41" i="135"/>
  <c r="U159" i="112"/>
  <c r="G41" i="135"/>
  <c r="Q87" i="118"/>
  <c r="Q91" i="118"/>
  <c r="Q95" i="118"/>
  <c r="Q99" i="118"/>
  <c r="Q103" i="118"/>
  <c r="Q107" i="118"/>
  <c r="Q111" i="118"/>
  <c r="Q115" i="118"/>
  <c r="Q119" i="118"/>
  <c r="Q123" i="118"/>
  <c r="Q127" i="118"/>
  <c r="Q131" i="118"/>
  <c r="Q135" i="118"/>
  <c r="Q139" i="118"/>
  <c r="Q143" i="118"/>
  <c r="Q147" i="118"/>
  <c r="Q151" i="118"/>
  <c r="Q155" i="118"/>
  <c r="Q159" i="118"/>
  <c r="C55" i="135"/>
  <c r="C54" i="135"/>
  <c r="C53" i="135"/>
  <c r="C52" i="135"/>
  <c r="C51" i="135"/>
  <c r="C50" i="135"/>
  <c r="Q9" i="118"/>
  <c r="Q13" i="118"/>
  <c r="Q17" i="118"/>
  <c r="Q21" i="118"/>
  <c r="Q25" i="118"/>
  <c r="Q29" i="118"/>
  <c r="Q33" i="118"/>
  <c r="Q37" i="118"/>
  <c r="Q41" i="118"/>
  <c r="Q45" i="118"/>
  <c r="Q49" i="118"/>
  <c r="Q53" i="118"/>
  <c r="Q57" i="118"/>
  <c r="Q61" i="118"/>
  <c r="Q65" i="118"/>
  <c r="Q69" i="118"/>
  <c r="Q73" i="118"/>
  <c r="Q77" i="118"/>
  <c r="Q81" i="118"/>
  <c r="C49" i="135"/>
  <c r="C48" i="135"/>
  <c r="C47" i="135"/>
  <c r="C46" i="135"/>
  <c r="C45" i="135"/>
  <c r="C44" i="135"/>
  <c r="Q87" i="112"/>
  <c r="Q91" i="112"/>
  <c r="Q95" i="112"/>
  <c r="Q99" i="112"/>
  <c r="Q103" i="112"/>
  <c r="Q107" i="112"/>
  <c r="Q111" i="112"/>
  <c r="Q115" i="112"/>
  <c r="Q119" i="112"/>
  <c r="Q123" i="112"/>
  <c r="Q127" i="112"/>
  <c r="Q131" i="112"/>
  <c r="Q135" i="112"/>
  <c r="Q139" i="112"/>
  <c r="Q143" i="112"/>
  <c r="Q147" i="112"/>
  <c r="Q151" i="112"/>
  <c r="Q155" i="112"/>
  <c r="Q159" i="112"/>
  <c r="C41" i="135"/>
  <c r="C40" i="135"/>
  <c r="C39" i="135"/>
  <c r="C38" i="135"/>
  <c r="C37" i="135"/>
  <c r="C36" i="135"/>
  <c r="Q9" i="112"/>
  <c r="Q13" i="112"/>
  <c r="Q17" i="112"/>
  <c r="Q21" i="112"/>
  <c r="Q25" i="112"/>
  <c r="Q29" i="112"/>
  <c r="Q33" i="112"/>
  <c r="Q37" i="112"/>
  <c r="Q41" i="112"/>
  <c r="Q45" i="112"/>
  <c r="Q49" i="112"/>
  <c r="Q53" i="112"/>
  <c r="Q57" i="112"/>
  <c r="Q61" i="112"/>
  <c r="Q65" i="112"/>
  <c r="Q69" i="112"/>
  <c r="Q73" i="112"/>
  <c r="Q77" i="112"/>
  <c r="Q81" i="112"/>
  <c r="C35" i="135"/>
  <c r="C34" i="135"/>
  <c r="C33" i="135"/>
  <c r="C32" i="135"/>
  <c r="C31" i="135"/>
  <c r="C30" i="135"/>
  <c r="R87" i="125"/>
  <c r="R91" i="125"/>
  <c r="D15" i="135"/>
  <c r="S87" i="125"/>
  <c r="S91" i="125"/>
  <c r="E15" i="135"/>
  <c r="O87" i="125"/>
  <c r="O88" i="125"/>
  <c r="O89" i="125"/>
  <c r="O90" i="125"/>
  <c r="H87" i="125"/>
  <c r="H88" i="125"/>
  <c r="H89" i="125"/>
  <c r="H90" i="125"/>
  <c r="T87" i="125"/>
  <c r="O91" i="125"/>
  <c r="O92" i="125"/>
  <c r="O93" i="125"/>
  <c r="O94" i="125"/>
  <c r="H91" i="125"/>
  <c r="H92" i="125"/>
  <c r="H93" i="125"/>
  <c r="H94" i="125"/>
  <c r="T91" i="125"/>
  <c r="F15" i="135"/>
  <c r="U87" i="125"/>
  <c r="U88" i="125"/>
  <c r="U89" i="125"/>
  <c r="U90" i="125"/>
  <c r="U91" i="125"/>
  <c r="U92" i="125"/>
  <c r="U93" i="125"/>
  <c r="U94" i="125"/>
  <c r="G15" i="135"/>
  <c r="R95" i="125"/>
  <c r="R99" i="125"/>
  <c r="R103" i="125"/>
  <c r="R107" i="125"/>
  <c r="R111" i="125"/>
  <c r="D16" i="135"/>
  <c r="S95" i="125"/>
  <c r="S99" i="125"/>
  <c r="S103" i="125"/>
  <c r="S107" i="125"/>
  <c r="S111" i="125"/>
  <c r="E16" i="135"/>
  <c r="O95" i="125"/>
  <c r="O96" i="125"/>
  <c r="O97" i="125"/>
  <c r="O98" i="125"/>
  <c r="H95" i="125"/>
  <c r="H96" i="125"/>
  <c r="H97" i="125"/>
  <c r="H98" i="125"/>
  <c r="T95" i="125"/>
  <c r="O99" i="125"/>
  <c r="O100" i="125"/>
  <c r="O101" i="125"/>
  <c r="O102" i="125"/>
  <c r="H99" i="125"/>
  <c r="H100" i="125"/>
  <c r="H101" i="125"/>
  <c r="H102" i="125"/>
  <c r="T99" i="125"/>
  <c r="O103" i="125"/>
  <c r="O104" i="125"/>
  <c r="O105" i="125"/>
  <c r="O106" i="125"/>
  <c r="H103" i="125"/>
  <c r="H104" i="125"/>
  <c r="H105" i="125"/>
  <c r="H106" i="125"/>
  <c r="T103" i="125"/>
  <c r="O107" i="125"/>
  <c r="O108" i="125"/>
  <c r="O109" i="125"/>
  <c r="O110" i="125"/>
  <c r="H107" i="125"/>
  <c r="H108" i="125"/>
  <c r="H109" i="125"/>
  <c r="H110" i="125"/>
  <c r="T107" i="125"/>
  <c r="O111" i="125"/>
  <c r="O112" i="125"/>
  <c r="O113" i="125"/>
  <c r="O114" i="125"/>
  <c r="H111" i="125"/>
  <c r="H112" i="125"/>
  <c r="H113" i="125"/>
  <c r="H114" i="125"/>
  <c r="T111" i="125"/>
  <c r="F16" i="135"/>
  <c r="U95" i="125"/>
  <c r="U96" i="125"/>
  <c r="U97" i="125"/>
  <c r="U98" i="125"/>
  <c r="U99" i="125"/>
  <c r="U100" i="125"/>
  <c r="U101" i="125"/>
  <c r="U102" i="125"/>
  <c r="U103" i="125"/>
  <c r="U104" i="125"/>
  <c r="U105" i="125"/>
  <c r="U106" i="125"/>
  <c r="U107" i="125"/>
  <c r="U108" i="125"/>
  <c r="U109" i="125"/>
  <c r="U110" i="125"/>
  <c r="U111" i="125"/>
  <c r="U112" i="125"/>
  <c r="U113" i="125"/>
  <c r="U114" i="125"/>
  <c r="G16" i="135"/>
  <c r="R115" i="125"/>
  <c r="R119" i="125"/>
  <c r="R123" i="125"/>
  <c r="R127" i="125"/>
  <c r="D17" i="135"/>
  <c r="S115" i="125"/>
  <c r="S119" i="125"/>
  <c r="S123" i="125"/>
  <c r="S127" i="125"/>
  <c r="E17" i="135"/>
  <c r="O115" i="125"/>
  <c r="O116" i="125"/>
  <c r="O117" i="125"/>
  <c r="O118" i="125"/>
  <c r="H115" i="125"/>
  <c r="H116" i="125"/>
  <c r="H117" i="125"/>
  <c r="H118" i="125"/>
  <c r="T115" i="125"/>
  <c r="O119" i="125"/>
  <c r="O120" i="125"/>
  <c r="O121" i="125"/>
  <c r="O122" i="125"/>
  <c r="H119" i="125"/>
  <c r="H120" i="125"/>
  <c r="H121" i="125"/>
  <c r="H122" i="125"/>
  <c r="T119" i="125"/>
  <c r="O123" i="125"/>
  <c r="O124" i="125"/>
  <c r="O125" i="125"/>
  <c r="O126" i="125"/>
  <c r="H123" i="125"/>
  <c r="H124" i="125"/>
  <c r="H125" i="125"/>
  <c r="H126" i="125"/>
  <c r="T123" i="125"/>
  <c r="O127" i="125"/>
  <c r="O128" i="125"/>
  <c r="O129" i="125"/>
  <c r="O130" i="125"/>
  <c r="H127" i="125"/>
  <c r="H128" i="125"/>
  <c r="H129" i="125"/>
  <c r="H130" i="125"/>
  <c r="T127" i="125"/>
  <c r="F17" i="135"/>
  <c r="U115" i="125"/>
  <c r="U116" i="125"/>
  <c r="U117" i="125"/>
  <c r="U118" i="125"/>
  <c r="U119" i="125"/>
  <c r="U120" i="125"/>
  <c r="U121" i="125"/>
  <c r="U122" i="125"/>
  <c r="U123" i="125"/>
  <c r="U124" i="125"/>
  <c r="U125" i="125"/>
  <c r="U126" i="125"/>
  <c r="U127" i="125"/>
  <c r="U128" i="125"/>
  <c r="U129" i="125"/>
  <c r="U130" i="125"/>
  <c r="G17" i="135"/>
  <c r="R131" i="125"/>
  <c r="R135" i="125"/>
  <c r="R139" i="125"/>
  <c r="R143" i="125"/>
  <c r="D18" i="135"/>
  <c r="S131" i="125"/>
  <c r="S135" i="125"/>
  <c r="S139" i="125"/>
  <c r="S143" i="125"/>
  <c r="E18" i="135"/>
  <c r="O131" i="125"/>
  <c r="O132" i="125"/>
  <c r="O133" i="125"/>
  <c r="O134" i="125"/>
  <c r="H131" i="125"/>
  <c r="H132" i="125"/>
  <c r="H133" i="125"/>
  <c r="H134" i="125"/>
  <c r="T131" i="125"/>
  <c r="O135" i="125"/>
  <c r="O136" i="125"/>
  <c r="O137" i="125"/>
  <c r="O138" i="125"/>
  <c r="H135" i="125"/>
  <c r="H136" i="125"/>
  <c r="H137" i="125"/>
  <c r="H138" i="125"/>
  <c r="T135" i="125"/>
  <c r="O139" i="125"/>
  <c r="O140" i="125"/>
  <c r="O141" i="125"/>
  <c r="O142" i="125"/>
  <c r="H139" i="125"/>
  <c r="H140" i="125"/>
  <c r="H141" i="125"/>
  <c r="H142" i="125"/>
  <c r="T139" i="125"/>
  <c r="O143" i="125"/>
  <c r="O144" i="125"/>
  <c r="O145" i="125"/>
  <c r="O146" i="125"/>
  <c r="H143" i="125"/>
  <c r="H144" i="125"/>
  <c r="H145" i="125"/>
  <c r="H146" i="125"/>
  <c r="T143" i="125"/>
  <c r="F18" i="135"/>
  <c r="U131" i="125"/>
  <c r="U132" i="125"/>
  <c r="U133" i="125"/>
  <c r="U134" i="125"/>
  <c r="U135" i="125"/>
  <c r="U136" i="125"/>
  <c r="U137" i="125"/>
  <c r="U138" i="125"/>
  <c r="U139" i="125"/>
  <c r="U140" i="125"/>
  <c r="U141" i="125"/>
  <c r="U142" i="125"/>
  <c r="U143" i="125"/>
  <c r="U144" i="125"/>
  <c r="U145" i="125"/>
  <c r="U146" i="125"/>
  <c r="G18" i="135"/>
  <c r="R147" i="125"/>
  <c r="R151" i="125"/>
  <c r="R155" i="125"/>
  <c r="D19" i="135"/>
  <c r="S147" i="125"/>
  <c r="S151" i="125"/>
  <c r="S155" i="125"/>
  <c r="E19" i="135"/>
  <c r="O147" i="125"/>
  <c r="O148" i="125"/>
  <c r="O149" i="125"/>
  <c r="O150" i="125"/>
  <c r="H147" i="125"/>
  <c r="H148" i="125"/>
  <c r="H149" i="125"/>
  <c r="H150" i="125"/>
  <c r="T147" i="125"/>
  <c r="O151" i="125"/>
  <c r="O152" i="125"/>
  <c r="O153" i="125"/>
  <c r="O154" i="125"/>
  <c r="H151" i="125"/>
  <c r="H152" i="125"/>
  <c r="H153" i="125"/>
  <c r="H154" i="125"/>
  <c r="T151" i="125"/>
  <c r="O155" i="125"/>
  <c r="O156" i="125"/>
  <c r="O157" i="125"/>
  <c r="O158" i="125"/>
  <c r="H155" i="125"/>
  <c r="H156" i="125"/>
  <c r="H157" i="125"/>
  <c r="H158" i="125"/>
  <c r="T155" i="125"/>
  <c r="F19" i="135"/>
  <c r="U147" i="125"/>
  <c r="U148" i="125"/>
  <c r="U149" i="125"/>
  <c r="U150" i="125"/>
  <c r="U151" i="125"/>
  <c r="U152" i="125"/>
  <c r="U153" i="125"/>
  <c r="U154" i="125"/>
  <c r="U155" i="125"/>
  <c r="U156" i="125"/>
  <c r="U157" i="125"/>
  <c r="U158" i="125"/>
  <c r="G19" i="135"/>
  <c r="R159" i="125"/>
  <c r="D20" i="135"/>
  <c r="S159" i="125"/>
  <c r="E20" i="135"/>
  <c r="T159" i="125"/>
  <c r="F20" i="135"/>
  <c r="U159" i="125"/>
  <c r="G20" i="135"/>
  <c r="Q87" i="125"/>
  <c r="Q91" i="125"/>
  <c r="Q95" i="125"/>
  <c r="Q99" i="125"/>
  <c r="Q103" i="125"/>
  <c r="Q107" i="125"/>
  <c r="Q111" i="125"/>
  <c r="Q115" i="125"/>
  <c r="Q119" i="125"/>
  <c r="Q123" i="125"/>
  <c r="Q127" i="125"/>
  <c r="Q131" i="125"/>
  <c r="Q135" i="125"/>
  <c r="Q139" i="125"/>
  <c r="Q143" i="125"/>
  <c r="Q147" i="125"/>
  <c r="Q151" i="125"/>
  <c r="Q155" i="125"/>
  <c r="Q159" i="125"/>
  <c r="C20" i="135"/>
  <c r="C19" i="135"/>
  <c r="C18" i="135"/>
  <c r="C17" i="135"/>
  <c r="C16" i="135"/>
  <c r="C15" i="135"/>
  <c r="R9" i="125"/>
  <c r="R13" i="125"/>
  <c r="R17" i="125"/>
  <c r="R21" i="125"/>
  <c r="R25" i="125"/>
  <c r="R29" i="125"/>
  <c r="R33" i="125"/>
  <c r="R37" i="125"/>
  <c r="R41" i="125"/>
  <c r="R45" i="125"/>
  <c r="R49" i="125"/>
  <c r="R53" i="125"/>
  <c r="R57" i="125"/>
  <c r="R61" i="125"/>
  <c r="R65" i="125"/>
  <c r="R69" i="125"/>
  <c r="R73" i="125"/>
  <c r="R77" i="125"/>
  <c r="R81" i="125"/>
  <c r="D14" i="135"/>
  <c r="S9" i="125"/>
  <c r="S13" i="125"/>
  <c r="S17" i="125"/>
  <c r="S21" i="125"/>
  <c r="S25" i="125"/>
  <c r="S29" i="125"/>
  <c r="S33" i="125"/>
  <c r="S37" i="125"/>
  <c r="S41" i="125"/>
  <c r="S45" i="125"/>
  <c r="S49" i="125"/>
  <c r="S53" i="125"/>
  <c r="S57" i="125"/>
  <c r="S61" i="125"/>
  <c r="S65" i="125"/>
  <c r="S69" i="125"/>
  <c r="S73" i="125"/>
  <c r="S77" i="125"/>
  <c r="S81" i="125"/>
  <c r="E14" i="135"/>
  <c r="O9" i="125"/>
  <c r="O10" i="125"/>
  <c r="O11" i="125"/>
  <c r="O12" i="125"/>
  <c r="H9" i="125"/>
  <c r="H10" i="125"/>
  <c r="H11" i="125"/>
  <c r="H12" i="125"/>
  <c r="T9" i="125"/>
  <c r="O13" i="125"/>
  <c r="O14" i="125"/>
  <c r="O15" i="125"/>
  <c r="O16" i="125"/>
  <c r="H13" i="125"/>
  <c r="H14" i="125"/>
  <c r="H15" i="125"/>
  <c r="H16" i="125"/>
  <c r="T13" i="125"/>
  <c r="O17" i="125"/>
  <c r="O18" i="125"/>
  <c r="O19" i="125"/>
  <c r="O20" i="125"/>
  <c r="H17" i="125"/>
  <c r="H18" i="125"/>
  <c r="H19" i="125"/>
  <c r="H20" i="125"/>
  <c r="T17" i="125"/>
  <c r="O21" i="125"/>
  <c r="O22" i="125"/>
  <c r="O23" i="125"/>
  <c r="O24" i="125"/>
  <c r="H21" i="125"/>
  <c r="H22" i="125"/>
  <c r="H23" i="125"/>
  <c r="H24" i="125"/>
  <c r="T21" i="125"/>
  <c r="O25" i="125"/>
  <c r="O26" i="125"/>
  <c r="O27" i="125"/>
  <c r="O28" i="125"/>
  <c r="H25" i="125"/>
  <c r="H26" i="125"/>
  <c r="H27" i="125"/>
  <c r="H28" i="125"/>
  <c r="T25" i="125"/>
  <c r="O29" i="125"/>
  <c r="O30" i="125"/>
  <c r="O31" i="125"/>
  <c r="O32" i="125"/>
  <c r="H29" i="125"/>
  <c r="H30" i="125"/>
  <c r="H31" i="125"/>
  <c r="H32" i="125"/>
  <c r="T29" i="125"/>
  <c r="O33" i="125"/>
  <c r="O34" i="125"/>
  <c r="O35" i="125"/>
  <c r="O36" i="125"/>
  <c r="H33" i="125"/>
  <c r="H34" i="125"/>
  <c r="H35" i="125"/>
  <c r="H36" i="125"/>
  <c r="T33" i="125"/>
  <c r="O37" i="125"/>
  <c r="O38" i="125"/>
  <c r="O39" i="125"/>
  <c r="O40" i="125"/>
  <c r="H37" i="125"/>
  <c r="H38" i="125"/>
  <c r="H39" i="125"/>
  <c r="H40" i="125"/>
  <c r="T37" i="125"/>
  <c r="O41" i="125"/>
  <c r="O42" i="125"/>
  <c r="O43" i="125"/>
  <c r="O44" i="125"/>
  <c r="H41" i="125"/>
  <c r="H42" i="125"/>
  <c r="H43" i="125"/>
  <c r="H44" i="125"/>
  <c r="T41" i="125"/>
  <c r="O45" i="125"/>
  <c r="O46" i="125"/>
  <c r="O47" i="125"/>
  <c r="O48" i="125"/>
  <c r="H45" i="125"/>
  <c r="H46" i="125"/>
  <c r="H47" i="125"/>
  <c r="H48" i="125"/>
  <c r="T45" i="125"/>
  <c r="O49" i="125"/>
  <c r="O50" i="125"/>
  <c r="O51" i="125"/>
  <c r="O52" i="125"/>
  <c r="H49" i="125"/>
  <c r="H50" i="125"/>
  <c r="H51" i="125"/>
  <c r="H52" i="125"/>
  <c r="T49" i="125"/>
  <c r="O53" i="125"/>
  <c r="O54" i="125"/>
  <c r="O55" i="125"/>
  <c r="O56" i="125"/>
  <c r="H53" i="125"/>
  <c r="H54" i="125"/>
  <c r="H55" i="125"/>
  <c r="H56" i="125"/>
  <c r="T53" i="125"/>
  <c r="O57" i="125"/>
  <c r="O58" i="125"/>
  <c r="O59" i="125"/>
  <c r="O60" i="125"/>
  <c r="H57" i="125"/>
  <c r="H58" i="125"/>
  <c r="H59" i="125"/>
  <c r="H60" i="125"/>
  <c r="T57" i="125"/>
  <c r="O61" i="125"/>
  <c r="O62" i="125"/>
  <c r="O63" i="125"/>
  <c r="O64" i="125"/>
  <c r="H61" i="125"/>
  <c r="H62" i="125"/>
  <c r="H63" i="125"/>
  <c r="H64" i="125"/>
  <c r="T61" i="125"/>
  <c r="O65" i="125"/>
  <c r="O66" i="125"/>
  <c r="O67" i="125"/>
  <c r="O68" i="125"/>
  <c r="H65" i="125"/>
  <c r="H66" i="125"/>
  <c r="H67" i="125"/>
  <c r="H68" i="125"/>
  <c r="T65" i="125"/>
  <c r="O69" i="125"/>
  <c r="O70" i="125"/>
  <c r="O71" i="125"/>
  <c r="O72" i="125"/>
  <c r="H69" i="125"/>
  <c r="H70" i="125"/>
  <c r="H71" i="125"/>
  <c r="H72" i="125"/>
  <c r="T69" i="125"/>
  <c r="O73" i="125"/>
  <c r="O74" i="125"/>
  <c r="O75" i="125"/>
  <c r="O76" i="125"/>
  <c r="H73" i="125"/>
  <c r="H74" i="125"/>
  <c r="H75" i="125"/>
  <c r="H76" i="125"/>
  <c r="T73" i="125"/>
  <c r="O77" i="125"/>
  <c r="O78" i="125"/>
  <c r="O79" i="125"/>
  <c r="O80" i="125"/>
  <c r="H77" i="125"/>
  <c r="H78" i="125"/>
  <c r="H79" i="125"/>
  <c r="H80" i="125"/>
  <c r="T77" i="125"/>
  <c r="T81" i="125"/>
  <c r="F14" i="135"/>
  <c r="U9" i="125"/>
  <c r="U10" i="125"/>
  <c r="U11" i="125"/>
  <c r="U12" i="125"/>
  <c r="U13" i="125"/>
  <c r="U14" i="125"/>
  <c r="U15" i="125"/>
  <c r="U16" i="125"/>
  <c r="U17" i="125"/>
  <c r="U18" i="125"/>
  <c r="U19" i="125"/>
  <c r="U20" i="125"/>
  <c r="U21" i="125"/>
  <c r="U22" i="125"/>
  <c r="U23" i="125"/>
  <c r="U24" i="125"/>
  <c r="U25" i="125"/>
  <c r="U26" i="125"/>
  <c r="U27" i="125"/>
  <c r="U28" i="125"/>
  <c r="U29" i="125"/>
  <c r="U30" i="125"/>
  <c r="U31" i="125"/>
  <c r="U32" i="125"/>
  <c r="U33" i="125"/>
  <c r="U34" i="125"/>
  <c r="U35" i="125"/>
  <c r="U36" i="125"/>
  <c r="U37" i="125"/>
  <c r="U38" i="125"/>
  <c r="U39" i="125"/>
  <c r="U40" i="125"/>
  <c r="U41" i="125"/>
  <c r="U42" i="125"/>
  <c r="U43" i="125"/>
  <c r="U44" i="125"/>
  <c r="U45" i="125"/>
  <c r="U46" i="125"/>
  <c r="U47" i="125"/>
  <c r="U48" i="125"/>
  <c r="U49" i="125"/>
  <c r="U50" i="125"/>
  <c r="U51" i="125"/>
  <c r="U52" i="125"/>
  <c r="U53" i="125"/>
  <c r="U54" i="125"/>
  <c r="U55" i="125"/>
  <c r="U56" i="125"/>
  <c r="U57" i="125"/>
  <c r="U58" i="125"/>
  <c r="U59" i="125"/>
  <c r="U60" i="125"/>
  <c r="U61" i="125"/>
  <c r="U62" i="125"/>
  <c r="U63" i="125"/>
  <c r="U64" i="125"/>
  <c r="U65" i="125"/>
  <c r="U66" i="125"/>
  <c r="U67" i="125"/>
  <c r="U68" i="125"/>
  <c r="U69" i="125"/>
  <c r="U70" i="125"/>
  <c r="U71" i="125"/>
  <c r="U72" i="125"/>
  <c r="U73" i="125"/>
  <c r="U74" i="125"/>
  <c r="U75" i="125"/>
  <c r="U76" i="125"/>
  <c r="U77" i="125"/>
  <c r="U78" i="125"/>
  <c r="U79" i="125"/>
  <c r="U80" i="125"/>
  <c r="U81" i="125"/>
  <c r="G14" i="135"/>
  <c r="Q17" i="125"/>
  <c r="Q21" i="125"/>
  <c r="Q25" i="125"/>
  <c r="Q29" i="125"/>
  <c r="Q33" i="125"/>
  <c r="Q37" i="125"/>
  <c r="Q41" i="125"/>
  <c r="Q45" i="125"/>
  <c r="Q49" i="125"/>
  <c r="Q53" i="125"/>
  <c r="Q57" i="125"/>
  <c r="Q61" i="125"/>
  <c r="Q65" i="125"/>
  <c r="Q69" i="125"/>
  <c r="Q73" i="125"/>
  <c r="Q77" i="125"/>
  <c r="Q81" i="125"/>
  <c r="C14" i="135"/>
  <c r="D13" i="135"/>
  <c r="E13" i="135"/>
  <c r="F13" i="135"/>
  <c r="G13" i="135"/>
  <c r="C13" i="135"/>
  <c r="D12" i="135"/>
  <c r="E12" i="135"/>
  <c r="F12" i="135"/>
  <c r="G12" i="135"/>
  <c r="C12" i="135"/>
  <c r="D11" i="135"/>
  <c r="E11" i="135"/>
  <c r="F11" i="135"/>
  <c r="G11" i="135"/>
  <c r="C11" i="135"/>
  <c r="D10" i="135"/>
  <c r="E10" i="135"/>
  <c r="F10" i="135"/>
  <c r="G10" i="135"/>
  <c r="C10" i="135"/>
  <c r="D9" i="135"/>
  <c r="E9" i="135"/>
  <c r="F9" i="135"/>
  <c r="G9" i="135"/>
  <c r="T177" i="69"/>
  <c r="N177" i="69"/>
  <c r="G177" i="69"/>
  <c r="T176" i="69"/>
  <c r="N176" i="69"/>
  <c r="G176" i="69"/>
  <c r="T175" i="69"/>
  <c r="N175" i="69"/>
  <c r="G175" i="69"/>
  <c r="T174" i="69"/>
  <c r="R174" i="69"/>
  <c r="P174" i="69"/>
  <c r="Q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Q138" i="69"/>
  <c r="Q162" i="69"/>
  <c r="Q154" i="69"/>
  <c r="P146" i="69"/>
  <c r="S146" i="69"/>
  <c r="P154" i="69"/>
  <c r="Q146" i="69"/>
  <c r="Q142" i="69"/>
  <c r="P142" i="69"/>
  <c r="Q150" i="69"/>
  <c r="S166" i="69"/>
  <c r="R150" i="69"/>
  <c r="R142" i="69"/>
  <c r="S158" i="69"/>
  <c r="P170" i="69"/>
  <c r="R146" i="69"/>
  <c r="S154" i="69"/>
  <c r="Q170" i="69"/>
  <c r="P150" i="69"/>
  <c r="R138" i="69"/>
  <c r="R166" i="69"/>
  <c r="Q166" i="69"/>
  <c r="S162" i="69"/>
  <c r="P158" i="69"/>
  <c r="R170" i="69"/>
  <c r="S174" i="69"/>
  <c r="S170" i="69"/>
  <c r="P138" i="69"/>
  <c r="S150" i="69"/>
  <c r="R154" i="69"/>
  <c r="P166" i="69"/>
  <c r="Q158" i="69"/>
  <c r="R158" i="69"/>
  <c r="R162" i="69"/>
  <c r="P162" i="69"/>
  <c r="S142" i="69"/>
  <c r="P178" i="69"/>
  <c r="Q178" i="69"/>
  <c r="R17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S138" i="69"/>
  <c r="R130" i="69"/>
  <c r="Q130" i="69"/>
  <c r="P130" i="69"/>
  <c r="S178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R126" i="69"/>
  <c r="S114" i="69"/>
  <c r="Q102" i="69"/>
  <c r="Q110" i="69"/>
  <c r="S102" i="69"/>
  <c r="S118" i="69"/>
  <c r="R102" i="69"/>
  <c r="R118" i="69"/>
  <c r="S110" i="69"/>
  <c r="Q106" i="69"/>
  <c r="P98" i="69"/>
  <c r="Q126" i="69"/>
  <c r="Q114" i="69"/>
  <c r="S122" i="69"/>
  <c r="R98" i="69"/>
  <c r="R94" i="69"/>
  <c r="R110" i="69"/>
  <c r="S130" i="69"/>
  <c r="P114" i="69"/>
  <c r="P110" i="69"/>
  <c r="S126" i="69"/>
  <c r="S106" i="69"/>
  <c r="P118" i="69"/>
  <c r="Q98" i="69"/>
  <c r="R106" i="69"/>
  <c r="R114" i="69"/>
  <c r="P126" i="69"/>
  <c r="P102" i="69"/>
  <c r="R122" i="69"/>
  <c r="S98" i="69"/>
  <c r="P106" i="69"/>
  <c r="Q122" i="69"/>
  <c r="Q118" i="69"/>
  <c r="P94" i="69"/>
  <c r="P122" i="69"/>
  <c r="Q94" i="69"/>
  <c r="P134" i="69"/>
  <c r="Q134" i="69"/>
  <c r="R13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S94" i="69"/>
  <c r="R86" i="69"/>
  <c r="Q86" i="69"/>
  <c r="P86" i="69"/>
  <c r="S134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R78" i="69"/>
  <c r="S70" i="69"/>
  <c r="S78" i="69"/>
  <c r="S58" i="69"/>
  <c r="Q82" i="69"/>
  <c r="Q74" i="69"/>
  <c r="Q50" i="69"/>
  <c r="P74" i="69"/>
  <c r="R66" i="69"/>
  <c r="Q70" i="69"/>
  <c r="P66" i="69"/>
  <c r="R82" i="69"/>
  <c r="P62" i="69"/>
  <c r="S62" i="69"/>
  <c r="Q58" i="69"/>
  <c r="R74" i="69"/>
  <c r="S66" i="69"/>
  <c r="Q54" i="69"/>
  <c r="P50" i="69"/>
  <c r="R62" i="69"/>
  <c r="R70" i="69"/>
  <c r="R58" i="69"/>
  <c r="P70" i="69"/>
  <c r="R54" i="69"/>
  <c r="S74" i="69"/>
  <c r="Q66" i="69"/>
  <c r="P54" i="69"/>
  <c r="S82" i="69"/>
  <c r="S86" i="69"/>
  <c r="S54" i="69"/>
  <c r="Q78" i="69"/>
  <c r="P58" i="69"/>
  <c r="P78" i="69"/>
  <c r="P82" i="69"/>
  <c r="Q62" i="69"/>
  <c r="R50" i="69"/>
  <c r="P90" i="69"/>
  <c r="Q90" i="69"/>
  <c r="R90" i="69"/>
  <c r="T90" i="69"/>
  <c r="N50" i="69"/>
  <c r="S50" i="69"/>
  <c r="S9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S20" i="69"/>
  <c r="Q32" i="69"/>
  <c r="S40" i="69"/>
  <c r="Q12" i="69"/>
  <c r="Q36" i="69"/>
  <c r="P4" i="69"/>
  <c r="S32" i="69"/>
  <c r="P16" i="69"/>
  <c r="P24" i="69"/>
  <c r="S8" i="69"/>
  <c r="Q4" i="69"/>
  <c r="Q20" i="69"/>
  <c r="R8" i="69"/>
  <c r="S16" i="69"/>
  <c r="R24" i="69"/>
  <c r="P20" i="69"/>
  <c r="P36" i="69"/>
  <c r="S4" i="69"/>
  <c r="P40" i="69"/>
  <c r="S28" i="69"/>
  <c r="R32" i="69"/>
  <c r="Q40" i="69"/>
  <c r="R12" i="69"/>
  <c r="P28" i="69"/>
  <c r="Q24" i="69"/>
  <c r="R28" i="69"/>
  <c r="Q16" i="69"/>
  <c r="R16" i="69"/>
  <c r="P8" i="69"/>
  <c r="S24" i="69"/>
  <c r="P12" i="69"/>
  <c r="Q8" i="69"/>
  <c r="R36" i="69"/>
  <c r="P32" i="69"/>
  <c r="R4" i="69"/>
  <c r="Q28" i="69"/>
  <c r="S12" i="69"/>
  <c r="R20" i="69"/>
  <c r="S36" i="69"/>
  <c r="R40" i="69"/>
  <c r="T44" i="69"/>
  <c r="R44" i="69"/>
  <c r="Q44" i="69"/>
  <c r="P44" i="69"/>
  <c r="S44" i="69"/>
</calcChain>
</file>

<file path=xl/sharedStrings.xml><?xml version="1.0" encoding="utf-8"?>
<sst xmlns="http://schemas.openxmlformats.org/spreadsheetml/2006/main" count="1039" uniqueCount="142">
  <si>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</si>
  <si>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</si>
  <si>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</si>
  <si>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</si>
  <si>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</si>
  <si>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</si>
  <si>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</si>
  <si>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</si>
  <si>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</si>
  <si>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</si>
  <si>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</si>
  <si>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</si>
  <si>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</si>
  <si>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</si>
  <si>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</si>
  <si>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</si>
  <si>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</si>
  <si>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</si>
  <si>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</si>
  <si>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</si>
  <si>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</si>
  <si>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</si>
  <si>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</si>
  <si>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</si>
  <si>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</si>
  <si>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</si>
  <si>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</si>
  <si>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</si>
  <si>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</si>
  <si>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</si>
  <si>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</si>
  <si>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</si>
  <si>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</si>
  <si>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</si>
  <si>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</si>
  <si>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</si>
  <si>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</si>
  <si>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</si>
  <si>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</si>
  <si>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</si>
  <si>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</si>
  <si>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</si>
  <si>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</si>
  <si>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</si>
  <si>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</si>
  <si>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</si>
  <si>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</si>
  <si>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</si>
  <si>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</si>
  <si>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</si>
  <si>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</si>
  <si>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</si>
  <si>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</si>
  <si>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</si>
  <si>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</si>
  <si>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</si>
  <si>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</si>
  <si>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</si>
  <si>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</si>
  <si>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</si>
  <si>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</si>
  <si>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</si>
  <si>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</si>
  <si>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</si>
  <si>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</si>
  <si>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</si>
  <si>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</si>
  <si>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</si>
  <si>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</si>
  <si>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</si>
  <si>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</si>
  <si>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</si>
  <si>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</si>
  <si>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</si>
  <si>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</si>
  <si>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</si>
  <si>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</si>
  <si>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X264vsQY265_offline_veryfast</t>
  </si>
  <si>
    <t>X264vsQY265_offline_slow</t>
  </si>
  <si>
    <t>Average</t>
  </si>
  <si>
    <t>BDRATE-Q</t>
  </si>
  <si>
    <t>X264vsQY265_zerolaten_veryfast</t>
    <phoneticPr fontId="5" type="noConversion"/>
  </si>
  <si>
    <t>X264vsQY265_offline_placebo</t>
    <phoneticPr fontId="5" type="noConversion"/>
  </si>
  <si>
    <t>X265vsQY265_offline_slow</t>
  </si>
  <si>
    <t>X265vsQY265_zerolaten_ultrafast</t>
    <phoneticPr fontId="5" type="noConversion"/>
  </si>
  <si>
    <t>X265vsQY265_offline_ultrafast</t>
    <phoneticPr fontId="5" type="noConversion"/>
  </si>
  <si>
    <t>本测试为X264与QY265v2.3.3版本实时通信编码对比测试，测试设备为台式机（Win7操作系统，i5-4670四核CPU，8G内存），采取cbr模式编码、veryfast档次、单线程模式编码</t>
  </si>
  <si>
    <t xml:space="preserve">q265 veryfast v2.3.3 threads 1 </t>
  </si>
  <si>
    <t>本测试为X264与QY265v2.3.3版本实时通信编码对比测试，测试设备为台式机（Win7操作系统，i5-4670四核CPU，8G内存），采取cbr模式编码、veryfast档次、满线程模式编码</t>
  </si>
  <si>
    <t>本测试为X264与QY265v2.3.3版本离线编码对比测试，测试设备为台式机（Win7操作系统，i5-4670四核CPU，8G内存），采取cbr模式编码、veryfast档次、单线程模式编码</t>
  </si>
  <si>
    <t>本测试为X264与QY265v2.3.3版本离线编码对比测试，测试设备为台式机（Win7操作系统，i5-4670四核CPU，8G内存），采取cbr模式编码、veryfast档次、满线程模式编码</t>
  </si>
  <si>
    <t>本测试为X264与QY265v2.3.3版本离线编码对比测试，测试设备为台式机（Win7操作系统，i5-4670四核CPU，8G内存），采取cbr模式编码、slow档次、单线程模式编码</t>
  </si>
  <si>
    <t xml:space="preserve">q265 slow v2.3.3 threads 1 </t>
  </si>
  <si>
    <t>本测试为X264与QY265v2.3.3版本离线编码对比测试，测试设备为台式机（Win7操作系统，i5-4670四核CPU，8G内存），采取cbr模式编码、slow档次、满线程模式编码</t>
  </si>
  <si>
    <t>本测试为X264与QY265v2.3.3版本离线编码对比测试，测试设备为台式机（Win7操作系统，i5-4670四核CPU，8G内存），采取cbr模式编码、placebo档次、满线程模式编码</t>
  </si>
  <si>
    <t>q265 veryslow v2.3.3 threads 0</t>
  </si>
  <si>
    <t>x265 slow threads 0</t>
  </si>
  <si>
    <t>q265 slow v2.3.3 threads 0</t>
  </si>
  <si>
    <t>q265 veryfast v2.3.3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</si>
  <si>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</si>
  <si>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</si>
  <si>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</si>
  <si>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</si>
  <si>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</si>
  <si>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本测试为x265v2.1版本与QY265v2.3.3版本离线编码对比测试，测试设备为台式机（Win7操作系统，i5-4670四核CPU，8G内存），采取cbr模式编码、veryslow档次、满线程模式编码</t>
  </si>
  <si>
    <t>本测试为x265v2.1版本与QY265v2.3.3版本离线编码对比测试，测试设备为台式机（Win7操作系统，i5-4670四核CPU，8G内存），采取cbr模式编码、slow档次、单线程模式编码</t>
  </si>
  <si>
    <t>本测试为x265v2.1版本与QY265v2.3.3版本离线编码对比测试，测试设备为台式机（Win7操作系统，i5-4670四核CPU，8G内存），采取cbr模式编码、slow档次、满线程模式编码</t>
  </si>
  <si>
    <t>本测试为x265v2.1版本与QY265v2.3.3版本离线编码对比测试，测试设备为台式机（Win7操作系统，i5-4670四核CPU，8G内存），采取cbr模式编码、ultrafast档次、单线程模式编码</t>
  </si>
  <si>
    <t>本测试为x265v2.1版本与QY265v2.3.3版本离线编码对比测试，测试设备为台式机（Win7操作系统，i5-4670四核CPU，8G内存），采取cbr模式编码、ultrafast档次、满线程模式编码</t>
  </si>
  <si>
    <t>本测试为x265v2.1版本与QY265v2.3.3版本实时通信编码对比测试，测试设备为台式机（Win7操作系统，i5-4670四核CPU，8G内存），采取cbr模式编码、ultrafast档次、单线程模式编码</t>
  </si>
  <si>
    <t>本测试为x265v2.1版本与QY265v2.3.3版本实时通信编码对比测试，测试设备为台式机（Win7操作系统，i5-4670四核CPU，8G内存），采取cbr模式编码、ultrafast档次、满线程模式编码</t>
  </si>
  <si>
    <t>[iPer] = framerate * 10</t>
    <phoneticPr fontId="5" type="noConversion"/>
  </si>
  <si>
    <t>[keyint] = framerate * 10</t>
    <phoneticPr fontId="5" type="noConversion"/>
  </si>
  <si>
    <t>AppEncoder_x64.exe -b out.265 -i BQSquare_416x240_60.yuv -preset veryfast -tune default -latency  zerolatency -threads 1 -wpp 0 -psnr 2 -rc 1 -br [btrNumber] -frms 1000000 -iper [iPer]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</si>
  <si>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</si>
  <si>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</si>
  <si>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</si>
  <si>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</si>
  <si>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</si>
  <si>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</si>
  <si>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[iPer] = framerate * 10</t>
    <phoneticPr fontId="5" type="noConversion"/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</si>
  <si>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</si>
  <si>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</si>
  <si>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</si>
  <si>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</si>
  <si>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</si>
  <si>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</si>
  <si>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ultrafast --fps [framerate] --aq-mode 0 --no-psy-rd --no-psy-rdoq --psnr  --bitrate [btrNumber] --frame-threads 1 --no-wpp --keyint [keyint] --frames 1000000</t>
  </si>
  <si>
    <t>x265.exe -o out.265 --input SlideShow_1280x720_20.yuv --input-res 1280x720 --preset ultrafast --fps [framerate] --aq-mode 0 --no-psy-rd --no-psy-rdoq --rc-lookahead 0 --bframes 0 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</si>
  <si>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</si>
  <si>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</si>
  <si>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</si>
  <si>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--tune zerolatency  --psnr  --bitrate [btrNumber]  --keyint [keyint] --frames 1000000</t>
  </si>
  <si>
    <t>X265vsQY265_offline_veryslow</t>
    <phoneticPr fontId="5" type="noConversion"/>
  </si>
  <si>
    <t>x264.exe -o out.264 BQSquare_416x240_60.yuv --input-res 416x240 --preset veryfast --fps [framerate] --profile high --aq-mode 0 --no-psy --tune zerolatency  --psnr  --bitrate [btrNumber] --threads 1/0 --keyint [keyint] --frames 1000000</t>
    <phoneticPr fontId="5" type="noConversion"/>
  </si>
  <si>
    <t>[keyint] = framerate * 10</t>
    <phoneticPr fontId="5" type="noConversion"/>
  </si>
  <si>
    <t>AppEncoder_x64.exe -b out.265 -i BQSquare_416x240_60.yuv -preset veryfast -tune default -latency  zerolatency -threads 1/0 -psnr 2 -rc 1 -br [btrNumber] -frms 1000000 -iper [iPer]</t>
    <phoneticPr fontId="5" type="noConversion"/>
  </si>
  <si>
    <t>[iPer] = framerate * 10</t>
    <phoneticPr fontId="5" type="noConversion"/>
  </si>
  <si>
    <t>x265.exe -o out.265 --input BQSquare_416x240_60.yuv --input-res 416x240 --preset ultrafast --fps [framerate] --aq-mode 0 --no-psy-rd --no-psy-rdoq --rc-lookahead 0 --bframes 0  --psnr  --bitrate [btrNumber] --frame-threads 1/0 --no-wpp/--wpp --keyint [keyint] --frames 1000000</t>
    <phoneticPr fontId="5" type="noConversion"/>
  </si>
  <si>
    <t>x264.exe -o out.264 BQSquare_416x240_60.yuv --input-res 416x240 --preset veryfast/slow/placebo --fps [framerate] --profile high --aq-mode 0 --no-psy --tune offline  --psnr  --bitrate [btrNumber] --threads 1/0 --keyint [keyint] --frames 1000000</t>
    <phoneticPr fontId="5" type="noConversion"/>
  </si>
  <si>
    <t>AppEncoder_x64.exe -b out.265 -i BQSquare_416x240_60.yuv -preset veryfast/slow/veryslow -tune default -latency  offline -threads 1/0 -psnr 2 -rc 1 -br [btrNumber] -frms 1000000 -iper [iPer]</t>
    <phoneticPr fontId="5" type="noConversion"/>
  </si>
  <si>
    <t>x265.exe -o out.265 --input BQSquare_416x240_60.yuv --input-res 416x240 --preset ultrafast/slow/veryslow --fps [framerate] --aq-mode 0 --no-psy-rd --no-psy-rdoq  --psnr  --bitrate [btrNumber] --frame-threads 1/0 --no-wpp/--wpp --keyint [keyint] --frames 1000000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</si>
</sst>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68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0" fontId="0" fillId="3" borderId="0" xfId="0" applyFill="1" applyBorder="1" applyAlignment="1">
      <alignment horizontal="center" vertical="center"/>
    </xf>
    <xf numFmtId="0" fontId="0" fillId="3" borderId="0" xfId="0" applyFill="1" applyBorder="1"/>
    <xf numFmtId="177" fontId="2" fillId="3" borderId="0" xfId="0" applyNumberFormat="1" applyFont="1" applyFill="1" applyBorder="1" applyAlignment="1">
      <alignment horizontal="center"/>
    </xf>
    <xf numFmtId="177" fontId="0" fillId="3" borderId="0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Border="1"/>
    <xf numFmtId="177" fontId="0" fillId="0" borderId="0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4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7" t="s">
        <v>23</v>
      </c>
      <c r="C2" s="48"/>
      <c r="D2" s="48"/>
      <c r="E2" s="48"/>
      <c r="F2" s="48"/>
      <c r="G2" s="48"/>
      <c r="H2" s="5"/>
      <c r="I2" s="47" t="s">
        <v>24</v>
      </c>
      <c r="J2" s="48"/>
      <c r="K2" s="48"/>
      <c r="L2" s="48"/>
      <c r="M2" s="48"/>
      <c r="N2" s="48"/>
      <c r="P2" s="47" t="s">
        <v>7</v>
      </c>
      <c r="Q2" s="48"/>
      <c r="R2" s="49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7" t="s">
        <v>24</v>
      </c>
      <c r="C48" s="48"/>
      <c r="D48" s="48"/>
      <c r="E48" s="48"/>
      <c r="F48" s="48"/>
      <c r="G48" s="48"/>
      <c r="H48" s="5"/>
      <c r="I48" s="47" t="s">
        <v>26</v>
      </c>
      <c r="J48" s="48"/>
      <c r="K48" s="48"/>
      <c r="L48" s="48"/>
      <c r="M48" s="48"/>
      <c r="N48" s="48"/>
      <c r="P48" s="47" t="s">
        <v>7</v>
      </c>
      <c r="Q48" s="48"/>
      <c r="R48" s="49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7" t="s">
        <v>24</v>
      </c>
      <c r="C92" s="48"/>
      <c r="D92" s="48"/>
      <c r="E92" s="48"/>
      <c r="F92" s="48"/>
      <c r="G92" s="48"/>
      <c r="H92" s="5"/>
      <c r="I92" s="47" t="s">
        <v>27</v>
      </c>
      <c r="J92" s="48"/>
      <c r="K92" s="48"/>
      <c r="L92" s="48"/>
      <c r="M92" s="48"/>
      <c r="N92" s="48"/>
      <c r="P92" s="47" t="s">
        <v>7</v>
      </c>
      <c r="Q92" s="48"/>
      <c r="R92" s="49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7" t="s">
        <v>24</v>
      </c>
      <c r="C136" s="48"/>
      <c r="D136" s="48"/>
      <c r="E136" s="48"/>
      <c r="F136" s="48"/>
      <c r="G136" s="48"/>
      <c r="H136" s="5"/>
      <c r="I136" s="47" t="s">
        <v>28</v>
      </c>
      <c r="J136" s="48"/>
      <c r="K136" s="48"/>
      <c r="L136" s="48"/>
      <c r="M136" s="48"/>
      <c r="N136" s="48"/>
      <c r="P136" s="47" t="s">
        <v>7</v>
      </c>
      <c r="Q136" s="48"/>
      <c r="R136" s="49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455" priority="21" operator="greaterThan">
      <formula>0.03</formula>
    </cfRule>
    <cfRule type="cellIs" dxfId="45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3"/>
  <sheetViews>
    <sheetView tabSelected="1" zoomScale="85" zoomScaleNormal="85" workbookViewId="0">
      <selection activeCell="H12" sqref="H12"/>
    </sheetView>
  </sheetViews>
  <sheetFormatPr defaultRowHeight="15.75" x14ac:dyDescent="0.25"/>
  <cols>
    <col min="1" max="1" width="11" bestFit="1" customWidth="1"/>
    <col min="2" max="2" width="8.6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9" width="9.625" customWidth="1"/>
    <col min="11" max="11" width="11" bestFit="1" customWidth="1"/>
    <col min="12" max="12" width="8.625" bestFit="1" customWidth="1"/>
    <col min="13" max="14" width="10.625" bestFit="1" customWidth="1"/>
    <col min="15" max="15" width="10.375" bestFit="1" customWidth="1"/>
    <col min="16" max="16" width="13.125" bestFit="1" customWidth="1"/>
    <col min="17" max="17" width="9.625" bestFit="1" customWidth="1"/>
  </cols>
  <sheetData>
    <row r="1" spans="1:17" x14ac:dyDescent="0.25">
      <c r="A1" t="s">
        <v>134</v>
      </c>
    </row>
    <row r="2" spans="1:17" x14ac:dyDescent="0.25">
      <c r="A2" t="s">
        <v>135</v>
      </c>
    </row>
    <row r="3" spans="1:17" x14ac:dyDescent="0.25">
      <c r="A3" t="s">
        <v>136</v>
      </c>
    </row>
    <row r="4" spans="1:17" x14ac:dyDescent="0.25">
      <c r="A4" t="s">
        <v>137</v>
      </c>
    </row>
    <row r="5" spans="1:17" x14ac:dyDescent="0.25">
      <c r="A5" t="s">
        <v>138</v>
      </c>
    </row>
    <row r="6" spans="1:17" ht="16.5" thickBot="1" x14ac:dyDescent="0.3">
      <c r="A6" t="s">
        <v>135</v>
      </c>
    </row>
    <row r="7" spans="1:17" ht="16.5" thickBot="1" x14ac:dyDescent="0.3">
      <c r="A7" s="53" t="s">
        <v>81</v>
      </c>
      <c r="B7" s="54"/>
      <c r="C7" s="54"/>
      <c r="D7" s="54"/>
      <c r="E7" s="54"/>
      <c r="F7" s="54"/>
      <c r="G7" s="55"/>
      <c r="H7" s="44"/>
      <c r="I7" s="44"/>
      <c r="K7" s="53" t="s">
        <v>84</v>
      </c>
      <c r="L7" s="54"/>
      <c r="M7" s="54"/>
      <c r="N7" s="54"/>
      <c r="O7" s="54"/>
      <c r="P7" s="54"/>
      <c r="Q7" s="55"/>
    </row>
    <row r="8" spans="1:17" ht="16.5" thickBot="1" x14ac:dyDescent="0.3">
      <c r="A8" s="37" t="s">
        <v>74</v>
      </c>
      <c r="B8" s="37" t="s">
        <v>73</v>
      </c>
      <c r="C8" s="37" t="s">
        <v>69</v>
      </c>
      <c r="D8" s="37" t="s">
        <v>70</v>
      </c>
      <c r="E8" s="37" t="s">
        <v>71</v>
      </c>
      <c r="F8" s="37" t="s">
        <v>72</v>
      </c>
      <c r="G8" s="37" t="s">
        <v>75</v>
      </c>
      <c r="H8" s="45"/>
      <c r="I8" s="45"/>
      <c r="K8" s="37" t="s">
        <v>74</v>
      </c>
      <c r="L8" s="37" t="s">
        <v>73</v>
      </c>
      <c r="M8" s="37" t="s">
        <v>80</v>
      </c>
      <c r="N8" s="37" t="s">
        <v>70</v>
      </c>
      <c r="O8" s="37" t="s">
        <v>71</v>
      </c>
      <c r="P8" s="37" t="s">
        <v>72</v>
      </c>
      <c r="Q8" s="37" t="s">
        <v>75</v>
      </c>
    </row>
    <row r="9" spans="1:17" ht="16.5" thickBot="1" x14ac:dyDescent="0.3">
      <c r="A9" s="50">
        <v>1</v>
      </c>
      <c r="B9" s="37" t="s">
        <v>35</v>
      </c>
      <c r="C9" s="38">
        <f>AVERAGE(X264vsQY265_zerolaten_veryfast!Q9:Q16)</f>
        <v>-0.3927126721136262</v>
      </c>
      <c r="D9" s="38">
        <f>AVERAGE(X264vsQY265_zerolaten_veryfast!R9:R16)</f>
        <v>-0.21774667190894154</v>
      </c>
      <c r="E9" s="38">
        <f>AVERAGE(X264vsQY265_zerolaten_veryfast!S9:S16)</f>
        <v>-0.31159737018323075</v>
      </c>
      <c r="F9" s="38">
        <f>AVERAGE(X264vsQY265_zerolaten_veryfast!T9:T16)</f>
        <v>-0.3784679680921621</v>
      </c>
      <c r="G9" s="39">
        <f>AVERAGE(X264vsQY265_zerolaten_veryfast!U9:U16)</f>
        <v>-0.17448591855450862</v>
      </c>
      <c r="H9" s="46"/>
      <c r="I9" s="46"/>
      <c r="K9" s="50">
        <v>1</v>
      </c>
      <c r="L9" s="37" t="s">
        <v>35</v>
      </c>
      <c r="M9" s="38">
        <f>AVERAGE(X265vsQY265_zerolaten_ultrafast!Q9:Q16)</f>
        <v>-0.14633897044342548</v>
      </c>
      <c r="N9" s="38">
        <f>AVERAGE(X265vsQY265_zerolaten_ultrafast!R9:R16)</f>
        <v>-0.2651318044756738</v>
      </c>
      <c r="O9" s="38">
        <f>AVERAGE(X265vsQY265_zerolaten_ultrafast!S9:S16)</f>
        <v>-0.28007014403272867</v>
      </c>
      <c r="P9" s="38">
        <f>AVERAGE(X265vsQY265_zerolaten_ultrafast!T9:T16)</f>
        <v>-0.16186876708598918</v>
      </c>
      <c r="Q9" s="39">
        <f>AVERAGE(X265vsQY265_zerolaten_ultrafast!U9:U16)</f>
        <v>1.1287579107175136</v>
      </c>
    </row>
    <row r="10" spans="1:17" ht="16.5" thickBot="1" x14ac:dyDescent="0.3">
      <c r="A10" s="51"/>
      <c r="B10" s="37" t="s">
        <v>37</v>
      </c>
      <c r="C10" s="38">
        <f>AVERAGE(X264vsQY265_zerolaten_veryfast!Q17:Q36)</f>
        <v>-0.5087182872465259</v>
      </c>
      <c r="D10" s="38">
        <f>AVERAGE(X264vsQY265_zerolaten_veryfast!R17:R36)</f>
        <v>-0.32024029316555241</v>
      </c>
      <c r="E10" s="38">
        <f>AVERAGE(X264vsQY265_zerolaten_veryfast!S17:S36)</f>
        <v>-0.38686515915609165</v>
      </c>
      <c r="F10" s="38">
        <f>AVERAGE(X264vsQY265_zerolaten_veryfast!T17:T36)</f>
        <v>-0.49181897682176245</v>
      </c>
      <c r="G10" s="39">
        <f>AVERAGE(X264vsQY265_zerolaten_veryfast!U17:U36)</f>
        <v>-1.4342192138522259E-3</v>
      </c>
      <c r="H10" s="46"/>
      <c r="I10" s="46"/>
      <c r="K10" s="51"/>
      <c r="L10" s="37" t="s">
        <v>37</v>
      </c>
      <c r="M10" s="38">
        <f>AVERAGE(X265vsQY265_zerolaten_ultrafast!Q17:Q36)</f>
        <v>-0.24356805718399616</v>
      </c>
      <c r="N10" s="38">
        <f>AVERAGE(X265vsQY265_zerolaten_ultrafast!R17:R36)</f>
        <v>-0.32298779901842545</v>
      </c>
      <c r="O10" s="38">
        <f>AVERAGE(X265vsQY265_zerolaten_ultrafast!S17:S36)</f>
        <v>-0.29348940669546048</v>
      </c>
      <c r="P10" s="38">
        <f>AVERAGE(X265vsQY265_zerolaten_ultrafast!T17:T36)</f>
        <v>-0.25412174720274955</v>
      </c>
      <c r="Q10" s="39">
        <f>AVERAGE(X265vsQY265_zerolaten_ultrafast!U17:U36)</f>
        <v>1.4492947965362624</v>
      </c>
    </row>
    <row r="11" spans="1:17" ht="16.5" thickBot="1" x14ac:dyDescent="0.3">
      <c r="A11" s="51"/>
      <c r="B11" s="37" t="s">
        <v>39</v>
      </c>
      <c r="C11" s="38">
        <f>AVERAGE(X264vsQY265_zerolaten_veryfast!Q37:Q52)</f>
        <v>-0.34789393606227742</v>
      </c>
      <c r="D11" s="38">
        <f>AVERAGE(X264vsQY265_zerolaten_veryfast!R37:R52)</f>
        <v>-0.10481933320867051</v>
      </c>
      <c r="E11" s="38">
        <f>AVERAGE(X264vsQY265_zerolaten_veryfast!S37:S52)</f>
        <v>-8.1545755821316596E-2</v>
      </c>
      <c r="F11" s="38">
        <f>AVERAGE(X264vsQY265_zerolaten_veryfast!T37:T52)</f>
        <v>-0.3219252246915586</v>
      </c>
      <c r="G11" s="39">
        <f>AVERAGE(X264vsQY265_zerolaten_veryfast!U37:U52)</f>
        <v>-0.21497381177219071</v>
      </c>
      <c r="H11" s="46"/>
      <c r="I11" s="46"/>
      <c r="K11" s="51"/>
      <c r="L11" s="37" t="s">
        <v>39</v>
      </c>
      <c r="M11" s="38">
        <f>AVERAGE(X265vsQY265_zerolaten_ultrafast!Q37:Q52)</f>
        <v>-0.27967134850238473</v>
      </c>
      <c r="N11" s="38">
        <f>AVERAGE(X265vsQY265_zerolaten_ultrafast!R37:R52)</f>
        <v>-0.28631926498320071</v>
      </c>
      <c r="O11" s="38">
        <f>AVERAGE(X265vsQY265_zerolaten_ultrafast!S37:S52)</f>
        <v>-0.25694127329728361</v>
      </c>
      <c r="P11" s="38">
        <f>AVERAGE(X265vsQY265_zerolaten_ultrafast!T37:T52)</f>
        <v>-0.27829462954155026</v>
      </c>
      <c r="Q11" s="39">
        <f>AVERAGE(X265vsQY265_zerolaten_ultrafast!U37:U52)</f>
        <v>1.4330807418266585</v>
      </c>
    </row>
    <row r="12" spans="1:17" ht="16.5" thickBot="1" x14ac:dyDescent="0.3">
      <c r="A12" s="51"/>
      <c r="B12" s="37" t="s">
        <v>41</v>
      </c>
      <c r="C12" s="38">
        <f>AVERAGE(X264vsQY265_zerolaten_veryfast!Q53:Q68)</f>
        <v>-0.27625610900612096</v>
      </c>
      <c r="D12" s="38">
        <f>AVERAGE(X264vsQY265_zerolaten_veryfast!R53:R68)</f>
        <v>-0.24645199407434906</v>
      </c>
      <c r="E12" s="38">
        <f>AVERAGE(X264vsQY265_zerolaten_veryfast!S53:S68)</f>
        <v>-0.27573476322620621</v>
      </c>
      <c r="F12" s="38">
        <f>AVERAGE(X264vsQY265_zerolaten_veryfast!T53:T68)</f>
        <v>-0.27772401717588679</v>
      </c>
      <c r="G12" s="39">
        <f>AVERAGE(X264vsQY265_zerolaten_veryfast!U53:U68)</f>
        <v>-0.33257236446457511</v>
      </c>
      <c r="H12" s="46"/>
      <c r="I12" s="46"/>
      <c r="K12" s="51"/>
      <c r="L12" s="37" t="s">
        <v>41</v>
      </c>
      <c r="M12" s="38">
        <f>AVERAGE(X265vsQY265_zerolaten_ultrafast!Q53:Q68)</f>
        <v>-0.36454687142740599</v>
      </c>
      <c r="N12" s="38">
        <f>AVERAGE(X265vsQY265_zerolaten_ultrafast!R53:R68)</f>
        <v>-0.46167770178461587</v>
      </c>
      <c r="O12" s="38">
        <f>AVERAGE(X265vsQY265_zerolaten_ultrafast!S53:S68)</f>
        <v>-0.44914487711213774</v>
      </c>
      <c r="P12" s="38">
        <f>AVERAGE(X265vsQY265_zerolaten_ultrafast!T53:T68)</f>
        <v>-0.38312148142149871</v>
      </c>
      <c r="Q12" s="39">
        <f>AVERAGE(X265vsQY265_zerolaten_ultrafast!U53:U68)</f>
        <v>1.0836080059469322</v>
      </c>
    </row>
    <row r="13" spans="1:17" ht="16.5" thickBot="1" x14ac:dyDescent="0.3">
      <c r="A13" s="51"/>
      <c r="B13" s="37" t="s">
        <v>43</v>
      </c>
      <c r="C13" s="38">
        <f>AVERAGE(X264vsQY265_zerolaten_veryfast!Q69:Q80)</f>
        <v>-0.45295480385590547</v>
      </c>
      <c r="D13" s="38">
        <f>AVERAGE(X264vsQY265_zerolaten_veryfast!R69:R80)</f>
        <v>-0.59050500151612073</v>
      </c>
      <c r="E13" s="38">
        <f>AVERAGE(X264vsQY265_zerolaten_veryfast!S69:S80)</f>
        <v>-0.59604861283052524</v>
      </c>
      <c r="F13" s="38">
        <f>AVERAGE(X264vsQY265_zerolaten_veryfast!T69:T80)</f>
        <v>-0.48693227783894333</v>
      </c>
      <c r="G13" s="39">
        <f>AVERAGE(X264vsQY265_zerolaten_veryfast!U69:U80)</f>
        <v>3.8163815753173173E-2</v>
      </c>
      <c r="H13" s="46"/>
      <c r="I13" s="46"/>
      <c r="K13" s="51"/>
      <c r="L13" s="37" t="s">
        <v>43</v>
      </c>
      <c r="M13" s="38">
        <f>AVERAGE(X265vsQY265_zerolaten_ultrafast!Q69:Q80)</f>
        <v>-0.42529984978745078</v>
      </c>
      <c r="N13" s="38">
        <f>AVERAGE(X265vsQY265_zerolaten_ultrafast!R69:R80)</f>
        <v>-0.45882622976119142</v>
      </c>
      <c r="O13" s="38">
        <f>AVERAGE(X265vsQY265_zerolaten_ultrafast!S69:S80)</f>
        <v>-0.46826464323049777</v>
      </c>
      <c r="P13" s="38">
        <f>AVERAGE(X265vsQY265_zerolaten_ultrafast!T69:T80)</f>
        <v>-0.43400839517820861</v>
      </c>
      <c r="Q13" s="39">
        <f>AVERAGE(X265vsQY265_zerolaten_ultrafast!U69:U80)</f>
        <v>1.4387322058096439</v>
      </c>
    </row>
    <row r="14" spans="1:17" ht="16.5" thickBot="1" x14ac:dyDescent="0.3">
      <c r="A14" s="52"/>
      <c r="B14" s="37" t="s">
        <v>79</v>
      </c>
      <c r="C14" s="38">
        <f>X264vsQY265_zerolaten_veryfast!Q81</f>
        <v>-0.39913785401673285</v>
      </c>
      <c r="D14" s="38">
        <f>X264vsQY265_zerolaten_veryfast!R81</f>
        <v>-0.28962750685144917</v>
      </c>
      <c r="E14" s="38">
        <f>X264vsQY265_zerolaten_veryfast!S81</f>
        <v>-0.32082158060158816</v>
      </c>
      <c r="F14" s="38">
        <f>X264vsQY265_zerolaten_veryfast!T81</f>
        <v>-0.39307914562665269</v>
      </c>
      <c r="G14" s="39">
        <f>X264vsQY265_zerolaten_veryfast!U81</f>
        <v>-0.13510201060365679</v>
      </c>
      <c r="H14" s="46"/>
      <c r="I14" s="46"/>
      <c r="K14" s="52"/>
      <c r="L14" s="37" t="s">
        <v>79</v>
      </c>
      <c r="M14" s="38">
        <f>X265vsQY265_zerolaten_ultrafast!Q81</f>
        <v>-0.2979605919937971</v>
      </c>
      <c r="N14" s="38">
        <f>X265vsQY265_zerolaten_ultrafast!R81</f>
        <v>-0.36187050891101757</v>
      </c>
      <c r="O14" s="38">
        <f>X265vsQY265_zerolaten_ultrafast!S81</f>
        <v>-0.34759588071510772</v>
      </c>
      <c r="P14" s="38">
        <f>X265vsQY265_zerolaten_ultrafast!T81</f>
        <v>-0.30789088330958597</v>
      </c>
      <c r="Q14" s="39">
        <f>X265vsQY265_zerolaten_ultrafast!U81</f>
        <v>1.3270523007022019</v>
      </c>
    </row>
    <row r="15" spans="1:17" ht="16.5" thickBot="1" x14ac:dyDescent="0.3">
      <c r="A15" s="50" t="s">
        <v>76</v>
      </c>
      <c r="B15" s="37" t="s">
        <v>35</v>
      </c>
      <c r="C15" s="38">
        <f>AVERAGE(X264vsQY265_zerolaten_veryfast!Q87:Q94)</f>
        <v>-0.39058510878332453</v>
      </c>
      <c r="D15" s="38">
        <f>AVERAGE(X264vsQY265_zerolaten_veryfast!R87:R94)</f>
        <v>-0.21394329900244302</v>
      </c>
      <c r="E15" s="38">
        <f>AVERAGE(X264vsQY265_zerolaten_veryfast!S87:S94)</f>
        <v>-0.29812020364244762</v>
      </c>
      <c r="F15" s="38">
        <f>AVERAGE(X264vsQY265_zerolaten_veryfast!T87:T94)</f>
        <v>-0.37508208544135302</v>
      </c>
      <c r="G15" s="39">
        <f>AVERAGE(X264vsQY265_zerolaten_veryfast!U87:U94)</f>
        <v>-4.4753581897143943E-2</v>
      </c>
      <c r="H15" s="46"/>
      <c r="I15" s="46"/>
      <c r="K15" s="50" t="s">
        <v>76</v>
      </c>
      <c r="L15" s="37" t="s">
        <v>35</v>
      </c>
      <c r="M15" s="38">
        <f>AVERAGE(X265vsQY265_zerolaten_ultrafast!Q87:Q94)</f>
        <v>-0.15379272506303387</v>
      </c>
      <c r="N15" s="38">
        <f>AVERAGE(X265vsQY265_zerolaten_ultrafast!R87:R94)</f>
        <v>-0.2439889630869066</v>
      </c>
      <c r="O15" s="38">
        <f>AVERAGE(X265vsQY265_zerolaten_ultrafast!S87:S94)</f>
        <v>-0.2475056001439031</v>
      </c>
      <c r="P15" s="38">
        <f>AVERAGE(X265vsQY265_zerolaten_ultrafast!T87:T94)</f>
        <v>-0.16482468095669778</v>
      </c>
      <c r="Q15" s="39">
        <f>AVERAGE(X265vsQY265_zerolaten_ultrafast!U87:U94)</f>
        <v>0.77293051183648109</v>
      </c>
    </row>
    <row r="16" spans="1:17" ht="16.5" thickBot="1" x14ac:dyDescent="0.3">
      <c r="A16" s="51"/>
      <c r="B16" s="37" t="s">
        <v>37</v>
      </c>
      <c r="C16" s="38">
        <f>AVERAGE(X264vsQY265_zerolaten_veryfast!Q95:Q114)</f>
        <v>-0.51816842043076616</v>
      </c>
      <c r="D16" s="38">
        <f>AVERAGE(X264vsQY265_zerolaten_veryfast!R95:R114)</f>
        <v>-0.3338943845690755</v>
      </c>
      <c r="E16" s="38">
        <f>AVERAGE(X264vsQY265_zerolaten_veryfast!S95:S114)</f>
        <v>-0.39774387106720149</v>
      </c>
      <c r="F16" s="38">
        <f>AVERAGE(X264vsQY265_zerolaten_veryfast!T95:T114)</f>
        <v>-0.50122055136073018</v>
      </c>
      <c r="G16" s="39">
        <f>AVERAGE(X264vsQY265_zerolaten_veryfast!U95:U114)</f>
        <v>0.10795636950164429</v>
      </c>
      <c r="H16" s="46"/>
      <c r="I16" s="46"/>
      <c r="K16" s="51"/>
      <c r="L16" s="37" t="s">
        <v>37</v>
      </c>
      <c r="M16" s="38">
        <f>AVERAGE(X265vsQY265_zerolaten_ultrafast!Q95:Q114)</f>
        <v>-0.26250657146004486</v>
      </c>
      <c r="N16" s="38">
        <f>AVERAGE(X265vsQY265_zerolaten_ultrafast!R95:R114)</f>
        <v>-0.31461010374432857</v>
      </c>
      <c r="O16" s="38">
        <f>AVERAGE(X265vsQY265_zerolaten_ultrafast!S95:S114)</f>
        <v>-0.29207207250607425</v>
      </c>
      <c r="P16" s="38">
        <f>AVERAGE(X265vsQY265_zerolaten_ultrafast!T95:T114)</f>
        <v>-0.2688660831849819</v>
      </c>
      <c r="Q16" s="39">
        <f>AVERAGE(X265vsQY265_zerolaten_ultrafast!U95:U114)</f>
        <v>0.84462969246177588</v>
      </c>
    </row>
    <row r="17" spans="1:17" ht="16.5" thickBot="1" x14ac:dyDescent="0.3">
      <c r="A17" s="51"/>
      <c r="B17" s="37" t="s">
        <v>39</v>
      </c>
      <c r="C17" s="38">
        <f>AVERAGE(X264vsQY265_zerolaten_veryfast!Q115:Q130)</f>
        <v>-0.37353890749168461</v>
      </c>
      <c r="D17" s="38">
        <f>AVERAGE(X264vsQY265_zerolaten_veryfast!R115:R130)</f>
        <v>-0.12627875119580562</v>
      </c>
      <c r="E17" s="38">
        <f>AVERAGE(X264vsQY265_zerolaten_veryfast!S115:S130)</f>
        <v>-0.10225009744501631</v>
      </c>
      <c r="F17" s="38">
        <f>AVERAGE(X264vsQY265_zerolaten_veryfast!T115:T130)</f>
        <v>-0.34740032587646558</v>
      </c>
      <c r="G17" s="39">
        <f>AVERAGE(X264vsQY265_zerolaten_veryfast!U115:U130)</f>
        <v>-0.15986010750040067</v>
      </c>
      <c r="H17" s="46"/>
      <c r="I17" s="46"/>
      <c r="K17" s="51"/>
      <c r="L17" s="37" t="s">
        <v>39</v>
      </c>
      <c r="M17" s="38">
        <f>AVERAGE(X265vsQY265_zerolaten_ultrafast!Q115:Q130)</f>
        <v>-0.29394973242800143</v>
      </c>
      <c r="N17" s="38">
        <f>AVERAGE(X265vsQY265_zerolaten_ultrafast!R115:R130)</f>
        <v>-0.28510568287189059</v>
      </c>
      <c r="O17" s="38">
        <f>AVERAGE(X265vsQY265_zerolaten_ultrafast!S115:S130)</f>
        <v>-0.25494960493575147</v>
      </c>
      <c r="P17" s="38">
        <f>AVERAGE(X265vsQY265_zerolaten_ultrafast!T115:T130)</f>
        <v>-0.28935509678718729</v>
      </c>
      <c r="Q17" s="39">
        <f>AVERAGE(X265vsQY265_zerolaten_ultrafast!U115:U130)</f>
        <v>0.78273878525012597</v>
      </c>
    </row>
    <row r="18" spans="1:17" ht="16.5" thickBot="1" x14ac:dyDescent="0.3">
      <c r="A18" s="51"/>
      <c r="B18" s="37" t="s">
        <v>41</v>
      </c>
      <c r="C18" s="38">
        <f>AVERAGE(X264vsQY265_zerolaten_veryfast!Q131:Q146)</f>
        <v>-0.30575746745316834</v>
      </c>
      <c r="D18" s="38">
        <f>AVERAGE(X264vsQY265_zerolaten_veryfast!R131:R146)</f>
        <v>-0.26930752840372174</v>
      </c>
      <c r="E18" s="38">
        <f>AVERAGE(X264vsQY265_zerolaten_veryfast!S131:S146)</f>
        <v>-0.2854384803940746</v>
      </c>
      <c r="F18" s="38">
        <f>AVERAGE(X264vsQY265_zerolaten_veryfast!T131:T146)</f>
        <v>-0.30636977278052235</v>
      </c>
      <c r="G18" s="39">
        <f>AVERAGE(X264vsQY265_zerolaten_veryfast!U131:U146)</f>
        <v>-0.54328823072841548</v>
      </c>
      <c r="H18" s="46"/>
      <c r="I18" s="46"/>
      <c r="K18" s="51"/>
      <c r="L18" s="37" t="s">
        <v>41</v>
      </c>
      <c r="M18" s="38">
        <f>AVERAGE(X265vsQY265_zerolaten_ultrafast!Q131:Q146)</f>
        <v>-0.37160174148190639</v>
      </c>
      <c r="N18" s="38">
        <f>AVERAGE(X265vsQY265_zerolaten_ultrafast!R131:R146)</f>
        <v>-0.45497402190395603</v>
      </c>
      <c r="O18" s="38">
        <f>AVERAGE(X265vsQY265_zerolaten_ultrafast!S131:S146)</f>
        <v>-0.43565130081367776</v>
      </c>
      <c r="P18" s="38">
        <f>AVERAGE(X265vsQY265_zerolaten_ultrafast!T131:T146)</f>
        <v>-0.38756519364272146</v>
      </c>
      <c r="Q18" s="39">
        <f>AVERAGE(X265vsQY265_zerolaten_ultrafast!U131:U146)</f>
        <v>-5.8447935992138739E-2</v>
      </c>
    </row>
    <row r="19" spans="1:17" ht="16.5" thickBot="1" x14ac:dyDescent="0.3">
      <c r="A19" s="51"/>
      <c r="B19" s="37" t="s">
        <v>43</v>
      </c>
      <c r="C19" s="38">
        <f>AVERAGE(X264vsQY265_zerolaten_veryfast!Q147:Q158)</f>
        <v>-0.45934979883407251</v>
      </c>
      <c r="D19" s="38">
        <f>AVERAGE(X264vsQY265_zerolaten_veryfast!R147:R158)</f>
        <v>-0.59179411099033563</v>
      </c>
      <c r="E19" s="38">
        <f>AVERAGE(X264vsQY265_zerolaten_veryfast!S147:S158)</f>
        <v>-0.59783139082872017</v>
      </c>
      <c r="F19" s="38">
        <f>AVERAGE(X264vsQY265_zerolaten_veryfast!T147:T158)</f>
        <v>-0.4916876319285044</v>
      </c>
      <c r="G19" s="39">
        <f>AVERAGE(X264vsQY265_zerolaten_veryfast!U147:U158)</f>
        <v>0.11496040000423002</v>
      </c>
      <c r="H19" s="46"/>
      <c r="I19" s="46"/>
      <c r="K19" s="51"/>
      <c r="L19" s="37" t="s">
        <v>43</v>
      </c>
      <c r="M19" s="38">
        <f>AVERAGE(X265vsQY265_zerolaten_ultrafast!Q147:Q158)</f>
        <v>-0.4326156215522392</v>
      </c>
      <c r="N19" s="38">
        <f>AVERAGE(X265vsQY265_zerolaten_ultrafast!R147:R158)</f>
        <v>-0.45559862532614082</v>
      </c>
      <c r="O19" s="38">
        <f>AVERAGE(X265vsQY265_zerolaten_ultrafast!S147:S158)</f>
        <v>-0.46754843055528594</v>
      </c>
      <c r="P19" s="38">
        <f>AVERAGE(X265vsQY265_zerolaten_ultrafast!T147:T158)</f>
        <v>-0.43908137796155372</v>
      </c>
      <c r="Q19" s="39">
        <f>AVERAGE(X265vsQY265_zerolaten_ultrafast!U147:U158)</f>
        <v>0.7772715763205863</v>
      </c>
    </row>
    <row r="20" spans="1:17" ht="16.5" thickBot="1" x14ac:dyDescent="0.3">
      <c r="A20" s="52"/>
      <c r="B20" s="37" t="s">
        <v>79</v>
      </c>
      <c r="C20" s="38">
        <f>X264vsQY265_zerolaten_veryfast!Q159</f>
        <v>-0.41484706755567274</v>
      </c>
      <c r="D20" s="38">
        <f>X264vsQY265_zerolaten_veryfast!R159</f>
        <v>-0.30306033178996555</v>
      </c>
      <c r="E20" s="38">
        <f>X264vsQY265_zerolaten_veryfast!S159</f>
        <v>-0.32940045813685714</v>
      </c>
      <c r="F20" s="38">
        <f>X264vsQY265_zerolaten_veryfast!T159</f>
        <v>-0.4081339010055457</v>
      </c>
      <c r="G20" s="39">
        <f>X264vsQY265_zerolaten_veryfast!U159</f>
        <v>-0.11207985939936892</v>
      </c>
      <c r="H20" s="46"/>
      <c r="I20" s="46"/>
      <c r="K20" s="52"/>
      <c r="L20" s="37" t="s">
        <v>79</v>
      </c>
      <c r="M20" s="38">
        <f>X265vsQY265_zerolaten_ultrafast!Q159</f>
        <v>-0.31000950376236891</v>
      </c>
      <c r="N20" s="38">
        <f>X265vsQY265_zerolaten_ultrafast!R159</f>
        <v>-0.35489684110984809</v>
      </c>
      <c r="O20" s="38">
        <f>X265vsQY265_zerolaten_ultrafast!S159</f>
        <v>-0.3400233598600973</v>
      </c>
      <c r="P20" s="38">
        <f>X265vsQY265_zerolaten_ultrafast!T159</f>
        <v>-0.31660583741347786</v>
      </c>
      <c r="Q20" s="39">
        <f>X265vsQY265_zerolaten_ultrafast!U159</f>
        <v>0.61099931177641953</v>
      </c>
    </row>
    <row r="21" spans="1:17" x14ac:dyDescent="0.25">
      <c r="A21" s="40"/>
      <c r="B21" s="41"/>
      <c r="C21" s="42"/>
      <c r="D21" s="42"/>
      <c r="E21" s="42"/>
      <c r="F21" s="42"/>
      <c r="G21" s="43"/>
      <c r="H21" s="44"/>
      <c r="I21" s="44"/>
    </row>
    <row r="22" spans="1:17" x14ac:dyDescent="0.25">
      <c r="A22" t="s">
        <v>139</v>
      </c>
    </row>
    <row r="23" spans="1:17" x14ac:dyDescent="0.25">
      <c r="A23" t="s">
        <v>135</v>
      </c>
    </row>
    <row r="24" spans="1:17" x14ac:dyDescent="0.25">
      <c r="A24" t="s">
        <v>140</v>
      </c>
    </row>
    <row r="25" spans="1:17" x14ac:dyDescent="0.25">
      <c r="A25" t="s">
        <v>137</v>
      </c>
    </row>
    <row r="26" spans="1:17" x14ac:dyDescent="0.25">
      <c r="A26" t="s">
        <v>141</v>
      </c>
    </row>
    <row r="27" spans="1:17" ht="16.5" thickBot="1" x14ac:dyDescent="0.3">
      <c r="A27" t="s">
        <v>135</v>
      </c>
    </row>
    <row r="28" spans="1:17" ht="16.5" thickBot="1" x14ac:dyDescent="0.3">
      <c r="A28" s="53" t="s">
        <v>77</v>
      </c>
      <c r="B28" s="54"/>
      <c r="C28" s="54"/>
      <c r="D28" s="54"/>
      <c r="E28" s="54"/>
      <c r="F28" s="54"/>
      <c r="G28" s="55"/>
      <c r="H28" s="46"/>
      <c r="I28" s="46"/>
      <c r="K28" s="53" t="s">
        <v>85</v>
      </c>
      <c r="L28" s="54"/>
      <c r="M28" s="54"/>
      <c r="N28" s="54"/>
      <c r="O28" s="54"/>
      <c r="P28" s="54"/>
      <c r="Q28" s="55"/>
    </row>
    <row r="29" spans="1:17" ht="16.5" thickBot="1" x14ac:dyDescent="0.3">
      <c r="A29" s="37" t="s">
        <v>74</v>
      </c>
      <c r="B29" s="37" t="s">
        <v>73</v>
      </c>
      <c r="C29" s="37" t="s">
        <v>69</v>
      </c>
      <c r="D29" s="37" t="s">
        <v>70</v>
      </c>
      <c r="E29" s="37" t="s">
        <v>71</v>
      </c>
      <c r="F29" s="37" t="s">
        <v>72</v>
      </c>
      <c r="G29" s="37" t="s">
        <v>75</v>
      </c>
      <c r="H29" s="46"/>
      <c r="I29" s="46"/>
      <c r="K29" s="37" t="s">
        <v>74</v>
      </c>
      <c r="L29" s="37" t="s">
        <v>73</v>
      </c>
      <c r="M29" s="37" t="s">
        <v>69</v>
      </c>
      <c r="N29" s="37" t="s">
        <v>70</v>
      </c>
      <c r="O29" s="37" t="s">
        <v>71</v>
      </c>
      <c r="P29" s="37" t="s">
        <v>72</v>
      </c>
      <c r="Q29" s="37" t="s">
        <v>75</v>
      </c>
    </row>
    <row r="30" spans="1:17" ht="16.5" thickBot="1" x14ac:dyDescent="0.3">
      <c r="A30" s="50">
        <v>1</v>
      </c>
      <c r="B30" s="37" t="s">
        <v>35</v>
      </c>
      <c r="C30" s="38">
        <f>AVERAGE(X264vsQY265_offline_veryfast!Q9:Q16)</f>
        <v>-0.43352456106230908</v>
      </c>
      <c r="D30" s="38">
        <f>AVERAGE(X264vsQY265_offline_veryfast!R9:R16)</f>
        <v>-0.40526738048344096</v>
      </c>
      <c r="E30" s="38">
        <f>AVERAGE(X264vsQY265_offline_veryfast!S9:S16)</f>
        <v>-0.4398561939102385</v>
      </c>
      <c r="F30" s="38">
        <f>AVERAGE(X264vsQY265_offline_veryfast!T9:T16)</f>
        <v>-0.43368499949977896</v>
      </c>
      <c r="G30" s="39">
        <f>AVERAGE(X264vsQY265_offline_veryfast!U9:U16)</f>
        <v>4.1359118998168215E-2</v>
      </c>
      <c r="H30" s="46"/>
      <c r="I30" s="46"/>
      <c r="K30" s="50">
        <v>1</v>
      </c>
      <c r="L30" s="37" t="s">
        <v>35</v>
      </c>
      <c r="M30" s="38">
        <f>AVERAGE(X265vsQY265_offline_ultrafast!Q9:Q16)</f>
        <v>-0.18425369654291884</v>
      </c>
      <c r="N30" s="38">
        <f>AVERAGE(X265vsQY265_offline_ultrafast!R9:R16)</f>
        <v>-0.43903844627402311</v>
      </c>
      <c r="O30" s="38">
        <f>AVERAGE(X265vsQY265_offline_ultrafast!S9:S16)</f>
        <v>-0.43588779879964984</v>
      </c>
      <c r="P30" s="38">
        <f>AVERAGE(X265vsQY265_offline_ultrafast!T9:T16)</f>
        <v>-0.22515531122174998</v>
      </c>
      <c r="Q30" s="39">
        <f>AVERAGE(X265vsQY265_offline_ultrafast!U9:U16)</f>
        <v>0.63341594413724189</v>
      </c>
    </row>
    <row r="31" spans="1:17" ht="16.5" thickBot="1" x14ac:dyDescent="0.3">
      <c r="A31" s="51"/>
      <c r="B31" s="37" t="s">
        <v>37</v>
      </c>
      <c r="C31" s="38">
        <f>AVERAGE(X264vsQY265_offline_veryfast!Q17:Q36)</f>
        <v>-0.55837286280618481</v>
      </c>
      <c r="D31" s="38">
        <f>AVERAGE(X264vsQY265_offline_veryfast!R17:R36)</f>
        <v>-0.5503327640967226</v>
      </c>
      <c r="E31" s="38">
        <f>AVERAGE(X264vsQY265_offline_veryfast!S17:S36)</f>
        <v>-0.5546108500275041</v>
      </c>
      <c r="F31" s="38">
        <f>AVERAGE(X264vsQY265_offline_veryfast!T17:T36)</f>
        <v>-0.55941834663207846</v>
      </c>
      <c r="G31" s="39">
        <f>AVERAGE(X264vsQY265_offline_veryfast!U17:U36)</f>
        <v>0.23613969260957807</v>
      </c>
      <c r="H31" s="46"/>
      <c r="I31" s="46"/>
      <c r="K31" s="51"/>
      <c r="L31" s="37" t="s">
        <v>37</v>
      </c>
      <c r="M31" s="38">
        <f>AVERAGE(X265vsQY265_offline_ultrafast!Q17:Q36)</f>
        <v>-0.26573516528560248</v>
      </c>
      <c r="N31" s="38">
        <f>AVERAGE(X265vsQY265_offline_ultrafast!R17:R36)</f>
        <v>-0.43690347453187678</v>
      </c>
      <c r="O31" s="38">
        <f>AVERAGE(X265vsQY265_offline_ultrafast!S17:S36)</f>
        <v>-0.40877870277826922</v>
      </c>
      <c r="P31" s="38">
        <f>AVERAGE(X265vsQY265_offline_ultrafast!T17:T36)</f>
        <v>-0.29260931263834944</v>
      </c>
      <c r="Q31" s="39">
        <f>AVERAGE(X265vsQY265_offline_ultrafast!U17:U36)</f>
        <v>0.86139259205329211</v>
      </c>
    </row>
    <row r="32" spans="1:17" ht="16.5" thickBot="1" x14ac:dyDescent="0.3">
      <c r="A32" s="51"/>
      <c r="B32" s="37" t="s">
        <v>39</v>
      </c>
      <c r="C32" s="38">
        <f>AVERAGE(X264vsQY265_offline_veryfast!Q37:Q52)</f>
        <v>-0.41989295065944265</v>
      </c>
      <c r="D32" s="38">
        <f>AVERAGE(X264vsQY265_offline_veryfast!R37:R52)</f>
        <v>-0.44068421139877079</v>
      </c>
      <c r="E32" s="38">
        <f>AVERAGE(X264vsQY265_offline_veryfast!S37:S52)</f>
        <v>-0.41489253993403113</v>
      </c>
      <c r="F32" s="38">
        <f>AVERAGE(X264vsQY265_offline_veryfast!T37:T52)</f>
        <v>-0.42433350625706412</v>
      </c>
      <c r="G32" s="39">
        <f>AVERAGE(X264vsQY265_offline_veryfast!U37:U52)</f>
        <v>-6.731261512898043E-2</v>
      </c>
      <c r="H32" s="46"/>
      <c r="I32" s="46"/>
      <c r="K32" s="51"/>
      <c r="L32" s="37" t="s">
        <v>39</v>
      </c>
      <c r="M32" s="38">
        <f>AVERAGE(X265vsQY265_offline_ultrafast!Q37:Q52)</f>
        <v>-0.30163068431198981</v>
      </c>
      <c r="N32" s="38">
        <f>AVERAGE(X265vsQY265_offline_ultrafast!R37:R52)</f>
        <v>-0.39802207967539288</v>
      </c>
      <c r="O32" s="38">
        <f>AVERAGE(X265vsQY265_offline_ultrafast!S37:S52)</f>
        <v>-0.36468631138971386</v>
      </c>
      <c r="P32" s="38">
        <f>AVERAGE(X265vsQY265_offline_ultrafast!T37:T52)</f>
        <v>-0.31611042943549211</v>
      </c>
      <c r="Q32" s="39">
        <f>AVERAGE(X265vsQY265_offline_ultrafast!U37:U52)</f>
        <v>0.91181960933054462</v>
      </c>
    </row>
    <row r="33" spans="1:17" ht="15.75" customHeight="1" thickBot="1" x14ac:dyDescent="0.3">
      <c r="A33" s="51"/>
      <c r="B33" s="37" t="s">
        <v>41</v>
      </c>
      <c r="C33" s="38">
        <f>AVERAGE(X264vsQY265_offline_veryfast!Q53:Q68)</f>
        <v>-0.3844260392364971</v>
      </c>
      <c r="D33" s="38">
        <f>AVERAGE(X264vsQY265_offline_veryfast!R53:R68)</f>
        <v>-0.52011044347576374</v>
      </c>
      <c r="E33" s="38">
        <f>AVERAGE(X264vsQY265_offline_veryfast!S53:S68)</f>
        <v>-0.50401001282097746</v>
      </c>
      <c r="F33" s="38">
        <f>AVERAGE(X264vsQY265_offline_veryfast!T53:T68)</f>
        <v>-0.40834131063810292</v>
      </c>
      <c r="G33" s="39">
        <f>AVERAGE(X264vsQY265_offline_veryfast!U53:U68)</f>
        <v>-0.23053531502316116</v>
      </c>
      <c r="H33" s="46"/>
      <c r="I33" s="46"/>
      <c r="K33" s="51"/>
      <c r="L33" s="37" t="s">
        <v>41</v>
      </c>
      <c r="M33" s="38">
        <f>AVERAGE(X265vsQY265_offline_ultrafast!Q53:Q68)</f>
        <v>-0.35549240967227536</v>
      </c>
      <c r="N33" s="38">
        <f>AVERAGE(X265vsQY265_offline_ultrafast!R53:R68)</f>
        <v>-0.47826218990641323</v>
      </c>
      <c r="O33" s="38">
        <f>AVERAGE(X265vsQY265_offline_ultrafast!S53:S68)</f>
        <v>-0.45001774961863816</v>
      </c>
      <c r="P33" s="38">
        <f>AVERAGE(X265vsQY265_offline_ultrafast!T53:T68)</f>
        <v>-0.37633089168352174</v>
      </c>
      <c r="Q33" s="39">
        <f>AVERAGE(X265vsQY265_offline_ultrafast!U53:U68)</f>
        <v>0.66578074312430569</v>
      </c>
    </row>
    <row r="34" spans="1:17" ht="16.5" thickBot="1" x14ac:dyDescent="0.3">
      <c r="A34" s="51"/>
      <c r="B34" s="37" t="s">
        <v>43</v>
      </c>
      <c r="C34" s="38">
        <f>AVERAGE(X264vsQY265_offline_veryfast!Q69:Q80)</f>
        <v>-0.49060476149410731</v>
      </c>
      <c r="D34" s="38">
        <f>AVERAGE(X264vsQY265_offline_veryfast!R69:R80)</f>
        <v>-0.58579191972188804</v>
      </c>
      <c r="E34" s="38">
        <f>AVERAGE(X264vsQY265_offline_veryfast!S69:S80)</f>
        <v>-0.60105696353481763</v>
      </c>
      <c r="F34" s="38">
        <f>AVERAGE(X264vsQY265_offline_veryfast!T69:T80)</f>
        <v>-0.51460757667304302</v>
      </c>
      <c r="G34" s="39">
        <f>AVERAGE(X264vsQY265_offline_veryfast!U69:U80)</f>
        <v>0.45527021679694429</v>
      </c>
      <c r="H34" s="46"/>
      <c r="I34" s="46"/>
      <c r="K34" s="51"/>
      <c r="L34" s="37" t="s">
        <v>43</v>
      </c>
      <c r="M34" s="38">
        <f>AVERAGE(X265vsQY265_offline_ultrafast!Q69:Q80)</f>
        <v>-0.3586041488878004</v>
      </c>
      <c r="N34" s="38">
        <f>AVERAGE(X265vsQY265_offline_ultrafast!R69:R80)</f>
        <v>-0.38612168230108851</v>
      </c>
      <c r="O34" s="38">
        <f>AVERAGE(X265vsQY265_offline_ultrafast!S69:S80)</f>
        <v>-0.37977182219070854</v>
      </c>
      <c r="P34" s="38">
        <f>AVERAGE(X265vsQY265_offline_ultrafast!T69:T80)</f>
        <v>-0.36409858507326637</v>
      </c>
      <c r="Q34" s="39">
        <f>AVERAGE(X265vsQY265_offline_ultrafast!U69:U80)</f>
        <v>0.91865876946256408</v>
      </c>
    </row>
    <row r="35" spans="1:17" ht="16.5" thickBot="1" x14ac:dyDescent="0.3">
      <c r="A35" s="52"/>
      <c r="B35" s="37" t="s">
        <v>79</v>
      </c>
      <c r="C35" s="38">
        <f>X264vsQY265_offline_veryfast!Q81</f>
        <v>-0.46377798223453465</v>
      </c>
      <c r="D35" s="38">
        <f>X264vsQY265_offline_veryfast!R81</f>
        <v>-0.50904183111746093</v>
      </c>
      <c r="E35" s="38">
        <f>X264vsQY265_offline_veryfast!S81</f>
        <v>-0.50730820775458252</v>
      </c>
      <c r="F35" s="38">
        <f>X264vsQY265_offline_veryfast!T81</f>
        <v>-0.47438798498665263</v>
      </c>
      <c r="G35" s="39">
        <f>X264vsQY265_offline_veryfast!U81</f>
        <v>7.9879757268138507E-2</v>
      </c>
      <c r="H35" s="46"/>
      <c r="I35" s="46"/>
      <c r="K35" s="52"/>
      <c r="L35" s="37" t="s">
        <v>79</v>
      </c>
      <c r="M35" s="38">
        <f>X265vsQY265_offline_ultrafast!Q81</f>
        <v>-0.30008266900635067</v>
      </c>
      <c r="N35" s="38">
        <f>X265vsQY265_offline_ultrafast!R81</f>
        <v>-0.42922757724655103</v>
      </c>
      <c r="O35" s="38">
        <f>X265vsQY265_offline_ultrafast!S81</f>
        <v>-0.4063222678942322</v>
      </c>
      <c r="P35" s="38">
        <f>X265vsQY265_offline_ultrafast!T81</f>
        <v>-0.32085656807395008</v>
      </c>
      <c r="Q35" s="39">
        <f>X265vsQY265_offline_ultrafast!U81</f>
        <v>0.8133429203748912</v>
      </c>
    </row>
    <row r="36" spans="1:17" ht="16.5" thickBot="1" x14ac:dyDescent="0.3">
      <c r="A36" s="50" t="s">
        <v>76</v>
      </c>
      <c r="B36" s="37" t="s">
        <v>35</v>
      </c>
      <c r="C36" s="38">
        <f>AVERAGE(X264vsQY265_offline_veryfast!Q87:Q94)</f>
        <v>-0.49783890494115507</v>
      </c>
      <c r="D36" s="38">
        <f>AVERAGE(X264vsQY265_offline_veryfast!R87:R94)</f>
        <v>-0.44843546578049909</v>
      </c>
      <c r="E36" s="38">
        <f>AVERAGE(X264vsQY265_offline_veryfast!S87:S94)</f>
        <v>-0.47798033912196652</v>
      </c>
      <c r="F36" s="38">
        <f>AVERAGE(X264vsQY265_offline_veryfast!T87:T94)</f>
        <v>-0.49461633263456006</v>
      </c>
      <c r="G36" s="39">
        <f>AVERAGE(X264vsQY265_offline_veryfast!U87:U94)</f>
        <v>-6.4864292084689149E-2</v>
      </c>
      <c r="H36" s="46"/>
      <c r="I36" s="46"/>
      <c r="K36" s="50" t="s">
        <v>76</v>
      </c>
      <c r="L36" s="37" t="s">
        <v>35</v>
      </c>
      <c r="M36" s="38">
        <f>AVERAGE(X265vsQY265_offline_ultrafast!Q87:Q94)</f>
        <v>-0.19716960735961825</v>
      </c>
      <c r="N36" s="38">
        <f>AVERAGE(X265vsQY265_offline_ultrafast!R87:R94)</f>
        <v>-0.43549579126458371</v>
      </c>
      <c r="O36" s="38">
        <f>AVERAGE(X265vsQY265_offline_ultrafast!S87:S94)</f>
        <v>-0.43539226609092962</v>
      </c>
      <c r="P36" s="38">
        <f>AVERAGE(X265vsQY265_offline_ultrafast!T87:T94)</f>
        <v>-0.2358543592159259</v>
      </c>
      <c r="Q36" s="39">
        <f>AVERAGE(X265vsQY265_offline_ultrafast!U87:U94)</f>
        <v>0.60804668238440074</v>
      </c>
    </row>
    <row r="37" spans="1:17" ht="16.5" thickBot="1" x14ac:dyDescent="0.3">
      <c r="A37" s="51"/>
      <c r="B37" s="37" t="s">
        <v>37</v>
      </c>
      <c r="C37" s="38">
        <f>AVERAGE(X264vsQY265_offline_veryfast!Q95:Q114)</f>
        <v>-0.55671143030752002</v>
      </c>
      <c r="D37" s="38">
        <f>AVERAGE(X264vsQY265_offline_veryfast!R95:R114)</f>
        <v>-0.54401942170179973</v>
      </c>
      <c r="E37" s="38">
        <f>AVERAGE(X264vsQY265_offline_veryfast!S95:S114)</f>
        <v>-0.54736343997930492</v>
      </c>
      <c r="F37" s="38">
        <f>AVERAGE(X264vsQY265_offline_veryfast!T95:T114)</f>
        <v>-0.55693263604334242</v>
      </c>
      <c r="G37" s="39">
        <f>AVERAGE(X264vsQY265_offline_veryfast!U95:U114)</f>
        <v>8.6430884932339899E-2</v>
      </c>
      <c r="H37" s="46"/>
      <c r="I37" s="46"/>
      <c r="K37" s="51"/>
      <c r="L37" s="37" t="s">
        <v>37</v>
      </c>
      <c r="M37" s="38">
        <f>AVERAGE(X265vsQY265_offline_ultrafast!Q95:Q114)</f>
        <v>-0.28351059814428725</v>
      </c>
      <c r="N37" s="38">
        <f>AVERAGE(X265vsQY265_offline_ultrafast!R95:R114)</f>
        <v>-0.43775201567929339</v>
      </c>
      <c r="O37" s="38">
        <f>AVERAGE(X265vsQY265_offline_ultrafast!S95:S114)</f>
        <v>-0.41330984829121498</v>
      </c>
      <c r="P37" s="38">
        <f>AVERAGE(X265vsQY265_offline_ultrafast!T95:T114)</f>
        <v>-0.30798468932022283</v>
      </c>
      <c r="Q37" s="39">
        <f>AVERAGE(X265vsQY265_offline_ultrafast!U95:U114)</f>
        <v>0.82914053001732757</v>
      </c>
    </row>
    <row r="38" spans="1:17" ht="16.5" thickBot="1" x14ac:dyDescent="0.3">
      <c r="A38" s="51"/>
      <c r="B38" s="37" t="s">
        <v>39</v>
      </c>
      <c r="C38" s="38">
        <f>AVERAGE(X264vsQY265_offline_veryfast!Q115:Q130)</f>
        <v>-0.41444799575228231</v>
      </c>
      <c r="D38" s="38">
        <f>AVERAGE(X264vsQY265_offline_veryfast!R115:R130)</f>
        <v>-0.42586128853940319</v>
      </c>
      <c r="E38" s="38">
        <f>AVERAGE(X264vsQY265_offline_veryfast!S115:S130)</f>
        <v>-0.40321939619745117</v>
      </c>
      <c r="F38" s="38">
        <f>AVERAGE(X264vsQY265_offline_veryfast!T115:T130)</f>
        <v>-0.41755306459999164</v>
      </c>
      <c r="G38" s="39">
        <f>AVERAGE(X264vsQY265_offline_veryfast!U115:U130)</f>
        <v>-0.11690188441176891</v>
      </c>
      <c r="H38" s="46"/>
      <c r="I38" s="46"/>
      <c r="K38" s="51"/>
      <c r="L38" s="37" t="s">
        <v>39</v>
      </c>
      <c r="M38" s="38">
        <f>AVERAGE(X265vsQY265_offline_ultrafast!Q115:Q130)</f>
        <v>-0.31430452159827976</v>
      </c>
      <c r="N38" s="38">
        <f>AVERAGE(X265vsQY265_offline_ultrafast!R115:R130)</f>
        <v>-0.40129642589533965</v>
      </c>
      <c r="O38" s="38">
        <f>AVERAGE(X265vsQY265_offline_ultrafast!S115:S130)</f>
        <v>-0.36926758490175315</v>
      </c>
      <c r="P38" s="38">
        <f>AVERAGE(X265vsQY265_offline_ultrafast!T115:T130)</f>
        <v>-0.32693118735766302</v>
      </c>
      <c r="Q38" s="39">
        <f>AVERAGE(X265vsQY265_offline_ultrafast!U115:U130)</f>
        <v>0.69599600815489659</v>
      </c>
    </row>
    <row r="39" spans="1:17" ht="16.5" thickBot="1" x14ac:dyDescent="0.3">
      <c r="A39" s="51"/>
      <c r="B39" s="37" t="s">
        <v>41</v>
      </c>
      <c r="C39" s="38">
        <f>AVERAGE(X264vsQY265_offline_veryfast!Q131:Q146)</f>
        <v>-0.37581682279136436</v>
      </c>
      <c r="D39" s="38">
        <f>AVERAGE(X264vsQY265_offline_veryfast!R131:R146)</f>
        <v>-0.50501376812910359</v>
      </c>
      <c r="E39" s="38">
        <f>AVERAGE(X264vsQY265_offline_veryfast!S131:S146)</f>
        <v>-0.49563037036195406</v>
      </c>
      <c r="F39" s="38">
        <f>AVERAGE(X264vsQY265_offline_veryfast!T131:T146)</f>
        <v>-0.39907756861379168</v>
      </c>
      <c r="G39" s="39">
        <f>AVERAGE(X264vsQY265_offline_veryfast!U131:U146)</f>
        <v>-0.38795865775715638</v>
      </c>
      <c r="H39" s="46"/>
      <c r="I39" s="46"/>
      <c r="K39" s="51"/>
      <c r="L39" s="37" t="s">
        <v>41</v>
      </c>
      <c r="M39" s="38">
        <f>AVERAGE(X265vsQY265_offline_ultrafast!Q131:Q146)</f>
        <v>-0.36850714385344091</v>
      </c>
      <c r="N39" s="38">
        <f>AVERAGE(X265vsQY265_offline_ultrafast!R131:R146)</f>
        <v>-0.48025017959276561</v>
      </c>
      <c r="O39" s="38">
        <f>AVERAGE(X265vsQY265_offline_ultrafast!S131:S146)</f>
        <v>-0.45869973859122048</v>
      </c>
      <c r="P39" s="38">
        <f>AVERAGE(X265vsQY265_offline_ultrafast!T131:T146)</f>
        <v>-0.38796007426043089</v>
      </c>
      <c r="Q39" s="39">
        <f>AVERAGE(X265vsQY265_offline_ultrafast!U131:U146)</f>
        <v>7.7999216801278581E-2</v>
      </c>
    </row>
    <row r="40" spans="1:17" ht="16.5" thickBot="1" x14ac:dyDescent="0.3">
      <c r="A40" s="51"/>
      <c r="B40" s="37" t="s">
        <v>43</v>
      </c>
      <c r="C40" s="38">
        <f>AVERAGE(X264vsQY265_offline_veryfast!Q147:Q158)</f>
        <v>-0.48171079310039483</v>
      </c>
      <c r="D40" s="38">
        <f>AVERAGE(X264vsQY265_offline_veryfast!R147:R158)</f>
        <v>-0.57716235573195007</v>
      </c>
      <c r="E40" s="38">
        <f>AVERAGE(X264vsQY265_offline_veryfast!S147:S158)</f>
        <v>-0.59786469569620704</v>
      </c>
      <c r="F40" s="38">
        <f>AVERAGE(X264vsQY265_offline_veryfast!T147:T158)</f>
        <v>-0.50629549283755859</v>
      </c>
      <c r="G40" s="39">
        <f>AVERAGE(X264vsQY265_offline_veryfast!U147:U158)</f>
        <v>0.19579574258639557</v>
      </c>
      <c r="H40" s="46"/>
      <c r="I40" s="46"/>
      <c r="K40" s="51"/>
      <c r="L40" s="37" t="s">
        <v>43</v>
      </c>
      <c r="M40" s="38">
        <f>AVERAGE(X265vsQY265_offline_ultrafast!Q147:Q158)</f>
        <v>-0.38410726022943081</v>
      </c>
      <c r="N40" s="38">
        <f>AVERAGE(X265vsQY265_offline_ultrafast!R147:R158)</f>
        <v>-0.415329256760812</v>
      </c>
      <c r="O40" s="38">
        <f>AVERAGE(X265vsQY265_offline_ultrafast!S147:S158)</f>
        <v>-0.39812333570296204</v>
      </c>
      <c r="P40" s="38">
        <f>AVERAGE(X265vsQY265_offline_ultrafast!T147:T158)</f>
        <v>-0.38900475596545442</v>
      </c>
      <c r="Q40" s="39">
        <f>AVERAGE(X265vsQY265_offline_ultrafast!U147:U158)</f>
        <v>0.8873801771740073</v>
      </c>
    </row>
    <row r="41" spans="1:17" ht="16.5" thickBot="1" x14ac:dyDescent="0.3">
      <c r="A41" s="52"/>
      <c r="B41" s="37" t="s">
        <v>79</v>
      </c>
      <c r="C41" s="38">
        <f>X264vsQY265_offline_veryfast!Q159</f>
        <v>-0.46585703416087121</v>
      </c>
      <c r="D41" s="38">
        <f>X264vsQY265_offline_veryfast!R159</f>
        <v>-0.50399751855221531</v>
      </c>
      <c r="E41" s="38">
        <f>X264vsQY265_offline_veryfast!S159</f>
        <v>-0.50454283508148334</v>
      </c>
      <c r="F41" s="38">
        <f>X264vsQY265_offline_veryfast!T159</f>
        <v>-0.47551693649186905</v>
      </c>
      <c r="G41" s="39">
        <f>X264vsQY265_offline_veryfast!U159</f>
        <v>-6.2757172245788514E-2</v>
      </c>
      <c r="H41" s="46"/>
      <c r="I41" s="46"/>
      <c r="K41" s="52"/>
      <c r="L41" s="37" t="s">
        <v>79</v>
      </c>
      <c r="M41" s="38">
        <f>X265vsQY265_offline_ultrafast!Q159</f>
        <v>-0.31641448044088044</v>
      </c>
      <c r="N41" s="38">
        <f>X265vsQY265_offline_ultrafast!R159</f>
        <v>-0.43510699184224949</v>
      </c>
      <c r="O41" s="38">
        <f>X265vsQY265_offline_ultrafast!S159</f>
        <v>-0.413531837484373</v>
      </c>
      <c r="P41" s="38">
        <f>X265vsQY265_offline_ultrafast!T159</f>
        <v>-0.33545619330009474</v>
      </c>
      <c r="Q41" s="39">
        <f>X265vsQY265_offline_ultrafast!U159</f>
        <v>0.61777319145567555</v>
      </c>
    </row>
    <row r="42" spans="1:17" ht="16.5" thickBot="1" x14ac:dyDescent="0.3">
      <c r="A42" s="53" t="s">
        <v>78</v>
      </c>
      <c r="B42" s="54"/>
      <c r="C42" s="54"/>
      <c r="D42" s="54"/>
      <c r="E42" s="54"/>
      <c r="F42" s="54"/>
      <c r="G42" s="55"/>
      <c r="H42" s="46"/>
      <c r="I42" s="46"/>
      <c r="K42" s="53" t="s">
        <v>83</v>
      </c>
      <c r="L42" s="54"/>
      <c r="M42" s="54"/>
      <c r="N42" s="54"/>
      <c r="O42" s="54"/>
      <c r="P42" s="54"/>
      <c r="Q42" s="55"/>
    </row>
    <row r="43" spans="1:17" ht="16.5" thickBot="1" x14ac:dyDescent="0.3">
      <c r="A43" s="37" t="s">
        <v>74</v>
      </c>
      <c r="B43" s="37" t="s">
        <v>73</v>
      </c>
      <c r="C43" s="37" t="s">
        <v>69</v>
      </c>
      <c r="D43" s="37" t="s">
        <v>70</v>
      </c>
      <c r="E43" s="37" t="s">
        <v>71</v>
      </c>
      <c r="F43" s="37" t="s">
        <v>72</v>
      </c>
      <c r="G43" s="37" t="s">
        <v>75</v>
      </c>
      <c r="H43" s="46"/>
      <c r="I43" s="46"/>
      <c r="K43" s="37" t="s">
        <v>74</v>
      </c>
      <c r="L43" s="37" t="s">
        <v>73</v>
      </c>
      <c r="M43" s="37" t="s">
        <v>69</v>
      </c>
      <c r="N43" s="37" t="s">
        <v>70</v>
      </c>
      <c r="O43" s="37" t="s">
        <v>71</v>
      </c>
      <c r="P43" s="37" t="s">
        <v>72</v>
      </c>
      <c r="Q43" s="37" t="s">
        <v>75</v>
      </c>
    </row>
    <row r="44" spans="1:17" ht="16.5" thickBot="1" x14ac:dyDescent="0.3">
      <c r="A44" s="50">
        <v>1</v>
      </c>
      <c r="B44" s="37" t="s">
        <v>35</v>
      </c>
      <c r="C44" s="38">
        <f>AVERAGE(X264vsQY265_offline_slow!Q9:Q16)</f>
        <v>-0.34696765805720325</v>
      </c>
      <c r="D44" s="38">
        <f>AVERAGE(X264vsQY265_offline_slow!R9:R16)</f>
        <v>-0.38494075379883796</v>
      </c>
      <c r="E44" s="38">
        <f>AVERAGE(X264vsQY265_offline_slow!S9:S16)</f>
        <v>-0.41772880068052493</v>
      </c>
      <c r="F44" s="38">
        <f>AVERAGE(X264vsQY265_offline_slow!T9:T16)</f>
        <v>-0.35769530460988402</v>
      </c>
      <c r="G44" s="39">
        <f>AVERAGE(X264vsQY265_offline_slow!U9:U16)</f>
        <v>-6.4518382895396104E-2</v>
      </c>
      <c r="H44" s="46"/>
      <c r="I44" s="46"/>
      <c r="K44" s="50">
        <v>1</v>
      </c>
      <c r="L44" s="37" t="s">
        <v>35</v>
      </c>
      <c r="M44" s="38">
        <f>AVERAGE(X265vsQY265_offline_slow!Q9:Q16)</f>
        <v>-1.8837141486729159E-2</v>
      </c>
      <c r="N44" s="38">
        <f>AVERAGE(X265vsQY265_offline_slow!R9:R16)</f>
        <v>-0.45904926880296937</v>
      </c>
      <c r="O44" s="38">
        <f>AVERAGE(X265vsQY265_offline_slow!S9:S16)</f>
        <v>-0.42941936346712428</v>
      </c>
      <c r="P44" s="38">
        <f>AVERAGE(X265vsQY265_offline_slow!T9:T16)</f>
        <v>-9.6662344432569991E-2</v>
      </c>
      <c r="Q44" s="39">
        <f>AVERAGE(X265vsQY265_offline_slow!U9:U16)</f>
        <v>1.5347945645481338</v>
      </c>
    </row>
    <row r="45" spans="1:17" ht="16.5" thickBot="1" x14ac:dyDescent="0.3">
      <c r="A45" s="51"/>
      <c r="B45" s="37" t="s">
        <v>37</v>
      </c>
      <c r="C45" s="38">
        <f>AVERAGE(X264vsQY265_offline_slow!Q17:Q36)</f>
        <v>-0.43840252643077504</v>
      </c>
      <c r="D45" s="38">
        <f>AVERAGE(X264vsQY265_offline_slow!R17:R36)</f>
        <v>-0.48449010156516986</v>
      </c>
      <c r="E45" s="38">
        <f>AVERAGE(X264vsQY265_offline_slow!S17:S36)</f>
        <v>-0.48447089997095782</v>
      </c>
      <c r="F45" s="38">
        <f>AVERAGE(X264vsQY265_offline_slow!T17:T36)</f>
        <v>-0.44669998955747581</v>
      </c>
      <c r="G45" s="39">
        <f>AVERAGE(X264vsQY265_offline_slow!U17:U36)</f>
        <v>0.20977633187780706</v>
      </c>
      <c r="H45" s="46"/>
      <c r="I45" s="46"/>
      <c r="K45" s="51"/>
      <c r="L45" s="37" t="s">
        <v>37</v>
      </c>
      <c r="M45" s="38">
        <f>AVERAGE(X265vsQY265_offline_slow!Q17:Q36)</f>
        <v>-3.0360470823850849E-2</v>
      </c>
      <c r="N45" s="38">
        <f>AVERAGE(X265vsQY265_offline_slow!R17:R36)</f>
        <v>-0.354438898992601</v>
      </c>
      <c r="O45" s="38">
        <f>AVERAGE(X265vsQY265_offline_slow!S17:S36)</f>
        <v>-0.31826803312556246</v>
      </c>
      <c r="P45" s="38">
        <f>AVERAGE(X265vsQY265_offline_slow!T17:T36)</f>
        <v>-9.2697317956833697E-2</v>
      </c>
      <c r="Q45" s="39">
        <f>AVERAGE(X265vsQY265_offline_slow!U17:U36)</f>
        <v>2.4575335271557948</v>
      </c>
    </row>
    <row r="46" spans="1:17" ht="16.5" thickBot="1" x14ac:dyDescent="0.3">
      <c r="A46" s="51"/>
      <c r="B46" s="37" t="s">
        <v>39</v>
      </c>
      <c r="C46" s="38">
        <f>AVERAGE(X264vsQY265_offline_slow!Q37:Q52)</f>
        <v>-0.33605630505543249</v>
      </c>
      <c r="D46" s="38">
        <f>AVERAGE(X264vsQY265_offline_slow!R37:R52)</f>
        <v>-0.37036645198273926</v>
      </c>
      <c r="E46" s="38">
        <f>AVERAGE(X264vsQY265_offline_slow!S37:S52)</f>
        <v>-0.34683649125454763</v>
      </c>
      <c r="F46" s="38">
        <f>AVERAGE(X264vsQY265_offline_slow!T37:T52)</f>
        <v>-0.34196818789921124</v>
      </c>
      <c r="G46" s="39">
        <f>AVERAGE(X264vsQY265_offline_slow!U37:U52)</f>
        <v>-0.18991875845480924</v>
      </c>
      <c r="H46" s="46"/>
      <c r="I46" s="46"/>
      <c r="K46" s="51"/>
      <c r="L46" s="37" t="s">
        <v>39</v>
      </c>
      <c r="M46" s="38">
        <f>AVERAGE(X265vsQY265_offline_slow!Q37:Q52)</f>
        <v>-6.6761539521945606E-2</v>
      </c>
      <c r="N46" s="38">
        <f>AVERAGE(X265vsQY265_offline_slow!R37:R52)</f>
        <v>-0.24795843309784107</v>
      </c>
      <c r="O46" s="38">
        <f>AVERAGE(X265vsQY265_offline_slow!S37:S52)</f>
        <v>-0.19834627354355094</v>
      </c>
      <c r="P46" s="38">
        <f>AVERAGE(X265vsQY265_offline_slow!T37:T52)</f>
        <v>-9.817615660023285E-2</v>
      </c>
      <c r="Q46" s="39">
        <f>AVERAGE(X265vsQY265_offline_slow!U37:U52)</f>
        <v>1.3316841603307465</v>
      </c>
    </row>
    <row r="47" spans="1:17" ht="16.5" thickBot="1" x14ac:dyDescent="0.3">
      <c r="A47" s="51"/>
      <c r="B47" s="37" t="s">
        <v>41</v>
      </c>
      <c r="C47" s="38">
        <f>AVERAGE(X264vsQY265_offline_slow!Q53:Q68)</f>
        <v>-0.26886977867014961</v>
      </c>
      <c r="D47" s="38">
        <f>AVERAGE(X264vsQY265_offline_slow!R53:R68)</f>
        <v>-0.35785574301454459</v>
      </c>
      <c r="E47" s="38">
        <f>AVERAGE(X264vsQY265_offline_slow!S53:S68)</f>
        <v>-0.3737975644208259</v>
      </c>
      <c r="F47" s="38">
        <f>AVERAGE(X264vsQY265_offline_slow!T53:T68)</f>
        <v>-0.28785023137910437</v>
      </c>
      <c r="G47" s="39">
        <f>AVERAGE(X264vsQY265_offline_slow!U53:U68)</f>
        <v>-0.18349253491694342</v>
      </c>
      <c r="H47" s="46"/>
      <c r="I47" s="46"/>
      <c r="K47" s="51"/>
      <c r="L47" s="37" t="s">
        <v>41</v>
      </c>
      <c r="M47" s="38">
        <f>AVERAGE(X265vsQY265_offline_slow!Q53:Q68)</f>
        <v>-4.6421993309898713E-2</v>
      </c>
      <c r="N47" s="38">
        <f>AVERAGE(X265vsQY265_offline_slow!R53:R68)</f>
        <v>-0.21789562084698286</v>
      </c>
      <c r="O47" s="38">
        <f>AVERAGE(X265vsQY265_offline_slow!S53:S68)</f>
        <v>-0.20377240016713036</v>
      </c>
      <c r="P47" s="38">
        <f>AVERAGE(X265vsQY265_offline_slow!T53:T68)</f>
        <v>-7.9790793435278062E-2</v>
      </c>
      <c r="Q47" s="39">
        <f>AVERAGE(X265vsQY265_offline_slow!U53:U68)</f>
        <v>1.2733102005437507</v>
      </c>
    </row>
    <row r="48" spans="1:17" ht="16.5" thickBot="1" x14ac:dyDescent="0.3">
      <c r="A48" s="51"/>
      <c r="B48" s="37" t="s">
        <v>43</v>
      </c>
      <c r="C48" s="38">
        <f>AVERAGE(X264vsQY265_offline_slow!Q69:Q80)</f>
        <v>-0.426215401492267</v>
      </c>
      <c r="D48" s="38">
        <f>AVERAGE(X264vsQY265_offline_slow!R69:R80)</f>
        <v>-0.56705813223803903</v>
      </c>
      <c r="E48" s="38">
        <f>AVERAGE(X264vsQY265_offline_slow!S69:S80)</f>
        <v>-0.58301794269572849</v>
      </c>
      <c r="F48" s="38">
        <f>AVERAGE(X264vsQY265_offline_slow!T69:T80)</f>
        <v>-0.46731162122407705</v>
      </c>
      <c r="G48" s="39">
        <f>AVERAGE(X264vsQY265_offline_slow!U69:U80)</f>
        <v>0.31148880286890984</v>
      </c>
      <c r="H48" s="46"/>
      <c r="I48" s="46"/>
      <c r="K48" s="51"/>
      <c r="L48" s="37" t="s">
        <v>43</v>
      </c>
      <c r="M48" s="38">
        <f>AVERAGE(X265vsQY265_offline_slow!Q69:Q80)</f>
        <v>-6.9318422855089198E-2</v>
      </c>
      <c r="N48" s="38">
        <f>AVERAGE(X265vsQY265_offline_slow!R69:R80)</f>
        <v>-0.31111058560518706</v>
      </c>
      <c r="O48" s="38">
        <f>AVERAGE(X265vsQY265_offline_slow!S69:S80)</f>
        <v>-0.28002048582665728</v>
      </c>
      <c r="P48" s="38">
        <f>AVERAGE(X265vsQY265_offline_slow!T69:T80)</f>
        <v>-0.1298297690438093</v>
      </c>
      <c r="Q48" s="39">
        <f>AVERAGE(X265vsQY265_offline_slow!U69:U80)</f>
        <v>2.4727907760937846</v>
      </c>
    </row>
    <row r="49" spans="1:17" ht="16.5" thickBot="1" x14ac:dyDescent="0.3">
      <c r="A49" s="52"/>
      <c r="B49" s="37" t="s">
        <v>79</v>
      </c>
      <c r="C49" s="38">
        <f>X264vsQY265_offline_slow!Q81</f>
        <v>-0.36579436042485619</v>
      </c>
      <c r="D49" s="38">
        <f>X264vsQY265_offline_slow!R81</f>
        <v>-0.43368862178482098</v>
      </c>
      <c r="E49" s="38">
        <f>X264vsQY265_offline_slow!S81</f>
        <v>-0.43830011955580656</v>
      </c>
      <c r="F49" s="38">
        <f>X264vsQY265_offline_slow!T81</f>
        <v>-0.38167217209959109</v>
      </c>
      <c r="G49" s="39">
        <f>X264vsQY265_offline_slow!U81</f>
        <v>2.0037007150997908E-2</v>
      </c>
      <c r="H49" s="46"/>
      <c r="I49" s="46"/>
      <c r="K49" s="52"/>
      <c r="L49" s="37" t="s">
        <v>79</v>
      </c>
      <c r="M49" s="38">
        <f>X265vsQY265_offline_slow!Q81</f>
        <v>-4.7231446499186522E-2</v>
      </c>
      <c r="N49" s="38">
        <f>X265vsQY265_offline_slow!R81</f>
        <v>-0.30483561139798887</v>
      </c>
      <c r="O49" s="38">
        <f>X265vsQY265_offline_slow!S81</f>
        <v>-0.272150835826931</v>
      </c>
      <c r="P49" s="38">
        <f>X265vsQY265_offline_slow!T81</f>
        <v>-9.7676021440154442E-2</v>
      </c>
      <c r="Q49" s="39">
        <f>X265vsQY265_offline_slow!U81</f>
        <v>1.8442003631474766</v>
      </c>
    </row>
    <row r="50" spans="1:17" ht="16.5" thickBot="1" x14ac:dyDescent="0.3">
      <c r="A50" s="50" t="s">
        <v>76</v>
      </c>
      <c r="B50" s="37" t="s">
        <v>35</v>
      </c>
      <c r="C50" s="38">
        <f>AVERAGE(X264vsQY265_offline_slow!Q87:Q94)</f>
        <v>-0.42813125621347076</v>
      </c>
      <c r="D50" s="38">
        <f>AVERAGE(X264vsQY265_offline_slow!R87:R94)</f>
        <v>-0.41554554579465952</v>
      </c>
      <c r="E50" s="38">
        <f>AVERAGE(X264vsQY265_offline_slow!S87:S94)</f>
        <v>-0.45358393792579477</v>
      </c>
      <c r="F50" s="38">
        <f>AVERAGE(X264vsQY265_offline_slow!T87:T94)</f>
        <v>-0.43267718667686639</v>
      </c>
      <c r="G50" s="39">
        <f>AVERAGE(X264vsQY265_offline_slow!U87:U94)</f>
        <v>0.12247702458439375</v>
      </c>
      <c r="H50" s="46"/>
      <c r="I50" s="46"/>
      <c r="K50" s="50" t="s">
        <v>76</v>
      </c>
      <c r="L50" s="37" t="s">
        <v>35</v>
      </c>
      <c r="M50" s="38">
        <f>AVERAGE(X265vsQY265_offline_slow!Q87:Q94)</f>
        <v>-2.7850499895656355E-2</v>
      </c>
      <c r="N50" s="38">
        <f>AVERAGE(X265vsQY265_offline_slow!R87:R94)</f>
        <v>-0.4251774547016996</v>
      </c>
      <c r="O50" s="38">
        <f>AVERAGE(X265vsQY265_offline_slow!S87:S94)</f>
        <v>-0.38686935358992058</v>
      </c>
      <c r="P50" s="38">
        <f>AVERAGE(X265vsQY265_offline_slow!T87:T94)</f>
        <v>-9.5032523404971925E-2</v>
      </c>
      <c r="Q50" s="39">
        <f>AVERAGE(X265vsQY265_offline_slow!U87:U94)</f>
        <v>1.6005351188338162</v>
      </c>
    </row>
    <row r="51" spans="1:17" ht="16.5" thickBot="1" x14ac:dyDescent="0.3">
      <c r="A51" s="51"/>
      <c r="B51" s="37" t="s">
        <v>37</v>
      </c>
      <c r="C51" s="38">
        <f>AVERAGE(X264vsQY265_offline_slow!Q95:Q114)</f>
        <v>-0.44149616102263406</v>
      </c>
      <c r="D51" s="38">
        <f>AVERAGE(X264vsQY265_offline_slow!R95:R114)</f>
        <v>-0.47653319499951141</v>
      </c>
      <c r="E51" s="38">
        <f>AVERAGE(X264vsQY265_offline_slow!S95:S114)</f>
        <v>-0.4691089240038428</v>
      </c>
      <c r="F51" s="38">
        <f>AVERAGE(X264vsQY265_offline_slow!T95:T114)</f>
        <v>-0.44748726153861645</v>
      </c>
      <c r="G51" s="39">
        <f>AVERAGE(X264vsQY265_offline_slow!U95:U114)</f>
        <v>0.33639468573603348</v>
      </c>
      <c r="H51" s="46"/>
      <c r="I51" s="46"/>
      <c r="K51" s="51"/>
      <c r="L51" s="37" t="s">
        <v>37</v>
      </c>
      <c r="M51" s="38">
        <f>AVERAGE(X265vsQY265_offline_slow!Q95:Q114)</f>
        <v>-3.8514390289115762E-2</v>
      </c>
      <c r="N51" s="38">
        <f>AVERAGE(X265vsQY265_offline_slow!R95:R114)</f>
        <v>-0.29519967909376821</v>
      </c>
      <c r="O51" s="38">
        <f>AVERAGE(X265vsQY265_offline_slow!S95:S114)</f>
        <v>-0.25234224719531406</v>
      </c>
      <c r="P51" s="38">
        <f>AVERAGE(X265vsQY265_offline_slow!T95:T114)</f>
        <v>-8.2997228126590231E-2</v>
      </c>
      <c r="Q51" s="39">
        <f>AVERAGE(X265vsQY265_offline_slow!U95:U114)</f>
        <v>2.5656790091011747</v>
      </c>
    </row>
    <row r="52" spans="1:17" ht="16.5" thickBot="1" x14ac:dyDescent="0.3">
      <c r="A52" s="51"/>
      <c r="B52" s="37" t="s">
        <v>39</v>
      </c>
      <c r="C52" s="38">
        <f>AVERAGE(X264vsQY265_offline_slow!Q115:Q130)</f>
        <v>-0.32831362842022571</v>
      </c>
      <c r="D52" s="38">
        <f>AVERAGE(X264vsQY265_offline_slow!R115:R130)</f>
        <v>-0.35170132363002993</v>
      </c>
      <c r="E52" s="38">
        <f>AVERAGE(X264vsQY265_offline_slow!S115:S130)</f>
        <v>-0.32785266144784198</v>
      </c>
      <c r="F52" s="38">
        <f>AVERAGE(X264vsQY265_offline_slow!T115:T130)</f>
        <v>-0.33241846685995824</v>
      </c>
      <c r="G52" s="39">
        <f>AVERAGE(X264vsQY265_offline_slow!U115:U130)</f>
        <v>-0.25719007661537507</v>
      </c>
      <c r="H52" s="46"/>
      <c r="I52" s="46"/>
      <c r="K52" s="51"/>
      <c r="L52" s="37" t="s">
        <v>39</v>
      </c>
      <c r="M52" s="38">
        <f>AVERAGE(X265vsQY265_offline_slow!Q115:Q130)</f>
        <v>-6.4984922615420215E-2</v>
      </c>
      <c r="N52" s="38">
        <f>AVERAGE(X265vsQY265_offline_slow!R115:R130)</f>
        <v>-0.2232004289709211</v>
      </c>
      <c r="O52" s="38">
        <f>AVERAGE(X265vsQY265_offline_slow!S115:S130)</f>
        <v>-0.16634192226055661</v>
      </c>
      <c r="P52" s="38">
        <f>AVERAGE(X265vsQY265_offline_slow!T115:T130)</f>
        <v>-9.0023310868662693E-2</v>
      </c>
      <c r="Q52" s="39">
        <f>AVERAGE(X265vsQY265_offline_slow!U115:U130)</f>
        <v>1.4003066919742051</v>
      </c>
    </row>
    <row r="53" spans="1:17" ht="16.5" thickBot="1" x14ac:dyDescent="0.3">
      <c r="A53" s="51"/>
      <c r="B53" s="37" t="s">
        <v>41</v>
      </c>
      <c r="C53" s="38">
        <f>AVERAGE(X264vsQY265_offline_slow!Q131:Q146)</f>
        <v>-0.26205124721284545</v>
      </c>
      <c r="D53" s="38">
        <f>AVERAGE(X264vsQY265_offline_slow!R131:R146)</f>
        <v>-0.33638894501215205</v>
      </c>
      <c r="E53" s="38">
        <f>AVERAGE(X264vsQY265_offline_slow!S131:S146)</f>
        <v>-0.35112403767873634</v>
      </c>
      <c r="F53" s="38">
        <f>AVERAGE(X264vsQY265_offline_slow!T131:T146)</f>
        <v>-0.27749292821434202</v>
      </c>
      <c r="G53" s="39">
        <f>AVERAGE(X264vsQY265_offline_slow!U131:U146)</f>
        <v>-0.48615083015379595</v>
      </c>
      <c r="H53" s="46"/>
      <c r="I53" s="46"/>
      <c r="K53" s="51"/>
      <c r="L53" s="37" t="s">
        <v>41</v>
      </c>
      <c r="M53" s="38">
        <f>AVERAGE(X265vsQY265_offline_slow!Q131:Q146)</f>
        <v>-5.3756350999677099E-2</v>
      </c>
      <c r="N53" s="38">
        <f>AVERAGE(X265vsQY265_offline_slow!R131:R146)</f>
        <v>-0.17253877762862066</v>
      </c>
      <c r="O53" s="38">
        <f>AVERAGE(X265vsQY265_offline_slow!S131:S146)</f>
        <v>-0.15193173501910909</v>
      </c>
      <c r="P53" s="38">
        <f>AVERAGE(X265vsQY265_offline_slow!T131:T146)</f>
        <v>-7.5210930955486532E-2</v>
      </c>
      <c r="Q53" s="39">
        <f>AVERAGE(X265vsQY265_offline_slow!U131:U146)</f>
        <v>1.6607477111893869</v>
      </c>
    </row>
    <row r="54" spans="1:17" ht="16.5" thickBot="1" x14ac:dyDescent="0.3">
      <c r="A54" s="51"/>
      <c r="B54" s="37" t="s">
        <v>43</v>
      </c>
      <c r="C54" s="38">
        <f>AVERAGE(X264vsQY265_offline_slow!Q147:Q158)</f>
        <v>-0.40151906866169912</v>
      </c>
      <c r="D54" s="38">
        <f>AVERAGE(X264vsQY265_offline_slow!R147:R158)</f>
        <v>-0.54358863143107705</v>
      </c>
      <c r="E54" s="38">
        <f>AVERAGE(X264vsQY265_offline_slow!S147:S158)</f>
        <v>-0.55942912502928299</v>
      </c>
      <c r="F54" s="38">
        <f>AVERAGE(X264vsQY265_offline_slow!T147:T158)</f>
        <v>-0.44168174147277989</v>
      </c>
      <c r="G54" s="39">
        <f>AVERAGE(X264vsQY265_offline_slow!U147:U158)</f>
        <v>0.4708889848886828</v>
      </c>
      <c r="H54" s="46"/>
      <c r="I54" s="46"/>
      <c r="K54" s="51"/>
      <c r="L54" s="37" t="s">
        <v>43</v>
      </c>
      <c r="M54" s="38">
        <f>AVERAGE(X265vsQY265_offline_slow!Q147:Q158)</f>
        <v>-6.5440039723360696E-2</v>
      </c>
      <c r="N54" s="38">
        <f>AVERAGE(X265vsQY265_offline_slow!R147:R158)</f>
        <v>-0.17780709688144725</v>
      </c>
      <c r="O54" s="38">
        <f>AVERAGE(X265vsQY265_offline_slow!S147:S158)</f>
        <v>-0.1143741126210186</v>
      </c>
      <c r="P54" s="38">
        <f>AVERAGE(X265vsQY265_offline_slow!T147:T158)</f>
        <v>-8.5390249457884537E-2</v>
      </c>
      <c r="Q54" s="39">
        <f>AVERAGE(X265vsQY265_offline_slow!U147:U158)</f>
        <v>2.4424219662508935</v>
      </c>
    </row>
    <row r="55" spans="1:17" ht="15.75" customHeight="1" thickBot="1" x14ac:dyDescent="0.3">
      <c r="A55" s="52"/>
      <c r="B55" s="37" t="s">
        <v>79</v>
      </c>
      <c r="C55" s="38">
        <f>X264vsQY265_offline_slow!Q159</f>
        <v>-0.36832000144763855</v>
      </c>
      <c r="D55" s="38">
        <f>X264vsQY265_offline_slow!R159</f>
        <v>-0.42204911308049087</v>
      </c>
      <c r="E55" s="38">
        <f>X264vsQY265_offline_slow!S159</f>
        <v>-0.42482814819249815</v>
      </c>
      <c r="F55" s="38">
        <f>X264vsQY265_offline_slow!T159</f>
        <v>-0.38152674920901974</v>
      </c>
      <c r="G55" s="39">
        <f>X264vsQY265_offline_slow!U159</f>
        <v>2.0346155857684387E-2</v>
      </c>
      <c r="H55" s="46"/>
      <c r="I55" s="46"/>
      <c r="K55" s="52"/>
      <c r="L55" s="37" t="s">
        <v>79</v>
      </c>
      <c r="M55" s="38">
        <f>X265vsQY265_offline_slow!Q159</f>
        <v>-5.108656471485349E-2</v>
      </c>
      <c r="N55" s="38">
        <f>X265vsQY265_offline_slow!R159</f>
        <v>-0.24681841232859719</v>
      </c>
      <c r="O55" s="38">
        <f>X265vsQY265_offline_slow!S159</f>
        <v>-0.20287038389656273</v>
      </c>
      <c r="P55" s="38">
        <f>X265vsQY265_offline_slow!T159</f>
        <v>-8.4564383506285853E-2</v>
      </c>
      <c r="Q55" s="39">
        <f>X265vsQY265_offline_slow!U159</f>
        <v>1.9778304885878093</v>
      </c>
    </row>
    <row r="56" spans="1:17" ht="16.5" thickBot="1" x14ac:dyDescent="0.3">
      <c r="A56" s="53" t="s">
        <v>82</v>
      </c>
      <c r="B56" s="54"/>
      <c r="C56" s="54"/>
      <c r="D56" s="54"/>
      <c r="E56" s="54"/>
      <c r="F56" s="54"/>
      <c r="G56" s="55"/>
      <c r="K56" s="53" t="s">
        <v>133</v>
      </c>
      <c r="L56" s="54"/>
      <c r="M56" s="54"/>
      <c r="N56" s="54"/>
      <c r="O56" s="54"/>
      <c r="P56" s="54"/>
      <c r="Q56" s="55"/>
    </row>
    <row r="57" spans="1:17" ht="16.5" thickBot="1" x14ac:dyDescent="0.3">
      <c r="A57" s="37" t="s">
        <v>74</v>
      </c>
      <c r="B57" s="37" t="s">
        <v>73</v>
      </c>
      <c r="C57" s="37" t="s">
        <v>69</v>
      </c>
      <c r="D57" s="37" t="s">
        <v>70</v>
      </c>
      <c r="E57" s="37" t="s">
        <v>71</v>
      </c>
      <c r="F57" s="37" t="s">
        <v>72</v>
      </c>
      <c r="G57" s="37" t="s">
        <v>75</v>
      </c>
      <c r="K57" s="37" t="s">
        <v>74</v>
      </c>
      <c r="L57" s="37" t="s">
        <v>73</v>
      </c>
      <c r="M57" s="37" t="s">
        <v>69</v>
      </c>
      <c r="N57" s="37" t="s">
        <v>70</v>
      </c>
      <c r="O57" s="37" t="s">
        <v>71</v>
      </c>
      <c r="P57" s="37" t="s">
        <v>72</v>
      </c>
      <c r="Q57" s="37" t="s">
        <v>75</v>
      </c>
    </row>
    <row r="58" spans="1:17" ht="16.5" thickBot="1" x14ac:dyDescent="0.3">
      <c r="A58" s="50" t="s">
        <v>76</v>
      </c>
      <c r="B58" s="37" t="s">
        <v>35</v>
      </c>
      <c r="C58" s="38">
        <f>AVERAGE(X264vsQY265_offline_placebo!Q9:Q16)</f>
        <v>-0.38366886371403885</v>
      </c>
      <c r="D58" s="38">
        <f>AVERAGE(X264vsQY265_offline_placebo!R9:R16)</f>
        <v>-0.34632210872811764</v>
      </c>
      <c r="E58" s="38">
        <f>AVERAGE(X264vsQY265_offline_placebo!S9:S16)</f>
        <v>-0.40451805254786322</v>
      </c>
      <c r="F58" s="38">
        <f>AVERAGE(X264vsQY265_offline_placebo!T9:T16)</f>
        <v>-0.38609552010579373</v>
      </c>
      <c r="G58" s="39">
        <f>AVERAGE(X264vsQY265_offline_placebo!U9:U16)</f>
        <v>0.42007145622044789</v>
      </c>
      <c r="K58" s="50" t="s">
        <v>76</v>
      </c>
      <c r="L58" s="37" t="s">
        <v>35</v>
      </c>
      <c r="M58" s="38">
        <f>AVERAGE(X265vsQY265_offline_veryslow!Q9:Q16)</f>
        <v>2.6031946567908693E-2</v>
      </c>
      <c r="N58" s="38">
        <f>AVERAGE(X265vsQY265_offline_veryslow!R9:R16)</f>
        <v>-0.38557792233836502</v>
      </c>
      <c r="O58" s="38">
        <f>AVERAGE(X265vsQY265_offline_veryslow!S9:S16)</f>
        <v>-0.3847098238102678</v>
      </c>
      <c r="P58" s="38">
        <f>AVERAGE(X265vsQY265_offline_veryslow!T9:T16)</f>
        <v>-4.6807430712148657E-2</v>
      </c>
      <c r="Q58" s="39">
        <f>AVERAGE(X265vsQY265_offline_veryslow!U9:U16)</f>
        <v>0.38405609794150952</v>
      </c>
    </row>
    <row r="59" spans="1:17" ht="16.5" thickBot="1" x14ac:dyDescent="0.3">
      <c r="A59" s="51"/>
      <c r="B59" s="37" t="s">
        <v>37</v>
      </c>
      <c r="C59" s="38">
        <f>AVERAGE(X264vsQY265_offline_placebo!Q17:Q36)</f>
        <v>-0.40844098518563482</v>
      </c>
      <c r="D59" s="38">
        <f>AVERAGE(X264vsQY265_offline_placebo!R17:R36)</f>
        <v>-0.48463833252655802</v>
      </c>
      <c r="E59" s="38">
        <f>AVERAGE(X264vsQY265_offline_placebo!S17:S36)</f>
        <v>-0.48114274572551352</v>
      </c>
      <c r="F59" s="38">
        <f>AVERAGE(X264vsQY265_offline_placebo!T17:T36)</f>
        <v>-0.42275520618725848</v>
      </c>
      <c r="G59" s="39">
        <f>AVERAGE(X264vsQY265_offline_placebo!U17:U36)</f>
        <v>1.0047012305795537</v>
      </c>
      <c r="K59" s="51"/>
      <c r="L59" s="37" t="s">
        <v>37</v>
      </c>
      <c r="M59" s="38">
        <f>AVERAGE(X265vsQY265_offline_veryslow!Q17:Q36)</f>
        <v>-1.9431620986824737E-2</v>
      </c>
      <c r="N59" s="38">
        <f>AVERAGE(X265vsQY265_offline_veryslow!R17:R36)</f>
        <v>-0.28114530577152241</v>
      </c>
      <c r="O59" s="38">
        <f>AVERAGE(X265vsQY265_offline_veryslow!S17:S36)</f>
        <v>-0.23108435104604244</v>
      </c>
      <c r="P59" s="38">
        <f>AVERAGE(X265vsQY265_offline_veryslow!T17:T36)</f>
        <v>-6.5873615040392616E-2</v>
      </c>
      <c r="Q59" s="39">
        <f>AVERAGE(X265vsQY265_offline_veryslow!U17:U36)</f>
        <v>0.60825425763740326</v>
      </c>
    </row>
    <row r="60" spans="1:17" ht="16.5" thickBot="1" x14ac:dyDescent="0.3">
      <c r="A60" s="51"/>
      <c r="B60" s="37" t="s">
        <v>39</v>
      </c>
      <c r="C60" s="38">
        <f>AVERAGE(X264vsQY265_offline_placebo!Q37:Q52)</f>
        <v>-0.29921586668486189</v>
      </c>
      <c r="D60" s="38">
        <f>AVERAGE(X264vsQY265_offline_placebo!R37:R52)</f>
        <v>-0.38937277685172034</v>
      </c>
      <c r="E60" s="38">
        <f>AVERAGE(X264vsQY265_offline_placebo!S37:S52)</f>
        <v>-0.37527074390258192</v>
      </c>
      <c r="F60" s="38">
        <f>AVERAGE(X264vsQY265_offline_placebo!T37:T52)</f>
        <v>-0.31670724113072313</v>
      </c>
      <c r="G60" s="39">
        <f>AVERAGE(X264vsQY265_offline_placebo!U37:U52)</f>
        <v>0.20804299457451242</v>
      </c>
      <c r="K60" s="51"/>
      <c r="L60" s="37" t="s">
        <v>39</v>
      </c>
      <c r="M60" s="38">
        <f>AVERAGE(X265vsQY265_offline_veryslow!Q37:Q52)</f>
        <v>-4.0094025295589614E-2</v>
      </c>
      <c r="N60" s="38">
        <f>AVERAGE(X265vsQY265_offline_veryslow!R37:R52)</f>
        <v>-0.23630756313258089</v>
      </c>
      <c r="O60" s="38">
        <f>AVERAGE(X265vsQY265_offline_veryslow!S37:S52)</f>
        <v>-0.20534669589349325</v>
      </c>
      <c r="P60" s="38">
        <f>AVERAGE(X265vsQY265_offline_veryslow!T37:T52)</f>
        <v>-7.6161127299114867E-2</v>
      </c>
      <c r="Q60" s="39">
        <f>AVERAGE(X265vsQY265_offline_veryslow!U37:U52)</f>
        <v>0.32524131648362992</v>
      </c>
    </row>
    <row r="61" spans="1:17" ht="16.5" thickBot="1" x14ac:dyDescent="0.3">
      <c r="A61" s="51"/>
      <c r="B61" s="37" t="s">
        <v>41</v>
      </c>
      <c r="C61" s="38">
        <f>AVERAGE(X264vsQY265_offline_placebo!Q53:Q68)</f>
        <v>-0.25028651003937008</v>
      </c>
      <c r="D61" s="38">
        <f>AVERAGE(X264vsQY265_offline_placebo!R53:R68)</f>
        <v>-0.41726750444659333</v>
      </c>
      <c r="E61" s="38">
        <f>AVERAGE(X264vsQY265_offline_placebo!S53:S68)</f>
        <v>-0.42530133882918636</v>
      </c>
      <c r="F61" s="38">
        <f>AVERAGE(X264vsQY265_offline_placebo!T53:T68)</f>
        <v>-0.28315233297097075</v>
      </c>
      <c r="G61" s="39">
        <f>AVERAGE(X264vsQY265_offline_placebo!U53:U68)</f>
        <v>-0.20637751776351146</v>
      </c>
      <c r="K61" s="51"/>
      <c r="L61" s="37" t="s">
        <v>41</v>
      </c>
      <c r="M61" s="38">
        <f>AVERAGE(X265vsQY265_offline_veryslow!Q53:Q68)</f>
        <v>-2.9255411373112938E-2</v>
      </c>
      <c r="N61" s="38">
        <f>AVERAGE(X265vsQY265_offline_veryslow!R53:R68)</f>
        <v>-0.2496566324351667</v>
      </c>
      <c r="O61" s="38">
        <f>AVERAGE(X265vsQY265_offline_veryslow!S53:S68)</f>
        <v>-0.22580584342260232</v>
      </c>
      <c r="P61" s="38">
        <f>AVERAGE(X265vsQY265_offline_veryslow!T53:T68)</f>
        <v>-7.1027061588052248E-2</v>
      </c>
      <c r="Q61" s="39">
        <f>AVERAGE(X265vsQY265_offline_veryslow!U53:U68)</f>
        <v>0.72473280023477815</v>
      </c>
    </row>
    <row r="62" spans="1:17" ht="16.5" thickBot="1" x14ac:dyDescent="0.3">
      <c r="A62" s="51"/>
      <c r="B62" s="37" t="s">
        <v>43</v>
      </c>
      <c r="C62" s="38">
        <f>AVERAGE(X264vsQY265_offline_placebo!Q69:Q80)</f>
        <v>-0.34129261470578176</v>
      </c>
      <c r="D62" s="38">
        <f>AVERAGE(X264vsQY265_offline_placebo!R69:R80)</f>
        <v>-0.48296250914767169</v>
      </c>
      <c r="E62" s="38">
        <f>AVERAGE(X264vsQY265_offline_placebo!S69:S80)</f>
        <v>-0.5138579664225883</v>
      </c>
      <c r="F62" s="38">
        <f>AVERAGE(X264vsQY265_offline_placebo!T69:T80)</f>
        <v>-0.38332278967712918</v>
      </c>
      <c r="G62" s="39">
        <f>AVERAGE(X264vsQY265_offline_placebo!U69:U80)</f>
        <v>0.87891644446490469</v>
      </c>
      <c r="K62" s="51"/>
      <c r="L62" s="37" t="s">
        <v>43</v>
      </c>
      <c r="M62" s="38">
        <f>AVERAGE(X265vsQY265_offline_veryslow!Q69:Q80)</f>
        <v>-1.3770787461244938E-2</v>
      </c>
      <c r="N62" s="38">
        <f>AVERAGE(X265vsQY265_offline_veryslow!R69:R80)</f>
        <v>-0.1545425666595138</v>
      </c>
      <c r="O62" s="38">
        <f>AVERAGE(X265vsQY265_offline_veryslow!S69:S80)</f>
        <v>-0.14408662969814137</v>
      </c>
      <c r="P62" s="38">
        <f>AVERAGE(X265vsQY265_offline_veryslow!T69:T80)</f>
        <v>-4.7185899775738317E-2</v>
      </c>
      <c r="Q62" s="39">
        <f>AVERAGE(X265vsQY265_offline_veryslow!U69:U80)</f>
        <v>0.55031439741582633</v>
      </c>
    </row>
    <row r="63" spans="1:17" ht="16.5" thickBot="1" x14ac:dyDescent="0.3">
      <c r="A63" s="52"/>
      <c r="B63" s="37" t="s">
        <v>79</v>
      </c>
      <c r="C63" s="38">
        <f>X264vsQY265_offline_placebo!Q81</f>
        <v>-0.33507944468725137</v>
      </c>
      <c r="D63" s="38">
        <f>X264vsQY265_offline_placebo!R81</f>
        <v>-0.4328491407069609</v>
      </c>
      <c r="E63" s="38">
        <f>X264vsQY265_offline_placebo!S81</f>
        <v>-0.44214511466211837</v>
      </c>
      <c r="F63" s="38">
        <f>X264vsQY265_offline_placebo!T81</f>
        <v>-0.35752076314366898</v>
      </c>
      <c r="G63" s="39">
        <f>X264vsQY265_offline_placebo!U81</f>
        <v>0.47261446144318803</v>
      </c>
      <c r="K63" s="52"/>
      <c r="L63" s="37" t="s">
        <v>79</v>
      </c>
      <c r="M63" s="38">
        <f>X265vsQY265_offline_veryslow!Q81</f>
        <v>-2.0211351158713961E-2</v>
      </c>
      <c r="N63" s="38">
        <f>X265vsQY265_offline_veryslow!R81</f>
        <v>-0.25468704754354854</v>
      </c>
      <c r="O63" s="38">
        <f>X265vsQY265_offline_veryslow!S81</f>
        <v>-0.22676174717830858</v>
      </c>
      <c r="P63" s="38">
        <f>X265vsQY265_offline_veryslow!T81</f>
        <v>-6.4071855083452436E-2</v>
      </c>
      <c r="Q63" s="39">
        <f>X265vsQY265_offline_veryslow!U81</f>
        <v>0.53667906351061945</v>
      </c>
    </row>
  </sheetData>
  <mergeCells count="22">
    <mergeCell ref="A9:A14"/>
    <mergeCell ref="A15:A20"/>
    <mergeCell ref="K9:K14"/>
    <mergeCell ref="A7:G7"/>
    <mergeCell ref="K7:Q7"/>
    <mergeCell ref="K15:K20"/>
    <mergeCell ref="K58:K63"/>
    <mergeCell ref="A28:G28"/>
    <mergeCell ref="K28:Q28"/>
    <mergeCell ref="K36:K41"/>
    <mergeCell ref="K42:Q42"/>
    <mergeCell ref="K44:K49"/>
    <mergeCell ref="A58:A63"/>
    <mergeCell ref="A30:A35"/>
    <mergeCell ref="A50:A55"/>
    <mergeCell ref="K50:K55"/>
    <mergeCell ref="K56:Q56"/>
    <mergeCell ref="K30:K35"/>
    <mergeCell ref="A42:G42"/>
    <mergeCell ref="A44:A49"/>
    <mergeCell ref="A56:G56"/>
    <mergeCell ref="A36:A41"/>
  </mergeCells>
  <phoneticPr fontId="5" type="noConversion"/>
  <conditionalFormatting sqref="C9:F9">
    <cfRule type="cellIs" dxfId="453" priority="4551" operator="greaterThan">
      <formula>0.03</formula>
    </cfRule>
    <cfRule type="cellIs" dxfId="452" priority="4552" stopIfTrue="1" operator="lessThan">
      <formula>-0.03</formula>
    </cfRule>
  </conditionalFormatting>
  <conditionalFormatting sqref="C14:F14">
    <cfRule type="cellIs" dxfId="451" priority="4543" operator="greaterThan">
      <formula>0.03</formula>
    </cfRule>
    <cfRule type="cellIs" dxfId="450" priority="4544" stopIfTrue="1" operator="lessThan">
      <formula>-0.03</formula>
    </cfRule>
  </conditionalFormatting>
  <conditionalFormatting sqref="C10:F13">
    <cfRule type="cellIs" dxfId="449" priority="4541" operator="greaterThan">
      <formula>0.03</formula>
    </cfRule>
    <cfRule type="cellIs" dxfId="448" priority="4542" stopIfTrue="1" operator="lessThan">
      <formula>-0.03</formula>
    </cfRule>
  </conditionalFormatting>
  <conditionalFormatting sqref="C21:F21">
    <cfRule type="cellIs" dxfId="447" priority="4479" operator="greaterThan">
      <formula>0.03</formula>
    </cfRule>
    <cfRule type="cellIs" dxfId="446" priority="4480" stopIfTrue="1" operator="lessThan">
      <formula>-0.03</formula>
    </cfRule>
  </conditionalFormatting>
  <conditionalFormatting sqref="C15:F15">
    <cfRule type="cellIs" dxfId="445" priority="4181" operator="greaterThan">
      <formula>0.03</formula>
    </cfRule>
    <cfRule type="cellIs" dxfId="444" priority="4182" stopIfTrue="1" operator="lessThan">
      <formula>-0.03</formula>
    </cfRule>
  </conditionalFormatting>
  <conditionalFormatting sqref="C20:F20">
    <cfRule type="cellIs" dxfId="443" priority="4179" operator="greaterThan">
      <formula>0.03</formula>
    </cfRule>
    <cfRule type="cellIs" dxfId="442" priority="4180" stopIfTrue="1" operator="lessThan">
      <formula>-0.03</formula>
    </cfRule>
  </conditionalFormatting>
  <conditionalFormatting sqref="C16:F19">
    <cfRule type="cellIs" dxfId="441" priority="4177" operator="greaterThan">
      <formula>0.03</formula>
    </cfRule>
    <cfRule type="cellIs" dxfId="440" priority="4178" stopIfTrue="1" operator="lessThan">
      <formula>-0.03</formula>
    </cfRule>
  </conditionalFormatting>
  <conditionalFormatting sqref="C30:F30">
    <cfRule type="cellIs" dxfId="439" priority="3973" operator="greaterThan">
      <formula>0.03</formula>
    </cfRule>
    <cfRule type="cellIs" dxfId="438" priority="3974" stopIfTrue="1" operator="lessThan">
      <formula>-0.03</formula>
    </cfRule>
  </conditionalFormatting>
  <conditionalFormatting sqref="C35:F35">
    <cfRule type="cellIs" dxfId="437" priority="3971" operator="greaterThan">
      <formula>0.03</formula>
    </cfRule>
    <cfRule type="cellIs" dxfId="436" priority="3972" stopIfTrue="1" operator="lessThan">
      <formula>-0.03</formula>
    </cfRule>
  </conditionalFormatting>
  <conditionalFormatting sqref="C31:F34">
    <cfRule type="cellIs" dxfId="435" priority="3969" operator="greaterThan">
      <formula>0.03</formula>
    </cfRule>
    <cfRule type="cellIs" dxfId="434" priority="3970" stopIfTrue="1" operator="lessThan">
      <formula>-0.03</formula>
    </cfRule>
  </conditionalFormatting>
  <conditionalFormatting sqref="C36:F36">
    <cfRule type="cellIs" dxfId="433" priority="3961" operator="greaterThan">
      <formula>0.03</formula>
    </cfRule>
    <cfRule type="cellIs" dxfId="432" priority="3962" stopIfTrue="1" operator="lessThan">
      <formula>-0.03</formula>
    </cfRule>
  </conditionalFormatting>
  <conditionalFormatting sqref="C41:F41">
    <cfRule type="cellIs" dxfId="431" priority="3959" operator="greaterThan">
      <formula>0.03</formula>
    </cfRule>
    <cfRule type="cellIs" dxfId="430" priority="3960" stopIfTrue="1" operator="lessThan">
      <formula>-0.03</formula>
    </cfRule>
  </conditionalFormatting>
  <conditionalFormatting sqref="C37:F40">
    <cfRule type="cellIs" dxfId="429" priority="3957" operator="greaterThan">
      <formula>0.03</formula>
    </cfRule>
    <cfRule type="cellIs" dxfId="428" priority="3958" stopIfTrue="1" operator="lessThan">
      <formula>-0.03</formula>
    </cfRule>
  </conditionalFormatting>
  <conditionalFormatting sqref="C44:F44">
    <cfRule type="cellIs" dxfId="427" priority="3937" operator="greaterThan">
      <formula>0.03</formula>
    </cfRule>
    <cfRule type="cellIs" dxfId="426" priority="3938" stopIfTrue="1" operator="lessThan">
      <formula>-0.03</formula>
    </cfRule>
  </conditionalFormatting>
  <conditionalFormatting sqref="C49:F49">
    <cfRule type="cellIs" dxfId="425" priority="3935" operator="greaterThan">
      <formula>0.03</formula>
    </cfRule>
    <cfRule type="cellIs" dxfId="424" priority="3936" stopIfTrue="1" operator="lessThan">
      <formula>-0.03</formula>
    </cfRule>
  </conditionalFormatting>
  <conditionalFormatting sqref="C45:F48">
    <cfRule type="cellIs" dxfId="423" priority="3933" operator="greaterThan">
      <formula>0.03</formula>
    </cfRule>
    <cfRule type="cellIs" dxfId="422" priority="3934" stopIfTrue="1" operator="lessThan">
      <formula>-0.03</formula>
    </cfRule>
  </conditionalFormatting>
  <conditionalFormatting sqref="C50:F50">
    <cfRule type="cellIs" dxfId="421" priority="3925" operator="greaterThan">
      <formula>0.03</formula>
    </cfRule>
    <cfRule type="cellIs" dxfId="420" priority="3926" stopIfTrue="1" operator="lessThan">
      <formula>-0.03</formula>
    </cfRule>
  </conditionalFormatting>
  <conditionalFormatting sqref="C55:F55">
    <cfRule type="cellIs" dxfId="419" priority="3923" operator="greaterThan">
      <formula>0.03</formula>
    </cfRule>
    <cfRule type="cellIs" dxfId="418" priority="3924" stopIfTrue="1" operator="lessThan">
      <formula>-0.03</formula>
    </cfRule>
  </conditionalFormatting>
  <conditionalFormatting sqref="C51:F54">
    <cfRule type="cellIs" dxfId="417" priority="3921" operator="greaterThan">
      <formula>0.03</formula>
    </cfRule>
    <cfRule type="cellIs" dxfId="416" priority="3922" stopIfTrue="1" operator="lessThan">
      <formula>-0.03</formula>
    </cfRule>
  </conditionalFormatting>
  <conditionalFormatting sqref="M9:P9">
    <cfRule type="cellIs" dxfId="415" priority="3767" operator="greaterThan">
      <formula>0.03</formula>
    </cfRule>
    <cfRule type="cellIs" dxfId="414" priority="3768" stopIfTrue="1" operator="lessThan">
      <formula>-0.03</formula>
    </cfRule>
  </conditionalFormatting>
  <conditionalFormatting sqref="M14:P14">
    <cfRule type="cellIs" dxfId="413" priority="3765" operator="greaterThan">
      <formula>0.03</formula>
    </cfRule>
    <cfRule type="cellIs" dxfId="412" priority="3766" stopIfTrue="1" operator="lessThan">
      <formula>-0.03</formula>
    </cfRule>
  </conditionalFormatting>
  <conditionalFormatting sqref="M10:P13">
    <cfRule type="cellIs" dxfId="411" priority="3763" operator="greaterThan">
      <formula>0.03</formula>
    </cfRule>
    <cfRule type="cellIs" dxfId="410" priority="3764" stopIfTrue="1" operator="lessThan">
      <formula>-0.03</formula>
    </cfRule>
  </conditionalFormatting>
  <conditionalFormatting sqref="M15:P15">
    <cfRule type="cellIs" dxfId="409" priority="3755" operator="greaterThan">
      <formula>0.03</formula>
    </cfRule>
    <cfRule type="cellIs" dxfId="408" priority="3756" stopIfTrue="1" operator="lessThan">
      <formula>-0.03</formula>
    </cfRule>
  </conditionalFormatting>
  <conditionalFormatting sqref="M20:P20">
    <cfRule type="cellIs" dxfId="407" priority="3753" operator="greaterThan">
      <formula>0.03</formula>
    </cfRule>
    <cfRule type="cellIs" dxfId="406" priority="3754" stopIfTrue="1" operator="lessThan">
      <formula>-0.03</formula>
    </cfRule>
  </conditionalFormatting>
  <conditionalFormatting sqref="M16:P19">
    <cfRule type="cellIs" dxfId="405" priority="3751" operator="greaterThan">
      <formula>0.03</formula>
    </cfRule>
    <cfRule type="cellIs" dxfId="404" priority="3752" stopIfTrue="1" operator="lessThan">
      <formula>-0.03</formula>
    </cfRule>
  </conditionalFormatting>
  <conditionalFormatting sqref="C58:F58">
    <cfRule type="cellIs" dxfId="403" priority="2141" operator="greaterThan">
      <formula>0.03</formula>
    </cfRule>
    <cfRule type="cellIs" dxfId="402" priority="2142" stopIfTrue="1" operator="lessThan">
      <formula>-0.03</formula>
    </cfRule>
  </conditionalFormatting>
  <conditionalFormatting sqref="C63:F63">
    <cfRule type="cellIs" dxfId="401" priority="2139" operator="greaterThan">
      <formula>0.03</formula>
    </cfRule>
    <cfRule type="cellIs" dxfId="400" priority="2140" stopIfTrue="1" operator="lessThan">
      <formula>-0.03</formula>
    </cfRule>
  </conditionalFormatting>
  <conditionalFormatting sqref="C59:F62">
    <cfRule type="cellIs" dxfId="399" priority="2137" operator="greaterThan">
      <formula>0.03</formula>
    </cfRule>
    <cfRule type="cellIs" dxfId="398" priority="2138" stopIfTrue="1" operator="lessThan">
      <formula>-0.03</formula>
    </cfRule>
  </conditionalFormatting>
  <conditionalFormatting sqref="M44:P44">
    <cfRule type="cellIs" dxfId="397" priority="717" operator="greaterThan">
      <formula>0.03</formula>
    </cfRule>
    <cfRule type="cellIs" dxfId="396" priority="718" stopIfTrue="1" operator="lessThan">
      <formula>-0.03</formula>
    </cfRule>
  </conditionalFormatting>
  <conditionalFormatting sqref="M49:P49">
    <cfRule type="cellIs" dxfId="395" priority="715" operator="greaterThan">
      <formula>0.03</formula>
    </cfRule>
    <cfRule type="cellIs" dxfId="394" priority="716" stopIfTrue="1" operator="lessThan">
      <formula>-0.03</formula>
    </cfRule>
  </conditionalFormatting>
  <conditionalFormatting sqref="M45:P48">
    <cfRule type="cellIs" dxfId="393" priority="713" operator="greaterThan">
      <formula>0.03</formula>
    </cfRule>
    <cfRule type="cellIs" dxfId="392" priority="714" stopIfTrue="1" operator="lessThan">
      <formula>-0.03</formula>
    </cfRule>
  </conditionalFormatting>
  <conditionalFormatting sqref="M50:P50">
    <cfRule type="cellIs" dxfId="391" priority="705" operator="greaterThan">
      <formula>0.03</formula>
    </cfRule>
    <cfRule type="cellIs" dxfId="390" priority="706" stopIfTrue="1" operator="lessThan">
      <formula>-0.03</formula>
    </cfRule>
  </conditionalFormatting>
  <conditionalFormatting sqref="M55:P55">
    <cfRule type="cellIs" dxfId="389" priority="703" operator="greaterThan">
      <formula>0.03</formula>
    </cfRule>
    <cfRule type="cellIs" dxfId="388" priority="704" stopIfTrue="1" operator="lessThan">
      <formula>-0.03</formula>
    </cfRule>
  </conditionalFormatting>
  <conditionalFormatting sqref="M51:P54">
    <cfRule type="cellIs" dxfId="387" priority="701" operator="greaterThan">
      <formula>0.03</formula>
    </cfRule>
    <cfRule type="cellIs" dxfId="386" priority="702" stopIfTrue="1" operator="lessThan">
      <formula>-0.03</formula>
    </cfRule>
  </conditionalFormatting>
  <conditionalFormatting sqref="M37:M40">
    <cfRule type="cellIs" dxfId="385" priority="683" operator="greaterThan">
      <formula>0.03</formula>
    </cfRule>
    <cfRule type="cellIs" dxfId="384" priority="684" stopIfTrue="1" operator="lessThan">
      <formula>-0.03</formula>
    </cfRule>
  </conditionalFormatting>
  <conditionalFormatting sqref="M30">
    <cfRule type="cellIs" dxfId="383" priority="699" operator="greaterThan">
      <formula>0.03</formula>
    </cfRule>
    <cfRule type="cellIs" dxfId="382" priority="700" stopIfTrue="1" operator="lessThan">
      <formula>-0.03</formula>
    </cfRule>
  </conditionalFormatting>
  <conditionalFormatting sqref="M35">
    <cfRule type="cellIs" dxfId="381" priority="697" operator="greaterThan">
      <formula>0.03</formula>
    </cfRule>
    <cfRule type="cellIs" dxfId="380" priority="698" stopIfTrue="1" operator="lessThan">
      <formula>-0.03</formula>
    </cfRule>
  </conditionalFormatting>
  <conditionalFormatting sqref="M31:M34">
    <cfRule type="cellIs" dxfId="379" priority="695" operator="greaterThan">
      <formula>0.03</formula>
    </cfRule>
    <cfRule type="cellIs" dxfId="378" priority="696" stopIfTrue="1" operator="lessThan">
      <formula>-0.03</formula>
    </cfRule>
  </conditionalFormatting>
  <conditionalFormatting sqref="M36">
    <cfRule type="cellIs" dxfId="377" priority="687" operator="greaterThan">
      <formula>0.03</formula>
    </cfRule>
    <cfRule type="cellIs" dxfId="376" priority="688" stopIfTrue="1" operator="lessThan">
      <formula>-0.03</formula>
    </cfRule>
  </conditionalFormatting>
  <conditionalFormatting sqref="M41">
    <cfRule type="cellIs" dxfId="375" priority="685" operator="greaterThan">
      <formula>0.03</formula>
    </cfRule>
    <cfRule type="cellIs" dxfId="374" priority="686" stopIfTrue="1" operator="lessThan">
      <formula>-0.03</formula>
    </cfRule>
  </conditionalFormatting>
  <conditionalFormatting sqref="N37:N40">
    <cfRule type="cellIs" dxfId="373" priority="647" operator="greaterThan">
      <formula>0.03</formula>
    </cfRule>
    <cfRule type="cellIs" dxfId="372" priority="648" stopIfTrue="1" operator="lessThan">
      <formula>-0.03</formula>
    </cfRule>
  </conditionalFormatting>
  <conditionalFormatting sqref="N30">
    <cfRule type="cellIs" dxfId="371" priority="663" operator="greaterThan">
      <formula>0.03</formula>
    </cfRule>
    <cfRule type="cellIs" dxfId="370" priority="664" stopIfTrue="1" operator="lessThan">
      <formula>-0.03</formula>
    </cfRule>
  </conditionalFormatting>
  <conditionalFormatting sqref="N35">
    <cfRule type="cellIs" dxfId="369" priority="661" operator="greaterThan">
      <formula>0.03</formula>
    </cfRule>
    <cfRule type="cellIs" dxfId="368" priority="662" stopIfTrue="1" operator="lessThan">
      <formula>-0.03</formula>
    </cfRule>
  </conditionalFormatting>
  <conditionalFormatting sqref="N31:N34">
    <cfRule type="cellIs" dxfId="367" priority="659" operator="greaterThan">
      <formula>0.03</formula>
    </cfRule>
    <cfRule type="cellIs" dxfId="366" priority="660" stopIfTrue="1" operator="lessThan">
      <formula>-0.03</formula>
    </cfRule>
  </conditionalFormatting>
  <conditionalFormatting sqref="N36">
    <cfRule type="cellIs" dxfId="365" priority="651" operator="greaterThan">
      <formula>0.03</formula>
    </cfRule>
    <cfRule type="cellIs" dxfId="364" priority="652" stopIfTrue="1" operator="lessThan">
      <formula>-0.03</formula>
    </cfRule>
  </conditionalFormatting>
  <conditionalFormatting sqref="N41">
    <cfRule type="cellIs" dxfId="363" priority="649" operator="greaterThan">
      <formula>0.03</formula>
    </cfRule>
    <cfRule type="cellIs" dxfId="362" priority="650" stopIfTrue="1" operator="lessThan">
      <formula>-0.03</formula>
    </cfRule>
  </conditionalFormatting>
  <conditionalFormatting sqref="O37:O40">
    <cfRule type="cellIs" dxfId="361" priority="629" operator="greaterThan">
      <formula>0.03</formula>
    </cfRule>
    <cfRule type="cellIs" dxfId="360" priority="630" stopIfTrue="1" operator="lessThan">
      <formula>-0.03</formula>
    </cfRule>
  </conditionalFormatting>
  <conditionalFormatting sqref="O30">
    <cfRule type="cellIs" dxfId="359" priority="645" operator="greaterThan">
      <formula>0.03</formula>
    </cfRule>
    <cfRule type="cellIs" dxfId="358" priority="646" stopIfTrue="1" operator="lessThan">
      <formula>-0.03</formula>
    </cfRule>
  </conditionalFormatting>
  <conditionalFormatting sqref="O35">
    <cfRule type="cellIs" dxfId="357" priority="643" operator="greaterThan">
      <formula>0.03</formula>
    </cfRule>
    <cfRule type="cellIs" dxfId="356" priority="644" stopIfTrue="1" operator="lessThan">
      <formula>-0.03</formula>
    </cfRule>
  </conditionalFormatting>
  <conditionalFormatting sqref="O31:O34">
    <cfRule type="cellIs" dxfId="355" priority="641" operator="greaterThan">
      <formula>0.03</formula>
    </cfRule>
    <cfRule type="cellIs" dxfId="354" priority="642" stopIfTrue="1" operator="lessThan">
      <formula>-0.03</formula>
    </cfRule>
  </conditionalFormatting>
  <conditionalFormatting sqref="O36">
    <cfRule type="cellIs" dxfId="353" priority="633" operator="greaterThan">
      <formula>0.03</formula>
    </cfRule>
    <cfRule type="cellIs" dxfId="352" priority="634" stopIfTrue="1" operator="lessThan">
      <formula>-0.03</formula>
    </cfRule>
  </conditionalFormatting>
  <conditionalFormatting sqref="O41">
    <cfRule type="cellIs" dxfId="351" priority="631" operator="greaterThan">
      <formula>0.03</formula>
    </cfRule>
    <cfRule type="cellIs" dxfId="350" priority="632" stopIfTrue="1" operator="lessThan">
      <formula>-0.03</formula>
    </cfRule>
  </conditionalFormatting>
  <conditionalFormatting sqref="P37:P40">
    <cfRule type="cellIs" dxfId="349" priority="611" operator="greaterThan">
      <formula>0.03</formula>
    </cfRule>
    <cfRule type="cellIs" dxfId="348" priority="612" stopIfTrue="1" operator="lessThan">
      <formula>-0.03</formula>
    </cfRule>
  </conditionalFormatting>
  <conditionalFormatting sqref="P30">
    <cfRule type="cellIs" dxfId="347" priority="627" operator="greaterThan">
      <formula>0.03</formula>
    </cfRule>
    <cfRule type="cellIs" dxfId="346" priority="628" stopIfTrue="1" operator="lessThan">
      <formula>-0.03</formula>
    </cfRule>
  </conditionalFormatting>
  <conditionalFormatting sqref="P35">
    <cfRule type="cellIs" dxfId="345" priority="625" operator="greaterThan">
      <formula>0.03</formula>
    </cfRule>
    <cfRule type="cellIs" dxfId="344" priority="626" stopIfTrue="1" operator="lessThan">
      <formula>-0.03</formula>
    </cfRule>
  </conditionalFormatting>
  <conditionalFormatting sqref="P31:P34">
    <cfRule type="cellIs" dxfId="343" priority="623" operator="greaterThan">
      <formula>0.03</formula>
    </cfRule>
    <cfRule type="cellIs" dxfId="342" priority="624" stopIfTrue="1" operator="lessThan">
      <formula>-0.03</formula>
    </cfRule>
  </conditionalFormatting>
  <conditionalFormatting sqref="P36">
    <cfRule type="cellIs" dxfId="341" priority="615" operator="greaterThan">
      <formula>0.03</formula>
    </cfRule>
    <cfRule type="cellIs" dxfId="340" priority="616" stopIfTrue="1" operator="lessThan">
      <formula>-0.03</formula>
    </cfRule>
  </conditionalFormatting>
  <conditionalFormatting sqref="P41">
    <cfRule type="cellIs" dxfId="339" priority="613" operator="greaterThan">
      <formula>0.03</formula>
    </cfRule>
    <cfRule type="cellIs" dxfId="338" priority="614" stopIfTrue="1" operator="lessThan">
      <formula>-0.03</formula>
    </cfRule>
  </conditionalFormatting>
  <conditionalFormatting sqref="M58:P58">
    <cfRule type="cellIs" dxfId="337" priority="293" operator="greaterThan">
      <formula>0.03</formula>
    </cfRule>
    <cfRule type="cellIs" dxfId="336" priority="294" stopIfTrue="1" operator="lessThan">
      <formula>-0.03</formula>
    </cfRule>
  </conditionalFormatting>
  <conditionalFormatting sqref="M63:P63">
    <cfRule type="cellIs" dxfId="335" priority="291" operator="greaterThan">
      <formula>0.03</formula>
    </cfRule>
    <cfRule type="cellIs" dxfId="334" priority="292" stopIfTrue="1" operator="lessThan">
      <formula>-0.03</formula>
    </cfRule>
  </conditionalFormatting>
  <conditionalFormatting sqref="M59:P62">
    <cfRule type="cellIs" dxfId="333" priority="289" operator="greaterThan">
      <formula>0.03</formula>
    </cfRule>
    <cfRule type="cellIs" dxfId="332" priority="29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59"/>
  <sheetViews>
    <sheetView topLeftCell="A13" workbookViewId="0">
      <selection activeCell="E9" sqref="E9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132</v>
      </c>
    </row>
    <row r="2" spans="1:21" x14ac:dyDescent="0.25">
      <c r="A2" t="s">
        <v>115</v>
      </c>
    </row>
    <row r="3" spans="1:21" x14ac:dyDescent="0.25">
      <c r="A3" t="s">
        <v>113</v>
      </c>
    </row>
    <row r="4" spans="1:21" x14ac:dyDescent="0.25">
      <c r="A4" t="s">
        <v>114</v>
      </c>
    </row>
    <row r="5" spans="1:21" s="35" customFormat="1" ht="15.75" customHeight="1" x14ac:dyDescent="0.25">
      <c r="B5" s="56" t="s">
        <v>29</v>
      </c>
      <c r="C5" s="58" t="s">
        <v>86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65</v>
      </c>
      <c r="D7" s="65"/>
      <c r="E7" s="65"/>
      <c r="F7" s="65"/>
      <c r="G7" s="65"/>
      <c r="H7" s="65"/>
      <c r="I7" s="5"/>
      <c r="J7" s="64" t="s">
        <v>87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5870.09</v>
      </c>
      <c r="D9" s="16">
        <v>36.122</v>
      </c>
      <c r="E9" s="16">
        <v>37.923999999999999</v>
      </c>
      <c r="F9" s="16">
        <v>40.024999999999999</v>
      </c>
      <c r="G9" s="16">
        <v>20.260000000000002</v>
      </c>
      <c r="H9" s="16">
        <f t="shared" ref="H9:H80" si="0">(6*D9+E9+F9)/8</f>
        <v>36.835124999999998</v>
      </c>
      <c r="I9" s="5"/>
      <c r="J9" s="15">
        <v>4281.9312</v>
      </c>
      <c r="K9" s="16">
        <v>36.480699999999999</v>
      </c>
      <c r="L9" s="16">
        <v>38.268300000000004</v>
      </c>
      <c r="M9" s="16">
        <v>40.599699999999999</v>
      </c>
      <c r="N9" s="16">
        <v>15.841200000000001</v>
      </c>
      <c r="O9" s="16">
        <f t="shared" ref="O9:O80" si="1">(6*K9+L9+M9)/8</f>
        <v>37.219024999999995</v>
      </c>
      <c r="P9" s="7"/>
      <c r="Q9" s="8">
        <f>bdrate(C9:C12,D9:D12,J9:J12,K9:K12)</f>
        <v>-0.40511373017548924</v>
      </c>
      <c r="R9" s="8">
        <f>bdrate(C9:C12,E9:E12,J9:J12,L9:L12)</f>
        <v>-0.41634697633452777</v>
      </c>
      <c r="S9" s="8">
        <f>bdrate(C9:C12,F9:F12,J9:J12,M9:M12)</f>
        <v>-0.48482806438738979</v>
      </c>
      <c r="T9" s="25">
        <f>bdrate(C9:C12,H9:H12,J9:J12,O9:O12)</f>
        <v>-0.4110310242438352</v>
      </c>
      <c r="U9" s="28">
        <f t="shared" ref="U9:U72" si="2">(N9-G9)/G9</f>
        <v>-0.21810463968410665</v>
      </c>
    </row>
    <row r="10" spans="1:21" x14ac:dyDescent="0.25">
      <c r="A10" s="9" t="s">
        <v>36</v>
      </c>
      <c r="B10" s="9"/>
      <c r="C10" s="17">
        <v>4293.3500000000004</v>
      </c>
      <c r="D10" s="18">
        <v>34.779000000000003</v>
      </c>
      <c r="E10" s="18">
        <v>37.347999999999999</v>
      </c>
      <c r="F10" s="18">
        <v>39.466000000000001</v>
      </c>
      <c r="G10" s="18">
        <v>22.27</v>
      </c>
      <c r="H10" s="18">
        <f t="shared" si="0"/>
        <v>35.686000000000007</v>
      </c>
      <c r="I10" s="5"/>
      <c r="J10" s="17">
        <v>3241.3375999999998</v>
      </c>
      <c r="K10" s="18">
        <v>35.459499999999998</v>
      </c>
      <c r="L10" s="18">
        <v>37.7639</v>
      </c>
      <c r="M10" s="18">
        <v>40.080500000000001</v>
      </c>
      <c r="N10" s="18">
        <v>18.142199999999999</v>
      </c>
      <c r="O10" s="18">
        <f t="shared" si="1"/>
        <v>36.325175000000002</v>
      </c>
      <c r="P10" s="7"/>
      <c r="Q10" s="10"/>
      <c r="R10" s="11"/>
      <c r="S10" s="11"/>
      <c r="T10" s="26"/>
      <c r="U10" s="28">
        <f t="shared" si="2"/>
        <v>-0.18535249214189495</v>
      </c>
    </row>
    <row r="11" spans="1:21" x14ac:dyDescent="0.25">
      <c r="B11" s="9"/>
      <c r="C11" s="17">
        <v>2837.38</v>
      </c>
      <c r="D11" s="18">
        <v>32.869999999999997</v>
      </c>
      <c r="E11" s="18">
        <v>36.651000000000003</v>
      </c>
      <c r="F11" s="18">
        <v>38.722999999999999</v>
      </c>
      <c r="G11" s="18">
        <v>24.55</v>
      </c>
      <c r="H11" s="18">
        <f t="shared" si="0"/>
        <v>34.074249999999999</v>
      </c>
      <c r="I11" s="5"/>
      <c r="J11" s="17">
        <v>2133.3728000000001</v>
      </c>
      <c r="K11" s="18">
        <v>33.893799999999999</v>
      </c>
      <c r="L11" s="18">
        <v>37.063400000000001</v>
      </c>
      <c r="M11" s="18">
        <v>39.357900000000001</v>
      </c>
      <c r="N11" s="18">
        <v>21.1327</v>
      </c>
      <c r="O11" s="18">
        <f t="shared" si="1"/>
        <v>34.973012499999996</v>
      </c>
      <c r="P11" s="7"/>
      <c r="Q11" s="10"/>
      <c r="R11" s="11"/>
      <c r="S11" s="11"/>
      <c r="T11" s="26"/>
      <c r="U11" s="28">
        <f t="shared" si="2"/>
        <v>-0.13919755600814668</v>
      </c>
    </row>
    <row r="12" spans="1:21" ht="16.5" thickBot="1" x14ac:dyDescent="0.3">
      <c r="B12" s="12"/>
      <c r="C12" s="19">
        <v>1393.96</v>
      </c>
      <c r="D12" s="20">
        <v>29.068000000000001</v>
      </c>
      <c r="E12" s="20">
        <v>35.575000000000003</v>
      </c>
      <c r="F12" s="20">
        <v>37.470999999999997</v>
      </c>
      <c r="G12" s="20">
        <v>28.99</v>
      </c>
      <c r="H12" s="20">
        <f t="shared" si="0"/>
        <v>30.931750000000001</v>
      </c>
      <c r="I12" s="5"/>
      <c r="J12" s="19">
        <v>1049.4448</v>
      </c>
      <c r="K12" s="20">
        <v>31.0703</v>
      </c>
      <c r="L12" s="20">
        <v>35.997300000000003</v>
      </c>
      <c r="M12" s="20">
        <v>38.279699999999998</v>
      </c>
      <c r="N12" s="20">
        <v>27.392299999999999</v>
      </c>
      <c r="O12" s="20">
        <f t="shared" si="1"/>
        <v>32.587350000000001</v>
      </c>
      <c r="P12" s="7"/>
      <c r="Q12" s="13"/>
      <c r="R12" s="14"/>
      <c r="S12" s="14"/>
      <c r="T12" s="27"/>
      <c r="U12" s="28">
        <f t="shared" si="2"/>
        <v>-5.5112107623318377E-2</v>
      </c>
    </row>
    <row r="13" spans="1:21" x14ac:dyDescent="0.25">
      <c r="B13" s="6" t="s">
        <v>47</v>
      </c>
      <c r="C13" s="15">
        <v>6016.52</v>
      </c>
      <c r="D13" s="16">
        <v>29.323</v>
      </c>
      <c r="E13" s="16">
        <v>38.700000000000003</v>
      </c>
      <c r="F13" s="16">
        <v>39.402999999999999</v>
      </c>
      <c r="G13" s="16">
        <v>18.53</v>
      </c>
      <c r="H13" s="16">
        <f t="shared" si="0"/>
        <v>31.755124999999996</v>
      </c>
      <c r="I13" s="5"/>
      <c r="J13" s="15">
        <v>4160.9888000000001</v>
      </c>
      <c r="K13" s="16">
        <v>29.265799999999999</v>
      </c>
      <c r="L13" s="16">
        <v>37.636099999999999</v>
      </c>
      <c r="M13" s="16">
        <v>38.709600000000002</v>
      </c>
      <c r="N13" s="16">
        <v>13.335699999999999</v>
      </c>
      <c r="O13" s="16">
        <f t="shared" si="1"/>
        <v>31.492562499999998</v>
      </c>
      <c r="P13" s="7"/>
      <c r="Q13" s="8">
        <f>bdrate(C13:C16,D13:D16,J13:J16,K13:K16)</f>
        <v>-0.38031161405176317</v>
      </c>
      <c r="R13" s="8">
        <f>bdrate(C13:C16,E13:E16,J13:J16,L13:L16)</f>
        <v>-1.9146367483355298E-2</v>
      </c>
      <c r="S13" s="8">
        <f>bdrate(C13:C16,F13:F16,J13:J16,M13:M16)</f>
        <v>-0.13836667597907171</v>
      </c>
      <c r="T13" s="25">
        <f>bdrate(C13:C16,H13:H16,J13:J16,O13:O16)</f>
        <v>-0.345904911940489</v>
      </c>
      <c r="U13" s="28">
        <f t="shared" si="2"/>
        <v>-0.28031840259039403</v>
      </c>
    </row>
    <row r="14" spans="1:21" x14ac:dyDescent="0.25">
      <c r="B14" s="9"/>
      <c r="C14" s="17">
        <v>4508</v>
      </c>
      <c r="D14" s="18">
        <v>27.632000000000001</v>
      </c>
      <c r="E14" s="18">
        <v>38.238</v>
      </c>
      <c r="F14" s="18">
        <v>38.957999999999998</v>
      </c>
      <c r="G14" s="18">
        <v>20.37</v>
      </c>
      <c r="H14" s="18">
        <f t="shared" si="0"/>
        <v>30.3735</v>
      </c>
      <c r="I14" s="5"/>
      <c r="J14" s="17">
        <v>3128.7696000000001</v>
      </c>
      <c r="K14" s="18">
        <v>27.8401</v>
      </c>
      <c r="L14" s="18">
        <v>36.9711</v>
      </c>
      <c r="M14" s="18">
        <v>38.132300000000001</v>
      </c>
      <c r="N14" s="18">
        <v>15.0482</v>
      </c>
      <c r="O14" s="18">
        <f t="shared" si="1"/>
        <v>30.268000000000001</v>
      </c>
      <c r="P14" s="7"/>
      <c r="Q14" s="10"/>
      <c r="R14" s="11"/>
      <c r="S14" s="11"/>
      <c r="T14" s="26"/>
      <c r="U14" s="28">
        <f t="shared" si="2"/>
        <v>-0.26125675012272959</v>
      </c>
    </row>
    <row r="15" spans="1:21" x14ac:dyDescent="0.25">
      <c r="B15" s="9"/>
      <c r="C15" s="17">
        <v>3018.58</v>
      </c>
      <c r="D15" s="18">
        <v>25.15</v>
      </c>
      <c r="E15" s="18">
        <v>37.348999999999997</v>
      </c>
      <c r="F15" s="18">
        <v>38.1</v>
      </c>
      <c r="G15" s="18">
        <v>22.77</v>
      </c>
      <c r="H15" s="18">
        <f t="shared" si="0"/>
        <v>28.293624999999995</v>
      </c>
      <c r="I15" s="5"/>
      <c r="J15" s="17">
        <v>2084.0128</v>
      </c>
      <c r="K15" s="18">
        <v>25.773299999999999</v>
      </c>
      <c r="L15" s="18">
        <v>36.035499999999999</v>
      </c>
      <c r="M15" s="18">
        <v>37.3384</v>
      </c>
      <c r="N15" s="18">
        <v>18.177399999999999</v>
      </c>
      <c r="O15" s="18">
        <f t="shared" si="1"/>
        <v>28.5017125</v>
      </c>
      <c r="P15" s="7"/>
      <c r="Q15" s="10"/>
      <c r="R15" s="11"/>
      <c r="S15" s="11"/>
      <c r="T15" s="26"/>
      <c r="U15" s="28">
        <f t="shared" si="2"/>
        <v>-0.20169521299956086</v>
      </c>
    </row>
    <row r="16" spans="1:21" ht="16.5" thickBot="1" x14ac:dyDescent="0.3">
      <c r="B16" s="12"/>
      <c r="C16" s="19">
        <v>1563.13</v>
      </c>
      <c r="D16" s="20">
        <v>20.949000000000002</v>
      </c>
      <c r="E16" s="20">
        <v>34.106999999999999</v>
      </c>
      <c r="F16" s="20">
        <v>35.24</v>
      </c>
      <c r="G16" s="20">
        <v>26.7</v>
      </c>
      <c r="H16" s="20">
        <f t="shared" si="0"/>
        <v>24.380125000000003</v>
      </c>
      <c r="I16" s="5"/>
      <c r="J16" s="19">
        <v>1057.0655999999999</v>
      </c>
      <c r="K16" s="20">
        <v>22.634899999999998</v>
      </c>
      <c r="L16" s="20">
        <v>34.594200000000001</v>
      </c>
      <c r="M16" s="20">
        <v>35.884</v>
      </c>
      <c r="N16" s="20">
        <v>25.235499999999998</v>
      </c>
      <c r="O16" s="20">
        <f t="shared" si="1"/>
        <v>25.78595</v>
      </c>
      <c r="P16" s="7"/>
      <c r="Q16" s="13"/>
      <c r="R16" s="14"/>
      <c r="S16" s="14"/>
      <c r="T16" s="27"/>
      <c r="U16" s="28">
        <f t="shared" si="2"/>
        <v>-5.4850187265917644E-2</v>
      </c>
    </row>
    <row r="17" spans="1:21" x14ac:dyDescent="0.25">
      <c r="A17" s="6" t="s">
        <v>37</v>
      </c>
      <c r="B17" s="6" t="s">
        <v>48</v>
      </c>
      <c r="C17" s="15">
        <v>3165.68</v>
      </c>
      <c r="D17" s="16">
        <v>37.911999999999999</v>
      </c>
      <c r="E17" s="16">
        <v>41.198</v>
      </c>
      <c r="F17" s="16">
        <v>42.037999999999997</v>
      </c>
      <c r="G17" s="16">
        <v>33.24</v>
      </c>
      <c r="H17" s="16">
        <f t="shared" si="0"/>
        <v>38.838499999999996</v>
      </c>
      <c r="I17" s="5"/>
      <c r="J17" s="15">
        <v>2091.4151999999999</v>
      </c>
      <c r="K17" s="16">
        <v>38.108400000000003</v>
      </c>
      <c r="L17" s="16">
        <v>40.569099999999999</v>
      </c>
      <c r="M17" s="16">
        <v>41.726199999999999</v>
      </c>
      <c r="N17" s="16">
        <v>34.261200000000002</v>
      </c>
      <c r="O17" s="16">
        <f t="shared" si="1"/>
        <v>38.868212500000006</v>
      </c>
      <c r="P17" s="7"/>
      <c r="Q17" s="8">
        <f>bdrate(C17:C20,D17:D20,J17:J20,K17:K20)</f>
        <v>-0.44547966728068744</v>
      </c>
      <c r="R17" s="8">
        <f>bdrate(C17:C20,E17:E20,J17:J20,L17:L20)</f>
        <v>-7.0812020341350035E-2</v>
      </c>
      <c r="S17" s="8">
        <f>bdrate(C17:C20,F17:F20,J17:J20,M17:M20)</f>
        <v>-0.30646700713737063</v>
      </c>
      <c r="T17" s="25">
        <f>bdrate(C17:C20,H17:H20,J17:J20,O17:O20)</f>
        <v>-0.41925250038176798</v>
      </c>
      <c r="U17" s="28">
        <f t="shared" si="2"/>
        <v>3.0722021660649829E-2</v>
      </c>
    </row>
    <row r="18" spans="1:21" x14ac:dyDescent="0.25">
      <c r="A18" s="9" t="s">
        <v>38</v>
      </c>
      <c r="B18" s="9"/>
      <c r="C18" s="17">
        <v>2104.75</v>
      </c>
      <c r="D18" s="18">
        <v>36.271000000000001</v>
      </c>
      <c r="E18" s="18">
        <v>40.484000000000002</v>
      </c>
      <c r="F18" s="18">
        <v>41.267000000000003</v>
      </c>
      <c r="G18" s="18">
        <v>37.950000000000003</v>
      </c>
      <c r="H18" s="18">
        <f t="shared" si="0"/>
        <v>37.422125000000001</v>
      </c>
      <c r="I18" s="5"/>
      <c r="J18" s="17">
        <v>1384.48</v>
      </c>
      <c r="K18" s="18">
        <v>36.696100000000001</v>
      </c>
      <c r="L18" s="18">
        <v>39.810600000000001</v>
      </c>
      <c r="M18" s="18">
        <v>41.035699999999999</v>
      </c>
      <c r="N18" s="18">
        <v>39.649799999999999</v>
      </c>
      <c r="O18" s="18">
        <f t="shared" si="1"/>
        <v>37.627862500000006</v>
      </c>
      <c r="P18" s="7"/>
      <c r="Q18" s="10"/>
      <c r="R18" s="11"/>
      <c r="S18" s="11"/>
      <c r="T18" s="26"/>
      <c r="U18" s="28">
        <f t="shared" si="2"/>
        <v>4.4790513833991991E-2</v>
      </c>
    </row>
    <row r="19" spans="1:21" x14ac:dyDescent="0.25">
      <c r="B19" s="9"/>
      <c r="C19" s="17">
        <v>1297.8900000000001</v>
      </c>
      <c r="D19" s="18">
        <v>34.103999999999999</v>
      </c>
      <c r="E19" s="18">
        <v>39.686999999999998</v>
      </c>
      <c r="F19" s="18">
        <v>40.442</v>
      </c>
      <c r="G19" s="18">
        <v>43.73</v>
      </c>
      <c r="H19" s="18">
        <f t="shared" si="0"/>
        <v>35.594124999999998</v>
      </c>
      <c r="I19" s="5"/>
      <c r="J19" s="17">
        <v>859.54319999999996</v>
      </c>
      <c r="K19" s="18">
        <v>35.028799999999997</v>
      </c>
      <c r="L19" s="18">
        <v>39.123600000000003</v>
      </c>
      <c r="M19" s="18">
        <v>40.461799999999997</v>
      </c>
      <c r="N19" s="18">
        <v>45.514899999999997</v>
      </c>
      <c r="O19" s="18">
        <f t="shared" si="1"/>
        <v>36.219774999999998</v>
      </c>
      <c r="P19" s="7"/>
      <c r="Q19" s="10"/>
      <c r="R19" s="11"/>
      <c r="S19" s="11"/>
      <c r="T19" s="26"/>
      <c r="U19" s="28">
        <f t="shared" si="2"/>
        <v>4.0816373199176775E-2</v>
      </c>
    </row>
    <row r="20" spans="1:21" ht="16.5" thickBot="1" x14ac:dyDescent="0.3">
      <c r="B20" s="12"/>
      <c r="C20" s="19">
        <v>773.54</v>
      </c>
      <c r="D20" s="20">
        <v>31.231999999999999</v>
      </c>
      <c r="E20" s="20">
        <v>38.639000000000003</v>
      </c>
      <c r="F20" s="20">
        <v>39.499000000000002</v>
      </c>
      <c r="G20" s="20">
        <v>51.05</v>
      </c>
      <c r="H20" s="20">
        <f t="shared" si="0"/>
        <v>33.191250000000004</v>
      </c>
      <c r="I20" s="5"/>
      <c r="J20" s="19">
        <v>512.19759999999997</v>
      </c>
      <c r="K20" s="20">
        <v>33.232900000000001</v>
      </c>
      <c r="L20" s="20">
        <v>38.450400000000002</v>
      </c>
      <c r="M20" s="20">
        <v>39.934199999999997</v>
      </c>
      <c r="N20" s="20">
        <v>53.981099999999998</v>
      </c>
      <c r="O20" s="20">
        <f t="shared" si="1"/>
        <v>34.722749999999998</v>
      </c>
      <c r="P20" s="7"/>
      <c r="Q20" s="13"/>
      <c r="R20" s="14"/>
      <c r="S20" s="14"/>
      <c r="T20" s="27"/>
      <c r="U20" s="28">
        <f t="shared" si="2"/>
        <v>5.7416258570029403E-2</v>
      </c>
    </row>
    <row r="21" spans="1:21" x14ac:dyDescent="0.25">
      <c r="B21" s="6" t="s">
        <v>49</v>
      </c>
      <c r="C21" s="15">
        <v>3492.34</v>
      </c>
      <c r="D21" s="16">
        <v>34.92</v>
      </c>
      <c r="E21" s="16">
        <v>38.228000000000002</v>
      </c>
      <c r="F21" s="16">
        <v>39.441000000000003</v>
      </c>
      <c r="G21" s="16">
        <v>35.590000000000003</v>
      </c>
      <c r="H21" s="16">
        <f t="shared" si="0"/>
        <v>35.898625000000003</v>
      </c>
      <c r="I21" s="5"/>
      <c r="J21" s="15">
        <v>2444.7048</v>
      </c>
      <c r="K21" s="16">
        <v>34.651299999999999</v>
      </c>
      <c r="L21" s="16">
        <v>38.579799999999999</v>
      </c>
      <c r="M21" s="16">
        <v>39.7348</v>
      </c>
      <c r="N21" s="16">
        <v>29.3614</v>
      </c>
      <c r="O21" s="16">
        <f t="shared" si="1"/>
        <v>35.777799999999999</v>
      </c>
      <c r="P21" s="7"/>
      <c r="Q21" s="8">
        <f>bdrate(C21:C24,D21:D24,J21:J24,K21:K24)</f>
        <v>-0.36504992587495089</v>
      </c>
      <c r="R21" s="8">
        <f>bdrate(C21:C24,E21:E24,J21:J24,L21:L24)</f>
        <v>-0.38314480293913988</v>
      </c>
      <c r="S21" s="8">
        <f>bdrate(C21:C24,F21:F24,J21:J24,M21:M24)</f>
        <v>-0.44121905881878576</v>
      </c>
      <c r="T21" s="25">
        <f>bdrate(C21:C24,H21:H24,J21:J24,O21:O24)</f>
        <v>-0.36997620669498887</v>
      </c>
      <c r="U21" s="28">
        <f t="shared" si="2"/>
        <v>-0.17500983422309646</v>
      </c>
    </row>
    <row r="22" spans="1:21" x14ac:dyDescent="0.25">
      <c r="B22" s="9"/>
      <c r="C22" s="17">
        <v>2312.2800000000002</v>
      </c>
      <c r="D22" s="18">
        <v>33.335999999999999</v>
      </c>
      <c r="E22" s="18">
        <v>37.491</v>
      </c>
      <c r="F22" s="18">
        <v>38.847999999999999</v>
      </c>
      <c r="G22" s="18">
        <v>39.89</v>
      </c>
      <c r="H22" s="18">
        <f t="shared" si="0"/>
        <v>34.544375000000002</v>
      </c>
      <c r="I22" s="5"/>
      <c r="J22" s="17">
        <v>1635.7583999999999</v>
      </c>
      <c r="K22" s="18">
        <v>33.427199999999999</v>
      </c>
      <c r="L22" s="18">
        <v>37.797899999999998</v>
      </c>
      <c r="M22" s="18">
        <v>39.116700000000002</v>
      </c>
      <c r="N22" s="18">
        <v>34.261200000000002</v>
      </c>
      <c r="O22" s="18">
        <f t="shared" si="1"/>
        <v>34.684725</v>
      </c>
      <c r="P22" s="7"/>
      <c r="Q22" s="10"/>
      <c r="R22" s="11"/>
      <c r="S22" s="11"/>
      <c r="T22" s="26"/>
      <c r="U22" s="28">
        <f t="shared" si="2"/>
        <v>-0.14110804712960637</v>
      </c>
    </row>
    <row r="23" spans="1:21" x14ac:dyDescent="0.25">
      <c r="B23" s="9"/>
      <c r="C23" s="17">
        <v>1436.83</v>
      </c>
      <c r="D23" s="18">
        <v>31.41</v>
      </c>
      <c r="E23" s="18">
        <v>36.89</v>
      </c>
      <c r="F23" s="18">
        <v>38.308</v>
      </c>
      <c r="G23" s="18">
        <v>45.1</v>
      </c>
      <c r="H23" s="18">
        <f t="shared" si="0"/>
        <v>32.957250000000002</v>
      </c>
      <c r="I23" s="5"/>
      <c r="J23" s="17">
        <v>1014.3256</v>
      </c>
      <c r="K23" s="18">
        <v>32.033999999999999</v>
      </c>
      <c r="L23" s="18">
        <v>37.039299999999997</v>
      </c>
      <c r="M23" s="18">
        <v>38.576300000000003</v>
      </c>
      <c r="N23" s="18">
        <v>40.595399999999998</v>
      </c>
      <c r="O23" s="18">
        <f t="shared" si="1"/>
        <v>33.477450000000005</v>
      </c>
      <c r="P23" s="7"/>
      <c r="Q23" s="10"/>
      <c r="R23" s="11"/>
      <c r="S23" s="11"/>
      <c r="T23" s="26"/>
      <c r="U23" s="28">
        <f t="shared" si="2"/>
        <v>-9.9880266075388108E-2</v>
      </c>
    </row>
    <row r="24" spans="1:21" ht="16.5" thickBot="1" x14ac:dyDescent="0.3">
      <c r="B24" s="12"/>
      <c r="C24" s="19">
        <v>868.92</v>
      </c>
      <c r="D24" s="20">
        <v>29.292999999999999</v>
      </c>
      <c r="E24" s="20">
        <v>36.271000000000001</v>
      </c>
      <c r="F24" s="20">
        <v>37.667999999999999</v>
      </c>
      <c r="G24" s="20">
        <v>51.35</v>
      </c>
      <c r="H24" s="20">
        <f t="shared" si="0"/>
        <v>31.212125</v>
      </c>
      <c r="I24" s="5"/>
      <c r="J24" s="19">
        <v>599.5376</v>
      </c>
      <c r="K24" s="20">
        <v>30.493600000000001</v>
      </c>
      <c r="L24" s="20">
        <v>36.275399999999998</v>
      </c>
      <c r="M24" s="20">
        <v>38.084600000000002</v>
      </c>
      <c r="N24" s="20">
        <v>50.441400000000002</v>
      </c>
      <c r="O24" s="20">
        <f t="shared" si="1"/>
        <v>32.165199999999999</v>
      </c>
      <c r="P24" s="7"/>
      <c r="Q24" s="13"/>
      <c r="R24" s="14"/>
      <c r="S24" s="14"/>
      <c r="T24" s="27"/>
      <c r="U24" s="28">
        <f t="shared" si="2"/>
        <v>-1.7694255111976628E-2</v>
      </c>
    </row>
    <row r="25" spans="1:21" x14ac:dyDescent="0.25">
      <c r="B25" s="6" t="s">
        <v>50</v>
      </c>
      <c r="C25" s="15">
        <v>3588.41</v>
      </c>
      <c r="D25" s="16">
        <v>32.427999999999997</v>
      </c>
      <c r="E25" s="16">
        <v>37.049999999999997</v>
      </c>
      <c r="F25" s="16">
        <v>38.031999999999996</v>
      </c>
      <c r="G25" s="16">
        <v>43.93</v>
      </c>
      <c r="H25" s="16">
        <f t="shared" si="0"/>
        <v>33.706249999999997</v>
      </c>
      <c r="I25" s="5"/>
      <c r="J25" s="15">
        <v>2472.444</v>
      </c>
      <c r="K25" s="16">
        <v>32.921700000000001</v>
      </c>
      <c r="L25" s="16">
        <v>37.2117</v>
      </c>
      <c r="M25" s="16">
        <v>38.5593</v>
      </c>
      <c r="N25" s="16">
        <v>41.573099999999997</v>
      </c>
      <c r="O25" s="16">
        <f t="shared" si="1"/>
        <v>34.162649999999999</v>
      </c>
      <c r="P25" s="7"/>
      <c r="Q25" s="8">
        <f>bdrate(C25:C28,D25:D28,J25:J28,K25:K28)</f>
        <v>-0.48638307993045626</v>
      </c>
      <c r="R25" s="8">
        <f>bdrate(C25:C28,E25:E28,J25:J28,L25:L28)</f>
        <v>-0.31242989466961557</v>
      </c>
      <c r="S25" s="8">
        <f>bdrate(C25:C28,F25:F28,J25:J28,M25:M28)</f>
        <v>-0.37855718755133649</v>
      </c>
      <c r="T25" s="25">
        <f>bdrate(C25:C28,H25:H28,J25:J28,O25:O28)</f>
        <v>-0.47501725590120991</v>
      </c>
      <c r="U25" s="28">
        <f t="shared" si="2"/>
        <v>-5.3651263373548898E-2</v>
      </c>
    </row>
    <row r="26" spans="1:21" x14ac:dyDescent="0.25">
      <c r="B26" s="9"/>
      <c r="C26" s="17">
        <v>2352.8200000000002</v>
      </c>
      <c r="D26" s="18">
        <v>30.675000000000001</v>
      </c>
      <c r="E26" s="18">
        <v>36.457999999999998</v>
      </c>
      <c r="F26" s="18">
        <v>37.197000000000003</v>
      </c>
      <c r="G26" s="18">
        <v>48.33</v>
      </c>
      <c r="H26" s="18">
        <f t="shared" si="0"/>
        <v>32.213125000000005</v>
      </c>
      <c r="I26" s="5"/>
      <c r="J26" s="17">
        <v>1646.5008</v>
      </c>
      <c r="K26" s="18">
        <v>31.610499999999998</v>
      </c>
      <c r="L26" s="18">
        <v>36.642099999999999</v>
      </c>
      <c r="M26" s="18">
        <v>37.6434</v>
      </c>
      <c r="N26" s="18">
        <v>50.556100000000001</v>
      </c>
      <c r="O26" s="18">
        <f t="shared" si="1"/>
        <v>32.993562499999996</v>
      </c>
      <c r="P26" s="7"/>
      <c r="Q26" s="10"/>
      <c r="R26" s="11"/>
      <c r="S26" s="11"/>
      <c r="T26" s="26"/>
      <c r="U26" s="28">
        <f t="shared" si="2"/>
        <v>4.6060417959859351E-2</v>
      </c>
    </row>
    <row r="27" spans="1:21" x14ac:dyDescent="0.25">
      <c r="B27" s="9"/>
      <c r="C27" s="17">
        <v>1472.73</v>
      </c>
      <c r="D27" s="18">
        <v>28.501000000000001</v>
      </c>
      <c r="E27" s="18">
        <v>36.018000000000001</v>
      </c>
      <c r="F27" s="18">
        <v>36.386000000000003</v>
      </c>
      <c r="G27" s="18">
        <v>53.03</v>
      </c>
      <c r="H27" s="18">
        <f t="shared" si="0"/>
        <v>30.42625</v>
      </c>
      <c r="I27" s="5"/>
      <c r="J27" s="17">
        <v>1034.5856000000001</v>
      </c>
      <c r="K27" s="18">
        <v>30.048999999999999</v>
      </c>
      <c r="L27" s="18">
        <v>35.954300000000003</v>
      </c>
      <c r="M27" s="18">
        <v>36.5824</v>
      </c>
      <c r="N27" s="18">
        <v>59.687199999999997</v>
      </c>
      <c r="O27" s="18">
        <f t="shared" si="1"/>
        <v>31.603837499999997</v>
      </c>
      <c r="P27" s="7"/>
      <c r="Q27" s="10"/>
      <c r="R27" s="11"/>
      <c r="S27" s="11"/>
      <c r="T27" s="26"/>
      <c r="U27" s="28">
        <f t="shared" si="2"/>
        <v>0.12553648877993581</v>
      </c>
    </row>
    <row r="28" spans="1:21" ht="16.5" thickBot="1" x14ac:dyDescent="0.3">
      <c r="B28" s="12"/>
      <c r="C28" s="19">
        <v>878.51</v>
      </c>
      <c r="D28" s="20">
        <v>26.119</v>
      </c>
      <c r="E28" s="20">
        <v>35.387</v>
      </c>
      <c r="F28" s="20">
        <v>35.234000000000002</v>
      </c>
      <c r="G28" s="20">
        <v>59.61</v>
      </c>
      <c r="H28" s="20">
        <f t="shared" si="0"/>
        <v>28.416875000000001</v>
      </c>
      <c r="I28" s="5"/>
      <c r="J28" s="19">
        <v>618.45839999999998</v>
      </c>
      <c r="K28" s="20">
        <v>28.3</v>
      </c>
      <c r="L28" s="20">
        <v>35.027700000000003</v>
      </c>
      <c r="M28" s="20">
        <v>35.219900000000003</v>
      </c>
      <c r="N28" s="20">
        <v>73.013999999999996</v>
      </c>
      <c r="O28" s="20">
        <f t="shared" si="1"/>
        <v>30.005950000000002</v>
      </c>
      <c r="P28" s="7"/>
      <c r="Q28" s="13"/>
      <c r="R28" s="14"/>
      <c r="S28" s="14"/>
      <c r="T28" s="27"/>
      <c r="U28" s="28">
        <f t="shared" si="2"/>
        <v>0.22486160040261696</v>
      </c>
    </row>
    <row r="29" spans="1:21" x14ac:dyDescent="0.25">
      <c r="B29" s="6" t="s">
        <v>51</v>
      </c>
      <c r="C29" s="29">
        <v>3554.4</v>
      </c>
      <c r="D29" s="30">
        <v>32.195999999999998</v>
      </c>
      <c r="E29" s="30">
        <v>38.920999999999999</v>
      </c>
      <c r="F29" s="30">
        <v>38.573</v>
      </c>
      <c r="G29" s="16">
        <v>42.22</v>
      </c>
      <c r="H29" s="16">
        <f t="shared" si="0"/>
        <v>33.833749999999995</v>
      </c>
      <c r="I29" s="5"/>
      <c r="J29" s="29">
        <v>2445.9704000000002</v>
      </c>
      <c r="K29" s="30">
        <v>33.270699999999998</v>
      </c>
      <c r="L29" s="30">
        <v>39.063899999999997</v>
      </c>
      <c r="M29" s="30">
        <v>38.383899999999997</v>
      </c>
      <c r="N29" s="16">
        <v>38.756700000000002</v>
      </c>
      <c r="O29" s="16">
        <f t="shared" si="1"/>
        <v>34.633999999999993</v>
      </c>
      <c r="P29" s="7"/>
      <c r="Q29" s="8">
        <f>bdrate(C29:C32,D29:D32,J29:J32,K29:K32)</f>
        <v>-0.58877087625780478</v>
      </c>
      <c r="R29" s="8">
        <f>bdrate(C29:C32,E29:E32,J29:J32,L29:L32)</f>
        <v>-0.35930328434760295</v>
      </c>
      <c r="S29" s="8">
        <f>bdrate(C29:C32,F29:F32,J29:J32,M29:M32)</f>
        <v>-0.19174970336398711</v>
      </c>
      <c r="T29" s="25">
        <f>bdrate(C29:C32,H29:H32,J29:J32,O29:O32)</f>
        <v>-0.54623942715576268</v>
      </c>
      <c r="U29" s="28">
        <f t="shared" si="2"/>
        <v>-8.2029843675982872E-2</v>
      </c>
    </row>
    <row r="30" spans="1:21" x14ac:dyDescent="0.25">
      <c r="B30" s="9"/>
      <c r="C30" s="31">
        <v>2358.62</v>
      </c>
      <c r="D30" s="32">
        <v>30.068999999999999</v>
      </c>
      <c r="E30" s="32">
        <v>38.122</v>
      </c>
      <c r="F30" s="32">
        <v>37.712000000000003</v>
      </c>
      <c r="G30" s="18">
        <v>47.21</v>
      </c>
      <c r="H30" s="18">
        <f t="shared" si="0"/>
        <v>32.030999999999999</v>
      </c>
      <c r="I30" s="5"/>
      <c r="J30" s="31">
        <v>1625.7552000000001</v>
      </c>
      <c r="K30" s="32">
        <v>31.920100000000001</v>
      </c>
      <c r="L30" s="32">
        <v>38.141599999999997</v>
      </c>
      <c r="M30" s="32">
        <v>37.123800000000003</v>
      </c>
      <c r="N30" s="18">
        <v>46.930700000000002</v>
      </c>
      <c r="O30" s="18">
        <f t="shared" si="1"/>
        <v>33.34825</v>
      </c>
      <c r="P30" s="7"/>
      <c r="Q30" s="10"/>
      <c r="R30" s="11"/>
      <c r="S30" s="11"/>
      <c r="T30" s="26"/>
      <c r="U30" s="28">
        <f t="shared" si="2"/>
        <v>-5.9161194662147682E-3</v>
      </c>
    </row>
    <row r="31" spans="1:21" x14ac:dyDescent="0.25">
      <c r="B31" s="9"/>
      <c r="C31" s="31">
        <v>1466.81</v>
      </c>
      <c r="D31" s="32">
        <v>26.98</v>
      </c>
      <c r="E31" s="32">
        <v>36.783000000000001</v>
      </c>
      <c r="F31" s="32">
        <v>36.442999999999998</v>
      </c>
      <c r="G31" s="18">
        <v>52.6</v>
      </c>
      <c r="H31" s="18">
        <f t="shared" si="0"/>
        <v>29.388249999999999</v>
      </c>
      <c r="I31" s="5"/>
      <c r="J31" s="31">
        <v>1017.7944</v>
      </c>
      <c r="K31" s="32">
        <v>30.330500000000001</v>
      </c>
      <c r="L31" s="32">
        <v>36.944099999999999</v>
      </c>
      <c r="M31" s="32">
        <v>35.549900000000001</v>
      </c>
      <c r="N31" s="18">
        <v>55.934699999999999</v>
      </c>
      <c r="O31" s="18">
        <f t="shared" si="1"/>
        <v>31.809625</v>
      </c>
      <c r="P31" s="7"/>
      <c r="Q31" s="10"/>
      <c r="R31" s="11"/>
      <c r="S31" s="11"/>
      <c r="T31" s="26"/>
      <c r="U31" s="28">
        <f t="shared" si="2"/>
        <v>6.3397338403041792E-2</v>
      </c>
    </row>
    <row r="32" spans="1:21" ht="16.5" thickBot="1" x14ac:dyDescent="0.3">
      <c r="B32" s="12"/>
      <c r="C32" s="33">
        <v>871.89</v>
      </c>
      <c r="D32" s="34">
        <v>22.893000000000001</v>
      </c>
      <c r="E32" s="34">
        <v>32.25</v>
      </c>
      <c r="F32" s="34">
        <v>32.298999999999999</v>
      </c>
      <c r="G32" s="20">
        <v>57.18</v>
      </c>
      <c r="H32" s="20">
        <f t="shared" si="0"/>
        <v>25.238375000000001</v>
      </c>
      <c r="I32" s="5"/>
      <c r="J32" s="33">
        <v>611.63520000000005</v>
      </c>
      <c r="K32" s="34">
        <v>28.579799999999999</v>
      </c>
      <c r="L32" s="34">
        <v>35.252200000000002</v>
      </c>
      <c r="M32" s="34">
        <v>33.6661</v>
      </c>
      <c r="N32" s="20">
        <v>67.331000000000003</v>
      </c>
      <c r="O32" s="20">
        <f t="shared" si="1"/>
        <v>30.049637499999999</v>
      </c>
      <c r="P32" s="7"/>
      <c r="Q32" s="13"/>
      <c r="R32" s="14"/>
      <c r="S32" s="14"/>
      <c r="T32" s="27"/>
      <c r="U32" s="28">
        <f t="shared" si="2"/>
        <v>0.17752710738020291</v>
      </c>
    </row>
    <row r="33" spans="1:21" x14ac:dyDescent="0.25">
      <c r="B33" s="6" t="s">
        <v>52</v>
      </c>
      <c r="C33" s="15">
        <v>3456.97</v>
      </c>
      <c r="D33" s="16">
        <v>30.885000000000002</v>
      </c>
      <c r="E33" s="16">
        <v>37.963000000000001</v>
      </c>
      <c r="F33" s="16">
        <v>40.198</v>
      </c>
      <c r="G33" s="16">
        <v>46.52</v>
      </c>
      <c r="H33" s="16">
        <f t="shared" si="0"/>
        <v>32.933875</v>
      </c>
      <c r="I33" s="5"/>
      <c r="J33" s="15">
        <v>2483.6615999999999</v>
      </c>
      <c r="K33" s="16">
        <v>32.168500000000002</v>
      </c>
      <c r="L33" s="16">
        <v>38.330199999999998</v>
      </c>
      <c r="M33" s="16">
        <v>40.875999999999998</v>
      </c>
      <c r="N33" s="16">
        <v>39.528300000000002</v>
      </c>
      <c r="O33" s="16">
        <f t="shared" si="1"/>
        <v>34.027149999999999</v>
      </c>
      <c r="P33" s="7"/>
      <c r="Q33" s="8">
        <f>bdrate(C33:C36,D33:D36,J33:J36,K33:K36)</f>
        <v>-0.65790788688872981</v>
      </c>
      <c r="R33" s="8">
        <f>bdrate(C33:C36,E33:E36,J33:J36,L33:L36)</f>
        <v>-0.47551146353005369</v>
      </c>
      <c r="S33" s="8">
        <f>bdrate(C33:C36,F33:F36,J33:J36,M33:M36)</f>
        <v>-0.61633283890897816</v>
      </c>
      <c r="T33" s="25">
        <f>bdrate(C33:C36,H33:H36,J33:J36,O33:O36)</f>
        <v>-0.64860949397508261</v>
      </c>
      <c r="U33" s="28">
        <f t="shared" si="2"/>
        <v>-0.15029449699054173</v>
      </c>
    </row>
    <row r="34" spans="1:21" x14ac:dyDescent="0.25">
      <c r="B34" s="9"/>
      <c r="C34" s="17">
        <v>2299.34</v>
      </c>
      <c r="D34" s="18">
        <v>29.41</v>
      </c>
      <c r="E34" s="18">
        <v>37.484999999999999</v>
      </c>
      <c r="F34" s="18">
        <v>39.722999999999999</v>
      </c>
      <c r="G34" s="18">
        <v>50.16</v>
      </c>
      <c r="H34" s="18">
        <f t="shared" si="0"/>
        <v>31.708500000000001</v>
      </c>
      <c r="I34" s="5"/>
      <c r="J34" s="17">
        <v>1635.5183999999999</v>
      </c>
      <c r="K34" s="18">
        <v>31.313300000000002</v>
      </c>
      <c r="L34" s="18">
        <v>37.845700000000001</v>
      </c>
      <c r="M34" s="18">
        <v>40.421599999999998</v>
      </c>
      <c r="N34" s="18">
        <v>45.571899999999999</v>
      </c>
      <c r="O34" s="18">
        <f t="shared" si="1"/>
        <v>33.268387500000003</v>
      </c>
      <c r="P34" s="7"/>
      <c r="Q34" s="10"/>
      <c r="R34" s="11"/>
      <c r="S34" s="11"/>
      <c r="T34" s="26"/>
      <c r="U34" s="28">
        <f t="shared" si="2"/>
        <v>-9.1469298245613992E-2</v>
      </c>
    </row>
    <row r="35" spans="1:21" x14ac:dyDescent="0.25">
      <c r="B35" s="9"/>
      <c r="C35" s="17">
        <v>1406.5</v>
      </c>
      <c r="D35" s="18">
        <v>27.303999999999998</v>
      </c>
      <c r="E35" s="18">
        <v>37.003999999999998</v>
      </c>
      <c r="F35" s="18">
        <v>39.042999999999999</v>
      </c>
      <c r="G35" s="18">
        <v>56.52</v>
      </c>
      <c r="H35" s="18">
        <f t="shared" si="0"/>
        <v>29.983874999999998</v>
      </c>
      <c r="I35" s="5"/>
      <c r="J35" s="17">
        <v>1030.3968</v>
      </c>
      <c r="K35" s="18">
        <v>30.255400000000002</v>
      </c>
      <c r="L35" s="18">
        <v>37.347200000000001</v>
      </c>
      <c r="M35" s="18">
        <v>39.928400000000003</v>
      </c>
      <c r="N35" s="18">
        <v>53.494999999999997</v>
      </c>
      <c r="O35" s="18">
        <f t="shared" si="1"/>
        <v>32.350999999999999</v>
      </c>
      <c r="P35" s="7"/>
      <c r="Q35" s="10"/>
      <c r="R35" s="11"/>
      <c r="S35" s="11"/>
      <c r="T35" s="26"/>
      <c r="U35" s="28">
        <f t="shared" si="2"/>
        <v>-5.352087756546365E-2</v>
      </c>
    </row>
    <row r="36" spans="1:21" ht="16.5" thickBot="1" x14ac:dyDescent="0.3">
      <c r="B36" s="12"/>
      <c r="C36" s="19">
        <v>754.22</v>
      </c>
      <c r="D36" s="20">
        <v>21.484999999999999</v>
      </c>
      <c r="E36" s="20">
        <v>35.177</v>
      </c>
      <c r="F36" s="20">
        <v>37.685000000000002</v>
      </c>
      <c r="G36" s="20">
        <v>62.09</v>
      </c>
      <c r="H36" s="20">
        <f t="shared" si="0"/>
        <v>25.221499999999999</v>
      </c>
      <c r="I36" s="5"/>
      <c r="J36" s="19">
        <v>613.10640000000001</v>
      </c>
      <c r="K36" s="20">
        <v>28.8858</v>
      </c>
      <c r="L36" s="20">
        <v>36.7196</v>
      </c>
      <c r="M36" s="20">
        <v>39.194499999999998</v>
      </c>
      <c r="N36" s="20">
        <v>64</v>
      </c>
      <c r="O36" s="20">
        <f t="shared" si="1"/>
        <v>31.153612500000001</v>
      </c>
      <c r="P36" s="7"/>
      <c r="Q36" s="13"/>
      <c r="R36" s="14"/>
      <c r="S36" s="14"/>
      <c r="T36" s="27"/>
      <c r="U36" s="28">
        <f t="shared" si="2"/>
        <v>3.0761797390884145E-2</v>
      </c>
    </row>
    <row r="37" spans="1:21" x14ac:dyDescent="0.25">
      <c r="A37" s="6" t="s">
        <v>39</v>
      </c>
      <c r="B37" s="6" t="s">
        <v>53</v>
      </c>
      <c r="C37" s="15">
        <v>1576.8</v>
      </c>
      <c r="D37" s="16">
        <v>33.213000000000001</v>
      </c>
      <c r="E37" s="16">
        <v>36.360999999999997</v>
      </c>
      <c r="F37" s="16">
        <v>36.143000000000001</v>
      </c>
      <c r="G37" s="16">
        <v>193.8</v>
      </c>
      <c r="H37" s="16">
        <f t="shared" si="0"/>
        <v>33.972750000000005</v>
      </c>
      <c r="I37" s="5"/>
      <c r="J37" s="15">
        <v>1246.6944000000001</v>
      </c>
      <c r="K37" s="16">
        <v>33.611800000000002</v>
      </c>
      <c r="L37" s="16">
        <v>37.467799999999997</v>
      </c>
      <c r="M37" s="16">
        <v>37.351799999999997</v>
      </c>
      <c r="N37" s="16">
        <v>144.34180000000001</v>
      </c>
      <c r="O37" s="16">
        <f t="shared" si="1"/>
        <v>34.561300000000003</v>
      </c>
      <c r="P37" s="7"/>
      <c r="Q37" s="8">
        <f>bdrate(C37:C40,D37:D40,J37:J40,K37:K40)</f>
        <v>-0.35490137387380227</v>
      </c>
      <c r="R37" s="8">
        <f>bdrate(C37:C40,E37:E40,J37:J40,L37:L40)</f>
        <v>-0.28330689763889905</v>
      </c>
      <c r="S37" s="8">
        <f>bdrate(C37:C40,F37:F40,J37:J40,M37:M40)</f>
        <v>-0.2735245135426011</v>
      </c>
      <c r="T37" s="25">
        <f>bdrate(C37:C40,H37:H40,J37:J40,O37:O40)</f>
        <v>-0.34678170296940569</v>
      </c>
      <c r="U37" s="28">
        <f t="shared" si="2"/>
        <v>-0.25520227038183696</v>
      </c>
    </row>
    <row r="38" spans="1:21" x14ac:dyDescent="0.25">
      <c r="A38" s="9" t="s">
        <v>40</v>
      </c>
      <c r="B38" s="9"/>
      <c r="C38" s="17">
        <v>1047.47</v>
      </c>
      <c r="D38" s="18">
        <v>31.596</v>
      </c>
      <c r="E38" s="18">
        <v>35.613999999999997</v>
      </c>
      <c r="F38" s="18">
        <v>35.28</v>
      </c>
      <c r="G38" s="18">
        <v>220.65</v>
      </c>
      <c r="H38" s="18">
        <f t="shared" si="0"/>
        <v>32.558750000000003</v>
      </c>
      <c r="I38" s="5"/>
      <c r="J38" s="17">
        <v>829.68079999999998</v>
      </c>
      <c r="K38" s="18">
        <v>32.213900000000002</v>
      </c>
      <c r="L38" s="18">
        <v>36.316299999999998</v>
      </c>
      <c r="M38" s="18">
        <v>35.962299999999999</v>
      </c>
      <c r="N38" s="18">
        <v>177.1165</v>
      </c>
      <c r="O38" s="18">
        <f t="shared" si="1"/>
        <v>33.195250000000001</v>
      </c>
      <c r="P38" s="7"/>
      <c r="Q38" s="10"/>
      <c r="R38" s="11"/>
      <c r="S38" s="11"/>
      <c r="T38" s="26"/>
      <c r="U38" s="28">
        <f t="shared" si="2"/>
        <v>-0.1972966236120553</v>
      </c>
    </row>
    <row r="39" spans="1:21" x14ac:dyDescent="0.25">
      <c r="B39" s="9"/>
      <c r="C39" s="17">
        <v>653.28</v>
      </c>
      <c r="D39" s="18">
        <v>29.625</v>
      </c>
      <c r="E39" s="18">
        <v>34.890999999999998</v>
      </c>
      <c r="F39" s="18">
        <v>34.453000000000003</v>
      </c>
      <c r="G39" s="18">
        <v>247.89</v>
      </c>
      <c r="H39" s="18">
        <f t="shared" si="0"/>
        <v>30.886749999999999</v>
      </c>
      <c r="I39" s="5"/>
      <c r="J39" s="17">
        <v>516.73440000000005</v>
      </c>
      <c r="K39" s="18">
        <v>30.550599999999999</v>
      </c>
      <c r="L39" s="18">
        <v>34.881500000000003</v>
      </c>
      <c r="M39" s="18">
        <v>34.366599999999998</v>
      </c>
      <c r="N39" s="18">
        <v>216.6378</v>
      </c>
      <c r="O39" s="18">
        <f t="shared" si="1"/>
        <v>31.568962499999998</v>
      </c>
      <c r="P39" s="7"/>
      <c r="Q39" s="10"/>
      <c r="R39" s="11"/>
      <c r="S39" s="11"/>
      <c r="T39" s="26"/>
      <c r="U39" s="28">
        <f t="shared" si="2"/>
        <v>-0.12607285489531642</v>
      </c>
    </row>
    <row r="40" spans="1:21" ht="16.5" thickBot="1" x14ac:dyDescent="0.3">
      <c r="B40" s="12"/>
      <c r="C40" s="19">
        <v>392.11</v>
      </c>
      <c r="D40" s="20">
        <v>27.048999999999999</v>
      </c>
      <c r="E40" s="20">
        <v>34.118000000000002</v>
      </c>
      <c r="F40" s="20">
        <v>33.734999999999999</v>
      </c>
      <c r="G40" s="20">
        <v>282.49</v>
      </c>
      <c r="H40" s="20">
        <f t="shared" si="0"/>
        <v>28.768374999999999</v>
      </c>
      <c r="I40" s="5"/>
      <c r="J40" s="19">
        <v>312.32080000000002</v>
      </c>
      <c r="K40" s="20">
        <v>28.747299999999999</v>
      </c>
      <c r="L40" s="20">
        <v>33.241300000000003</v>
      </c>
      <c r="M40" s="20">
        <v>32.595700000000001</v>
      </c>
      <c r="N40" s="20">
        <v>271.73910000000001</v>
      </c>
      <c r="O40" s="20">
        <f t="shared" si="1"/>
        <v>29.790099999999999</v>
      </c>
      <c r="P40" s="7"/>
      <c r="Q40" s="13"/>
      <c r="R40" s="14"/>
      <c r="S40" s="14"/>
      <c r="T40" s="27"/>
      <c r="U40" s="28">
        <f t="shared" si="2"/>
        <v>-3.8057630358596765E-2</v>
      </c>
    </row>
    <row r="41" spans="1:21" x14ac:dyDescent="0.25">
      <c r="B41" s="6" t="s">
        <v>54</v>
      </c>
      <c r="C41" s="15">
        <v>1572.6</v>
      </c>
      <c r="D41" s="16">
        <v>33.423000000000002</v>
      </c>
      <c r="E41" s="16">
        <v>38.533000000000001</v>
      </c>
      <c r="F41" s="16">
        <v>39.255000000000003</v>
      </c>
      <c r="G41" s="16">
        <v>196.14</v>
      </c>
      <c r="H41" s="16">
        <f t="shared" si="0"/>
        <v>34.790750000000003</v>
      </c>
      <c r="I41" s="5"/>
      <c r="J41" s="15">
        <v>1212.68</v>
      </c>
      <c r="K41" s="16">
        <v>33.727600000000002</v>
      </c>
      <c r="L41" s="16">
        <v>38.725200000000001</v>
      </c>
      <c r="M41" s="16">
        <v>39.459499999999998</v>
      </c>
      <c r="N41" s="16">
        <v>136.3946</v>
      </c>
      <c r="O41" s="16">
        <f t="shared" si="1"/>
        <v>35.068787500000006</v>
      </c>
      <c r="P41" s="7"/>
      <c r="Q41" s="8">
        <f>bdrate(C41:C44,D41:D44,J41:J44,K41:K44)</f>
        <v>-0.37526491561593367</v>
      </c>
      <c r="R41" s="8">
        <f>bdrate(C41:C44,E41:E44,J41:J44,L41:L44)</f>
        <v>-0.14044914227522476</v>
      </c>
      <c r="S41" s="8">
        <f>bdrate(C41:C44,F41:F44,J41:J44,M41:M44)</f>
        <v>-0.12837575084249186</v>
      </c>
      <c r="T41" s="25">
        <f>bdrate(C41:C44,H41:H44,J41:J44,O41:O44)</f>
        <v>-0.34944745050692272</v>
      </c>
      <c r="U41" s="28">
        <f t="shared" si="2"/>
        <v>-0.30460589374936264</v>
      </c>
    </row>
    <row r="42" spans="1:21" x14ac:dyDescent="0.25">
      <c r="B42" s="9"/>
      <c r="C42" s="17">
        <v>1047.49</v>
      </c>
      <c r="D42" s="18">
        <v>31.555</v>
      </c>
      <c r="E42" s="18">
        <v>37.786999999999999</v>
      </c>
      <c r="F42" s="18">
        <v>38.447000000000003</v>
      </c>
      <c r="G42" s="18">
        <v>220.02</v>
      </c>
      <c r="H42" s="18">
        <f t="shared" si="0"/>
        <v>33.195499999999996</v>
      </c>
      <c r="I42" s="5"/>
      <c r="J42" s="17">
        <v>805.84720000000004</v>
      </c>
      <c r="K42" s="18">
        <v>32.180599999999998</v>
      </c>
      <c r="L42" s="18">
        <v>37.7121</v>
      </c>
      <c r="M42" s="18">
        <v>38.372500000000002</v>
      </c>
      <c r="N42" s="18">
        <v>166.48169999999999</v>
      </c>
      <c r="O42" s="18">
        <f t="shared" si="1"/>
        <v>33.646024999999995</v>
      </c>
      <c r="P42" s="7"/>
      <c r="Q42" s="10"/>
      <c r="R42" s="11"/>
      <c r="S42" s="11"/>
      <c r="T42" s="26"/>
      <c r="U42" s="28">
        <f t="shared" si="2"/>
        <v>-0.2433337878374694</v>
      </c>
    </row>
    <row r="43" spans="1:21" x14ac:dyDescent="0.25">
      <c r="B43" s="9"/>
      <c r="C43" s="17">
        <v>649.97</v>
      </c>
      <c r="D43" s="18">
        <v>29.12</v>
      </c>
      <c r="E43" s="18">
        <v>36.954000000000001</v>
      </c>
      <c r="F43" s="18">
        <v>37.573999999999998</v>
      </c>
      <c r="G43" s="18">
        <v>249.69</v>
      </c>
      <c r="H43" s="18">
        <f t="shared" si="0"/>
        <v>31.155999999999999</v>
      </c>
      <c r="I43" s="5"/>
      <c r="J43" s="17">
        <v>502.1832</v>
      </c>
      <c r="K43" s="18">
        <v>30.3687</v>
      </c>
      <c r="L43" s="18">
        <v>36.560200000000002</v>
      </c>
      <c r="M43" s="18">
        <v>37.068100000000001</v>
      </c>
      <c r="N43" s="18">
        <v>202.42910000000001</v>
      </c>
      <c r="O43" s="18">
        <f t="shared" si="1"/>
        <v>31.980062500000003</v>
      </c>
      <c r="P43" s="7"/>
      <c r="Q43" s="10"/>
      <c r="R43" s="11"/>
      <c r="S43" s="11"/>
      <c r="T43" s="26"/>
      <c r="U43" s="28">
        <f t="shared" si="2"/>
        <v>-0.18927830509832189</v>
      </c>
    </row>
    <row r="44" spans="1:21" ht="16.5" thickBot="1" x14ac:dyDescent="0.3">
      <c r="B44" s="12"/>
      <c r="C44" s="19">
        <v>391.06</v>
      </c>
      <c r="D44" s="20">
        <v>25.827999999999999</v>
      </c>
      <c r="E44" s="20">
        <v>36.036000000000001</v>
      </c>
      <c r="F44" s="20">
        <v>36.493000000000002</v>
      </c>
      <c r="G44" s="20">
        <v>281.56</v>
      </c>
      <c r="H44" s="20">
        <f t="shared" si="0"/>
        <v>28.437124999999998</v>
      </c>
      <c r="I44" s="5"/>
      <c r="J44" s="19">
        <v>302.23680000000002</v>
      </c>
      <c r="K44" s="20">
        <v>28.3751</v>
      </c>
      <c r="L44" s="20">
        <v>35.4422</v>
      </c>
      <c r="M44" s="20">
        <v>35.690100000000001</v>
      </c>
      <c r="N44" s="20">
        <v>256.41030000000001</v>
      </c>
      <c r="O44" s="20">
        <f t="shared" si="1"/>
        <v>30.172862499999997</v>
      </c>
      <c r="P44" s="7"/>
      <c r="Q44" s="13"/>
      <c r="R44" s="14"/>
      <c r="S44" s="14"/>
      <c r="T44" s="27"/>
      <c r="U44" s="28">
        <f t="shared" si="2"/>
        <v>-8.9322702088364805E-2</v>
      </c>
    </row>
    <row r="45" spans="1:21" x14ac:dyDescent="0.25">
      <c r="B45" s="6" t="s">
        <v>55</v>
      </c>
      <c r="C45" s="15">
        <v>1476.59</v>
      </c>
      <c r="D45" s="16">
        <v>27.274999999999999</v>
      </c>
      <c r="E45" s="16">
        <v>34.262999999999998</v>
      </c>
      <c r="F45" s="16">
        <v>34.930999999999997</v>
      </c>
      <c r="G45" s="16">
        <v>189.83</v>
      </c>
      <c r="H45" s="16">
        <f t="shared" si="0"/>
        <v>29.105499999999999</v>
      </c>
      <c r="I45" s="5"/>
      <c r="J45" s="15">
        <v>1202.212</v>
      </c>
      <c r="K45" s="16">
        <v>27.856300000000001</v>
      </c>
      <c r="L45" s="16">
        <v>34.511099999999999</v>
      </c>
      <c r="M45" s="16">
        <v>35.195500000000003</v>
      </c>
      <c r="N45" s="16">
        <v>123.27419999999999</v>
      </c>
      <c r="O45" s="16">
        <f t="shared" si="1"/>
        <v>29.605550000000001</v>
      </c>
      <c r="P45" s="7"/>
      <c r="Q45" s="8">
        <f>bdrate(C45:C48,D45:D48,J45:J48,K45:K48)</f>
        <v>-0.40057511322075623</v>
      </c>
      <c r="R45" s="8">
        <f>bdrate(C45:C48,E45:E48,J45:J48,L45:L48)</f>
        <v>3.6836769153493432E-2</v>
      </c>
      <c r="S45" s="8">
        <f>bdrate(C45:C48,F45:F48,J45:J48,M45:M48)</f>
        <v>4.8264170178222932E-2</v>
      </c>
      <c r="T45" s="25">
        <f>bdrate(C45:C48,H45:H48,J45:J48,O45:O48)</f>
        <v>-0.36206834025990686</v>
      </c>
      <c r="U45" s="28">
        <f t="shared" si="2"/>
        <v>-0.35060738555549709</v>
      </c>
    </row>
    <row r="46" spans="1:21" x14ac:dyDescent="0.25">
      <c r="B46" s="9"/>
      <c r="C46" s="17">
        <v>984.25</v>
      </c>
      <c r="D46" s="18">
        <v>25.937999999999999</v>
      </c>
      <c r="E46" s="18">
        <v>33.917000000000002</v>
      </c>
      <c r="F46" s="18">
        <v>34.591000000000001</v>
      </c>
      <c r="G46" s="18">
        <v>215.89</v>
      </c>
      <c r="H46" s="18">
        <f t="shared" si="0"/>
        <v>28.016999999999999</v>
      </c>
      <c r="I46" s="5"/>
      <c r="J46" s="17">
        <v>803.39599999999996</v>
      </c>
      <c r="K46" s="18">
        <v>26.688099999999999</v>
      </c>
      <c r="L46" s="18">
        <v>33.8005</v>
      </c>
      <c r="M46" s="18">
        <v>34.4726</v>
      </c>
      <c r="N46" s="18">
        <v>151.92949999999999</v>
      </c>
      <c r="O46" s="18">
        <f t="shared" si="1"/>
        <v>28.550212500000001</v>
      </c>
      <c r="P46" s="7"/>
      <c r="Q46" s="10"/>
      <c r="R46" s="11"/>
      <c r="S46" s="11"/>
      <c r="T46" s="26"/>
      <c r="U46" s="28">
        <f t="shared" si="2"/>
        <v>-0.29626430126453285</v>
      </c>
    </row>
    <row r="47" spans="1:21" x14ac:dyDescent="0.25">
      <c r="B47" s="9"/>
      <c r="C47" s="17">
        <v>612.91</v>
      </c>
      <c r="D47" s="18">
        <v>24.370999999999999</v>
      </c>
      <c r="E47" s="18">
        <v>33.588999999999999</v>
      </c>
      <c r="F47" s="18">
        <v>34.279000000000003</v>
      </c>
      <c r="G47" s="18">
        <v>247.52</v>
      </c>
      <c r="H47" s="18">
        <f t="shared" si="0"/>
        <v>26.761749999999999</v>
      </c>
      <c r="I47" s="5"/>
      <c r="J47" s="17">
        <v>508.11520000000002</v>
      </c>
      <c r="K47" s="18">
        <v>25.500900000000001</v>
      </c>
      <c r="L47" s="18">
        <v>33.079099999999997</v>
      </c>
      <c r="M47" s="18">
        <v>33.703400000000002</v>
      </c>
      <c r="N47" s="18">
        <v>186.28909999999999</v>
      </c>
      <c r="O47" s="18">
        <f t="shared" si="1"/>
        <v>27.473487499999997</v>
      </c>
      <c r="P47" s="7"/>
      <c r="Q47" s="10"/>
      <c r="R47" s="11"/>
      <c r="S47" s="11"/>
      <c r="T47" s="26"/>
      <c r="U47" s="28">
        <f t="shared" si="2"/>
        <v>-0.24737758564964454</v>
      </c>
    </row>
    <row r="48" spans="1:21" ht="16.5" thickBot="1" x14ac:dyDescent="0.3">
      <c r="B48" s="12"/>
      <c r="C48" s="19">
        <v>377.51</v>
      </c>
      <c r="D48" s="20">
        <v>22.678000000000001</v>
      </c>
      <c r="E48" s="20">
        <v>33.08</v>
      </c>
      <c r="F48" s="20">
        <v>33.802</v>
      </c>
      <c r="G48" s="20">
        <v>284.25</v>
      </c>
      <c r="H48" s="20">
        <f t="shared" si="0"/>
        <v>25.368750000000002</v>
      </c>
      <c r="I48" s="5"/>
      <c r="J48" s="19">
        <v>307.0736</v>
      </c>
      <c r="K48" s="20">
        <v>24.313099999999999</v>
      </c>
      <c r="L48" s="20">
        <v>32.3964</v>
      </c>
      <c r="M48" s="20">
        <v>32.948900000000002</v>
      </c>
      <c r="N48" s="20">
        <v>244.7381</v>
      </c>
      <c r="O48" s="20">
        <f t="shared" si="1"/>
        <v>26.402987500000002</v>
      </c>
      <c r="P48" s="7"/>
      <c r="Q48" s="13"/>
      <c r="R48" s="14"/>
      <c r="S48" s="14"/>
      <c r="T48" s="27"/>
      <c r="U48" s="28">
        <f t="shared" si="2"/>
        <v>-0.13900404573438874</v>
      </c>
    </row>
    <row r="49" spans="1:21" x14ac:dyDescent="0.25">
      <c r="B49" s="6" t="s">
        <v>56</v>
      </c>
      <c r="C49" s="15">
        <v>1481.46</v>
      </c>
      <c r="D49" s="16">
        <v>32.283000000000001</v>
      </c>
      <c r="E49" s="16">
        <v>36.119999999999997</v>
      </c>
      <c r="F49" s="16">
        <v>37.747999999999998</v>
      </c>
      <c r="G49" s="16">
        <v>148.74</v>
      </c>
      <c r="H49" s="16">
        <f t="shared" si="0"/>
        <v>33.445750000000004</v>
      </c>
      <c r="I49" s="5"/>
      <c r="J49" s="15">
        <v>1170.3255999999999</v>
      </c>
      <c r="K49" s="16">
        <v>32.033799999999999</v>
      </c>
      <c r="L49" s="16">
        <v>36.08</v>
      </c>
      <c r="M49" s="16">
        <v>37.592500000000001</v>
      </c>
      <c r="N49" s="16">
        <v>101.76390000000001</v>
      </c>
      <c r="O49" s="16">
        <f t="shared" si="1"/>
        <v>33.234412500000005</v>
      </c>
      <c r="P49" s="7"/>
      <c r="Q49" s="8">
        <f>bdrate(C49:C52,D49:D52,J49:J52,K49:K52)</f>
        <v>-0.26083434153861762</v>
      </c>
      <c r="R49" s="8">
        <f>bdrate(C49:C52,E49:E52,J49:J52,L49:L52)</f>
        <v>-3.2358062074051674E-2</v>
      </c>
      <c r="S49" s="8">
        <f>bdrate(C49:C52,F49:F52,J49:J52,M49:M52)</f>
        <v>2.7453070921603651E-2</v>
      </c>
      <c r="T49" s="25">
        <f>bdrate(C49:C52,H49:H52,J49:J52,O49:O52)</f>
        <v>-0.22940340502999923</v>
      </c>
      <c r="U49" s="28">
        <f t="shared" si="2"/>
        <v>-0.31582694634933439</v>
      </c>
    </row>
    <row r="50" spans="1:21" x14ac:dyDescent="0.25">
      <c r="B50" s="9"/>
      <c r="C50" s="17">
        <v>999.66</v>
      </c>
      <c r="D50" s="18">
        <v>30.646000000000001</v>
      </c>
      <c r="E50" s="18">
        <v>35.43</v>
      </c>
      <c r="F50" s="18">
        <v>37.014000000000003</v>
      </c>
      <c r="G50" s="18">
        <v>168.82</v>
      </c>
      <c r="H50" s="18">
        <f t="shared" si="0"/>
        <v>32.04</v>
      </c>
      <c r="I50" s="5"/>
      <c r="J50" s="17">
        <v>787.77440000000001</v>
      </c>
      <c r="K50" s="18">
        <v>30.606400000000001</v>
      </c>
      <c r="L50" s="18">
        <v>35.177100000000003</v>
      </c>
      <c r="M50" s="18">
        <v>36.614100000000001</v>
      </c>
      <c r="N50" s="18">
        <v>119.4268</v>
      </c>
      <c r="O50" s="18">
        <f t="shared" si="1"/>
        <v>31.928699999999999</v>
      </c>
      <c r="P50" s="7"/>
      <c r="Q50" s="10"/>
      <c r="R50" s="11"/>
      <c r="S50" s="11"/>
      <c r="T50" s="26"/>
      <c r="U50" s="28">
        <f t="shared" si="2"/>
        <v>-0.2925790783082573</v>
      </c>
    </row>
    <row r="51" spans="1:21" x14ac:dyDescent="0.25">
      <c r="B51" s="9"/>
      <c r="C51" s="17">
        <v>635.13</v>
      </c>
      <c r="D51" s="18">
        <v>28.648</v>
      </c>
      <c r="E51" s="18">
        <v>34.759</v>
      </c>
      <c r="F51" s="18">
        <v>36.276000000000003</v>
      </c>
      <c r="G51" s="18">
        <v>184.28</v>
      </c>
      <c r="H51" s="18">
        <f t="shared" si="0"/>
        <v>30.365375</v>
      </c>
      <c r="I51" s="5"/>
      <c r="J51" s="17">
        <v>496.40559999999999</v>
      </c>
      <c r="K51" s="18">
        <v>29.094999999999999</v>
      </c>
      <c r="L51" s="18">
        <v>34.148499999999999</v>
      </c>
      <c r="M51" s="18">
        <v>35.483199999999997</v>
      </c>
      <c r="N51" s="18">
        <v>146.77099999999999</v>
      </c>
      <c r="O51" s="18">
        <f t="shared" si="1"/>
        <v>30.525212500000002</v>
      </c>
      <c r="P51" s="7"/>
      <c r="Q51" s="10"/>
      <c r="R51" s="11"/>
      <c r="S51" s="11"/>
      <c r="T51" s="26"/>
      <c r="U51" s="28">
        <f t="shared" si="2"/>
        <v>-0.20354352072932502</v>
      </c>
    </row>
    <row r="52" spans="1:21" ht="16.5" thickBot="1" x14ac:dyDescent="0.3">
      <c r="B52" s="12"/>
      <c r="C52" s="19">
        <v>388.79</v>
      </c>
      <c r="D52" s="20">
        <v>26.62</v>
      </c>
      <c r="E52" s="20">
        <v>33.965000000000003</v>
      </c>
      <c r="F52" s="20">
        <v>35.337000000000003</v>
      </c>
      <c r="G52" s="20">
        <v>219.94</v>
      </c>
      <c r="H52" s="20">
        <f t="shared" si="0"/>
        <v>28.627749999999999</v>
      </c>
      <c r="I52" s="5"/>
      <c r="J52" s="19">
        <v>301.608</v>
      </c>
      <c r="K52" s="20">
        <v>27.684200000000001</v>
      </c>
      <c r="L52" s="20">
        <v>32.9923</v>
      </c>
      <c r="M52" s="20">
        <v>34.191400000000002</v>
      </c>
      <c r="N52" s="20">
        <v>186.6833</v>
      </c>
      <c r="O52" s="20">
        <f t="shared" si="1"/>
        <v>29.161112500000002</v>
      </c>
      <c r="P52" s="7"/>
      <c r="Q52" s="13"/>
      <c r="R52" s="14"/>
      <c r="S52" s="14"/>
      <c r="T52" s="27"/>
      <c r="U52" s="28">
        <f t="shared" si="2"/>
        <v>-0.15120805674274801</v>
      </c>
    </row>
    <row r="53" spans="1:21" x14ac:dyDescent="0.25">
      <c r="A53" s="6" t="s">
        <v>41</v>
      </c>
      <c r="B53" s="6" t="s">
        <v>57</v>
      </c>
      <c r="C53" s="15">
        <v>818.56</v>
      </c>
      <c r="D53" s="16">
        <v>34.045000000000002</v>
      </c>
      <c r="E53" s="16">
        <v>38.134999999999998</v>
      </c>
      <c r="F53" s="16">
        <v>37.185000000000002</v>
      </c>
      <c r="G53" s="16">
        <v>625</v>
      </c>
      <c r="H53" s="16">
        <f t="shared" si="0"/>
        <v>34.948750000000004</v>
      </c>
      <c r="I53" s="5"/>
      <c r="J53" s="15">
        <v>617.34799999999996</v>
      </c>
      <c r="K53" s="16">
        <v>33.738100000000003</v>
      </c>
      <c r="L53" s="16">
        <v>38.607399999999998</v>
      </c>
      <c r="M53" s="16">
        <v>37.241799999999998</v>
      </c>
      <c r="N53" s="16">
        <v>386.10039999999998</v>
      </c>
      <c r="O53" s="16">
        <f t="shared" si="1"/>
        <v>34.784725000000002</v>
      </c>
      <c r="P53" s="7"/>
      <c r="Q53" s="8">
        <f>bdrate(C53:C56,D53:D56,J53:J56,K53:K56)</f>
        <v>-0.26763369078105959</v>
      </c>
      <c r="R53" s="8">
        <f>bdrate(C53:C56,E53:E56,J53:J56,L53:L56)</f>
        <v>-0.20710308715409376</v>
      </c>
      <c r="S53" s="8">
        <f>bdrate(C53:C56,F53:F56,J53:J56,M53:M56)</f>
        <v>-8.7739122011613824E-2</v>
      </c>
      <c r="T53" s="25">
        <f>bdrate(C53:C56,H53:H56,J53:J56,O53:O56)</f>
        <v>-0.24779450320675189</v>
      </c>
      <c r="U53" s="28">
        <f t="shared" si="2"/>
        <v>-0.38223936000000003</v>
      </c>
    </row>
    <row r="54" spans="1:21" x14ac:dyDescent="0.25">
      <c r="A54" s="9" t="s">
        <v>42</v>
      </c>
      <c r="B54" s="9"/>
      <c r="C54" s="17">
        <v>549.01</v>
      </c>
      <c r="D54" s="18">
        <v>32.177</v>
      </c>
      <c r="E54" s="18">
        <v>37.290999999999997</v>
      </c>
      <c r="F54" s="18">
        <v>36.104999999999997</v>
      </c>
      <c r="G54" s="18">
        <v>683.06</v>
      </c>
      <c r="H54" s="18">
        <f t="shared" si="0"/>
        <v>33.307250000000003</v>
      </c>
      <c r="I54" s="5"/>
      <c r="J54" s="17">
        <v>412.37920000000003</v>
      </c>
      <c r="K54" s="18">
        <v>32.003900000000002</v>
      </c>
      <c r="L54" s="18">
        <v>37.4193</v>
      </c>
      <c r="M54" s="18">
        <v>35.788699999999999</v>
      </c>
      <c r="N54" s="18">
        <v>457.87549999999999</v>
      </c>
      <c r="O54" s="18">
        <f t="shared" si="1"/>
        <v>33.153925000000001</v>
      </c>
      <c r="P54" s="7"/>
      <c r="Q54" s="10"/>
      <c r="R54" s="11"/>
      <c r="S54" s="11"/>
      <c r="T54" s="26"/>
      <c r="U54" s="28">
        <f t="shared" si="2"/>
        <v>-0.32967016074722566</v>
      </c>
    </row>
    <row r="55" spans="1:21" x14ac:dyDescent="0.25">
      <c r="B55" s="9"/>
      <c r="C55" s="17">
        <v>345.24</v>
      </c>
      <c r="D55" s="18">
        <v>30.119</v>
      </c>
      <c r="E55" s="18">
        <v>36.340000000000003</v>
      </c>
      <c r="F55" s="18">
        <v>34.982999999999997</v>
      </c>
      <c r="G55" s="18">
        <v>763.36</v>
      </c>
      <c r="H55" s="18">
        <f t="shared" si="0"/>
        <v>31.504625000000001</v>
      </c>
      <c r="I55" s="5"/>
      <c r="J55" s="17">
        <v>257.25360000000001</v>
      </c>
      <c r="K55" s="18">
        <v>30.1753</v>
      </c>
      <c r="L55" s="18">
        <v>36.101300000000002</v>
      </c>
      <c r="M55" s="18">
        <v>34.228700000000003</v>
      </c>
      <c r="N55" s="18">
        <v>552.48620000000005</v>
      </c>
      <c r="O55" s="18">
        <f t="shared" si="1"/>
        <v>31.422725000000003</v>
      </c>
      <c r="P55" s="7"/>
      <c r="Q55" s="10"/>
      <c r="R55" s="11"/>
      <c r="S55" s="11"/>
      <c r="T55" s="26"/>
      <c r="U55" s="28">
        <f t="shared" si="2"/>
        <v>-0.27624423600922232</v>
      </c>
    </row>
    <row r="56" spans="1:21" ht="16.5" thickBot="1" x14ac:dyDescent="0.3">
      <c r="B56" s="12"/>
      <c r="C56" s="19">
        <v>170.82</v>
      </c>
      <c r="D56" s="20">
        <v>26.63</v>
      </c>
      <c r="E56" s="20">
        <v>35.124000000000002</v>
      </c>
      <c r="F56" s="20">
        <v>33.652000000000001</v>
      </c>
      <c r="G56" s="20">
        <v>924.21</v>
      </c>
      <c r="H56" s="20">
        <f t="shared" si="0"/>
        <v>28.569499999999998</v>
      </c>
      <c r="I56" s="5"/>
      <c r="J56" s="19">
        <v>124.0496</v>
      </c>
      <c r="K56" s="20">
        <v>27.544499999999999</v>
      </c>
      <c r="L56" s="20">
        <v>34.287100000000002</v>
      </c>
      <c r="M56" s="20">
        <v>31.982500000000002</v>
      </c>
      <c r="N56" s="20">
        <v>781.25</v>
      </c>
      <c r="O56" s="20">
        <f t="shared" si="1"/>
        <v>28.942075000000003</v>
      </c>
      <c r="P56" s="7"/>
      <c r="Q56" s="13"/>
      <c r="R56" s="14"/>
      <c r="S56" s="14"/>
      <c r="T56" s="27"/>
      <c r="U56" s="28">
        <f t="shared" si="2"/>
        <v>-0.1546834593869359</v>
      </c>
    </row>
    <row r="57" spans="1:21" x14ac:dyDescent="0.25">
      <c r="B57" s="6" t="s">
        <v>58</v>
      </c>
      <c r="C57" s="15">
        <v>761.73</v>
      </c>
      <c r="D57" s="16">
        <v>29.347000000000001</v>
      </c>
      <c r="E57" s="16">
        <v>37.918999999999997</v>
      </c>
      <c r="F57" s="16">
        <v>38.207000000000001</v>
      </c>
      <c r="G57" s="16">
        <v>700.12</v>
      </c>
      <c r="H57" s="16">
        <f t="shared" si="0"/>
        <v>31.525999999999996</v>
      </c>
      <c r="I57" s="5"/>
      <c r="J57" s="15">
        <v>612.32560000000001</v>
      </c>
      <c r="K57" s="16">
        <v>30.063400000000001</v>
      </c>
      <c r="L57" s="16">
        <v>38.484900000000003</v>
      </c>
      <c r="M57" s="16">
        <v>39.235300000000002</v>
      </c>
      <c r="N57" s="16">
        <v>373.36649999999997</v>
      </c>
      <c r="O57" s="16">
        <f t="shared" si="1"/>
        <v>32.262575000000005</v>
      </c>
      <c r="P57" s="7"/>
      <c r="Q57" s="8">
        <f>bdrate(C57:C60,D57:D60,J57:J60,K57:K60)</f>
        <v>-0.44901309602161277</v>
      </c>
      <c r="R57" s="8">
        <f>bdrate(C57:C60,E57:E60,J57:J60,L57:L60)</f>
        <v>-0.1898743239556856</v>
      </c>
      <c r="S57" s="8">
        <f>bdrate(C57:C60,F57:F60,J57:J60,M57:M60)</f>
        <v>-0.44022279159793254</v>
      </c>
      <c r="T57" s="25">
        <f>bdrate(C57:C60,H57:H60,J57:J60,O57:O60)</f>
        <v>-0.44371683417503194</v>
      </c>
      <c r="U57" s="28">
        <f t="shared" si="2"/>
        <v>-0.46671070673598813</v>
      </c>
    </row>
    <row r="58" spans="1:21" x14ac:dyDescent="0.25">
      <c r="B58" s="9"/>
      <c r="C58" s="17">
        <v>506.23</v>
      </c>
      <c r="D58" s="18">
        <v>27.949000000000002</v>
      </c>
      <c r="E58" s="18">
        <v>37.57</v>
      </c>
      <c r="F58" s="18">
        <v>37.744999999999997</v>
      </c>
      <c r="G58" s="18">
        <v>781.25</v>
      </c>
      <c r="H58" s="18">
        <f t="shared" si="0"/>
        <v>30.376125000000002</v>
      </c>
      <c r="I58" s="5"/>
      <c r="J58" s="17">
        <v>403.18639999999999</v>
      </c>
      <c r="K58" s="18">
        <v>28.905200000000001</v>
      </c>
      <c r="L58" s="18">
        <v>37.840299999999999</v>
      </c>
      <c r="M58" s="18">
        <v>38.567900000000002</v>
      </c>
      <c r="N58" s="18">
        <v>442.15179999999998</v>
      </c>
      <c r="O58" s="18">
        <f t="shared" si="1"/>
        <v>31.229925000000001</v>
      </c>
      <c r="P58" s="7"/>
      <c r="Q58" s="10"/>
      <c r="R58" s="11"/>
      <c r="S58" s="11"/>
      <c r="T58" s="26"/>
      <c r="U58" s="28">
        <f t="shared" si="2"/>
        <v>-0.43404569600000004</v>
      </c>
    </row>
    <row r="59" spans="1:21" x14ac:dyDescent="0.25">
      <c r="B59" s="9"/>
      <c r="C59" s="17">
        <v>315.35000000000002</v>
      </c>
      <c r="D59" s="18">
        <v>26.407</v>
      </c>
      <c r="E59" s="18">
        <v>37.28</v>
      </c>
      <c r="F59" s="18">
        <v>37.299999999999997</v>
      </c>
      <c r="G59" s="18">
        <v>874.64</v>
      </c>
      <c r="H59" s="18">
        <f t="shared" si="0"/>
        <v>29.127749999999999</v>
      </c>
      <c r="I59" s="5"/>
      <c r="J59" s="17">
        <v>255.36160000000001</v>
      </c>
      <c r="K59" s="18">
        <v>27.6447</v>
      </c>
      <c r="L59" s="18">
        <v>37.207799999999999</v>
      </c>
      <c r="M59" s="18">
        <v>37.820900000000002</v>
      </c>
      <c r="N59" s="18">
        <v>534.28319999999997</v>
      </c>
      <c r="O59" s="18">
        <f t="shared" si="1"/>
        <v>30.112112499999999</v>
      </c>
      <c r="P59" s="7"/>
      <c r="Q59" s="10"/>
      <c r="R59" s="11"/>
      <c r="S59" s="11"/>
      <c r="T59" s="26"/>
      <c r="U59" s="28">
        <f t="shared" si="2"/>
        <v>-0.38913930302753136</v>
      </c>
    </row>
    <row r="60" spans="1:21" ht="16.5" thickBot="1" x14ac:dyDescent="0.3">
      <c r="B60" s="12"/>
      <c r="C60" s="19">
        <v>147.53</v>
      </c>
      <c r="D60" s="20">
        <v>24.038</v>
      </c>
      <c r="E60" s="20">
        <v>36.713999999999999</v>
      </c>
      <c r="F60" s="20">
        <v>36.746000000000002</v>
      </c>
      <c r="G60" s="20">
        <v>1039.8599999999999</v>
      </c>
      <c r="H60" s="20">
        <f t="shared" si="0"/>
        <v>27.211000000000002</v>
      </c>
      <c r="I60" s="5"/>
      <c r="J60" s="19">
        <v>122.42959999999999</v>
      </c>
      <c r="K60" s="20">
        <v>25.6006</v>
      </c>
      <c r="L60" s="20">
        <v>36.349699999999999</v>
      </c>
      <c r="M60" s="20">
        <v>36.653599999999997</v>
      </c>
      <c r="N60" s="20">
        <v>739.82740000000001</v>
      </c>
      <c r="O60" s="20">
        <f t="shared" si="1"/>
        <v>28.325862499999999</v>
      </c>
      <c r="P60" s="7"/>
      <c r="Q60" s="13"/>
      <c r="R60" s="14"/>
      <c r="S60" s="14"/>
      <c r="T60" s="27"/>
      <c r="U60" s="28">
        <f t="shared" si="2"/>
        <v>-0.28853172542457628</v>
      </c>
    </row>
    <row r="61" spans="1:21" x14ac:dyDescent="0.25">
      <c r="B61" s="6" t="s">
        <v>59</v>
      </c>
      <c r="C61" s="29">
        <v>805.3</v>
      </c>
      <c r="D61" s="30">
        <v>31.202000000000002</v>
      </c>
      <c r="E61" s="30">
        <v>35.290999999999997</v>
      </c>
      <c r="F61" s="30">
        <v>35.658000000000001</v>
      </c>
      <c r="G61" s="16">
        <v>616.52</v>
      </c>
      <c r="H61" s="16">
        <f t="shared" si="0"/>
        <v>32.270125</v>
      </c>
      <c r="I61" s="5"/>
      <c r="J61" s="29">
        <v>623.87599999999998</v>
      </c>
      <c r="K61" s="30">
        <v>30.843900000000001</v>
      </c>
      <c r="L61" s="30">
        <v>36.137500000000003</v>
      </c>
      <c r="M61" s="30">
        <v>36.683599999999998</v>
      </c>
      <c r="N61" s="16">
        <v>364.16609999999997</v>
      </c>
      <c r="O61" s="16">
        <f t="shared" si="1"/>
        <v>32.2355625</v>
      </c>
      <c r="P61" s="7"/>
      <c r="Q61" s="8">
        <f>bdrate(C61:C64,D61:D64,J61:J64,K61:K64)</f>
        <v>-0.23906120026667788</v>
      </c>
      <c r="R61" s="8">
        <f>bdrate(C61:C64,E61:E64,J61:J64,L61:L64)</f>
        <v>-0.38789416783897368</v>
      </c>
      <c r="S61" s="8">
        <f>bdrate(C61:C64,F61:F64,J61:J64,M61:M64)</f>
        <v>-0.41701857322658242</v>
      </c>
      <c r="T61" s="25">
        <f>bdrate(C61:C64,H61:H64,J61:J64,O61:O64)</f>
        <v>-0.26761926480546105</v>
      </c>
      <c r="U61" s="28">
        <f t="shared" si="2"/>
        <v>-0.40931989229870891</v>
      </c>
    </row>
    <row r="62" spans="1:21" x14ac:dyDescent="0.25">
      <c r="B62" s="9"/>
      <c r="C62" s="31">
        <v>534.79999999999995</v>
      </c>
      <c r="D62" s="32">
        <v>29.632000000000001</v>
      </c>
      <c r="E62" s="32">
        <v>34.566000000000003</v>
      </c>
      <c r="F62" s="32">
        <v>34.94</v>
      </c>
      <c r="G62" s="18">
        <v>688.71</v>
      </c>
      <c r="H62" s="18">
        <f t="shared" si="0"/>
        <v>30.91225</v>
      </c>
      <c r="I62" s="5"/>
      <c r="J62" s="31">
        <v>417.19600000000003</v>
      </c>
      <c r="K62" s="32">
        <v>29.4817</v>
      </c>
      <c r="L62" s="32">
        <v>35.247999999999998</v>
      </c>
      <c r="M62" s="32">
        <v>35.758800000000001</v>
      </c>
      <c r="N62" s="18">
        <v>445.23599999999999</v>
      </c>
      <c r="O62" s="18">
        <f t="shared" si="1"/>
        <v>30.987124999999999</v>
      </c>
      <c r="P62" s="7"/>
      <c r="Q62" s="10"/>
      <c r="R62" s="11"/>
      <c r="S62" s="11"/>
      <c r="T62" s="26"/>
      <c r="U62" s="28">
        <f t="shared" si="2"/>
        <v>-0.35352180162913277</v>
      </c>
    </row>
    <row r="63" spans="1:21" x14ac:dyDescent="0.25">
      <c r="B63" s="9"/>
      <c r="C63" s="31">
        <v>331.32</v>
      </c>
      <c r="D63" s="32">
        <v>27.911999999999999</v>
      </c>
      <c r="E63" s="32">
        <v>33.904000000000003</v>
      </c>
      <c r="F63" s="32">
        <v>34.319000000000003</v>
      </c>
      <c r="G63" s="18">
        <v>771.6</v>
      </c>
      <c r="H63" s="18">
        <f t="shared" si="0"/>
        <v>29.461874999999999</v>
      </c>
      <c r="I63" s="5"/>
      <c r="J63" s="31">
        <v>262.08</v>
      </c>
      <c r="K63" s="32">
        <v>28.084</v>
      </c>
      <c r="L63" s="32">
        <v>34.336199999999998</v>
      </c>
      <c r="M63" s="32">
        <v>34.831699999999998</v>
      </c>
      <c r="N63" s="18">
        <v>542.88819999999998</v>
      </c>
      <c r="O63" s="18">
        <f t="shared" si="1"/>
        <v>29.708987499999999</v>
      </c>
      <c r="P63" s="7"/>
      <c r="Q63" s="10"/>
      <c r="R63" s="11"/>
      <c r="S63" s="11"/>
      <c r="T63" s="26"/>
      <c r="U63" s="28">
        <f t="shared" si="2"/>
        <v>-0.29641238983929502</v>
      </c>
    </row>
    <row r="64" spans="1:21" ht="16.5" thickBot="1" x14ac:dyDescent="0.3">
      <c r="B64" s="12"/>
      <c r="C64" s="33">
        <v>156.46</v>
      </c>
      <c r="D64" s="34">
        <v>25.378</v>
      </c>
      <c r="E64" s="34">
        <v>33.134</v>
      </c>
      <c r="F64" s="34">
        <v>33.640999999999998</v>
      </c>
      <c r="G64" s="20">
        <v>954.2</v>
      </c>
      <c r="H64" s="20">
        <f t="shared" si="0"/>
        <v>27.380374999999997</v>
      </c>
      <c r="I64" s="5"/>
      <c r="J64" s="33">
        <v>125.9264</v>
      </c>
      <c r="K64" s="34">
        <v>26.107299999999999</v>
      </c>
      <c r="L64" s="34">
        <v>33.0259</v>
      </c>
      <c r="M64" s="34">
        <v>33.465699999999998</v>
      </c>
      <c r="N64" s="20">
        <v>801.28210000000001</v>
      </c>
      <c r="O64" s="20">
        <f t="shared" si="1"/>
        <v>27.891925000000001</v>
      </c>
      <c r="P64" s="7"/>
      <c r="Q64" s="13"/>
      <c r="R64" s="14"/>
      <c r="S64" s="14"/>
      <c r="T64" s="27"/>
      <c r="U64" s="28">
        <f t="shared" si="2"/>
        <v>-0.16025770278767557</v>
      </c>
    </row>
    <row r="65" spans="1:21" x14ac:dyDescent="0.25">
      <c r="B65" s="6" t="s">
        <v>60</v>
      </c>
      <c r="C65" s="15">
        <v>766.63</v>
      </c>
      <c r="D65" s="16">
        <v>34.283000000000001</v>
      </c>
      <c r="E65" s="16">
        <v>36.652000000000001</v>
      </c>
      <c r="F65" s="16">
        <v>37.731000000000002</v>
      </c>
      <c r="G65" s="16">
        <v>486.22</v>
      </c>
      <c r="H65" s="16">
        <f t="shared" si="0"/>
        <v>35.010125000000002</v>
      </c>
      <c r="I65" s="5"/>
      <c r="J65" s="15">
        <v>600.16560000000004</v>
      </c>
      <c r="K65" s="16">
        <v>33.417499999999997</v>
      </c>
      <c r="L65" s="16">
        <v>36.970599999999997</v>
      </c>
      <c r="M65" s="16">
        <v>38.001600000000003</v>
      </c>
      <c r="N65" s="16">
        <v>286.80689999999998</v>
      </c>
      <c r="O65" s="16">
        <f t="shared" si="1"/>
        <v>34.434649999999998</v>
      </c>
      <c r="P65" s="7"/>
      <c r="Q65" s="8">
        <f>bdrate(C65:C68,D65:D68,J65:J68,K65:K68)</f>
        <v>-0.14931644895513374</v>
      </c>
      <c r="R65" s="8">
        <f>bdrate(C65:C68,E65:E68,J65:J68,L65:L68)</f>
        <v>-0.20093639734864321</v>
      </c>
      <c r="S65" s="8">
        <f>bdrate(C65:C68,F65:F68,J65:J68,M65:M68)</f>
        <v>-0.15795856606869607</v>
      </c>
      <c r="T65" s="25">
        <f>bdrate(C65:C68,H65:H68,J65:J68,O65:O68)</f>
        <v>-0.15176546651630229</v>
      </c>
      <c r="U65" s="28">
        <f t="shared" si="2"/>
        <v>-0.41012936530788541</v>
      </c>
    </row>
    <row r="66" spans="1:21" x14ac:dyDescent="0.25">
      <c r="B66" s="9"/>
      <c r="C66" s="17">
        <v>512.39</v>
      </c>
      <c r="D66" s="18">
        <v>32.375999999999998</v>
      </c>
      <c r="E66" s="18">
        <v>35.622999999999998</v>
      </c>
      <c r="F66" s="18">
        <v>36.710999999999999</v>
      </c>
      <c r="G66" s="18">
        <v>544.46</v>
      </c>
      <c r="H66" s="18">
        <f t="shared" si="0"/>
        <v>33.323749999999997</v>
      </c>
      <c r="I66" s="5"/>
      <c r="J66" s="17">
        <v>401.0224</v>
      </c>
      <c r="K66" s="18">
        <v>31.722899999999999</v>
      </c>
      <c r="L66" s="18">
        <v>35.796199999999999</v>
      </c>
      <c r="M66" s="18">
        <v>36.802599999999998</v>
      </c>
      <c r="N66" s="18">
        <v>337.45780000000002</v>
      </c>
      <c r="O66" s="18">
        <f t="shared" si="1"/>
        <v>32.867024999999998</v>
      </c>
      <c r="P66" s="7"/>
      <c r="Q66" s="10"/>
      <c r="R66" s="11"/>
      <c r="S66" s="11"/>
      <c r="T66" s="26"/>
      <c r="U66" s="28">
        <f t="shared" si="2"/>
        <v>-0.3801972596701319</v>
      </c>
    </row>
    <row r="67" spans="1:21" x14ac:dyDescent="0.25">
      <c r="B67" s="9"/>
      <c r="C67" s="17">
        <v>322.89999999999998</v>
      </c>
      <c r="D67" s="18">
        <v>30.350999999999999</v>
      </c>
      <c r="E67" s="18">
        <v>34.683999999999997</v>
      </c>
      <c r="F67" s="18">
        <v>35.770000000000003</v>
      </c>
      <c r="G67" s="18">
        <v>612.24</v>
      </c>
      <c r="H67" s="18">
        <f t="shared" si="0"/>
        <v>31.57</v>
      </c>
      <c r="I67" s="5"/>
      <c r="J67" s="17">
        <v>252.09360000000001</v>
      </c>
      <c r="K67" s="18">
        <v>30.014500000000002</v>
      </c>
      <c r="L67" s="18">
        <v>34.604199999999999</v>
      </c>
      <c r="M67" s="18">
        <v>35.502699999999997</v>
      </c>
      <c r="N67" s="18">
        <v>401.06950000000001</v>
      </c>
      <c r="O67" s="18">
        <f t="shared" si="1"/>
        <v>31.274237500000002</v>
      </c>
      <c r="P67" s="7"/>
      <c r="Q67" s="10"/>
      <c r="R67" s="11"/>
      <c r="S67" s="11"/>
      <c r="T67" s="26"/>
      <c r="U67" s="28">
        <f t="shared" si="2"/>
        <v>-0.34491457598327452</v>
      </c>
    </row>
    <row r="68" spans="1:21" ht="16.5" thickBot="1" x14ac:dyDescent="0.3">
      <c r="B68" s="12"/>
      <c r="C68" s="19">
        <v>154.34</v>
      </c>
      <c r="D68" s="20">
        <v>27.308</v>
      </c>
      <c r="E68" s="20">
        <v>33.445999999999998</v>
      </c>
      <c r="F68" s="20">
        <v>34.433</v>
      </c>
      <c r="G68" s="20">
        <v>773.2</v>
      </c>
      <c r="H68" s="20">
        <f t="shared" si="0"/>
        <v>28.965875</v>
      </c>
      <c r="I68" s="5"/>
      <c r="J68" s="19">
        <v>121.9096</v>
      </c>
      <c r="K68" s="20">
        <v>27.704000000000001</v>
      </c>
      <c r="L68" s="20">
        <v>32.709200000000003</v>
      </c>
      <c r="M68" s="20">
        <v>33.5212</v>
      </c>
      <c r="N68" s="20">
        <v>583.6576</v>
      </c>
      <c r="O68" s="20">
        <f t="shared" si="1"/>
        <v>29.056799999999999</v>
      </c>
      <c r="P68" s="7"/>
      <c r="Q68" s="13"/>
      <c r="R68" s="14"/>
      <c r="S68" s="14"/>
      <c r="T68" s="27"/>
      <c r="U68" s="28">
        <f t="shared" si="2"/>
        <v>-0.24514019658561825</v>
      </c>
    </row>
    <row r="69" spans="1:21" x14ac:dyDescent="0.25">
      <c r="A69" s="6" t="s">
        <v>43</v>
      </c>
      <c r="B69" s="6" t="s">
        <v>61</v>
      </c>
      <c r="C69" s="15">
        <v>1931.94</v>
      </c>
      <c r="D69" s="16">
        <v>40.055</v>
      </c>
      <c r="E69" s="16">
        <v>43.523000000000003</v>
      </c>
      <c r="F69" s="16">
        <v>44.585000000000001</v>
      </c>
      <c r="G69" s="16">
        <v>111.96</v>
      </c>
      <c r="H69" s="16">
        <f t="shared" si="0"/>
        <v>41.054749999999999</v>
      </c>
      <c r="I69" s="5"/>
      <c r="J69" s="15">
        <v>1492.0424</v>
      </c>
      <c r="K69" s="16">
        <v>40.0229</v>
      </c>
      <c r="L69" s="16">
        <v>44.561700000000002</v>
      </c>
      <c r="M69" s="16">
        <v>45.724400000000003</v>
      </c>
      <c r="N69" s="16">
        <v>97.370999999999995</v>
      </c>
      <c r="O69" s="16">
        <f t="shared" si="1"/>
        <v>41.302937500000006</v>
      </c>
      <c r="P69" s="7"/>
      <c r="Q69" s="8">
        <f>bdrate(C69:C72,D69:D72,J69:J72,K69:K72)</f>
        <v>-0.3789428136592764</v>
      </c>
      <c r="R69" s="8">
        <f>bdrate(C69:C72,E69:E72,J69:J72,L69:L72)</f>
        <v>-0.51098921477141812</v>
      </c>
      <c r="S69" s="8">
        <f>bdrate(C69:C72,F69:F72,J69:J72,M69:M72)</f>
        <v>-0.50828496112904453</v>
      </c>
      <c r="T69" s="25">
        <f>bdrate(C69:C72,H69:H72,J69:J72,O69:O72)</f>
        <v>-0.4050522505458477</v>
      </c>
      <c r="U69" s="28">
        <f t="shared" si="2"/>
        <v>-0.13030546623794212</v>
      </c>
    </row>
    <row r="70" spans="1:21" x14ac:dyDescent="0.25">
      <c r="A70" s="9" t="s">
        <v>44</v>
      </c>
      <c r="B70" s="9"/>
      <c r="C70" s="17">
        <v>1251.43</v>
      </c>
      <c r="D70" s="18">
        <v>38.232999999999997</v>
      </c>
      <c r="E70" s="18">
        <v>42.366999999999997</v>
      </c>
      <c r="F70" s="18">
        <v>43.435000000000002</v>
      </c>
      <c r="G70" s="18">
        <v>123.48</v>
      </c>
      <c r="H70" s="18">
        <f t="shared" si="0"/>
        <v>39.4</v>
      </c>
      <c r="I70" s="5"/>
      <c r="J70" s="17">
        <v>986.13040000000001</v>
      </c>
      <c r="K70" s="18">
        <v>38.847900000000003</v>
      </c>
      <c r="L70" s="18">
        <v>43.589700000000001</v>
      </c>
      <c r="M70" s="18">
        <v>44.647599999999997</v>
      </c>
      <c r="N70" s="18">
        <v>115.85250000000001</v>
      </c>
      <c r="O70" s="18">
        <f t="shared" si="1"/>
        <v>40.165587500000001</v>
      </c>
      <c r="P70" s="7"/>
      <c r="Q70" s="10"/>
      <c r="R70" s="11"/>
      <c r="S70" s="11"/>
      <c r="T70" s="26"/>
      <c r="U70" s="28">
        <f t="shared" si="2"/>
        <v>-6.1771137026239049E-2</v>
      </c>
    </row>
    <row r="71" spans="1:21" x14ac:dyDescent="0.25">
      <c r="B71" s="9"/>
      <c r="C71" s="17">
        <v>742.14</v>
      </c>
      <c r="D71" s="18">
        <v>35.552999999999997</v>
      </c>
      <c r="E71" s="18">
        <v>40.966999999999999</v>
      </c>
      <c r="F71" s="18">
        <v>41.892000000000003</v>
      </c>
      <c r="G71" s="18">
        <v>131.96</v>
      </c>
      <c r="H71" s="18">
        <f t="shared" si="0"/>
        <v>37.022124999999996</v>
      </c>
      <c r="I71" s="5"/>
      <c r="J71" s="17">
        <v>588.55280000000005</v>
      </c>
      <c r="K71" s="18">
        <v>36.920299999999997</v>
      </c>
      <c r="L71" s="18">
        <v>42.273899999999998</v>
      </c>
      <c r="M71" s="18">
        <v>43.292000000000002</v>
      </c>
      <c r="N71" s="18">
        <v>138.34450000000001</v>
      </c>
      <c r="O71" s="18">
        <f t="shared" si="1"/>
        <v>38.385962500000005</v>
      </c>
      <c r="P71" s="7"/>
      <c r="Q71" s="10"/>
      <c r="R71" s="11"/>
      <c r="S71" s="11"/>
      <c r="T71" s="26"/>
      <c r="U71" s="28">
        <f t="shared" si="2"/>
        <v>4.8382085480448637E-2</v>
      </c>
    </row>
    <row r="72" spans="1:21" ht="16.5" thickBot="1" x14ac:dyDescent="0.3">
      <c r="B72" s="12"/>
      <c r="C72" s="19">
        <v>368.37</v>
      </c>
      <c r="D72" s="20">
        <v>31.558</v>
      </c>
      <c r="E72" s="20">
        <v>39.357999999999997</v>
      </c>
      <c r="F72" s="20">
        <v>39.957999999999998</v>
      </c>
      <c r="G72" s="20">
        <v>142.11000000000001</v>
      </c>
      <c r="H72" s="20">
        <f t="shared" si="0"/>
        <v>33.582999999999998</v>
      </c>
      <c r="I72" s="5"/>
      <c r="J72" s="19">
        <v>292.03359999999998</v>
      </c>
      <c r="K72" s="20">
        <v>33.81</v>
      </c>
      <c r="L72" s="20">
        <v>40.367699999999999</v>
      </c>
      <c r="M72" s="20">
        <v>41.264699999999998</v>
      </c>
      <c r="N72" s="20">
        <v>173.2602</v>
      </c>
      <c r="O72" s="20">
        <f t="shared" si="1"/>
        <v>35.561550000000004</v>
      </c>
      <c r="P72" s="7"/>
      <c r="Q72" s="13"/>
      <c r="R72" s="14"/>
      <c r="S72" s="14"/>
      <c r="T72" s="27"/>
      <c r="U72" s="28">
        <f t="shared" si="2"/>
        <v>0.21919780451762705</v>
      </c>
    </row>
    <row r="73" spans="1:21" x14ac:dyDescent="0.25">
      <c r="B73" s="6" t="s">
        <v>62</v>
      </c>
      <c r="C73" s="15">
        <v>1975.64</v>
      </c>
      <c r="D73" s="16">
        <v>41.512</v>
      </c>
      <c r="E73" s="16">
        <v>45.67</v>
      </c>
      <c r="F73" s="16">
        <v>46.08</v>
      </c>
      <c r="G73" s="16">
        <v>105.02</v>
      </c>
      <c r="H73" s="16">
        <f t="shared" si="0"/>
        <v>42.60275</v>
      </c>
      <c r="I73" s="5"/>
      <c r="J73" s="15">
        <v>1504.3632</v>
      </c>
      <c r="K73" s="16">
        <v>41.717700000000001</v>
      </c>
      <c r="L73" s="16">
        <v>46.881900000000002</v>
      </c>
      <c r="M73" s="16">
        <v>47.503300000000003</v>
      </c>
      <c r="N73" s="16">
        <v>102.5641</v>
      </c>
      <c r="O73" s="16">
        <f t="shared" si="1"/>
        <v>43.086424999999998</v>
      </c>
      <c r="P73" s="7"/>
      <c r="Q73" s="8">
        <f>bdrate(C73:C76,D73:D76,J73:J76,K73:K76)</f>
        <v>-0.4943092622117885</v>
      </c>
      <c r="R73" s="8">
        <f>bdrate(C73:C76,E73:E76,J73:J76,L73:L76)</f>
        <v>-0.68056466938506177</v>
      </c>
      <c r="S73" s="8">
        <f>bdrate(C73:C76,F73:F76,J73:J76,M73:M76)</f>
        <v>-0.70078893790625263</v>
      </c>
      <c r="T73" s="25">
        <f>bdrate(C73:C76,H73:H76,J73:J76,O73:O76)</f>
        <v>-0.54899996313832755</v>
      </c>
      <c r="U73" s="28">
        <f t="shared" ref="U73:U80" si="3">(N73-G73)/G73</f>
        <v>-2.3385069510569415E-2</v>
      </c>
    </row>
    <row r="74" spans="1:21" x14ac:dyDescent="0.25">
      <c r="B74" s="9"/>
      <c r="C74" s="17">
        <v>1331.37</v>
      </c>
      <c r="D74" s="18">
        <v>40.604999999999997</v>
      </c>
      <c r="E74" s="18">
        <v>44.863999999999997</v>
      </c>
      <c r="F74" s="18">
        <v>45.268000000000001</v>
      </c>
      <c r="G74" s="18">
        <v>120.41</v>
      </c>
      <c r="H74" s="18">
        <f t="shared" si="0"/>
        <v>41.720249999999993</v>
      </c>
      <c r="I74" s="5"/>
      <c r="J74" s="17">
        <v>1004.9952</v>
      </c>
      <c r="K74" s="18">
        <v>41.188800000000001</v>
      </c>
      <c r="L74" s="18">
        <v>46.366100000000003</v>
      </c>
      <c r="M74" s="18">
        <v>46.998699999999999</v>
      </c>
      <c r="N74" s="18">
        <v>118.7178</v>
      </c>
      <c r="O74" s="18">
        <f t="shared" si="1"/>
        <v>42.562199999999997</v>
      </c>
      <c r="P74" s="7"/>
      <c r="Q74" s="10"/>
      <c r="R74" s="11"/>
      <c r="S74" s="11"/>
      <c r="T74" s="26"/>
      <c r="U74" s="28">
        <f t="shared" si="3"/>
        <v>-1.4053650029067352E-2</v>
      </c>
    </row>
    <row r="75" spans="1:21" x14ac:dyDescent="0.25">
      <c r="B75" s="9"/>
      <c r="C75" s="17">
        <v>771.61</v>
      </c>
      <c r="D75" s="18">
        <v>38.857999999999997</v>
      </c>
      <c r="E75" s="18">
        <v>43.395000000000003</v>
      </c>
      <c r="F75" s="18">
        <v>43.936</v>
      </c>
      <c r="G75" s="18">
        <v>131.12</v>
      </c>
      <c r="H75" s="18">
        <f t="shared" si="0"/>
        <v>40.059874999999991</v>
      </c>
      <c r="I75" s="5"/>
      <c r="J75" s="17">
        <v>600.71360000000004</v>
      </c>
      <c r="K75" s="18">
        <v>40.2209</v>
      </c>
      <c r="L75" s="18">
        <v>45.579099999999997</v>
      </c>
      <c r="M75" s="18">
        <v>46.174100000000003</v>
      </c>
      <c r="N75" s="18">
        <v>135.4402</v>
      </c>
      <c r="O75" s="18">
        <f t="shared" si="1"/>
        <v>41.634824999999999</v>
      </c>
      <c r="P75" s="7"/>
      <c r="Q75" s="10"/>
      <c r="R75" s="11"/>
      <c r="S75" s="11"/>
      <c r="T75" s="26"/>
      <c r="U75" s="28">
        <f t="shared" si="3"/>
        <v>3.2948444173276387E-2</v>
      </c>
    </row>
    <row r="76" spans="1:21" ht="16.5" thickBot="1" x14ac:dyDescent="0.3">
      <c r="B76" s="12"/>
      <c r="C76" s="19">
        <v>370.48</v>
      </c>
      <c r="D76" s="20">
        <v>35.719000000000001</v>
      </c>
      <c r="E76" s="20">
        <v>41.35</v>
      </c>
      <c r="F76" s="20">
        <v>42.417000000000002</v>
      </c>
      <c r="G76" s="20">
        <v>145.94999999999999</v>
      </c>
      <c r="H76" s="20">
        <f t="shared" si="0"/>
        <v>37.260125000000002</v>
      </c>
      <c r="I76" s="5"/>
      <c r="J76" s="19">
        <v>292.4144</v>
      </c>
      <c r="K76" s="20">
        <v>38.309699999999999</v>
      </c>
      <c r="L76" s="20">
        <v>43.798999999999999</v>
      </c>
      <c r="M76" s="20">
        <v>44.356900000000003</v>
      </c>
      <c r="N76" s="20">
        <v>170.9402</v>
      </c>
      <c r="O76" s="20">
        <f t="shared" si="1"/>
        <v>39.751762499999998</v>
      </c>
      <c r="P76" s="7"/>
      <c r="Q76" s="13"/>
      <c r="R76" s="14"/>
      <c r="S76" s="14"/>
      <c r="T76" s="27"/>
      <c r="U76" s="28">
        <f t="shared" si="3"/>
        <v>0.17122439191503952</v>
      </c>
    </row>
    <row r="77" spans="1:21" x14ac:dyDescent="0.25">
      <c r="B77" s="6" t="s">
        <v>63</v>
      </c>
      <c r="C77" s="15">
        <v>2061.38</v>
      </c>
      <c r="D77" s="16">
        <v>41.255000000000003</v>
      </c>
      <c r="E77" s="16">
        <v>44.683</v>
      </c>
      <c r="F77" s="16">
        <v>45.420999999999999</v>
      </c>
      <c r="G77" s="16">
        <v>104.62</v>
      </c>
      <c r="H77" s="16">
        <f t="shared" si="0"/>
        <v>42.204250000000002</v>
      </c>
      <c r="I77" s="5"/>
      <c r="J77" s="15">
        <v>1528.6328000000001</v>
      </c>
      <c r="K77" s="16">
        <v>41.556399999999996</v>
      </c>
      <c r="L77" s="16">
        <v>45.657600000000002</v>
      </c>
      <c r="M77" s="16">
        <v>46.453099999999999</v>
      </c>
      <c r="N77" s="16">
        <v>100.1502</v>
      </c>
      <c r="O77" s="16">
        <f t="shared" si="1"/>
        <v>42.681137499999998</v>
      </c>
      <c r="P77" s="7"/>
      <c r="Q77" s="8">
        <f>bdrate(C77:C80,D77:D80,J77:J80,K77:K80)</f>
        <v>-0.48561233569665152</v>
      </c>
      <c r="R77" s="8">
        <f>bdrate(C77:C80,E77:E80,J77:J80,L77:L80)</f>
        <v>-0.57996112039188219</v>
      </c>
      <c r="S77" s="8">
        <f>bdrate(C77:C80,F77:F80,J77:J80,M77:M80)</f>
        <v>-0.57907193945627866</v>
      </c>
      <c r="T77" s="25">
        <f>bdrate(C77:C80,H77:H80,J77:J80,O77:O80)</f>
        <v>-0.50674461983265484</v>
      </c>
      <c r="U77" s="28">
        <f t="shared" si="3"/>
        <v>-4.2724144523035808E-2</v>
      </c>
    </row>
    <row r="78" spans="1:21" x14ac:dyDescent="0.25">
      <c r="B78" s="9"/>
      <c r="C78" s="17">
        <v>1361.83</v>
      </c>
      <c r="D78" s="18">
        <v>39.813000000000002</v>
      </c>
      <c r="E78" s="18">
        <v>43.317999999999998</v>
      </c>
      <c r="F78" s="18">
        <v>44.152999999999999</v>
      </c>
      <c r="G78" s="18">
        <v>113.55</v>
      </c>
      <c r="H78" s="18">
        <f t="shared" si="0"/>
        <v>40.793625000000006</v>
      </c>
      <c r="I78" s="5"/>
      <c r="J78" s="17">
        <v>1026.2016000000001</v>
      </c>
      <c r="K78" s="18">
        <v>40.681100000000001</v>
      </c>
      <c r="L78" s="18">
        <v>44.906300000000002</v>
      </c>
      <c r="M78" s="18">
        <v>45.685400000000001</v>
      </c>
      <c r="N78" s="18">
        <v>114.1335</v>
      </c>
      <c r="O78" s="18">
        <f t="shared" si="1"/>
        <v>41.834787500000004</v>
      </c>
      <c r="P78" s="7"/>
      <c r="Q78" s="10"/>
      <c r="R78" s="11"/>
      <c r="S78" s="11"/>
      <c r="T78" s="26"/>
      <c r="U78" s="28">
        <f t="shared" si="3"/>
        <v>5.1387054161162555E-3</v>
      </c>
    </row>
    <row r="79" spans="1:21" x14ac:dyDescent="0.25">
      <c r="B79" s="9"/>
      <c r="C79" s="17">
        <v>806.82</v>
      </c>
      <c r="D79" s="18">
        <v>37.497999999999998</v>
      </c>
      <c r="E79" s="18">
        <v>42.055999999999997</v>
      </c>
      <c r="F79" s="18">
        <v>42.936</v>
      </c>
      <c r="G79" s="18">
        <v>125</v>
      </c>
      <c r="H79" s="18">
        <f t="shared" si="0"/>
        <v>38.747499999999995</v>
      </c>
      <c r="I79" s="5"/>
      <c r="J79" s="17">
        <v>616.428</v>
      </c>
      <c r="K79" s="18">
        <v>39.267699999999998</v>
      </c>
      <c r="L79" s="18">
        <v>43.628999999999998</v>
      </c>
      <c r="M79" s="18">
        <v>44.4634</v>
      </c>
      <c r="N79" s="18">
        <v>133.57079999999999</v>
      </c>
      <c r="O79" s="18">
        <f t="shared" si="1"/>
        <v>40.462325</v>
      </c>
      <c r="P79" s="7"/>
      <c r="Q79" s="10"/>
      <c r="R79" s="11"/>
      <c r="S79" s="11"/>
      <c r="T79" s="26"/>
      <c r="U79" s="28">
        <f t="shared" si="3"/>
        <v>6.856639999999993E-2</v>
      </c>
    </row>
    <row r="80" spans="1:21" ht="16.5" thickBot="1" x14ac:dyDescent="0.3">
      <c r="B80" s="12"/>
      <c r="C80" s="19">
        <v>399.51</v>
      </c>
      <c r="D80" s="20">
        <v>33.755000000000003</v>
      </c>
      <c r="E80" s="20">
        <v>39.981000000000002</v>
      </c>
      <c r="F80" s="20">
        <v>40.814</v>
      </c>
      <c r="G80" s="20">
        <v>141.74</v>
      </c>
      <c r="H80" s="20">
        <f t="shared" si="0"/>
        <v>35.415625000000006</v>
      </c>
      <c r="I80" s="5"/>
      <c r="J80" s="19">
        <v>307.05439999999999</v>
      </c>
      <c r="K80" s="20">
        <v>36.6721</v>
      </c>
      <c r="L80" s="20">
        <v>41.658000000000001</v>
      </c>
      <c r="M80" s="20">
        <v>42.480800000000002</v>
      </c>
      <c r="N80" s="20">
        <v>167.92609999999999</v>
      </c>
      <c r="O80" s="20">
        <f t="shared" si="1"/>
        <v>38.021425000000001</v>
      </c>
      <c r="P80" s="7"/>
      <c r="Q80" s="13"/>
      <c r="R80" s="14"/>
      <c r="S80" s="14"/>
      <c r="T80" s="27"/>
      <c r="U80" s="28">
        <f t="shared" si="3"/>
        <v>0.18474742486242401</v>
      </c>
    </row>
    <row r="81" spans="1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-0.39913785401673285</v>
      </c>
      <c r="R81" s="21">
        <f>AVERAGE(R9:R80)</f>
        <v>-0.28962750685144917</v>
      </c>
      <c r="S81" s="21">
        <f>AVERAGE(S9:S80)</f>
        <v>-0.32082158060158816</v>
      </c>
      <c r="T81" s="21">
        <f>AVERAGE(T9:T80)</f>
        <v>-0.39307914562665269</v>
      </c>
      <c r="U81" s="21">
        <f>AVERAGE(U9:U80)</f>
        <v>-0.13510201060365679</v>
      </c>
    </row>
    <row r="83" spans="1:21" s="35" customFormat="1" ht="15.75" customHeight="1" x14ac:dyDescent="0.25">
      <c r="B83" s="56" t="s">
        <v>29</v>
      </c>
      <c r="C83" s="58" t="s">
        <v>88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60"/>
    </row>
    <row r="84" spans="1:21" s="35" customFormat="1" x14ac:dyDescent="0.25">
      <c r="B84" s="57"/>
      <c r="C84" s="61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3"/>
    </row>
    <row r="85" spans="1:21" ht="16.5" customHeight="1" thickBot="1" x14ac:dyDescent="0.3">
      <c r="C85" s="64" t="s">
        <v>102</v>
      </c>
      <c r="D85" s="65"/>
      <c r="E85" s="65"/>
      <c r="F85" s="65"/>
      <c r="G85" s="65"/>
      <c r="H85" s="65"/>
      <c r="I85" s="5"/>
      <c r="J85" s="64" t="s">
        <v>98</v>
      </c>
      <c r="K85" s="65"/>
      <c r="L85" s="65"/>
      <c r="M85" s="65"/>
      <c r="N85" s="65"/>
      <c r="O85" s="65"/>
      <c r="Q85" s="64" t="s">
        <v>7</v>
      </c>
      <c r="R85" s="65"/>
      <c r="S85" s="66"/>
      <c r="T85" s="36"/>
      <c r="U85" s="67" t="s">
        <v>45</v>
      </c>
    </row>
    <row r="86" spans="1:21" ht="16.5" thickBot="1" x14ac:dyDescent="0.3">
      <c r="C86" s="2" t="s">
        <v>64</v>
      </c>
      <c r="D86" s="3" t="s">
        <v>30</v>
      </c>
      <c r="E86" s="3" t="s">
        <v>31</v>
      </c>
      <c r="F86" s="3" t="s">
        <v>32</v>
      </c>
      <c r="G86" s="3" t="s">
        <v>33</v>
      </c>
      <c r="H86" s="3" t="s">
        <v>34</v>
      </c>
      <c r="I86" s="1"/>
      <c r="J86" s="2" t="s">
        <v>64</v>
      </c>
      <c r="K86" s="3" t="s">
        <v>30</v>
      </c>
      <c r="L86" s="3" t="s">
        <v>31</v>
      </c>
      <c r="M86" s="3" t="s">
        <v>32</v>
      </c>
      <c r="N86" s="3" t="s">
        <v>33</v>
      </c>
      <c r="O86" s="3" t="s">
        <v>34</v>
      </c>
      <c r="Q86" s="2" t="s">
        <v>4</v>
      </c>
      <c r="R86" s="3" t="s">
        <v>5</v>
      </c>
      <c r="S86" s="4" t="s">
        <v>6</v>
      </c>
      <c r="T86" s="24" t="s">
        <v>21</v>
      </c>
      <c r="U86" s="67"/>
    </row>
    <row r="87" spans="1:21" x14ac:dyDescent="0.25">
      <c r="A87" s="6" t="s">
        <v>35</v>
      </c>
      <c r="B87" s="6" t="s">
        <v>46</v>
      </c>
      <c r="C87" s="15">
        <v>5864.31</v>
      </c>
      <c r="D87" s="16">
        <v>36.051000000000002</v>
      </c>
      <c r="E87" s="16">
        <v>37.898000000000003</v>
      </c>
      <c r="F87" s="16">
        <v>39.993000000000002</v>
      </c>
      <c r="G87" s="16">
        <v>50.27</v>
      </c>
      <c r="H87" s="16">
        <f t="shared" ref="H87:H158" si="4">(6*D87+E87+F87)/8</f>
        <v>36.774625</v>
      </c>
      <c r="I87" s="5"/>
      <c r="J87" s="15">
        <v>4265.2208000000001</v>
      </c>
      <c r="K87" s="16">
        <v>36.3962</v>
      </c>
      <c r="L87" s="16">
        <v>38.236499999999999</v>
      </c>
      <c r="M87" s="16">
        <v>40.554699999999997</v>
      </c>
      <c r="N87" s="16">
        <v>42.918500000000002</v>
      </c>
      <c r="O87" s="16">
        <f t="shared" ref="O87:O158" si="5">(6*K87+L87+M87)/8</f>
        <v>37.146050000000002</v>
      </c>
      <c r="P87" s="7"/>
      <c r="Q87" s="8">
        <f>bdrate(C87:C90,D87:D90,J87:J90,K87:K90)</f>
        <v>-0.39728782043688526</v>
      </c>
      <c r="R87" s="8">
        <f>bdrate(C87:C90,E87:E90,J87:J90,L87:L90)</f>
        <v>-0.40544045070340484</v>
      </c>
      <c r="S87" s="8">
        <f>bdrate(C87:C90,F87:F90,J87:J90,M87:M90)</f>
        <v>-0.47747461678065684</v>
      </c>
      <c r="T87" s="25">
        <f>bdrate(C87:C90,H87:H90,J87:J90,O87:O90)</f>
        <v>-0.40294266217347185</v>
      </c>
      <c r="U87" s="28">
        <f t="shared" ref="U87:U150" si="6">(N87-G87)/G87</f>
        <v>-0.14624030236721705</v>
      </c>
    </row>
    <row r="88" spans="1:21" x14ac:dyDescent="0.25">
      <c r="A88" s="9" t="s">
        <v>36</v>
      </c>
      <c r="B88" s="9"/>
      <c r="C88" s="17">
        <v>4307.47</v>
      </c>
      <c r="D88" s="18">
        <v>34.725999999999999</v>
      </c>
      <c r="E88" s="18">
        <v>37.33</v>
      </c>
      <c r="F88" s="18">
        <v>39.435000000000002</v>
      </c>
      <c r="G88" s="18">
        <v>56.45</v>
      </c>
      <c r="H88" s="18">
        <f t="shared" si="4"/>
        <v>35.640124999999998</v>
      </c>
      <c r="I88" s="5"/>
      <c r="J88" s="17">
        <v>3222.2127999999998</v>
      </c>
      <c r="K88" s="18">
        <v>35.358499999999999</v>
      </c>
      <c r="L88" s="18">
        <v>37.6937</v>
      </c>
      <c r="M88" s="18">
        <v>40.003900000000002</v>
      </c>
      <c r="N88" s="18">
        <v>53.361800000000002</v>
      </c>
      <c r="O88" s="18">
        <f t="shared" si="5"/>
        <v>36.231075000000004</v>
      </c>
      <c r="P88" s="7"/>
      <c r="Q88" s="10"/>
      <c r="R88" s="11"/>
      <c r="S88" s="11"/>
      <c r="T88" s="26"/>
      <c r="U88" s="28">
        <f t="shared" si="6"/>
        <v>-5.4706820194862719E-2</v>
      </c>
    </row>
    <row r="89" spans="1:21" x14ac:dyDescent="0.25">
      <c r="B89" s="9"/>
      <c r="C89" s="17">
        <v>2823.31</v>
      </c>
      <c r="D89" s="18">
        <v>32.741999999999997</v>
      </c>
      <c r="E89" s="18">
        <v>36.603999999999999</v>
      </c>
      <c r="F89" s="18">
        <v>38.676000000000002</v>
      </c>
      <c r="G89" s="18">
        <v>59.81</v>
      </c>
      <c r="H89" s="18">
        <f t="shared" si="4"/>
        <v>33.966499999999996</v>
      </c>
      <c r="I89" s="5"/>
      <c r="J89" s="17">
        <v>2111.4063999999998</v>
      </c>
      <c r="K89" s="18">
        <v>33.676600000000001</v>
      </c>
      <c r="L89" s="18">
        <v>36.983400000000003</v>
      </c>
      <c r="M89" s="18">
        <v>39.282699999999998</v>
      </c>
      <c r="N89" s="18">
        <v>60.410800000000002</v>
      </c>
      <c r="O89" s="18">
        <f t="shared" si="5"/>
        <v>34.790712499999998</v>
      </c>
      <c r="P89" s="7"/>
      <c r="Q89" s="10"/>
      <c r="R89" s="11"/>
      <c r="S89" s="11"/>
      <c r="T89" s="26"/>
      <c r="U89" s="28">
        <f t="shared" si="6"/>
        <v>1.0045142952683489E-2</v>
      </c>
    </row>
    <row r="90" spans="1:21" ht="16.5" thickBot="1" x14ac:dyDescent="0.3">
      <c r="B90" s="12"/>
      <c r="C90" s="19">
        <v>1402.12</v>
      </c>
      <c r="D90" s="20">
        <v>28.971</v>
      </c>
      <c r="E90" s="20">
        <v>35.542000000000002</v>
      </c>
      <c r="F90" s="20">
        <v>37.523000000000003</v>
      </c>
      <c r="G90" s="20">
        <v>64.77</v>
      </c>
      <c r="H90" s="20">
        <f t="shared" si="4"/>
        <v>30.861374999999999</v>
      </c>
      <c r="I90" s="5"/>
      <c r="J90" s="19">
        <v>1031.2560000000001</v>
      </c>
      <c r="K90" s="20">
        <v>30.839400000000001</v>
      </c>
      <c r="L90" s="20">
        <v>35.905799999999999</v>
      </c>
      <c r="M90" s="20">
        <v>38.189599999999999</v>
      </c>
      <c r="N90" s="20">
        <v>72.850899999999996</v>
      </c>
      <c r="O90" s="20">
        <f t="shared" si="5"/>
        <v>32.391475</v>
      </c>
      <c r="P90" s="7"/>
      <c r="Q90" s="13"/>
      <c r="R90" s="14"/>
      <c r="S90" s="14"/>
      <c r="T90" s="27"/>
      <c r="U90" s="28">
        <f t="shared" si="6"/>
        <v>0.12476300756523082</v>
      </c>
    </row>
    <row r="91" spans="1:21" x14ac:dyDescent="0.25">
      <c r="B91" s="6" t="s">
        <v>47</v>
      </c>
      <c r="C91" s="15">
        <v>6000.47</v>
      </c>
      <c r="D91" s="16">
        <v>29.123999999999999</v>
      </c>
      <c r="E91" s="16">
        <v>38.631999999999998</v>
      </c>
      <c r="F91" s="16">
        <v>39.363999999999997</v>
      </c>
      <c r="G91" s="16">
        <v>49.46</v>
      </c>
      <c r="H91" s="16">
        <f t="shared" si="4"/>
        <v>31.592500000000001</v>
      </c>
      <c r="I91" s="5"/>
      <c r="J91" s="15">
        <v>4183.6127999999999</v>
      </c>
      <c r="K91" s="16">
        <v>29.223400000000002</v>
      </c>
      <c r="L91" s="16">
        <v>37.647599999999997</v>
      </c>
      <c r="M91" s="16">
        <v>38.712400000000002</v>
      </c>
      <c r="N91" s="16">
        <v>40.916499999999999</v>
      </c>
      <c r="O91" s="16">
        <f t="shared" si="5"/>
        <v>31.46255</v>
      </c>
      <c r="P91" s="7"/>
      <c r="Q91" s="8">
        <f>bdrate(C91:C94,D91:D94,J91:J94,K91:K94)</f>
        <v>-0.3838823971297638</v>
      </c>
      <c r="R91" s="8">
        <f>bdrate(C91:C94,E91:E94,J91:J94,L91:L94)</f>
        <v>-2.2446147301481201E-2</v>
      </c>
      <c r="S91" s="8">
        <f>bdrate(C91:C94,F91:F94,J91:J94,M91:M94)</f>
        <v>-0.11876579050423841</v>
      </c>
      <c r="T91" s="25">
        <f>bdrate(C91:C94,H91:H94,J91:J94,O91:O94)</f>
        <v>-0.34722150870923418</v>
      </c>
      <c r="U91" s="28">
        <f t="shared" si="6"/>
        <v>-0.17273554387383747</v>
      </c>
    </row>
    <row r="92" spans="1:21" x14ac:dyDescent="0.25">
      <c r="B92" s="9"/>
      <c r="C92" s="17">
        <v>4508.9799999999996</v>
      </c>
      <c r="D92" s="18">
        <v>27.440999999999999</v>
      </c>
      <c r="E92" s="18">
        <v>38.18</v>
      </c>
      <c r="F92" s="18">
        <v>38.917000000000002</v>
      </c>
      <c r="G92" s="18">
        <v>54.41</v>
      </c>
      <c r="H92" s="18">
        <f t="shared" si="4"/>
        <v>30.217874999999999</v>
      </c>
      <c r="I92" s="5"/>
      <c r="J92" s="17">
        <v>3068.8208</v>
      </c>
      <c r="K92" s="18">
        <v>27.650600000000001</v>
      </c>
      <c r="L92" s="18">
        <v>36.848300000000002</v>
      </c>
      <c r="M92" s="18">
        <v>38.033000000000001</v>
      </c>
      <c r="N92" s="18">
        <v>47.588799999999999</v>
      </c>
      <c r="O92" s="18">
        <f t="shared" si="5"/>
        <v>30.098112499999999</v>
      </c>
      <c r="P92" s="7"/>
      <c r="Q92" s="10"/>
      <c r="R92" s="11"/>
      <c r="S92" s="11"/>
      <c r="T92" s="26"/>
      <c r="U92" s="28">
        <f t="shared" si="6"/>
        <v>-0.12536666054034182</v>
      </c>
    </row>
    <row r="93" spans="1:21" x14ac:dyDescent="0.25">
      <c r="B93" s="9"/>
      <c r="C93" s="17">
        <v>3011.66</v>
      </c>
      <c r="D93" s="18">
        <v>24.940999999999999</v>
      </c>
      <c r="E93" s="18">
        <v>37.241</v>
      </c>
      <c r="F93" s="18">
        <v>38.076999999999998</v>
      </c>
      <c r="G93" s="18">
        <v>58.53</v>
      </c>
      <c r="H93" s="18">
        <f t="shared" si="4"/>
        <v>28.1205</v>
      </c>
      <c r="I93" s="5"/>
      <c r="J93" s="17">
        <v>2017.5344</v>
      </c>
      <c r="K93" s="18">
        <v>25.474900000000002</v>
      </c>
      <c r="L93" s="18">
        <v>35.864899999999999</v>
      </c>
      <c r="M93" s="18">
        <v>37.197899999999997</v>
      </c>
      <c r="N93" s="18">
        <v>55.248600000000003</v>
      </c>
      <c r="O93" s="18">
        <f t="shared" si="5"/>
        <v>28.239025000000002</v>
      </c>
      <c r="P93" s="7"/>
      <c r="Q93" s="10"/>
      <c r="R93" s="11"/>
      <c r="S93" s="11"/>
      <c r="T93" s="26"/>
      <c r="U93" s="28">
        <f t="shared" si="6"/>
        <v>-5.6063557150179355E-2</v>
      </c>
    </row>
    <row r="94" spans="1:21" ht="16.5" thickBot="1" x14ac:dyDescent="0.3">
      <c r="B94" s="12"/>
      <c r="C94" s="19">
        <v>1571.11</v>
      </c>
      <c r="D94" s="20">
        <v>20.811</v>
      </c>
      <c r="E94" s="20">
        <v>33.862000000000002</v>
      </c>
      <c r="F94" s="20">
        <v>34.993000000000002</v>
      </c>
      <c r="G94" s="20">
        <v>63.75</v>
      </c>
      <c r="H94" s="20">
        <f t="shared" si="4"/>
        <v>24.215125</v>
      </c>
      <c r="I94" s="5"/>
      <c r="J94" s="19">
        <v>1105.2256</v>
      </c>
      <c r="K94" s="20">
        <v>22.593</v>
      </c>
      <c r="L94" s="20">
        <v>34.482599999999998</v>
      </c>
      <c r="M94" s="20">
        <v>35.860399999999998</v>
      </c>
      <c r="N94" s="20">
        <v>67.720100000000002</v>
      </c>
      <c r="O94" s="20">
        <f t="shared" si="5"/>
        <v>25.737624999999998</v>
      </c>
      <c r="P94" s="7"/>
      <c r="Q94" s="13"/>
      <c r="R94" s="14"/>
      <c r="S94" s="14"/>
      <c r="T94" s="27"/>
      <c r="U94" s="28">
        <f t="shared" si="6"/>
        <v>6.2276078431372582E-2</v>
      </c>
    </row>
    <row r="95" spans="1:21" x14ac:dyDescent="0.25">
      <c r="A95" s="6" t="s">
        <v>37</v>
      </c>
      <c r="B95" s="6" t="s">
        <v>48</v>
      </c>
      <c r="C95" s="15">
        <v>3146.21</v>
      </c>
      <c r="D95" s="16">
        <v>37.679000000000002</v>
      </c>
      <c r="E95" s="16">
        <v>41.104999999999997</v>
      </c>
      <c r="F95" s="16">
        <v>41.978000000000002</v>
      </c>
      <c r="G95" s="16">
        <v>90.67</v>
      </c>
      <c r="H95" s="16">
        <f t="shared" si="4"/>
        <v>38.644625000000005</v>
      </c>
      <c r="I95" s="5"/>
      <c r="J95" s="15">
        <v>2072.348</v>
      </c>
      <c r="K95" s="16">
        <v>38.057099999999998</v>
      </c>
      <c r="L95" s="16">
        <v>40.531300000000002</v>
      </c>
      <c r="M95" s="16">
        <v>41.696199999999997</v>
      </c>
      <c r="N95" s="16">
        <v>94.413799999999995</v>
      </c>
      <c r="O95" s="16">
        <f t="shared" si="5"/>
        <v>38.821262499999996</v>
      </c>
      <c r="P95" s="7"/>
      <c r="Q95" s="8">
        <f>bdrate(C95:C98,D95:D98,J95:J98,K95:K98)</f>
        <v>-0.47131350679396911</v>
      </c>
      <c r="R95" s="8">
        <f>bdrate(C95:C98,E95:E98,J95:J98,L95:L98)</f>
        <v>-0.13007558826029098</v>
      </c>
      <c r="S95" s="8">
        <f>bdrate(C95:C98,F95:F98,J95:J98,M95:M98)</f>
        <v>-0.31296523462284087</v>
      </c>
      <c r="T95" s="25">
        <f>bdrate(C95:C98,H95:H98,J95:J98,O95:O98)</f>
        <v>-0.44484012386917082</v>
      </c>
      <c r="U95" s="28">
        <f t="shared" si="6"/>
        <v>4.1290393735524351E-2</v>
      </c>
    </row>
    <row r="96" spans="1:21" x14ac:dyDescent="0.25">
      <c r="A96" s="9" t="s">
        <v>38</v>
      </c>
      <c r="B96" s="9"/>
      <c r="C96" s="17">
        <v>2092.39</v>
      </c>
      <c r="D96" s="18">
        <v>36.012</v>
      </c>
      <c r="E96" s="18">
        <v>40.421999999999997</v>
      </c>
      <c r="F96" s="18">
        <v>41.244999999999997</v>
      </c>
      <c r="G96" s="18">
        <v>101.61</v>
      </c>
      <c r="H96" s="18">
        <f t="shared" si="4"/>
        <v>37.217375000000004</v>
      </c>
      <c r="I96" s="5"/>
      <c r="J96" s="17">
        <v>1371.0672</v>
      </c>
      <c r="K96" s="18">
        <v>36.613599999999998</v>
      </c>
      <c r="L96" s="18">
        <v>39.768500000000003</v>
      </c>
      <c r="M96" s="18">
        <v>41.008499999999998</v>
      </c>
      <c r="N96" s="18">
        <v>117.41679999999999</v>
      </c>
      <c r="O96" s="18">
        <f t="shared" si="5"/>
        <v>37.557325000000006</v>
      </c>
      <c r="P96" s="7"/>
      <c r="Q96" s="10"/>
      <c r="R96" s="11"/>
      <c r="S96" s="11"/>
      <c r="T96" s="26"/>
      <c r="U96" s="28">
        <f t="shared" si="6"/>
        <v>0.15556342879637827</v>
      </c>
    </row>
    <row r="97" spans="2:21" x14ac:dyDescent="0.25">
      <c r="B97" s="9"/>
      <c r="C97" s="17">
        <v>1300.22</v>
      </c>
      <c r="D97" s="18">
        <v>33.819000000000003</v>
      </c>
      <c r="E97" s="18">
        <v>39.531999999999996</v>
      </c>
      <c r="F97" s="18">
        <v>40.386000000000003</v>
      </c>
      <c r="G97" s="18">
        <v>108.94</v>
      </c>
      <c r="H97" s="18">
        <f t="shared" si="4"/>
        <v>35.354000000000006</v>
      </c>
      <c r="I97" s="5"/>
      <c r="J97" s="17">
        <v>848.88639999999998</v>
      </c>
      <c r="K97" s="18">
        <v>34.899799999999999</v>
      </c>
      <c r="L97" s="18">
        <v>39.041400000000003</v>
      </c>
      <c r="M97" s="18">
        <v>40.386600000000001</v>
      </c>
      <c r="N97" s="18">
        <v>130.3639</v>
      </c>
      <c r="O97" s="18">
        <f t="shared" si="5"/>
        <v>36.103349999999999</v>
      </c>
      <c r="P97" s="7"/>
      <c r="Q97" s="10"/>
      <c r="R97" s="11"/>
      <c r="S97" s="11"/>
      <c r="T97" s="26"/>
      <c r="U97" s="28">
        <f t="shared" si="6"/>
        <v>0.19665779328070501</v>
      </c>
    </row>
    <row r="98" spans="2:21" ht="16.5" thickBot="1" x14ac:dyDescent="0.3">
      <c r="B98" s="12"/>
      <c r="C98" s="19">
        <v>766.95</v>
      </c>
      <c r="D98" s="20">
        <v>30.797000000000001</v>
      </c>
      <c r="E98" s="20">
        <v>38.426000000000002</v>
      </c>
      <c r="F98" s="20">
        <v>39.186</v>
      </c>
      <c r="G98" s="20">
        <v>122.7</v>
      </c>
      <c r="H98" s="20">
        <f t="shared" si="4"/>
        <v>32.799250000000001</v>
      </c>
      <c r="I98" s="5"/>
      <c r="J98" s="19">
        <v>503.61759999999998</v>
      </c>
      <c r="K98" s="20">
        <v>33.037599999999998</v>
      </c>
      <c r="L98" s="20">
        <v>38.344999999999999</v>
      </c>
      <c r="M98" s="20">
        <v>39.838999999999999</v>
      </c>
      <c r="N98" s="20">
        <v>147.87430000000001</v>
      </c>
      <c r="O98" s="20">
        <f t="shared" si="5"/>
        <v>34.551199999999994</v>
      </c>
      <c r="P98" s="7"/>
      <c r="Q98" s="13"/>
      <c r="R98" s="14"/>
      <c r="S98" s="14"/>
      <c r="T98" s="27"/>
      <c r="U98" s="28">
        <f t="shared" si="6"/>
        <v>0.20516951915240425</v>
      </c>
    </row>
    <row r="99" spans="2:21" x14ac:dyDescent="0.25">
      <c r="B99" s="6" t="s">
        <v>49</v>
      </c>
      <c r="C99" s="15">
        <v>3492.26</v>
      </c>
      <c r="D99" s="16">
        <v>34.884</v>
      </c>
      <c r="E99" s="16">
        <v>38.213999999999999</v>
      </c>
      <c r="F99" s="16">
        <v>39.420999999999999</v>
      </c>
      <c r="G99" s="16">
        <v>92.56</v>
      </c>
      <c r="H99" s="16">
        <f t="shared" si="4"/>
        <v>35.867375000000003</v>
      </c>
      <c r="I99" s="5"/>
      <c r="J99" s="15">
        <v>2418.0192000000002</v>
      </c>
      <c r="K99" s="16">
        <v>34.578800000000001</v>
      </c>
      <c r="L99" s="16">
        <v>38.551699999999997</v>
      </c>
      <c r="M99" s="16">
        <v>39.708500000000001</v>
      </c>
      <c r="N99" s="16">
        <v>87.399900000000002</v>
      </c>
      <c r="O99" s="16">
        <f t="shared" si="5"/>
        <v>35.716625000000001</v>
      </c>
      <c r="P99" s="7"/>
      <c r="Q99" s="8">
        <f>bdrate(C99:C102,D99:D102,J99:J102,K99:K102)</f>
        <v>-0.36377057707444149</v>
      </c>
      <c r="R99" s="8">
        <f>bdrate(C99:C102,E99:E102,J99:J102,L99:L102)</f>
        <v>-0.38083828309862389</v>
      </c>
      <c r="S99" s="8">
        <f>bdrate(C99:C102,F99:F102,J99:J102,M99:M102)</f>
        <v>-0.43968120553103107</v>
      </c>
      <c r="T99" s="25">
        <f>bdrate(C99:C102,H99:H102,J99:J102,O99:O102)</f>
        <v>-0.3686939914594749</v>
      </c>
      <c r="U99" s="28">
        <f t="shared" si="6"/>
        <v>-5.574870354364736E-2</v>
      </c>
    </row>
    <row r="100" spans="2:21" x14ac:dyDescent="0.25">
      <c r="B100" s="9"/>
      <c r="C100" s="17">
        <v>2318.7800000000002</v>
      </c>
      <c r="D100" s="18">
        <v>33.307000000000002</v>
      </c>
      <c r="E100" s="18">
        <v>37.470999999999997</v>
      </c>
      <c r="F100" s="18">
        <v>38.841999999999999</v>
      </c>
      <c r="G100" s="18">
        <v>107.53</v>
      </c>
      <c r="H100" s="18">
        <f t="shared" si="4"/>
        <v>34.519375000000004</v>
      </c>
      <c r="I100" s="5"/>
      <c r="J100" s="17">
        <v>1618.5976000000001</v>
      </c>
      <c r="K100" s="18">
        <v>33.347999999999999</v>
      </c>
      <c r="L100" s="18">
        <v>37.768999999999998</v>
      </c>
      <c r="M100" s="18">
        <v>39.105600000000003</v>
      </c>
      <c r="N100" s="18">
        <v>103.98609999999999</v>
      </c>
      <c r="O100" s="18">
        <f t="shared" si="5"/>
        <v>34.620325000000001</v>
      </c>
      <c r="P100" s="7"/>
      <c r="Q100" s="10"/>
      <c r="R100" s="11"/>
      <c r="S100" s="11"/>
      <c r="T100" s="26"/>
      <c r="U100" s="28">
        <f t="shared" si="6"/>
        <v>-3.2957314237887177E-2</v>
      </c>
    </row>
    <row r="101" spans="2:21" x14ac:dyDescent="0.25">
      <c r="B101" s="9"/>
      <c r="C101" s="17">
        <v>1445.23</v>
      </c>
      <c r="D101" s="18">
        <v>31.38</v>
      </c>
      <c r="E101" s="18">
        <v>36.890999999999998</v>
      </c>
      <c r="F101" s="18">
        <v>38.326000000000001</v>
      </c>
      <c r="G101" s="18">
        <v>116.56</v>
      </c>
      <c r="H101" s="18">
        <f t="shared" si="4"/>
        <v>32.937125000000002</v>
      </c>
      <c r="I101" s="5"/>
      <c r="J101" s="17">
        <v>1003.8704</v>
      </c>
      <c r="K101" s="18">
        <v>31.9254</v>
      </c>
      <c r="L101" s="18">
        <v>36.994199999999999</v>
      </c>
      <c r="M101" s="18">
        <v>38.554900000000004</v>
      </c>
      <c r="N101" s="18">
        <v>119.2843</v>
      </c>
      <c r="O101" s="18">
        <f t="shared" si="5"/>
        <v>33.387687499999998</v>
      </c>
      <c r="P101" s="7"/>
      <c r="Q101" s="10"/>
      <c r="R101" s="11"/>
      <c r="S101" s="11"/>
      <c r="T101" s="26"/>
      <c r="U101" s="28">
        <f t="shared" si="6"/>
        <v>2.3372512010981464E-2</v>
      </c>
    </row>
    <row r="102" spans="2:21" ht="16.5" thickBot="1" x14ac:dyDescent="0.3">
      <c r="B102" s="12"/>
      <c r="C102" s="19">
        <v>868.57</v>
      </c>
      <c r="D102" s="20">
        <v>29.306000000000001</v>
      </c>
      <c r="E102" s="20">
        <v>36.265000000000001</v>
      </c>
      <c r="F102" s="20">
        <v>37.688000000000002</v>
      </c>
      <c r="G102" s="20">
        <v>125.2</v>
      </c>
      <c r="H102" s="20">
        <f t="shared" si="4"/>
        <v>31.223624999999998</v>
      </c>
      <c r="I102" s="5"/>
      <c r="J102" s="19">
        <v>592.46720000000005</v>
      </c>
      <c r="K102" s="20">
        <v>30.422699999999999</v>
      </c>
      <c r="L102" s="20">
        <v>36.245800000000003</v>
      </c>
      <c r="M102" s="20">
        <v>38.045200000000001</v>
      </c>
      <c r="N102" s="20">
        <v>138.6482</v>
      </c>
      <c r="O102" s="20">
        <f t="shared" si="5"/>
        <v>32.103400000000001</v>
      </c>
      <c r="P102" s="7"/>
      <c r="Q102" s="13"/>
      <c r="R102" s="14"/>
      <c r="S102" s="14"/>
      <c r="T102" s="27"/>
      <c r="U102" s="28">
        <f t="shared" si="6"/>
        <v>0.10741373801916933</v>
      </c>
    </row>
    <row r="103" spans="2:21" x14ac:dyDescent="0.25">
      <c r="B103" s="6" t="s">
        <v>50</v>
      </c>
      <c r="C103" s="15">
        <v>3572.18</v>
      </c>
      <c r="D103" s="16">
        <v>32.304000000000002</v>
      </c>
      <c r="E103" s="16">
        <v>37.003999999999998</v>
      </c>
      <c r="F103" s="16">
        <v>37.960999999999999</v>
      </c>
      <c r="G103" s="16">
        <v>96.28</v>
      </c>
      <c r="H103" s="16">
        <f t="shared" si="4"/>
        <v>33.598624999999998</v>
      </c>
      <c r="I103" s="5"/>
      <c r="J103" s="15">
        <v>2438.6632</v>
      </c>
      <c r="K103" s="16">
        <v>32.782299999999999</v>
      </c>
      <c r="L103" s="16">
        <v>37.133600000000001</v>
      </c>
      <c r="M103" s="16">
        <v>38.441899999999997</v>
      </c>
      <c r="N103" s="16">
        <v>93.984999999999999</v>
      </c>
      <c r="O103" s="16">
        <f t="shared" si="5"/>
        <v>34.033662499999998</v>
      </c>
      <c r="P103" s="7"/>
      <c r="Q103" s="8">
        <f>bdrate(C103:C106,D103:D106,J103:J106,K103:K106)</f>
        <v>-0.49385396080102983</v>
      </c>
      <c r="R103" s="8">
        <f>bdrate(C103:C106,E103:E106,J103:J106,L103:L106)</f>
        <v>-0.30884569755932856</v>
      </c>
      <c r="S103" s="8">
        <f>bdrate(C103:C106,F103:F106,J103:J106,M103:M106)</f>
        <v>-0.38021029008406704</v>
      </c>
      <c r="T103" s="25">
        <f>bdrate(C103:C106,H103:H106,J103:J106,O103:O106)</f>
        <v>-0.48098120204520189</v>
      </c>
      <c r="U103" s="28">
        <f t="shared" si="6"/>
        <v>-2.3836726215205668E-2</v>
      </c>
    </row>
    <row r="104" spans="2:21" x14ac:dyDescent="0.25">
      <c r="B104" s="9"/>
      <c r="C104" s="17">
        <v>2381.5300000000002</v>
      </c>
      <c r="D104" s="18">
        <v>30.512</v>
      </c>
      <c r="E104" s="18">
        <v>36.463000000000001</v>
      </c>
      <c r="F104" s="18">
        <v>37.134999999999998</v>
      </c>
      <c r="G104" s="18">
        <v>121.51</v>
      </c>
      <c r="H104" s="18">
        <f t="shared" si="4"/>
        <v>32.083750000000002</v>
      </c>
      <c r="I104" s="5"/>
      <c r="J104" s="17">
        <v>1646.2927999999999</v>
      </c>
      <c r="K104" s="18">
        <v>31.504300000000001</v>
      </c>
      <c r="L104" s="18">
        <v>36.603700000000003</v>
      </c>
      <c r="M104" s="18">
        <v>37.567999999999998</v>
      </c>
      <c r="N104" s="18">
        <v>140.56790000000001</v>
      </c>
      <c r="O104" s="18">
        <f t="shared" si="5"/>
        <v>32.899687499999999</v>
      </c>
      <c r="P104" s="7"/>
      <c r="Q104" s="10"/>
      <c r="R104" s="11"/>
      <c r="S104" s="11"/>
      <c r="T104" s="26"/>
      <c r="U104" s="28">
        <f t="shared" si="6"/>
        <v>0.15684223520697887</v>
      </c>
    </row>
    <row r="105" spans="2:21" x14ac:dyDescent="0.25">
      <c r="B105" s="9"/>
      <c r="C105" s="17">
        <v>1465.81</v>
      </c>
      <c r="D105" s="18">
        <v>28.273</v>
      </c>
      <c r="E105" s="18">
        <v>35.917000000000002</v>
      </c>
      <c r="F105" s="18">
        <v>36.209000000000003</v>
      </c>
      <c r="G105" s="18">
        <v>126.29</v>
      </c>
      <c r="H105" s="18">
        <f t="shared" si="4"/>
        <v>30.220500000000001</v>
      </c>
      <c r="I105" s="5"/>
      <c r="J105" s="17">
        <v>1021.324</v>
      </c>
      <c r="K105" s="18">
        <v>29.858899999999998</v>
      </c>
      <c r="L105" s="18">
        <v>35.854500000000002</v>
      </c>
      <c r="M105" s="18">
        <v>36.4251</v>
      </c>
      <c r="N105" s="18">
        <v>157.13390000000001</v>
      </c>
      <c r="O105" s="18">
        <f t="shared" si="5"/>
        <v>31.429124999999999</v>
      </c>
      <c r="P105" s="7"/>
      <c r="Q105" s="10"/>
      <c r="R105" s="11"/>
      <c r="S105" s="11"/>
      <c r="T105" s="26"/>
      <c r="U105" s="28">
        <f t="shared" si="6"/>
        <v>0.24423073877583343</v>
      </c>
    </row>
    <row r="106" spans="2:21" ht="16.5" thickBot="1" x14ac:dyDescent="0.3">
      <c r="B106" s="12"/>
      <c r="C106" s="19">
        <v>886.51</v>
      </c>
      <c r="D106" s="20">
        <v>25.885000000000002</v>
      </c>
      <c r="E106" s="20">
        <v>35.292999999999999</v>
      </c>
      <c r="F106" s="20">
        <v>35.234999999999999</v>
      </c>
      <c r="G106" s="20">
        <v>133.94</v>
      </c>
      <c r="H106" s="20">
        <f t="shared" si="4"/>
        <v>28.229750000000003</v>
      </c>
      <c r="I106" s="5"/>
      <c r="J106" s="19">
        <v>615.51279999999997</v>
      </c>
      <c r="K106" s="20">
        <v>28.0868</v>
      </c>
      <c r="L106" s="20">
        <v>34.857700000000001</v>
      </c>
      <c r="M106" s="20">
        <v>34.9649</v>
      </c>
      <c r="N106" s="20">
        <v>170.41579999999999</v>
      </c>
      <c r="O106" s="20">
        <f t="shared" si="5"/>
        <v>29.792925</v>
      </c>
      <c r="P106" s="7"/>
      <c r="Q106" s="13"/>
      <c r="R106" s="14"/>
      <c r="S106" s="14"/>
      <c r="T106" s="27"/>
      <c r="U106" s="28">
        <f t="shared" si="6"/>
        <v>0.27232940122442878</v>
      </c>
    </row>
    <row r="107" spans="2:21" x14ac:dyDescent="0.25">
      <c r="B107" s="6" t="s">
        <v>51</v>
      </c>
      <c r="C107" s="29">
        <v>3535.85</v>
      </c>
      <c r="D107" s="30">
        <v>31.922999999999998</v>
      </c>
      <c r="E107" s="30">
        <v>38.792999999999999</v>
      </c>
      <c r="F107" s="30">
        <v>38.360999999999997</v>
      </c>
      <c r="G107" s="16">
        <v>90.32</v>
      </c>
      <c r="H107" s="16">
        <f t="shared" si="4"/>
        <v>33.586500000000001</v>
      </c>
      <c r="I107" s="5"/>
      <c r="J107" s="29">
        <v>2435.5111999999999</v>
      </c>
      <c r="K107" s="30">
        <v>33.194499999999998</v>
      </c>
      <c r="L107" s="30">
        <v>39.020299999999999</v>
      </c>
      <c r="M107" s="30">
        <v>38.288200000000003</v>
      </c>
      <c r="N107" s="16">
        <v>89.525499999999994</v>
      </c>
      <c r="O107" s="16">
        <f t="shared" si="5"/>
        <v>34.559437499999994</v>
      </c>
      <c r="P107" s="7"/>
      <c r="Q107" s="8">
        <f>bdrate(C107:C110,D107:D110,J107:J110,K107:K110)</f>
        <v>-0.60172068316318239</v>
      </c>
      <c r="R107" s="8">
        <f>bdrate(C107:C110,E107:E110,J107:J110,L107:L110)</f>
        <v>-0.35647894484708276</v>
      </c>
      <c r="S107" s="8">
        <f>bdrate(C107:C110,F107:F110,J107:J110,M107:M110)</f>
        <v>-0.21282264570208176</v>
      </c>
      <c r="T107" s="25">
        <f>bdrate(C107:C110,H107:H110,J107:J110,O107:O110)</f>
        <v>-0.55949796223240122</v>
      </c>
      <c r="U107" s="28">
        <f t="shared" si="6"/>
        <v>-8.7965013286093827E-3</v>
      </c>
    </row>
    <row r="108" spans="2:21" x14ac:dyDescent="0.25">
      <c r="B108" s="9"/>
      <c r="C108" s="31">
        <v>2354.75</v>
      </c>
      <c r="D108" s="32">
        <v>29.785</v>
      </c>
      <c r="E108" s="32">
        <v>37.94</v>
      </c>
      <c r="F108" s="32">
        <v>37.481999999999999</v>
      </c>
      <c r="G108" s="18">
        <v>114.23</v>
      </c>
      <c r="H108" s="18">
        <f t="shared" si="4"/>
        <v>31.766500000000001</v>
      </c>
      <c r="I108" s="5"/>
      <c r="J108" s="31">
        <v>1624.4775999999999</v>
      </c>
      <c r="K108" s="32">
        <v>31.819099999999999</v>
      </c>
      <c r="L108" s="32">
        <v>38.078499999999998</v>
      </c>
      <c r="M108" s="32">
        <v>37.005000000000003</v>
      </c>
      <c r="N108" s="18">
        <v>131.33699999999999</v>
      </c>
      <c r="O108" s="18">
        <f t="shared" si="5"/>
        <v>33.249762500000003</v>
      </c>
      <c r="P108" s="7"/>
      <c r="Q108" s="10"/>
      <c r="R108" s="11"/>
      <c r="S108" s="11"/>
      <c r="T108" s="26"/>
      <c r="U108" s="28">
        <f t="shared" si="6"/>
        <v>0.14975925763809844</v>
      </c>
    </row>
    <row r="109" spans="2:21" x14ac:dyDescent="0.25">
      <c r="B109" s="9"/>
      <c r="C109" s="31">
        <v>1464.85</v>
      </c>
      <c r="D109" s="32">
        <v>26.556999999999999</v>
      </c>
      <c r="E109" s="32">
        <v>36.701000000000001</v>
      </c>
      <c r="F109" s="32">
        <v>36.210999999999999</v>
      </c>
      <c r="G109" s="18">
        <v>122.52</v>
      </c>
      <c r="H109" s="18">
        <f t="shared" si="4"/>
        <v>29.031749999999995</v>
      </c>
      <c r="I109" s="5"/>
      <c r="J109" s="31">
        <v>1014.304</v>
      </c>
      <c r="K109" s="32">
        <v>30.157599999999999</v>
      </c>
      <c r="L109" s="32">
        <v>36.715699999999998</v>
      </c>
      <c r="M109" s="32">
        <v>35.3658</v>
      </c>
      <c r="N109" s="18">
        <v>149.03129999999999</v>
      </c>
      <c r="O109" s="18">
        <f t="shared" si="5"/>
        <v>31.628387499999999</v>
      </c>
      <c r="P109" s="7"/>
      <c r="Q109" s="10"/>
      <c r="R109" s="11"/>
      <c r="S109" s="11"/>
      <c r="T109" s="26"/>
      <c r="U109" s="28">
        <f t="shared" si="6"/>
        <v>0.21638344760039172</v>
      </c>
    </row>
    <row r="110" spans="2:21" ht="16.5" thickBot="1" x14ac:dyDescent="0.3">
      <c r="B110" s="12"/>
      <c r="C110" s="33">
        <v>899.71</v>
      </c>
      <c r="D110" s="34">
        <v>22.940999999999999</v>
      </c>
      <c r="E110" s="34">
        <v>32.438000000000002</v>
      </c>
      <c r="F110" s="34">
        <v>32.350999999999999</v>
      </c>
      <c r="G110" s="20">
        <v>129.97</v>
      </c>
      <c r="H110" s="20">
        <f t="shared" si="4"/>
        <v>25.304375</v>
      </c>
      <c r="I110" s="5"/>
      <c r="J110" s="33">
        <v>607.16</v>
      </c>
      <c r="K110" s="34">
        <v>28.297999999999998</v>
      </c>
      <c r="L110" s="34">
        <v>35.034700000000001</v>
      </c>
      <c r="M110" s="34">
        <v>33.349600000000002</v>
      </c>
      <c r="N110" s="20">
        <v>164.3115</v>
      </c>
      <c r="O110" s="20">
        <f t="shared" si="5"/>
        <v>29.771537500000001</v>
      </c>
      <c r="P110" s="7"/>
      <c r="Q110" s="13"/>
      <c r="R110" s="14"/>
      <c r="S110" s="14"/>
      <c r="T110" s="27"/>
      <c r="U110" s="28">
        <f t="shared" si="6"/>
        <v>0.26422635992921439</v>
      </c>
    </row>
    <row r="111" spans="2:21" x14ac:dyDescent="0.25">
      <c r="B111" s="6" t="s">
        <v>52</v>
      </c>
      <c r="C111" s="15">
        <v>3445.29</v>
      </c>
      <c r="D111" s="16">
        <v>30.786000000000001</v>
      </c>
      <c r="E111" s="16">
        <v>37.921999999999997</v>
      </c>
      <c r="F111" s="16">
        <v>40.156999999999996</v>
      </c>
      <c r="G111" s="16">
        <v>97.17</v>
      </c>
      <c r="H111" s="16">
        <f t="shared" si="4"/>
        <v>32.849375000000002</v>
      </c>
      <c r="I111" s="5"/>
      <c r="J111" s="15">
        <v>2472.9656</v>
      </c>
      <c r="K111" s="16">
        <v>32.107199999999999</v>
      </c>
      <c r="L111" s="16">
        <v>38.306800000000003</v>
      </c>
      <c r="M111" s="16">
        <v>40.863100000000003</v>
      </c>
      <c r="N111" s="16">
        <v>87.412599999999998</v>
      </c>
      <c r="O111" s="16">
        <f t="shared" si="5"/>
        <v>33.976637499999995</v>
      </c>
      <c r="P111" s="7"/>
      <c r="Q111" s="8">
        <f>bdrate(C111:C114,D111:D114,J111:J114,K111:K114)</f>
        <v>-0.66018337432120788</v>
      </c>
      <c r="R111" s="8">
        <f>bdrate(C111:C114,E111:E114,J111:J114,L111:L114)</f>
        <v>-0.49323340908005142</v>
      </c>
      <c r="S111" s="8">
        <f>bdrate(C111:C114,F111:F114,J111:J114,M111:M114)</f>
        <v>-0.64303997939598689</v>
      </c>
      <c r="T111" s="25">
        <f>bdrate(C111:C114,H111:H114,J111:J114,O111:O114)</f>
        <v>-0.65208947719740218</v>
      </c>
      <c r="U111" s="28">
        <f t="shared" si="6"/>
        <v>-0.10041576618297833</v>
      </c>
    </row>
    <row r="112" spans="2:21" x14ac:dyDescent="0.25">
      <c r="B112" s="9"/>
      <c r="C112" s="17">
        <v>2261.37</v>
      </c>
      <c r="D112" s="18">
        <v>29.143999999999998</v>
      </c>
      <c r="E112" s="18">
        <v>37.423000000000002</v>
      </c>
      <c r="F112" s="18">
        <v>39.557000000000002</v>
      </c>
      <c r="G112" s="18">
        <v>124.79</v>
      </c>
      <c r="H112" s="18">
        <f t="shared" si="4"/>
        <v>31.480499999999999</v>
      </c>
      <c r="I112" s="5"/>
      <c r="J112" s="17">
        <v>1639.3344</v>
      </c>
      <c r="K112" s="18">
        <v>31.2484</v>
      </c>
      <c r="L112" s="18">
        <v>37.844499999999996</v>
      </c>
      <c r="M112" s="18">
        <v>40.439599999999999</v>
      </c>
      <c r="N112" s="18">
        <v>130.77590000000001</v>
      </c>
      <c r="O112" s="18">
        <f t="shared" si="5"/>
        <v>33.221812499999999</v>
      </c>
      <c r="P112" s="7"/>
      <c r="Q112" s="10"/>
      <c r="R112" s="11"/>
      <c r="S112" s="11"/>
      <c r="T112" s="26"/>
      <c r="U112" s="28">
        <f t="shared" si="6"/>
        <v>4.7967785880278876E-2</v>
      </c>
    </row>
    <row r="113" spans="1:21" x14ac:dyDescent="0.25">
      <c r="B113" s="9"/>
      <c r="C113" s="17">
        <v>1381.4</v>
      </c>
      <c r="D113" s="18">
        <v>26.704000000000001</v>
      </c>
      <c r="E113" s="18">
        <v>36.807000000000002</v>
      </c>
      <c r="F113" s="18">
        <v>38.820999999999998</v>
      </c>
      <c r="G113" s="18">
        <v>130.94999999999999</v>
      </c>
      <c r="H113" s="18">
        <f t="shared" si="4"/>
        <v>29.4815</v>
      </c>
      <c r="I113" s="5"/>
      <c r="J113" s="17">
        <v>1024.4656</v>
      </c>
      <c r="K113" s="18">
        <v>30.122499999999999</v>
      </c>
      <c r="L113" s="18">
        <v>37.284999999999997</v>
      </c>
      <c r="M113" s="18">
        <v>39.864699999999999</v>
      </c>
      <c r="N113" s="18">
        <v>145.0326</v>
      </c>
      <c r="O113" s="18">
        <f t="shared" si="5"/>
        <v>32.235587499999994</v>
      </c>
      <c r="P113" s="7"/>
      <c r="Q113" s="10"/>
      <c r="R113" s="11"/>
      <c r="S113" s="11"/>
      <c r="T113" s="26"/>
      <c r="U113" s="28">
        <f t="shared" si="6"/>
        <v>0.10754180985108831</v>
      </c>
    </row>
    <row r="114" spans="1:21" ht="16.5" thickBot="1" x14ac:dyDescent="0.3">
      <c r="B114" s="12"/>
      <c r="C114" s="19">
        <v>786.63</v>
      </c>
      <c r="D114" s="20">
        <v>21.553999999999998</v>
      </c>
      <c r="E114" s="20">
        <v>35.255000000000003</v>
      </c>
      <c r="F114" s="20">
        <v>37.774999999999999</v>
      </c>
      <c r="G114" s="20">
        <v>135.99</v>
      </c>
      <c r="H114" s="20">
        <f t="shared" si="4"/>
        <v>25.294249999999998</v>
      </c>
      <c r="I114" s="5"/>
      <c r="J114" s="19">
        <v>611.99279999999999</v>
      </c>
      <c r="K114" s="20">
        <v>28.696999999999999</v>
      </c>
      <c r="L114" s="20">
        <v>36.673099999999998</v>
      </c>
      <c r="M114" s="20">
        <v>39.250900000000001</v>
      </c>
      <c r="N114" s="20">
        <v>162.1183</v>
      </c>
      <c r="O114" s="20">
        <f t="shared" si="5"/>
        <v>31.013249999999999</v>
      </c>
      <c r="P114" s="7"/>
      <c r="Q114" s="13"/>
      <c r="R114" s="14"/>
      <c r="S114" s="14"/>
      <c r="T114" s="27"/>
      <c r="U114" s="28">
        <f t="shared" si="6"/>
        <v>0.19213398043973817</v>
      </c>
    </row>
    <row r="115" spans="1:21" x14ac:dyDescent="0.25">
      <c r="A115" s="6" t="s">
        <v>39</v>
      </c>
      <c r="B115" s="6" t="s">
        <v>53</v>
      </c>
      <c r="C115" s="15">
        <v>1572.13</v>
      </c>
      <c r="D115" s="16">
        <v>32.978999999999999</v>
      </c>
      <c r="E115" s="16">
        <v>36.249000000000002</v>
      </c>
      <c r="F115" s="16">
        <v>36.018999999999998</v>
      </c>
      <c r="G115" s="16">
        <v>506.07</v>
      </c>
      <c r="H115" s="16">
        <f t="shared" si="4"/>
        <v>33.767749999999999</v>
      </c>
      <c r="I115" s="5"/>
      <c r="J115" s="15">
        <v>1241.5383999999999</v>
      </c>
      <c r="K115" s="16">
        <v>33.557299999999998</v>
      </c>
      <c r="L115" s="16">
        <v>37.462699999999998</v>
      </c>
      <c r="M115" s="16">
        <v>37.308799999999998</v>
      </c>
      <c r="N115" s="16">
        <v>400.64100000000002</v>
      </c>
      <c r="O115" s="16">
        <f t="shared" si="5"/>
        <v>34.514412499999999</v>
      </c>
      <c r="P115" s="7"/>
      <c r="Q115" s="8">
        <f>bdrate(C115:C118,D115:D118,J115:J118,K115:K118)</f>
        <v>-0.38002966841640562</v>
      </c>
      <c r="R115" s="8">
        <f>bdrate(C115:C118,E115:E118,J115:J118,L115:L118)</f>
        <v>-0.27536590290828555</v>
      </c>
      <c r="S115" s="8">
        <f>bdrate(C115:C118,F115:F118,J115:J118,M115:M118)</f>
        <v>-0.25907125680708354</v>
      </c>
      <c r="T115" s="25">
        <f>bdrate(C115:C118,H115:H118,J115:J118,O115:O118)</f>
        <v>-0.36767831005249374</v>
      </c>
      <c r="U115" s="28">
        <f t="shared" si="6"/>
        <v>-0.20832888730807986</v>
      </c>
    </row>
    <row r="116" spans="1:21" x14ac:dyDescent="0.25">
      <c r="A116" s="9" t="s">
        <v>40</v>
      </c>
      <c r="B116" s="9"/>
      <c r="C116" s="17">
        <v>1051.23</v>
      </c>
      <c r="D116" s="18">
        <v>31.353000000000002</v>
      </c>
      <c r="E116" s="18">
        <v>35.473999999999997</v>
      </c>
      <c r="F116" s="18">
        <v>35.125</v>
      </c>
      <c r="G116" s="18">
        <v>574.04999999999995</v>
      </c>
      <c r="H116" s="18">
        <f t="shared" si="4"/>
        <v>32.339624999999998</v>
      </c>
      <c r="I116" s="5"/>
      <c r="J116" s="17">
        <v>829.23199999999997</v>
      </c>
      <c r="K116" s="18">
        <v>32.105899999999998</v>
      </c>
      <c r="L116" s="18">
        <v>36.133299999999998</v>
      </c>
      <c r="M116" s="18">
        <v>35.822099999999999</v>
      </c>
      <c r="N116" s="18">
        <v>471.25349999999997</v>
      </c>
      <c r="O116" s="18">
        <f t="shared" si="5"/>
        <v>33.07385</v>
      </c>
      <c r="P116" s="7"/>
      <c r="Q116" s="10"/>
      <c r="R116" s="11"/>
      <c r="S116" s="11"/>
      <c r="T116" s="26"/>
      <c r="U116" s="28">
        <f t="shared" si="6"/>
        <v>-0.1790723804546642</v>
      </c>
    </row>
    <row r="117" spans="1:21" x14ac:dyDescent="0.25">
      <c r="B117" s="9"/>
      <c r="C117" s="17">
        <v>655.1</v>
      </c>
      <c r="D117" s="18">
        <v>29.295999999999999</v>
      </c>
      <c r="E117" s="18">
        <v>34.665999999999997</v>
      </c>
      <c r="F117" s="18">
        <v>34.243000000000002</v>
      </c>
      <c r="G117" s="18">
        <v>624.22</v>
      </c>
      <c r="H117" s="18">
        <f t="shared" si="4"/>
        <v>30.585625</v>
      </c>
      <c r="I117" s="5"/>
      <c r="J117" s="17">
        <v>518.72479999999996</v>
      </c>
      <c r="K117" s="18">
        <v>30.4316</v>
      </c>
      <c r="L117" s="18">
        <v>34.706600000000002</v>
      </c>
      <c r="M117" s="18">
        <v>34.152799999999999</v>
      </c>
      <c r="N117" s="18">
        <v>562.42970000000003</v>
      </c>
      <c r="O117" s="18">
        <f t="shared" si="5"/>
        <v>31.431125000000002</v>
      </c>
      <c r="P117" s="7"/>
      <c r="Q117" s="10"/>
      <c r="R117" s="11"/>
      <c r="S117" s="11"/>
      <c r="T117" s="26"/>
      <c r="U117" s="28">
        <f t="shared" si="6"/>
        <v>-9.8988017045272506E-2</v>
      </c>
    </row>
    <row r="118" spans="1:21" ht="16.5" thickBot="1" x14ac:dyDescent="0.3">
      <c r="B118" s="12"/>
      <c r="C118" s="19">
        <v>391.19</v>
      </c>
      <c r="D118" s="20">
        <v>26.614999999999998</v>
      </c>
      <c r="E118" s="20">
        <v>33.633000000000003</v>
      </c>
      <c r="F118" s="20">
        <v>33.222999999999999</v>
      </c>
      <c r="G118" s="20">
        <v>706.21</v>
      </c>
      <c r="H118" s="20">
        <f t="shared" si="4"/>
        <v>28.318249999999999</v>
      </c>
      <c r="I118" s="5"/>
      <c r="J118" s="19">
        <v>311.904</v>
      </c>
      <c r="K118" s="20">
        <v>28.5321</v>
      </c>
      <c r="L118" s="20">
        <v>33.065300000000001</v>
      </c>
      <c r="M118" s="20">
        <v>32.399900000000002</v>
      </c>
      <c r="N118" s="20">
        <v>682.12819999999999</v>
      </c>
      <c r="O118" s="20">
        <f t="shared" si="5"/>
        <v>29.582225000000001</v>
      </c>
      <c r="P118" s="7"/>
      <c r="Q118" s="13"/>
      <c r="R118" s="14"/>
      <c r="S118" s="14"/>
      <c r="T118" s="27"/>
      <c r="U118" s="28">
        <f t="shared" si="6"/>
        <v>-3.4100055224366752E-2</v>
      </c>
    </row>
    <row r="119" spans="1:21" x14ac:dyDescent="0.25">
      <c r="B119" s="6" t="s">
        <v>54</v>
      </c>
      <c r="C119" s="15">
        <v>1567.12</v>
      </c>
      <c r="D119" s="16">
        <v>33.204999999999998</v>
      </c>
      <c r="E119" s="16">
        <v>38.395000000000003</v>
      </c>
      <c r="F119" s="16">
        <v>39.093000000000004</v>
      </c>
      <c r="G119" s="16">
        <v>488.2</v>
      </c>
      <c r="H119" s="16">
        <f t="shared" si="4"/>
        <v>34.589750000000002</v>
      </c>
      <c r="I119" s="5"/>
      <c r="J119" s="15">
        <v>1205.1232</v>
      </c>
      <c r="K119" s="16">
        <v>33.639299999999999</v>
      </c>
      <c r="L119" s="16">
        <v>38.627600000000001</v>
      </c>
      <c r="M119" s="16">
        <v>39.398499999999999</v>
      </c>
      <c r="N119" s="16">
        <v>400.53399999999999</v>
      </c>
      <c r="O119" s="16">
        <f t="shared" si="5"/>
        <v>34.982737499999999</v>
      </c>
      <c r="P119" s="7"/>
      <c r="Q119" s="8">
        <f>bdrate(C119:C122,D119:D122,J119:J122,K119:K122)</f>
        <v>-0.40771107012902508</v>
      </c>
      <c r="R119" s="8">
        <f>bdrate(C119:C122,E119:E122,J119:J122,L119:L122)</f>
        <v>-0.16621759454412044</v>
      </c>
      <c r="S119" s="8">
        <f>bdrate(C119:C122,F119:F122,J119:J122,M119:M122)</f>
        <v>-0.15053917867771094</v>
      </c>
      <c r="T119" s="25">
        <f>bdrate(C119:C122,H119:H122,J119:J122,O119:O122)</f>
        <v>-0.38164265739232217</v>
      </c>
      <c r="U119" s="28">
        <f t="shared" si="6"/>
        <v>-0.17956984842277754</v>
      </c>
    </row>
    <row r="120" spans="1:21" x14ac:dyDescent="0.25">
      <c r="B120" s="9"/>
      <c r="C120" s="17">
        <v>1038.78</v>
      </c>
      <c r="D120" s="18">
        <v>31.209</v>
      </c>
      <c r="E120" s="18">
        <v>37.65</v>
      </c>
      <c r="F120" s="18">
        <v>38.289000000000001</v>
      </c>
      <c r="G120" s="18">
        <v>555.04</v>
      </c>
      <c r="H120" s="18">
        <f t="shared" si="4"/>
        <v>32.899124999999998</v>
      </c>
      <c r="I120" s="5"/>
      <c r="J120" s="17">
        <v>800.72239999999999</v>
      </c>
      <c r="K120" s="18">
        <v>32.0916</v>
      </c>
      <c r="L120" s="18">
        <v>37.682200000000002</v>
      </c>
      <c r="M120" s="18">
        <v>38.293799999999997</v>
      </c>
      <c r="N120" s="18">
        <v>457.66590000000002</v>
      </c>
      <c r="O120" s="18">
        <f t="shared" si="5"/>
        <v>33.5657</v>
      </c>
      <c r="P120" s="7"/>
      <c r="Q120" s="10"/>
      <c r="R120" s="11"/>
      <c r="S120" s="11"/>
      <c r="T120" s="26"/>
      <c r="U120" s="28">
        <f t="shared" si="6"/>
        <v>-0.17543618477947526</v>
      </c>
    </row>
    <row r="121" spans="1:21" x14ac:dyDescent="0.25">
      <c r="B121" s="9"/>
      <c r="C121" s="17">
        <v>645.23</v>
      </c>
      <c r="D121" s="18">
        <v>28.643999999999998</v>
      </c>
      <c r="E121" s="18">
        <v>36.805</v>
      </c>
      <c r="F121" s="18">
        <v>37.356000000000002</v>
      </c>
      <c r="G121" s="18">
        <v>612.24</v>
      </c>
      <c r="H121" s="18">
        <f t="shared" si="4"/>
        <v>30.753124999999997</v>
      </c>
      <c r="I121" s="5"/>
      <c r="J121" s="17">
        <v>499.6712</v>
      </c>
      <c r="K121" s="18">
        <v>30.2544</v>
      </c>
      <c r="L121" s="18">
        <v>36.459600000000002</v>
      </c>
      <c r="M121" s="18">
        <v>36.896299999999997</v>
      </c>
      <c r="N121" s="18">
        <v>541.51620000000003</v>
      </c>
      <c r="O121" s="18">
        <f t="shared" si="5"/>
        <v>31.860287499999998</v>
      </c>
      <c r="P121" s="7"/>
      <c r="Q121" s="10"/>
      <c r="R121" s="11"/>
      <c r="S121" s="11"/>
      <c r="T121" s="26"/>
      <c r="U121" s="28">
        <f t="shared" si="6"/>
        <v>-0.11551646413171303</v>
      </c>
    </row>
    <row r="122" spans="1:21" ht="16.5" thickBot="1" x14ac:dyDescent="0.3">
      <c r="B122" s="12"/>
      <c r="C122" s="19">
        <v>388.5</v>
      </c>
      <c r="D122" s="20">
        <v>25.105</v>
      </c>
      <c r="E122" s="20">
        <v>35.716999999999999</v>
      </c>
      <c r="F122" s="20">
        <v>36.091000000000001</v>
      </c>
      <c r="G122" s="20">
        <v>658.62</v>
      </c>
      <c r="H122" s="20">
        <f t="shared" si="4"/>
        <v>27.804749999999999</v>
      </c>
      <c r="I122" s="5"/>
      <c r="J122" s="19">
        <v>299.07119999999998</v>
      </c>
      <c r="K122" s="20">
        <v>28.1828</v>
      </c>
      <c r="L122" s="20">
        <v>35.212400000000002</v>
      </c>
      <c r="M122" s="20">
        <v>35.446300000000001</v>
      </c>
      <c r="N122" s="20">
        <v>662.98339999999996</v>
      </c>
      <c r="O122" s="20">
        <f t="shared" si="5"/>
        <v>29.969437500000002</v>
      </c>
      <c r="P122" s="7"/>
      <c r="Q122" s="13"/>
      <c r="R122" s="14"/>
      <c r="S122" s="14"/>
      <c r="T122" s="27"/>
      <c r="U122" s="28">
        <f t="shared" si="6"/>
        <v>6.6250645288633142E-3</v>
      </c>
    </row>
    <row r="123" spans="1:21" x14ac:dyDescent="0.25">
      <c r="B123" s="6" t="s">
        <v>55</v>
      </c>
      <c r="C123" s="15">
        <v>1478.62</v>
      </c>
      <c r="D123" s="16">
        <v>27.177</v>
      </c>
      <c r="E123" s="16">
        <v>34.222999999999999</v>
      </c>
      <c r="F123" s="16">
        <v>34.874000000000002</v>
      </c>
      <c r="G123" s="16">
        <v>501.5</v>
      </c>
      <c r="H123" s="16">
        <f t="shared" si="4"/>
        <v>29.019875000000003</v>
      </c>
      <c r="I123" s="5"/>
      <c r="J123" s="15">
        <v>1191.4952000000001</v>
      </c>
      <c r="K123" s="16">
        <v>27.7971</v>
      </c>
      <c r="L123" s="16">
        <v>34.474200000000003</v>
      </c>
      <c r="M123" s="16">
        <v>35.18</v>
      </c>
      <c r="N123" s="16">
        <v>356.12540000000001</v>
      </c>
      <c r="O123" s="16">
        <f t="shared" si="5"/>
        <v>29.554600000000001</v>
      </c>
      <c r="P123" s="7"/>
      <c r="Q123" s="8">
        <f>bdrate(C123:C126,D123:D126,J123:J126,K123:K126)</f>
        <v>-0.41587656501369197</v>
      </c>
      <c r="R123" s="8">
        <f>bdrate(C123:C126,E123:E126,J123:J126,L123:L126)</f>
        <v>2.540485774376533E-2</v>
      </c>
      <c r="S123" s="8">
        <f>bdrate(C123:C126,F123:F126,J123:J126,M123:M126)</f>
        <v>4.1720841418285914E-2</v>
      </c>
      <c r="T123" s="25">
        <f>bdrate(C123:C126,H123:H126,J123:J126,O123:O126)</f>
        <v>-0.37672503834252746</v>
      </c>
      <c r="U123" s="28">
        <f t="shared" si="6"/>
        <v>-0.2898795613160518</v>
      </c>
    </row>
    <row r="124" spans="1:21" x14ac:dyDescent="0.25">
      <c r="B124" s="9"/>
      <c r="C124" s="17">
        <v>986.55</v>
      </c>
      <c r="D124" s="18">
        <v>25.803000000000001</v>
      </c>
      <c r="E124" s="18">
        <v>33.863</v>
      </c>
      <c r="F124" s="18">
        <v>34.533000000000001</v>
      </c>
      <c r="G124" s="18">
        <v>574.04999999999995</v>
      </c>
      <c r="H124" s="18">
        <f t="shared" si="4"/>
        <v>27.90175</v>
      </c>
      <c r="I124" s="5"/>
      <c r="J124" s="17">
        <v>798.42639999999994</v>
      </c>
      <c r="K124" s="18">
        <v>26.633400000000002</v>
      </c>
      <c r="L124" s="18">
        <v>33.737200000000001</v>
      </c>
      <c r="M124" s="18">
        <v>34.419699999999999</v>
      </c>
      <c r="N124" s="18">
        <v>416.31970000000001</v>
      </c>
      <c r="O124" s="18">
        <f t="shared" si="5"/>
        <v>28.494662500000004</v>
      </c>
      <c r="P124" s="7"/>
      <c r="Q124" s="10"/>
      <c r="R124" s="11"/>
      <c r="S124" s="11"/>
      <c r="T124" s="26"/>
      <c r="U124" s="28">
        <f t="shared" si="6"/>
        <v>-0.27476752896089185</v>
      </c>
    </row>
    <row r="125" spans="1:21" x14ac:dyDescent="0.25">
      <c r="B125" s="9"/>
      <c r="C125" s="17">
        <v>616.04</v>
      </c>
      <c r="D125" s="18">
        <v>24.25</v>
      </c>
      <c r="E125" s="18">
        <v>33.524999999999999</v>
      </c>
      <c r="F125" s="18">
        <v>34.22</v>
      </c>
      <c r="G125" s="18">
        <v>628.92999999999995</v>
      </c>
      <c r="H125" s="18">
        <f t="shared" si="4"/>
        <v>26.655625000000001</v>
      </c>
      <c r="I125" s="5"/>
      <c r="J125" s="17">
        <v>503.30160000000001</v>
      </c>
      <c r="K125" s="18">
        <v>25.4053</v>
      </c>
      <c r="L125" s="18">
        <v>33.015099999999997</v>
      </c>
      <c r="M125" s="18">
        <v>33.622999999999998</v>
      </c>
      <c r="N125" s="18">
        <v>508.64699999999999</v>
      </c>
      <c r="O125" s="18">
        <f t="shared" si="5"/>
        <v>27.383737499999999</v>
      </c>
      <c r="P125" s="7"/>
      <c r="Q125" s="10"/>
      <c r="R125" s="11"/>
      <c r="S125" s="11"/>
      <c r="T125" s="26"/>
      <c r="U125" s="28">
        <f t="shared" si="6"/>
        <v>-0.19125021862528416</v>
      </c>
    </row>
    <row r="126" spans="1:21" ht="16.5" thickBot="1" x14ac:dyDescent="0.3">
      <c r="B126" s="12"/>
      <c r="C126" s="19">
        <v>376.7</v>
      </c>
      <c r="D126" s="20">
        <v>22.524000000000001</v>
      </c>
      <c r="E126" s="20">
        <v>32.999000000000002</v>
      </c>
      <c r="F126" s="20">
        <v>33.713999999999999</v>
      </c>
      <c r="G126" s="20">
        <v>711.24</v>
      </c>
      <c r="H126" s="20">
        <f t="shared" si="4"/>
        <v>25.232125</v>
      </c>
      <c r="I126" s="5"/>
      <c r="J126" s="19">
        <v>303.77999999999997</v>
      </c>
      <c r="K126" s="20">
        <v>24.211600000000001</v>
      </c>
      <c r="L126" s="20">
        <v>32.297499999999999</v>
      </c>
      <c r="M126" s="20">
        <v>32.880299999999998</v>
      </c>
      <c r="N126" s="20">
        <v>628.14070000000004</v>
      </c>
      <c r="O126" s="20">
        <f t="shared" si="5"/>
        <v>26.305924999999998</v>
      </c>
      <c r="P126" s="7"/>
      <c r="Q126" s="13"/>
      <c r="R126" s="14"/>
      <c r="S126" s="14"/>
      <c r="T126" s="27"/>
      <c r="U126" s="28">
        <f t="shared" si="6"/>
        <v>-0.11683721387998421</v>
      </c>
    </row>
    <row r="127" spans="1:21" x14ac:dyDescent="0.25">
      <c r="B127" s="6" t="s">
        <v>56</v>
      </c>
      <c r="C127" s="15">
        <v>1477.71</v>
      </c>
      <c r="D127" s="16">
        <v>32.067</v>
      </c>
      <c r="E127" s="16">
        <v>36.006999999999998</v>
      </c>
      <c r="F127" s="16">
        <v>37.597999999999999</v>
      </c>
      <c r="G127" s="16">
        <v>411.52</v>
      </c>
      <c r="H127" s="16">
        <f t="shared" si="4"/>
        <v>33.250875000000001</v>
      </c>
      <c r="I127" s="5"/>
      <c r="J127" s="15">
        <v>1163.7295999999999</v>
      </c>
      <c r="K127" s="16">
        <v>31.974599999999999</v>
      </c>
      <c r="L127" s="16">
        <v>36.039299999999997</v>
      </c>
      <c r="M127" s="16">
        <v>37.555900000000001</v>
      </c>
      <c r="N127" s="16">
        <v>305.18819999999999</v>
      </c>
      <c r="O127" s="16">
        <f t="shared" si="5"/>
        <v>33.180349999999997</v>
      </c>
      <c r="P127" s="7"/>
      <c r="Q127" s="8">
        <f>bdrate(C127:C130,D127:D130,J127:J130,K127:K130)</f>
        <v>-0.29053832640761568</v>
      </c>
      <c r="R127" s="8">
        <f>bdrate(C127:C130,E127:E130,J127:J130,L127:L130)</f>
        <v>-8.8936365074581802E-2</v>
      </c>
      <c r="S127" s="8">
        <f>bdrate(C127:C130,F127:F130,J127:J130,M127:M130)</f>
        <v>-4.1110795713556691E-2</v>
      </c>
      <c r="T127" s="25">
        <f>bdrate(C127:C130,H127:H130,J127:J130,O127:O130)</f>
        <v>-0.26355529771851893</v>
      </c>
      <c r="U127" s="28">
        <f t="shared" si="6"/>
        <v>-0.25838792768273716</v>
      </c>
    </row>
    <row r="128" spans="1:21" x14ac:dyDescent="0.25">
      <c r="B128" s="9"/>
      <c r="C128" s="17">
        <v>1005.37</v>
      </c>
      <c r="D128" s="18">
        <v>30.43</v>
      </c>
      <c r="E128" s="18">
        <v>35.292999999999999</v>
      </c>
      <c r="F128" s="18">
        <v>36.83</v>
      </c>
      <c r="G128" s="18">
        <v>458.02</v>
      </c>
      <c r="H128" s="18">
        <f t="shared" si="4"/>
        <v>31.837874999999997</v>
      </c>
      <c r="I128" s="5"/>
      <c r="J128" s="17">
        <v>783.89919999999995</v>
      </c>
      <c r="K128" s="18">
        <v>30.526299999999999</v>
      </c>
      <c r="L128" s="18">
        <v>35.131700000000002</v>
      </c>
      <c r="M128" s="18">
        <v>36.558799999999998</v>
      </c>
      <c r="N128" s="18">
        <v>362.75700000000001</v>
      </c>
      <c r="O128" s="18">
        <f t="shared" si="5"/>
        <v>31.856037499999999</v>
      </c>
      <c r="P128" s="7"/>
      <c r="Q128" s="10"/>
      <c r="R128" s="11"/>
      <c r="S128" s="11"/>
      <c r="T128" s="26"/>
      <c r="U128" s="28">
        <f t="shared" si="6"/>
        <v>-0.20798873411641408</v>
      </c>
    </row>
    <row r="129" spans="1:21" x14ac:dyDescent="0.25">
      <c r="B129" s="9"/>
      <c r="C129" s="17">
        <v>634.76</v>
      </c>
      <c r="D129" s="18">
        <v>28.395</v>
      </c>
      <c r="E129" s="18">
        <v>34.548000000000002</v>
      </c>
      <c r="F129" s="18">
        <v>36.052</v>
      </c>
      <c r="G129" s="18">
        <v>495.05</v>
      </c>
      <c r="H129" s="18">
        <f t="shared" si="4"/>
        <v>30.12125</v>
      </c>
      <c r="I129" s="5"/>
      <c r="J129" s="17">
        <v>493.50080000000003</v>
      </c>
      <c r="K129" s="18">
        <v>28.996099999999998</v>
      </c>
      <c r="L129" s="18">
        <v>34.044899999999998</v>
      </c>
      <c r="M129" s="18">
        <v>35.345999999999997</v>
      </c>
      <c r="N129" s="18">
        <v>436.68119999999999</v>
      </c>
      <c r="O129" s="18">
        <f t="shared" si="5"/>
        <v>30.420937500000001</v>
      </c>
      <c r="P129" s="7"/>
      <c r="Q129" s="10"/>
      <c r="R129" s="11"/>
      <c r="S129" s="11"/>
      <c r="T129" s="26"/>
      <c r="U129" s="28">
        <f t="shared" si="6"/>
        <v>-0.11790485809514195</v>
      </c>
    </row>
    <row r="130" spans="1:21" ht="16.5" thickBot="1" x14ac:dyDescent="0.3">
      <c r="B130" s="12"/>
      <c r="C130" s="19">
        <v>388.72</v>
      </c>
      <c r="D130" s="20">
        <v>26.187000000000001</v>
      </c>
      <c r="E130" s="20">
        <v>33.709000000000003</v>
      </c>
      <c r="F130" s="20">
        <v>35.034999999999997</v>
      </c>
      <c r="G130" s="20">
        <v>572.52</v>
      </c>
      <c r="H130" s="20">
        <f t="shared" si="4"/>
        <v>28.233250000000002</v>
      </c>
      <c r="I130" s="5"/>
      <c r="J130" s="19">
        <v>299.89839999999998</v>
      </c>
      <c r="K130" s="20">
        <v>27.5641</v>
      </c>
      <c r="L130" s="20">
        <v>32.879300000000001</v>
      </c>
      <c r="M130" s="20">
        <v>34.007100000000001</v>
      </c>
      <c r="N130" s="20">
        <v>505.90219999999999</v>
      </c>
      <c r="O130" s="20">
        <f t="shared" si="5"/>
        <v>29.033875000000002</v>
      </c>
      <c r="P130" s="7"/>
      <c r="Q130" s="13"/>
      <c r="R130" s="14"/>
      <c r="S130" s="14"/>
      <c r="T130" s="27"/>
      <c r="U130" s="28">
        <f t="shared" si="6"/>
        <v>-0.11635890449241947</v>
      </c>
    </row>
    <row r="131" spans="1:21" x14ac:dyDescent="0.25">
      <c r="A131" s="6" t="s">
        <v>41</v>
      </c>
      <c r="B131" s="6" t="s">
        <v>57</v>
      </c>
      <c r="C131" s="15">
        <v>821.86</v>
      </c>
      <c r="D131" s="16">
        <v>33.814999999999998</v>
      </c>
      <c r="E131" s="16">
        <v>38.021000000000001</v>
      </c>
      <c r="F131" s="16">
        <v>36.993000000000002</v>
      </c>
      <c r="G131" s="16">
        <v>1234.57</v>
      </c>
      <c r="H131" s="16">
        <f t="shared" si="4"/>
        <v>34.738</v>
      </c>
      <c r="I131" s="5"/>
      <c r="J131" s="15">
        <v>616.28560000000004</v>
      </c>
      <c r="K131" s="16">
        <v>33.688499999999998</v>
      </c>
      <c r="L131" s="16">
        <v>38.527500000000003</v>
      </c>
      <c r="M131" s="16">
        <v>37.204799999999999</v>
      </c>
      <c r="N131" s="16">
        <v>572.08240000000001</v>
      </c>
      <c r="O131" s="16">
        <f t="shared" si="5"/>
        <v>34.732912499999998</v>
      </c>
      <c r="P131" s="7"/>
      <c r="Q131" s="8">
        <f>bdrate(C131:C134,D131:D134,J131:J134,K131:K134)</f>
        <v>-0.31134152677172944</v>
      </c>
      <c r="R131" s="8">
        <f>bdrate(C131:C134,E131:E134,J131:J134,L131:L134)</f>
        <v>-0.24189523305211214</v>
      </c>
      <c r="S131" s="8">
        <f>bdrate(C131:C134,F131:F134,J131:J134,M131:M134)</f>
        <v>-0.1358132931893401</v>
      </c>
      <c r="T131" s="25">
        <f>bdrate(C131:C134,H131:H134,J131:J134,O131:O134)</f>
        <v>-0.29431403419611035</v>
      </c>
      <c r="U131" s="28">
        <f t="shared" si="6"/>
        <v>-0.53661404375612554</v>
      </c>
    </row>
    <row r="132" spans="1:21" x14ac:dyDescent="0.25">
      <c r="A132" s="9" t="s">
        <v>42</v>
      </c>
      <c r="B132" s="9"/>
      <c r="C132" s="17">
        <v>550.41999999999996</v>
      </c>
      <c r="D132" s="18">
        <v>31.88</v>
      </c>
      <c r="E132" s="18">
        <v>37.155999999999999</v>
      </c>
      <c r="F132" s="18">
        <v>35.895000000000003</v>
      </c>
      <c r="G132" s="18">
        <v>1416.43</v>
      </c>
      <c r="H132" s="18">
        <f t="shared" si="4"/>
        <v>33.041375000000002</v>
      </c>
      <c r="I132" s="5"/>
      <c r="J132" s="17">
        <v>410.2072</v>
      </c>
      <c r="K132" s="18">
        <v>31.905100000000001</v>
      </c>
      <c r="L132" s="18">
        <v>37.3431</v>
      </c>
      <c r="M132" s="18">
        <v>35.716000000000001</v>
      </c>
      <c r="N132" s="18">
        <v>727.80200000000002</v>
      </c>
      <c r="O132" s="18">
        <f t="shared" si="5"/>
        <v>33.061212499999996</v>
      </c>
      <c r="P132" s="7"/>
      <c r="Q132" s="10"/>
      <c r="R132" s="11"/>
      <c r="S132" s="11"/>
      <c r="T132" s="26"/>
      <c r="U132" s="28">
        <f t="shared" si="6"/>
        <v>-0.48617157219206031</v>
      </c>
    </row>
    <row r="133" spans="1:21" x14ac:dyDescent="0.25">
      <c r="B133" s="9"/>
      <c r="C133" s="17">
        <v>345.61</v>
      </c>
      <c r="D133" s="18">
        <v>29.712</v>
      </c>
      <c r="E133" s="18">
        <v>36.207000000000001</v>
      </c>
      <c r="F133" s="18">
        <v>34.729999999999997</v>
      </c>
      <c r="G133" s="18">
        <v>1552.8</v>
      </c>
      <c r="H133" s="18">
        <f t="shared" si="4"/>
        <v>31.151124999999997</v>
      </c>
      <c r="I133" s="5"/>
      <c r="J133" s="17">
        <v>257.62720000000002</v>
      </c>
      <c r="K133" s="18">
        <v>30.077100000000002</v>
      </c>
      <c r="L133" s="18">
        <v>36.115499999999997</v>
      </c>
      <c r="M133" s="18">
        <v>34.146999999999998</v>
      </c>
      <c r="N133" s="18">
        <v>822.36839999999995</v>
      </c>
      <c r="O133" s="18">
        <f t="shared" si="5"/>
        <v>31.3406375</v>
      </c>
      <c r="P133" s="7"/>
      <c r="Q133" s="10"/>
      <c r="R133" s="11"/>
      <c r="S133" s="11"/>
      <c r="T133" s="26"/>
      <c r="U133" s="28">
        <f t="shared" si="6"/>
        <v>-0.47039644513137557</v>
      </c>
    </row>
    <row r="134" spans="1:21" ht="16.5" thickBot="1" x14ac:dyDescent="0.3">
      <c r="B134" s="12"/>
      <c r="C134" s="19">
        <v>172.78</v>
      </c>
      <c r="D134" s="20">
        <v>26.001000000000001</v>
      </c>
      <c r="E134" s="20">
        <v>34.786000000000001</v>
      </c>
      <c r="F134" s="20">
        <v>33.167999999999999</v>
      </c>
      <c r="G134" s="20">
        <v>1968.5</v>
      </c>
      <c r="H134" s="20">
        <f t="shared" si="4"/>
        <v>27.995000000000001</v>
      </c>
      <c r="I134" s="5"/>
      <c r="J134" s="19">
        <v>123.50239999999999</v>
      </c>
      <c r="K134" s="20">
        <v>27.385200000000001</v>
      </c>
      <c r="L134" s="20">
        <v>34.063200000000002</v>
      </c>
      <c r="M134" s="20">
        <v>31.7608</v>
      </c>
      <c r="N134" s="20">
        <v>1068.3761</v>
      </c>
      <c r="O134" s="20">
        <f t="shared" si="5"/>
        <v>28.7669</v>
      </c>
      <c r="P134" s="7"/>
      <c r="Q134" s="13"/>
      <c r="R134" s="14"/>
      <c r="S134" s="14"/>
      <c r="T134" s="27"/>
      <c r="U134" s="28">
        <f t="shared" si="6"/>
        <v>-0.4572638557277115</v>
      </c>
    </row>
    <row r="135" spans="1:21" x14ac:dyDescent="0.25">
      <c r="B135" s="6" t="s">
        <v>58</v>
      </c>
      <c r="C135" s="15">
        <v>755.61</v>
      </c>
      <c r="D135" s="16">
        <v>29.183</v>
      </c>
      <c r="E135" s="16">
        <v>37.899000000000001</v>
      </c>
      <c r="F135" s="16">
        <v>38.177</v>
      </c>
      <c r="G135" s="16">
        <v>1666.67</v>
      </c>
      <c r="H135" s="16">
        <f t="shared" si="4"/>
        <v>31.396750000000001</v>
      </c>
      <c r="I135" s="5"/>
      <c r="J135" s="15">
        <v>603.36720000000003</v>
      </c>
      <c r="K135" s="16">
        <v>29.967400000000001</v>
      </c>
      <c r="L135" s="16">
        <v>38.406199999999998</v>
      </c>
      <c r="M135" s="16">
        <v>39.149000000000001</v>
      </c>
      <c r="N135" s="16">
        <v>591.71600000000001</v>
      </c>
      <c r="O135" s="16">
        <f t="shared" si="5"/>
        <v>32.16995</v>
      </c>
      <c r="P135" s="7"/>
      <c r="Q135" s="8">
        <f>bdrate(C135:C138,D135:D138,J135:J138,K135:K138)</f>
        <v>-0.4629995454388961</v>
      </c>
      <c r="R135" s="8">
        <f>bdrate(C135:C138,E135:E138,J135:J138,L135:L138)</f>
        <v>-0.23947071216766702</v>
      </c>
      <c r="S135" s="8">
        <f>bdrate(C135:C138,F135:F138,J135:J138,M135:M138)</f>
        <v>-0.42438894293603491</v>
      </c>
      <c r="T135" s="25">
        <f>bdrate(C135:C138,H135:H138,J135:J138,O135:O138)</f>
        <v>-0.45669138278013832</v>
      </c>
      <c r="U135" s="28">
        <f t="shared" si="6"/>
        <v>-0.64497111005777996</v>
      </c>
    </row>
    <row r="136" spans="1:21" x14ac:dyDescent="0.25">
      <c r="B136" s="9"/>
      <c r="C136" s="17">
        <v>498.38</v>
      </c>
      <c r="D136" s="18">
        <v>27.751000000000001</v>
      </c>
      <c r="E136" s="18">
        <v>37.539000000000001</v>
      </c>
      <c r="F136" s="18">
        <v>37.676000000000002</v>
      </c>
      <c r="G136" s="18">
        <v>1769.91</v>
      </c>
      <c r="H136" s="18">
        <f t="shared" si="4"/>
        <v>30.215125</v>
      </c>
      <c r="I136" s="5"/>
      <c r="J136" s="17">
        <v>399.13040000000001</v>
      </c>
      <c r="K136" s="18">
        <v>28.8184</v>
      </c>
      <c r="L136" s="18">
        <v>37.814599999999999</v>
      </c>
      <c r="M136" s="18">
        <v>38.479900000000001</v>
      </c>
      <c r="N136" s="18">
        <v>699.30070000000001</v>
      </c>
      <c r="O136" s="18">
        <f t="shared" si="5"/>
        <v>31.150612500000001</v>
      </c>
      <c r="P136" s="7"/>
      <c r="Q136" s="10"/>
      <c r="R136" s="11"/>
      <c r="S136" s="11"/>
      <c r="T136" s="26"/>
      <c r="U136" s="28">
        <f t="shared" si="6"/>
        <v>-0.60489476866055336</v>
      </c>
    </row>
    <row r="137" spans="1:21" x14ac:dyDescent="0.25">
      <c r="B137" s="9"/>
      <c r="C137" s="17">
        <v>311.08999999999997</v>
      </c>
      <c r="D137" s="18">
        <v>26.195</v>
      </c>
      <c r="E137" s="18">
        <v>37.189</v>
      </c>
      <c r="F137" s="18">
        <v>37.25</v>
      </c>
      <c r="G137" s="18">
        <v>1796.41</v>
      </c>
      <c r="H137" s="18">
        <f t="shared" si="4"/>
        <v>28.951125000000001</v>
      </c>
      <c r="I137" s="5"/>
      <c r="J137" s="17">
        <v>252.1352</v>
      </c>
      <c r="K137" s="18">
        <v>27.537500000000001</v>
      </c>
      <c r="L137" s="18">
        <v>37.211300000000001</v>
      </c>
      <c r="M137" s="18">
        <v>37.758699999999997</v>
      </c>
      <c r="N137" s="18">
        <v>801.06809999999996</v>
      </c>
      <c r="O137" s="18">
        <f t="shared" si="5"/>
        <v>30.024375000000003</v>
      </c>
      <c r="P137" s="7"/>
      <c r="Q137" s="10"/>
      <c r="R137" s="11"/>
      <c r="S137" s="11"/>
      <c r="T137" s="26"/>
      <c r="U137" s="28">
        <f t="shared" si="6"/>
        <v>-0.55407278961929629</v>
      </c>
    </row>
    <row r="138" spans="1:21" ht="16.5" thickBot="1" x14ac:dyDescent="0.3">
      <c r="B138" s="12"/>
      <c r="C138" s="19">
        <v>147.99</v>
      </c>
      <c r="D138" s="20">
        <v>23.675999999999998</v>
      </c>
      <c r="E138" s="20">
        <v>36.679000000000002</v>
      </c>
      <c r="F138" s="20">
        <v>36.548999999999999</v>
      </c>
      <c r="G138" s="20">
        <v>2272.73</v>
      </c>
      <c r="H138" s="20">
        <f t="shared" si="4"/>
        <v>26.910499999999999</v>
      </c>
      <c r="I138" s="5"/>
      <c r="J138" s="19">
        <v>120.9256</v>
      </c>
      <c r="K138" s="20">
        <v>25.411100000000001</v>
      </c>
      <c r="L138" s="20">
        <v>36.342399999999998</v>
      </c>
      <c r="M138" s="20">
        <v>36.462699999999998</v>
      </c>
      <c r="N138" s="20">
        <v>1132.0754999999999</v>
      </c>
      <c r="O138" s="20">
        <f t="shared" si="5"/>
        <v>28.158962500000001</v>
      </c>
      <c r="P138" s="7"/>
      <c r="Q138" s="13"/>
      <c r="R138" s="14"/>
      <c r="S138" s="14"/>
      <c r="T138" s="27"/>
      <c r="U138" s="28">
        <f t="shared" si="6"/>
        <v>-0.5018873777351468</v>
      </c>
    </row>
    <row r="139" spans="1:21" x14ac:dyDescent="0.25">
      <c r="B139" s="6" t="s">
        <v>59</v>
      </c>
      <c r="C139" s="29">
        <v>803.74</v>
      </c>
      <c r="D139" s="30">
        <v>31.076000000000001</v>
      </c>
      <c r="E139" s="30">
        <v>35.203000000000003</v>
      </c>
      <c r="F139" s="30">
        <v>35.573</v>
      </c>
      <c r="G139" s="16">
        <v>1474.93</v>
      </c>
      <c r="H139" s="16">
        <f t="shared" si="4"/>
        <v>32.154000000000003</v>
      </c>
      <c r="I139" s="5"/>
      <c r="J139" s="29">
        <v>618.34479999999996</v>
      </c>
      <c r="K139" s="30">
        <v>30.785599999999999</v>
      </c>
      <c r="L139" s="30">
        <v>36.100900000000003</v>
      </c>
      <c r="M139" s="30">
        <v>36.6295</v>
      </c>
      <c r="N139" s="16">
        <v>561.79780000000005</v>
      </c>
      <c r="O139" s="16">
        <f t="shared" si="5"/>
        <v>32.180499999999995</v>
      </c>
      <c r="P139" s="7"/>
      <c r="Q139" s="8">
        <f>bdrate(C139:C142,D139:D142,J139:J142,K139:K142)</f>
        <v>-0.26019793278298986</v>
      </c>
      <c r="R139" s="8">
        <f>bdrate(C139:C142,E139:E142,J139:J142,L139:L142)</f>
        <v>-0.36926360441091444</v>
      </c>
      <c r="S139" s="8">
        <f>bdrate(C139:C142,F139:F142,J139:J142,M139:M142)</f>
        <v>-0.39698171501184898</v>
      </c>
      <c r="T139" s="25">
        <f>bdrate(C139:C142,H139:H142,J139:J142,O139:O142)</f>
        <v>-0.28333412615959463</v>
      </c>
      <c r="U139" s="28">
        <f t="shared" si="6"/>
        <v>-0.61910205908076987</v>
      </c>
    </row>
    <row r="140" spans="1:21" x14ac:dyDescent="0.25">
      <c r="B140" s="9"/>
      <c r="C140" s="31">
        <v>534.91</v>
      </c>
      <c r="D140" s="32">
        <v>29.481000000000002</v>
      </c>
      <c r="E140" s="32">
        <v>34.493000000000002</v>
      </c>
      <c r="F140" s="32">
        <v>34.884</v>
      </c>
      <c r="G140" s="18">
        <v>1543.21</v>
      </c>
      <c r="H140" s="18">
        <f t="shared" si="4"/>
        <v>30.782875000000004</v>
      </c>
      <c r="I140" s="5"/>
      <c r="J140" s="31">
        <v>415.012</v>
      </c>
      <c r="K140" s="32">
        <v>29.3992</v>
      </c>
      <c r="L140" s="32">
        <v>35.184199999999997</v>
      </c>
      <c r="M140" s="32">
        <v>35.669899999999998</v>
      </c>
      <c r="N140" s="18">
        <v>654.45029999999997</v>
      </c>
      <c r="O140" s="18">
        <f t="shared" si="5"/>
        <v>30.906162500000001</v>
      </c>
      <c r="P140" s="7"/>
      <c r="Q140" s="10"/>
      <c r="R140" s="11"/>
      <c r="S140" s="11"/>
      <c r="T140" s="26"/>
      <c r="U140" s="28">
        <f t="shared" si="6"/>
        <v>-0.5759162395267009</v>
      </c>
    </row>
    <row r="141" spans="1:21" x14ac:dyDescent="0.25">
      <c r="B141" s="9"/>
      <c r="C141" s="31">
        <v>330.72</v>
      </c>
      <c r="D141" s="32">
        <v>27.722000000000001</v>
      </c>
      <c r="E141" s="32">
        <v>33.795000000000002</v>
      </c>
      <c r="F141" s="32">
        <v>34.264000000000003</v>
      </c>
      <c r="G141" s="18">
        <v>1706.48</v>
      </c>
      <c r="H141" s="18">
        <f t="shared" si="4"/>
        <v>29.298875000000002</v>
      </c>
      <c r="I141" s="5"/>
      <c r="J141" s="31">
        <v>260.38799999999998</v>
      </c>
      <c r="K141" s="32">
        <v>27.975999999999999</v>
      </c>
      <c r="L141" s="32">
        <v>34.174399999999999</v>
      </c>
      <c r="M141" s="32">
        <v>34.701000000000001</v>
      </c>
      <c r="N141" s="18">
        <v>843.1703</v>
      </c>
      <c r="O141" s="18">
        <f t="shared" si="5"/>
        <v>29.591424999999997</v>
      </c>
      <c r="P141" s="7"/>
      <c r="Q141" s="10"/>
      <c r="R141" s="11"/>
      <c r="S141" s="11"/>
      <c r="T141" s="26"/>
      <c r="U141" s="28">
        <f t="shared" si="6"/>
        <v>-0.50590086025033987</v>
      </c>
    </row>
    <row r="142" spans="1:21" ht="16.5" thickBot="1" x14ac:dyDescent="0.3">
      <c r="B142" s="12"/>
      <c r="C142" s="33">
        <v>155.51</v>
      </c>
      <c r="D142" s="34">
        <v>25.033000000000001</v>
      </c>
      <c r="E142" s="34">
        <v>33.037999999999997</v>
      </c>
      <c r="F142" s="34">
        <v>33.554000000000002</v>
      </c>
      <c r="G142" s="20">
        <v>2127.66</v>
      </c>
      <c r="H142" s="20">
        <f t="shared" si="4"/>
        <v>27.098749999999999</v>
      </c>
      <c r="I142" s="5"/>
      <c r="J142" s="33">
        <v>124.9032</v>
      </c>
      <c r="K142" s="34">
        <v>25.952200000000001</v>
      </c>
      <c r="L142" s="34">
        <v>32.790599999999998</v>
      </c>
      <c r="M142" s="34">
        <v>33.340800000000002</v>
      </c>
      <c r="N142" s="20">
        <v>1033.0579</v>
      </c>
      <c r="O142" s="20">
        <f t="shared" si="5"/>
        <v>27.730575000000002</v>
      </c>
      <c r="P142" s="7"/>
      <c r="Q142" s="13"/>
      <c r="R142" s="14"/>
      <c r="S142" s="14"/>
      <c r="T142" s="27"/>
      <c r="U142" s="28">
        <f t="shared" si="6"/>
        <v>-0.51446288410742314</v>
      </c>
    </row>
    <row r="143" spans="1:21" x14ac:dyDescent="0.25">
      <c r="B143" s="6" t="s">
        <v>60</v>
      </c>
      <c r="C143" s="15">
        <v>768.27</v>
      </c>
      <c r="D143" s="16">
        <v>34.091999999999999</v>
      </c>
      <c r="E143" s="16">
        <v>36.558</v>
      </c>
      <c r="F143" s="16">
        <v>37.622999999999998</v>
      </c>
      <c r="G143" s="16">
        <v>1204.82</v>
      </c>
      <c r="H143" s="16">
        <f t="shared" si="4"/>
        <v>34.841625000000001</v>
      </c>
      <c r="I143" s="5"/>
      <c r="J143" s="15">
        <v>599.01440000000002</v>
      </c>
      <c r="K143" s="16">
        <v>33.391800000000003</v>
      </c>
      <c r="L143" s="16">
        <v>36.953600000000002</v>
      </c>
      <c r="M143" s="16">
        <v>37.986400000000003</v>
      </c>
      <c r="N143" s="16">
        <v>469.48360000000002</v>
      </c>
      <c r="O143" s="16">
        <f t="shared" si="5"/>
        <v>34.411349999999999</v>
      </c>
      <c r="P143" s="7"/>
      <c r="Q143" s="8">
        <f>bdrate(C143:C146,D143:D146,J143:J146,K143:K146)</f>
        <v>-0.18849086481905786</v>
      </c>
      <c r="R143" s="8">
        <f>bdrate(C143:C146,E143:E146,J143:J146,L143:L146)</f>
        <v>-0.22660056398419337</v>
      </c>
      <c r="S143" s="8">
        <f>bdrate(C143:C146,F143:F146,J143:J146,M143:M146)</f>
        <v>-0.1845699704390743</v>
      </c>
      <c r="T143" s="25">
        <f>bdrate(C143:C146,H143:H146,J143:J146,O143:O146)</f>
        <v>-0.19113954798624622</v>
      </c>
      <c r="U143" s="28">
        <f t="shared" si="6"/>
        <v>-0.61032884580269253</v>
      </c>
    </row>
    <row r="144" spans="1:21" x14ac:dyDescent="0.25">
      <c r="B144" s="9"/>
      <c r="C144" s="17">
        <v>514.6</v>
      </c>
      <c r="D144" s="18">
        <v>32.171999999999997</v>
      </c>
      <c r="E144" s="18">
        <v>35.496000000000002</v>
      </c>
      <c r="F144" s="18">
        <v>36.552999999999997</v>
      </c>
      <c r="G144" s="18">
        <v>1219.51</v>
      </c>
      <c r="H144" s="18">
        <f t="shared" si="4"/>
        <v>33.135125000000002</v>
      </c>
      <c r="I144" s="5"/>
      <c r="J144" s="17">
        <v>399.02879999999999</v>
      </c>
      <c r="K144" s="18">
        <v>31.663399999999999</v>
      </c>
      <c r="L144" s="18">
        <v>35.762999999999998</v>
      </c>
      <c r="M144" s="18">
        <v>36.743600000000001</v>
      </c>
      <c r="N144" s="18">
        <v>564.97180000000003</v>
      </c>
      <c r="O144" s="18">
        <f t="shared" si="5"/>
        <v>32.810875000000003</v>
      </c>
      <c r="P144" s="7"/>
      <c r="Q144" s="10"/>
      <c r="R144" s="11"/>
      <c r="S144" s="11"/>
      <c r="T144" s="26"/>
      <c r="U144" s="28">
        <f t="shared" si="6"/>
        <v>-0.53672229010012218</v>
      </c>
    </row>
    <row r="145" spans="1:21" x14ac:dyDescent="0.25">
      <c r="B145" s="9"/>
      <c r="C145" s="17">
        <v>321.31</v>
      </c>
      <c r="D145" s="18">
        <v>30.085000000000001</v>
      </c>
      <c r="E145" s="18">
        <v>34.531999999999996</v>
      </c>
      <c r="F145" s="18">
        <v>35.606999999999999</v>
      </c>
      <c r="G145" s="18">
        <v>1428.57</v>
      </c>
      <c r="H145" s="18">
        <f t="shared" si="4"/>
        <v>31.331124999999997</v>
      </c>
      <c r="I145" s="5"/>
      <c r="J145" s="17">
        <v>250.25360000000001</v>
      </c>
      <c r="K145" s="18">
        <v>29.9192</v>
      </c>
      <c r="L145" s="18">
        <v>34.514400000000002</v>
      </c>
      <c r="M145" s="18">
        <v>35.401600000000002</v>
      </c>
      <c r="N145" s="18">
        <v>564.97180000000003</v>
      </c>
      <c r="O145" s="18">
        <f t="shared" si="5"/>
        <v>31.178899999999999</v>
      </c>
      <c r="P145" s="7"/>
      <c r="Q145" s="10"/>
      <c r="R145" s="11"/>
      <c r="S145" s="11"/>
      <c r="T145" s="26"/>
      <c r="U145" s="28">
        <f t="shared" si="6"/>
        <v>-0.60451934451934453</v>
      </c>
    </row>
    <row r="146" spans="1:21" ht="16.5" thickBot="1" x14ac:dyDescent="0.3">
      <c r="B146" s="12"/>
      <c r="C146" s="19">
        <v>152.77000000000001</v>
      </c>
      <c r="D146" s="20">
        <v>26.841000000000001</v>
      </c>
      <c r="E146" s="20">
        <v>33.22</v>
      </c>
      <c r="F146" s="20">
        <v>34.189</v>
      </c>
      <c r="G146" s="20">
        <v>1648.35</v>
      </c>
      <c r="H146" s="20">
        <f t="shared" si="4"/>
        <v>28.556874999999998</v>
      </c>
      <c r="I146" s="5"/>
      <c r="J146" s="19">
        <v>120.2632</v>
      </c>
      <c r="K146" s="20">
        <v>27.5519</v>
      </c>
      <c r="L146" s="20">
        <v>32.581400000000002</v>
      </c>
      <c r="M146" s="20">
        <v>33.3461</v>
      </c>
      <c r="N146" s="20">
        <v>874.63559999999995</v>
      </c>
      <c r="O146" s="20">
        <f t="shared" si="5"/>
        <v>28.9048625</v>
      </c>
      <c r="P146" s="7"/>
      <c r="Q146" s="13"/>
      <c r="R146" s="14"/>
      <c r="S146" s="14"/>
      <c r="T146" s="27"/>
      <c r="U146" s="28">
        <f t="shared" si="6"/>
        <v>-0.46938720538720541</v>
      </c>
    </row>
    <row r="147" spans="1:21" x14ac:dyDescent="0.25">
      <c r="A147" s="6" t="s">
        <v>43</v>
      </c>
      <c r="B147" s="6" t="s">
        <v>61</v>
      </c>
      <c r="C147" s="15">
        <v>1926.2</v>
      </c>
      <c r="D147" s="16">
        <v>39.942999999999998</v>
      </c>
      <c r="E147" s="16">
        <v>43.451000000000001</v>
      </c>
      <c r="F147" s="16">
        <v>44.494999999999997</v>
      </c>
      <c r="G147" s="16">
        <v>243.8</v>
      </c>
      <c r="H147" s="16">
        <f t="shared" si="4"/>
        <v>40.950499999999998</v>
      </c>
      <c r="I147" s="5"/>
      <c r="J147" s="15">
        <v>1489.6320000000001</v>
      </c>
      <c r="K147" s="16">
        <v>40.026200000000003</v>
      </c>
      <c r="L147" s="16">
        <v>44.544199999999996</v>
      </c>
      <c r="M147" s="16">
        <v>45.685099999999998</v>
      </c>
      <c r="N147" s="16">
        <v>216.06049999999999</v>
      </c>
      <c r="O147" s="16">
        <f t="shared" si="5"/>
        <v>41.298312500000002</v>
      </c>
      <c r="P147" s="7"/>
      <c r="Q147" s="8">
        <f>bdrate(C147:C150,D147:D150,J147:J150,K147:K150)</f>
        <v>-0.37573387966334537</v>
      </c>
      <c r="R147" s="8">
        <f>bdrate(C147:C150,E147:E150,J147:J150,L147:L150)</f>
        <v>-0.5052058399256355</v>
      </c>
      <c r="S147" s="8">
        <f>bdrate(C147:C150,F147:F150,J147:J150,M147:M150)</f>
        <v>-0.51000589767072468</v>
      </c>
      <c r="T147" s="25">
        <f>bdrate(C147:C150,H147:H150,J147:J150,O147:O150)</f>
        <v>-0.40155334769878004</v>
      </c>
      <c r="U147" s="28">
        <f t="shared" si="6"/>
        <v>-0.11377973748974578</v>
      </c>
    </row>
    <row r="148" spans="1:21" x14ac:dyDescent="0.25">
      <c r="A148" s="9" t="s">
        <v>44</v>
      </c>
      <c r="B148" s="9"/>
      <c r="C148" s="17">
        <v>1253.01</v>
      </c>
      <c r="D148" s="18">
        <v>38.128999999999998</v>
      </c>
      <c r="E148" s="18">
        <v>42.320999999999998</v>
      </c>
      <c r="F148" s="18">
        <v>43.374000000000002</v>
      </c>
      <c r="G148" s="18">
        <v>266.43</v>
      </c>
      <c r="H148" s="18">
        <f t="shared" si="4"/>
        <v>39.308625000000006</v>
      </c>
      <c r="I148" s="5"/>
      <c r="J148" s="17">
        <v>983.91840000000002</v>
      </c>
      <c r="K148" s="18">
        <v>38.750900000000001</v>
      </c>
      <c r="L148" s="18">
        <v>43.521999999999998</v>
      </c>
      <c r="M148" s="18">
        <v>44.608199999999997</v>
      </c>
      <c r="N148" s="18">
        <v>305.18819999999999</v>
      </c>
      <c r="O148" s="18">
        <f t="shared" si="5"/>
        <v>40.079450000000001</v>
      </c>
      <c r="P148" s="7"/>
      <c r="Q148" s="10"/>
      <c r="R148" s="11"/>
      <c r="S148" s="11"/>
      <c r="T148" s="26"/>
      <c r="U148" s="28">
        <f t="shared" si="6"/>
        <v>0.14547235671658593</v>
      </c>
    </row>
    <row r="149" spans="1:21" x14ac:dyDescent="0.25">
      <c r="B149" s="9"/>
      <c r="C149" s="17">
        <v>739.51</v>
      </c>
      <c r="D149" s="18">
        <v>35.286000000000001</v>
      </c>
      <c r="E149" s="18">
        <v>40.902999999999999</v>
      </c>
      <c r="F149" s="18">
        <v>41.776000000000003</v>
      </c>
      <c r="G149" s="18">
        <v>281.69</v>
      </c>
      <c r="H149" s="18">
        <f t="shared" si="4"/>
        <v>36.799374999999998</v>
      </c>
      <c r="I149" s="5"/>
      <c r="J149" s="17">
        <v>584.77760000000001</v>
      </c>
      <c r="K149" s="18">
        <v>36.627899999999997</v>
      </c>
      <c r="L149" s="18">
        <v>42.170900000000003</v>
      </c>
      <c r="M149" s="18">
        <v>43.1922</v>
      </c>
      <c r="N149" s="18">
        <v>346.4203</v>
      </c>
      <c r="O149" s="18">
        <f t="shared" si="5"/>
        <v>38.141312499999998</v>
      </c>
      <c r="P149" s="7"/>
      <c r="Q149" s="10"/>
      <c r="R149" s="11"/>
      <c r="S149" s="11"/>
      <c r="T149" s="26"/>
      <c r="U149" s="28">
        <f t="shared" si="6"/>
        <v>0.22979267989633995</v>
      </c>
    </row>
    <row r="150" spans="1:21" ht="16.5" thickBot="1" x14ac:dyDescent="0.3">
      <c r="B150" s="12"/>
      <c r="C150" s="19">
        <v>367.14</v>
      </c>
      <c r="D150" s="20">
        <v>31.114999999999998</v>
      </c>
      <c r="E150" s="20">
        <v>39.198999999999998</v>
      </c>
      <c r="F150" s="20">
        <v>39.776000000000003</v>
      </c>
      <c r="G150" s="20">
        <v>306.12</v>
      </c>
      <c r="H150" s="20">
        <f t="shared" si="4"/>
        <v>33.208125000000003</v>
      </c>
      <c r="I150" s="5"/>
      <c r="J150" s="19">
        <v>288.79039999999998</v>
      </c>
      <c r="K150" s="20">
        <v>33.461599999999997</v>
      </c>
      <c r="L150" s="20">
        <v>40.2498</v>
      </c>
      <c r="M150" s="20">
        <v>41.1616</v>
      </c>
      <c r="N150" s="20">
        <v>400.53399999999999</v>
      </c>
      <c r="O150" s="20">
        <f t="shared" si="5"/>
        <v>35.272624999999998</v>
      </c>
      <c r="P150" s="7"/>
      <c r="Q150" s="13"/>
      <c r="R150" s="14"/>
      <c r="S150" s="14"/>
      <c r="T150" s="27"/>
      <c r="U150" s="28">
        <f t="shared" si="6"/>
        <v>0.3084215340389389</v>
      </c>
    </row>
    <row r="151" spans="1:21" x14ac:dyDescent="0.25">
      <c r="B151" s="6" t="s">
        <v>62</v>
      </c>
      <c r="C151" s="15">
        <v>1970.2</v>
      </c>
      <c r="D151" s="16">
        <v>41.426000000000002</v>
      </c>
      <c r="E151" s="16">
        <v>45.628999999999998</v>
      </c>
      <c r="F151" s="16">
        <v>45.976999999999997</v>
      </c>
      <c r="G151" s="16">
        <v>255.32</v>
      </c>
      <c r="H151" s="16">
        <f t="shared" si="4"/>
        <v>42.520249999999997</v>
      </c>
      <c r="I151" s="5"/>
      <c r="J151" s="15">
        <v>1502.1264000000001</v>
      </c>
      <c r="K151" s="16">
        <v>41.700299999999999</v>
      </c>
      <c r="L151" s="16">
        <v>46.875599999999999</v>
      </c>
      <c r="M151" s="16">
        <v>47.494900000000001</v>
      </c>
      <c r="N151" s="16">
        <v>223.63030000000001</v>
      </c>
      <c r="O151" s="16">
        <f t="shared" si="5"/>
        <v>43.071537500000005</v>
      </c>
      <c r="P151" s="7"/>
      <c r="Q151" s="8">
        <f>bdrate(C151:C154,D151:D154,J151:J154,K151:K154)</f>
        <v>-0.50611146272146179</v>
      </c>
      <c r="R151" s="8">
        <f>bdrate(C151:C154,E151:E154,J151:J154,L151:L154)</f>
        <v>-0.67765530461523138</v>
      </c>
      <c r="S151" s="8">
        <f>bdrate(C151:C154,F151:F154,J151:J154,M151:M154)</f>
        <v>-0.69994516936253137</v>
      </c>
      <c r="T151" s="25">
        <f>bdrate(C151:C154,H151:H154,J151:J154,O151:O154)</f>
        <v>-0.55697889942751455</v>
      </c>
      <c r="U151" s="28">
        <f t="shared" ref="U151:U158" si="7">(N151-G151)/G151</f>
        <v>-0.12411757794140682</v>
      </c>
    </row>
    <row r="152" spans="1:21" x14ac:dyDescent="0.25">
      <c r="B152" s="9"/>
      <c r="C152" s="17">
        <v>1322.82</v>
      </c>
      <c r="D152" s="18">
        <v>40.450000000000003</v>
      </c>
      <c r="E152" s="18">
        <v>44.677999999999997</v>
      </c>
      <c r="F152" s="18">
        <v>45.097999999999999</v>
      </c>
      <c r="G152" s="18">
        <v>285.99</v>
      </c>
      <c r="H152" s="18">
        <f t="shared" si="4"/>
        <v>41.559500000000007</v>
      </c>
      <c r="I152" s="5"/>
      <c r="J152" s="17">
        <v>999.70159999999998</v>
      </c>
      <c r="K152" s="18">
        <v>41.1006</v>
      </c>
      <c r="L152" s="18">
        <v>46.370800000000003</v>
      </c>
      <c r="M152" s="18">
        <v>46.960799999999999</v>
      </c>
      <c r="N152" s="18">
        <v>315.29160000000002</v>
      </c>
      <c r="O152" s="18">
        <f t="shared" si="5"/>
        <v>42.491900000000001</v>
      </c>
      <c r="P152" s="7"/>
      <c r="Q152" s="10"/>
      <c r="R152" s="11"/>
      <c r="S152" s="11"/>
      <c r="T152" s="26"/>
      <c r="U152" s="28">
        <f t="shared" si="7"/>
        <v>0.10245672925626773</v>
      </c>
    </row>
    <row r="153" spans="1:21" x14ac:dyDescent="0.25">
      <c r="B153" s="9"/>
      <c r="C153" s="17">
        <v>759.44</v>
      </c>
      <c r="D153" s="18">
        <v>38.585000000000001</v>
      </c>
      <c r="E153" s="18">
        <v>43.210999999999999</v>
      </c>
      <c r="F153" s="18">
        <v>43.854999999999997</v>
      </c>
      <c r="G153" s="18">
        <v>299.55</v>
      </c>
      <c r="H153" s="18">
        <f t="shared" si="4"/>
        <v>39.822000000000003</v>
      </c>
      <c r="I153" s="5"/>
      <c r="J153" s="17">
        <v>593.95519999999999</v>
      </c>
      <c r="K153" s="18">
        <v>40.119799999999998</v>
      </c>
      <c r="L153" s="18">
        <v>45.483899999999998</v>
      </c>
      <c r="M153" s="18">
        <v>46.086399999999998</v>
      </c>
      <c r="N153" s="18">
        <v>349.65030000000002</v>
      </c>
      <c r="O153" s="18">
        <f t="shared" si="5"/>
        <v>41.536137499999995</v>
      </c>
      <c r="P153" s="7"/>
      <c r="Q153" s="10"/>
      <c r="R153" s="11"/>
      <c r="S153" s="11"/>
      <c r="T153" s="26"/>
      <c r="U153" s="28">
        <f t="shared" si="7"/>
        <v>0.1672518778167251</v>
      </c>
    </row>
    <row r="154" spans="1:21" ht="16.5" thickBot="1" x14ac:dyDescent="0.3">
      <c r="B154" s="12"/>
      <c r="C154" s="19">
        <v>368</v>
      </c>
      <c r="D154" s="20">
        <v>35.238999999999997</v>
      </c>
      <c r="E154" s="20">
        <v>41.206000000000003</v>
      </c>
      <c r="F154" s="20">
        <v>42.332000000000001</v>
      </c>
      <c r="G154" s="20">
        <v>313.48</v>
      </c>
      <c r="H154" s="20">
        <f t="shared" si="4"/>
        <v>36.871499999999997</v>
      </c>
      <c r="I154" s="5"/>
      <c r="J154" s="19">
        <v>291.27679999999998</v>
      </c>
      <c r="K154" s="20">
        <v>38.066499999999998</v>
      </c>
      <c r="L154" s="20">
        <v>43.499000000000002</v>
      </c>
      <c r="M154" s="20">
        <v>44.130800000000001</v>
      </c>
      <c r="N154" s="20">
        <v>400.53399999999999</v>
      </c>
      <c r="O154" s="20">
        <f t="shared" si="5"/>
        <v>39.503600000000006</v>
      </c>
      <c r="P154" s="7"/>
      <c r="Q154" s="13"/>
      <c r="R154" s="14"/>
      <c r="S154" s="14"/>
      <c r="T154" s="27"/>
      <c r="U154" s="28">
        <f t="shared" si="7"/>
        <v>0.27770192675768779</v>
      </c>
    </row>
    <row r="155" spans="1:21" x14ac:dyDescent="0.25">
      <c r="B155" s="6" t="s">
        <v>63</v>
      </c>
      <c r="C155" s="15">
        <v>2070.06</v>
      </c>
      <c r="D155" s="16">
        <v>41.161000000000001</v>
      </c>
      <c r="E155" s="16">
        <v>44.588999999999999</v>
      </c>
      <c r="F155" s="16">
        <v>45.322000000000003</v>
      </c>
      <c r="G155" s="16">
        <v>252.84</v>
      </c>
      <c r="H155" s="16">
        <f t="shared" si="4"/>
        <v>42.109625000000001</v>
      </c>
      <c r="I155" s="5"/>
      <c r="J155" s="15">
        <v>1523.4975999999999</v>
      </c>
      <c r="K155" s="16">
        <v>41.503300000000003</v>
      </c>
      <c r="L155" s="16">
        <v>45.621699999999997</v>
      </c>
      <c r="M155" s="16">
        <v>46.398299999999999</v>
      </c>
      <c r="N155" s="16">
        <v>218.49959999999999</v>
      </c>
      <c r="O155" s="16">
        <f t="shared" si="5"/>
        <v>42.629975000000002</v>
      </c>
      <c r="P155" s="7"/>
      <c r="Q155" s="8">
        <f>bdrate(C155:C158,D155:D158,J155:J158,K155:K158)</f>
        <v>-0.49620405411741031</v>
      </c>
      <c r="R155" s="8">
        <f>bdrate(C155:C158,E155:E158,J155:J158,L155:L158)</f>
        <v>-0.5925211884301399</v>
      </c>
      <c r="S155" s="8">
        <f>bdrate(C155:C158,F155:F158,J155:J158,M155:M158)</f>
        <v>-0.58354310545290433</v>
      </c>
      <c r="T155" s="25">
        <f>bdrate(C155:C158,H155:H158,J155:J158,O155:O158)</f>
        <v>-0.51653064865921849</v>
      </c>
      <c r="U155" s="28">
        <f t="shared" si="7"/>
        <v>-0.13581869957285245</v>
      </c>
    </row>
    <row r="156" spans="1:21" x14ac:dyDescent="0.25">
      <c r="B156" s="9"/>
      <c r="C156" s="17">
        <v>1359.31</v>
      </c>
      <c r="D156" s="18">
        <v>39.598999999999997</v>
      </c>
      <c r="E156" s="18">
        <v>43.179000000000002</v>
      </c>
      <c r="F156" s="18">
        <v>44.027999999999999</v>
      </c>
      <c r="G156" s="18">
        <v>278.42</v>
      </c>
      <c r="H156" s="18">
        <f t="shared" si="4"/>
        <v>40.600125000000006</v>
      </c>
      <c r="I156" s="5"/>
      <c r="J156" s="17">
        <v>1019.14</v>
      </c>
      <c r="K156" s="18">
        <v>40.586100000000002</v>
      </c>
      <c r="L156" s="18">
        <v>44.813800000000001</v>
      </c>
      <c r="M156" s="18">
        <v>45.598799999999997</v>
      </c>
      <c r="N156" s="18">
        <v>305.18819999999999</v>
      </c>
      <c r="O156" s="18">
        <f t="shared" si="5"/>
        <v>41.741149999999998</v>
      </c>
      <c r="P156" s="7"/>
      <c r="Q156" s="10"/>
      <c r="R156" s="11"/>
      <c r="S156" s="11"/>
      <c r="T156" s="26"/>
      <c r="U156" s="28">
        <f t="shared" si="7"/>
        <v>9.6143236836434082E-2</v>
      </c>
    </row>
    <row r="157" spans="1:21" x14ac:dyDescent="0.25">
      <c r="B157" s="9"/>
      <c r="C157" s="17">
        <v>810.15</v>
      </c>
      <c r="D157" s="18">
        <v>37.195</v>
      </c>
      <c r="E157" s="18">
        <v>41.856000000000002</v>
      </c>
      <c r="F157" s="18">
        <v>42.755000000000003</v>
      </c>
      <c r="G157" s="18">
        <v>294.83999999999997</v>
      </c>
      <c r="H157" s="18">
        <f t="shared" si="4"/>
        <v>38.472625000000001</v>
      </c>
      <c r="I157" s="5"/>
      <c r="J157" s="17">
        <v>611.55280000000005</v>
      </c>
      <c r="K157" s="18">
        <v>39.087299999999999</v>
      </c>
      <c r="L157" s="18">
        <v>43.563899999999997</v>
      </c>
      <c r="M157" s="18">
        <v>44.351999999999997</v>
      </c>
      <c r="N157" s="18">
        <v>343.44589999999999</v>
      </c>
      <c r="O157" s="18">
        <f t="shared" si="5"/>
        <v>40.304962499999995</v>
      </c>
      <c r="P157" s="7"/>
      <c r="Q157" s="10"/>
      <c r="R157" s="11"/>
      <c r="S157" s="11"/>
      <c r="T157" s="26"/>
      <c r="U157" s="28">
        <f t="shared" si="7"/>
        <v>0.1648551756885091</v>
      </c>
    </row>
    <row r="158" spans="1:21" ht="16.5" thickBot="1" x14ac:dyDescent="0.3">
      <c r="B158" s="12"/>
      <c r="C158" s="19">
        <v>399.54</v>
      </c>
      <c r="D158" s="20">
        <v>33.283000000000001</v>
      </c>
      <c r="E158" s="20">
        <v>39.795999999999999</v>
      </c>
      <c r="F158" s="20">
        <v>40.597999999999999</v>
      </c>
      <c r="G158" s="20">
        <v>311.36</v>
      </c>
      <c r="H158" s="20">
        <f t="shared" si="4"/>
        <v>35.011499999999998</v>
      </c>
      <c r="I158" s="5"/>
      <c r="J158" s="19">
        <v>305.06079999999997</v>
      </c>
      <c r="K158" s="20">
        <v>36.369199999999999</v>
      </c>
      <c r="L158" s="20">
        <v>41.498199999999997</v>
      </c>
      <c r="M158" s="20">
        <v>42.282499999999999</v>
      </c>
      <c r="N158" s="20">
        <v>392.67020000000002</v>
      </c>
      <c r="O158" s="20">
        <f t="shared" si="5"/>
        <v>37.749487500000001</v>
      </c>
      <c r="P158" s="7"/>
      <c r="Q158" s="13"/>
      <c r="R158" s="14"/>
      <c r="S158" s="14"/>
      <c r="T158" s="27"/>
      <c r="U158" s="28">
        <f t="shared" si="7"/>
        <v>0.26114529804727649</v>
      </c>
    </row>
    <row r="159" spans="1:21" ht="16.5" thickBot="1" x14ac:dyDescent="0.3">
      <c r="B159" s="22" t="s">
        <v>22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1">
        <f>AVERAGE(Q87:Q158)</f>
        <v>-0.41484706755567274</v>
      </c>
      <c r="R159" s="21">
        <f>AVERAGE(R87:R158)</f>
        <v>-0.30306033178996555</v>
      </c>
      <c r="S159" s="21">
        <f>AVERAGE(S87:S158)</f>
        <v>-0.32940045813685714</v>
      </c>
      <c r="T159" s="21">
        <f>AVERAGE(T87:T158)</f>
        <v>-0.4081339010055457</v>
      </c>
      <c r="U159" s="21">
        <f>AVERAGE(U87:U158)</f>
        <v>-0.11207985939936892</v>
      </c>
    </row>
  </sheetData>
  <mergeCells count="12">
    <mergeCell ref="B83:B84"/>
    <mergeCell ref="C83:U84"/>
    <mergeCell ref="C85:H85"/>
    <mergeCell ref="J85:O85"/>
    <mergeCell ref="Q85:S85"/>
    <mergeCell ref="U85:U8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1" priority="321" operator="greaterThan">
      <formula>0.03</formula>
    </cfRule>
    <cfRule type="cellIs" dxfId="330" priority="322" stopIfTrue="1" operator="lessThan">
      <formula>-0.03</formula>
    </cfRule>
  </conditionalFormatting>
  <conditionalFormatting sqref="Q33:T36">
    <cfRule type="cellIs" dxfId="329" priority="319" operator="greaterThan">
      <formula>0.03</formula>
    </cfRule>
    <cfRule type="cellIs" dxfId="328" priority="320" stopIfTrue="1" operator="lessThan">
      <formula>-0.03</formula>
    </cfRule>
  </conditionalFormatting>
  <conditionalFormatting sqref="Q46:T48 Q62:T64">
    <cfRule type="cellIs" dxfId="327" priority="317" operator="greaterThan">
      <formula>0.03</formula>
    </cfRule>
    <cfRule type="cellIs" dxfId="326" priority="318" stopIfTrue="1" operator="lessThan">
      <formula>-0.03</formula>
    </cfRule>
  </conditionalFormatting>
  <conditionalFormatting sqref="Q50:T52 Q54:T56 Q58:T60">
    <cfRule type="cellIs" dxfId="325" priority="315" operator="greaterThan">
      <formula>0.03</formula>
    </cfRule>
    <cfRule type="cellIs" dxfId="324" priority="316" stopIfTrue="1" operator="lessThan">
      <formula>-0.03</formula>
    </cfRule>
  </conditionalFormatting>
  <conditionalFormatting sqref="Q70:T72 Q74:T76">
    <cfRule type="cellIs" dxfId="323" priority="313" operator="greaterThan">
      <formula>0.03</formula>
    </cfRule>
    <cfRule type="cellIs" dxfId="322" priority="314" stopIfTrue="1" operator="lessThan">
      <formula>-0.03</formula>
    </cfRule>
  </conditionalFormatting>
  <conditionalFormatting sqref="Q66:T68">
    <cfRule type="cellIs" dxfId="321" priority="311" operator="greaterThan">
      <formula>0.03</formula>
    </cfRule>
    <cfRule type="cellIs" dxfId="320" priority="312" stopIfTrue="1" operator="lessThan">
      <formula>-0.03</formula>
    </cfRule>
  </conditionalFormatting>
  <conditionalFormatting sqref="Q78:T80">
    <cfRule type="cellIs" dxfId="319" priority="309" operator="greaterThan">
      <formula>0.03</formula>
    </cfRule>
    <cfRule type="cellIs" dxfId="318" priority="310" stopIfTrue="1" operator="lessThan">
      <formula>-0.03</formula>
    </cfRule>
  </conditionalFormatting>
  <conditionalFormatting sqref="Q21:T28">
    <cfRule type="cellIs" dxfId="317" priority="291" operator="greaterThan">
      <formula>0.03</formula>
    </cfRule>
    <cfRule type="cellIs" dxfId="316" priority="292" stopIfTrue="1" operator="lessThan">
      <formula>-0.03</formula>
    </cfRule>
  </conditionalFormatting>
  <conditionalFormatting sqref="Q107:T110 Q115:T122 Q87:T98">
    <cfRule type="cellIs" dxfId="315" priority="287" operator="greaterThan">
      <formula>0.03</formula>
    </cfRule>
    <cfRule type="cellIs" dxfId="314" priority="288" stopIfTrue="1" operator="lessThan">
      <formula>-0.03</formula>
    </cfRule>
  </conditionalFormatting>
  <conditionalFormatting sqref="Q111:T114">
    <cfRule type="cellIs" dxfId="313" priority="285" operator="greaterThan">
      <formula>0.03</formula>
    </cfRule>
    <cfRule type="cellIs" dxfId="312" priority="286" stopIfTrue="1" operator="lessThan">
      <formula>-0.03</formula>
    </cfRule>
  </conditionalFormatting>
  <conditionalFormatting sqref="Q123:T126 Q139:T142">
    <cfRule type="cellIs" dxfId="311" priority="283" operator="greaterThan">
      <formula>0.03</formula>
    </cfRule>
    <cfRule type="cellIs" dxfId="310" priority="284" stopIfTrue="1" operator="lessThan">
      <formula>-0.03</formula>
    </cfRule>
  </conditionalFormatting>
  <conditionalFormatting sqref="Q127:T138">
    <cfRule type="cellIs" dxfId="309" priority="281" operator="greaterThan">
      <formula>0.03</formula>
    </cfRule>
    <cfRule type="cellIs" dxfId="308" priority="282" stopIfTrue="1" operator="lessThan">
      <formula>-0.03</formula>
    </cfRule>
  </conditionalFormatting>
  <conditionalFormatting sqref="Q147:T154">
    <cfRule type="cellIs" dxfId="307" priority="279" operator="greaterThan">
      <formula>0.03</formula>
    </cfRule>
    <cfRule type="cellIs" dxfId="306" priority="280" stopIfTrue="1" operator="lessThan">
      <formula>-0.03</formula>
    </cfRule>
  </conditionalFormatting>
  <conditionalFormatting sqref="Q143:T146">
    <cfRule type="cellIs" dxfId="305" priority="277" operator="greaterThan">
      <formula>0.03</formula>
    </cfRule>
    <cfRule type="cellIs" dxfId="304" priority="278" stopIfTrue="1" operator="lessThan">
      <formula>-0.03</formula>
    </cfRule>
  </conditionalFormatting>
  <conditionalFormatting sqref="Q155:T158">
    <cfRule type="cellIs" dxfId="303" priority="275" operator="greaterThan">
      <formula>0.03</formula>
    </cfRule>
    <cfRule type="cellIs" dxfId="302" priority="276" stopIfTrue="1" operator="lessThan">
      <formula>-0.03</formula>
    </cfRule>
  </conditionalFormatting>
  <conditionalFormatting sqref="Q99:T106">
    <cfRule type="cellIs" dxfId="301" priority="273" operator="greaterThan">
      <formula>0.03</formula>
    </cfRule>
    <cfRule type="cellIs" dxfId="300" priority="274" stopIfTrue="1" operator="lessThan">
      <formula>-0.03</formula>
    </cfRule>
  </conditionalFormatting>
  <conditionalFormatting sqref="Q45:T45">
    <cfRule type="cellIs" dxfId="299" priority="271" operator="greaterThan">
      <formula>0.03</formula>
    </cfRule>
    <cfRule type="cellIs" dxfId="298" priority="272" stopIfTrue="1" operator="lessThan">
      <formula>-0.03</formula>
    </cfRule>
  </conditionalFormatting>
  <conditionalFormatting sqref="Q49:T49">
    <cfRule type="cellIs" dxfId="297" priority="269" operator="greaterThan">
      <formula>0.03</formula>
    </cfRule>
    <cfRule type="cellIs" dxfId="296" priority="270" stopIfTrue="1" operator="lessThan">
      <formula>-0.03</formula>
    </cfRule>
  </conditionalFormatting>
  <conditionalFormatting sqref="Q53:T53">
    <cfRule type="cellIs" dxfId="295" priority="267" operator="greaterThan">
      <formula>0.03</formula>
    </cfRule>
    <cfRule type="cellIs" dxfId="294" priority="268" stopIfTrue="1" operator="lessThan">
      <formula>-0.03</formula>
    </cfRule>
  </conditionalFormatting>
  <conditionalFormatting sqref="Q57:T57">
    <cfRule type="cellIs" dxfId="293" priority="265" operator="greaterThan">
      <formula>0.03</formula>
    </cfRule>
    <cfRule type="cellIs" dxfId="292" priority="266" stopIfTrue="1" operator="lessThan">
      <formula>-0.03</formula>
    </cfRule>
  </conditionalFormatting>
  <conditionalFormatting sqref="Q61:T61">
    <cfRule type="cellIs" dxfId="291" priority="263" operator="greaterThan">
      <formula>0.03</formula>
    </cfRule>
    <cfRule type="cellIs" dxfId="290" priority="264" stopIfTrue="1" operator="lessThan">
      <formula>-0.03</formula>
    </cfRule>
  </conditionalFormatting>
  <conditionalFormatting sqref="Q65:T65">
    <cfRule type="cellIs" dxfId="289" priority="261" operator="greaterThan">
      <formula>0.03</formula>
    </cfRule>
    <cfRule type="cellIs" dxfId="288" priority="262" stopIfTrue="1" operator="lessThan">
      <formula>-0.03</formula>
    </cfRule>
  </conditionalFormatting>
  <conditionalFormatting sqref="Q69:T69">
    <cfRule type="cellIs" dxfId="287" priority="259" operator="greaterThan">
      <formula>0.03</formula>
    </cfRule>
    <cfRule type="cellIs" dxfId="286" priority="260" stopIfTrue="1" operator="lessThan">
      <formula>-0.03</formula>
    </cfRule>
  </conditionalFormatting>
  <conditionalFormatting sqref="Q73:T73">
    <cfRule type="cellIs" dxfId="285" priority="257" operator="greaterThan">
      <formula>0.03</formula>
    </cfRule>
    <cfRule type="cellIs" dxfId="284" priority="258" stopIfTrue="1" operator="lessThan">
      <formula>-0.03</formula>
    </cfRule>
  </conditionalFormatting>
  <conditionalFormatting sqref="Q77:T77">
    <cfRule type="cellIs" dxfId="283" priority="255" operator="greaterThan">
      <formula>0.03</formula>
    </cfRule>
    <cfRule type="cellIs" dxfId="282" priority="256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59"/>
  <sheetViews>
    <sheetView topLeftCell="A82" zoomScaleNormal="100" workbookViewId="0">
      <selection activeCell="A159" sqref="A159:XFD37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131</v>
      </c>
    </row>
    <row r="2" spans="1:21" x14ac:dyDescent="0.25">
      <c r="A2" t="s">
        <v>112</v>
      </c>
    </row>
    <row r="3" spans="1:21" x14ac:dyDescent="0.25">
      <c r="A3" t="s">
        <v>117</v>
      </c>
    </row>
    <row r="4" spans="1:21" x14ac:dyDescent="0.25">
      <c r="A4" t="s">
        <v>116</v>
      </c>
    </row>
    <row r="5" spans="1:21" s="35" customFormat="1" ht="15.75" customHeight="1" x14ac:dyDescent="0.25">
      <c r="B5" s="56" t="s">
        <v>29</v>
      </c>
      <c r="C5" s="58" t="s">
        <v>89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65</v>
      </c>
      <c r="D7" s="65"/>
      <c r="E7" s="65"/>
      <c r="F7" s="65"/>
      <c r="G7" s="65"/>
      <c r="H7" s="65"/>
      <c r="I7" s="5"/>
      <c r="J7" s="64" t="s">
        <v>87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16.13</v>
      </c>
      <c r="H9" s="16">
        <f t="shared" ref="H9:H80" si="0">(6*D9+E9+F9)/8</f>
        <v>37.948250000000002</v>
      </c>
      <c r="I9" s="5"/>
      <c r="J9" s="15">
        <v>4021.4463999999998</v>
      </c>
      <c r="K9" s="16">
        <v>37.927900000000001</v>
      </c>
      <c r="L9" s="16">
        <v>39.457999999999998</v>
      </c>
      <c r="M9" s="16">
        <v>41.934899999999999</v>
      </c>
      <c r="N9" s="16">
        <v>16.242599999999999</v>
      </c>
      <c r="O9" s="16">
        <f t="shared" ref="O9:O80" si="1">(6*K9+L9+M9)/8</f>
        <v>38.620037499999995</v>
      </c>
      <c r="P9" s="7"/>
      <c r="Q9" s="8">
        <f>bdrate(C9:C12,D9:D12,J9:J12,K9:K12)</f>
        <v>-0.46737082627028659</v>
      </c>
      <c r="R9" s="8">
        <f>bdrate(C9:C12,E9:E12,J9:J12,L9:L12)</f>
        <v>-0.49703702182201048</v>
      </c>
      <c r="S9" s="8">
        <f>bdrate(C9:C12,F9:F12,J9:J12,M9:M12)</f>
        <v>-0.49970774984272215</v>
      </c>
      <c r="T9" s="25">
        <f>bdrate(C9:C12,H9:H12,J9:J12,O9:O12)</f>
        <v>-0.47232543875774624</v>
      </c>
      <c r="U9" s="28">
        <f t="shared" ref="U9:U40" si="2">(N9-G9)/G9</f>
        <v>6.9807811531308423E-3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17.14</v>
      </c>
      <c r="H10" s="18">
        <f t="shared" si="0"/>
        <v>37.02375</v>
      </c>
      <c r="I10" s="5"/>
      <c r="J10" s="17">
        <v>2909.1632</v>
      </c>
      <c r="K10" s="18">
        <v>36.917000000000002</v>
      </c>
      <c r="L10" s="18">
        <v>38.857399999999998</v>
      </c>
      <c r="M10" s="18">
        <v>41.207900000000002</v>
      </c>
      <c r="N10" s="18">
        <v>18.348600000000001</v>
      </c>
      <c r="O10" s="18">
        <f t="shared" si="1"/>
        <v>37.695912499999999</v>
      </c>
      <c r="P10" s="7"/>
      <c r="Q10" s="10"/>
      <c r="R10" s="11"/>
      <c r="S10" s="11"/>
      <c r="T10" s="26"/>
      <c r="U10" s="28">
        <f t="shared" si="2"/>
        <v>7.0513418903150549E-2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18.25</v>
      </c>
      <c r="H11" s="18">
        <f t="shared" si="0"/>
        <v>35.571874999999999</v>
      </c>
      <c r="I11" s="5"/>
      <c r="J11" s="17">
        <v>1929.8032000000001</v>
      </c>
      <c r="K11" s="18">
        <v>35.386499999999998</v>
      </c>
      <c r="L11" s="18">
        <v>38.186599999999999</v>
      </c>
      <c r="M11" s="18">
        <v>40.4788</v>
      </c>
      <c r="N11" s="18">
        <v>20.9937</v>
      </c>
      <c r="O11" s="18">
        <f t="shared" si="1"/>
        <v>36.373049999999999</v>
      </c>
      <c r="P11" s="7"/>
      <c r="Q11" s="10"/>
      <c r="R11" s="11"/>
      <c r="S11" s="11"/>
      <c r="T11" s="26"/>
      <c r="U11" s="28">
        <f t="shared" si="2"/>
        <v>0.15033972602739729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20.16</v>
      </c>
      <c r="H12" s="20">
        <f t="shared" si="0"/>
        <v>32.727499999999999</v>
      </c>
      <c r="I12" s="5"/>
      <c r="J12" s="19">
        <v>932.00639999999999</v>
      </c>
      <c r="K12" s="20">
        <v>32.5687</v>
      </c>
      <c r="L12" s="20">
        <v>36.858699999999999</v>
      </c>
      <c r="M12" s="20">
        <v>39.039499999999997</v>
      </c>
      <c r="N12" s="20">
        <v>27.711099999999998</v>
      </c>
      <c r="O12" s="20">
        <f t="shared" si="1"/>
        <v>33.913799999999995</v>
      </c>
      <c r="P12" s="7"/>
      <c r="Q12" s="13"/>
      <c r="R12" s="14"/>
      <c r="S12" s="14"/>
      <c r="T12" s="27"/>
      <c r="U12" s="28">
        <f t="shared" si="2"/>
        <v>0.37455853174603165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14.18</v>
      </c>
      <c r="H13" s="16">
        <f t="shared" si="0"/>
        <v>31.982875</v>
      </c>
      <c r="I13" s="5"/>
      <c r="J13" s="15">
        <v>4113.7376000000004</v>
      </c>
      <c r="K13" s="16">
        <v>29.290400000000002</v>
      </c>
      <c r="L13" s="16">
        <v>39.257599999999996</v>
      </c>
      <c r="M13" s="16">
        <v>40.197200000000002</v>
      </c>
      <c r="N13" s="16">
        <v>11.870799999999999</v>
      </c>
      <c r="O13" s="16">
        <f t="shared" si="1"/>
        <v>31.899650000000001</v>
      </c>
      <c r="P13" s="7"/>
      <c r="Q13" s="8">
        <f>bdrate(C13:C16,D13:D16,J13:J16,K13:K16)</f>
        <v>-0.39967829585433157</v>
      </c>
      <c r="R13" s="8">
        <f>bdrate(C13:C16,E13:E16,J13:J16,L13:L16)</f>
        <v>-0.31349773914487145</v>
      </c>
      <c r="S13" s="8">
        <f>bdrate(C13:C16,F13:F16,J13:J16,M13:M16)</f>
        <v>-0.38000463797775486</v>
      </c>
      <c r="T13" s="25">
        <f>bdrate(C13:C16,H13:H16,J13:J16,O13:O16)</f>
        <v>-0.39504456024181167</v>
      </c>
      <c r="U13" s="28">
        <f t="shared" si="2"/>
        <v>-0.16284908321579694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15.74</v>
      </c>
      <c r="H14" s="18">
        <f t="shared" si="0"/>
        <v>30.677</v>
      </c>
      <c r="I14" s="5"/>
      <c r="J14" s="17">
        <v>3057.2447999999999</v>
      </c>
      <c r="K14" s="18">
        <v>27.9711</v>
      </c>
      <c r="L14" s="18">
        <v>38.721200000000003</v>
      </c>
      <c r="M14" s="18">
        <v>39.737099999999998</v>
      </c>
      <c r="N14" s="18">
        <v>13.6587</v>
      </c>
      <c r="O14" s="18">
        <f t="shared" si="1"/>
        <v>30.785612499999999</v>
      </c>
      <c r="P14" s="7"/>
      <c r="Q14" s="10"/>
      <c r="R14" s="11"/>
      <c r="S14" s="11"/>
      <c r="T14" s="26"/>
      <c r="U14" s="28">
        <f t="shared" si="2"/>
        <v>-0.13222998729351973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17.670000000000002</v>
      </c>
      <c r="H15" s="18">
        <f t="shared" si="0"/>
        <v>28.899000000000001</v>
      </c>
      <c r="I15" s="5"/>
      <c r="J15" s="17">
        <v>2083.0767999999998</v>
      </c>
      <c r="K15" s="18">
        <v>26.305800000000001</v>
      </c>
      <c r="L15" s="18">
        <v>37.966099999999997</v>
      </c>
      <c r="M15" s="18">
        <v>39.086100000000002</v>
      </c>
      <c r="N15" s="18">
        <v>16.7224</v>
      </c>
      <c r="O15" s="18">
        <f t="shared" si="1"/>
        <v>29.360875</v>
      </c>
      <c r="P15" s="7"/>
      <c r="Q15" s="10"/>
      <c r="R15" s="11"/>
      <c r="S15" s="11"/>
      <c r="T15" s="26"/>
      <c r="U15" s="28">
        <f t="shared" si="2"/>
        <v>-5.3627617430673527E-2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19.66</v>
      </c>
      <c r="H16" s="20">
        <f t="shared" si="0"/>
        <v>26.163875000000001</v>
      </c>
      <c r="I16" s="5"/>
      <c r="J16" s="19">
        <v>1186.6576</v>
      </c>
      <c r="K16" s="20">
        <v>24.340199999999999</v>
      </c>
      <c r="L16" s="20">
        <v>36.525399999999998</v>
      </c>
      <c r="M16" s="20">
        <v>37.774799999999999</v>
      </c>
      <c r="N16" s="20">
        <v>21.177499999999998</v>
      </c>
      <c r="O16" s="20">
        <f t="shared" si="1"/>
        <v>27.542674999999999</v>
      </c>
      <c r="P16" s="7"/>
      <c r="Q16" s="13"/>
      <c r="R16" s="14"/>
      <c r="S16" s="14"/>
      <c r="T16" s="27"/>
      <c r="U16" s="28">
        <f t="shared" si="2"/>
        <v>7.7187182095625542E-2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26.62</v>
      </c>
      <c r="H17" s="16">
        <f t="shared" si="0"/>
        <v>39.113</v>
      </c>
      <c r="I17" s="5"/>
      <c r="J17" s="15">
        <v>2387.1039999999998</v>
      </c>
      <c r="K17" s="16">
        <v>38.987699999999997</v>
      </c>
      <c r="L17" s="16">
        <v>41.811300000000003</v>
      </c>
      <c r="M17" s="16">
        <v>43.159199999999998</v>
      </c>
      <c r="N17" s="16">
        <v>31.5914</v>
      </c>
      <c r="O17" s="16">
        <f t="shared" si="1"/>
        <v>39.862087500000001</v>
      </c>
      <c r="P17" s="7"/>
      <c r="Q17" s="8">
        <f>bdrate(C17:C20,D17:D20,J17:J20,K17:K20)</f>
        <v>-0.47443687395851286</v>
      </c>
      <c r="R17" s="8">
        <f>bdrate(C17:C20,E17:E20,J17:J20,L17:L20)</f>
        <v>-0.36679502329937586</v>
      </c>
      <c r="S17" s="8">
        <f>bdrate(C17:C20,F17:F20,J17:J20,M17:M20)</f>
        <v>-0.477999656948084</v>
      </c>
      <c r="T17" s="25">
        <f>bdrate(C17:C20,H17:H20,J17:J20,O17:O20)</f>
        <v>-0.4681339553952365</v>
      </c>
      <c r="U17" s="28">
        <f t="shared" si="2"/>
        <v>0.18675432006010514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29.03</v>
      </c>
      <c r="H18" s="18">
        <f t="shared" si="0"/>
        <v>37.767749999999999</v>
      </c>
      <c r="I18" s="5"/>
      <c r="J18" s="17">
        <v>1577.5696</v>
      </c>
      <c r="K18" s="18">
        <v>37.783499999999997</v>
      </c>
      <c r="L18" s="18">
        <v>41.155299999999997</v>
      </c>
      <c r="M18" s="18">
        <v>42.411299999999997</v>
      </c>
      <c r="N18" s="18">
        <v>36.281199999999998</v>
      </c>
      <c r="O18" s="18">
        <f t="shared" si="1"/>
        <v>38.783449999999995</v>
      </c>
      <c r="P18" s="7"/>
      <c r="Q18" s="10"/>
      <c r="R18" s="11"/>
      <c r="S18" s="11"/>
      <c r="T18" s="26"/>
      <c r="U18" s="28">
        <f t="shared" si="2"/>
        <v>0.2497829831209093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32.18</v>
      </c>
      <c r="H19" s="18">
        <f t="shared" si="0"/>
        <v>36.129374999999996</v>
      </c>
      <c r="I19" s="5"/>
      <c r="J19" s="17">
        <v>978.19920000000002</v>
      </c>
      <c r="K19" s="18">
        <v>36.291699999999999</v>
      </c>
      <c r="L19" s="18">
        <v>40.372199999999999</v>
      </c>
      <c r="M19" s="18">
        <v>41.576799999999999</v>
      </c>
      <c r="N19" s="18">
        <v>41.695599999999999</v>
      </c>
      <c r="O19" s="18">
        <f t="shared" si="1"/>
        <v>37.462400000000002</v>
      </c>
      <c r="P19" s="7"/>
      <c r="Q19" s="10"/>
      <c r="R19" s="11"/>
      <c r="S19" s="11"/>
      <c r="T19" s="26"/>
      <c r="U19" s="28">
        <f t="shared" si="2"/>
        <v>0.29569919204474826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36.369999999999997</v>
      </c>
      <c r="H20" s="20">
        <f t="shared" si="0"/>
        <v>34.179249999999996</v>
      </c>
      <c r="I20" s="5"/>
      <c r="J20" s="19">
        <v>564.72720000000004</v>
      </c>
      <c r="K20" s="20">
        <v>34.512500000000003</v>
      </c>
      <c r="L20" s="20">
        <v>39.656399999999998</v>
      </c>
      <c r="M20" s="20">
        <v>40.89</v>
      </c>
      <c r="N20" s="20">
        <v>49.782200000000003</v>
      </c>
      <c r="O20" s="20">
        <f t="shared" si="1"/>
        <v>35.952674999999999</v>
      </c>
      <c r="P20" s="7"/>
      <c r="Q20" s="13"/>
      <c r="R20" s="14"/>
      <c r="S20" s="14"/>
      <c r="T20" s="27"/>
      <c r="U20" s="28">
        <f t="shared" si="2"/>
        <v>0.36877096508111101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29.93</v>
      </c>
      <c r="H21" s="16">
        <f t="shared" si="0"/>
        <v>36.490875000000003</v>
      </c>
      <c r="I21" s="5"/>
      <c r="J21" s="15">
        <v>2528.5328</v>
      </c>
      <c r="K21" s="16">
        <v>36.0349</v>
      </c>
      <c r="L21" s="16">
        <v>39.933399999999999</v>
      </c>
      <c r="M21" s="16">
        <v>41.166800000000002</v>
      </c>
      <c r="N21" s="16">
        <v>28.332000000000001</v>
      </c>
      <c r="O21" s="16">
        <f t="shared" si="1"/>
        <v>37.163700000000006</v>
      </c>
      <c r="P21" s="7"/>
      <c r="Q21" s="8">
        <f>bdrate(C21:C24,D21:D24,J21:J24,K21:K24)</f>
        <v>-0.46357078157957532</v>
      </c>
      <c r="R21" s="8">
        <f>bdrate(C21:C24,E21:E24,J21:J24,L21:L24)</f>
        <v>-0.56997528827604493</v>
      </c>
      <c r="S21" s="8">
        <f>bdrate(C21:C24,F21:F24,J21:J24,M21:M24)</f>
        <v>-0.57512046344925172</v>
      </c>
      <c r="T21" s="25">
        <f>bdrate(C21:C24,H21:H24,J21:J24,O21:O24)</f>
        <v>-0.48247571911652265</v>
      </c>
      <c r="U21" s="28">
        <f t="shared" si="2"/>
        <v>-5.3391246241229505E-2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33.590000000000003</v>
      </c>
      <c r="H22" s="18">
        <f t="shared" si="0"/>
        <v>35.146250000000002</v>
      </c>
      <c r="I22" s="5"/>
      <c r="J22" s="17">
        <v>1625.6448</v>
      </c>
      <c r="K22" s="18">
        <v>34.7318</v>
      </c>
      <c r="L22" s="18">
        <v>39.109400000000001</v>
      </c>
      <c r="M22" s="18">
        <v>40.323099999999997</v>
      </c>
      <c r="N22" s="18">
        <v>33.8887</v>
      </c>
      <c r="O22" s="18">
        <f t="shared" si="1"/>
        <v>35.977912500000002</v>
      </c>
      <c r="P22" s="7"/>
      <c r="Q22" s="10"/>
      <c r="R22" s="11"/>
      <c r="S22" s="11"/>
      <c r="T22" s="26"/>
      <c r="U22" s="28">
        <f t="shared" si="2"/>
        <v>8.8925275379576237E-3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36.72</v>
      </c>
      <c r="H23" s="18">
        <f t="shared" si="0"/>
        <v>33.599375000000002</v>
      </c>
      <c r="I23" s="5"/>
      <c r="J23" s="17">
        <v>1028.7944</v>
      </c>
      <c r="K23" s="18">
        <v>33.298699999999997</v>
      </c>
      <c r="L23" s="18">
        <v>38.178699999999999</v>
      </c>
      <c r="M23" s="18">
        <v>39.4923</v>
      </c>
      <c r="N23" s="18">
        <v>40.705599999999997</v>
      </c>
      <c r="O23" s="18">
        <f t="shared" si="1"/>
        <v>34.682899999999997</v>
      </c>
      <c r="P23" s="7"/>
      <c r="Q23" s="10"/>
      <c r="R23" s="11"/>
      <c r="S23" s="11"/>
      <c r="T23" s="26"/>
      <c r="U23" s="28">
        <f t="shared" si="2"/>
        <v>0.10854030501089319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39.96</v>
      </c>
      <c r="H24" s="20">
        <f t="shared" si="0"/>
        <v>31.945124999999997</v>
      </c>
      <c r="I24" s="5"/>
      <c r="J24" s="19">
        <v>601.97439999999995</v>
      </c>
      <c r="K24" s="20">
        <v>31.652999999999999</v>
      </c>
      <c r="L24" s="20">
        <v>37.258000000000003</v>
      </c>
      <c r="M24" s="20">
        <v>38.783099999999997</v>
      </c>
      <c r="N24" s="20">
        <v>49.150100000000002</v>
      </c>
      <c r="O24" s="20">
        <f t="shared" si="1"/>
        <v>33.244887500000004</v>
      </c>
      <c r="P24" s="7"/>
      <c r="Q24" s="13"/>
      <c r="R24" s="14"/>
      <c r="S24" s="14"/>
      <c r="T24" s="27"/>
      <c r="U24" s="28">
        <f t="shared" si="2"/>
        <v>0.22998248248248251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34.65</v>
      </c>
      <c r="H25" s="16">
        <f t="shared" si="0"/>
        <v>34.71275</v>
      </c>
      <c r="I25" s="5"/>
      <c r="J25" s="15">
        <v>2410.54</v>
      </c>
      <c r="K25" s="16">
        <v>34.1509</v>
      </c>
      <c r="L25" s="16">
        <v>38.058599999999998</v>
      </c>
      <c r="M25" s="16">
        <v>40.002299999999998</v>
      </c>
      <c r="N25" s="16">
        <v>38.753700000000002</v>
      </c>
      <c r="O25" s="16">
        <f t="shared" si="1"/>
        <v>35.370787499999999</v>
      </c>
      <c r="P25" s="7"/>
      <c r="Q25" s="8">
        <f>bdrate(C25:C28,D25:D28,J25:J28,K25:K28)</f>
        <v>-0.51787024696276251</v>
      </c>
      <c r="R25" s="8">
        <f>bdrate(C25:C28,E25:E28,J25:J28,L25:L28)</f>
        <v>-0.51361326467765789</v>
      </c>
      <c r="S25" s="8">
        <f>bdrate(C25:C28,F25:F28,J25:J28,M25:M28)</f>
        <v>-0.55617833748052847</v>
      </c>
      <c r="T25" s="25">
        <f>bdrate(C25:C28,H25:H28,J25:J28,O25:O28)</f>
        <v>-0.52237901708347512</v>
      </c>
      <c r="U25" s="28">
        <f t="shared" si="2"/>
        <v>0.11843290043290054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37.36</v>
      </c>
      <c r="H26" s="18">
        <f t="shared" si="0"/>
        <v>33.395375000000001</v>
      </c>
      <c r="I26" s="5"/>
      <c r="J26" s="17">
        <v>1606.4744000000001</v>
      </c>
      <c r="K26" s="18">
        <v>32.968899999999998</v>
      </c>
      <c r="L26" s="18">
        <v>37.582700000000003</v>
      </c>
      <c r="M26" s="18">
        <v>39.109299999999998</v>
      </c>
      <c r="N26" s="18">
        <v>46.317700000000002</v>
      </c>
      <c r="O26" s="18">
        <f t="shared" si="1"/>
        <v>34.313175000000001</v>
      </c>
      <c r="P26" s="7"/>
      <c r="Q26" s="10"/>
      <c r="R26" s="11"/>
      <c r="S26" s="11"/>
      <c r="T26" s="26"/>
      <c r="U26" s="28">
        <f t="shared" si="2"/>
        <v>0.23976713062098509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39.76</v>
      </c>
      <c r="H27" s="18">
        <f t="shared" si="0"/>
        <v>31.719874999999998</v>
      </c>
      <c r="I27" s="5"/>
      <c r="J27" s="17">
        <v>1003.2504</v>
      </c>
      <c r="K27" s="18">
        <v>31.454499999999999</v>
      </c>
      <c r="L27" s="18">
        <v>36.967799999999997</v>
      </c>
      <c r="M27" s="18">
        <v>38.049500000000002</v>
      </c>
      <c r="N27" s="18">
        <v>54.507800000000003</v>
      </c>
      <c r="O27" s="18">
        <f t="shared" si="1"/>
        <v>32.968037500000001</v>
      </c>
      <c r="P27" s="7"/>
      <c r="Q27" s="10"/>
      <c r="R27" s="11"/>
      <c r="S27" s="11"/>
      <c r="T27" s="26"/>
      <c r="U27" s="28">
        <f t="shared" si="2"/>
        <v>0.37092052313883317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43.08</v>
      </c>
      <c r="H28" s="20">
        <f t="shared" si="0"/>
        <v>29.742374999999999</v>
      </c>
      <c r="I28" s="5"/>
      <c r="J28" s="19">
        <v>584.47439999999995</v>
      </c>
      <c r="K28" s="20">
        <v>29.704799999999999</v>
      </c>
      <c r="L28" s="20">
        <v>36.213500000000003</v>
      </c>
      <c r="M28" s="20">
        <v>36.888100000000001</v>
      </c>
      <c r="N28" s="20">
        <v>65.677099999999996</v>
      </c>
      <c r="O28" s="20">
        <f t="shared" si="1"/>
        <v>31.4163</v>
      </c>
      <c r="P28" s="7"/>
      <c r="Q28" s="13"/>
      <c r="R28" s="14"/>
      <c r="S28" s="14"/>
      <c r="T28" s="27"/>
      <c r="U28" s="28">
        <f t="shared" si="2"/>
        <v>0.52453806870937791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31.7</v>
      </c>
      <c r="H29" s="16">
        <f t="shared" si="0"/>
        <v>34.315874999999998</v>
      </c>
      <c r="I29" s="5"/>
      <c r="J29" s="29">
        <v>2410.7808</v>
      </c>
      <c r="K29" s="30">
        <v>34.042700000000004</v>
      </c>
      <c r="L29" s="30">
        <v>40.174599999999998</v>
      </c>
      <c r="M29" s="30">
        <v>39.566299999999998</v>
      </c>
      <c r="N29" s="16">
        <v>33.916699999999999</v>
      </c>
      <c r="O29" s="16">
        <f t="shared" si="1"/>
        <v>35.499637500000006</v>
      </c>
      <c r="P29" s="7"/>
      <c r="Q29" s="8">
        <f>bdrate(C29:C32,D29:D32,J29:J32,K29:K32)</f>
        <v>-0.61621678823267168</v>
      </c>
      <c r="R29" s="8">
        <f>bdrate(C29:C32,E29:E32,J29:J32,L29:L32)</f>
        <v>-0.5551255153308321</v>
      </c>
      <c r="S29" s="8">
        <f>bdrate(C29:C32,F29:F32,J29:J32,M29:M32)</f>
        <v>-0.41029063465902449</v>
      </c>
      <c r="T29" s="25">
        <f>bdrate(C29:C32,H29:H32,J29:J32,O29:O32)</f>
        <v>-0.60117993500431677</v>
      </c>
      <c r="U29" s="28">
        <f t="shared" si="2"/>
        <v>6.9927444794952665E-2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34.69</v>
      </c>
      <c r="H30" s="18">
        <f t="shared" si="0"/>
        <v>32.574125000000002</v>
      </c>
      <c r="I30" s="5"/>
      <c r="J30" s="31">
        <v>1604.0927999999999</v>
      </c>
      <c r="K30" s="32">
        <v>32.731000000000002</v>
      </c>
      <c r="L30" s="32">
        <v>39.387799999999999</v>
      </c>
      <c r="M30" s="32">
        <v>38.475900000000003</v>
      </c>
      <c r="N30" s="18">
        <v>40.883099999999999</v>
      </c>
      <c r="O30" s="18">
        <f t="shared" si="1"/>
        <v>34.281212500000002</v>
      </c>
      <c r="P30" s="7"/>
      <c r="Q30" s="10"/>
      <c r="R30" s="11"/>
      <c r="S30" s="11"/>
      <c r="T30" s="26"/>
      <c r="U30" s="28">
        <f t="shared" si="2"/>
        <v>0.17852695301239555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37.4</v>
      </c>
      <c r="H31" s="18">
        <f t="shared" si="0"/>
        <v>30.105875000000001</v>
      </c>
      <c r="I31" s="5"/>
      <c r="J31" s="31">
        <v>1001.3656</v>
      </c>
      <c r="K31" s="32">
        <v>31.089099999999998</v>
      </c>
      <c r="L31" s="32">
        <v>38.358699999999999</v>
      </c>
      <c r="M31" s="32">
        <v>37.0717</v>
      </c>
      <c r="N31" s="18">
        <v>47.623600000000003</v>
      </c>
      <c r="O31" s="18">
        <f t="shared" si="1"/>
        <v>32.745624999999997</v>
      </c>
      <c r="P31" s="7"/>
      <c r="Q31" s="10"/>
      <c r="R31" s="11"/>
      <c r="S31" s="11"/>
      <c r="T31" s="26"/>
      <c r="U31" s="28">
        <f t="shared" si="2"/>
        <v>0.27335828877005364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40.68</v>
      </c>
      <c r="H32" s="20">
        <f t="shared" si="0"/>
        <v>26.78275</v>
      </c>
      <c r="I32" s="5"/>
      <c r="J32" s="33">
        <v>598.44799999999998</v>
      </c>
      <c r="K32" s="34">
        <v>29.2744</v>
      </c>
      <c r="L32" s="34">
        <v>36.717300000000002</v>
      </c>
      <c r="M32" s="34">
        <v>35.413200000000003</v>
      </c>
      <c r="N32" s="20">
        <v>56.5291</v>
      </c>
      <c r="O32" s="20">
        <f t="shared" si="1"/>
        <v>30.972112500000001</v>
      </c>
      <c r="P32" s="7"/>
      <c r="Q32" s="13"/>
      <c r="R32" s="14"/>
      <c r="S32" s="14"/>
      <c r="T32" s="27"/>
      <c r="U32" s="28">
        <f t="shared" si="2"/>
        <v>0.38960422812192724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37.450000000000003</v>
      </c>
      <c r="H33" s="16">
        <f t="shared" si="0"/>
        <v>33.835749999999997</v>
      </c>
      <c r="I33" s="5"/>
      <c r="J33" s="15">
        <v>2435.9920000000002</v>
      </c>
      <c r="K33" s="16">
        <v>33.631700000000002</v>
      </c>
      <c r="L33" s="16">
        <v>39.731000000000002</v>
      </c>
      <c r="M33" s="16">
        <v>42.164900000000003</v>
      </c>
      <c r="N33" s="16">
        <v>41.715899999999998</v>
      </c>
      <c r="O33" s="16">
        <f t="shared" si="1"/>
        <v>35.460762500000001</v>
      </c>
      <c r="P33" s="7"/>
      <c r="Q33" s="8">
        <f>bdrate(C33:C36,D33:D36,J33:J36,K33:K36)</f>
        <v>-0.71976962329740146</v>
      </c>
      <c r="R33" s="8">
        <f>bdrate(C33:C36,E33:E36,J33:J36,L33:L36)</f>
        <v>-0.74615472889970258</v>
      </c>
      <c r="S33" s="8">
        <f>bdrate(C33:C36,F33:F36,J33:J36,M33:M36)</f>
        <v>-0.75346515760063204</v>
      </c>
      <c r="T33" s="25">
        <f>bdrate(C33:C36,H33:H36,J33:J36,O33:O36)</f>
        <v>-0.72292310656084124</v>
      </c>
      <c r="U33" s="28">
        <f t="shared" si="2"/>
        <v>0.11390921228304392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40.06</v>
      </c>
      <c r="H34" s="18">
        <f t="shared" si="0"/>
        <v>32.790750000000003</v>
      </c>
      <c r="I34" s="5"/>
      <c r="J34" s="17">
        <v>1591.7375999999999</v>
      </c>
      <c r="K34" s="18">
        <v>32.899700000000003</v>
      </c>
      <c r="L34" s="18">
        <v>39.244199999999999</v>
      </c>
      <c r="M34" s="18">
        <v>41.773600000000002</v>
      </c>
      <c r="N34" s="18">
        <v>49.562199999999997</v>
      </c>
      <c r="O34" s="18">
        <f t="shared" si="1"/>
        <v>34.802000000000007</v>
      </c>
      <c r="P34" s="7"/>
      <c r="Q34" s="10"/>
      <c r="R34" s="11"/>
      <c r="S34" s="11"/>
      <c r="T34" s="26"/>
      <c r="U34" s="28">
        <f t="shared" si="2"/>
        <v>0.23719920119820256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42.08</v>
      </c>
      <c r="H35" s="18">
        <f t="shared" si="0"/>
        <v>31.268875000000001</v>
      </c>
      <c r="I35" s="5"/>
      <c r="J35" s="17">
        <v>1031.2904000000001</v>
      </c>
      <c r="K35" s="18">
        <v>31.855899999999998</v>
      </c>
      <c r="L35" s="18">
        <v>38.579599999999999</v>
      </c>
      <c r="M35" s="18">
        <v>41.068899999999999</v>
      </c>
      <c r="N35" s="18">
        <v>56.641199999999998</v>
      </c>
      <c r="O35" s="18">
        <f t="shared" si="1"/>
        <v>33.847987500000002</v>
      </c>
      <c r="P35" s="7"/>
      <c r="Q35" s="10"/>
      <c r="R35" s="11"/>
      <c r="S35" s="11"/>
      <c r="T35" s="26"/>
      <c r="U35" s="28">
        <f t="shared" si="2"/>
        <v>0.34603612167300379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44.26</v>
      </c>
      <c r="H36" s="20">
        <f t="shared" si="0"/>
        <v>29.243374999999997</v>
      </c>
      <c r="I36" s="5"/>
      <c r="J36" s="19">
        <v>601.55999999999995</v>
      </c>
      <c r="K36" s="20">
        <v>30.441800000000001</v>
      </c>
      <c r="L36" s="20">
        <v>37.989899999999999</v>
      </c>
      <c r="M36" s="20">
        <v>40.544600000000003</v>
      </c>
      <c r="N36" s="20">
        <v>64.864900000000006</v>
      </c>
      <c r="O36" s="20">
        <f t="shared" si="1"/>
        <v>32.648162499999998</v>
      </c>
      <c r="P36" s="7"/>
      <c r="Q36" s="13"/>
      <c r="R36" s="14"/>
      <c r="S36" s="14"/>
      <c r="T36" s="27"/>
      <c r="U36" s="28">
        <f t="shared" si="2"/>
        <v>0.46554225033890667</v>
      </c>
    </row>
    <row r="37" spans="1:21" x14ac:dyDescent="0.25">
      <c r="A37" s="6" t="s">
        <v>39</v>
      </c>
      <c r="B37" s="6" t="s">
        <v>53</v>
      </c>
      <c r="C37" s="15">
        <v>1568.79</v>
      </c>
      <c r="D37" s="16">
        <v>33.97</v>
      </c>
      <c r="E37" s="16">
        <v>37.331000000000003</v>
      </c>
      <c r="F37" s="16">
        <v>37.174999999999997</v>
      </c>
      <c r="G37" s="16">
        <v>154.08000000000001</v>
      </c>
      <c r="H37" s="16">
        <f t="shared" si="0"/>
        <v>34.790750000000003</v>
      </c>
      <c r="I37" s="5"/>
      <c r="J37" s="15">
        <v>1220.2624000000001</v>
      </c>
      <c r="K37" s="16">
        <v>35.0548</v>
      </c>
      <c r="L37" s="16">
        <v>38.894500000000001</v>
      </c>
      <c r="M37" s="16">
        <v>38.750399999999999</v>
      </c>
      <c r="N37" s="16">
        <v>128.20509999999999</v>
      </c>
      <c r="O37" s="16">
        <f t="shared" si="1"/>
        <v>35.996712500000001</v>
      </c>
      <c r="P37" s="7"/>
      <c r="Q37" s="8">
        <f>bdrate(C37:C40,D37:D40,J37:J40,K37:K40)</f>
        <v>-0.43370570384022722</v>
      </c>
      <c r="R37" s="8">
        <f>bdrate(C37:C40,E37:E40,J37:J40,L37:L40)</f>
        <v>-0.4946036188177606</v>
      </c>
      <c r="S37" s="8">
        <f>bdrate(C37:C40,F37:F40,J37:J40,M37:M40)</f>
        <v>-0.4429386288645516</v>
      </c>
      <c r="T37" s="25">
        <f>bdrate(C37:C40,H37:H40,J37:J40,O37:O40)</f>
        <v>-0.4424649172967634</v>
      </c>
      <c r="U37" s="28">
        <f t="shared" si="2"/>
        <v>-0.16793159397715487</v>
      </c>
    </row>
    <row r="38" spans="1:21" x14ac:dyDescent="0.25">
      <c r="A38" s="9" t="s">
        <v>40</v>
      </c>
      <c r="B38" s="9"/>
      <c r="C38" s="17">
        <v>1046.23</v>
      </c>
      <c r="D38" s="18">
        <v>32.411999999999999</v>
      </c>
      <c r="E38" s="18">
        <v>36.338000000000001</v>
      </c>
      <c r="F38" s="18">
        <v>36.085000000000001</v>
      </c>
      <c r="G38" s="18">
        <v>169.55</v>
      </c>
      <c r="H38" s="18">
        <f t="shared" si="0"/>
        <v>33.361874999999998</v>
      </c>
      <c r="I38" s="5"/>
      <c r="J38" s="17">
        <v>812.54</v>
      </c>
      <c r="K38" s="18">
        <v>33.526200000000003</v>
      </c>
      <c r="L38" s="18">
        <v>37.662300000000002</v>
      </c>
      <c r="M38" s="18">
        <v>37.324399999999997</v>
      </c>
      <c r="N38" s="18">
        <v>154.7988</v>
      </c>
      <c r="O38" s="18">
        <f t="shared" si="1"/>
        <v>34.517987500000004</v>
      </c>
      <c r="P38" s="7"/>
      <c r="Q38" s="10"/>
      <c r="R38" s="11"/>
      <c r="S38" s="11"/>
      <c r="T38" s="26"/>
      <c r="U38" s="28">
        <f t="shared" si="2"/>
        <v>-8.7002064287820757E-2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184.16</v>
      </c>
      <c r="H39" s="18">
        <f t="shared" si="0"/>
        <v>31.652250000000002</v>
      </c>
      <c r="I39" s="5"/>
      <c r="J39" s="17">
        <v>507.09280000000001</v>
      </c>
      <c r="K39" s="18">
        <v>31.7834</v>
      </c>
      <c r="L39" s="18">
        <v>36.296399999999998</v>
      </c>
      <c r="M39" s="18">
        <v>35.799900000000001</v>
      </c>
      <c r="N39" s="18">
        <v>190.76689999999999</v>
      </c>
      <c r="O39" s="18">
        <f t="shared" si="1"/>
        <v>32.849587499999998</v>
      </c>
      <c r="P39" s="7"/>
      <c r="Q39" s="10"/>
      <c r="R39" s="11"/>
      <c r="S39" s="11"/>
      <c r="T39" s="26"/>
      <c r="U39" s="28">
        <f t="shared" si="2"/>
        <v>3.5875868809730649E-2</v>
      </c>
    </row>
    <row r="40" spans="1:21" ht="16.5" thickBot="1" x14ac:dyDescent="0.3">
      <c r="B40" s="12"/>
      <c r="C40" s="19">
        <v>387.63</v>
      </c>
      <c r="D40" s="20">
        <v>28.058</v>
      </c>
      <c r="E40" s="20">
        <v>34.354999999999997</v>
      </c>
      <c r="F40" s="20">
        <v>33.9</v>
      </c>
      <c r="G40" s="20">
        <v>205.42</v>
      </c>
      <c r="H40" s="20">
        <f t="shared" si="0"/>
        <v>29.575375000000001</v>
      </c>
      <c r="I40" s="5"/>
      <c r="J40" s="19">
        <v>303.2208</v>
      </c>
      <c r="K40" s="20">
        <v>29.9025</v>
      </c>
      <c r="L40" s="20">
        <v>34.9437</v>
      </c>
      <c r="M40" s="20">
        <v>34.227699999999999</v>
      </c>
      <c r="N40" s="20">
        <v>240.9639</v>
      </c>
      <c r="O40" s="20">
        <f t="shared" si="1"/>
        <v>31.0733</v>
      </c>
      <c r="P40" s="7"/>
      <c r="Q40" s="13"/>
      <c r="R40" s="14"/>
      <c r="S40" s="14"/>
      <c r="T40" s="27"/>
      <c r="U40" s="28">
        <f t="shared" si="2"/>
        <v>0.17303037678901767</v>
      </c>
    </row>
    <row r="41" spans="1:21" x14ac:dyDescent="0.25">
      <c r="B41" s="6" t="s">
        <v>54</v>
      </c>
      <c r="C41" s="15">
        <v>1580.71</v>
      </c>
      <c r="D41" s="16">
        <v>34.207999999999998</v>
      </c>
      <c r="E41" s="16">
        <v>39.093000000000004</v>
      </c>
      <c r="F41" s="16">
        <v>39.832000000000001</v>
      </c>
      <c r="G41" s="16">
        <v>157.6</v>
      </c>
      <c r="H41" s="16">
        <f t="shared" si="0"/>
        <v>35.521625</v>
      </c>
      <c r="I41" s="5"/>
      <c r="J41" s="15">
        <v>1245.6168</v>
      </c>
      <c r="K41" s="16">
        <v>35.268500000000003</v>
      </c>
      <c r="L41" s="16">
        <v>40.379899999999999</v>
      </c>
      <c r="M41" s="16">
        <v>41.176900000000003</v>
      </c>
      <c r="N41" s="16">
        <v>132.626</v>
      </c>
      <c r="O41" s="16">
        <f t="shared" si="1"/>
        <v>36.645975</v>
      </c>
      <c r="P41" s="7"/>
      <c r="Q41" s="8">
        <f>bdrate(C41:C44,D41:D44,J41:J44,K41:K44)</f>
        <v>-0.4600201809052179</v>
      </c>
      <c r="R41" s="8">
        <f>bdrate(C41:C44,E41:E44,J41:J44,L41:L44)</f>
        <v>-0.50583800551854941</v>
      </c>
      <c r="S41" s="8">
        <f>bdrate(C41:C44,F41:F44,J41:J44,M41:M44)</f>
        <v>-0.4644836186826139</v>
      </c>
      <c r="T41" s="25">
        <f>bdrate(C41:C44,H41:H44,J41:J44,O41:O44)</f>
        <v>-0.46598414861836168</v>
      </c>
      <c r="U41" s="28">
        <f t="shared" ref="U41:U72" si="3">(N41-G41)/G41</f>
        <v>-0.15846446700507608</v>
      </c>
    </row>
    <row r="42" spans="1:21" x14ac:dyDescent="0.25">
      <c r="B42" s="9"/>
      <c r="C42" s="17">
        <v>1054.2</v>
      </c>
      <c r="D42" s="18">
        <v>32.320999999999998</v>
      </c>
      <c r="E42" s="18">
        <v>38.274999999999999</v>
      </c>
      <c r="F42" s="18">
        <v>38.941000000000003</v>
      </c>
      <c r="G42" s="18">
        <v>170.16</v>
      </c>
      <c r="H42" s="18">
        <f t="shared" si="0"/>
        <v>33.892749999999999</v>
      </c>
      <c r="I42" s="5"/>
      <c r="J42" s="17">
        <v>830.6232</v>
      </c>
      <c r="K42" s="18">
        <v>33.721299999999999</v>
      </c>
      <c r="L42" s="18">
        <v>39.381599999999999</v>
      </c>
      <c r="M42" s="18">
        <v>40.011899999999997</v>
      </c>
      <c r="N42" s="18">
        <v>159.5745</v>
      </c>
      <c r="O42" s="18">
        <f t="shared" si="1"/>
        <v>35.215162499999998</v>
      </c>
      <c r="P42" s="7"/>
      <c r="Q42" s="10"/>
      <c r="R42" s="11"/>
      <c r="S42" s="11"/>
      <c r="T42" s="26"/>
      <c r="U42" s="28">
        <f t="shared" si="3"/>
        <v>-6.2209097320169229E-2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183.99</v>
      </c>
      <c r="H43" s="18">
        <f t="shared" si="0"/>
        <v>31.877625000000002</v>
      </c>
      <c r="I43" s="5"/>
      <c r="J43" s="17">
        <v>518.82719999999995</v>
      </c>
      <c r="K43" s="18">
        <v>31.886399999999998</v>
      </c>
      <c r="L43" s="18">
        <v>38.299799999999998</v>
      </c>
      <c r="M43" s="18">
        <v>38.809199999999997</v>
      </c>
      <c r="N43" s="18">
        <v>191.32650000000001</v>
      </c>
      <c r="O43" s="18">
        <f t="shared" si="1"/>
        <v>33.553424999999997</v>
      </c>
      <c r="P43" s="7"/>
      <c r="Q43" s="10"/>
      <c r="R43" s="11"/>
      <c r="S43" s="11"/>
      <c r="T43" s="26"/>
      <c r="U43" s="28">
        <f t="shared" si="3"/>
        <v>3.9874449698353173E-2</v>
      </c>
    </row>
    <row r="44" spans="1:21" ht="16.5" thickBot="1" x14ac:dyDescent="0.3">
      <c r="B44" s="12"/>
      <c r="C44" s="19">
        <v>392.76</v>
      </c>
      <c r="D44" s="20">
        <v>26.841000000000001</v>
      </c>
      <c r="E44" s="20">
        <v>36.460999999999999</v>
      </c>
      <c r="F44" s="20">
        <v>36.945999999999998</v>
      </c>
      <c r="G44" s="20">
        <v>199.27</v>
      </c>
      <c r="H44" s="20">
        <f t="shared" si="0"/>
        <v>29.306625</v>
      </c>
      <c r="I44" s="5"/>
      <c r="J44" s="19">
        <v>310.58960000000002</v>
      </c>
      <c r="K44" s="20">
        <v>29.857199999999999</v>
      </c>
      <c r="L44" s="20">
        <v>37.211100000000002</v>
      </c>
      <c r="M44" s="20">
        <v>37.551200000000001</v>
      </c>
      <c r="N44" s="20">
        <v>237.4357</v>
      </c>
      <c r="O44" s="20">
        <f t="shared" si="1"/>
        <v>31.738187499999995</v>
      </c>
      <c r="P44" s="7"/>
      <c r="Q44" s="13"/>
      <c r="R44" s="14"/>
      <c r="S44" s="14"/>
      <c r="T44" s="27"/>
      <c r="U44" s="28">
        <f t="shared" si="3"/>
        <v>0.19152757565112655</v>
      </c>
    </row>
    <row r="45" spans="1:21" x14ac:dyDescent="0.25">
      <c r="B45" s="6" t="s">
        <v>55</v>
      </c>
      <c r="C45" s="15">
        <v>1444.1</v>
      </c>
      <c r="D45" s="16">
        <v>28.494</v>
      </c>
      <c r="E45" s="16">
        <v>34.881999999999998</v>
      </c>
      <c r="F45" s="16">
        <v>35.540999999999997</v>
      </c>
      <c r="G45" s="16">
        <v>162.71</v>
      </c>
      <c r="H45" s="16">
        <f t="shared" si="0"/>
        <v>30.173375</v>
      </c>
      <c r="I45" s="5"/>
      <c r="J45" s="15">
        <v>1220.4808</v>
      </c>
      <c r="K45" s="16">
        <v>30.36</v>
      </c>
      <c r="L45" s="16">
        <v>36.534700000000001</v>
      </c>
      <c r="M45" s="16">
        <v>37.277700000000003</v>
      </c>
      <c r="N45" s="16">
        <v>119.5886</v>
      </c>
      <c r="O45" s="16">
        <f t="shared" si="1"/>
        <v>31.996550000000003</v>
      </c>
      <c r="P45" s="7"/>
      <c r="Q45" s="8">
        <f>bdrate(C45:C48,D45:D48,J45:J48,K45:K48)</f>
        <v>-0.53569362948352595</v>
      </c>
      <c r="R45" s="8">
        <f>bdrate(C45:C48,E45:E48,J45:J48,L45:L48)</f>
        <v>-0.56262596217139249</v>
      </c>
      <c r="S45" s="8">
        <f>bdrate(C45:C48,F45:F48,J45:J48,M45:M48)</f>
        <v>-0.55927519826701966</v>
      </c>
      <c r="T45" s="25">
        <f>bdrate(C45:C48,H45:H48,J45:J48,O45:O48)</f>
        <v>-0.54230585034946066</v>
      </c>
      <c r="U45" s="28">
        <f t="shared" si="3"/>
        <v>-0.26501997418720424</v>
      </c>
    </row>
    <row r="46" spans="1:21" x14ac:dyDescent="0.25">
      <c r="B46" s="9"/>
      <c r="C46" s="17">
        <v>963.17</v>
      </c>
      <c r="D46" s="18">
        <v>27.161999999999999</v>
      </c>
      <c r="E46" s="18">
        <v>34.426000000000002</v>
      </c>
      <c r="F46" s="18">
        <v>35.122</v>
      </c>
      <c r="G46" s="18">
        <v>178.06</v>
      </c>
      <c r="H46" s="18">
        <f t="shared" si="0"/>
        <v>29.064999999999998</v>
      </c>
      <c r="I46" s="5"/>
      <c r="J46" s="17">
        <v>822.69920000000002</v>
      </c>
      <c r="K46" s="18">
        <v>29.0916</v>
      </c>
      <c r="L46" s="18">
        <v>35.7577</v>
      </c>
      <c r="M46" s="18">
        <v>36.503500000000003</v>
      </c>
      <c r="N46" s="18">
        <v>145.6876</v>
      </c>
      <c r="O46" s="18">
        <f t="shared" si="1"/>
        <v>30.85135</v>
      </c>
      <c r="P46" s="7"/>
      <c r="Q46" s="10"/>
      <c r="R46" s="11"/>
      <c r="S46" s="11"/>
      <c r="T46" s="26"/>
      <c r="U46" s="28">
        <f t="shared" si="3"/>
        <v>-0.18180613276423677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194.25</v>
      </c>
      <c r="H47" s="18">
        <f t="shared" si="0"/>
        <v>27.852999999999998</v>
      </c>
      <c r="I47" s="5"/>
      <c r="J47" s="17">
        <v>513.40560000000005</v>
      </c>
      <c r="K47" s="18">
        <v>27.587399999999999</v>
      </c>
      <c r="L47" s="18">
        <v>34.821100000000001</v>
      </c>
      <c r="M47" s="18">
        <v>35.4863</v>
      </c>
      <c r="N47" s="18">
        <v>182.14940000000001</v>
      </c>
      <c r="O47" s="18">
        <f t="shared" si="1"/>
        <v>29.478974999999998</v>
      </c>
      <c r="P47" s="7"/>
      <c r="Q47" s="10"/>
      <c r="R47" s="11"/>
      <c r="S47" s="11"/>
      <c r="T47" s="26"/>
      <c r="U47" s="28">
        <f t="shared" si="3"/>
        <v>-6.2293951093951021E-2</v>
      </c>
    </row>
    <row r="48" spans="1:21" ht="16.5" thickBot="1" x14ac:dyDescent="0.3">
      <c r="B48" s="12"/>
      <c r="C48" s="19">
        <v>363.15</v>
      </c>
      <c r="D48" s="20">
        <v>24.11</v>
      </c>
      <c r="E48" s="20">
        <v>33.508000000000003</v>
      </c>
      <c r="F48" s="20">
        <v>34.24</v>
      </c>
      <c r="G48" s="20">
        <v>215.15</v>
      </c>
      <c r="H48" s="20">
        <f t="shared" si="0"/>
        <v>26.551000000000002</v>
      </c>
      <c r="I48" s="5"/>
      <c r="J48" s="19">
        <v>308.08319999999998</v>
      </c>
      <c r="K48" s="20">
        <v>26.063800000000001</v>
      </c>
      <c r="L48" s="20">
        <v>33.923499999999997</v>
      </c>
      <c r="M48" s="20">
        <v>34.625399999999999</v>
      </c>
      <c r="N48" s="20">
        <v>225.7336</v>
      </c>
      <c r="O48" s="20">
        <f t="shared" si="1"/>
        <v>28.116462499999997</v>
      </c>
      <c r="P48" s="7"/>
      <c r="Q48" s="13"/>
      <c r="R48" s="14"/>
      <c r="S48" s="14"/>
      <c r="T48" s="27"/>
      <c r="U48" s="28">
        <f t="shared" si="3"/>
        <v>4.9191726702300674E-2</v>
      </c>
    </row>
    <row r="49" spans="1:21" x14ac:dyDescent="0.25">
      <c r="B49" s="6" t="s">
        <v>56</v>
      </c>
      <c r="C49" s="15">
        <v>1439.24</v>
      </c>
      <c r="D49" s="16">
        <v>32.347999999999999</v>
      </c>
      <c r="E49" s="16">
        <v>36.299999999999997</v>
      </c>
      <c r="F49" s="16">
        <v>37.892000000000003</v>
      </c>
      <c r="G49" s="16">
        <v>120.19</v>
      </c>
      <c r="H49" s="16">
        <f t="shared" si="0"/>
        <v>33.534999999999997</v>
      </c>
      <c r="I49" s="5"/>
      <c r="J49" s="15">
        <v>1210.7624000000001</v>
      </c>
      <c r="K49" s="16">
        <v>32.360300000000002</v>
      </c>
      <c r="L49" s="16">
        <v>36.659700000000001</v>
      </c>
      <c r="M49" s="16">
        <v>38.202100000000002</v>
      </c>
      <c r="N49" s="16">
        <v>87.412599999999998</v>
      </c>
      <c r="O49" s="16">
        <f t="shared" si="1"/>
        <v>33.627949999999998</v>
      </c>
      <c r="P49" s="7"/>
      <c r="Q49" s="8">
        <f>bdrate(C49:C52,D49:D52,J49:J52,K49:K52)</f>
        <v>-0.25015228840879944</v>
      </c>
      <c r="R49" s="8">
        <f>bdrate(C49:C52,E49:E52,J49:J52,L49:L52)</f>
        <v>-0.19966925908738065</v>
      </c>
      <c r="S49" s="8">
        <f>bdrate(C49:C52,F49:F52,J49:J52,M49:M52)</f>
        <v>-0.1928727139219395</v>
      </c>
      <c r="T49" s="25">
        <f>bdrate(C49:C52,H49:H52,J49:J52,O49:O52)</f>
        <v>-0.24657910876367051</v>
      </c>
      <c r="U49" s="28">
        <f t="shared" si="3"/>
        <v>-0.27271320409351862</v>
      </c>
    </row>
    <row r="50" spans="1:21" x14ac:dyDescent="0.25">
      <c r="B50" s="9"/>
      <c r="C50" s="17">
        <v>968.91</v>
      </c>
      <c r="D50" s="18">
        <v>30.664000000000001</v>
      </c>
      <c r="E50" s="18">
        <v>35.575000000000003</v>
      </c>
      <c r="F50" s="18">
        <v>37.14</v>
      </c>
      <c r="G50" s="18">
        <v>132.63</v>
      </c>
      <c r="H50" s="18">
        <f t="shared" si="0"/>
        <v>32.087375000000002</v>
      </c>
      <c r="I50" s="5"/>
      <c r="J50" s="17">
        <v>807.14559999999994</v>
      </c>
      <c r="K50" s="18">
        <v>30.853000000000002</v>
      </c>
      <c r="L50" s="18">
        <v>35.754600000000003</v>
      </c>
      <c r="M50" s="18">
        <v>37.293599999999998</v>
      </c>
      <c r="N50" s="18">
        <v>105.0788</v>
      </c>
      <c r="O50" s="18">
        <f t="shared" si="1"/>
        <v>32.270775</v>
      </c>
      <c r="P50" s="7"/>
      <c r="Q50" s="10"/>
      <c r="R50" s="11"/>
      <c r="S50" s="11"/>
      <c r="T50" s="26"/>
      <c r="U50" s="28">
        <f t="shared" si="3"/>
        <v>-0.20772977456080824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144.58000000000001</v>
      </c>
      <c r="H51" s="18">
        <f t="shared" si="0"/>
        <v>30.457999999999998</v>
      </c>
      <c r="I51" s="5"/>
      <c r="J51" s="17">
        <v>503.79840000000002</v>
      </c>
      <c r="K51" s="18">
        <v>29.252500000000001</v>
      </c>
      <c r="L51" s="18">
        <v>34.795400000000001</v>
      </c>
      <c r="M51" s="18">
        <v>36.285299999999999</v>
      </c>
      <c r="N51" s="18">
        <v>129.9264</v>
      </c>
      <c r="O51" s="18">
        <f t="shared" si="1"/>
        <v>30.824462500000003</v>
      </c>
      <c r="P51" s="7"/>
      <c r="Q51" s="10"/>
      <c r="R51" s="11"/>
      <c r="S51" s="11"/>
      <c r="T51" s="26"/>
      <c r="U51" s="28">
        <f t="shared" si="3"/>
        <v>-0.10135288421635089</v>
      </c>
    </row>
    <row r="52" spans="1:21" ht="16.5" thickBot="1" x14ac:dyDescent="0.3">
      <c r="B52" s="12"/>
      <c r="C52" s="19">
        <v>372.42</v>
      </c>
      <c r="D52" s="20">
        <v>26.478000000000002</v>
      </c>
      <c r="E52" s="20">
        <v>33.893999999999998</v>
      </c>
      <c r="F52" s="20">
        <v>35.290999999999997</v>
      </c>
      <c r="G52" s="20">
        <v>164.29</v>
      </c>
      <c r="H52" s="20">
        <f t="shared" si="0"/>
        <v>28.506625</v>
      </c>
      <c r="I52" s="5"/>
      <c r="J52" s="19">
        <v>301.94959999999998</v>
      </c>
      <c r="K52" s="20">
        <v>27.669</v>
      </c>
      <c r="L52" s="20">
        <v>33.7697</v>
      </c>
      <c r="M52" s="20">
        <v>35.154200000000003</v>
      </c>
      <c r="N52" s="20">
        <v>164.29349999999999</v>
      </c>
      <c r="O52" s="20">
        <f t="shared" si="1"/>
        <v>29.367237500000002</v>
      </c>
      <c r="P52" s="7"/>
      <c r="Q52" s="13"/>
      <c r="R52" s="14"/>
      <c r="S52" s="14"/>
      <c r="T52" s="27"/>
      <c r="U52" s="28">
        <f t="shared" si="3"/>
        <v>2.1303792075004573E-5</v>
      </c>
    </row>
    <row r="53" spans="1:21" x14ac:dyDescent="0.25">
      <c r="A53" s="6" t="s">
        <v>41</v>
      </c>
      <c r="B53" s="6" t="s">
        <v>57</v>
      </c>
      <c r="C53" s="15">
        <v>829.64</v>
      </c>
      <c r="D53" s="16">
        <v>34.646999999999998</v>
      </c>
      <c r="E53" s="16">
        <v>38.707000000000001</v>
      </c>
      <c r="F53" s="16">
        <v>37.545000000000002</v>
      </c>
      <c r="G53" s="16">
        <v>493.1</v>
      </c>
      <c r="H53" s="16">
        <f t="shared" si="0"/>
        <v>35.516750000000002</v>
      </c>
      <c r="I53" s="5"/>
      <c r="J53" s="15">
        <v>604.64480000000003</v>
      </c>
      <c r="K53" s="16">
        <v>34.408499999999997</v>
      </c>
      <c r="L53" s="16">
        <v>39.479500000000002</v>
      </c>
      <c r="M53" s="16">
        <v>38.038200000000003</v>
      </c>
      <c r="N53" s="16">
        <v>341.0641</v>
      </c>
      <c r="O53" s="16">
        <f t="shared" si="1"/>
        <v>35.496087499999994</v>
      </c>
      <c r="P53" s="7"/>
      <c r="Q53" s="8">
        <f>bdrate(C53:C56,D53:D56,J53:J56,K53:K56)</f>
        <v>-0.29464430624313831</v>
      </c>
      <c r="R53" s="8">
        <f>bdrate(C53:C56,E53:E56,J53:J56,L53:L56)</f>
        <v>-0.39285268967532982</v>
      </c>
      <c r="S53" s="8">
        <f>bdrate(C53:C56,F53:F56,J53:J56,M53:M56)</f>
        <v>-0.27732814575198073</v>
      </c>
      <c r="T53" s="25">
        <f>bdrate(C53:C56,H53:H56,J53:J56,O53:O56)</f>
        <v>-0.30163527138029067</v>
      </c>
      <c r="U53" s="28">
        <f t="shared" si="3"/>
        <v>-0.30832670857838168</v>
      </c>
    </row>
    <row r="54" spans="1:21" x14ac:dyDescent="0.25">
      <c r="A54" s="9" t="s">
        <v>42</v>
      </c>
      <c r="B54" s="9"/>
      <c r="C54" s="17">
        <v>554.08000000000004</v>
      </c>
      <c r="D54" s="18">
        <v>32.716999999999999</v>
      </c>
      <c r="E54" s="18">
        <v>37.72</v>
      </c>
      <c r="F54" s="18">
        <v>36.356999999999999</v>
      </c>
      <c r="G54" s="18">
        <v>543.48</v>
      </c>
      <c r="H54" s="18">
        <f t="shared" si="0"/>
        <v>33.797375000000002</v>
      </c>
      <c r="I54" s="5"/>
      <c r="J54" s="17">
        <v>405.23759999999999</v>
      </c>
      <c r="K54" s="18">
        <v>32.654000000000003</v>
      </c>
      <c r="L54" s="18">
        <v>38.310400000000001</v>
      </c>
      <c r="M54" s="18">
        <v>36.634700000000002</v>
      </c>
      <c r="N54" s="18">
        <v>395.56959999999998</v>
      </c>
      <c r="O54" s="18">
        <f t="shared" si="1"/>
        <v>33.858637500000007</v>
      </c>
      <c r="P54" s="7"/>
      <c r="Q54" s="10"/>
      <c r="R54" s="11"/>
      <c r="S54" s="11"/>
      <c r="T54" s="26"/>
      <c r="U54" s="28">
        <f t="shared" si="3"/>
        <v>-0.27215426510635171</v>
      </c>
    </row>
    <row r="55" spans="1:21" x14ac:dyDescent="0.25">
      <c r="B55" s="9"/>
      <c r="C55" s="17">
        <v>347.38</v>
      </c>
      <c r="D55" s="18">
        <v>30.584</v>
      </c>
      <c r="E55" s="18">
        <v>36.767000000000003</v>
      </c>
      <c r="F55" s="18">
        <v>35.234999999999999</v>
      </c>
      <c r="G55" s="18">
        <v>582.75</v>
      </c>
      <c r="H55" s="18">
        <f t="shared" si="0"/>
        <v>31.938249999999996</v>
      </c>
      <c r="I55" s="5"/>
      <c r="J55" s="17">
        <v>252.768</v>
      </c>
      <c r="K55" s="18">
        <v>30.719899999999999</v>
      </c>
      <c r="L55" s="18">
        <v>37.159199999999998</v>
      </c>
      <c r="M55" s="18">
        <v>35.203899999999997</v>
      </c>
      <c r="N55" s="18">
        <v>493.09660000000002</v>
      </c>
      <c r="O55" s="18">
        <f t="shared" si="1"/>
        <v>32.085312500000001</v>
      </c>
      <c r="P55" s="7"/>
      <c r="Q55" s="10"/>
      <c r="R55" s="11"/>
      <c r="S55" s="11"/>
      <c r="T55" s="26"/>
      <c r="U55" s="28">
        <f t="shared" si="3"/>
        <v>-0.15384538824538821</v>
      </c>
    </row>
    <row r="56" spans="1:21" ht="16.5" thickBot="1" x14ac:dyDescent="0.3">
      <c r="B56" s="12"/>
      <c r="C56" s="19">
        <v>171.27</v>
      </c>
      <c r="D56" s="20">
        <v>27.294</v>
      </c>
      <c r="E56" s="20">
        <v>35.479999999999997</v>
      </c>
      <c r="F56" s="20">
        <v>33.79</v>
      </c>
      <c r="G56" s="20">
        <v>712.25</v>
      </c>
      <c r="H56" s="20">
        <f t="shared" si="0"/>
        <v>29.129249999999999</v>
      </c>
      <c r="I56" s="5"/>
      <c r="J56" s="19">
        <v>122.0504</v>
      </c>
      <c r="K56" s="20">
        <v>28.009699999999999</v>
      </c>
      <c r="L56" s="20">
        <v>35.534599999999998</v>
      </c>
      <c r="M56" s="20">
        <v>33.142600000000002</v>
      </c>
      <c r="N56" s="20">
        <v>681.19889999999998</v>
      </c>
      <c r="O56" s="20">
        <f t="shared" si="1"/>
        <v>29.591925000000003</v>
      </c>
      <c r="P56" s="7"/>
      <c r="Q56" s="13"/>
      <c r="R56" s="14"/>
      <c r="S56" s="14"/>
      <c r="T56" s="27"/>
      <c r="U56" s="28">
        <f t="shared" si="3"/>
        <v>-4.3595787995788025E-2</v>
      </c>
    </row>
    <row r="57" spans="1:21" x14ac:dyDescent="0.25">
      <c r="B57" s="6" t="s">
        <v>58</v>
      </c>
      <c r="C57" s="15">
        <v>724.53</v>
      </c>
      <c r="D57" s="16">
        <v>30.759</v>
      </c>
      <c r="E57" s="16">
        <v>38.581000000000003</v>
      </c>
      <c r="F57" s="16">
        <v>39.039000000000001</v>
      </c>
      <c r="G57" s="16">
        <v>641.03</v>
      </c>
      <c r="H57" s="16">
        <f t="shared" si="0"/>
        <v>32.771749999999997</v>
      </c>
      <c r="I57" s="5"/>
      <c r="J57" s="15">
        <v>607.4144</v>
      </c>
      <c r="K57" s="16">
        <v>33.652999999999999</v>
      </c>
      <c r="L57" s="16">
        <v>41.198099999999997</v>
      </c>
      <c r="M57" s="16">
        <v>41.986400000000003</v>
      </c>
      <c r="N57" s="16">
        <v>388.34949999999998</v>
      </c>
      <c r="O57" s="16">
        <f t="shared" si="1"/>
        <v>35.637812500000003</v>
      </c>
      <c r="P57" s="7"/>
      <c r="Q57" s="8">
        <f>bdrate(C57:C60,D57:D60,J57:J60,K57:K60)</f>
        <v>-0.67277516475901378</v>
      </c>
      <c r="R57" s="8">
        <f>bdrate(C57:C60,E57:E60,J57:J60,L57:L60)</f>
        <v>-0.77894387314605718</v>
      </c>
      <c r="S57" s="8">
        <f>bdrate(C57:C60,F57:F60,J57:J60,M57:M60)</f>
        <v>-0.79535331865506242</v>
      </c>
      <c r="T57" s="25">
        <f>bdrate(C57:C60,H57:H60,J57:J60,O57:O60)</f>
        <v>-0.69192814682303294</v>
      </c>
      <c r="U57" s="28">
        <f t="shared" si="3"/>
        <v>-0.39417889958348284</v>
      </c>
    </row>
    <row r="58" spans="1:21" x14ac:dyDescent="0.25">
      <c r="B58" s="9"/>
      <c r="C58" s="17">
        <v>482.07</v>
      </c>
      <c r="D58" s="18">
        <v>29.26</v>
      </c>
      <c r="E58" s="18">
        <v>38.130000000000003</v>
      </c>
      <c r="F58" s="18">
        <v>38.415999999999997</v>
      </c>
      <c r="G58" s="18">
        <v>712.59</v>
      </c>
      <c r="H58" s="18">
        <f t="shared" si="0"/>
        <v>31.513249999999999</v>
      </c>
      <c r="I58" s="5"/>
      <c r="J58" s="17">
        <v>405.37279999999998</v>
      </c>
      <c r="K58" s="18">
        <v>32.385399999999997</v>
      </c>
      <c r="L58" s="18">
        <v>40.2864</v>
      </c>
      <c r="M58" s="18">
        <v>41.095399999999998</v>
      </c>
      <c r="N58" s="18">
        <v>487.01299999999998</v>
      </c>
      <c r="O58" s="18">
        <f t="shared" si="1"/>
        <v>34.461774999999996</v>
      </c>
      <c r="P58" s="7"/>
      <c r="Q58" s="10"/>
      <c r="R58" s="11"/>
      <c r="S58" s="11"/>
      <c r="T58" s="26"/>
      <c r="U58" s="28">
        <f t="shared" si="3"/>
        <v>-0.31655931180622804</v>
      </c>
    </row>
    <row r="59" spans="1:21" x14ac:dyDescent="0.25">
      <c r="B59" s="9"/>
      <c r="C59" s="17">
        <v>299.76</v>
      </c>
      <c r="D59" s="18">
        <v>27.693000000000001</v>
      </c>
      <c r="E59" s="18">
        <v>37.697000000000003</v>
      </c>
      <c r="F59" s="18">
        <v>37.893000000000001</v>
      </c>
      <c r="G59" s="18">
        <v>802.14</v>
      </c>
      <c r="H59" s="18">
        <f t="shared" si="0"/>
        <v>30.218500000000002</v>
      </c>
      <c r="I59" s="5"/>
      <c r="J59" s="17">
        <v>251.7296</v>
      </c>
      <c r="K59" s="18">
        <v>30.854900000000001</v>
      </c>
      <c r="L59" s="18">
        <v>39.511499999999998</v>
      </c>
      <c r="M59" s="18">
        <v>40.155900000000003</v>
      </c>
      <c r="N59" s="18">
        <v>630.25210000000004</v>
      </c>
      <c r="O59" s="18">
        <f t="shared" si="1"/>
        <v>33.099599999999995</v>
      </c>
      <c r="P59" s="7"/>
      <c r="Q59" s="10"/>
      <c r="R59" s="11"/>
      <c r="S59" s="11"/>
      <c r="T59" s="26"/>
      <c r="U59" s="28">
        <f t="shared" si="3"/>
        <v>-0.21428665818934345</v>
      </c>
    </row>
    <row r="60" spans="1:21" ht="16.5" thickBot="1" x14ac:dyDescent="0.3">
      <c r="B60" s="12"/>
      <c r="C60" s="19">
        <v>142.36000000000001</v>
      </c>
      <c r="D60" s="20">
        <v>25.417000000000002</v>
      </c>
      <c r="E60" s="20">
        <v>37.161999999999999</v>
      </c>
      <c r="F60" s="20">
        <v>37.145000000000003</v>
      </c>
      <c r="G60" s="20">
        <v>874.64</v>
      </c>
      <c r="H60" s="20">
        <f t="shared" si="0"/>
        <v>28.351125000000003</v>
      </c>
      <c r="I60" s="5"/>
      <c r="J60" s="19">
        <v>121.10080000000001</v>
      </c>
      <c r="K60" s="20">
        <v>28.385300000000001</v>
      </c>
      <c r="L60" s="20">
        <v>38.176200000000001</v>
      </c>
      <c r="M60" s="20">
        <v>38.655900000000003</v>
      </c>
      <c r="N60" s="20">
        <v>873.36239999999998</v>
      </c>
      <c r="O60" s="20">
        <f t="shared" si="1"/>
        <v>30.8929875</v>
      </c>
      <c r="P60" s="7"/>
      <c r="Q60" s="13"/>
      <c r="R60" s="14"/>
      <c r="S60" s="14"/>
      <c r="T60" s="27"/>
      <c r="U60" s="28">
        <f t="shared" si="3"/>
        <v>-1.460715265709328E-3</v>
      </c>
    </row>
    <row r="61" spans="1:21" x14ac:dyDescent="0.25">
      <c r="B61" s="6" t="s">
        <v>59</v>
      </c>
      <c r="C61" s="29">
        <v>815.21</v>
      </c>
      <c r="D61" s="30">
        <v>32.420999999999999</v>
      </c>
      <c r="E61" s="30">
        <v>36.037999999999997</v>
      </c>
      <c r="F61" s="30">
        <v>36.423999999999999</v>
      </c>
      <c r="G61" s="16">
        <v>572.08000000000004</v>
      </c>
      <c r="H61" s="16">
        <f t="shared" si="0"/>
        <v>33.3735</v>
      </c>
      <c r="I61" s="5"/>
      <c r="J61" s="29">
        <v>633.8048</v>
      </c>
      <c r="K61" s="30">
        <v>33.113300000000002</v>
      </c>
      <c r="L61" s="30">
        <v>37.987200000000001</v>
      </c>
      <c r="M61" s="30">
        <v>38.743699999999997</v>
      </c>
      <c r="N61" s="16">
        <v>368.45979999999997</v>
      </c>
      <c r="O61" s="16">
        <f t="shared" si="1"/>
        <v>34.426337500000002</v>
      </c>
      <c r="P61" s="7"/>
      <c r="Q61" s="8">
        <f>bdrate(C61:C64,D61:D64,J61:J64,K61:K64)</f>
        <v>-0.39161782004460188</v>
      </c>
      <c r="R61" s="8">
        <f>bdrate(C61:C64,E61:E64,J61:J64,L61:L64)</f>
        <v>-0.60464916646240918</v>
      </c>
      <c r="S61" s="8">
        <f>bdrate(C61:C64,F61:F64,J61:J64,M61:M64)</f>
        <v>-0.65813578674025297</v>
      </c>
      <c r="T61" s="25">
        <f>bdrate(C61:C64,H61:H64,J61:J64,O61:O64)</f>
        <v>-0.44069725705776364</v>
      </c>
      <c r="U61" s="28">
        <f t="shared" si="3"/>
        <v>-0.35592959026709559</v>
      </c>
    </row>
    <row r="62" spans="1:21" x14ac:dyDescent="0.25">
      <c r="B62" s="9"/>
      <c r="C62" s="31">
        <v>542.24</v>
      </c>
      <c r="D62" s="32">
        <v>30.794</v>
      </c>
      <c r="E62" s="32">
        <v>35.253</v>
      </c>
      <c r="F62" s="32">
        <v>35.704999999999998</v>
      </c>
      <c r="G62" s="18">
        <v>616.52</v>
      </c>
      <c r="H62" s="18">
        <f t="shared" si="0"/>
        <v>31.965249999999997</v>
      </c>
      <c r="I62" s="5"/>
      <c r="J62" s="31">
        <v>422.53199999999998</v>
      </c>
      <c r="K62" s="32">
        <v>31.615400000000001</v>
      </c>
      <c r="L62" s="32">
        <v>36.9758</v>
      </c>
      <c r="M62" s="32">
        <v>37.712699999999998</v>
      </c>
      <c r="N62" s="18">
        <v>451.26350000000002</v>
      </c>
      <c r="O62" s="18">
        <f t="shared" si="1"/>
        <v>33.0476125</v>
      </c>
      <c r="P62" s="7"/>
      <c r="Q62" s="10"/>
      <c r="R62" s="11"/>
      <c r="S62" s="11"/>
      <c r="T62" s="26"/>
      <c r="U62" s="28">
        <f t="shared" si="3"/>
        <v>-0.26804726529552969</v>
      </c>
    </row>
    <row r="63" spans="1:21" x14ac:dyDescent="0.25">
      <c r="B63" s="9"/>
      <c r="C63" s="31">
        <v>337.7</v>
      </c>
      <c r="D63" s="32">
        <v>29.053999999999998</v>
      </c>
      <c r="E63" s="32">
        <v>34.445999999999998</v>
      </c>
      <c r="F63" s="32">
        <v>34.892000000000003</v>
      </c>
      <c r="G63" s="18">
        <v>682.13</v>
      </c>
      <c r="H63" s="18">
        <f t="shared" si="0"/>
        <v>30.457749999999997</v>
      </c>
      <c r="I63" s="5"/>
      <c r="J63" s="31">
        <v>264.32</v>
      </c>
      <c r="K63" s="32">
        <v>29.956800000000001</v>
      </c>
      <c r="L63" s="32">
        <v>35.790700000000001</v>
      </c>
      <c r="M63" s="32">
        <v>36.4998</v>
      </c>
      <c r="N63" s="18">
        <v>552.48620000000005</v>
      </c>
      <c r="O63" s="18">
        <f t="shared" si="1"/>
        <v>31.503912499999998</v>
      </c>
      <c r="P63" s="7"/>
      <c r="Q63" s="10"/>
      <c r="R63" s="11"/>
      <c r="S63" s="11"/>
      <c r="T63" s="26"/>
      <c r="U63" s="28">
        <f t="shared" si="3"/>
        <v>-0.19005732045211315</v>
      </c>
    </row>
    <row r="64" spans="1:21" ht="16.5" thickBot="1" x14ac:dyDescent="0.3">
      <c r="B64" s="12"/>
      <c r="C64" s="33">
        <v>158.97999999999999</v>
      </c>
      <c r="D64" s="34">
        <v>26.510999999999999</v>
      </c>
      <c r="E64" s="34">
        <v>33.54</v>
      </c>
      <c r="F64" s="34">
        <v>34.020000000000003</v>
      </c>
      <c r="G64" s="20">
        <v>782.47</v>
      </c>
      <c r="H64" s="20">
        <f t="shared" si="0"/>
        <v>28.328250000000001</v>
      </c>
      <c r="I64" s="5"/>
      <c r="J64" s="33">
        <v>126.3944</v>
      </c>
      <c r="K64" s="34">
        <v>27.607299999999999</v>
      </c>
      <c r="L64" s="34">
        <v>34.168500000000002</v>
      </c>
      <c r="M64" s="34">
        <v>34.911700000000003</v>
      </c>
      <c r="N64" s="20">
        <v>763.35879999999997</v>
      </c>
      <c r="O64" s="20">
        <f t="shared" si="1"/>
        <v>29.340499999999999</v>
      </c>
      <c r="P64" s="7"/>
      <c r="Q64" s="13"/>
      <c r="R64" s="14"/>
      <c r="S64" s="14"/>
      <c r="T64" s="27"/>
      <c r="U64" s="28">
        <f t="shared" si="3"/>
        <v>-2.4424195176811957E-2</v>
      </c>
    </row>
    <row r="65" spans="1:21" x14ac:dyDescent="0.25">
      <c r="B65" s="6" t="s">
        <v>60</v>
      </c>
      <c r="C65" s="15">
        <v>750.56</v>
      </c>
      <c r="D65" s="16">
        <v>34.469000000000001</v>
      </c>
      <c r="E65" s="16">
        <v>36.965000000000003</v>
      </c>
      <c r="F65" s="16">
        <v>38.04</v>
      </c>
      <c r="G65" s="16">
        <v>392.67</v>
      </c>
      <c r="H65" s="16">
        <f t="shared" si="0"/>
        <v>35.227375000000002</v>
      </c>
      <c r="I65" s="5"/>
      <c r="J65" s="15">
        <v>607.69280000000003</v>
      </c>
      <c r="K65" s="16">
        <v>34.0336</v>
      </c>
      <c r="L65" s="16">
        <v>37.630699999999997</v>
      </c>
      <c r="M65" s="16">
        <v>38.703800000000001</v>
      </c>
      <c r="N65" s="16">
        <v>240.38460000000001</v>
      </c>
      <c r="O65" s="16">
        <f t="shared" si="1"/>
        <v>35.067012499999997</v>
      </c>
      <c r="P65" s="7"/>
      <c r="Q65" s="8">
        <f>bdrate(C65:C68,D65:D68,J65:J68,K65:K68)</f>
        <v>-0.17866686589923442</v>
      </c>
      <c r="R65" s="8">
        <f>bdrate(C65:C68,E65:E68,J65:J68,L65:L68)</f>
        <v>-0.303996044619259</v>
      </c>
      <c r="S65" s="8">
        <f>bdrate(C65:C68,F65:F68,J65:J68,M65:M68)</f>
        <v>-0.28522280013661361</v>
      </c>
      <c r="T65" s="25">
        <f>bdrate(C65:C68,H65:H68,J65:J68,O65:O68)</f>
        <v>-0.19910456729132453</v>
      </c>
      <c r="U65" s="28">
        <f t="shared" si="3"/>
        <v>-0.38782030712812288</v>
      </c>
    </row>
    <row r="66" spans="1:21" x14ac:dyDescent="0.25">
      <c r="B66" s="9"/>
      <c r="C66" s="17">
        <v>501.01</v>
      </c>
      <c r="D66" s="18">
        <v>32.51</v>
      </c>
      <c r="E66" s="18">
        <v>35.942</v>
      </c>
      <c r="F66" s="18">
        <v>37.006</v>
      </c>
      <c r="G66" s="18">
        <v>447.09</v>
      </c>
      <c r="H66" s="18">
        <f t="shared" si="0"/>
        <v>33.501000000000005</v>
      </c>
      <c r="I66" s="5"/>
      <c r="J66" s="17">
        <v>405.37599999999998</v>
      </c>
      <c r="K66" s="18">
        <v>32.250500000000002</v>
      </c>
      <c r="L66" s="18">
        <v>36.466799999999999</v>
      </c>
      <c r="M66" s="18">
        <v>37.532400000000003</v>
      </c>
      <c r="N66" s="18">
        <v>287.0813</v>
      </c>
      <c r="O66" s="18">
        <f t="shared" si="1"/>
        <v>33.437775000000002</v>
      </c>
      <c r="P66" s="7"/>
      <c r="Q66" s="10"/>
      <c r="R66" s="11"/>
      <c r="S66" s="11"/>
      <c r="T66" s="26"/>
      <c r="U66" s="28">
        <f t="shared" si="3"/>
        <v>-0.35788923930304856</v>
      </c>
    </row>
    <row r="67" spans="1:21" x14ac:dyDescent="0.25">
      <c r="B67" s="9"/>
      <c r="C67" s="17">
        <v>314.95</v>
      </c>
      <c r="D67" s="18">
        <v>30.465</v>
      </c>
      <c r="E67" s="18">
        <v>34.914999999999999</v>
      </c>
      <c r="F67" s="18">
        <v>35.945</v>
      </c>
      <c r="G67" s="18">
        <v>493.42</v>
      </c>
      <c r="H67" s="18">
        <f t="shared" si="0"/>
        <v>31.706249999999997</v>
      </c>
      <c r="I67" s="5"/>
      <c r="J67" s="17">
        <v>252.7792</v>
      </c>
      <c r="K67" s="18">
        <v>30.358799999999999</v>
      </c>
      <c r="L67" s="18">
        <v>35.2057</v>
      </c>
      <c r="M67" s="18">
        <v>36.203099999999999</v>
      </c>
      <c r="N67" s="18">
        <v>362.75700000000001</v>
      </c>
      <c r="O67" s="18">
        <f t="shared" si="1"/>
        <v>31.6952</v>
      </c>
      <c r="P67" s="7"/>
      <c r="Q67" s="10"/>
      <c r="R67" s="11"/>
      <c r="S67" s="11"/>
      <c r="T67" s="26"/>
      <c r="U67" s="28">
        <f t="shared" si="3"/>
        <v>-0.26481091159661141</v>
      </c>
    </row>
    <row r="68" spans="1:21" ht="16.5" thickBot="1" x14ac:dyDescent="0.3">
      <c r="B68" s="12"/>
      <c r="C68" s="19">
        <v>150.66999999999999</v>
      </c>
      <c r="D68" s="20">
        <v>27.385000000000002</v>
      </c>
      <c r="E68" s="20">
        <v>33.555</v>
      </c>
      <c r="F68" s="20">
        <v>34.57</v>
      </c>
      <c r="G68" s="20">
        <v>601.20000000000005</v>
      </c>
      <c r="H68" s="20">
        <f t="shared" si="0"/>
        <v>29.054375</v>
      </c>
      <c r="I68" s="5"/>
      <c r="J68" s="19">
        <v>121.55759999999999</v>
      </c>
      <c r="K68" s="20">
        <v>27.873000000000001</v>
      </c>
      <c r="L68" s="20">
        <v>33.6419</v>
      </c>
      <c r="M68" s="20">
        <v>34.488799999999998</v>
      </c>
      <c r="N68" s="20">
        <v>519.9307</v>
      </c>
      <c r="O68" s="20">
        <f t="shared" si="1"/>
        <v>29.421087499999999</v>
      </c>
      <c r="P68" s="7"/>
      <c r="Q68" s="13"/>
      <c r="R68" s="14"/>
      <c r="S68" s="14"/>
      <c r="T68" s="27"/>
      <c r="U68" s="28">
        <f t="shared" si="3"/>
        <v>-0.13517847638057226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77.86</v>
      </c>
      <c r="H69" s="16">
        <f t="shared" si="0"/>
        <v>41.964499999999994</v>
      </c>
      <c r="I69" s="5"/>
      <c r="J69" s="15">
        <v>1527.5424</v>
      </c>
      <c r="K69" s="16">
        <v>41.340800000000002</v>
      </c>
      <c r="L69" s="16">
        <v>45.559899999999999</v>
      </c>
      <c r="M69" s="16">
        <v>46.728099999999998</v>
      </c>
      <c r="N69" s="16">
        <v>104.2209</v>
      </c>
      <c r="O69" s="16">
        <f t="shared" si="1"/>
        <v>42.541599999999995</v>
      </c>
      <c r="P69" s="7"/>
      <c r="Q69" s="8">
        <f>bdrate(C69:C72,D69:D72,J69:J72,K69:K72)</f>
        <v>-0.38027651483494684</v>
      </c>
      <c r="R69" s="8">
        <f>bdrate(C69:C72,E69:E72,J69:J72,L69:L72)</f>
        <v>-0.49187850648091158</v>
      </c>
      <c r="S69" s="8">
        <f>bdrate(C69:C72,F69:F72,J69:J72,M69:M72)</f>
        <v>-0.50925890775133753</v>
      </c>
      <c r="T69" s="25">
        <f>bdrate(C69:C72,H69:H72,J69:J72,O69:O72)</f>
        <v>-0.40455295097475352</v>
      </c>
      <c r="U69" s="28">
        <f t="shared" si="3"/>
        <v>0.33856794246082716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85.67</v>
      </c>
      <c r="H70" s="18">
        <f t="shared" si="0"/>
        <v>40.600625000000001</v>
      </c>
      <c r="I70" s="5"/>
      <c r="J70" s="17">
        <v>1047.5008</v>
      </c>
      <c r="K70" s="18">
        <v>40.206200000000003</v>
      </c>
      <c r="L70" s="18">
        <v>44.533900000000003</v>
      </c>
      <c r="M70" s="18">
        <v>45.6646</v>
      </c>
      <c r="N70" s="18">
        <v>118.3432</v>
      </c>
      <c r="O70" s="18">
        <f t="shared" si="1"/>
        <v>41.429462500000007</v>
      </c>
      <c r="P70" s="7"/>
      <c r="Q70" s="10"/>
      <c r="R70" s="11"/>
      <c r="S70" s="11"/>
      <c r="T70" s="26"/>
      <c r="U70" s="28">
        <f t="shared" si="3"/>
        <v>0.3813843819306641</v>
      </c>
    </row>
    <row r="71" spans="1:21" x14ac:dyDescent="0.25">
      <c r="B71" s="9"/>
      <c r="C71" s="17">
        <v>732.24</v>
      </c>
      <c r="D71" s="18">
        <v>37.136000000000003</v>
      </c>
      <c r="E71" s="18">
        <v>41.820999999999998</v>
      </c>
      <c r="F71" s="18">
        <v>42.643999999999998</v>
      </c>
      <c r="G71" s="18">
        <v>92.24</v>
      </c>
      <c r="H71" s="18">
        <f t="shared" si="0"/>
        <v>38.410125000000008</v>
      </c>
      <c r="I71" s="5"/>
      <c r="J71" s="17">
        <v>574.97519999999997</v>
      </c>
      <c r="K71" s="18">
        <v>38.269799999999996</v>
      </c>
      <c r="L71" s="18">
        <v>43.128799999999998</v>
      </c>
      <c r="M71" s="18">
        <v>44.166899999999998</v>
      </c>
      <c r="N71" s="18">
        <v>139.86009999999999</v>
      </c>
      <c r="O71" s="18">
        <f t="shared" si="1"/>
        <v>39.614312499999997</v>
      </c>
      <c r="P71" s="7"/>
      <c r="Q71" s="10"/>
      <c r="R71" s="11"/>
      <c r="S71" s="11"/>
      <c r="T71" s="26"/>
      <c r="U71" s="28">
        <f t="shared" si="3"/>
        <v>0.51626300954032955</v>
      </c>
    </row>
    <row r="72" spans="1:21" ht="16.5" thickBot="1" x14ac:dyDescent="0.3">
      <c r="B72" s="12"/>
      <c r="C72" s="19">
        <v>359.92</v>
      </c>
      <c r="D72" s="20">
        <v>33.101999999999997</v>
      </c>
      <c r="E72" s="20">
        <v>39.83</v>
      </c>
      <c r="F72" s="20">
        <v>40.780999999999999</v>
      </c>
      <c r="G72" s="20">
        <v>96.88</v>
      </c>
      <c r="H72" s="20">
        <f t="shared" si="0"/>
        <v>34.902874999999995</v>
      </c>
      <c r="I72" s="5"/>
      <c r="J72" s="19">
        <v>277.48</v>
      </c>
      <c r="K72" s="20">
        <v>34.980699999999999</v>
      </c>
      <c r="L72" s="20">
        <v>41.190100000000001</v>
      </c>
      <c r="M72" s="20">
        <v>42.116</v>
      </c>
      <c r="N72" s="20">
        <v>171.6738</v>
      </c>
      <c r="O72" s="20">
        <f t="shared" si="1"/>
        <v>36.648787499999997</v>
      </c>
      <c r="P72" s="7"/>
      <c r="Q72" s="13"/>
      <c r="R72" s="14"/>
      <c r="S72" s="14"/>
      <c r="T72" s="27"/>
      <c r="U72" s="28">
        <f t="shared" si="3"/>
        <v>0.77202518579686219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91.58</v>
      </c>
      <c r="H73" s="16">
        <f t="shared" si="0"/>
        <v>42.983249999999998</v>
      </c>
      <c r="I73" s="5"/>
      <c r="J73" s="15">
        <v>1498.3088</v>
      </c>
      <c r="K73" s="16">
        <v>42.5822</v>
      </c>
      <c r="L73" s="16">
        <v>47.572800000000001</v>
      </c>
      <c r="M73" s="16">
        <v>48.221800000000002</v>
      </c>
      <c r="N73" s="16">
        <v>114.1335</v>
      </c>
      <c r="O73" s="16">
        <f t="shared" si="1"/>
        <v>43.910975000000008</v>
      </c>
      <c r="P73" s="7"/>
      <c r="Q73" s="8">
        <f>bdrate(C73:C76,D73:D76,J73:J76,K73:K76)</f>
        <v>-0.58157180347485449</v>
      </c>
      <c r="R73" s="8">
        <f>bdrate(C73:C76,E73:E76,J73:J76,L73:L76)</f>
        <v>-0.6767697381874096</v>
      </c>
      <c r="S73" s="8">
        <f>bdrate(C73:C76,F73:F76,J73:J76,M73:M76)</f>
        <v>-0.69320307369628997</v>
      </c>
      <c r="T73" s="25">
        <f>bdrate(C73:C76,H73:H76,J73:J76,O73:O76)</f>
        <v>-0.60914062186520079</v>
      </c>
      <c r="U73" s="28">
        <f t="shared" ref="U73:U80" si="4">(N73-G73)/G73</f>
        <v>0.2462710198733348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96.65</v>
      </c>
      <c r="H74" s="18">
        <f t="shared" si="0"/>
        <v>42.104875</v>
      </c>
      <c r="I74" s="5"/>
      <c r="J74" s="17">
        <v>993.71199999999999</v>
      </c>
      <c r="K74" s="18">
        <v>42.031100000000002</v>
      </c>
      <c r="L74" s="18">
        <v>47.080399999999997</v>
      </c>
      <c r="M74" s="18">
        <v>47.726300000000002</v>
      </c>
      <c r="N74" s="18">
        <v>134.9528</v>
      </c>
      <c r="O74" s="18">
        <f t="shared" si="1"/>
        <v>43.374162499999997</v>
      </c>
      <c r="P74" s="7"/>
      <c r="Q74" s="10"/>
      <c r="R74" s="11"/>
      <c r="S74" s="11"/>
      <c r="T74" s="26"/>
      <c r="U74" s="28">
        <f t="shared" si="4"/>
        <v>0.39630419037765119</v>
      </c>
    </row>
    <row r="75" spans="1:21" x14ac:dyDescent="0.25">
      <c r="B75" s="9"/>
      <c r="C75" s="17">
        <v>763.97</v>
      </c>
      <c r="D75" s="18">
        <v>39.436</v>
      </c>
      <c r="E75" s="18">
        <v>43.892000000000003</v>
      </c>
      <c r="F75" s="18">
        <v>44.542000000000002</v>
      </c>
      <c r="G75" s="18">
        <v>99.9</v>
      </c>
      <c r="H75" s="18">
        <f t="shared" si="0"/>
        <v>40.631249999999994</v>
      </c>
      <c r="I75" s="5"/>
      <c r="J75" s="17">
        <v>591.65120000000002</v>
      </c>
      <c r="K75" s="18">
        <v>41.087899999999998</v>
      </c>
      <c r="L75" s="18">
        <v>46.08</v>
      </c>
      <c r="M75" s="18">
        <v>46.660200000000003</v>
      </c>
      <c r="N75" s="18">
        <v>154.4402</v>
      </c>
      <c r="O75" s="18">
        <f t="shared" si="1"/>
        <v>42.408450000000002</v>
      </c>
      <c r="P75" s="7"/>
      <c r="Q75" s="10"/>
      <c r="R75" s="11"/>
      <c r="S75" s="11"/>
      <c r="T75" s="26"/>
      <c r="U75" s="28">
        <f t="shared" si="4"/>
        <v>0.54594794794794788</v>
      </c>
    </row>
    <row r="76" spans="1:21" ht="16.5" thickBot="1" x14ac:dyDescent="0.3">
      <c r="B76" s="12"/>
      <c r="C76" s="19">
        <v>363.8</v>
      </c>
      <c r="D76" s="20">
        <v>36.256</v>
      </c>
      <c r="E76" s="20">
        <v>41.716000000000001</v>
      </c>
      <c r="F76" s="20">
        <v>42.48</v>
      </c>
      <c r="G76" s="20">
        <v>108.34</v>
      </c>
      <c r="H76" s="20">
        <f t="shared" si="0"/>
        <v>37.716500000000003</v>
      </c>
      <c r="I76" s="5"/>
      <c r="J76" s="19">
        <v>284.4128</v>
      </c>
      <c r="K76" s="20">
        <v>39.1736</v>
      </c>
      <c r="L76" s="20">
        <v>44.2804</v>
      </c>
      <c r="M76" s="20">
        <v>44.874499999999998</v>
      </c>
      <c r="N76" s="20">
        <v>181.4333</v>
      </c>
      <c r="O76" s="20">
        <f t="shared" si="1"/>
        <v>40.524562500000002</v>
      </c>
      <c r="P76" s="7"/>
      <c r="Q76" s="13"/>
      <c r="R76" s="14"/>
      <c r="S76" s="14"/>
      <c r="T76" s="27"/>
      <c r="U76" s="28">
        <f t="shared" si="4"/>
        <v>0.67466586671589435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84.16</v>
      </c>
      <c r="H77" s="16">
        <f t="shared" si="0"/>
        <v>42.834249999999997</v>
      </c>
      <c r="I77" s="5"/>
      <c r="J77" s="15">
        <v>1556.9608000000001</v>
      </c>
      <c r="K77" s="16">
        <v>42.451000000000001</v>
      </c>
      <c r="L77" s="16">
        <v>46.691800000000001</v>
      </c>
      <c r="M77" s="16">
        <v>47.545099999999998</v>
      </c>
      <c r="N77" s="16">
        <v>102.5641</v>
      </c>
      <c r="O77" s="16">
        <f t="shared" si="1"/>
        <v>43.617862500000001</v>
      </c>
      <c r="P77" s="7"/>
      <c r="Q77" s="8">
        <f>bdrate(C77:C80,D77:D80,J77:J80,K77:K80)</f>
        <v>-0.50996596617252066</v>
      </c>
      <c r="R77" s="8">
        <f>bdrate(C77:C80,E77:E80,J77:J80,L77:L80)</f>
        <v>-0.58872751449734284</v>
      </c>
      <c r="S77" s="8">
        <f>bdrate(C77:C80,F77:F80,J77:J80,M77:M80)</f>
        <v>-0.60070890915682529</v>
      </c>
      <c r="T77" s="25">
        <f>bdrate(C77:C80,H77:H80,J77:J80,O77:O80)</f>
        <v>-0.53012915717917486</v>
      </c>
      <c r="U77" s="28">
        <f t="shared" si="4"/>
        <v>0.21867989543726235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89.65</v>
      </c>
      <c r="H78" s="18">
        <f t="shared" si="0"/>
        <v>41.650750000000002</v>
      </c>
      <c r="I78" s="5"/>
      <c r="J78" s="17">
        <v>1022.8288</v>
      </c>
      <c r="K78" s="18">
        <v>41.576900000000002</v>
      </c>
      <c r="L78" s="18">
        <v>45.836500000000001</v>
      </c>
      <c r="M78" s="18">
        <v>46.656700000000001</v>
      </c>
      <c r="N78" s="18">
        <v>119.8083</v>
      </c>
      <c r="O78" s="18">
        <f t="shared" si="1"/>
        <v>42.744325000000003</v>
      </c>
      <c r="P78" s="7"/>
      <c r="Q78" s="10"/>
      <c r="R78" s="11"/>
      <c r="S78" s="11"/>
      <c r="T78" s="26"/>
      <c r="U78" s="28">
        <f t="shared" si="4"/>
        <v>0.33640044617958725</v>
      </c>
    </row>
    <row r="79" spans="1:21" x14ac:dyDescent="0.25">
      <c r="B79" s="9"/>
      <c r="C79" s="17">
        <v>810.07</v>
      </c>
      <c r="D79" s="18">
        <v>38.584000000000003</v>
      </c>
      <c r="E79" s="18">
        <v>42.64</v>
      </c>
      <c r="F79" s="18">
        <v>43.381999999999998</v>
      </c>
      <c r="G79" s="18">
        <v>97.13</v>
      </c>
      <c r="H79" s="18">
        <f t="shared" si="0"/>
        <v>39.690750000000001</v>
      </c>
      <c r="I79" s="5"/>
      <c r="J79" s="17">
        <v>601.59439999999995</v>
      </c>
      <c r="K79" s="18">
        <v>40.153599999999997</v>
      </c>
      <c r="L79" s="18">
        <v>44.476700000000001</v>
      </c>
      <c r="M79" s="18">
        <v>45.231499999999997</v>
      </c>
      <c r="N79" s="18">
        <v>138.8246</v>
      </c>
      <c r="O79" s="18">
        <f t="shared" si="1"/>
        <v>41.328724999999999</v>
      </c>
      <c r="P79" s="7"/>
      <c r="Q79" s="10"/>
      <c r="R79" s="11"/>
      <c r="S79" s="11"/>
      <c r="T79" s="26"/>
      <c r="U79" s="28">
        <f t="shared" si="4"/>
        <v>0.42926593225573983</v>
      </c>
    </row>
    <row r="80" spans="1:21" ht="16.5" thickBot="1" x14ac:dyDescent="0.3">
      <c r="B80" s="12"/>
      <c r="C80" s="19">
        <v>395.95</v>
      </c>
      <c r="D80" s="20">
        <v>34.945999999999998</v>
      </c>
      <c r="E80" s="20">
        <v>40.542999999999999</v>
      </c>
      <c r="F80" s="20">
        <v>41.222999999999999</v>
      </c>
      <c r="G80" s="20">
        <v>103.11</v>
      </c>
      <c r="H80" s="20">
        <f t="shared" si="0"/>
        <v>36.430250000000001</v>
      </c>
      <c r="I80" s="5"/>
      <c r="J80" s="19">
        <v>295.072</v>
      </c>
      <c r="K80" s="20">
        <v>37.617800000000003</v>
      </c>
      <c r="L80" s="20">
        <v>42.637599999999999</v>
      </c>
      <c r="M80" s="20">
        <v>43.361199999999997</v>
      </c>
      <c r="N80" s="20">
        <v>165.74590000000001</v>
      </c>
      <c r="O80" s="20">
        <f t="shared" si="1"/>
        <v>38.963200000000001</v>
      </c>
      <c r="P80" s="7"/>
      <c r="Q80" s="13"/>
      <c r="R80" s="14"/>
      <c r="S80" s="14"/>
      <c r="T80" s="27"/>
      <c r="U80" s="28">
        <f t="shared" si="4"/>
        <v>0.60746678304723123</v>
      </c>
    </row>
    <row r="81" spans="1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-0.46377798223453465</v>
      </c>
      <c r="R81" s="21">
        <f>AVERAGE(R9:R80)</f>
        <v>-0.50904183111746093</v>
      </c>
      <c r="S81" s="21">
        <f>AVERAGE(S9:S80)</f>
        <v>-0.50730820775458252</v>
      </c>
      <c r="T81" s="21">
        <f>AVERAGE(T9:T80)</f>
        <v>-0.47438798498665263</v>
      </c>
      <c r="U81" s="21">
        <f>AVERAGE(U9:U80)</f>
        <v>7.9879757268138507E-2</v>
      </c>
    </row>
    <row r="83" spans="1:21" s="35" customFormat="1" ht="15.75" customHeight="1" x14ac:dyDescent="0.25">
      <c r="B83" s="56" t="s">
        <v>29</v>
      </c>
      <c r="C83" s="58" t="s">
        <v>90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60"/>
    </row>
    <row r="84" spans="1:21" s="35" customFormat="1" x14ac:dyDescent="0.25">
      <c r="B84" s="57"/>
      <c r="C84" s="61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3"/>
    </row>
    <row r="85" spans="1:21" ht="16.5" customHeight="1" thickBot="1" x14ac:dyDescent="0.3">
      <c r="C85" s="64" t="s">
        <v>102</v>
      </c>
      <c r="D85" s="65"/>
      <c r="E85" s="65"/>
      <c r="F85" s="65"/>
      <c r="G85" s="65"/>
      <c r="H85" s="65"/>
      <c r="I85" s="5"/>
      <c r="J85" s="64" t="s">
        <v>98</v>
      </c>
      <c r="K85" s="65"/>
      <c r="L85" s="65"/>
      <c r="M85" s="65"/>
      <c r="N85" s="65"/>
      <c r="O85" s="65"/>
      <c r="Q85" s="64" t="s">
        <v>7</v>
      </c>
      <c r="R85" s="65"/>
      <c r="S85" s="66"/>
      <c r="T85" s="36"/>
      <c r="U85" s="67" t="s">
        <v>45</v>
      </c>
    </row>
    <row r="86" spans="1:21" ht="16.5" thickBot="1" x14ac:dyDescent="0.3">
      <c r="C86" s="2" t="s">
        <v>64</v>
      </c>
      <c r="D86" s="3" t="s">
        <v>30</v>
      </c>
      <c r="E86" s="3" t="s">
        <v>31</v>
      </c>
      <c r="F86" s="3" t="s">
        <v>32</v>
      </c>
      <c r="G86" s="3" t="s">
        <v>33</v>
      </c>
      <c r="H86" s="3" t="s">
        <v>34</v>
      </c>
      <c r="I86" s="1"/>
      <c r="J86" s="2" t="s">
        <v>64</v>
      </c>
      <c r="K86" s="3" t="s">
        <v>30</v>
      </c>
      <c r="L86" s="3" t="s">
        <v>31</v>
      </c>
      <c r="M86" s="3" t="s">
        <v>32</v>
      </c>
      <c r="N86" s="3" t="s">
        <v>33</v>
      </c>
      <c r="O86" s="3" t="s">
        <v>34</v>
      </c>
      <c r="Q86" s="2" t="s">
        <v>4</v>
      </c>
      <c r="R86" s="3" t="s">
        <v>5</v>
      </c>
      <c r="S86" s="4" t="s">
        <v>6</v>
      </c>
      <c r="T86" s="24" t="s">
        <v>21</v>
      </c>
      <c r="U86" s="67"/>
    </row>
    <row r="87" spans="1:21" x14ac:dyDescent="0.25">
      <c r="A87" s="6" t="s">
        <v>35</v>
      </c>
      <c r="B87" s="6" t="s">
        <v>46</v>
      </c>
      <c r="C87" s="15">
        <v>5906.76</v>
      </c>
      <c r="D87" s="16">
        <v>36.969000000000001</v>
      </c>
      <c r="E87" s="16">
        <v>38.771000000000001</v>
      </c>
      <c r="F87" s="16">
        <v>41.063000000000002</v>
      </c>
      <c r="G87" s="16">
        <v>48.06</v>
      </c>
      <c r="H87" s="16">
        <f t="shared" ref="H87:H158" si="5">(6*D87+E87+F87)/8</f>
        <v>37.706000000000003</v>
      </c>
      <c r="I87" s="5"/>
      <c r="J87" s="15">
        <v>4033.5839999999998</v>
      </c>
      <c r="K87" s="16">
        <v>37.908000000000001</v>
      </c>
      <c r="L87" s="16">
        <v>39.450899999999997</v>
      </c>
      <c r="M87" s="16">
        <v>41.926600000000001</v>
      </c>
      <c r="N87" s="16">
        <v>34.090899999999998</v>
      </c>
      <c r="O87" s="16">
        <f t="shared" ref="O87:O158" si="6">(6*K87+L87+M87)/8</f>
        <v>38.603187500000004</v>
      </c>
      <c r="P87" s="7"/>
      <c r="Q87" s="8">
        <f>bdrate(C87:C90,D87:D90,J87:J90,K87:K90)</f>
        <v>-0.48907972397766486</v>
      </c>
      <c r="R87" s="8">
        <f>bdrate(C87:C90,E87:E90,J87:J90,L87:L90)</f>
        <v>-0.49147562725750138</v>
      </c>
      <c r="S87" s="8">
        <f>bdrate(C87:C90,F87:F90,J87:J90,M87:M90)</f>
        <v>-0.50204283399169325</v>
      </c>
      <c r="T87" s="25">
        <f>bdrate(C87:C90,H87:H90,J87:J90,O87:O90)</f>
        <v>-0.49063570730342898</v>
      </c>
      <c r="U87" s="28">
        <f t="shared" ref="U87:U118" si="7">(N87-G87)/G87</f>
        <v>-0.29065959217644621</v>
      </c>
    </row>
    <row r="88" spans="1:21" x14ac:dyDescent="0.25">
      <c r="A88" s="9" t="s">
        <v>36</v>
      </c>
      <c r="B88" s="9"/>
      <c r="C88" s="17">
        <v>4362.6899999999996</v>
      </c>
      <c r="D88" s="18">
        <v>35.905999999999999</v>
      </c>
      <c r="E88" s="18">
        <v>38.317999999999998</v>
      </c>
      <c r="F88" s="18">
        <v>40.582000000000001</v>
      </c>
      <c r="G88" s="18">
        <v>53.13</v>
      </c>
      <c r="H88" s="18">
        <f t="shared" si="5"/>
        <v>36.791999999999994</v>
      </c>
      <c r="I88" s="5"/>
      <c r="J88" s="17">
        <v>2926.1424000000002</v>
      </c>
      <c r="K88" s="18">
        <v>36.890500000000003</v>
      </c>
      <c r="L88" s="18">
        <v>38.853200000000001</v>
      </c>
      <c r="M88" s="18">
        <v>41.206400000000002</v>
      </c>
      <c r="N88" s="18">
        <v>52.228400000000001</v>
      </c>
      <c r="O88" s="18">
        <f t="shared" si="6"/>
        <v>37.675325000000001</v>
      </c>
      <c r="P88" s="7"/>
      <c r="Q88" s="10"/>
      <c r="R88" s="11"/>
      <c r="S88" s="11"/>
      <c r="T88" s="26"/>
      <c r="U88" s="28">
        <f t="shared" si="7"/>
        <v>-1.6969696969697006E-2</v>
      </c>
    </row>
    <row r="89" spans="1:21" x14ac:dyDescent="0.25">
      <c r="B89" s="9"/>
      <c r="C89" s="17">
        <v>2859.46</v>
      </c>
      <c r="D89" s="18">
        <v>34.274999999999999</v>
      </c>
      <c r="E89" s="18">
        <v>37.656999999999996</v>
      </c>
      <c r="F89" s="18">
        <v>39.887999999999998</v>
      </c>
      <c r="G89" s="18">
        <v>55.25</v>
      </c>
      <c r="H89" s="18">
        <f t="shared" si="5"/>
        <v>35.399374999999992</v>
      </c>
      <c r="I89" s="5"/>
      <c r="J89" s="17">
        <v>1935.2431999999999</v>
      </c>
      <c r="K89" s="18">
        <v>35.32</v>
      </c>
      <c r="L89" s="18">
        <v>38.158499999999997</v>
      </c>
      <c r="M89" s="18">
        <v>40.453600000000002</v>
      </c>
      <c r="N89" s="18">
        <v>60.851900000000001</v>
      </c>
      <c r="O89" s="18">
        <f t="shared" si="6"/>
        <v>36.316512500000002</v>
      </c>
      <c r="P89" s="7"/>
      <c r="Q89" s="10"/>
      <c r="R89" s="11"/>
      <c r="S89" s="11"/>
      <c r="T89" s="26"/>
      <c r="U89" s="28">
        <f t="shared" si="7"/>
        <v>0.10139185520361992</v>
      </c>
    </row>
    <row r="90" spans="1:21" ht="16.5" thickBot="1" x14ac:dyDescent="0.3">
      <c r="B90" s="12"/>
      <c r="C90" s="19">
        <v>1390.8</v>
      </c>
      <c r="D90" s="20">
        <v>30.922000000000001</v>
      </c>
      <c r="E90" s="20">
        <v>36.572000000000003</v>
      </c>
      <c r="F90" s="20">
        <v>38.728000000000002</v>
      </c>
      <c r="G90" s="20">
        <v>57.23</v>
      </c>
      <c r="H90" s="20">
        <f t="shared" si="5"/>
        <v>32.603999999999999</v>
      </c>
      <c r="I90" s="5"/>
      <c r="J90" s="19">
        <v>914.3664</v>
      </c>
      <c r="K90" s="20">
        <v>32.388500000000001</v>
      </c>
      <c r="L90" s="20">
        <v>36.801400000000001</v>
      </c>
      <c r="M90" s="20">
        <v>39.015700000000002</v>
      </c>
      <c r="N90" s="20">
        <v>71.701700000000002</v>
      </c>
      <c r="O90" s="20">
        <f t="shared" si="6"/>
        <v>33.7685125</v>
      </c>
      <c r="P90" s="7"/>
      <c r="Q90" s="13"/>
      <c r="R90" s="14"/>
      <c r="S90" s="14"/>
      <c r="T90" s="27"/>
      <c r="U90" s="28">
        <f t="shared" si="7"/>
        <v>0.25286912458500799</v>
      </c>
    </row>
    <row r="91" spans="1:21" x14ac:dyDescent="0.25">
      <c r="B91" s="6" t="s">
        <v>47</v>
      </c>
      <c r="C91" s="15">
        <v>6656.77</v>
      </c>
      <c r="D91" s="16">
        <v>28.562999999999999</v>
      </c>
      <c r="E91" s="16">
        <v>39.088000000000001</v>
      </c>
      <c r="F91" s="16">
        <v>39.884999999999998</v>
      </c>
      <c r="G91" s="16">
        <v>45.14</v>
      </c>
      <c r="H91" s="16">
        <f t="shared" si="5"/>
        <v>31.293874999999996</v>
      </c>
      <c r="I91" s="5"/>
      <c r="J91" s="15">
        <v>4071.3712</v>
      </c>
      <c r="K91" s="16">
        <v>29.166899999999998</v>
      </c>
      <c r="L91" s="16">
        <v>39.188299999999998</v>
      </c>
      <c r="M91" s="16">
        <v>40.148200000000003</v>
      </c>
      <c r="N91" s="16">
        <v>28.868400000000001</v>
      </c>
      <c r="O91" s="16">
        <f t="shared" si="6"/>
        <v>31.792237499999999</v>
      </c>
      <c r="P91" s="7"/>
      <c r="Q91" s="8">
        <f>bdrate(C91:C94,D91:D94,J91:J94,K91:K94)</f>
        <v>-0.50659808590464528</v>
      </c>
      <c r="R91" s="8">
        <f>bdrate(C91:C94,E91:E94,J91:J94,L91:L94)</f>
        <v>-0.4053953043034968</v>
      </c>
      <c r="S91" s="8">
        <f>bdrate(C91:C94,F91:F94,J91:J94,M91:M94)</f>
        <v>-0.4539178442522398</v>
      </c>
      <c r="T91" s="25">
        <f>bdrate(C91:C94,H91:H94,J91:J94,O91:O94)</f>
        <v>-0.49859695796569115</v>
      </c>
      <c r="U91" s="28">
        <f t="shared" si="7"/>
        <v>-0.3604696499778467</v>
      </c>
    </row>
    <row r="92" spans="1:21" x14ac:dyDescent="0.25">
      <c r="B92" s="9"/>
      <c r="C92" s="17">
        <v>4995.1000000000004</v>
      </c>
      <c r="D92" s="18">
        <v>27.12</v>
      </c>
      <c r="E92" s="18">
        <v>38.566000000000003</v>
      </c>
      <c r="F92" s="18">
        <v>39.484000000000002</v>
      </c>
      <c r="G92" s="18">
        <v>49.57</v>
      </c>
      <c r="H92" s="18">
        <f t="shared" si="5"/>
        <v>30.096250000000001</v>
      </c>
      <c r="I92" s="5"/>
      <c r="J92" s="17">
        <v>3038.8047999999999</v>
      </c>
      <c r="K92" s="18">
        <v>27.869599999999998</v>
      </c>
      <c r="L92" s="18">
        <v>38.711799999999997</v>
      </c>
      <c r="M92" s="18">
        <v>39.7301</v>
      </c>
      <c r="N92" s="18">
        <v>43.314999999999998</v>
      </c>
      <c r="O92" s="18">
        <f t="shared" si="6"/>
        <v>30.707437499999997</v>
      </c>
      <c r="P92" s="7"/>
      <c r="Q92" s="10"/>
      <c r="R92" s="11"/>
      <c r="S92" s="11"/>
      <c r="T92" s="26"/>
      <c r="U92" s="28">
        <f t="shared" si="7"/>
        <v>-0.12618519265684894</v>
      </c>
    </row>
    <row r="93" spans="1:21" x14ac:dyDescent="0.25">
      <c r="B93" s="9"/>
      <c r="C93" s="17">
        <v>3210.31</v>
      </c>
      <c r="D93" s="18">
        <v>24.861999999999998</v>
      </c>
      <c r="E93" s="18">
        <v>37.792000000000002</v>
      </c>
      <c r="F93" s="18">
        <v>38.747</v>
      </c>
      <c r="G93" s="18">
        <v>54.33</v>
      </c>
      <c r="H93" s="18">
        <f t="shared" si="5"/>
        <v>28.213875000000002</v>
      </c>
      <c r="I93" s="5"/>
      <c r="J93" s="17">
        <v>2053.7936</v>
      </c>
      <c r="K93" s="18">
        <v>26.144200000000001</v>
      </c>
      <c r="L93" s="18">
        <v>37.872300000000003</v>
      </c>
      <c r="M93" s="18">
        <v>39.0246</v>
      </c>
      <c r="N93" s="18">
        <v>49.051699999999997</v>
      </c>
      <c r="O93" s="18">
        <f t="shared" si="6"/>
        <v>29.2202625</v>
      </c>
      <c r="P93" s="7"/>
      <c r="Q93" s="10"/>
      <c r="R93" s="11"/>
      <c r="S93" s="11"/>
      <c r="T93" s="26"/>
      <c r="U93" s="28">
        <f t="shared" si="7"/>
        <v>-9.7152586048223855E-2</v>
      </c>
    </row>
    <row r="94" spans="1:21" ht="16.5" thickBot="1" x14ac:dyDescent="0.3">
      <c r="B94" s="12"/>
      <c r="C94" s="19">
        <v>1786.27</v>
      </c>
      <c r="D94" s="20">
        <v>22.268000000000001</v>
      </c>
      <c r="E94" s="20">
        <v>35.76</v>
      </c>
      <c r="F94" s="20">
        <v>36.933</v>
      </c>
      <c r="G94" s="20">
        <v>57.23</v>
      </c>
      <c r="H94" s="20">
        <f t="shared" si="5"/>
        <v>25.787624999999998</v>
      </c>
      <c r="I94" s="5"/>
      <c r="J94" s="19">
        <v>1223.136</v>
      </c>
      <c r="K94" s="20">
        <v>24.307300000000001</v>
      </c>
      <c r="L94" s="20">
        <v>36.542099999999998</v>
      </c>
      <c r="M94" s="20">
        <v>37.774799999999999</v>
      </c>
      <c r="N94" s="20">
        <v>58.275100000000002</v>
      </c>
      <c r="O94" s="20">
        <f t="shared" si="6"/>
        <v>27.520087500000002</v>
      </c>
      <c r="P94" s="7"/>
      <c r="Q94" s="13"/>
      <c r="R94" s="14"/>
      <c r="S94" s="14"/>
      <c r="T94" s="27"/>
      <c r="U94" s="28">
        <f t="shared" si="7"/>
        <v>1.8261401362921634E-2</v>
      </c>
    </row>
    <row r="95" spans="1:21" x14ac:dyDescent="0.25">
      <c r="A95" s="6" t="s">
        <v>37</v>
      </c>
      <c r="B95" s="6" t="s">
        <v>48</v>
      </c>
      <c r="C95" s="15">
        <v>3027.51</v>
      </c>
      <c r="D95" s="16">
        <v>37.984000000000002</v>
      </c>
      <c r="E95" s="16">
        <v>41.488999999999997</v>
      </c>
      <c r="F95" s="16">
        <v>42.491999999999997</v>
      </c>
      <c r="G95" s="16">
        <v>83.62</v>
      </c>
      <c r="H95" s="16">
        <f t="shared" si="5"/>
        <v>38.985624999999999</v>
      </c>
      <c r="I95" s="5"/>
      <c r="J95" s="15">
        <v>2402.2143999999998</v>
      </c>
      <c r="K95" s="16">
        <v>38.950400000000002</v>
      </c>
      <c r="L95" s="16">
        <v>41.8125</v>
      </c>
      <c r="M95" s="16">
        <v>43.198</v>
      </c>
      <c r="N95" s="16">
        <v>71.877799999999993</v>
      </c>
      <c r="O95" s="16">
        <f t="shared" si="6"/>
        <v>39.839112499999999</v>
      </c>
      <c r="P95" s="7"/>
      <c r="Q95" s="8">
        <f>bdrate(C95:C98,D95:D98,J95:J98,K95:K98)</f>
        <v>-0.48578555728692052</v>
      </c>
      <c r="R95" s="8">
        <f>bdrate(C95:C98,E95:E98,J95:J98,L95:L98)</f>
        <v>-0.37740925186966889</v>
      </c>
      <c r="S95" s="8">
        <f>bdrate(C95:C98,F95:F98,J95:J98,M95:M98)</f>
        <v>-0.48567042874188249</v>
      </c>
      <c r="T95" s="25">
        <f>bdrate(C95:C98,H95:H98,J95:J98,O95:O98)</f>
        <v>-0.47911740538385372</v>
      </c>
      <c r="U95" s="28">
        <f t="shared" si="7"/>
        <v>-0.14042334369768011</v>
      </c>
    </row>
    <row r="96" spans="1:21" x14ac:dyDescent="0.25">
      <c r="A96" s="9" t="s">
        <v>38</v>
      </c>
      <c r="B96" s="9"/>
      <c r="C96" s="17">
        <v>1995.54</v>
      </c>
      <c r="D96" s="18">
        <v>36.457000000000001</v>
      </c>
      <c r="E96" s="18">
        <v>40.786999999999999</v>
      </c>
      <c r="F96" s="18">
        <v>41.673999999999999</v>
      </c>
      <c r="G96" s="18">
        <v>92.7</v>
      </c>
      <c r="H96" s="18">
        <f t="shared" si="5"/>
        <v>37.650374999999997</v>
      </c>
      <c r="I96" s="5"/>
      <c r="J96" s="17">
        <v>1576.8784000000001</v>
      </c>
      <c r="K96" s="18">
        <v>37.755699999999997</v>
      </c>
      <c r="L96" s="18">
        <v>41.174700000000001</v>
      </c>
      <c r="M96" s="18">
        <v>42.450299999999999</v>
      </c>
      <c r="N96" s="18">
        <v>111.47239999999999</v>
      </c>
      <c r="O96" s="18">
        <f t="shared" si="6"/>
        <v>38.769899999999993</v>
      </c>
      <c r="P96" s="7"/>
      <c r="Q96" s="10"/>
      <c r="R96" s="11"/>
      <c r="S96" s="11"/>
      <c r="T96" s="26"/>
      <c r="U96" s="28">
        <f t="shared" si="7"/>
        <v>0.20250701186623507</v>
      </c>
    </row>
    <row r="97" spans="2:21" x14ac:dyDescent="0.25">
      <c r="B97" s="9"/>
      <c r="C97" s="17">
        <v>1236.3800000000001</v>
      </c>
      <c r="D97" s="18">
        <v>34.499000000000002</v>
      </c>
      <c r="E97" s="18">
        <v>39.988</v>
      </c>
      <c r="F97" s="18">
        <v>40.927999999999997</v>
      </c>
      <c r="G97" s="18">
        <v>102.48</v>
      </c>
      <c r="H97" s="18">
        <f t="shared" si="5"/>
        <v>35.988750000000003</v>
      </c>
      <c r="I97" s="5"/>
      <c r="J97" s="17">
        <v>977.16480000000001</v>
      </c>
      <c r="K97" s="18">
        <v>36.245800000000003</v>
      </c>
      <c r="L97" s="18">
        <v>40.3523</v>
      </c>
      <c r="M97" s="18">
        <v>41.572000000000003</v>
      </c>
      <c r="N97" s="18">
        <v>121.15089999999999</v>
      </c>
      <c r="O97" s="18">
        <f t="shared" si="6"/>
        <v>37.424887500000004</v>
      </c>
      <c r="P97" s="7"/>
      <c r="Q97" s="10"/>
      <c r="R97" s="11"/>
      <c r="S97" s="11"/>
      <c r="T97" s="26"/>
      <c r="U97" s="28">
        <f t="shared" si="7"/>
        <v>0.18219067135050729</v>
      </c>
    </row>
    <row r="98" spans="2:21" ht="16.5" thickBot="1" x14ac:dyDescent="0.3">
      <c r="B98" s="12"/>
      <c r="C98" s="19">
        <v>737.05</v>
      </c>
      <c r="D98" s="20">
        <v>32.176000000000002</v>
      </c>
      <c r="E98" s="20">
        <v>39.122999999999998</v>
      </c>
      <c r="F98" s="20">
        <v>40.091999999999999</v>
      </c>
      <c r="G98" s="20">
        <v>107.53</v>
      </c>
      <c r="H98" s="20">
        <f t="shared" si="5"/>
        <v>34.033875000000002</v>
      </c>
      <c r="I98" s="5"/>
      <c r="J98" s="19">
        <v>569.87519999999995</v>
      </c>
      <c r="K98" s="20">
        <v>34.451700000000002</v>
      </c>
      <c r="L98" s="20">
        <v>39.637500000000003</v>
      </c>
      <c r="M98" s="20">
        <v>40.893799999999999</v>
      </c>
      <c r="N98" s="20">
        <v>139.86009999999999</v>
      </c>
      <c r="O98" s="20">
        <f t="shared" si="6"/>
        <v>35.905187500000004</v>
      </c>
      <c r="P98" s="7"/>
      <c r="Q98" s="13"/>
      <c r="R98" s="14"/>
      <c r="S98" s="14"/>
      <c r="T98" s="27"/>
      <c r="U98" s="28">
        <f t="shared" si="7"/>
        <v>0.30066121082488595</v>
      </c>
    </row>
    <row r="99" spans="2:21" x14ac:dyDescent="0.25">
      <c r="B99" s="6" t="s">
        <v>49</v>
      </c>
      <c r="C99" s="15">
        <v>3459.85</v>
      </c>
      <c r="D99" s="16">
        <v>35.295000000000002</v>
      </c>
      <c r="E99" s="16">
        <v>38.71</v>
      </c>
      <c r="F99" s="16">
        <v>39.929000000000002</v>
      </c>
      <c r="G99" s="16">
        <v>93.71</v>
      </c>
      <c r="H99" s="16">
        <f t="shared" si="5"/>
        <v>36.301124999999999</v>
      </c>
      <c r="I99" s="5"/>
      <c r="J99" s="15">
        <v>2554.3056000000001</v>
      </c>
      <c r="K99" s="16">
        <v>36.019399999999997</v>
      </c>
      <c r="L99" s="16">
        <v>39.941600000000001</v>
      </c>
      <c r="M99" s="16">
        <v>41.172899999999998</v>
      </c>
      <c r="N99" s="16">
        <v>69.284099999999995</v>
      </c>
      <c r="O99" s="16">
        <f t="shared" si="6"/>
        <v>37.153862500000002</v>
      </c>
      <c r="P99" s="7"/>
      <c r="Q99" s="8">
        <f>bdrate(C99:C102,D99:D102,J99:J102,K99:K102)</f>
        <v>-0.48332250966312651</v>
      </c>
      <c r="R99" s="8">
        <f>bdrate(C99:C102,E99:E102,J99:J102,L99:L102)</f>
        <v>-0.58068289170213816</v>
      </c>
      <c r="S99" s="8">
        <f>bdrate(C99:C102,F99:F102,J99:J102,M99:M102)</f>
        <v>-0.58637120568302348</v>
      </c>
      <c r="T99" s="25">
        <f>bdrate(C99:C102,H99:H102,J99:J102,O99:O102)</f>
        <v>-0.50013946096216944</v>
      </c>
      <c r="U99" s="28">
        <f t="shared" si="7"/>
        <v>-0.26065414576886137</v>
      </c>
    </row>
    <row r="100" spans="2:21" x14ac:dyDescent="0.25">
      <c r="B100" s="9"/>
      <c r="C100" s="17">
        <v>2292.25</v>
      </c>
      <c r="D100" s="18">
        <v>33.765000000000001</v>
      </c>
      <c r="E100" s="18">
        <v>38.06</v>
      </c>
      <c r="F100" s="18">
        <v>39.408000000000001</v>
      </c>
      <c r="G100" s="18">
        <v>104.67</v>
      </c>
      <c r="H100" s="18">
        <f t="shared" si="5"/>
        <v>35.007249999999999</v>
      </c>
      <c r="I100" s="5"/>
      <c r="J100" s="17">
        <v>1658.3255999999999</v>
      </c>
      <c r="K100" s="18">
        <v>34.721499999999999</v>
      </c>
      <c r="L100" s="18">
        <v>39.097499999999997</v>
      </c>
      <c r="M100" s="18">
        <v>40.3142</v>
      </c>
      <c r="N100" s="18">
        <v>103.22580000000001</v>
      </c>
      <c r="O100" s="18">
        <f t="shared" si="6"/>
        <v>35.9675875</v>
      </c>
      <c r="P100" s="7"/>
      <c r="Q100" s="10"/>
      <c r="R100" s="11"/>
      <c r="S100" s="11"/>
      <c r="T100" s="26"/>
      <c r="U100" s="28">
        <f t="shared" si="7"/>
        <v>-1.3797649756377138E-2</v>
      </c>
    </row>
    <row r="101" spans="2:21" x14ac:dyDescent="0.25">
      <c r="B101" s="9"/>
      <c r="C101" s="17">
        <v>1420.28</v>
      </c>
      <c r="D101" s="18">
        <v>31.957999999999998</v>
      </c>
      <c r="E101" s="18">
        <v>37.348999999999997</v>
      </c>
      <c r="F101" s="18">
        <v>38.765000000000001</v>
      </c>
      <c r="G101" s="18">
        <v>113.96</v>
      </c>
      <c r="H101" s="18">
        <f t="shared" si="5"/>
        <v>33.482749999999996</v>
      </c>
      <c r="I101" s="5"/>
      <c r="J101" s="17">
        <v>1012.192</v>
      </c>
      <c r="K101" s="18">
        <v>33.2425</v>
      </c>
      <c r="L101" s="18">
        <v>38.186300000000003</v>
      </c>
      <c r="M101" s="18">
        <v>39.495399999999997</v>
      </c>
      <c r="N101" s="18">
        <v>120.12009999999999</v>
      </c>
      <c r="O101" s="18">
        <f t="shared" si="6"/>
        <v>34.642087500000002</v>
      </c>
      <c r="P101" s="7"/>
      <c r="Q101" s="10"/>
      <c r="R101" s="11"/>
      <c r="S101" s="11"/>
      <c r="T101" s="26"/>
      <c r="U101" s="28">
        <f t="shared" si="7"/>
        <v>5.405493155493156E-2</v>
      </c>
    </row>
    <row r="102" spans="2:21" ht="16.5" thickBot="1" x14ac:dyDescent="0.3">
      <c r="B102" s="12"/>
      <c r="C102" s="19">
        <v>846.05</v>
      </c>
      <c r="D102" s="20">
        <v>29.966999999999999</v>
      </c>
      <c r="E102" s="20">
        <v>36.673999999999999</v>
      </c>
      <c r="F102" s="20">
        <v>38.143999999999998</v>
      </c>
      <c r="G102" s="20">
        <v>120.24</v>
      </c>
      <c r="H102" s="20">
        <f t="shared" si="5"/>
        <v>31.827500000000001</v>
      </c>
      <c r="I102" s="5"/>
      <c r="J102" s="19">
        <v>604.51760000000002</v>
      </c>
      <c r="K102" s="20">
        <v>31.607399999999998</v>
      </c>
      <c r="L102" s="20">
        <v>37.226399999999998</v>
      </c>
      <c r="M102" s="20">
        <v>38.761299999999999</v>
      </c>
      <c r="N102" s="20">
        <v>138.4083</v>
      </c>
      <c r="O102" s="20">
        <f t="shared" si="6"/>
        <v>33.204012499999997</v>
      </c>
      <c r="P102" s="7"/>
      <c r="Q102" s="13"/>
      <c r="R102" s="14"/>
      <c r="S102" s="14"/>
      <c r="T102" s="27"/>
      <c r="U102" s="28">
        <f t="shared" si="7"/>
        <v>0.15110029940119762</v>
      </c>
    </row>
    <row r="103" spans="2:21" x14ac:dyDescent="0.25">
      <c r="B103" s="6" t="s">
        <v>50</v>
      </c>
      <c r="C103" s="15">
        <v>3574.57</v>
      </c>
      <c r="D103" s="16">
        <v>33.496000000000002</v>
      </c>
      <c r="E103" s="16">
        <v>37.649000000000001</v>
      </c>
      <c r="F103" s="16">
        <v>38.997</v>
      </c>
      <c r="G103" s="16">
        <v>103.99</v>
      </c>
      <c r="H103" s="16">
        <f t="shared" si="5"/>
        <v>34.702750000000002</v>
      </c>
      <c r="I103" s="5"/>
      <c r="J103" s="15">
        <v>2411.1655999999998</v>
      </c>
      <c r="K103" s="16">
        <v>34.081699999999998</v>
      </c>
      <c r="L103" s="16">
        <v>38.0473</v>
      </c>
      <c r="M103" s="16">
        <v>39.968899999999998</v>
      </c>
      <c r="N103" s="16">
        <v>74.327299999999994</v>
      </c>
      <c r="O103" s="16">
        <f t="shared" si="6"/>
        <v>35.313299999999998</v>
      </c>
      <c r="P103" s="7"/>
      <c r="Q103" s="8">
        <f>bdrate(C103:C106,D103:D106,J103:J106,K103:K106)</f>
        <v>-0.49874406927243509</v>
      </c>
      <c r="R103" s="8">
        <f>bdrate(C103:C106,E103:E106,J103:J106,L103:L106)</f>
        <v>-0.49113024245806114</v>
      </c>
      <c r="S103" s="8">
        <f>bdrate(C103:C106,F103:F106,J103:J106,M103:M106)</f>
        <v>-0.52879989503911262</v>
      </c>
      <c r="T103" s="25">
        <f>bdrate(C103:C106,H103:H106,J103:J106,O103:O106)</f>
        <v>-0.50279192476867374</v>
      </c>
      <c r="U103" s="28">
        <f t="shared" si="7"/>
        <v>-0.28524569670160593</v>
      </c>
    </row>
    <row r="104" spans="2:21" x14ac:dyDescent="0.25">
      <c r="B104" s="9"/>
      <c r="C104" s="17">
        <v>2368.64</v>
      </c>
      <c r="D104" s="18">
        <v>31.972000000000001</v>
      </c>
      <c r="E104" s="18">
        <v>37.134</v>
      </c>
      <c r="F104" s="18">
        <v>38.152999999999999</v>
      </c>
      <c r="G104" s="18">
        <v>115.69</v>
      </c>
      <c r="H104" s="18">
        <f t="shared" si="5"/>
        <v>33.389875000000004</v>
      </c>
      <c r="I104" s="5"/>
      <c r="J104" s="17">
        <v>1607.8248000000001</v>
      </c>
      <c r="K104" s="18">
        <v>32.8752</v>
      </c>
      <c r="L104" s="18">
        <v>37.566200000000002</v>
      </c>
      <c r="M104" s="18">
        <v>39.081000000000003</v>
      </c>
      <c r="N104" s="18">
        <v>134.08420000000001</v>
      </c>
      <c r="O104" s="18">
        <f t="shared" si="6"/>
        <v>34.237299999999998</v>
      </c>
      <c r="P104" s="7"/>
      <c r="Q104" s="10"/>
      <c r="R104" s="11"/>
      <c r="S104" s="11"/>
      <c r="T104" s="26"/>
      <c r="U104" s="28">
        <f t="shared" si="7"/>
        <v>0.15899559166738708</v>
      </c>
    </row>
    <row r="105" spans="2:21" x14ac:dyDescent="0.25">
      <c r="B105" s="9"/>
      <c r="C105" s="17">
        <v>1474.3</v>
      </c>
      <c r="D105" s="18">
        <v>29.984000000000002</v>
      </c>
      <c r="E105" s="18">
        <v>36.540999999999997</v>
      </c>
      <c r="F105" s="18">
        <v>37.189</v>
      </c>
      <c r="G105" s="18">
        <v>120.45</v>
      </c>
      <c r="H105" s="18">
        <f t="shared" si="5"/>
        <v>31.704249999999998</v>
      </c>
      <c r="I105" s="5"/>
      <c r="J105" s="17">
        <v>1003.2496</v>
      </c>
      <c r="K105" s="18">
        <v>31.3047</v>
      </c>
      <c r="L105" s="18">
        <v>36.913499999999999</v>
      </c>
      <c r="M105" s="18">
        <v>37.924900000000001</v>
      </c>
      <c r="N105" s="18">
        <v>151.14869999999999</v>
      </c>
      <c r="O105" s="18">
        <f t="shared" si="6"/>
        <v>32.833325000000002</v>
      </c>
      <c r="P105" s="7"/>
      <c r="Q105" s="10"/>
      <c r="R105" s="11"/>
      <c r="S105" s="11"/>
      <c r="T105" s="26"/>
      <c r="U105" s="28">
        <f t="shared" si="7"/>
        <v>0.2548667496886674</v>
      </c>
    </row>
    <row r="106" spans="2:21" ht="16.5" thickBot="1" x14ac:dyDescent="0.3">
      <c r="B106" s="12"/>
      <c r="C106" s="19">
        <v>879.79</v>
      </c>
      <c r="D106" s="20">
        <v>27.626999999999999</v>
      </c>
      <c r="E106" s="20">
        <v>35.869999999999997</v>
      </c>
      <c r="F106" s="20">
        <v>36.261000000000003</v>
      </c>
      <c r="G106" s="20">
        <v>123.76</v>
      </c>
      <c r="H106" s="20">
        <f t="shared" si="5"/>
        <v>29.736625</v>
      </c>
      <c r="I106" s="5"/>
      <c r="J106" s="19">
        <v>600.08079999999995</v>
      </c>
      <c r="K106" s="20">
        <v>29.5853</v>
      </c>
      <c r="L106" s="20">
        <v>36.146000000000001</v>
      </c>
      <c r="M106" s="20">
        <v>36.775100000000002</v>
      </c>
      <c r="N106" s="20">
        <v>164.3655</v>
      </c>
      <c r="O106" s="20">
        <f t="shared" si="6"/>
        <v>31.304112500000002</v>
      </c>
      <c r="P106" s="7"/>
      <c r="Q106" s="13"/>
      <c r="R106" s="14"/>
      <c r="S106" s="14"/>
      <c r="T106" s="27"/>
      <c r="U106" s="28">
        <f t="shared" si="7"/>
        <v>0.32809873949579826</v>
      </c>
    </row>
    <row r="107" spans="2:21" x14ac:dyDescent="0.25">
      <c r="B107" s="6" t="s">
        <v>51</v>
      </c>
      <c r="C107" s="29">
        <v>3594.75</v>
      </c>
      <c r="D107" s="30">
        <v>32.722999999999999</v>
      </c>
      <c r="E107" s="30">
        <v>39.253</v>
      </c>
      <c r="F107" s="30">
        <v>38.896000000000001</v>
      </c>
      <c r="G107" s="16">
        <v>95.97</v>
      </c>
      <c r="H107" s="16">
        <f t="shared" si="5"/>
        <v>34.310875000000003</v>
      </c>
      <c r="I107" s="5"/>
      <c r="J107" s="29">
        <v>2413.6255999999998</v>
      </c>
      <c r="K107" s="30">
        <v>33.983899999999998</v>
      </c>
      <c r="L107" s="30">
        <v>40.116700000000002</v>
      </c>
      <c r="M107" s="30">
        <v>39.509099999999997</v>
      </c>
      <c r="N107" s="16">
        <v>65.651300000000006</v>
      </c>
      <c r="O107" s="16">
        <f t="shared" si="6"/>
        <v>35.44115</v>
      </c>
      <c r="P107" s="7"/>
      <c r="Q107" s="8">
        <f>bdrate(C107:C110,D107:D110,J107:J110,K107:K110)</f>
        <v>-0.60221299436807507</v>
      </c>
      <c r="R107" s="8">
        <f>bdrate(C107:C110,E107:E110,J107:J110,L107:L110)</f>
        <v>-0.53488999174412355</v>
      </c>
      <c r="S107" s="8">
        <f>bdrate(C107:C110,F107:F110,J107:J110,M107:M110)</f>
        <v>-0.38680794427386656</v>
      </c>
      <c r="T107" s="25">
        <f>bdrate(C107:C110,H107:H110,J107:J110,O107:O110)</f>
        <v>-0.58588398247247642</v>
      </c>
      <c r="U107" s="28">
        <f t="shared" si="7"/>
        <v>-0.31591851620298</v>
      </c>
    </row>
    <row r="108" spans="2:21" x14ac:dyDescent="0.25">
      <c r="B108" s="9"/>
      <c r="C108" s="31">
        <v>2385.96</v>
      </c>
      <c r="D108" s="32">
        <v>30.704999999999998</v>
      </c>
      <c r="E108" s="32">
        <v>38.412999999999997</v>
      </c>
      <c r="F108" s="32">
        <v>37.997999999999998</v>
      </c>
      <c r="G108" s="18">
        <v>106.84</v>
      </c>
      <c r="H108" s="18">
        <f t="shared" si="5"/>
        <v>32.580124999999995</v>
      </c>
      <c r="I108" s="5"/>
      <c r="J108" s="31">
        <v>1604.3488</v>
      </c>
      <c r="K108" s="32">
        <v>32.6252</v>
      </c>
      <c r="L108" s="32">
        <v>39.338299999999997</v>
      </c>
      <c r="M108" s="32">
        <v>38.381700000000002</v>
      </c>
      <c r="N108" s="18">
        <v>119.9616</v>
      </c>
      <c r="O108" s="18">
        <f t="shared" si="6"/>
        <v>34.183900000000001</v>
      </c>
      <c r="P108" s="7"/>
      <c r="Q108" s="10"/>
      <c r="R108" s="11"/>
      <c r="S108" s="11"/>
      <c r="T108" s="26"/>
      <c r="U108" s="28">
        <f t="shared" si="7"/>
        <v>0.12281542493448147</v>
      </c>
    </row>
    <row r="109" spans="2:21" x14ac:dyDescent="0.25">
      <c r="B109" s="9"/>
      <c r="C109" s="31">
        <v>1476.73</v>
      </c>
      <c r="D109" s="32">
        <v>27.832999999999998</v>
      </c>
      <c r="E109" s="32">
        <v>37.265999999999998</v>
      </c>
      <c r="F109" s="32">
        <v>36.813000000000002</v>
      </c>
      <c r="G109" s="18">
        <v>109.75</v>
      </c>
      <c r="H109" s="18">
        <f t="shared" si="5"/>
        <v>30.134625</v>
      </c>
      <c r="I109" s="5"/>
      <c r="J109" s="31">
        <v>1004.7752</v>
      </c>
      <c r="K109" s="32">
        <v>30.940300000000001</v>
      </c>
      <c r="L109" s="32">
        <v>38.246600000000001</v>
      </c>
      <c r="M109" s="32">
        <v>36.989600000000003</v>
      </c>
      <c r="N109" s="18">
        <v>132.9787</v>
      </c>
      <c r="O109" s="18">
        <f t="shared" si="6"/>
        <v>32.609749999999998</v>
      </c>
      <c r="P109" s="7"/>
      <c r="Q109" s="10"/>
      <c r="R109" s="11"/>
      <c r="S109" s="11"/>
      <c r="T109" s="26"/>
      <c r="U109" s="28">
        <f t="shared" si="7"/>
        <v>0.21165102505694763</v>
      </c>
    </row>
    <row r="110" spans="2:21" ht="16.5" thickBot="1" x14ac:dyDescent="0.3">
      <c r="B110" s="12"/>
      <c r="C110" s="33">
        <v>875.54</v>
      </c>
      <c r="D110" s="34">
        <v>23.96</v>
      </c>
      <c r="E110" s="34">
        <v>35.402999999999999</v>
      </c>
      <c r="F110" s="34">
        <v>34.661999999999999</v>
      </c>
      <c r="G110" s="20">
        <v>110.91</v>
      </c>
      <c r="H110" s="20">
        <f t="shared" si="5"/>
        <v>26.728124999999999</v>
      </c>
      <c r="I110" s="5"/>
      <c r="J110" s="33">
        <v>599.96079999999995</v>
      </c>
      <c r="K110" s="34">
        <v>29.0382</v>
      </c>
      <c r="L110" s="34">
        <v>36.610900000000001</v>
      </c>
      <c r="M110" s="34">
        <v>35.227499999999999</v>
      </c>
      <c r="N110" s="20">
        <v>151.88339999999999</v>
      </c>
      <c r="O110" s="20">
        <f t="shared" si="6"/>
        <v>30.75845</v>
      </c>
      <c r="P110" s="7"/>
      <c r="Q110" s="13"/>
      <c r="R110" s="14"/>
      <c r="S110" s="14"/>
      <c r="T110" s="27"/>
      <c r="U110" s="28">
        <f t="shared" si="7"/>
        <v>0.36942926697322154</v>
      </c>
    </row>
    <row r="111" spans="2:21" x14ac:dyDescent="0.25">
      <c r="B111" s="6" t="s">
        <v>52</v>
      </c>
      <c r="C111" s="15">
        <v>3601.37</v>
      </c>
      <c r="D111" s="16">
        <v>31.856000000000002</v>
      </c>
      <c r="E111" s="16">
        <v>38.381</v>
      </c>
      <c r="F111" s="16">
        <v>40.902999999999999</v>
      </c>
      <c r="G111" s="16">
        <v>109.21</v>
      </c>
      <c r="H111" s="16">
        <f t="shared" si="5"/>
        <v>33.802500000000002</v>
      </c>
      <c r="I111" s="5"/>
      <c r="J111" s="15">
        <v>2420.1632</v>
      </c>
      <c r="K111" s="16">
        <v>33.591000000000001</v>
      </c>
      <c r="L111" s="16">
        <v>39.707599999999999</v>
      </c>
      <c r="M111" s="16">
        <v>42.165999999999997</v>
      </c>
      <c r="N111" s="16">
        <v>77.329599999999999</v>
      </c>
      <c r="O111" s="16">
        <f t="shared" si="6"/>
        <v>35.42745</v>
      </c>
      <c r="P111" s="7"/>
      <c r="Q111" s="8">
        <f>bdrate(C111:C114,D111:D114,J111:J114,K111:K114)</f>
        <v>-0.71349202094704345</v>
      </c>
      <c r="R111" s="8">
        <f>bdrate(C111:C114,E111:E114,J111:J114,L111:L114)</f>
        <v>-0.73598473073500692</v>
      </c>
      <c r="S111" s="8">
        <f>bdrate(C111:C114,F111:F114,J111:J114,M111:M114)</f>
        <v>-0.74916772615863925</v>
      </c>
      <c r="T111" s="25">
        <f>bdrate(C111:C114,H111:H114,J111:J114,O111:O114)</f>
        <v>-0.7167304066295388</v>
      </c>
      <c r="U111" s="28">
        <f t="shared" si="7"/>
        <v>-0.2919183224979397</v>
      </c>
    </row>
    <row r="112" spans="2:21" x14ac:dyDescent="0.25">
      <c r="B112" s="9"/>
      <c r="C112" s="17">
        <v>2375.42</v>
      </c>
      <c r="D112" s="18">
        <v>30.619</v>
      </c>
      <c r="E112" s="18">
        <v>37.994999999999997</v>
      </c>
      <c r="F112" s="18">
        <v>40.445</v>
      </c>
      <c r="G112" s="18">
        <v>120.48</v>
      </c>
      <c r="H112" s="18">
        <f t="shared" si="5"/>
        <v>32.76925</v>
      </c>
      <c r="I112" s="5"/>
      <c r="J112" s="17">
        <v>1608.3191999999999</v>
      </c>
      <c r="K112" s="18">
        <v>32.876300000000001</v>
      </c>
      <c r="L112" s="18">
        <v>39.236800000000002</v>
      </c>
      <c r="M112" s="18">
        <v>41.760399999999997</v>
      </c>
      <c r="N112" s="18">
        <v>137.74100000000001</v>
      </c>
      <c r="O112" s="18">
        <f t="shared" si="6"/>
        <v>34.781874999999999</v>
      </c>
      <c r="P112" s="7"/>
      <c r="Q112" s="10"/>
      <c r="R112" s="11"/>
      <c r="S112" s="11"/>
      <c r="T112" s="26"/>
      <c r="U112" s="28">
        <f t="shared" si="7"/>
        <v>0.14326859229747685</v>
      </c>
    </row>
    <row r="113" spans="1:21" x14ac:dyDescent="0.25">
      <c r="B113" s="9"/>
      <c r="C113" s="17">
        <v>1448.88</v>
      </c>
      <c r="D113" s="18">
        <v>28.838000000000001</v>
      </c>
      <c r="E113" s="18">
        <v>37.424999999999997</v>
      </c>
      <c r="F113" s="18">
        <v>39.884999999999998</v>
      </c>
      <c r="G113" s="18">
        <v>122.85</v>
      </c>
      <c r="H113" s="18">
        <f t="shared" si="5"/>
        <v>31.292250000000003</v>
      </c>
      <c r="I113" s="5"/>
      <c r="J113" s="17">
        <v>1027.876</v>
      </c>
      <c r="K113" s="18">
        <v>31.789300000000001</v>
      </c>
      <c r="L113" s="18">
        <v>38.552</v>
      </c>
      <c r="M113" s="18">
        <v>41.068800000000003</v>
      </c>
      <c r="N113" s="18">
        <v>151.43870000000001</v>
      </c>
      <c r="O113" s="18">
        <f t="shared" si="6"/>
        <v>33.794575000000002</v>
      </c>
      <c r="P113" s="7"/>
      <c r="Q113" s="10"/>
      <c r="R113" s="11"/>
      <c r="S113" s="11"/>
      <c r="T113" s="26"/>
      <c r="U113" s="28">
        <f t="shared" si="7"/>
        <v>0.23271225071225085</v>
      </c>
    </row>
    <row r="114" spans="1:21" ht="16.5" thickBot="1" x14ac:dyDescent="0.3">
      <c r="B114" s="12"/>
      <c r="C114" s="19">
        <v>837.94</v>
      </c>
      <c r="D114" s="20">
        <v>26.353000000000002</v>
      </c>
      <c r="E114" s="20">
        <v>36.884999999999998</v>
      </c>
      <c r="F114" s="20">
        <v>38.792000000000002</v>
      </c>
      <c r="G114" s="20">
        <v>125.13</v>
      </c>
      <c r="H114" s="20">
        <f t="shared" si="5"/>
        <v>29.224374999999998</v>
      </c>
      <c r="I114" s="5"/>
      <c r="J114" s="19">
        <v>595.55439999999999</v>
      </c>
      <c r="K114" s="20">
        <v>30.255099999999999</v>
      </c>
      <c r="L114" s="20">
        <v>37.9146</v>
      </c>
      <c r="M114" s="20">
        <v>40.457500000000003</v>
      </c>
      <c r="N114" s="20">
        <v>165.70009999999999</v>
      </c>
      <c r="O114" s="20">
        <f t="shared" si="6"/>
        <v>32.487837499999998</v>
      </c>
      <c r="P114" s="7"/>
      <c r="Q114" s="13"/>
      <c r="R114" s="14"/>
      <c r="S114" s="14"/>
      <c r="T114" s="27"/>
      <c r="U114" s="28">
        <f t="shared" si="7"/>
        <v>0.32422360744825379</v>
      </c>
    </row>
    <row r="115" spans="1:21" x14ac:dyDescent="0.25">
      <c r="A115" s="6" t="s">
        <v>39</v>
      </c>
      <c r="B115" s="6" t="s">
        <v>53</v>
      </c>
      <c r="C115" s="15">
        <v>1565.14</v>
      </c>
      <c r="D115" s="16">
        <v>33.957999999999998</v>
      </c>
      <c r="E115" s="16">
        <v>37.326000000000001</v>
      </c>
      <c r="F115" s="16">
        <v>37.176000000000002</v>
      </c>
      <c r="G115" s="16">
        <v>415.63</v>
      </c>
      <c r="H115" s="16">
        <f t="shared" si="5"/>
        <v>34.78125</v>
      </c>
      <c r="I115" s="5"/>
      <c r="J115" s="15">
        <v>1218.0455999999999</v>
      </c>
      <c r="K115" s="16">
        <v>34.9788</v>
      </c>
      <c r="L115" s="16">
        <v>38.824399999999997</v>
      </c>
      <c r="M115" s="16">
        <v>38.659599999999998</v>
      </c>
      <c r="N115" s="16">
        <v>395.56959999999998</v>
      </c>
      <c r="O115" s="16">
        <f t="shared" si="6"/>
        <v>35.919599999999996</v>
      </c>
      <c r="P115" s="7"/>
      <c r="Q115" s="8">
        <f>bdrate(C115:C118,D115:D118,J115:J118,K115:K118)</f>
        <v>-0.41589219175045467</v>
      </c>
      <c r="R115" s="8">
        <f>bdrate(C115:C118,E115:E118,J115:J118,L115:L118)</f>
        <v>-0.46273848627059877</v>
      </c>
      <c r="S115" s="8">
        <f>bdrate(C115:C118,F115:F118,J115:J118,M115:M118)</f>
        <v>-0.41730148523998134</v>
      </c>
      <c r="T115" s="25">
        <f>bdrate(C115:C118,H115:H118,J115:J118,O115:O118)</f>
        <v>-0.4229776928332778</v>
      </c>
      <c r="U115" s="28">
        <f t="shared" si="7"/>
        <v>-4.826504342804902E-2</v>
      </c>
    </row>
    <row r="116" spans="1:21" x14ac:dyDescent="0.25">
      <c r="A116" s="9" t="s">
        <v>40</v>
      </c>
      <c r="B116" s="9"/>
      <c r="C116" s="17">
        <v>1043.52</v>
      </c>
      <c r="D116" s="18">
        <v>32.402000000000001</v>
      </c>
      <c r="E116" s="18">
        <v>36.32</v>
      </c>
      <c r="F116" s="18">
        <v>36.084000000000003</v>
      </c>
      <c r="G116" s="18">
        <v>542.89</v>
      </c>
      <c r="H116" s="18">
        <f t="shared" si="5"/>
        <v>33.352000000000004</v>
      </c>
      <c r="I116" s="5"/>
      <c r="J116" s="17">
        <v>816.2808</v>
      </c>
      <c r="K116" s="18">
        <v>33.454300000000003</v>
      </c>
      <c r="L116" s="18">
        <v>37.610399999999998</v>
      </c>
      <c r="M116" s="18">
        <v>37.29</v>
      </c>
      <c r="N116" s="18">
        <v>464.68400000000003</v>
      </c>
      <c r="O116" s="18">
        <f t="shared" si="6"/>
        <v>34.453275000000005</v>
      </c>
      <c r="P116" s="7"/>
      <c r="Q116" s="10"/>
      <c r="R116" s="11"/>
      <c r="S116" s="11"/>
      <c r="T116" s="26"/>
      <c r="U116" s="28">
        <f t="shared" si="7"/>
        <v>-0.14405496509421792</v>
      </c>
    </row>
    <row r="117" spans="1:21" x14ac:dyDescent="0.25">
      <c r="B117" s="9"/>
      <c r="C117" s="17">
        <v>647.76</v>
      </c>
      <c r="D117" s="18">
        <v>30.478999999999999</v>
      </c>
      <c r="E117" s="18">
        <v>35.363999999999997</v>
      </c>
      <c r="F117" s="18">
        <v>34.950000000000003</v>
      </c>
      <c r="G117" s="18">
        <v>525.21</v>
      </c>
      <c r="H117" s="18">
        <f t="shared" si="5"/>
        <v>31.648499999999999</v>
      </c>
      <c r="I117" s="5"/>
      <c r="J117" s="17">
        <v>506.14640000000003</v>
      </c>
      <c r="K117" s="18">
        <v>31.663399999999999</v>
      </c>
      <c r="L117" s="18">
        <v>36.135100000000001</v>
      </c>
      <c r="M117" s="18">
        <v>35.678800000000003</v>
      </c>
      <c r="N117" s="18">
        <v>542.88819999999998</v>
      </c>
      <c r="O117" s="18">
        <f t="shared" si="6"/>
        <v>32.724287500000003</v>
      </c>
      <c r="P117" s="7"/>
      <c r="Q117" s="10"/>
      <c r="R117" s="11"/>
      <c r="S117" s="11"/>
      <c r="T117" s="26"/>
      <c r="U117" s="28">
        <f t="shared" si="7"/>
        <v>3.3659298185487609E-2</v>
      </c>
    </row>
    <row r="118" spans="1:21" ht="16.5" thickBot="1" x14ac:dyDescent="0.3">
      <c r="B118" s="12"/>
      <c r="C118" s="19">
        <v>386.25</v>
      </c>
      <c r="D118" s="20">
        <v>28.042999999999999</v>
      </c>
      <c r="E118" s="20">
        <v>34.363</v>
      </c>
      <c r="F118" s="20">
        <v>33.948999999999998</v>
      </c>
      <c r="G118" s="20">
        <v>615.01</v>
      </c>
      <c r="H118" s="20">
        <f t="shared" si="5"/>
        <v>29.571249999999999</v>
      </c>
      <c r="I118" s="5"/>
      <c r="J118" s="19">
        <v>303.93200000000002</v>
      </c>
      <c r="K118" s="20">
        <v>29.704699999999999</v>
      </c>
      <c r="L118" s="20">
        <v>34.816299999999998</v>
      </c>
      <c r="M118" s="20">
        <v>34.089100000000002</v>
      </c>
      <c r="N118" s="20">
        <v>667.55669999999998</v>
      </c>
      <c r="O118" s="20">
        <f t="shared" si="6"/>
        <v>30.891699999999997</v>
      </c>
      <c r="P118" s="7"/>
      <c r="Q118" s="13"/>
      <c r="R118" s="14"/>
      <c r="S118" s="14"/>
      <c r="T118" s="27"/>
      <c r="U118" s="28">
        <f t="shared" si="7"/>
        <v>8.544039934310009E-2</v>
      </c>
    </row>
    <row r="119" spans="1:21" x14ac:dyDescent="0.25">
      <c r="B119" s="6" t="s">
        <v>54</v>
      </c>
      <c r="C119" s="15">
        <v>1581.26</v>
      </c>
      <c r="D119" s="16">
        <v>34.192</v>
      </c>
      <c r="E119" s="16">
        <v>39.11</v>
      </c>
      <c r="F119" s="16">
        <v>39.817999999999998</v>
      </c>
      <c r="G119" s="16">
        <v>492.61</v>
      </c>
      <c r="H119" s="16">
        <f t="shared" si="5"/>
        <v>35.51</v>
      </c>
      <c r="I119" s="5"/>
      <c r="J119" s="15">
        <v>1247.6592000000001</v>
      </c>
      <c r="K119" s="16">
        <v>35.243000000000002</v>
      </c>
      <c r="L119" s="16">
        <v>40.384900000000002</v>
      </c>
      <c r="M119" s="16">
        <v>41.156500000000001</v>
      </c>
      <c r="N119" s="16">
        <v>392.41329999999999</v>
      </c>
      <c r="O119" s="16">
        <f t="shared" si="6"/>
        <v>36.624925000000005</v>
      </c>
      <c r="P119" s="7"/>
      <c r="Q119" s="8">
        <f>bdrate(C119:C122,D119:D122,J119:J122,K119:K122)</f>
        <v>-0.44968461462701348</v>
      </c>
      <c r="R119" s="8">
        <f>bdrate(C119:C122,E119:E122,J119:J122,L119:L122)</f>
        <v>-0.48926931468060408</v>
      </c>
      <c r="S119" s="8">
        <f>bdrate(C119:C122,F119:F122,J119:J122,M119:M122)</f>
        <v>-0.44618446970154202</v>
      </c>
      <c r="T119" s="25">
        <f>bdrate(C119:C122,H119:H122,J119:J122,O119:O122)</f>
        <v>-0.45470737372819248</v>
      </c>
      <c r="U119" s="28">
        <f t="shared" ref="U119:U150" si="8">(N119-G119)/G119</f>
        <v>-0.20339964677939956</v>
      </c>
    </row>
    <row r="120" spans="1:21" x14ac:dyDescent="0.25">
      <c r="B120" s="9"/>
      <c r="C120" s="17">
        <v>1055.06</v>
      </c>
      <c r="D120" s="18">
        <v>32.302999999999997</v>
      </c>
      <c r="E120" s="18">
        <v>38.287999999999997</v>
      </c>
      <c r="F120" s="18">
        <v>38.960999999999999</v>
      </c>
      <c r="G120" s="18">
        <v>541.52</v>
      </c>
      <c r="H120" s="18">
        <f t="shared" si="5"/>
        <v>33.883375000000001</v>
      </c>
      <c r="I120" s="5"/>
      <c r="J120" s="17">
        <v>830.83280000000002</v>
      </c>
      <c r="K120" s="18">
        <v>33.671799999999998</v>
      </c>
      <c r="L120" s="18">
        <v>39.349600000000002</v>
      </c>
      <c r="M120" s="18">
        <v>39.997199999999999</v>
      </c>
      <c r="N120" s="18">
        <v>452.48869999999999</v>
      </c>
      <c r="O120" s="18">
        <f t="shared" si="6"/>
        <v>35.172200000000004</v>
      </c>
      <c r="P120" s="7"/>
      <c r="Q120" s="10"/>
      <c r="R120" s="11"/>
      <c r="S120" s="11"/>
      <c r="T120" s="26"/>
      <c r="U120" s="28">
        <f t="shared" si="8"/>
        <v>-0.16440999409070761</v>
      </c>
    </row>
    <row r="121" spans="1:21" x14ac:dyDescent="0.25">
      <c r="B121" s="9"/>
      <c r="C121" s="17">
        <v>657.31</v>
      </c>
      <c r="D121" s="18">
        <v>29.917000000000002</v>
      </c>
      <c r="E121" s="18">
        <v>37.408999999999999</v>
      </c>
      <c r="F121" s="18">
        <v>37.963000000000001</v>
      </c>
      <c r="G121" s="18">
        <v>557.62</v>
      </c>
      <c r="H121" s="18">
        <f t="shared" si="5"/>
        <v>31.859249999999999</v>
      </c>
      <c r="I121" s="5"/>
      <c r="J121" s="17">
        <v>519.09199999999998</v>
      </c>
      <c r="K121" s="18">
        <v>31.767900000000001</v>
      </c>
      <c r="L121" s="18">
        <v>38.256399999999999</v>
      </c>
      <c r="M121" s="18">
        <v>38.722000000000001</v>
      </c>
      <c r="N121" s="18">
        <v>541.51620000000003</v>
      </c>
      <c r="O121" s="18">
        <f t="shared" si="6"/>
        <v>33.448225000000001</v>
      </c>
      <c r="P121" s="7"/>
      <c r="Q121" s="10"/>
      <c r="R121" s="11"/>
      <c r="S121" s="11"/>
      <c r="T121" s="26"/>
      <c r="U121" s="28">
        <f t="shared" si="8"/>
        <v>-2.8879523689968038E-2</v>
      </c>
    </row>
    <row r="122" spans="1:21" ht="16.5" thickBot="1" x14ac:dyDescent="0.3">
      <c r="B122" s="12"/>
      <c r="C122" s="19">
        <v>392.28</v>
      </c>
      <c r="D122" s="20">
        <v>26.844999999999999</v>
      </c>
      <c r="E122" s="20">
        <v>36.46</v>
      </c>
      <c r="F122" s="20">
        <v>36.951000000000001</v>
      </c>
      <c r="G122" s="20">
        <v>591.72</v>
      </c>
      <c r="H122" s="20">
        <f t="shared" si="5"/>
        <v>29.310124999999999</v>
      </c>
      <c r="I122" s="5"/>
      <c r="J122" s="19">
        <v>310.95600000000002</v>
      </c>
      <c r="K122" s="20">
        <v>29.670500000000001</v>
      </c>
      <c r="L122" s="20">
        <v>37.094900000000003</v>
      </c>
      <c r="M122" s="20">
        <v>37.426299999999998</v>
      </c>
      <c r="N122" s="20">
        <v>652.1739</v>
      </c>
      <c r="O122" s="20">
        <f t="shared" si="6"/>
        <v>31.568024999999999</v>
      </c>
      <c r="P122" s="7"/>
      <c r="Q122" s="13"/>
      <c r="R122" s="14"/>
      <c r="S122" s="14"/>
      <c r="T122" s="27"/>
      <c r="U122" s="28">
        <f t="shared" si="8"/>
        <v>0.10216639626850534</v>
      </c>
    </row>
    <row r="123" spans="1:21" x14ac:dyDescent="0.25">
      <c r="B123" s="6" t="s">
        <v>55</v>
      </c>
      <c r="C123" s="15">
        <v>1442.81</v>
      </c>
      <c r="D123" s="16">
        <v>28.443000000000001</v>
      </c>
      <c r="E123" s="16">
        <v>34.865000000000002</v>
      </c>
      <c r="F123" s="16">
        <v>35.521999999999998</v>
      </c>
      <c r="G123" s="16">
        <v>516.53</v>
      </c>
      <c r="H123" s="16">
        <f t="shared" si="5"/>
        <v>30.130625000000002</v>
      </c>
      <c r="I123" s="5"/>
      <c r="J123" s="15">
        <v>1226.4767999999999</v>
      </c>
      <c r="K123" s="16">
        <v>30.376200000000001</v>
      </c>
      <c r="L123" s="16">
        <v>36.633800000000001</v>
      </c>
      <c r="M123" s="16">
        <v>37.392200000000003</v>
      </c>
      <c r="N123" s="16">
        <v>368.45979999999997</v>
      </c>
      <c r="O123" s="16">
        <f t="shared" si="6"/>
        <v>32.035400000000003</v>
      </c>
      <c r="P123" s="7"/>
      <c r="Q123" s="8">
        <f>bdrate(C123:C126,D123:D126,J123:J126,K123:K126)</f>
        <v>-0.53078354115429793</v>
      </c>
      <c r="R123" s="8">
        <f>bdrate(C123:C126,E123:E126,J123:J126,L123:L126)</f>
        <v>-0.55119502032495027</v>
      </c>
      <c r="S123" s="8">
        <f>bdrate(C123:C126,F123:F126,J123:J126,M123:M126)</f>
        <v>-0.55574950606155593</v>
      </c>
      <c r="T123" s="25">
        <f>bdrate(C123:C126,H123:H126,J123:J126,O123:O126)</f>
        <v>-0.53665276749197766</v>
      </c>
      <c r="U123" s="28">
        <f t="shared" si="8"/>
        <v>-0.28666331094031328</v>
      </c>
    </row>
    <row r="124" spans="1:21" x14ac:dyDescent="0.25">
      <c r="B124" s="9"/>
      <c r="C124" s="17">
        <v>962.16</v>
      </c>
      <c r="D124" s="18">
        <v>27.122</v>
      </c>
      <c r="E124" s="18">
        <v>34.430999999999997</v>
      </c>
      <c r="F124" s="18">
        <v>35.110999999999997</v>
      </c>
      <c r="G124" s="18">
        <v>572.08000000000004</v>
      </c>
      <c r="H124" s="18">
        <f t="shared" si="5"/>
        <v>29.03425</v>
      </c>
      <c r="I124" s="5"/>
      <c r="J124" s="17">
        <v>816.76559999999995</v>
      </c>
      <c r="K124" s="18">
        <v>29.0139</v>
      </c>
      <c r="L124" s="18">
        <v>35.7027</v>
      </c>
      <c r="M124" s="18">
        <v>36.4251</v>
      </c>
      <c r="N124" s="18">
        <v>433.2756</v>
      </c>
      <c r="O124" s="18">
        <f t="shared" si="6"/>
        <v>30.776399999999995</v>
      </c>
      <c r="P124" s="7"/>
      <c r="Q124" s="10"/>
      <c r="R124" s="11"/>
      <c r="S124" s="11"/>
      <c r="T124" s="26"/>
      <c r="U124" s="28">
        <f t="shared" si="8"/>
        <v>-0.24263110054537831</v>
      </c>
    </row>
    <row r="125" spans="1:21" x14ac:dyDescent="0.25">
      <c r="B125" s="9"/>
      <c r="C125" s="17">
        <v>603.51</v>
      </c>
      <c r="D125" s="18">
        <v>25.675000000000001</v>
      </c>
      <c r="E125" s="18">
        <v>33.954000000000001</v>
      </c>
      <c r="F125" s="18">
        <v>34.651000000000003</v>
      </c>
      <c r="G125" s="18">
        <v>615.76</v>
      </c>
      <c r="H125" s="18">
        <f t="shared" si="5"/>
        <v>27.831875000000004</v>
      </c>
      <c r="I125" s="5"/>
      <c r="J125" s="17">
        <v>514.73919999999998</v>
      </c>
      <c r="K125" s="18">
        <v>27.529399999999999</v>
      </c>
      <c r="L125" s="18">
        <v>34.759599999999999</v>
      </c>
      <c r="M125" s="18">
        <v>35.472799999999999</v>
      </c>
      <c r="N125" s="18">
        <v>517.06309999999996</v>
      </c>
      <c r="O125" s="18">
        <f t="shared" si="6"/>
        <v>29.426100000000002</v>
      </c>
      <c r="P125" s="7"/>
      <c r="Q125" s="10"/>
      <c r="R125" s="11"/>
      <c r="S125" s="11"/>
      <c r="T125" s="26"/>
      <c r="U125" s="28">
        <f t="shared" si="8"/>
        <v>-0.16028468883980776</v>
      </c>
    </row>
    <row r="126" spans="1:21" ht="16.5" thickBot="1" x14ac:dyDescent="0.3">
      <c r="B126" s="12"/>
      <c r="C126" s="19">
        <v>361.04</v>
      </c>
      <c r="D126" s="20">
        <v>24.053999999999998</v>
      </c>
      <c r="E126" s="20">
        <v>33.517000000000003</v>
      </c>
      <c r="F126" s="20">
        <v>34.207999999999998</v>
      </c>
      <c r="G126" s="20">
        <v>652.74</v>
      </c>
      <c r="H126" s="20">
        <f t="shared" si="5"/>
        <v>26.506124999999997</v>
      </c>
      <c r="I126" s="5"/>
      <c r="J126" s="19">
        <v>309.43439999999998</v>
      </c>
      <c r="K126" s="20">
        <v>25.9986</v>
      </c>
      <c r="L126" s="20">
        <v>33.918100000000003</v>
      </c>
      <c r="M126" s="20">
        <v>34.608600000000003</v>
      </c>
      <c r="N126" s="20">
        <v>628.14070000000004</v>
      </c>
      <c r="O126" s="20">
        <f t="shared" si="6"/>
        <v>28.064787500000001</v>
      </c>
      <c r="P126" s="7"/>
      <c r="Q126" s="13"/>
      <c r="R126" s="14"/>
      <c r="S126" s="14"/>
      <c r="T126" s="27"/>
      <c r="U126" s="28">
        <f t="shared" si="8"/>
        <v>-3.7686215032018827E-2</v>
      </c>
    </row>
    <row r="127" spans="1:21" x14ac:dyDescent="0.25">
      <c r="B127" s="6" t="s">
        <v>56</v>
      </c>
      <c r="C127" s="15">
        <v>1439.54</v>
      </c>
      <c r="D127" s="16">
        <v>32.189</v>
      </c>
      <c r="E127" s="16">
        <v>36.256</v>
      </c>
      <c r="F127" s="16">
        <v>37.837000000000003</v>
      </c>
      <c r="G127" s="16">
        <v>392.16</v>
      </c>
      <c r="H127" s="16">
        <f t="shared" si="5"/>
        <v>33.403375000000004</v>
      </c>
      <c r="I127" s="5"/>
      <c r="J127" s="15">
        <v>1210.5088000000001</v>
      </c>
      <c r="K127" s="16">
        <v>32.299300000000002</v>
      </c>
      <c r="L127" s="16">
        <v>36.613100000000003</v>
      </c>
      <c r="M127" s="16">
        <v>38.175400000000003</v>
      </c>
      <c r="N127" s="16">
        <v>274.7253</v>
      </c>
      <c r="O127" s="16">
        <f t="shared" si="6"/>
        <v>33.573037500000005</v>
      </c>
      <c r="P127" s="7"/>
      <c r="Q127" s="8">
        <f>bdrate(C127:C130,D127:D130,J127:J130,K127:K130)</f>
        <v>-0.26143163547736303</v>
      </c>
      <c r="R127" s="8">
        <f>bdrate(C127:C130,E127:E130,J127:J130,L127:L130)</f>
        <v>-0.20024233288145943</v>
      </c>
      <c r="S127" s="8">
        <f>bdrate(C127:C130,F127:F130,J127:J130,M127:M130)</f>
        <v>-0.1936421237867253</v>
      </c>
      <c r="T127" s="25">
        <f>bdrate(C127:C130,H127:H130,J127:J130,O127:O130)</f>
        <v>-0.25587442434651875</v>
      </c>
      <c r="U127" s="28">
        <f t="shared" si="8"/>
        <v>-0.2994560893512852</v>
      </c>
    </row>
    <row r="128" spans="1:21" x14ac:dyDescent="0.25">
      <c r="B128" s="9"/>
      <c r="C128" s="17">
        <v>967.71</v>
      </c>
      <c r="D128" s="18">
        <v>30.524999999999999</v>
      </c>
      <c r="E128" s="18">
        <v>35.545000000000002</v>
      </c>
      <c r="F128" s="18">
        <v>37.090000000000003</v>
      </c>
      <c r="G128" s="18">
        <v>436.68</v>
      </c>
      <c r="H128" s="18">
        <f t="shared" si="5"/>
        <v>31.973125</v>
      </c>
      <c r="I128" s="5"/>
      <c r="J128" s="17">
        <v>805.904</v>
      </c>
      <c r="K128" s="18">
        <v>30.801500000000001</v>
      </c>
      <c r="L128" s="18">
        <v>35.7254</v>
      </c>
      <c r="M128" s="18">
        <v>37.253500000000003</v>
      </c>
      <c r="N128" s="18">
        <v>326.08699999999999</v>
      </c>
      <c r="O128" s="18">
        <f t="shared" si="6"/>
        <v>32.223487500000005</v>
      </c>
      <c r="P128" s="7"/>
      <c r="Q128" s="10"/>
      <c r="R128" s="11"/>
      <c r="S128" s="11"/>
      <c r="T128" s="26"/>
      <c r="U128" s="28">
        <f t="shared" si="8"/>
        <v>-0.25325867912430161</v>
      </c>
    </row>
    <row r="129" spans="1:21" x14ac:dyDescent="0.25">
      <c r="B129" s="9"/>
      <c r="C129" s="17">
        <v>615.01</v>
      </c>
      <c r="D129" s="18">
        <v>28.638999999999999</v>
      </c>
      <c r="E129" s="18">
        <v>34.786999999999999</v>
      </c>
      <c r="F129" s="18">
        <v>36.255000000000003</v>
      </c>
      <c r="G129" s="18">
        <v>468.75</v>
      </c>
      <c r="H129" s="18">
        <f t="shared" si="5"/>
        <v>30.359500000000001</v>
      </c>
      <c r="I129" s="5"/>
      <c r="J129" s="17">
        <v>503.96159999999998</v>
      </c>
      <c r="K129" s="18">
        <v>29.174299999999999</v>
      </c>
      <c r="L129" s="18">
        <v>34.766800000000003</v>
      </c>
      <c r="M129" s="18">
        <v>36.220199999999998</v>
      </c>
      <c r="N129" s="18">
        <v>400.53399999999999</v>
      </c>
      <c r="O129" s="18">
        <f t="shared" si="6"/>
        <v>30.754099999999998</v>
      </c>
      <c r="P129" s="7"/>
      <c r="Q129" s="10"/>
      <c r="R129" s="11"/>
      <c r="S129" s="11"/>
      <c r="T129" s="26"/>
      <c r="U129" s="28">
        <f t="shared" si="8"/>
        <v>-0.14552746666666669</v>
      </c>
    </row>
    <row r="130" spans="1:21" ht="16.5" thickBot="1" x14ac:dyDescent="0.3">
      <c r="B130" s="12"/>
      <c r="C130" s="19">
        <v>370.08</v>
      </c>
      <c r="D130" s="20">
        <v>26.411999999999999</v>
      </c>
      <c r="E130" s="20">
        <v>33.85</v>
      </c>
      <c r="F130" s="20">
        <v>35.249000000000002</v>
      </c>
      <c r="G130" s="20">
        <v>533.80999999999995</v>
      </c>
      <c r="H130" s="20">
        <f t="shared" si="5"/>
        <v>28.446374999999996</v>
      </c>
      <c r="I130" s="5"/>
      <c r="J130" s="19">
        <v>301.85199999999998</v>
      </c>
      <c r="K130" s="20">
        <v>27.578099999999999</v>
      </c>
      <c r="L130" s="20">
        <v>33.716999999999999</v>
      </c>
      <c r="M130" s="20">
        <v>35.115000000000002</v>
      </c>
      <c r="N130" s="20">
        <v>492.61079999999998</v>
      </c>
      <c r="O130" s="20">
        <f t="shared" si="6"/>
        <v>29.287574999999997</v>
      </c>
      <c r="P130" s="7"/>
      <c r="Q130" s="13"/>
      <c r="R130" s="14"/>
      <c r="S130" s="14"/>
      <c r="T130" s="27"/>
      <c r="U130" s="28">
        <f t="shared" si="8"/>
        <v>-7.7179520803281998E-2</v>
      </c>
    </row>
    <row r="131" spans="1:21" x14ac:dyDescent="0.25">
      <c r="A131" s="6" t="s">
        <v>41</v>
      </c>
      <c r="B131" s="6" t="s">
        <v>57</v>
      </c>
      <c r="C131" s="15">
        <v>830.27</v>
      </c>
      <c r="D131" s="16">
        <v>34.639000000000003</v>
      </c>
      <c r="E131" s="16">
        <v>38.704000000000001</v>
      </c>
      <c r="F131" s="16">
        <v>37.545000000000002</v>
      </c>
      <c r="G131" s="16">
        <v>1457.73</v>
      </c>
      <c r="H131" s="16">
        <f t="shared" si="5"/>
        <v>35.510375000000003</v>
      </c>
      <c r="I131" s="5"/>
      <c r="J131" s="15">
        <v>606.32159999999999</v>
      </c>
      <c r="K131" s="16">
        <v>34.389600000000002</v>
      </c>
      <c r="L131" s="16">
        <v>39.467399999999998</v>
      </c>
      <c r="M131" s="16">
        <v>38.0167</v>
      </c>
      <c r="N131" s="16">
        <v>728.86300000000006</v>
      </c>
      <c r="O131" s="16">
        <f t="shared" si="6"/>
        <v>35.477712500000003</v>
      </c>
      <c r="P131" s="7"/>
      <c r="Q131" s="8">
        <f>bdrate(C131:C134,D131:D134,J131:J134,K131:K134)</f>
        <v>-0.28635885842305797</v>
      </c>
      <c r="R131" s="8">
        <f>bdrate(C131:C134,E131:E134,J131:J134,L131:L134)</f>
        <v>-0.37073536741310698</v>
      </c>
      <c r="S131" s="8">
        <f>bdrate(C131:C134,F131:F134,J131:J134,M131:M134)</f>
        <v>-0.26652478390150425</v>
      </c>
      <c r="T131" s="25">
        <f>bdrate(C131:C134,H131:H134,J131:J134,O131:O134)</f>
        <v>-0.29170257192295956</v>
      </c>
      <c r="U131" s="28">
        <f t="shared" si="8"/>
        <v>-0.50000137199618577</v>
      </c>
    </row>
    <row r="132" spans="1:21" x14ac:dyDescent="0.25">
      <c r="A132" s="9" t="s">
        <v>42</v>
      </c>
      <c r="B132" s="9"/>
      <c r="C132" s="17">
        <v>554.30999999999995</v>
      </c>
      <c r="D132" s="18">
        <v>32.701000000000001</v>
      </c>
      <c r="E132" s="18">
        <v>37.709000000000003</v>
      </c>
      <c r="F132" s="18">
        <v>36.343000000000004</v>
      </c>
      <c r="G132" s="18">
        <v>1602.56</v>
      </c>
      <c r="H132" s="18">
        <f t="shared" si="5"/>
        <v>33.782250000000005</v>
      </c>
      <c r="I132" s="5"/>
      <c r="J132" s="17">
        <v>404.79199999999997</v>
      </c>
      <c r="K132" s="18">
        <v>32.585099999999997</v>
      </c>
      <c r="L132" s="18">
        <v>38.255499999999998</v>
      </c>
      <c r="M132" s="18">
        <v>36.601900000000001</v>
      </c>
      <c r="N132" s="18">
        <v>866.55110000000002</v>
      </c>
      <c r="O132" s="18">
        <f t="shared" si="6"/>
        <v>33.795999999999999</v>
      </c>
      <c r="P132" s="7"/>
      <c r="Q132" s="10"/>
      <c r="R132" s="11"/>
      <c r="S132" s="11"/>
      <c r="T132" s="26"/>
      <c r="U132" s="28">
        <f t="shared" si="8"/>
        <v>-0.45927072933306706</v>
      </c>
    </row>
    <row r="133" spans="1:21" x14ac:dyDescent="0.25">
      <c r="B133" s="9"/>
      <c r="C133" s="17">
        <v>347.97</v>
      </c>
      <c r="D133" s="18">
        <v>30.582000000000001</v>
      </c>
      <c r="E133" s="18">
        <v>36.793999999999997</v>
      </c>
      <c r="F133" s="18">
        <v>35.234999999999999</v>
      </c>
      <c r="G133" s="18">
        <v>1683.5</v>
      </c>
      <c r="H133" s="18">
        <f t="shared" si="5"/>
        <v>31.940125000000002</v>
      </c>
      <c r="I133" s="5"/>
      <c r="J133" s="17">
        <v>253.9</v>
      </c>
      <c r="K133" s="18">
        <v>30.6904</v>
      </c>
      <c r="L133" s="18">
        <v>37.100999999999999</v>
      </c>
      <c r="M133" s="18">
        <v>35.150199999999998</v>
      </c>
      <c r="N133" s="18">
        <v>972.76260000000002</v>
      </c>
      <c r="O133" s="18">
        <f t="shared" si="6"/>
        <v>32.049199999999999</v>
      </c>
      <c r="P133" s="7"/>
      <c r="Q133" s="10"/>
      <c r="R133" s="11"/>
      <c r="S133" s="11"/>
      <c r="T133" s="26"/>
      <c r="U133" s="28">
        <f t="shared" si="8"/>
        <v>-0.42217843777843778</v>
      </c>
    </row>
    <row r="134" spans="1:21" ht="16.5" thickBot="1" x14ac:dyDescent="0.3">
      <c r="B134" s="12"/>
      <c r="C134" s="19">
        <v>171.09</v>
      </c>
      <c r="D134" s="20">
        <v>27.297000000000001</v>
      </c>
      <c r="E134" s="20">
        <v>35.509</v>
      </c>
      <c r="F134" s="20">
        <v>33.805</v>
      </c>
      <c r="G134" s="20">
        <v>1683.5</v>
      </c>
      <c r="H134" s="20">
        <f t="shared" si="5"/>
        <v>29.137</v>
      </c>
      <c r="I134" s="5"/>
      <c r="J134" s="19">
        <v>122.508</v>
      </c>
      <c r="K134" s="20">
        <v>27.881599999999999</v>
      </c>
      <c r="L134" s="20">
        <v>35.458599999999997</v>
      </c>
      <c r="M134" s="20">
        <v>33.089599999999997</v>
      </c>
      <c r="N134" s="20">
        <v>1392.7577000000001</v>
      </c>
      <c r="O134" s="20">
        <f t="shared" si="6"/>
        <v>29.479724999999998</v>
      </c>
      <c r="P134" s="7"/>
      <c r="Q134" s="13"/>
      <c r="R134" s="14"/>
      <c r="S134" s="14"/>
      <c r="T134" s="27"/>
      <c r="U134" s="28">
        <f t="shared" si="8"/>
        <v>-0.17270109890109883</v>
      </c>
    </row>
    <row r="135" spans="1:21" x14ac:dyDescent="0.25">
      <c r="B135" s="6" t="s">
        <v>58</v>
      </c>
      <c r="C135" s="15">
        <v>722.75</v>
      </c>
      <c r="D135" s="16">
        <v>30.75</v>
      </c>
      <c r="E135" s="16">
        <v>38.570999999999998</v>
      </c>
      <c r="F135" s="16">
        <v>38.991</v>
      </c>
      <c r="G135" s="16">
        <v>1538.46</v>
      </c>
      <c r="H135" s="16">
        <f t="shared" si="5"/>
        <v>32.757750000000001</v>
      </c>
      <c r="I135" s="5"/>
      <c r="J135" s="15">
        <v>607.72</v>
      </c>
      <c r="K135" s="16">
        <v>33.617600000000003</v>
      </c>
      <c r="L135" s="16">
        <v>41.121600000000001</v>
      </c>
      <c r="M135" s="16">
        <v>41.9405</v>
      </c>
      <c r="N135" s="16">
        <v>874.63559999999995</v>
      </c>
      <c r="O135" s="16">
        <f t="shared" si="6"/>
        <v>35.595962499999999</v>
      </c>
      <c r="P135" s="7"/>
      <c r="Q135" s="8">
        <f>bdrate(C135:C138,D135:D138,J135:J138,K135:K138)</f>
        <v>-0.66380911151031508</v>
      </c>
      <c r="R135" s="8">
        <f>bdrate(C135:C138,E135:E138,J135:J138,L135:L138)</f>
        <v>-0.76885318955581272</v>
      </c>
      <c r="S135" s="8">
        <f>bdrate(C135:C138,F135:F138,J135:J138,M135:M138)</f>
        <v>-0.78296283062130001</v>
      </c>
      <c r="T135" s="25">
        <f>bdrate(C135:C138,H135:H138,J135:J138,O135:O138)</f>
        <v>-0.68188942164957755</v>
      </c>
      <c r="U135" s="28">
        <f t="shared" si="8"/>
        <v>-0.43148629148629153</v>
      </c>
    </row>
    <row r="136" spans="1:21" x14ac:dyDescent="0.25">
      <c r="B136" s="9"/>
      <c r="C136" s="17">
        <v>480.78</v>
      </c>
      <c r="D136" s="18">
        <v>29.260999999999999</v>
      </c>
      <c r="E136" s="18">
        <v>38.146000000000001</v>
      </c>
      <c r="F136" s="18">
        <v>38.401000000000003</v>
      </c>
      <c r="G136" s="18">
        <v>1923.08</v>
      </c>
      <c r="H136" s="18">
        <f t="shared" si="5"/>
        <v>31.514125</v>
      </c>
      <c r="I136" s="5"/>
      <c r="J136" s="17">
        <v>405.12720000000002</v>
      </c>
      <c r="K136" s="18">
        <v>32.341700000000003</v>
      </c>
      <c r="L136" s="18">
        <v>40.207900000000002</v>
      </c>
      <c r="M136" s="18">
        <v>41.008600000000001</v>
      </c>
      <c r="N136" s="18">
        <v>1098.9011</v>
      </c>
      <c r="O136" s="18">
        <f t="shared" si="6"/>
        <v>34.408337500000002</v>
      </c>
      <c r="P136" s="7"/>
      <c r="Q136" s="10"/>
      <c r="R136" s="11"/>
      <c r="S136" s="11"/>
      <c r="T136" s="26"/>
      <c r="U136" s="28">
        <f t="shared" si="8"/>
        <v>-0.42857234228425228</v>
      </c>
    </row>
    <row r="137" spans="1:21" x14ac:dyDescent="0.25">
      <c r="B137" s="9"/>
      <c r="C137" s="17">
        <v>298.77999999999997</v>
      </c>
      <c r="D137" s="18">
        <v>27.686</v>
      </c>
      <c r="E137" s="18">
        <v>37.744999999999997</v>
      </c>
      <c r="F137" s="18">
        <v>37.887999999999998</v>
      </c>
      <c r="G137" s="18">
        <v>1834.86</v>
      </c>
      <c r="H137" s="18">
        <f t="shared" si="5"/>
        <v>30.218624999999999</v>
      </c>
      <c r="I137" s="5"/>
      <c r="J137" s="17">
        <v>253.04480000000001</v>
      </c>
      <c r="K137" s="18">
        <v>30.821000000000002</v>
      </c>
      <c r="L137" s="18">
        <v>39.476799999999997</v>
      </c>
      <c r="M137" s="18">
        <v>40.044699999999999</v>
      </c>
      <c r="N137" s="18">
        <v>1372.9976999999999</v>
      </c>
      <c r="O137" s="18">
        <f t="shared" si="6"/>
        <v>33.055937499999999</v>
      </c>
      <c r="P137" s="7"/>
      <c r="Q137" s="10"/>
      <c r="R137" s="11"/>
      <c r="S137" s="11"/>
      <c r="T137" s="26"/>
      <c r="U137" s="28">
        <f t="shared" si="8"/>
        <v>-0.25171528072986499</v>
      </c>
    </row>
    <row r="138" spans="1:21" ht="16.5" thickBot="1" x14ac:dyDescent="0.3">
      <c r="B138" s="12"/>
      <c r="C138" s="19">
        <v>141.81</v>
      </c>
      <c r="D138" s="20">
        <v>25.414999999999999</v>
      </c>
      <c r="E138" s="20">
        <v>37.176000000000002</v>
      </c>
      <c r="F138" s="20">
        <v>37.148000000000003</v>
      </c>
      <c r="G138" s="20">
        <v>1829.27</v>
      </c>
      <c r="H138" s="20">
        <f t="shared" si="5"/>
        <v>28.351749999999999</v>
      </c>
      <c r="I138" s="5"/>
      <c r="J138" s="19">
        <v>121.7016</v>
      </c>
      <c r="K138" s="20">
        <v>28.271899999999999</v>
      </c>
      <c r="L138" s="20">
        <v>38.124200000000002</v>
      </c>
      <c r="M138" s="20">
        <v>38.537199999999999</v>
      </c>
      <c r="N138" s="20">
        <v>1749.2710999999999</v>
      </c>
      <c r="O138" s="20">
        <f t="shared" si="6"/>
        <v>30.7866</v>
      </c>
      <c r="P138" s="7"/>
      <c r="Q138" s="13"/>
      <c r="R138" s="14"/>
      <c r="S138" s="14"/>
      <c r="T138" s="27"/>
      <c r="U138" s="28">
        <f t="shared" si="8"/>
        <v>-4.3732691182821588E-2</v>
      </c>
    </row>
    <row r="139" spans="1:21" x14ac:dyDescent="0.25">
      <c r="B139" s="6" t="s">
        <v>59</v>
      </c>
      <c r="C139" s="29">
        <v>816.01</v>
      </c>
      <c r="D139" s="30">
        <v>32.420999999999999</v>
      </c>
      <c r="E139" s="30">
        <v>36.048000000000002</v>
      </c>
      <c r="F139" s="30">
        <v>36.432000000000002</v>
      </c>
      <c r="G139" s="16">
        <v>1683.5</v>
      </c>
      <c r="H139" s="16">
        <f t="shared" si="5"/>
        <v>33.375750000000004</v>
      </c>
      <c r="I139" s="5"/>
      <c r="J139" s="29">
        <v>634.69759999999997</v>
      </c>
      <c r="K139" s="30">
        <v>33.081099999999999</v>
      </c>
      <c r="L139" s="30">
        <v>37.961799999999997</v>
      </c>
      <c r="M139" s="30">
        <v>38.720399999999998</v>
      </c>
      <c r="N139" s="16">
        <v>801.28210000000001</v>
      </c>
      <c r="O139" s="16">
        <f t="shared" si="6"/>
        <v>34.396099999999997</v>
      </c>
      <c r="P139" s="7"/>
      <c r="Q139" s="8">
        <f>bdrate(C139:C142,D139:D142,J139:J142,K139:K142)</f>
        <v>-0.38360485660703081</v>
      </c>
      <c r="R139" s="8">
        <f>bdrate(C139:C142,E139:E142,J139:J142,L139:L142)</f>
        <v>-0.59416466499821263</v>
      </c>
      <c r="S139" s="8">
        <f>bdrate(C139:C142,F139:F142,J139:J142,M139:M142)</f>
        <v>-0.66041432170452963</v>
      </c>
      <c r="T139" s="25">
        <f>bdrate(C139:C142,H139:H142,J139:J142,O139:O142)</f>
        <v>-0.43332861249816146</v>
      </c>
      <c r="U139" s="28">
        <f t="shared" si="8"/>
        <v>-0.5240379566379566</v>
      </c>
    </row>
    <row r="140" spans="1:21" x14ac:dyDescent="0.25">
      <c r="B140" s="9"/>
      <c r="C140" s="31">
        <v>543.05999999999995</v>
      </c>
      <c r="D140" s="32">
        <v>30.786999999999999</v>
      </c>
      <c r="E140" s="32">
        <v>35.271000000000001</v>
      </c>
      <c r="F140" s="32">
        <v>35.698999999999998</v>
      </c>
      <c r="G140" s="18">
        <v>1779.36</v>
      </c>
      <c r="H140" s="18">
        <f t="shared" si="5"/>
        <v>31.961500000000001</v>
      </c>
      <c r="I140" s="5"/>
      <c r="J140" s="31">
        <v>422.0016</v>
      </c>
      <c r="K140" s="32">
        <v>31.565899999999999</v>
      </c>
      <c r="L140" s="32">
        <v>36.957999999999998</v>
      </c>
      <c r="M140" s="32">
        <v>37.671100000000003</v>
      </c>
      <c r="N140" s="18">
        <v>1002.004</v>
      </c>
      <c r="O140" s="18">
        <f t="shared" si="6"/>
        <v>33.003062499999999</v>
      </c>
      <c r="P140" s="7"/>
      <c r="Q140" s="10"/>
      <c r="R140" s="11"/>
      <c r="S140" s="11"/>
      <c r="T140" s="26"/>
      <c r="U140" s="28">
        <f t="shared" si="8"/>
        <v>-0.43687393220034165</v>
      </c>
    </row>
    <row r="141" spans="1:21" x14ac:dyDescent="0.25">
      <c r="B141" s="9"/>
      <c r="C141" s="31">
        <v>338.07</v>
      </c>
      <c r="D141" s="32">
        <v>29.045999999999999</v>
      </c>
      <c r="E141" s="32">
        <v>34.441000000000003</v>
      </c>
      <c r="F141" s="32">
        <v>34.895000000000003</v>
      </c>
      <c r="G141" s="18">
        <v>1683.5</v>
      </c>
      <c r="H141" s="18">
        <f t="shared" si="5"/>
        <v>30.451500000000003</v>
      </c>
      <c r="I141" s="5"/>
      <c r="J141" s="31">
        <v>264.0496</v>
      </c>
      <c r="K141" s="32">
        <v>29.8964</v>
      </c>
      <c r="L141" s="32">
        <v>35.756399999999999</v>
      </c>
      <c r="M141" s="32">
        <v>36.507300000000001</v>
      </c>
      <c r="N141" s="18">
        <v>1187.6485</v>
      </c>
      <c r="O141" s="18">
        <f t="shared" si="6"/>
        <v>31.455262499999996</v>
      </c>
      <c r="P141" s="7"/>
      <c r="Q141" s="10"/>
      <c r="R141" s="11"/>
      <c r="S141" s="11"/>
      <c r="T141" s="26"/>
      <c r="U141" s="28">
        <f t="shared" si="8"/>
        <v>-0.29453608553608551</v>
      </c>
    </row>
    <row r="142" spans="1:21" ht="16.5" thickBot="1" x14ac:dyDescent="0.3">
      <c r="B142" s="12"/>
      <c r="C142" s="33">
        <v>159.19</v>
      </c>
      <c r="D142" s="34">
        <v>26.492000000000001</v>
      </c>
      <c r="E142" s="34">
        <v>33.526000000000003</v>
      </c>
      <c r="F142" s="34">
        <v>34.036000000000001</v>
      </c>
      <c r="G142" s="20">
        <v>1785.71</v>
      </c>
      <c r="H142" s="20">
        <f t="shared" si="5"/>
        <v>28.314250000000001</v>
      </c>
      <c r="I142" s="5"/>
      <c r="J142" s="33">
        <v>126.67440000000001</v>
      </c>
      <c r="K142" s="34">
        <v>27.533200000000001</v>
      </c>
      <c r="L142" s="34">
        <v>34.1145</v>
      </c>
      <c r="M142" s="34">
        <v>34.911000000000001</v>
      </c>
      <c r="N142" s="20">
        <v>1396.6479999999999</v>
      </c>
      <c r="O142" s="20">
        <f t="shared" si="6"/>
        <v>29.278087500000002</v>
      </c>
      <c r="P142" s="7"/>
      <c r="Q142" s="13"/>
      <c r="R142" s="14"/>
      <c r="S142" s="14"/>
      <c r="T142" s="27"/>
      <c r="U142" s="28">
        <f t="shared" si="8"/>
        <v>-0.21787524290058302</v>
      </c>
    </row>
    <row r="143" spans="1:21" x14ac:dyDescent="0.25">
      <c r="B143" s="6" t="s">
        <v>60</v>
      </c>
      <c r="C143" s="15">
        <v>748.62</v>
      </c>
      <c r="D143" s="16">
        <v>34.417999999999999</v>
      </c>
      <c r="E143" s="16">
        <v>36.948</v>
      </c>
      <c r="F143" s="16">
        <v>38.015000000000001</v>
      </c>
      <c r="G143" s="16">
        <v>1282.05</v>
      </c>
      <c r="H143" s="16">
        <f t="shared" si="5"/>
        <v>35.183875</v>
      </c>
      <c r="I143" s="5"/>
      <c r="J143" s="15">
        <v>606.49919999999997</v>
      </c>
      <c r="K143" s="16">
        <v>34.0107</v>
      </c>
      <c r="L143" s="16">
        <v>37.608199999999997</v>
      </c>
      <c r="M143" s="16">
        <v>38.657899999999998</v>
      </c>
      <c r="N143" s="16">
        <v>519.9307</v>
      </c>
      <c r="O143" s="16">
        <f t="shared" si="6"/>
        <v>35.041287499999996</v>
      </c>
      <c r="P143" s="7"/>
      <c r="Q143" s="8">
        <f>bdrate(C143:C146,D143:D146,J143:J146,K143:K146)</f>
        <v>-0.16949446462505358</v>
      </c>
      <c r="R143" s="8">
        <f>bdrate(C143:C146,E143:E146,J143:J146,L143:L146)</f>
        <v>-0.28630185054928192</v>
      </c>
      <c r="S143" s="8">
        <f>bdrate(C143:C146,F143:F146,J143:J146,M143:M146)</f>
        <v>-0.27261954522048248</v>
      </c>
      <c r="T143" s="25">
        <f>bdrate(C143:C146,H143:H146,J143:J146,O143:O146)</f>
        <v>-0.18938966838446825</v>
      </c>
      <c r="U143" s="28">
        <f t="shared" si="8"/>
        <v>-0.59445364845364845</v>
      </c>
    </row>
    <row r="144" spans="1:21" x14ac:dyDescent="0.25">
      <c r="B144" s="9"/>
      <c r="C144" s="17">
        <v>501.52</v>
      </c>
      <c r="D144" s="18">
        <v>32.478999999999999</v>
      </c>
      <c r="E144" s="18">
        <v>35.930999999999997</v>
      </c>
      <c r="F144" s="18">
        <v>36.984999999999999</v>
      </c>
      <c r="G144" s="18">
        <v>1485.15</v>
      </c>
      <c r="H144" s="18">
        <f t="shared" si="5"/>
        <v>33.473750000000003</v>
      </c>
      <c r="I144" s="5"/>
      <c r="J144" s="17">
        <v>404.3048</v>
      </c>
      <c r="K144" s="18">
        <v>32.180199999999999</v>
      </c>
      <c r="L144" s="18">
        <v>36.436700000000002</v>
      </c>
      <c r="M144" s="18">
        <v>37.492600000000003</v>
      </c>
      <c r="N144" s="18">
        <v>621.11800000000005</v>
      </c>
      <c r="O144" s="18">
        <f t="shared" si="6"/>
        <v>33.376312499999997</v>
      </c>
      <c r="P144" s="7"/>
      <c r="Q144" s="10"/>
      <c r="R144" s="11"/>
      <c r="S144" s="11"/>
      <c r="T144" s="26"/>
      <c r="U144" s="28">
        <f t="shared" si="8"/>
        <v>-0.58178096488570175</v>
      </c>
    </row>
    <row r="145" spans="1:21" x14ac:dyDescent="0.25">
      <c r="B145" s="9"/>
      <c r="C145" s="17">
        <v>314.12</v>
      </c>
      <c r="D145" s="18">
        <v>30.434000000000001</v>
      </c>
      <c r="E145" s="18">
        <v>34.905000000000001</v>
      </c>
      <c r="F145" s="18">
        <v>35.950000000000003</v>
      </c>
      <c r="G145" s="18">
        <v>1477.83</v>
      </c>
      <c r="H145" s="18">
        <f t="shared" si="5"/>
        <v>31.682375</v>
      </c>
      <c r="I145" s="5"/>
      <c r="J145" s="17">
        <v>252.99520000000001</v>
      </c>
      <c r="K145" s="18">
        <v>30.267700000000001</v>
      </c>
      <c r="L145" s="18">
        <v>35.152099999999997</v>
      </c>
      <c r="M145" s="18">
        <v>36.152700000000003</v>
      </c>
      <c r="N145" s="18">
        <v>740.74069999999995</v>
      </c>
      <c r="O145" s="18">
        <f t="shared" si="6"/>
        <v>31.613875</v>
      </c>
      <c r="P145" s="7"/>
      <c r="Q145" s="10"/>
      <c r="R145" s="11"/>
      <c r="S145" s="11"/>
      <c r="T145" s="26"/>
      <c r="U145" s="28">
        <f t="shared" si="8"/>
        <v>-0.49876460756649954</v>
      </c>
    </row>
    <row r="146" spans="1:21" ht="16.5" thickBot="1" x14ac:dyDescent="0.3">
      <c r="B146" s="12"/>
      <c r="C146" s="19">
        <v>149.66</v>
      </c>
      <c r="D146" s="20">
        <v>27.311</v>
      </c>
      <c r="E146" s="20">
        <v>33.53</v>
      </c>
      <c r="F146" s="20">
        <v>34.545999999999999</v>
      </c>
      <c r="G146" s="20">
        <v>1477.83</v>
      </c>
      <c r="H146" s="20">
        <f t="shared" si="5"/>
        <v>28.992749999999997</v>
      </c>
      <c r="I146" s="5"/>
      <c r="J146" s="19">
        <v>121.3648</v>
      </c>
      <c r="K146" s="20">
        <v>27.771799999999999</v>
      </c>
      <c r="L146" s="20">
        <v>33.519100000000002</v>
      </c>
      <c r="M146" s="20">
        <v>34.431699999999999</v>
      </c>
      <c r="N146" s="20">
        <v>961.5385</v>
      </c>
      <c r="O146" s="20">
        <f t="shared" si="6"/>
        <v>29.322700000000001</v>
      </c>
      <c r="P146" s="7"/>
      <c r="Q146" s="13"/>
      <c r="R146" s="14"/>
      <c r="S146" s="14"/>
      <c r="T146" s="27"/>
      <c r="U146" s="28">
        <f t="shared" si="8"/>
        <v>-0.34935784224166511</v>
      </c>
    </row>
    <row r="147" spans="1:21" x14ac:dyDescent="0.25">
      <c r="A147" s="6" t="s">
        <v>43</v>
      </c>
      <c r="B147" s="6" t="s">
        <v>61</v>
      </c>
      <c r="C147" s="15">
        <v>1896.4</v>
      </c>
      <c r="D147" s="16">
        <v>40.869999999999997</v>
      </c>
      <c r="E147" s="16">
        <v>44.581000000000003</v>
      </c>
      <c r="F147" s="16">
        <v>45.67</v>
      </c>
      <c r="G147" s="16">
        <v>237.44</v>
      </c>
      <c r="H147" s="16">
        <f t="shared" si="5"/>
        <v>41.933875</v>
      </c>
      <c r="I147" s="5"/>
      <c r="J147" s="15">
        <v>1557.4792</v>
      </c>
      <c r="K147" s="16">
        <v>41.331499999999998</v>
      </c>
      <c r="L147" s="16">
        <v>45.534500000000001</v>
      </c>
      <c r="M147" s="16">
        <v>46.684399999999997</v>
      </c>
      <c r="N147" s="16">
        <v>207.90020000000001</v>
      </c>
      <c r="O147" s="16">
        <f t="shared" si="6"/>
        <v>42.525987499999992</v>
      </c>
      <c r="P147" s="7"/>
      <c r="Q147" s="8">
        <f>bdrate(C147:C150,D147:D150,J147:J150,K147:K150)</f>
        <v>-0.36175543040821612</v>
      </c>
      <c r="R147" s="8">
        <f>bdrate(C147:C150,E147:E150,J147:J150,L147:L150)</f>
        <v>-0.47523269643412314</v>
      </c>
      <c r="S147" s="8">
        <f>bdrate(C147:C150,F147:F150,J147:J150,M147:M150)</f>
        <v>-0.49818437814206895</v>
      </c>
      <c r="T147" s="25">
        <f>bdrate(C147:C150,H147:H150,J147:J150,O147:O150)</f>
        <v>-0.3870195033105488</v>
      </c>
      <c r="U147" s="28">
        <f t="shared" si="8"/>
        <v>-0.1244095350404312</v>
      </c>
    </row>
    <row r="148" spans="1:21" x14ac:dyDescent="0.25">
      <c r="A148" s="9" t="s">
        <v>44</v>
      </c>
      <c r="B148" s="9"/>
      <c r="C148" s="17">
        <v>1237.8399999999999</v>
      </c>
      <c r="D148" s="18">
        <v>39.482999999999997</v>
      </c>
      <c r="E148" s="18">
        <v>43.412999999999997</v>
      </c>
      <c r="F148" s="18">
        <v>44.389000000000003</v>
      </c>
      <c r="G148" s="18">
        <v>259.85000000000002</v>
      </c>
      <c r="H148" s="18">
        <f t="shared" si="5"/>
        <v>40.587499999999999</v>
      </c>
      <c r="I148" s="5"/>
      <c r="J148" s="17">
        <v>990.93759999999997</v>
      </c>
      <c r="K148" s="18">
        <v>40.107900000000001</v>
      </c>
      <c r="L148" s="18">
        <v>44.458300000000001</v>
      </c>
      <c r="M148" s="18">
        <v>45.578699999999998</v>
      </c>
      <c r="N148" s="18">
        <v>307.69229999999999</v>
      </c>
      <c r="O148" s="18">
        <f t="shared" si="6"/>
        <v>41.335549999999998</v>
      </c>
      <c r="P148" s="7"/>
      <c r="Q148" s="10"/>
      <c r="R148" s="11"/>
      <c r="S148" s="11"/>
      <c r="T148" s="26"/>
      <c r="U148" s="28">
        <f t="shared" si="8"/>
        <v>0.18411506638445241</v>
      </c>
    </row>
    <row r="149" spans="1:21" x14ac:dyDescent="0.25">
      <c r="B149" s="9"/>
      <c r="C149" s="17">
        <v>730.03</v>
      </c>
      <c r="D149" s="18">
        <v>37.146000000000001</v>
      </c>
      <c r="E149" s="18">
        <v>41.869</v>
      </c>
      <c r="F149" s="18">
        <v>42.603999999999999</v>
      </c>
      <c r="G149" s="18">
        <v>258.18</v>
      </c>
      <c r="H149" s="18">
        <f t="shared" si="5"/>
        <v>38.418624999999999</v>
      </c>
      <c r="I149" s="5"/>
      <c r="J149" s="17">
        <v>581.59280000000001</v>
      </c>
      <c r="K149" s="18">
        <v>38.179099999999998</v>
      </c>
      <c r="L149" s="18">
        <v>43.074599999999997</v>
      </c>
      <c r="M149" s="18">
        <v>44.135100000000001</v>
      </c>
      <c r="N149" s="18">
        <v>346.62049999999999</v>
      </c>
      <c r="O149" s="18">
        <f t="shared" si="6"/>
        <v>39.535537499999997</v>
      </c>
      <c r="P149" s="7"/>
      <c r="Q149" s="10"/>
      <c r="R149" s="11"/>
      <c r="S149" s="11"/>
      <c r="T149" s="26"/>
      <c r="U149" s="28">
        <f t="shared" si="8"/>
        <v>0.34255364474397698</v>
      </c>
    </row>
    <row r="150" spans="1:21" ht="16.5" thickBot="1" x14ac:dyDescent="0.3">
      <c r="B150" s="12"/>
      <c r="C150" s="19">
        <v>358.71</v>
      </c>
      <c r="D150" s="20">
        <v>33.15</v>
      </c>
      <c r="E150" s="20">
        <v>39.872</v>
      </c>
      <c r="F150" s="20">
        <v>40.729999999999997</v>
      </c>
      <c r="G150" s="20">
        <v>267.14</v>
      </c>
      <c r="H150" s="20">
        <f t="shared" si="5"/>
        <v>34.937750000000001</v>
      </c>
      <c r="I150" s="5"/>
      <c r="J150" s="19">
        <v>284.01519999999999</v>
      </c>
      <c r="K150" s="20">
        <v>34.7502</v>
      </c>
      <c r="L150" s="20">
        <v>41.116100000000003</v>
      </c>
      <c r="M150" s="20">
        <v>41.944699999999997</v>
      </c>
      <c r="N150" s="20">
        <v>413.50790000000001</v>
      </c>
      <c r="O150" s="20">
        <f t="shared" si="6"/>
        <v>36.445250000000001</v>
      </c>
      <c r="P150" s="7"/>
      <c r="Q150" s="13"/>
      <c r="R150" s="14"/>
      <c r="S150" s="14"/>
      <c r="T150" s="27"/>
      <c r="U150" s="28">
        <f t="shared" si="8"/>
        <v>0.54790708991540027</v>
      </c>
    </row>
    <row r="151" spans="1:21" x14ac:dyDescent="0.25">
      <c r="B151" s="6" t="s">
        <v>62</v>
      </c>
      <c r="C151" s="15">
        <v>1991.55</v>
      </c>
      <c r="D151" s="16">
        <v>41.807000000000002</v>
      </c>
      <c r="E151" s="16">
        <v>46.203000000000003</v>
      </c>
      <c r="F151" s="16">
        <v>46.707999999999998</v>
      </c>
      <c r="G151" s="16">
        <v>248.14</v>
      </c>
      <c r="H151" s="16">
        <f t="shared" si="5"/>
        <v>42.969125000000005</v>
      </c>
      <c r="I151" s="5"/>
      <c r="J151" s="15">
        <v>1503.6823999999999</v>
      </c>
      <c r="K151" s="16">
        <v>42.563000000000002</v>
      </c>
      <c r="L151" s="16">
        <v>47.57</v>
      </c>
      <c r="M151" s="16">
        <v>48.2545</v>
      </c>
      <c r="N151" s="16">
        <v>219.78020000000001</v>
      </c>
      <c r="O151" s="16">
        <f t="shared" si="6"/>
        <v>43.900312500000005</v>
      </c>
      <c r="P151" s="7"/>
      <c r="Q151" s="8">
        <f>bdrate(C151:C154,D151:D154,J151:J154,K151:K154)</f>
        <v>-0.58225162443371425</v>
      </c>
      <c r="R151" s="8">
        <f>bdrate(C151:C154,E151:E154,J151:J154,L151:L154)</f>
        <v>-0.68267342959578481</v>
      </c>
      <c r="S151" s="8">
        <f>bdrate(C151:C154,F151:F154,J151:J154,M151:M154)</f>
        <v>-0.70003747270379368</v>
      </c>
      <c r="T151" s="25">
        <f>bdrate(C151:C154,H151:H154,J151:J154,O151:O154)</f>
        <v>-0.61123020193163269</v>
      </c>
      <c r="U151" s="28">
        <f t="shared" ref="U151:U158" si="9">(N151-G151)/G151</f>
        <v>-0.11428951398404119</v>
      </c>
    </row>
    <row r="152" spans="1:21" x14ac:dyDescent="0.25">
      <c r="B152" s="9"/>
      <c r="C152" s="17">
        <v>1303.4100000000001</v>
      </c>
      <c r="D152" s="18">
        <v>40.962000000000003</v>
      </c>
      <c r="E152" s="18">
        <v>45.308</v>
      </c>
      <c r="F152" s="18">
        <v>45.692</v>
      </c>
      <c r="G152" s="18">
        <v>278.68</v>
      </c>
      <c r="H152" s="18">
        <f t="shared" si="5"/>
        <v>42.096500000000006</v>
      </c>
      <c r="I152" s="5"/>
      <c r="J152" s="17">
        <v>1002.2776</v>
      </c>
      <c r="K152" s="18">
        <v>42.009599999999999</v>
      </c>
      <c r="L152" s="18">
        <v>46.990499999999997</v>
      </c>
      <c r="M152" s="18">
        <v>47.662799999999997</v>
      </c>
      <c r="N152" s="18">
        <v>320.51280000000003</v>
      </c>
      <c r="O152" s="18">
        <f t="shared" si="6"/>
        <v>43.338862499999998</v>
      </c>
      <c r="P152" s="7"/>
      <c r="Q152" s="10"/>
      <c r="R152" s="11"/>
      <c r="S152" s="11"/>
      <c r="T152" s="26"/>
      <c r="U152" s="28">
        <f t="shared" si="9"/>
        <v>0.15011052102770209</v>
      </c>
    </row>
    <row r="153" spans="1:21" x14ac:dyDescent="0.25">
      <c r="B153" s="9"/>
      <c r="C153" s="17">
        <v>761.93</v>
      </c>
      <c r="D153" s="18">
        <v>39.420999999999999</v>
      </c>
      <c r="E153" s="18">
        <v>43.899000000000001</v>
      </c>
      <c r="F153" s="18">
        <v>44.539000000000001</v>
      </c>
      <c r="G153" s="18">
        <v>284.89999999999998</v>
      </c>
      <c r="H153" s="18">
        <f t="shared" si="5"/>
        <v>40.6205</v>
      </c>
      <c r="I153" s="5"/>
      <c r="J153" s="17">
        <v>574.55200000000002</v>
      </c>
      <c r="K153" s="18">
        <v>41.063000000000002</v>
      </c>
      <c r="L153" s="18">
        <v>46.061999999999998</v>
      </c>
      <c r="M153" s="18">
        <v>46.690899999999999</v>
      </c>
      <c r="N153" s="18">
        <v>359.49669999999998</v>
      </c>
      <c r="O153" s="18">
        <f t="shared" si="6"/>
        <v>42.3913625</v>
      </c>
      <c r="P153" s="7"/>
      <c r="Q153" s="10"/>
      <c r="R153" s="11"/>
      <c r="S153" s="11"/>
      <c r="T153" s="26"/>
      <c r="U153" s="28">
        <f t="shared" si="9"/>
        <v>0.26183467883467887</v>
      </c>
    </row>
    <row r="154" spans="1:21" ht="16.5" thickBot="1" x14ac:dyDescent="0.3">
      <c r="B154" s="12"/>
      <c r="C154" s="19">
        <v>362.52</v>
      </c>
      <c r="D154" s="20">
        <v>36.212000000000003</v>
      </c>
      <c r="E154" s="20">
        <v>41.677999999999997</v>
      </c>
      <c r="F154" s="20">
        <v>42.509</v>
      </c>
      <c r="G154" s="20">
        <v>293.26</v>
      </c>
      <c r="H154" s="20">
        <f t="shared" si="5"/>
        <v>37.682375000000008</v>
      </c>
      <c r="I154" s="5"/>
      <c r="J154" s="19">
        <v>285.89600000000002</v>
      </c>
      <c r="K154" s="20">
        <v>39.005099999999999</v>
      </c>
      <c r="L154" s="20">
        <v>44.206400000000002</v>
      </c>
      <c r="M154" s="20">
        <v>44.726300000000002</v>
      </c>
      <c r="N154" s="20">
        <v>400.53399999999999</v>
      </c>
      <c r="O154" s="20">
        <f t="shared" si="6"/>
        <v>40.370412499999993</v>
      </c>
      <c r="P154" s="7"/>
      <c r="Q154" s="13"/>
      <c r="R154" s="14"/>
      <c r="S154" s="14"/>
      <c r="T154" s="27"/>
      <c r="U154" s="28">
        <f t="shared" si="9"/>
        <v>0.3657982677487554</v>
      </c>
    </row>
    <row r="155" spans="1:21" x14ac:dyDescent="0.25">
      <c r="B155" s="6" t="s">
        <v>63</v>
      </c>
      <c r="C155" s="15">
        <v>2089.94</v>
      </c>
      <c r="D155" s="16">
        <v>41.784999999999997</v>
      </c>
      <c r="E155" s="16">
        <v>45.500999999999998</v>
      </c>
      <c r="F155" s="16">
        <v>46.249000000000002</v>
      </c>
      <c r="G155" s="16">
        <v>251.47</v>
      </c>
      <c r="H155" s="16">
        <f t="shared" si="5"/>
        <v>42.807499999999997</v>
      </c>
      <c r="I155" s="5"/>
      <c r="J155" s="15">
        <v>1552.1904</v>
      </c>
      <c r="K155" s="16">
        <v>42.415599999999998</v>
      </c>
      <c r="L155" s="16">
        <v>46.639800000000001</v>
      </c>
      <c r="M155" s="16">
        <v>47.512999999999998</v>
      </c>
      <c r="N155" s="16">
        <v>218.49959999999999</v>
      </c>
      <c r="O155" s="16">
        <f t="shared" si="6"/>
        <v>43.580799999999996</v>
      </c>
      <c r="P155" s="7"/>
      <c r="Q155" s="8">
        <f>bdrate(C155:C158,D155:D158,J155:J158,K155:K158)</f>
        <v>-0.50112532445925417</v>
      </c>
      <c r="R155" s="8">
        <f>bdrate(C155:C158,E155:E158,J155:J158,L155:L158)</f>
        <v>-0.57358094116594238</v>
      </c>
      <c r="S155" s="8">
        <f>bdrate(C155:C158,F155:F158,J155:J158,M155:M158)</f>
        <v>-0.59537223624275848</v>
      </c>
      <c r="T155" s="25">
        <f>bdrate(C155:C158,H155:H158,J155:J158,O155:O158)</f>
        <v>-0.52063677327049451</v>
      </c>
      <c r="U155" s="28">
        <f t="shared" si="9"/>
        <v>-0.13111066926472348</v>
      </c>
    </row>
    <row r="156" spans="1:21" x14ac:dyDescent="0.25">
      <c r="B156" s="9"/>
      <c r="C156" s="17">
        <v>1375.68</v>
      </c>
      <c r="D156" s="18">
        <v>40.549999999999997</v>
      </c>
      <c r="E156" s="18">
        <v>44.460999999999999</v>
      </c>
      <c r="F156" s="18">
        <v>45.048999999999999</v>
      </c>
      <c r="G156" s="18">
        <v>272.60000000000002</v>
      </c>
      <c r="H156" s="18">
        <f t="shared" si="5"/>
        <v>41.601249999999993</v>
      </c>
      <c r="I156" s="5"/>
      <c r="J156" s="17">
        <v>1013.9263999999999</v>
      </c>
      <c r="K156" s="18">
        <v>41.528100000000002</v>
      </c>
      <c r="L156" s="18">
        <v>45.726999999999997</v>
      </c>
      <c r="M156" s="18">
        <v>46.545499999999997</v>
      </c>
      <c r="N156" s="18">
        <v>310.23779999999999</v>
      </c>
      <c r="O156" s="18">
        <f t="shared" si="6"/>
        <v>42.680137500000001</v>
      </c>
      <c r="P156" s="7"/>
      <c r="Q156" s="10"/>
      <c r="R156" s="11"/>
      <c r="S156" s="11"/>
      <c r="T156" s="26"/>
      <c r="U156" s="28">
        <f t="shared" si="9"/>
        <v>0.13806969919295659</v>
      </c>
    </row>
    <row r="157" spans="1:21" x14ac:dyDescent="0.25">
      <c r="B157" s="9"/>
      <c r="C157" s="17">
        <v>808.99</v>
      </c>
      <c r="D157" s="18">
        <v>38.539000000000001</v>
      </c>
      <c r="E157" s="18">
        <v>42.633000000000003</v>
      </c>
      <c r="F157" s="18">
        <v>43.329000000000001</v>
      </c>
      <c r="G157" s="18">
        <v>272.73</v>
      </c>
      <c r="H157" s="18">
        <f t="shared" si="5"/>
        <v>39.649500000000003</v>
      </c>
      <c r="I157" s="5"/>
      <c r="J157" s="17">
        <v>598.59760000000006</v>
      </c>
      <c r="K157" s="18">
        <v>40.034300000000002</v>
      </c>
      <c r="L157" s="18">
        <v>44.378999999999998</v>
      </c>
      <c r="M157" s="18">
        <v>45.175400000000003</v>
      </c>
      <c r="N157" s="18">
        <v>352.7337</v>
      </c>
      <c r="O157" s="18">
        <f t="shared" si="6"/>
        <v>41.220025000000007</v>
      </c>
      <c r="P157" s="7"/>
      <c r="Q157" s="10"/>
      <c r="R157" s="11"/>
      <c r="S157" s="11"/>
      <c r="T157" s="26"/>
      <c r="U157" s="28">
        <f t="shared" si="9"/>
        <v>0.29334396656033429</v>
      </c>
    </row>
    <row r="158" spans="1:21" ht="16.5" thickBot="1" x14ac:dyDescent="0.3">
      <c r="B158" s="12"/>
      <c r="C158" s="19">
        <v>394.92</v>
      </c>
      <c r="D158" s="20">
        <v>34.880000000000003</v>
      </c>
      <c r="E158" s="20">
        <v>40.499000000000002</v>
      </c>
      <c r="F158" s="20">
        <v>41.161999999999999</v>
      </c>
      <c r="G158" s="20">
        <v>278.81</v>
      </c>
      <c r="H158" s="20">
        <f t="shared" si="5"/>
        <v>36.367625000000004</v>
      </c>
      <c r="I158" s="5"/>
      <c r="J158" s="19">
        <v>295.23520000000002</v>
      </c>
      <c r="K158" s="20">
        <v>37.381599999999999</v>
      </c>
      <c r="L158" s="20">
        <v>42.444000000000003</v>
      </c>
      <c r="M158" s="20">
        <v>43.270499999999998</v>
      </c>
      <c r="N158" s="20">
        <v>400.26679999999999</v>
      </c>
      <c r="O158" s="20">
        <f t="shared" si="6"/>
        <v>38.750512499999999</v>
      </c>
      <c r="P158" s="7"/>
      <c r="Q158" s="13"/>
      <c r="R158" s="14"/>
      <c r="S158" s="14"/>
      <c r="T158" s="27"/>
      <c r="U158" s="28">
        <f t="shared" si="9"/>
        <v>0.43562569491768582</v>
      </c>
    </row>
    <row r="159" spans="1:21" ht="16.5" thickBot="1" x14ac:dyDescent="0.3">
      <c r="B159" s="22" t="s">
        <v>22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1">
        <f>AVERAGE(Q87:Q158)</f>
        <v>-0.46585703416087121</v>
      </c>
      <c r="R159" s="21">
        <f>AVERAGE(R87:R158)</f>
        <v>-0.50399751855221531</v>
      </c>
      <c r="S159" s="21">
        <f>AVERAGE(S87:S158)</f>
        <v>-0.50454283508148334</v>
      </c>
      <c r="T159" s="21">
        <f>AVERAGE(T87:T158)</f>
        <v>-0.47551693649186905</v>
      </c>
      <c r="U159" s="21">
        <f>AVERAGE(U87:U158)</f>
        <v>-6.2757172245788514E-2</v>
      </c>
    </row>
  </sheetData>
  <mergeCells count="12">
    <mergeCell ref="B5:B6"/>
    <mergeCell ref="C7:H7"/>
    <mergeCell ref="J7:O7"/>
    <mergeCell ref="Q7:S7"/>
    <mergeCell ref="C5:U6"/>
    <mergeCell ref="B83:B84"/>
    <mergeCell ref="C85:H85"/>
    <mergeCell ref="J85:O85"/>
    <mergeCell ref="Q85:S85"/>
    <mergeCell ref="U7:U8"/>
    <mergeCell ref="U85:U86"/>
    <mergeCell ref="C83:U84"/>
  </mergeCells>
  <phoneticPr fontId="5" type="noConversion"/>
  <conditionalFormatting sqref="Q29:T32 Q37:T44 Q9:T20">
    <cfRule type="cellIs" dxfId="281" priority="341" operator="greaterThan">
      <formula>0.03</formula>
    </cfRule>
    <cfRule type="cellIs" dxfId="280" priority="342" stopIfTrue="1" operator="lessThan">
      <formula>-0.03</formula>
    </cfRule>
  </conditionalFormatting>
  <conditionalFormatting sqref="Q33:T36">
    <cfRule type="cellIs" dxfId="279" priority="339" operator="greaterThan">
      <formula>0.03</formula>
    </cfRule>
    <cfRule type="cellIs" dxfId="278" priority="340" stopIfTrue="1" operator="lessThan">
      <formula>-0.03</formula>
    </cfRule>
  </conditionalFormatting>
  <conditionalFormatting sqref="Q46:T48 Q62:T64">
    <cfRule type="cellIs" dxfId="277" priority="337" operator="greaterThan">
      <formula>0.03</formula>
    </cfRule>
    <cfRule type="cellIs" dxfId="276" priority="338" stopIfTrue="1" operator="lessThan">
      <formula>-0.03</formula>
    </cfRule>
  </conditionalFormatting>
  <conditionalFormatting sqref="Q50:T52 Q54:T56 Q58:T60">
    <cfRule type="cellIs" dxfId="275" priority="335" operator="greaterThan">
      <formula>0.03</formula>
    </cfRule>
    <cfRule type="cellIs" dxfId="274" priority="336" stopIfTrue="1" operator="lessThan">
      <formula>-0.03</formula>
    </cfRule>
  </conditionalFormatting>
  <conditionalFormatting sqref="Q70:T72 Q74:T76">
    <cfRule type="cellIs" dxfId="273" priority="333" operator="greaterThan">
      <formula>0.03</formula>
    </cfRule>
    <cfRule type="cellIs" dxfId="272" priority="334" stopIfTrue="1" operator="lessThan">
      <formula>-0.03</formula>
    </cfRule>
  </conditionalFormatting>
  <conditionalFormatting sqref="Q66:T68">
    <cfRule type="cellIs" dxfId="271" priority="331" operator="greaterThan">
      <formula>0.03</formula>
    </cfRule>
    <cfRule type="cellIs" dxfId="270" priority="332" stopIfTrue="1" operator="lessThan">
      <formula>-0.03</formula>
    </cfRule>
  </conditionalFormatting>
  <conditionalFormatting sqref="Q78:T80">
    <cfRule type="cellIs" dxfId="269" priority="329" operator="greaterThan">
      <formula>0.03</formula>
    </cfRule>
    <cfRule type="cellIs" dxfId="268" priority="330" stopIfTrue="1" operator="lessThan">
      <formula>-0.03</formula>
    </cfRule>
  </conditionalFormatting>
  <conditionalFormatting sqref="Q21:T28">
    <cfRule type="cellIs" dxfId="267" priority="305" operator="greaterThan">
      <formula>0.03</formula>
    </cfRule>
    <cfRule type="cellIs" dxfId="266" priority="306" stopIfTrue="1" operator="lessThan">
      <formula>-0.03</formula>
    </cfRule>
  </conditionalFormatting>
  <conditionalFormatting sqref="Q107:T110 Q115:T122 Q87:T98">
    <cfRule type="cellIs" dxfId="265" priority="301" operator="greaterThan">
      <formula>0.03</formula>
    </cfRule>
    <cfRule type="cellIs" dxfId="264" priority="302" stopIfTrue="1" operator="lessThan">
      <formula>-0.03</formula>
    </cfRule>
  </conditionalFormatting>
  <conditionalFormatting sqref="Q111:T114">
    <cfRule type="cellIs" dxfId="263" priority="299" operator="greaterThan">
      <formula>0.03</formula>
    </cfRule>
    <cfRule type="cellIs" dxfId="262" priority="300" stopIfTrue="1" operator="lessThan">
      <formula>-0.03</formula>
    </cfRule>
  </conditionalFormatting>
  <conditionalFormatting sqref="Q123:T126 Q139:T142">
    <cfRule type="cellIs" dxfId="261" priority="297" operator="greaterThan">
      <formula>0.03</formula>
    </cfRule>
    <cfRule type="cellIs" dxfId="260" priority="298" stopIfTrue="1" operator="lessThan">
      <formula>-0.03</formula>
    </cfRule>
  </conditionalFormatting>
  <conditionalFormatting sqref="Q127:T138">
    <cfRule type="cellIs" dxfId="259" priority="295" operator="greaterThan">
      <formula>0.03</formula>
    </cfRule>
    <cfRule type="cellIs" dxfId="258" priority="296" stopIfTrue="1" operator="lessThan">
      <formula>-0.03</formula>
    </cfRule>
  </conditionalFormatting>
  <conditionalFormatting sqref="Q147:T154">
    <cfRule type="cellIs" dxfId="257" priority="293" operator="greaterThan">
      <formula>0.03</formula>
    </cfRule>
    <cfRule type="cellIs" dxfId="256" priority="294" stopIfTrue="1" operator="lessThan">
      <formula>-0.03</formula>
    </cfRule>
  </conditionalFormatting>
  <conditionalFormatting sqref="Q143:T146">
    <cfRule type="cellIs" dxfId="255" priority="291" operator="greaterThan">
      <formula>0.03</formula>
    </cfRule>
    <cfRule type="cellIs" dxfId="254" priority="292" stopIfTrue="1" operator="lessThan">
      <formula>-0.03</formula>
    </cfRule>
  </conditionalFormatting>
  <conditionalFormatting sqref="Q155:T158">
    <cfRule type="cellIs" dxfId="253" priority="289" operator="greaterThan">
      <formula>0.03</formula>
    </cfRule>
    <cfRule type="cellIs" dxfId="252" priority="290" stopIfTrue="1" operator="lessThan">
      <formula>-0.03</formula>
    </cfRule>
  </conditionalFormatting>
  <conditionalFormatting sqref="Q99:T106">
    <cfRule type="cellIs" dxfId="251" priority="285" operator="greaterThan">
      <formula>0.03</formula>
    </cfRule>
    <cfRule type="cellIs" dxfId="250" priority="286" stopIfTrue="1" operator="lessThan">
      <formula>-0.03</formula>
    </cfRule>
  </conditionalFormatting>
  <conditionalFormatting sqref="Q45:T45">
    <cfRule type="cellIs" dxfId="249" priority="283" operator="greaterThan">
      <formula>0.03</formula>
    </cfRule>
    <cfRule type="cellIs" dxfId="248" priority="284" stopIfTrue="1" operator="lessThan">
      <formula>-0.03</formula>
    </cfRule>
  </conditionalFormatting>
  <conditionalFormatting sqref="Q49:T49">
    <cfRule type="cellIs" dxfId="247" priority="281" operator="greaterThan">
      <formula>0.03</formula>
    </cfRule>
    <cfRule type="cellIs" dxfId="246" priority="282" stopIfTrue="1" operator="lessThan">
      <formula>-0.03</formula>
    </cfRule>
  </conditionalFormatting>
  <conditionalFormatting sqref="Q53:T53">
    <cfRule type="cellIs" dxfId="245" priority="279" operator="greaterThan">
      <formula>0.03</formula>
    </cfRule>
    <cfRule type="cellIs" dxfId="244" priority="280" stopIfTrue="1" operator="lessThan">
      <formula>-0.03</formula>
    </cfRule>
  </conditionalFormatting>
  <conditionalFormatting sqref="Q57:T57">
    <cfRule type="cellIs" dxfId="243" priority="277" operator="greaterThan">
      <formula>0.03</formula>
    </cfRule>
    <cfRule type="cellIs" dxfId="242" priority="278" stopIfTrue="1" operator="lessThan">
      <formula>-0.03</formula>
    </cfRule>
  </conditionalFormatting>
  <conditionalFormatting sqref="Q61:T61">
    <cfRule type="cellIs" dxfId="241" priority="275" operator="greaterThan">
      <formula>0.03</formula>
    </cfRule>
    <cfRule type="cellIs" dxfId="240" priority="276" stopIfTrue="1" operator="lessThan">
      <formula>-0.03</formula>
    </cfRule>
  </conditionalFormatting>
  <conditionalFormatting sqref="Q65:T65">
    <cfRule type="cellIs" dxfId="239" priority="273" operator="greaterThan">
      <formula>0.03</formula>
    </cfRule>
    <cfRule type="cellIs" dxfId="238" priority="274" stopIfTrue="1" operator="lessThan">
      <formula>-0.03</formula>
    </cfRule>
  </conditionalFormatting>
  <conditionalFormatting sqref="Q69:T69">
    <cfRule type="cellIs" dxfId="237" priority="271" operator="greaterThan">
      <formula>0.03</formula>
    </cfRule>
    <cfRule type="cellIs" dxfId="236" priority="272" stopIfTrue="1" operator="lessThan">
      <formula>-0.03</formula>
    </cfRule>
  </conditionalFormatting>
  <conditionalFormatting sqref="Q73:T73">
    <cfRule type="cellIs" dxfId="235" priority="269" operator="greaterThan">
      <formula>0.03</formula>
    </cfRule>
    <cfRule type="cellIs" dxfId="234" priority="270" stopIfTrue="1" operator="lessThan">
      <formula>-0.03</formula>
    </cfRule>
  </conditionalFormatting>
  <conditionalFormatting sqref="Q77:T77">
    <cfRule type="cellIs" dxfId="233" priority="267" operator="greaterThan">
      <formula>0.03</formula>
    </cfRule>
    <cfRule type="cellIs" dxfId="232" priority="268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59"/>
  <sheetViews>
    <sheetView workbookViewId="0">
      <selection activeCell="A159" sqref="A159:XFD37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130</v>
      </c>
    </row>
    <row r="2" spans="1:21" x14ac:dyDescent="0.25">
      <c r="A2" t="s">
        <v>112</v>
      </c>
    </row>
    <row r="3" spans="1:21" x14ac:dyDescent="0.25">
      <c r="A3" t="s">
        <v>118</v>
      </c>
    </row>
    <row r="4" spans="1:21" x14ac:dyDescent="0.25">
      <c r="A4" t="s">
        <v>116</v>
      </c>
    </row>
    <row r="5" spans="1:21" s="35" customFormat="1" ht="15.75" customHeight="1" x14ac:dyDescent="0.25">
      <c r="B5" s="56" t="s">
        <v>29</v>
      </c>
      <c r="C5" s="58" t="s">
        <v>91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67</v>
      </c>
      <c r="D7" s="65"/>
      <c r="E7" s="65"/>
      <c r="F7" s="65"/>
      <c r="G7" s="65"/>
      <c r="H7" s="65"/>
      <c r="I7" s="5"/>
      <c r="J7" s="64" t="s">
        <v>92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4.13</v>
      </c>
      <c r="H9" s="16">
        <f t="shared" ref="H9:H80" si="0">(6*D9+E9+F9)/8</f>
        <v>38.874625000000002</v>
      </c>
      <c r="I9" s="5"/>
      <c r="J9" s="15">
        <v>3950.2208000000001</v>
      </c>
      <c r="K9" s="16">
        <v>38.529000000000003</v>
      </c>
      <c r="L9" s="16">
        <v>39.911099999999998</v>
      </c>
      <c r="M9" s="16">
        <v>42.561100000000003</v>
      </c>
      <c r="N9" s="16">
        <v>3.7751999999999999</v>
      </c>
      <c r="O9" s="16">
        <f t="shared" ref="O9:O80" si="1">(6*K9+L9+M9)/8</f>
        <v>39.205775000000003</v>
      </c>
      <c r="P9" s="7"/>
      <c r="Q9" s="8">
        <f>bdrate(C9:C12,D9:D12,J9:J12,K9:K12)</f>
        <v>-0.40373107868995362</v>
      </c>
      <c r="R9" s="8">
        <f>bdrate(C9:C12,E9:E12,J9:J12,L9:L12)</f>
        <v>-0.51840427136188871</v>
      </c>
      <c r="S9" s="8">
        <f>bdrate(C9:C12,F9:F12,J9:J12,M9:M12)</f>
        <v>-0.50272770976224934</v>
      </c>
      <c r="T9" s="25">
        <f>bdrate(C9:C12,H9:H12,J9:J12,O9:O12)</f>
        <v>-0.42189550436021195</v>
      </c>
      <c r="U9" s="28">
        <f t="shared" ref="U9:U72" si="2">(N9-G9)/G9</f>
        <v>-8.5907990314769977E-2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4.55</v>
      </c>
      <c r="H10" s="18">
        <f t="shared" si="0"/>
        <v>37.986375000000002</v>
      </c>
      <c r="I10" s="5"/>
      <c r="J10" s="17">
        <v>2916.6959999999999</v>
      </c>
      <c r="K10" s="18">
        <v>37.555300000000003</v>
      </c>
      <c r="L10" s="18">
        <v>39.385100000000001</v>
      </c>
      <c r="M10" s="18">
        <v>41.880699999999997</v>
      </c>
      <c r="N10" s="18">
        <v>4.4413</v>
      </c>
      <c r="O10" s="18">
        <f t="shared" si="1"/>
        <v>38.3247</v>
      </c>
      <c r="P10" s="7"/>
      <c r="Q10" s="10"/>
      <c r="R10" s="11"/>
      <c r="S10" s="11"/>
      <c r="T10" s="26"/>
      <c r="U10" s="28">
        <f t="shared" si="2"/>
        <v>-2.3890109890109847E-2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5.13</v>
      </c>
      <c r="H11" s="18">
        <f t="shared" si="0"/>
        <v>36.584625000000003</v>
      </c>
      <c r="I11" s="5"/>
      <c r="J11" s="17">
        <v>1897.944</v>
      </c>
      <c r="K11" s="18">
        <v>36.171999999999997</v>
      </c>
      <c r="L11" s="18">
        <v>38.691200000000002</v>
      </c>
      <c r="M11" s="18">
        <v>41.057499999999997</v>
      </c>
      <c r="N11" s="18">
        <v>5.3898999999999999</v>
      </c>
      <c r="O11" s="18">
        <f t="shared" si="1"/>
        <v>37.097587499999996</v>
      </c>
      <c r="P11" s="7"/>
      <c r="Q11" s="10"/>
      <c r="R11" s="11"/>
      <c r="S11" s="11"/>
      <c r="T11" s="26"/>
      <c r="U11" s="28">
        <f t="shared" si="2"/>
        <v>5.066276803118909E-2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6.38</v>
      </c>
      <c r="H12" s="20">
        <f t="shared" si="0"/>
        <v>33.816375000000001</v>
      </c>
      <c r="I12" s="5"/>
      <c r="J12" s="19">
        <v>922.40959999999995</v>
      </c>
      <c r="K12" s="20">
        <v>33.503</v>
      </c>
      <c r="L12" s="20">
        <v>37.204799999999999</v>
      </c>
      <c r="M12" s="20">
        <v>39.427799999999998</v>
      </c>
      <c r="N12" s="20">
        <v>7.5176999999999996</v>
      </c>
      <c r="O12" s="20">
        <f t="shared" si="1"/>
        <v>34.706325</v>
      </c>
      <c r="P12" s="7"/>
      <c r="Q12" s="13"/>
      <c r="R12" s="14"/>
      <c r="S12" s="14"/>
      <c r="T12" s="27"/>
      <c r="U12" s="28">
        <f t="shared" si="2"/>
        <v>0.17832288401253915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2.98</v>
      </c>
      <c r="H13" s="16">
        <f t="shared" si="0"/>
        <v>33.323125000000005</v>
      </c>
      <c r="I13" s="5"/>
      <c r="J13" s="15">
        <v>4102.8239999999996</v>
      </c>
      <c r="K13" s="16">
        <v>29.969100000000001</v>
      </c>
      <c r="L13" s="16">
        <v>40.104799999999997</v>
      </c>
      <c r="M13" s="16">
        <v>40.981999999999999</v>
      </c>
      <c r="N13" s="16">
        <v>2.3730000000000002</v>
      </c>
      <c r="O13" s="16">
        <f t="shared" si="1"/>
        <v>32.612674999999996</v>
      </c>
      <c r="P13" s="7"/>
      <c r="Q13" s="8">
        <f>bdrate(C13:C16,D13:D16,J13:J16,K13:K16)</f>
        <v>-0.29020423742445289</v>
      </c>
      <c r="R13" s="8">
        <f>bdrate(C13:C16,E13:E16,J13:J16,L13:L16)</f>
        <v>-0.25147723623578722</v>
      </c>
      <c r="S13" s="8">
        <f>bdrate(C13:C16,F13:F16,J13:J16,M13:M16)</f>
        <v>-0.33272989159880051</v>
      </c>
      <c r="T13" s="25">
        <f>bdrate(C13:C16,H13:H16,J13:J16,O13:O16)</f>
        <v>-0.2934951048595561</v>
      </c>
      <c r="U13" s="28">
        <f t="shared" si="2"/>
        <v>-0.20369127516778515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3.32</v>
      </c>
      <c r="H14" s="18">
        <f t="shared" si="0"/>
        <v>32.019624999999998</v>
      </c>
      <c r="I14" s="5"/>
      <c r="J14" s="17">
        <v>3082.5295999999998</v>
      </c>
      <c r="K14" s="18">
        <v>28.7044</v>
      </c>
      <c r="L14" s="18">
        <v>39.546599999999998</v>
      </c>
      <c r="M14" s="18">
        <v>40.510599999999997</v>
      </c>
      <c r="N14" s="18">
        <v>2.7766000000000002</v>
      </c>
      <c r="O14" s="18">
        <f t="shared" si="1"/>
        <v>31.535450000000004</v>
      </c>
      <c r="P14" s="7"/>
      <c r="Q14" s="10"/>
      <c r="R14" s="11"/>
      <c r="S14" s="11"/>
      <c r="T14" s="26"/>
      <c r="U14" s="28">
        <f t="shared" si="2"/>
        <v>-0.16367469879518062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3.84</v>
      </c>
      <c r="H15" s="18">
        <f t="shared" si="0"/>
        <v>30.189625000000003</v>
      </c>
      <c r="I15" s="5"/>
      <c r="J15" s="17">
        <v>2094.3056000000001</v>
      </c>
      <c r="K15" s="18">
        <v>27.024100000000001</v>
      </c>
      <c r="L15" s="18">
        <v>38.690399999999997</v>
      </c>
      <c r="M15" s="18">
        <v>39.756300000000003</v>
      </c>
      <c r="N15" s="18">
        <v>3.4013</v>
      </c>
      <c r="O15" s="18">
        <f t="shared" si="1"/>
        <v>30.073912499999999</v>
      </c>
      <c r="P15" s="7"/>
      <c r="Q15" s="10"/>
      <c r="R15" s="11"/>
      <c r="S15" s="11"/>
      <c r="T15" s="26"/>
      <c r="U15" s="28">
        <f t="shared" si="2"/>
        <v>-0.11424479166666664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1349.4576</v>
      </c>
      <c r="K16" s="20">
        <v>25.558599999999998</v>
      </c>
      <c r="L16" s="20">
        <v>37.3628</v>
      </c>
      <c r="M16" s="20">
        <v>38.502499999999998</v>
      </c>
      <c r="N16" s="20">
        <v>4.0452000000000004</v>
      </c>
      <c r="O16" s="20">
        <f t="shared" si="1"/>
        <v>28.652112499999998</v>
      </c>
      <c r="P16" s="7"/>
      <c r="Q16" s="13"/>
      <c r="R16" s="14"/>
      <c r="S16" s="14"/>
      <c r="T16" s="27"/>
      <c r="U16" s="28">
        <f t="shared" si="2"/>
        <v>-0.1537238493723849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5.92</v>
      </c>
      <c r="H17" s="16">
        <f t="shared" si="0"/>
        <v>40.055124999999997</v>
      </c>
      <c r="I17" s="5"/>
      <c r="J17" s="15">
        <v>2402.6095999999998</v>
      </c>
      <c r="K17" s="16">
        <v>39.393799999999999</v>
      </c>
      <c r="L17" s="16">
        <v>42.049599999999998</v>
      </c>
      <c r="M17" s="16">
        <v>43.543100000000003</v>
      </c>
      <c r="N17" s="16">
        <v>6.4751000000000003</v>
      </c>
      <c r="O17" s="16">
        <f t="shared" si="1"/>
        <v>40.244437499999997</v>
      </c>
      <c r="P17" s="7"/>
      <c r="Q17" s="8">
        <f>bdrate(C17:C20,D17:D20,J17:J20,K17:K20)</f>
        <v>-0.35363815322263636</v>
      </c>
      <c r="R17" s="8">
        <f>bdrate(C17:C20,E17:E20,J17:J20,L17:L20)</f>
        <v>-0.33357558446699431</v>
      </c>
      <c r="S17" s="8">
        <f>bdrate(C17:C20,F17:F20,J17:J20,M17:M20)</f>
        <v>-0.44214748461636688</v>
      </c>
      <c r="T17" s="25">
        <f>bdrate(C17:C20,H17:H20,J17:J20,O17:O20)</f>
        <v>-0.35961966448785077</v>
      </c>
      <c r="U17" s="28">
        <f t="shared" si="2"/>
        <v>9.3766891891891954E-2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6.72</v>
      </c>
      <c r="H18" s="18">
        <f t="shared" si="0"/>
        <v>38.802750000000003</v>
      </c>
      <c r="I18" s="5"/>
      <c r="J18" s="17">
        <v>1585.54</v>
      </c>
      <c r="K18" s="18">
        <v>38.252299999999998</v>
      </c>
      <c r="L18" s="18">
        <v>41.420999999999999</v>
      </c>
      <c r="M18" s="18">
        <v>42.783299999999997</v>
      </c>
      <c r="N18" s="18">
        <v>7.6539999999999999</v>
      </c>
      <c r="O18" s="18">
        <f t="shared" si="1"/>
        <v>39.214762499999999</v>
      </c>
      <c r="P18" s="7"/>
      <c r="Q18" s="10"/>
      <c r="R18" s="11"/>
      <c r="S18" s="11"/>
      <c r="T18" s="26"/>
      <c r="U18" s="28">
        <f t="shared" si="2"/>
        <v>0.13898809523809527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7.81</v>
      </c>
      <c r="H19" s="18">
        <f t="shared" si="0"/>
        <v>37.17</v>
      </c>
      <c r="I19" s="5"/>
      <c r="J19" s="17">
        <v>965.60080000000005</v>
      </c>
      <c r="K19" s="18">
        <v>36.771700000000003</v>
      </c>
      <c r="L19" s="18">
        <v>40.64</v>
      </c>
      <c r="M19" s="18">
        <v>41.911099999999998</v>
      </c>
      <c r="N19" s="18">
        <v>9.24</v>
      </c>
      <c r="O19" s="18">
        <f t="shared" si="1"/>
        <v>37.897662499999996</v>
      </c>
      <c r="P19" s="7"/>
      <c r="Q19" s="10"/>
      <c r="R19" s="11"/>
      <c r="S19" s="11"/>
      <c r="T19" s="26"/>
      <c r="U19" s="28">
        <f t="shared" si="2"/>
        <v>0.18309859154929586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555.83119999999997</v>
      </c>
      <c r="K20" s="20">
        <v>34.983800000000002</v>
      </c>
      <c r="L20" s="20">
        <v>39.834000000000003</v>
      </c>
      <c r="M20" s="20">
        <v>41.096600000000002</v>
      </c>
      <c r="N20" s="20">
        <v>11.5931</v>
      </c>
      <c r="O20" s="20">
        <f t="shared" si="1"/>
        <v>36.354175000000005</v>
      </c>
      <c r="P20" s="7"/>
      <c r="Q20" s="13"/>
      <c r="R20" s="14"/>
      <c r="S20" s="14"/>
      <c r="T20" s="27"/>
      <c r="U20" s="28">
        <f t="shared" si="2"/>
        <v>0.2280826271186441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6.51</v>
      </c>
      <c r="H21" s="16">
        <f t="shared" si="0"/>
        <v>37.613375000000005</v>
      </c>
      <c r="I21" s="5"/>
      <c r="J21" s="15">
        <v>2527.0423999999998</v>
      </c>
      <c r="K21" s="16">
        <v>36.601300000000002</v>
      </c>
      <c r="L21" s="16">
        <v>40.298099999999998</v>
      </c>
      <c r="M21" s="16">
        <v>41.549199999999999</v>
      </c>
      <c r="N21" s="16">
        <v>6.0785999999999998</v>
      </c>
      <c r="O21" s="16">
        <f t="shared" si="1"/>
        <v>37.681887499999995</v>
      </c>
      <c r="P21" s="7"/>
      <c r="Q21" s="8">
        <f>bdrate(C21:C24,D21:D24,J21:J24,K21:K24)</f>
        <v>-0.30259712689667317</v>
      </c>
      <c r="R21" s="8">
        <f>bdrate(C21:C24,E21:E24,J21:J24,L21:L24)</f>
        <v>-0.46602389753688789</v>
      </c>
      <c r="S21" s="8">
        <f>bdrate(C21:C24,F21:F24,J21:J24,M21:M24)</f>
        <v>-0.46707290430492499</v>
      </c>
      <c r="T21" s="25">
        <f>bdrate(C21:C24,H21:H24,J21:J24,O21:O24)</f>
        <v>-0.32985417689654706</v>
      </c>
      <c r="U21" s="28">
        <f t="shared" si="2"/>
        <v>-6.6267281105990783E-2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7.2</v>
      </c>
      <c r="H22" s="18">
        <f t="shared" si="0"/>
        <v>36.355125000000001</v>
      </c>
      <c r="I22" s="5"/>
      <c r="J22" s="17">
        <v>1651.1056000000001</v>
      </c>
      <c r="K22" s="18">
        <v>35.323</v>
      </c>
      <c r="L22" s="18">
        <v>39.445599999999999</v>
      </c>
      <c r="M22" s="18">
        <v>40.672600000000003</v>
      </c>
      <c r="N22" s="18">
        <v>7.5636000000000001</v>
      </c>
      <c r="O22" s="18">
        <f t="shared" si="1"/>
        <v>36.507024999999999</v>
      </c>
      <c r="P22" s="7"/>
      <c r="Q22" s="10"/>
      <c r="R22" s="11"/>
      <c r="S22" s="11"/>
      <c r="T22" s="26"/>
      <c r="U22" s="28">
        <f t="shared" si="2"/>
        <v>5.0499999999999989E-2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1019.5368</v>
      </c>
      <c r="K23" s="18">
        <v>33.816499999999998</v>
      </c>
      <c r="L23" s="18">
        <v>38.478400000000001</v>
      </c>
      <c r="M23" s="18">
        <v>39.773699999999998</v>
      </c>
      <c r="N23" s="18">
        <v>9.4674999999999994</v>
      </c>
      <c r="O23" s="18">
        <f t="shared" si="1"/>
        <v>35.143887499999998</v>
      </c>
      <c r="P23" s="7"/>
      <c r="Q23" s="10"/>
      <c r="R23" s="11"/>
      <c r="S23" s="11"/>
      <c r="T23" s="26"/>
      <c r="U23" s="28">
        <f t="shared" si="2"/>
        <v>0.16738594327990136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9.31</v>
      </c>
      <c r="H24" s="20">
        <f t="shared" si="0"/>
        <v>33.260750000000002</v>
      </c>
      <c r="I24" s="5"/>
      <c r="J24" s="19">
        <v>598.85519999999997</v>
      </c>
      <c r="K24" s="20">
        <v>32.191000000000003</v>
      </c>
      <c r="L24" s="20">
        <v>37.4651</v>
      </c>
      <c r="M24" s="20">
        <v>38.9587</v>
      </c>
      <c r="N24" s="20">
        <v>11.916600000000001</v>
      </c>
      <c r="O24" s="20">
        <f t="shared" si="1"/>
        <v>33.696225000000005</v>
      </c>
      <c r="P24" s="7"/>
      <c r="Q24" s="13"/>
      <c r="R24" s="14"/>
      <c r="S24" s="14"/>
      <c r="T24" s="27"/>
      <c r="U24" s="28">
        <f t="shared" si="2"/>
        <v>0.27997851772287863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7.62</v>
      </c>
      <c r="H25" s="16">
        <f t="shared" si="0"/>
        <v>35.729999999999997</v>
      </c>
      <c r="I25" s="5"/>
      <c r="J25" s="15">
        <v>2412.5992000000001</v>
      </c>
      <c r="K25" s="16">
        <v>34.889099999999999</v>
      </c>
      <c r="L25" s="16">
        <v>38.334499999999998</v>
      </c>
      <c r="M25" s="16">
        <v>40.597700000000003</v>
      </c>
      <c r="N25" s="16">
        <v>8.0389999999999997</v>
      </c>
      <c r="O25" s="16">
        <f t="shared" si="1"/>
        <v>36.033349999999999</v>
      </c>
      <c r="P25" s="7"/>
      <c r="Q25" s="8">
        <f>bdrate(C25:C28,D25:D28,J25:J28,K25:K28)</f>
        <v>-0.45809657317940833</v>
      </c>
      <c r="R25" s="8">
        <f>bdrate(C25:C28,E25:E28,J25:J28,L25:L28)</f>
        <v>-0.46861392917096722</v>
      </c>
      <c r="S25" s="8">
        <f>bdrate(C25:C28,F25:F28,J25:J28,M25:M28)</f>
        <v>-0.50076994571376821</v>
      </c>
      <c r="T25" s="25">
        <f>bdrate(C25:C28,H25:H28,J25:J28,O25:O28)</f>
        <v>-0.46395453758012339</v>
      </c>
      <c r="U25" s="28">
        <f t="shared" si="2"/>
        <v>5.4986876640419895E-2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8.58</v>
      </c>
      <c r="H26" s="18">
        <f t="shared" si="0"/>
        <v>34.492874999999998</v>
      </c>
      <c r="I26" s="5"/>
      <c r="J26" s="17">
        <v>1602.7560000000001</v>
      </c>
      <c r="K26" s="18">
        <v>33.821599999999997</v>
      </c>
      <c r="L26" s="18">
        <v>37.921199999999999</v>
      </c>
      <c r="M26" s="18">
        <v>39.694299999999998</v>
      </c>
      <c r="N26" s="18">
        <v>9.7065000000000001</v>
      </c>
      <c r="O26" s="18">
        <f t="shared" si="1"/>
        <v>35.068137499999999</v>
      </c>
      <c r="P26" s="7"/>
      <c r="Q26" s="10"/>
      <c r="R26" s="11"/>
      <c r="S26" s="11"/>
      <c r="T26" s="26"/>
      <c r="U26" s="28">
        <f t="shared" si="2"/>
        <v>0.13129370629370629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</v>
      </c>
      <c r="H27" s="18">
        <f t="shared" si="0"/>
        <v>32.899625</v>
      </c>
      <c r="I27" s="5"/>
      <c r="J27" s="17">
        <v>997.85760000000005</v>
      </c>
      <c r="K27" s="18">
        <v>32.355200000000004</v>
      </c>
      <c r="L27" s="18">
        <v>37.277500000000003</v>
      </c>
      <c r="M27" s="18">
        <v>38.553899999999999</v>
      </c>
      <c r="N27" s="18">
        <v>11.972899999999999</v>
      </c>
      <c r="O27" s="18">
        <f t="shared" si="1"/>
        <v>33.745325000000008</v>
      </c>
      <c r="P27" s="7"/>
      <c r="Q27" s="10"/>
      <c r="R27" s="11"/>
      <c r="S27" s="11"/>
      <c r="T27" s="26"/>
      <c r="U27" s="28">
        <f t="shared" si="2"/>
        <v>0.19490019960079838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11.68</v>
      </c>
      <c r="H28" s="20">
        <f t="shared" si="0"/>
        <v>31.066749999999999</v>
      </c>
      <c r="I28" s="5"/>
      <c r="J28" s="19">
        <v>586.10320000000002</v>
      </c>
      <c r="K28" s="20">
        <v>30.661899999999999</v>
      </c>
      <c r="L28" s="20">
        <v>36.515500000000003</v>
      </c>
      <c r="M28" s="20">
        <v>37.341799999999999</v>
      </c>
      <c r="N28" s="20">
        <v>15.3355</v>
      </c>
      <c r="O28" s="20">
        <f t="shared" si="1"/>
        <v>32.228587499999996</v>
      </c>
      <c r="P28" s="7"/>
      <c r="Q28" s="13"/>
      <c r="R28" s="14"/>
      <c r="S28" s="14"/>
      <c r="T28" s="27"/>
      <c r="U28" s="28">
        <f t="shared" si="2"/>
        <v>0.31297089041095894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2417.2055999999998</v>
      </c>
      <c r="K29" s="30">
        <v>34.6646</v>
      </c>
      <c r="L29" s="30">
        <v>40.510800000000003</v>
      </c>
      <c r="M29" s="30">
        <v>39.963099999999997</v>
      </c>
      <c r="N29" s="16">
        <v>6.8705999999999996</v>
      </c>
      <c r="O29" s="16">
        <f t="shared" si="1"/>
        <v>36.0576875</v>
      </c>
      <c r="P29" s="7"/>
      <c r="Q29" s="8">
        <f>bdrate(C29:C32,D29:D32,J29:J32,K29:K32)</f>
        <v>-0.49436941372922505</v>
      </c>
      <c r="R29" s="8">
        <f>bdrate(C29:C32,E29:E32,J29:J32,L29:L32)</f>
        <v>-0.52464357935573713</v>
      </c>
      <c r="S29" s="8">
        <f>bdrate(C29:C32,F29:F32,J29:J32,M29:M32)</f>
        <v>-0.41344875963613492</v>
      </c>
      <c r="T29" s="25">
        <f>bdrate(C29:C32,H29:H32,J29:J32,O29:O32)</f>
        <v>-0.49035191252145316</v>
      </c>
      <c r="U29" s="28">
        <f t="shared" si="2"/>
        <v>1.6360946745562103E-2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7.85</v>
      </c>
      <c r="H30" s="18">
        <f t="shared" si="0"/>
        <v>34.175874999999998</v>
      </c>
      <c r="I30" s="5"/>
      <c r="J30" s="31">
        <v>1606.4824000000001</v>
      </c>
      <c r="K30" s="32">
        <v>33.430599999999998</v>
      </c>
      <c r="L30" s="32">
        <v>39.759900000000002</v>
      </c>
      <c r="M30" s="32">
        <v>38.856900000000003</v>
      </c>
      <c r="N30" s="18">
        <v>8.2776999999999994</v>
      </c>
      <c r="O30" s="18">
        <f t="shared" si="1"/>
        <v>34.90005</v>
      </c>
      <c r="P30" s="7"/>
      <c r="Q30" s="10"/>
      <c r="R30" s="11"/>
      <c r="S30" s="11"/>
      <c r="T30" s="26"/>
      <c r="U30" s="28">
        <f t="shared" si="2"/>
        <v>5.448407643312099E-2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</v>
      </c>
      <c r="H31" s="18">
        <f t="shared" si="0"/>
        <v>32.128249999999994</v>
      </c>
      <c r="I31" s="5"/>
      <c r="J31" s="31">
        <v>1005.272</v>
      </c>
      <c r="K31" s="32">
        <v>31.9084</v>
      </c>
      <c r="L31" s="32">
        <v>38.8215</v>
      </c>
      <c r="M31" s="32">
        <v>37.538899999999998</v>
      </c>
      <c r="N31" s="18">
        <v>10.130100000000001</v>
      </c>
      <c r="O31" s="18">
        <f t="shared" si="1"/>
        <v>33.476350000000004</v>
      </c>
      <c r="P31" s="7"/>
      <c r="Q31" s="10"/>
      <c r="R31" s="11"/>
      <c r="S31" s="11"/>
      <c r="T31" s="26"/>
      <c r="U31" s="28">
        <f t="shared" si="2"/>
        <v>7.7670212765957466E-2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11.21</v>
      </c>
      <c r="H32" s="20">
        <f t="shared" si="0"/>
        <v>29.558</v>
      </c>
      <c r="I32" s="5"/>
      <c r="J32" s="33">
        <v>599.68560000000002</v>
      </c>
      <c r="K32" s="34">
        <v>30.212399999999999</v>
      </c>
      <c r="L32" s="34">
        <v>37.752400000000002</v>
      </c>
      <c r="M32" s="34">
        <v>36.125999999999998</v>
      </c>
      <c r="N32" s="20">
        <v>12.8307</v>
      </c>
      <c r="O32" s="20">
        <f t="shared" si="1"/>
        <v>31.894099999999998</v>
      </c>
      <c r="P32" s="7"/>
      <c r="Q32" s="13"/>
      <c r="R32" s="14"/>
      <c r="S32" s="14"/>
      <c r="T32" s="27"/>
      <c r="U32" s="28">
        <f t="shared" si="2"/>
        <v>0.14457627118644062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8.25</v>
      </c>
      <c r="H33" s="16">
        <f t="shared" si="0"/>
        <v>35.176000000000002</v>
      </c>
      <c r="I33" s="5"/>
      <c r="J33" s="15">
        <v>2406.0608000000002</v>
      </c>
      <c r="K33" s="16">
        <v>33.966500000000003</v>
      </c>
      <c r="L33" s="16">
        <v>39.996000000000002</v>
      </c>
      <c r="M33" s="16">
        <v>42.4542</v>
      </c>
      <c r="N33" s="16">
        <v>10.7614</v>
      </c>
      <c r="O33" s="16">
        <f t="shared" si="1"/>
        <v>35.781150000000004</v>
      </c>
      <c r="P33" s="7"/>
      <c r="Q33" s="8">
        <f>bdrate(C33:C36,D33:D36,J33:J36,K33:K36)</f>
        <v>-0.58331136512593229</v>
      </c>
      <c r="R33" s="8">
        <f>bdrate(C33:C36,E33:E36,J33:J36,L33:L36)</f>
        <v>-0.62959351729526247</v>
      </c>
      <c r="S33" s="8">
        <f>bdrate(C33:C36,F33:F36,J33:J36,M33:M36)</f>
        <v>-0.59891540558359391</v>
      </c>
      <c r="T33" s="25">
        <f>bdrate(C33:C36,H33:H36,J33:J36,O33:O36)</f>
        <v>-0.58971965630140444</v>
      </c>
      <c r="U33" s="28">
        <f t="shared" si="2"/>
        <v>0.30441212121212124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8.99</v>
      </c>
      <c r="H34" s="18">
        <f t="shared" si="0"/>
        <v>34.344374999999999</v>
      </c>
      <c r="I34" s="5"/>
      <c r="J34" s="17">
        <v>1610.6872000000001</v>
      </c>
      <c r="K34" s="18">
        <v>33.360100000000003</v>
      </c>
      <c r="L34" s="18">
        <v>39.505699999999997</v>
      </c>
      <c r="M34" s="18">
        <v>42.003100000000003</v>
      </c>
      <c r="N34" s="18">
        <v>13.3085</v>
      </c>
      <c r="O34" s="18">
        <f t="shared" si="1"/>
        <v>35.208674999999999</v>
      </c>
      <c r="P34" s="7"/>
      <c r="Q34" s="10"/>
      <c r="R34" s="11"/>
      <c r="S34" s="11"/>
      <c r="T34" s="26"/>
      <c r="U34" s="28">
        <f t="shared" si="2"/>
        <v>0.48036707452725252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10.09</v>
      </c>
      <c r="H35" s="18">
        <f t="shared" si="0"/>
        <v>33.153750000000002</v>
      </c>
      <c r="I35" s="5"/>
      <c r="J35" s="17">
        <v>991.78880000000004</v>
      </c>
      <c r="K35" s="18">
        <v>32.446399999999997</v>
      </c>
      <c r="L35" s="18">
        <v>38.76</v>
      </c>
      <c r="M35" s="18">
        <v>41.386699999999998</v>
      </c>
      <c r="N35" s="18">
        <v>16.401499999999999</v>
      </c>
      <c r="O35" s="18">
        <f t="shared" si="1"/>
        <v>34.353137499999995</v>
      </c>
      <c r="P35" s="7"/>
      <c r="Q35" s="10"/>
      <c r="R35" s="11"/>
      <c r="S35" s="11"/>
      <c r="T35" s="26"/>
      <c r="U35" s="28">
        <f t="shared" si="2"/>
        <v>0.62552031714568868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11.63</v>
      </c>
      <c r="H36" s="20">
        <f t="shared" si="0"/>
        <v>31.484625000000001</v>
      </c>
      <c r="I36" s="5"/>
      <c r="J36" s="19">
        <v>585.22</v>
      </c>
      <c r="K36" s="20">
        <v>31.176600000000001</v>
      </c>
      <c r="L36" s="20">
        <v>38.106900000000003</v>
      </c>
      <c r="M36" s="20">
        <v>40.642000000000003</v>
      </c>
      <c r="N36" s="20">
        <v>20.0321</v>
      </c>
      <c r="O36" s="20">
        <f t="shared" si="1"/>
        <v>33.226062499999998</v>
      </c>
      <c r="P36" s="7"/>
      <c r="Q36" s="13"/>
      <c r="R36" s="14"/>
      <c r="S36" s="14"/>
      <c r="T36" s="27"/>
      <c r="U36" s="28">
        <f t="shared" si="2"/>
        <v>0.72245055889939802</v>
      </c>
    </row>
    <row r="37" spans="1:21" x14ac:dyDescent="0.25">
      <c r="A37" s="6" t="s">
        <v>39</v>
      </c>
      <c r="B37" s="6" t="s">
        <v>53</v>
      </c>
      <c r="C37" s="15">
        <v>1559.67</v>
      </c>
      <c r="D37" s="16">
        <v>35.384999999999998</v>
      </c>
      <c r="E37" s="16">
        <v>38.764000000000003</v>
      </c>
      <c r="F37" s="16">
        <v>38.732999999999997</v>
      </c>
      <c r="G37" s="16">
        <v>30.73</v>
      </c>
      <c r="H37" s="16">
        <f t="shared" si="0"/>
        <v>36.225875000000002</v>
      </c>
      <c r="I37" s="5"/>
      <c r="J37" s="15">
        <v>1241.3648000000001</v>
      </c>
      <c r="K37" s="16">
        <v>36.6873</v>
      </c>
      <c r="L37" s="16">
        <v>40.284199999999998</v>
      </c>
      <c r="M37" s="16">
        <v>40.182200000000002</v>
      </c>
      <c r="N37" s="16">
        <v>20.0321</v>
      </c>
      <c r="O37" s="16">
        <f t="shared" si="1"/>
        <v>37.573775000000005</v>
      </c>
      <c r="P37" s="7"/>
      <c r="Q37" s="8">
        <f>bdrate(C37:C40,D37:D40,J37:J40,K37:K40)</f>
        <v>-0.41155571222677978</v>
      </c>
      <c r="R37" s="8">
        <f>bdrate(C37:C40,E37:E40,J37:J40,L37:L40)</f>
        <v>-0.47921423958617437</v>
      </c>
      <c r="S37" s="8">
        <f>bdrate(C37:C40,F37:F40,J37:J40,M37:M40)</f>
        <v>-0.43604932865589818</v>
      </c>
      <c r="T37" s="25">
        <f>bdrate(C37:C40,H37:H40,J37:J40,O37:O40)</f>
        <v>-0.42125767064798458</v>
      </c>
      <c r="U37" s="28">
        <f t="shared" si="2"/>
        <v>-0.34812561015294502</v>
      </c>
    </row>
    <row r="38" spans="1:21" x14ac:dyDescent="0.25">
      <c r="A38" s="9" t="s">
        <v>40</v>
      </c>
      <c r="B38" s="9"/>
      <c r="C38" s="17">
        <v>1037.8499999999999</v>
      </c>
      <c r="D38" s="18">
        <v>33.789000000000001</v>
      </c>
      <c r="E38" s="18">
        <v>37.49</v>
      </c>
      <c r="F38" s="18">
        <v>37.338999999999999</v>
      </c>
      <c r="G38" s="18">
        <v>34.61</v>
      </c>
      <c r="H38" s="18">
        <f t="shared" si="0"/>
        <v>34.695374999999999</v>
      </c>
      <c r="I38" s="5"/>
      <c r="J38" s="17">
        <v>826.21680000000003</v>
      </c>
      <c r="K38" s="18">
        <v>34.9313</v>
      </c>
      <c r="L38" s="18">
        <v>38.860100000000003</v>
      </c>
      <c r="M38" s="18">
        <v>38.595799999999997</v>
      </c>
      <c r="N38" s="18">
        <v>24.026900000000001</v>
      </c>
      <c r="O38" s="18">
        <f t="shared" si="1"/>
        <v>35.8804625</v>
      </c>
      <c r="P38" s="7"/>
      <c r="Q38" s="10"/>
      <c r="R38" s="11"/>
      <c r="S38" s="11"/>
      <c r="T38" s="26"/>
      <c r="U38" s="28">
        <f t="shared" si="2"/>
        <v>-0.30578156602138107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39.869999999999997</v>
      </c>
      <c r="H39" s="18">
        <f t="shared" si="0"/>
        <v>32.924374999999998</v>
      </c>
      <c r="I39" s="5"/>
      <c r="J39" s="17">
        <v>514.61199999999997</v>
      </c>
      <c r="K39" s="18">
        <v>33.085099999999997</v>
      </c>
      <c r="L39" s="18">
        <v>37.372100000000003</v>
      </c>
      <c r="M39" s="18">
        <v>36.906799999999997</v>
      </c>
      <c r="N39" s="18">
        <v>29.351299999999998</v>
      </c>
      <c r="O39" s="18">
        <f t="shared" si="1"/>
        <v>34.098687499999997</v>
      </c>
      <c r="P39" s="7"/>
      <c r="Q39" s="10"/>
      <c r="R39" s="11"/>
      <c r="S39" s="11"/>
      <c r="T39" s="26"/>
      <c r="U39" s="28">
        <f t="shared" si="2"/>
        <v>-0.26382493102583393</v>
      </c>
    </row>
    <row r="40" spans="1:21" ht="16.5" thickBot="1" x14ac:dyDescent="0.3">
      <c r="B40" s="12"/>
      <c r="C40" s="19">
        <v>386.07</v>
      </c>
      <c r="D40" s="20">
        <v>29.631</v>
      </c>
      <c r="E40" s="20">
        <v>34.978000000000002</v>
      </c>
      <c r="F40" s="20">
        <v>34.424999999999997</v>
      </c>
      <c r="G40" s="20">
        <v>48.41</v>
      </c>
      <c r="H40" s="20">
        <f t="shared" si="0"/>
        <v>30.898625000000003</v>
      </c>
      <c r="I40" s="5"/>
      <c r="J40" s="19">
        <v>308.03840000000002</v>
      </c>
      <c r="K40" s="20">
        <v>31.175899999999999</v>
      </c>
      <c r="L40" s="20">
        <v>35.929900000000004</v>
      </c>
      <c r="M40" s="20">
        <v>35.363799999999998</v>
      </c>
      <c r="N40" s="20">
        <v>36.297600000000003</v>
      </c>
      <c r="O40" s="20">
        <f t="shared" si="1"/>
        <v>32.293637500000003</v>
      </c>
      <c r="P40" s="7"/>
      <c r="Q40" s="13"/>
      <c r="R40" s="14"/>
      <c r="S40" s="14"/>
      <c r="T40" s="27"/>
      <c r="U40" s="28">
        <f t="shared" si="2"/>
        <v>-0.2502045032018177</v>
      </c>
    </row>
    <row r="41" spans="1:21" x14ac:dyDescent="0.25">
      <c r="B41" s="6" t="s">
        <v>54</v>
      </c>
      <c r="C41" s="15">
        <v>1570.27</v>
      </c>
      <c r="D41" s="16">
        <v>35.71</v>
      </c>
      <c r="E41" s="16">
        <v>40.115000000000002</v>
      </c>
      <c r="F41" s="16">
        <v>40.94</v>
      </c>
      <c r="G41" s="16">
        <v>34.28</v>
      </c>
      <c r="H41" s="16">
        <f t="shared" si="0"/>
        <v>36.914375</v>
      </c>
      <c r="I41" s="5"/>
      <c r="J41" s="15">
        <v>1253.7983999999999</v>
      </c>
      <c r="K41" s="16">
        <v>36.233199999999997</v>
      </c>
      <c r="L41" s="16">
        <v>41.127899999999997</v>
      </c>
      <c r="M41" s="16">
        <v>42.008200000000002</v>
      </c>
      <c r="N41" s="16">
        <v>24.877700000000001</v>
      </c>
      <c r="O41" s="16">
        <f t="shared" si="1"/>
        <v>37.566912499999994</v>
      </c>
      <c r="P41" s="7"/>
      <c r="Q41" s="8">
        <f>bdrate(C41:C44,D41:D44,J41:J44,K41:K44)</f>
        <v>-0.36755453712676611</v>
      </c>
      <c r="R41" s="8">
        <f>bdrate(C41:C44,E41:E44,J41:J44,L41:L44)</f>
        <v>-0.40267298898713122</v>
      </c>
      <c r="S41" s="8">
        <f>bdrate(C41:C44,F41:F44,J41:J44,M41:M44)</f>
        <v>-0.38539627405340093</v>
      </c>
      <c r="T41" s="25">
        <f>bdrate(C41:C44,H41:H44,J41:J44,O41:O44)</f>
        <v>-0.37419504391947633</v>
      </c>
      <c r="U41" s="28">
        <f t="shared" si="2"/>
        <v>-0.27427946324387398</v>
      </c>
    </row>
    <row r="42" spans="1:21" x14ac:dyDescent="0.25">
      <c r="B42" s="9"/>
      <c r="C42" s="17">
        <v>1048.53</v>
      </c>
      <c r="D42" s="18">
        <v>33.936999999999998</v>
      </c>
      <c r="E42" s="18">
        <v>39.231999999999999</v>
      </c>
      <c r="F42" s="18">
        <v>39.944000000000003</v>
      </c>
      <c r="G42" s="18">
        <v>37.82</v>
      </c>
      <c r="H42" s="18">
        <f t="shared" si="0"/>
        <v>35.34975</v>
      </c>
      <c r="I42" s="5"/>
      <c r="J42" s="17">
        <v>835.09439999999995</v>
      </c>
      <c r="K42" s="18">
        <v>34.729999999999997</v>
      </c>
      <c r="L42" s="18">
        <v>40.006500000000003</v>
      </c>
      <c r="M42" s="18">
        <v>40.750300000000003</v>
      </c>
      <c r="N42" s="18">
        <v>29.337</v>
      </c>
      <c r="O42" s="18">
        <f t="shared" si="1"/>
        <v>36.142099999999999</v>
      </c>
      <c r="P42" s="7"/>
      <c r="Q42" s="10"/>
      <c r="R42" s="11"/>
      <c r="S42" s="11"/>
      <c r="T42" s="26"/>
      <c r="U42" s="28">
        <f t="shared" si="2"/>
        <v>-0.2242993125330513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42.83</v>
      </c>
      <c r="H43" s="18">
        <f t="shared" si="0"/>
        <v>33.446375000000003</v>
      </c>
      <c r="I43" s="5"/>
      <c r="J43" s="17">
        <v>520.66319999999996</v>
      </c>
      <c r="K43" s="18">
        <v>32.882899999999999</v>
      </c>
      <c r="L43" s="18">
        <v>38.820399999999999</v>
      </c>
      <c r="M43" s="18">
        <v>39.4313</v>
      </c>
      <c r="N43" s="18">
        <v>35.979900000000001</v>
      </c>
      <c r="O43" s="18">
        <f t="shared" si="1"/>
        <v>34.443637500000001</v>
      </c>
      <c r="P43" s="7"/>
      <c r="Q43" s="10"/>
      <c r="R43" s="11"/>
      <c r="S43" s="11"/>
      <c r="T43" s="26"/>
      <c r="U43" s="28">
        <f t="shared" si="2"/>
        <v>-0.15993696007471395</v>
      </c>
    </row>
    <row r="44" spans="1:21" ht="16.5" thickBot="1" x14ac:dyDescent="0.3">
      <c r="B44" s="12"/>
      <c r="C44" s="19">
        <v>393.49</v>
      </c>
      <c r="D44" s="20">
        <v>29.263000000000002</v>
      </c>
      <c r="E44" s="20">
        <v>37.215000000000003</v>
      </c>
      <c r="F44" s="20">
        <v>37.725000000000001</v>
      </c>
      <c r="G44" s="20">
        <v>48.75</v>
      </c>
      <c r="H44" s="20">
        <f t="shared" si="0"/>
        <v>31.31475</v>
      </c>
      <c r="I44" s="5"/>
      <c r="J44" s="19">
        <v>311.82560000000001</v>
      </c>
      <c r="K44" s="20">
        <v>30.879000000000001</v>
      </c>
      <c r="L44" s="20">
        <v>37.628500000000003</v>
      </c>
      <c r="M44" s="20">
        <v>38.047899999999998</v>
      </c>
      <c r="N44" s="20">
        <v>45.143300000000004</v>
      </c>
      <c r="O44" s="20">
        <f t="shared" si="1"/>
        <v>32.6188</v>
      </c>
      <c r="P44" s="7"/>
      <c r="Q44" s="13"/>
      <c r="R44" s="14"/>
      <c r="S44" s="14"/>
      <c r="T44" s="27"/>
      <c r="U44" s="28">
        <f t="shared" si="2"/>
        <v>-7.3983589743589664E-2</v>
      </c>
    </row>
    <row r="45" spans="1:21" x14ac:dyDescent="0.25">
      <c r="B45" s="6" t="s">
        <v>55</v>
      </c>
      <c r="C45" s="15">
        <v>1433</v>
      </c>
      <c r="D45" s="16">
        <v>30.212</v>
      </c>
      <c r="E45" s="16">
        <v>35.841000000000001</v>
      </c>
      <c r="F45" s="16">
        <v>36.564999999999998</v>
      </c>
      <c r="G45" s="16">
        <v>30.1</v>
      </c>
      <c r="H45" s="16">
        <f t="shared" si="0"/>
        <v>31.70975</v>
      </c>
      <c r="I45" s="5"/>
      <c r="J45" s="15">
        <v>1237.096</v>
      </c>
      <c r="K45" s="16">
        <v>31.174399999999999</v>
      </c>
      <c r="L45" s="16">
        <v>36.975999999999999</v>
      </c>
      <c r="M45" s="16">
        <v>37.754600000000003</v>
      </c>
      <c r="N45" s="16">
        <v>23.936</v>
      </c>
      <c r="O45" s="16">
        <f t="shared" si="1"/>
        <v>32.722124999999998</v>
      </c>
      <c r="P45" s="7"/>
      <c r="Q45" s="8">
        <f>bdrate(C45:C48,D45:D48,J45:J48,K45:K48)</f>
        <v>-0.39171271803713348</v>
      </c>
      <c r="R45" s="8">
        <f>bdrate(C45:C48,E45:E48,J45:J48,L45:L48)</f>
        <v>-0.40724229420617386</v>
      </c>
      <c r="S45" s="8">
        <f>bdrate(C45:C48,F45:F48,J45:J48,M45:M48)</f>
        <v>-0.3985989218502054</v>
      </c>
      <c r="T45" s="25">
        <f>bdrate(C45:C48,H45:H48,J45:J48,O45:O48)</f>
        <v>-0.397828567270751</v>
      </c>
      <c r="U45" s="28">
        <f t="shared" si="2"/>
        <v>-0.20478405315614623</v>
      </c>
    </row>
    <row r="46" spans="1:21" x14ac:dyDescent="0.25">
      <c r="B46" s="9"/>
      <c r="C46" s="17">
        <v>957.08</v>
      </c>
      <c r="D46" s="18">
        <v>28.73</v>
      </c>
      <c r="E46" s="18">
        <v>35.204000000000001</v>
      </c>
      <c r="F46" s="18">
        <v>35.933</v>
      </c>
      <c r="G46" s="18">
        <v>32.979999999999997</v>
      </c>
      <c r="H46" s="18">
        <f t="shared" si="0"/>
        <v>30.439624999999999</v>
      </c>
      <c r="I46" s="5"/>
      <c r="J46" s="17">
        <v>825.49919999999997</v>
      </c>
      <c r="K46" s="18">
        <v>29.838100000000001</v>
      </c>
      <c r="L46" s="18">
        <v>36.0762</v>
      </c>
      <c r="M46" s="18">
        <v>36.837499999999999</v>
      </c>
      <c r="N46" s="18">
        <v>29.270600000000002</v>
      </c>
      <c r="O46" s="18">
        <f t="shared" si="1"/>
        <v>31.492787500000002</v>
      </c>
      <c r="P46" s="7"/>
      <c r="Q46" s="10"/>
      <c r="R46" s="11"/>
      <c r="S46" s="11"/>
      <c r="T46" s="26"/>
      <c r="U46" s="28">
        <f t="shared" si="2"/>
        <v>-0.11247422680412357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36.67</v>
      </c>
      <c r="H47" s="18">
        <f t="shared" si="0"/>
        <v>29.105375000000002</v>
      </c>
      <c r="I47" s="5"/>
      <c r="J47" s="17">
        <v>512.73440000000005</v>
      </c>
      <c r="K47" s="18">
        <v>28.303699999999999</v>
      </c>
      <c r="L47" s="18">
        <v>35.136400000000002</v>
      </c>
      <c r="M47" s="18">
        <v>35.848999999999997</v>
      </c>
      <c r="N47" s="18">
        <v>37.268900000000002</v>
      </c>
      <c r="O47" s="18">
        <f t="shared" si="1"/>
        <v>30.100950000000001</v>
      </c>
      <c r="P47" s="7"/>
      <c r="Q47" s="10"/>
      <c r="R47" s="11"/>
      <c r="S47" s="11"/>
      <c r="T47" s="26"/>
      <c r="U47" s="28">
        <f t="shared" si="2"/>
        <v>1.6332151622579776E-2</v>
      </c>
    </row>
    <row r="48" spans="1:21" ht="16.5" thickBot="1" x14ac:dyDescent="0.3">
      <c r="B48" s="12"/>
      <c r="C48" s="19">
        <v>362.7</v>
      </c>
      <c r="D48" s="20">
        <v>25.538</v>
      </c>
      <c r="E48" s="20">
        <v>34.006999999999998</v>
      </c>
      <c r="F48" s="20">
        <v>34.719000000000001</v>
      </c>
      <c r="G48" s="20">
        <v>41.89</v>
      </c>
      <c r="H48" s="20">
        <f t="shared" si="0"/>
        <v>27.744250000000001</v>
      </c>
      <c r="I48" s="5"/>
      <c r="J48" s="19">
        <v>308.47919999999999</v>
      </c>
      <c r="K48" s="20">
        <v>26.808800000000002</v>
      </c>
      <c r="L48" s="20">
        <v>34.149799999999999</v>
      </c>
      <c r="M48" s="20">
        <v>34.851500000000001</v>
      </c>
      <c r="N48" s="20">
        <v>47.837699999999998</v>
      </c>
      <c r="O48" s="20">
        <f t="shared" si="1"/>
        <v>28.731762500000002</v>
      </c>
      <c r="P48" s="7"/>
      <c r="Q48" s="13"/>
      <c r="R48" s="14"/>
      <c r="S48" s="14"/>
      <c r="T48" s="27"/>
      <c r="U48" s="28">
        <f t="shared" si="2"/>
        <v>0.14198376700883258</v>
      </c>
    </row>
    <row r="49" spans="1:21" x14ac:dyDescent="0.25">
      <c r="B49" s="6" t="s">
        <v>56</v>
      </c>
      <c r="C49" s="15">
        <v>1433.56</v>
      </c>
      <c r="D49" s="16">
        <v>33.552</v>
      </c>
      <c r="E49" s="16">
        <v>37.027000000000001</v>
      </c>
      <c r="F49" s="16">
        <v>38.747</v>
      </c>
      <c r="G49" s="16">
        <v>22.41</v>
      </c>
      <c r="H49" s="16">
        <f t="shared" si="0"/>
        <v>34.635750000000002</v>
      </c>
      <c r="I49" s="5"/>
      <c r="J49" s="15">
        <v>1238.8768</v>
      </c>
      <c r="K49" s="16">
        <v>33.335500000000003</v>
      </c>
      <c r="L49" s="16">
        <v>37.299900000000001</v>
      </c>
      <c r="M49" s="16">
        <v>38.8643</v>
      </c>
      <c r="N49" s="16">
        <v>14.8155</v>
      </c>
      <c r="O49" s="16">
        <f t="shared" si="1"/>
        <v>34.522150000000003</v>
      </c>
      <c r="P49" s="7"/>
      <c r="Q49" s="8">
        <f>bdrate(C49:C52,D49:D52,J49:J52,K49:K52)</f>
        <v>-0.1734022528310506</v>
      </c>
      <c r="R49" s="8">
        <f>bdrate(C49:C52,E49:E52,J49:J52,L49:L52)</f>
        <v>-0.1923362851514776</v>
      </c>
      <c r="S49" s="8">
        <f>bdrate(C49:C52,F49:F52,J49:J52,M49:M52)</f>
        <v>-0.167301440458686</v>
      </c>
      <c r="T49" s="25">
        <f>bdrate(C49:C52,H49:H52,J49:J52,O49:O52)</f>
        <v>-0.17459146975863293</v>
      </c>
      <c r="U49" s="28">
        <f t="shared" si="2"/>
        <v>-0.33888888888888891</v>
      </c>
    </row>
    <row r="50" spans="1:21" x14ac:dyDescent="0.25">
      <c r="B50" s="9"/>
      <c r="C50" s="17">
        <v>969.73</v>
      </c>
      <c r="D50" s="18">
        <v>31.925999999999998</v>
      </c>
      <c r="E50" s="18">
        <v>36.188000000000002</v>
      </c>
      <c r="F50" s="18">
        <v>37.875999999999998</v>
      </c>
      <c r="G50" s="18">
        <v>24.75</v>
      </c>
      <c r="H50" s="18">
        <f t="shared" si="0"/>
        <v>33.202499999999993</v>
      </c>
      <c r="I50" s="5"/>
      <c r="J50" s="17">
        <v>823.4</v>
      </c>
      <c r="K50" s="18">
        <v>31.829599999999999</v>
      </c>
      <c r="L50" s="18">
        <v>36.357300000000002</v>
      </c>
      <c r="M50" s="18">
        <v>37.917999999999999</v>
      </c>
      <c r="N50" s="18">
        <v>17.8063</v>
      </c>
      <c r="O50" s="18">
        <f t="shared" si="1"/>
        <v>33.156612500000001</v>
      </c>
      <c r="P50" s="7"/>
      <c r="Q50" s="10"/>
      <c r="R50" s="11"/>
      <c r="S50" s="11"/>
      <c r="T50" s="26"/>
      <c r="U50" s="28">
        <f t="shared" si="2"/>
        <v>-0.28055353535353533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28.16</v>
      </c>
      <c r="H51" s="18">
        <f t="shared" si="0"/>
        <v>31.553000000000001</v>
      </c>
      <c r="I51" s="5"/>
      <c r="J51" s="17">
        <v>514.8904</v>
      </c>
      <c r="K51" s="18">
        <v>30.208100000000002</v>
      </c>
      <c r="L51" s="18">
        <v>35.311999999999998</v>
      </c>
      <c r="M51" s="18">
        <v>36.880800000000001</v>
      </c>
      <c r="N51" s="18">
        <v>22.232099999999999</v>
      </c>
      <c r="O51" s="18">
        <f t="shared" si="1"/>
        <v>31.680175000000002</v>
      </c>
      <c r="P51" s="7"/>
      <c r="Q51" s="10"/>
      <c r="R51" s="11"/>
      <c r="S51" s="11"/>
      <c r="T51" s="26"/>
      <c r="U51" s="28">
        <f t="shared" si="2"/>
        <v>-0.21050781250000003</v>
      </c>
    </row>
    <row r="52" spans="1:21" ht="16.5" thickBot="1" x14ac:dyDescent="0.3">
      <c r="B52" s="12"/>
      <c r="C52" s="19">
        <v>372.73</v>
      </c>
      <c r="D52" s="20">
        <v>28</v>
      </c>
      <c r="E52" s="20">
        <v>34.295000000000002</v>
      </c>
      <c r="F52" s="20">
        <v>35.704000000000001</v>
      </c>
      <c r="G52" s="20">
        <v>33.1</v>
      </c>
      <c r="H52" s="20">
        <f t="shared" si="0"/>
        <v>29.749875000000003</v>
      </c>
      <c r="I52" s="5"/>
      <c r="J52" s="19">
        <v>308.87920000000003</v>
      </c>
      <c r="K52" s="20">
        <v>28.618600000000001</v>
      </c>
      <c r="L52" s="20">
        <v>34.335500000000003</v>
      </c>
      <c r="M52" s="20">
        <v>35.842599999999997</v>
      </c>
      <c r="N52" s="20">
        <v>28.155799999999999</v>
      </c>
      <c r="O52" s="20">
        <f t="shared" si="1"/>
        <v>30.236212500000001</v>
      </c>
      <c r="P52" s="7"/>
      <c r="Q52" s="13"/>
      <c r="R52" s="14"/>
      <c r="S52" s="14"/>
      <c r="T52" s="27"/>
      <c r="U52" s="28">
        <f t="shared" si="2"/>
        <v>-0.14937160120845927</v>
      </c>
    </row>
    <row r="53" spans="1:21" x14ac:dyDescent="0.25">
      <c r="A53" s="6" t="s">
        <v>41</v>
      </c>
      <c r="B53" s="6" t="s">
        <v>57</v>
      </c>
      <c r="C53" s="15">
        <v>826.64</v>
      </c>
      <c r="D53" s="16">
        <v>35.997999999999998</v>
      </c>
      <c r="E53" s="16">
        <v>39.884999999999998</v>
      </c>
      <c r="F53" s="16">
        <v>38.664000000000001</v>
      </c>
      <c r="G53" s="16">
        <v>95.11</v>
      </c>
      <c r="H53" s="16">
        <f t="shared" si="0"/>
        <v>36.817124999999997</v>
      </c>
      <c r="I53" s="5"/>
      <c r="J53" s="15">
        <v>614.65840000000003</v>
      </c>
      <c r="K53" s="16">
        <v>35.431399999999996</v>
      </c>
      <c r="L53" s="16">
        <v>40.247199999999999</v>
      </c>
      <c r="M53" s="16">
        <v>38.7425</v>
      </c>
      <c r="N53" s="16">
        <v>59.129600000000003</v>
      </c>
      <c r="O53" s="16">
        <f t="shared" si="1"/>
        <v>36.447262499999994</v>
      </c>
      <c r="P53" s="7"/>
      <c r="Q53" s="8">
        <f>bdrate(C53:C56,D53:D56,J53:J56,K53:K56)</f>
        <v>-0.21693249290767458</v>
      </c>
      <c r="R53" s="8">
        <f>bdrate(C53:C56,E53:E56,J53:J56,L53:L56)</f>
        <v>-0.30513143449881241</v>
      </c>
      <c r="S53" s="8">
        <f>bdrate(C53:C56,F53:F56,J53:J56,M53:M56)</f>
        <v>-0.21809749758211217</v>
      </c>
      <c r="T53" s="25">
        <f>bdrate(C53:C56,H53:H56,J53:J56,O53:O56)</f>
        <v>-0.22345879209373287</v>
      </c>
      <c r="U53" s="28">
        <f t="shared" si="2"/>
        <v>-0.37830301755861628</v>
      </c>
    </row>
    <row r="54" spans="1:21" x14ac:dyDescent="0.25">
      <c r="A54" s="9" t="s">
        <v>42</v>
      </c>
      <c r="B54" s="9"/>
      <c r="C54" s="17">
        <v>552.09</v>
      </c>
      <c r="D54" s="18">
        <v>34.011000000000003</v>
      </c>
      <c r="E54" s="18">
        <v>38.728000000000002</v>
      </c>
      <c r="F54" s="18">
        <v>37.292999999999999</v>
      </c>
      <c r="G54" s="18">
        <v>104.41</v>
      </c>
      <c r="H54" s="18">
        <f t="shared" si="0"/>
        <v>35.010875000000006</v>
      </c>
      <c r="I54" s="5"/>
      <c r="J54" s="17">
        <v>410.3784</v>
      </c>
      <c r="K54" s="18">
        <v>33.5702</v>
      </c>
      <c r="L54" s="18">
        <v>39.005800000000001</v>
      </c>
      <c r="M54" s="18">
        <v>37.255200000000002</v>
      </c>
      <c r="N54" s="18">
        <v>71.225099999999998</v>
      </c>
      <c r="O54" s="18">
        <f t="shared" si="1"/>
        <v>34.710274999999996</v>
      </c>
      <c r="P54" s="7"/>
      <c r="Q54" s="10"/>
      <c r="R54" s="11"/>
      <c r="S54" s="11"/>
      <c r="T54" s="26"/>
      <c r="U54" s="28">
        <f t="shared" si="2"/>
        <v>-0.31783258308591134</v>
      </c>
    </row>
    <row r="55" spans="1:21" x14ac:dyDescent="0.25">
      <c r="B55" s="9"/>
      <c r="C55" s="17">
        <v>347.43</v>
      </c>
      <c r="D55" s="18">
        <v>31.826000000000001</v>
      </c>
      <c r="E55" s="18">
        <v>37.624000000000002</v>
      </c>
      <c r="F55" s="18">
        <v>35.954000000000001</v>
      </c>
      <c r="G55" s="18">
        <v>117.81</v>
      </c>
      <c r="H55" s="18">
        <f t="shared" si="0"/>
        <v>33.066749999999999</v>
      </c>
      <c r="I55" s="5"/>
      <c r="J55" s="17">
        <v>255.988</v>
      </c>
      <c r="K55" s="18">
        <v>31.558199999999999</v>
      </c>
      <c r="L55" s="18">
        <v>37.779699999999998</v>
      </c>
      <c r="M55" s="18">
        <v>35.743600000000001</v>
      </c>
      <c r="N55" s="18">
        <v>88.292400000000001</v>
      </c>
      <c r="O55" s="18">
        <f t="shared" si="1"/>
        <v>32.8590625</v>
      </c>
      <c r="P55" s="7"/>
      <c r="Q55" s="10"/>
      <c r="R55" s="11"/>
      <c r="S55" s="11"/>
      <c r="T55" s="26"/>
      <c r="U55" s="28">
        <f t="shared" si="2"/>
        <v>-0.25055258467023173</v>
      </c>
    </row>
    <row r="56" spans="1:21" ht="16.5" thickBot="1" x14ac:dyDescent="0.3">
      <c r="B56" s="12"/>
      <c r="C56" s="19">
        <v>168.67</v>
      </c>
      <c r="D56" s="20">
        <v>28.611999999999998</v>
      </c>
      <c r="E56" s="20">
        <v>36.134</v>
      </c>
      <c r="F56" s="20">
        <v>34.063000000000002</v>
      </c>
      <c r="G56" s="20">
        <v>149.75</v>
      </c>
      <c r="H56" s="20">
        <f t="shared" si="0"/>
        <v>30.233624999999996</v>
      </c>
      <c r="I56" s="5"/>
      <c r="J56" s="19">
        <v>121.6808</v>
      </c>
      <c r="K56" s="20">
        <v>28.694099999999999</v>
      </c>
      <c r="L56" s="20">
        <v>35.96</v>
      </c>
      <c r="M56" s="20">
        <v>33.536000000000001</v>
      </c>
      <c r="N56" s="20">
        <v>127.1617</v>
      </c>
      <c r="O56" s="20">
        <f t="shared" si="1"/>
        <v>30.207575000000002</v>
      </c>
      <c r="P56" s="7"/>
      <c r="Q56" s="13"/>
      <c r="R56" s="14"/>
      <c r="S56" s="14"/>
      <c r="T56" s="27"/>
      <c r="U56" s="28">
        <f t="shared" si="2"/>
        <v>-0.1508400667779633</v>
      </c>
    </row>
    <row r="57" spans="1:21" x14ac:dyDescent="0.25">
      <c r="B57" s="6" t="s">
        <v>58</v>
      </c>
      <c r="C57" s="15">
        <v>724.29</v>
      </c>
      <c r="D57" s="16">
        <v>32.914000000000001</v>
      </c>
      <c r="E57" s="16">
        <v>39.712000000000003</v>
      </c>
      <c r="F57" s="16">
        <v>40.444000000000003</v>
      </c>
      <c r="G57" s="16">
        <v>126.53</v>
      </c>
      <c r="H57" s="16">
        <f t="shared" si="0"/>
        <v>34.705000000000005</v>
      </c>
      <c r="I57" s="5"/>
      <c r="J57" s="15">
        <v>617.2912</v>
      </c>
      <c r="K57" s="16">
        <v>34.463500000000003</v>
      </c>
      <c r="L57" s="16">
        <v>41.681699999999999</v>
      </c>
      <c r="M57" s="16">
        <v>42.576599999999999</v>
      </c>
      <c r="N57" s="16">
        <v>88.823099999999997</v>
      </c>
      <c r="O57" s="16">
        <f t="shared" si="1"/>
        <v>36.379912500000003</v>
      </c>
      <c r="P57" s="7"/>
      <c r="Q57" s="8">
        <f>bdrate(C57:C60,D57:D60,J57:J60,K57:K60)</f>
        <v>-0.49338900363977389</v>
      </c>
      <c r="R57" s="8">
        <f>bdrate(C57:C60,E57:E60,J57:J60,L57:L60)</f>
        <v>-0.48672872484461438</v>
      </c>
      <c r="S57" s="8">
        <f>bdrate(C57:C60,F57:F60,J57:J60,M57:M60)</f>
        <v>-0.58725498972457912</v>
      </c>
      <c r="T57" s="25">
        <f>bdrate(C57:C60,H57:H60,J57:J60,O57:O60)</f>
        <v>-0.50478451799425117</v>
      </c>
      <c r="U57" s="28">
        <f t="shared" si="2"/>
        <v>-0.29800758713348618</v>
      </c>
    </row>
    <row r="58" spans="1:21" x14ac:dyDescent="0.25">
      <c r="B58" s="9"/>
      <c r="C58" s="17">
        <v>476.16</v>
      </c>
      <c r="D58" s="18">
        <v>31.417999999999999</v>
      </c>
      <c r="E58" s="18">
        <v>39.222999999999999</v>
      </c>
      <c r="F58" s="18">
        <v>39.780999999999999</v>
      </c>
      <c r="G58" s="18">
        <v>138.86000000000001</v>
      </c>
      <c r="H58" s="18">
        <f t="shared" si="0"/>
        <v>33.439</v>
      </c>
      <c r="I58" s="5"/>
      <c r="J58" s="17">
        <v>408.51440000000002</v>
      </c>
      <c r="K58" s="18">
        <v>33.137700000000002</v>
      </c>
      <c r="L58" s="18">
        <v>40.693199999999997</v>
      </c>
      <c r="M58" s="18">
        <v>41.546799999999998</v>
      </c>
      <c r="N58" s="18">
        <v>110.8443</v>
      </c>
      <c r="O58" s="18">
        <f t="shared" si="1"/>
        <v>35.133275000000005</v>
      </c>
      <c r="P58" s="7"/>
      <c r="Q58" s="10"/>
      <c r="R58" s="11"/>
      <c r="S58" s="11"/>
      <c r="T58" s="26"/>
      <c r="U58" s="28">
        <f t="shared" si="2"/>
        <v>-0.2017550050410486</v>
      </c>
    </row>
    <row r="59" spans="1:21" x14ac:dyDescent="0.25">
      <c r="B59" s="9"/>
      <c r="C59" s="17">
        <v>294.51</v>
      </c>
      <c r="D59" s="18">
        <v>29.687999999999999</v>
      </c>
      <c r="E59" s="18">
        <v>38.661999999999999</v>
      </c>
      <c r="F59" s="18">
        <v>39.075000000000003</v>
      </c>
      <c r="G59" s="18">
        <v>153.26</v>
      </c>
      <c r="H59" s="18">
        <f t="shared" si="0"/>
        <v>31.983125000000001</v>
      </c>
      <c r="I59" s="5"/>
      <c r="J59" s="17">
        <v>253.8064</v>
      </c>
      <c r="K59" s="18">
        <v>31.571200000000001</v>
      </c>
      <c r="L59" s="18">
        <v>39.5212</v>
      </c>
      <c r="M59" s="18">
        <v>40.384900000000002</v>
      </c>
      <c r="N59" s="18">
        <v>147.38390000000001</v>
      </c>
      <c r="O59" s="18">
        <f t="shared" si="1"/>
        <v>33.666662500000001</v>
      </c>
      <c r="P59" s="7"/>
      <c r="Q59" s="10"/>
      <c r="R59" s="11"/>
      <c r="S59" s="11"/>
      <c r="T59" s="26"/>
      <c r="U59" s="28">
        <f t="shared" si="2"/>
        <v>-3.834072817434412E-2</v>
      </c>
    </row>
    <row r="60" spans="1:21" ht="16.5" thickBot="1" x14ac:dyDescent="0.3">
      <c r="B60" s="12"/>
      <c r="C60" s="19">
        <v>139.93</v>
      </c>
      <c r="D60" s="20">
        <v>26.949000000000002</v>
      </c>
      <c r="E60" s="20">
        <v>38.119999999999997</v>
      </c>
      <c r="F60" s="20">
        <v>38.173999999999999</v>
      </c>
      <c r="G60" s="20">
        <v>181.43</v>
      </c>
      <c r="H60" s="20">
        <f t="shared" si="0"/>
        <v>29.748500000000003</v>
      </c>
      <c r="I60" s="5"/>
      <c r="J60" s="19">
        <v>120.48480000000001</v>
      </c>
      <c r="K60" s="20">
        <v>29.011399999999998</v>
      </c>
      <c r="L60" s="20">
        <v>38.174999999999997</v>
      </c>
      <c r="M60" s="20">
        <v>38.862400000000001</v>
      </c>
      <c r="N60" s="20">
        <v>234.4666</v>
      </c>
      <c r="O60" s="20">
        <f t="shared" si="1"/>
        <v>31.388225000000002</v>
      </c>
      <c r="P60" s="7"/>
      <c r="Q60" s="13"/>
      <c r="R60" s="14"/>
      <c r="S60" s="14"/>
      <c r="T60" s="27"/>
      <c r="U60" s="28">
        <f t="shared" si="2"/>
        <v>0.29232541476051366</v>
      </c>
    </row>
    <row r="61" spans="1:21" x14ac:dyDescent="0.25">
      <c r="B61" s="6" t="s">
        <v>59</v>
      </c>
      <c r="C61" s="29">
        <v>808.64</v>
      </c>
      <c r="D61" s="30">
        <v>33.965000000000003</v>
      </c>
      <c r="E61" s="30">
        <v>37.433</v>
      </c>
      <c r="F61" s="30">
        <v>37.908000000000001</v>
      </c>
      <c r="G61" s="16">
        <v>112.46</v>
      </c>
      <c r="H61" s="16">
        <f t="shared" si="0"/>
        <v>34.891375000000004</v>
      </c>
      <c r="I61" s="5"/>
      <c r="J61" s="29">
        <v>646.84960000000001</v>
      </c>
      <c r="K61" s="30">
        <v>34.0246</v>
      </c>
      <c r="L61" s="30">
        <v>38.4739</v>
      </c>
      <c r="M61" s="30">
        <v>39.313699999999997</v>
      </c>
      <c r="N61" s="16">
        <v>77.423400000000001</v>
      </c>
      <c r="O61" s="16">
        <f t="shared" si="1"/>
        <v>35.241900000000001</v>
      </c>
      <c r="P61" s="7"/>
      <c r="Q61" s="8">
        <f>bdrate(C61:C64,D61:D64,J61:J64,K61:K64)</f>
        <v>-0.26246207944158384</v>
      </c>
      <c r="R61" s="8">
        <f>bdrate(C61:C64,E61:E64,J61:J64,L61:L64)</f>
        <v>-0.3963407199537663</v>
      </c>
      <c r="S61" s="8">
        <f>bdrate(C61:C64,F61:F64,J61:J64,M61:M64)</f>
        <v>-0.46476923107040591</v>
      </c>
      <c r="T61" s="25">
        <f>bdrate(C61:C64,H61:H64,J61:J64,O61:O64)</f>
        <v>-0.29706527227981538</v>
      </c>
      <c r="U61" s="28">
        <f t="shared" si="2"/>
        <v>-0.31154721678819131</v>
      </c>
    </row>
    <row r="62" spans="1:21" x14ac:dyDescent="0.25">
      <c r="B62" s="9"/>
      <c r="C62" s="31">
        <v>537.05999999999995</v>
      </c>
      <c r="D62" s="32">
        <v>32.268000000000001</v>
      </c>
      <c r="E62" s="32">
        <v>36.369</v>
      </c>
      <c r="F62" s="32">
        <v>36.835000000000001</v>
      </c>
      <c r="G62" s="18">
        <v>120.51</v>
      </c>
      <c r="H62" s="18">
        <f t="shared" si="0"/>
        <v>33.351500000000001</v>
      </c>
      <c r="I62" s="5"/>
      <c r="J62" s="31">
        <v>429.16640000000001</v>
      </c>
      <c r="K62" s="32">
        <v>32.467199999999998</v>
      </c>
      <c r="L62" s="32">
        <v>37.320999999999998</v>
      </c>
      <c r="M62" s="32">
        <v>38.134099999999997</v>
      </c>
      <c r="N62" s="18">
        <v>95.6755</v>
      </c>
      <c r="O62" s="18">
        <f t="shared" si="1"/>
        <v>33.782287500000002</v>
      </c>
      <c r="P62" s="7"/>
      <c r="Q62" s="10"/>
      <c r="R62" s="11"/>
      <c r="S62" s="11"/>
      <c r="T62" s="26"/>
      <c r="U62" s="28">
        <f t="shared" si="2"/>
        <v>-0.2060783337482367</v>
      </c>
    </row>
    <row r="63" spans="1:21" x14ac:dyDescent="0.25">
      <c r="B63" s="9"/>
      <c r="C63" s="31">
        <v>333.68</v>
      </c>
      <c r="D63" s="32">
        <v>30.4</v>
      </c>
      <c r="E63" s="32">
        <v>35.447000000000003</v>
      </c>
      <c r="F63" s="32">
        <v>35.941000000000003</v>
      </c>
      <c r="G63" s="18">
        <v>132.44999999999999</v>
      </c>
      <c r="H63" s="18">
        <f t="shared" si="0"/>
        <v>31.723499999999998</v>
      </c>
      <c r="I63" s="5"/>
      <c r="J63" s="31">
        <v>265.67439999999999</v>
      </c>
      <c r="K63" s="32">
        <v>30.719200000000001</v>
      </c>
      <c r="L63" s="32">
        <v>36.052599999999998</v>
      </c>
      <c r="M63" s="32">
        <v>36.816299999999998</v>
      </c>
      <c r="N63" s="18">
        <v>118.7085</v>
      </c>
      <c r="O63" s="18">
        <f t="shared" si="1"/>
        <v>32.1480125</v>
      </c>
      <c r="P63" s="7"/>
      <c r="Q63" s="10"/>
      <c r="R63" s="11"/>
      <c r="S63" s="11"/>
      <c r="T63" s="26"/>
      <c r="U63" s="28">
        <f t="shared" si="2"/>
        <v>-0.10374858437146084</v>
      </c>
    </row>
    <row r="64" spans="1:21" ht="16.5" thickBot="1" x14ac:dyDescent="0.3">
      <c r="B64" s="12"/>
      <c r="C64" s="33">
        <v>157.65</v>
      </c>
      <c r="D64" s="34">
        <v>27.733000000000001</v>
      </c>
      <c r="E64" s="34">
        <v>34.207999999999998</v>
      </c>
      <c r="F64" s="34">
        <v>34.771000000000001</v>
      </c>
      <c r="G64" s="20">
        <v>155.57</v>
      </c>
      <c r="H64" s="20">
        <f t="shared" si="0"/>
        <v>29.422125000000001</v>
      </c>
      <c r="I64" s="5"/>
      <c r="J64" s="33">
        <v>124.6472</v>
      </c>
      <c r="K64" s="34">
        <v>28.196300000000001</v>
      </c>
      <c r="L64" s="34">
        <v>34.3125</v>
      </c>
      <c r="M64" s="34">
        <v>35.019500000000001</v>
      </c>
      <c r="N64" s="20">
        <v>171.3502</v>
      </c>
      <c r="O64" s="20">
        <f t="shared" si="1"/>
        <v>29.813724999999998</v>
      </c>
      <c r="P64" s="7"/>
      <c r="Q64" s="13"/>
      <c r="R64" s="14"/>
      <c r="S64" s="14"/>
      <c r="T64" s="27"/>
      <c r="U64" s="28">
        <f t="shared" si="2"/>
        <v>0.10143472391849334</v>
      </c>
    </row>
    <row r="65" spans="1:21" x14ac:dyDescent="0.25">
      <c r="B65" s="6" t="s">
        <v>60</v>
      </c>
      <c r="C65" s="15">
        <v>744.07</v>
      </c>
      <c r="D65" s="16">
        <v>35.74</v>
      </c>
      <c r="E65" s="16">
        <v>37.871000000000002</v>
      </c>
      <c r="F65" s="16">
        <v>39.031999999999996</v>
      </c>
      <c r="G65" s="16">
        <v>73.400000000000006</v>
      </c>
      <c r="H65" s="16">
        <f t="shared" si="0"/>
        <v>36.417875000000002</v>
      </c>
      <c r="I65" s="5"/>
      <c r="J65" s="15">
        <v>622.548</v>
      </c>
      <c r="K65" s="16">
        <v>35.145699999999998</v>
      </c>
      <c r="L65" s="16">
        <v>38.418900000000001</v>
      </c>
      <c r="M65" s="16">
        <v>39.513800000000003</v>
      </c>
      <c r="N65" s="16">
        <v>44.111199999999997</v>
      </c>
      <c r="O65" s="16">
        <f t="shared" si="1"/>
        <v>36.100862499999998</v>
      </c>
      <c r="P65" s="7"/>
      <c r="Q65" s="8">
        <f>bdrate(C65:C68,D65:D68,J65:J68,K65:K68)</f>
        <v>-0.10269553869156622</v>
      </c>
      <c r="R65" s="8">
        <f>bdrate(C65:C68,E65:E68,J65:J68,L65:L68)</f>
        <v>-0.2432220927609855</v>
      </c>
      <c r="S65" s="8">
        <f>bdrate(C65:C68,F65:F68,J65:J68,M65:M68)</f>
        <v>-0.22506853930620629</v>
      </c>
      <c r="T65" s="25">
        <f>bdrate(C65:C68,H65:H68,J65:J68,O65:O68)</f>
        <v>-0.12609234314861817</v>
      </c>
      <c r="U65" s="28">
        <f t="shared" si="2"/>
        <v>-0.39902997275204372</v>
      </c>
    </row>
    <row r="66" spans="1:21" x14ac:dyDescent="0.25">
      <c r="B66" s="9"/>
      <c r="C66" s="17">
        <v>497.59</v>
      </c>
      <c r="D66" s="18">
        <v>33.732999999999997</v>
      </c>
      <c r="E66" s="18">
        <v>36.720999999999997</v>
      </c>
      <c r="F66" s="18">
        <v>37.886000000000003</v>
      </c>
      <c r="G66" s="18">
        <v>80.13</v>
      </c>
      <c r="H66" s="18">
        <f t="shared" si="0"/>
        <v>34.625624999999999</v>
      </c>
      <c r="I66" s="5"/>
      <c r="J66" s="17">
        <v>416.16239999999999</v>
      </c>
      <c r="K66" s="18">
        <v>33.243000000000002</v>
      </c>
      <c r="L66" s="18">
        <v>37.1721</v>
      </c>
      <c r="M66" s="18">
        <v>38.253100000000003</v>
      </c>
      <c r="N66" s="18">
        <v>53.715299999999999</v>
      </c>
      <c r="O66" s="18">
        <f t="shared" si="1"/>
        <v>34.360400000000006</v>
      </c>
      <c r="P66" s="7"/>
      <c r="Q66" s="10"/>
      <c r="R66" s="11"/>
      <c r="S66" s="11"/>
      <c r="T66" s="26"/>
      <c r="U66" s="28">
        <f t="shared" si="2"/>
        <v>-0.32964807188318979</v>
      </c>
    </row>
    <row r="67" spans="1:21" x14ac:dyDescent="0.25">
      <c r="B67" s="9"/>
      <c r="C67" s="17">
        <v>314.47000000000003</v>
      </c>
      <c r="D67" s="18">
        <v>31.616</v>
      </c>
      <c r="E67" s="18">
        <v>35.597999999999999</v>
      </c>
      <c r="F67" s="18">
        <v>36.741</v>
      </c>
      <c r="G67" s="18">
        <v>89.45</v>
      </c>
      <c r="H67" s="18">
        <f t="shared" si="0"/>
        <v>32.754374999999996</v>
      </c>
      <c r="I67" s="5"/>
      <c r="J67" s="17">
        <v>258.89440000000002</v>
      </c>
      <c r="K67" s="18">
        <v>31.240600000000001</v>
      </c>
      <c r="L67" s="18">
        <v>35.770200000000003</v>
      </c>
      <c r="M67" s="18">
        <v>36.858899999999998</v>
      </c>
      <c r="N67" s="18">
        <v>67.950199999999995</v>
      </c>
      <c r="O67" s="18">
        <f t="shared" si="1"/>
        <v>32.5090875</v>
      </c>
      <c r="P67" s="7"/>
      <c r="Q67" s="10"/>
      <c r="R67" s="11"/>
      <c r="S67" s="11"/>
      <c r="T67" s="26"/>
      <c r="U67" s="28">
        <f t="shared" si="2"/>
        <v>-0.24035550586920074</v>
      </c>
    </row>
    <row r="68" spans="1:21" ht="16.5" thickBot="1" x14ac:dyDescent="0.3">
      <c r="B68" s="12"/>
      <c r="C68" s="19">
        <v>150.69999999999999</v>
      </c>
      <c r="D68" s="20">
        <v>28.567</v>
      </c>
      <c r="E68" s="20">
        <v>34.06</v>
      </c>
      <c r="F68" s="20">
        <v>35.084000000000003</v>
      </c>
      <c r="G68" s="20">
        <v>111.15</v>
      </c>
      <c r="H68" s="20">
        <f t="shared" si="0"/>
        <v>30.068249999999999</v>
      </c>
      <c r="I68" s="5"/>
      <c r="J68" s="19">
        <v>123.7152</v>
      </c>
      <c r="K68" s="20">
        <v>28.595500000000001</v>
      </c>
      <c r="L68" s="20">
        <v>34.020000000000003</v>
      </c>
      <c r="M68" s="20">
        <v>35.0197</v>
      </c>
      <c r="N68" s="20">
        <v>99.634699999999995</v>
      </c>
      <c r="O68" s="20">
        <f t="shared" si="1"/>
        <v>30.076587500000002</v>
      </c>
      <c r="P68" s="7"/>
      <c r="Q68" s="13"/>
      <c r="R68" s="14"/>
      <c r="S68" s="14"/>
      <c r="T68" s="27"/>
      <c r="U68" s="28">
        <f t="shared" si="2"/>
        <v>-0.10360143949617642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23.73</v>
      </c>
      <c r="H69" s="16">
        <f t="shared" si="0"/>
        <v>42.616124999999997</v>
      </c>
      <c r="I69" s="5"/>
      <c r="J69" s="15">
        <v>1495.6848</v>
      </c>
      <c r="K69" s="16">
        <v>41.844499999999996</v>
      </c>
      <c r="L69" s="16">
        <v>45.979900000000001</v>
      </c>
      <c r="M69" s="16">
        <v>47.166899999999998</v>
      </c>
      <c r="N69" s="16">
        <v>22.0791</v>
      </c>
      <c r="O69" s="16">
        <f t="shared" si="1"/>
        <v>43.026724999999999</v>
      </c>
      <c r="P69" s="7"/>
      <c r="Q69" s="8">
        <f>bdrate(C69:C72,D69:D72,J69:J72,K69:K72)</f>
        <v>-0.34334661875084893</v>
      </c>
      <c r="R69" s="8">
        <f>bdrate(C69:C72,E69:E72,J69:J72,L69:L72)</f>
        <v>-0.46222414721693372</v>
      </c>
      <c r="S69" s="8">
        <f>bdrate(C69:C72,F69:F72,J69:J72,M69:M72)</f>
        <v>-0.47146618679037888</v>
      </c>
      <c r="T69" s="25">
        <f>bdrate(C69:C72,H69:H72,J69:J72,O69:O72)</f>
        <v>-0.37044931866210395</v>
      </c>
      <c r="U69" s="28">
        <f t="shared" si="2"/>
        <v>-6.9570164348925406E-2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26.2</v>
      </c>
      <c r="H70" s="18">
        <f t="shared" si="0"/>
        <v>41.453749999999999</v>
      </c>
      <c r="I70" s="5"/>
      <c r="J70" s="17">
        <v>985.62800000000004</v>
      </c>
      <c r="K70" s="18">
        <v>40.815899999999999</v>
      </c>
      <c r="L70" s="18">
        <v>45.065300000000001</v>
      </c>
      <c r="M70" s="18">
        <v>46.207999999999998</v>
      </c>
      <c r="N70" s="18">
        <v>27.7303</v>
      </c>
      <c r="O70" s="18">
        <f t="shared" si="1"/>
        <v>42.021087499999993</v>
      </c>
      <c r="P70" s="7"/>
      <c r="Q70" s="10"/>
      <c r="R70" s="11"/>
      <c r="S70" s="11"/>
      <c r="T70" s="26"/>
      <c r="U70" s="28">
        <f t="shared" si="2"/>
        <v>5.8408396946564904E-2</v>
      </c>
    </row>
    <row r="71" spans="1:21" x14ac:dyDescent="0.25">
      <c r="B71" s="9"/>
      <c r="C71" s="17">
        <v>732.01</v>
      </c>
      <c r="D71" s="18">
        <v>38.292000000000002</v>
      </c>
      <c r="E71" s="18">
        <v>42.463000000000001</v>
      </c>
      <c r="F71" s="18">
        <v>43.378999999999998</v>
      </c>
      <c r="G71" s="18">
        <v>29.7</v>
      </c>
      <c r="H71" s="18">
        <f t="shared" si="0"/>
        <v>39.449250000000006</v>
      </c>
      <c r="I71" s="5"/>
      <c r="J71" s="17">
        <v>570.20640000000003</v>
      </c>
      <c r="K71" s="18">
        <v>38.9681</v>
      </c>
      <c r="L71" s="18">
        <v>43.510399999999997</v>
      </c>
      <c r="M71" s="18">
        <v>44.6248</v>
      </c>
      <c r="N71" s="18">
        <v>35.612499999999997</v>
      </c>
      <c r="O71" s="18">
        <f t="shared" si="1"/>
        <v>40.242975000000001</v>
      </c>
      <c r="P71" s="7"/>
      <c r="Q71" s="10"/>
      <c r="R71" s="11"/>
      <c r="S71" s="11"/>
      <c r="T71" s="26"/>
      <c r="U71" s="28">
        <f t="shared" si="2"/>
        <v>0.19907407407407401</v>
      </c>
    </row>
    <row r="72" spans="1:21" ht="16.5" thickBot="1" x14ac:dyDescent="0.3">
      <c r="B72" s="12"/>
      <c r="C72" s="19">
        <v>355.78</v>
      </c>
      <c r="D72" s="20">
        <v>34.362000000000002</v>
      </c>
      <c r="E72" s="20">
        <v>40.415999999999997</v>
      </c>
      <c r="F72" s="20">
        <v>41.365000000000002</v>
      </c>
      <c r="G72" s="20">
        <v>35.03</v>
      </c>
      <c r="H72" s="20">
        <f t="shared" si="0"/>
        <v>35.994125000000004</v>
      </c>
      <c r="I72" s="5"/>
      <c r="J72" s="19">
        <v>277.93279999999999</v>
      </c>
      <c r="K72" s="20">
        <v>35.951799999999999</v>
      </c>
      <c r="L72" s="20">
        <v>41.488300000000002</v>
      </c>
      <c r="M72" s="20">
        <v>42.500399999999999</v>
      </c>
      <c r="N72" s="20">
        <v>48.437899999999999</v>
      </c>
      <c r="O72" s="20">
        <f t="shared" si="1"/>
        <v>37.4624375</v>
      </c>
      <c r="P72" s="7"/>
      <c r="Q72" s="13"/>
      <c r="R72" s="14"/>
      <c r="S72" s="14"/>
      <c r="T72" s="27"/>
      <c r="U72" s="28">
        <f t="shared" si="2"/>
        <v>0.38275478161575788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23.24</v>
      </c>
      <c r="H73" s="16">
        <f t="shared" si="0"/>
        <v>43.655499999999996</v>
      </c>
      <c r="I73" s="5"/>
      <c r="J73" s="15">
        <v>1505.4079999999999</v>
      </c>
      <c r="K73" s="16">
        <v>42.897399999999998</v>
      </c>
      <c r="L73" s="16">
        <v>48.094999999999999</v>
      </c>
      <c r="M73" s="16">
        <v>48.767000000000003</v>
      </c>
      <c r="N73" s="16">
        <v>26.635899999999999</v>
      </c>
      <c r="O73" s="16">
        <f t="shared" si="1"/>
        <v>44.280799999999992</v>
      </c>
      <c r="P73" s="7"/>
      <c r="Q73" s="8">
        <f>bdrate(C73:C76,D73:D76,J73:J76,K73:K76)</f>
        <v>-0.527599333616805</v>
      </c>
      <c r="R73" s="8">
        <f>bdrate(C73:C76,E73:E76,J73:J76,L73:L76)</f>
        <v>-0.67050352146260228</v>
      </c>
      <c r="S73" s="8">
        <f>bdrate(C73:C76,F73:F76,J73:J76,M73:M76)</f>
        <v>-0.69779987624230444</v>
      </c>
      <c r="T73" s="25">
        <f>bdrate(C73:C76,H73:H76,J73:J76,O73:O76)</f>
        <v>-0.57802983554833287</v>
      </c>
      <c r="U73" s="28">
        <f t="shared" ref="U73:U80" si="3">(N73-G73)/G73</f>
        <v>0.14612306368330469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25.19</v>
      </c>
      <c r="H74" s="18">
        <f t="shared" si="0"/>
        <v>42.92</v>
      </c>
      <c r="I74" s="5"/>
      <c r="J74" s="17">
        <v>989.19600000000003</v>
      </c>
      <c r="K74" s="18">
        <v>42.426299999999998</v>
      </c>
      <c r="L74" s="18">
        <v>47.567999999999998</v>
      </c>
      <c r="M74" s="18">
        <v>48.255099999999999</v>
      </c>
      <c r="N74" s="18">
        <v>33.357399999999998</v>
      </c>
      <c r="O74" s="18">
        <f t="shared" si="1"/>
        <v>43.7976125</v>
      </c>
      <c r="P74" s="7"/>
      <c r="Q74" s="10"/>
      <c r="R74" s="11"/>
      <c r="S74" s="11"/>
      <c r="T74" s="26"/>
      <c r="U74" s="28">
        <f t="shared" si="3"/>
        <v>0.32423183803096456</v>
      </c>
    </row>
    <row r="75" spans="1:21" x14ac:dyDescent="0.25">
      <c r="B75" s="9"/>
      <c r="C75" s="17">
        <v>751.77</v>
      </c>
      <c r="D75" s="18">
        <v>40.676000000000002</v>
      </c>
      <c r="E75" s="18">
        <v>44.734000000000002</v>
      </c>
      <c r="F75" s="18">
        <v>45.191000000000003</v>
      </c>
      <c r="G75" s="18">
        <v>27.99</v>
      </c>
      <c r="H75" s="18">
        <f t="shared" si="0"/>
        <v>41.747624999999999</v>
      </c>
      <c r="I75" s="5"/>
      <c r="J75" s="17">
        <v>573.48879999999997</v>
      </c>
      <c r="K75" s="18">
        <v>41.681699999999999</v>
      </c>
      <c r="L75" s="18">
        <v>46.706400000000002</v>
      </c>
      <c r="M75" s="18">
        <v>47.3005</v>
      </c>
      <c r="N75" s="18">
        <v>42.924599999999998</v>
      </c>
      <c r="O75" s="18">
        <f t="shared" si="1"/>
        <v>43.012137500000001</v>
      </c>
      <c r="P75" s="7"/>
      <c r="Q75" s="10"/>
      <c r="R75" s="11"/>
      <c r="S75" s="11"/>
      <c r="T75" s="26"/>
      <c r="U75" s="28">
        <f t="shared" si="3"/>
        <v>0.53356913183279742</v>
      </c>
    </row>
    <row r="76" spans="1:21" ht="16.5" thickBot="1" x14ac:dyDescent="0.3">
      <c r="B76" s="12"/>
      <c r="C76" s="19">
        <v>351.67</v>
      </c>
      <c r="D76" s="20">
        <v>37.997999999999998</v>
      </c>
      <c r="E76" s="20">
        <v>42.354999999999997</v>
      </c>
      <c r="F76" s="20">
        <v>43.345999999999997</v>
      </c>
      <c r="G76" s="20">
        <v>33.36</v>
      </c>
      <c r="H76" s="20">
        <f t="shared" si="0"/>
        <v>39.211125000000003</v>
      </c>
      <c r="I76" s="5"/>
      <c r="J76" s="19">
        <v>275.05759999999998</v>
      </c>
      <c r="K76" s="20">
        <v>40.058999999999997</v>
      </c>
      <c r="L76" s="20">
        <v>44.908099999999997</v>
      </c>
      <c r="M76" s="20">
        <v>45.326099999999997</v>
      </c>
      <c r="N76" s="20">
        <v>58.991199999999999</v>
      </c>
      <c r="O76" s="20">
        <f t="shared" si="1"/>
        <v>41.323524999999997</v>
      </c>
      <c r="P76" s="7"/>
      <c r="Q76" s="13"/>
      <c r="R76" s="14"/>
      <c r="S76" s="14"/>
      <c r="T76" s="27"/>
      <c r="U76" s="28">
        <f t="shared" si="3"/>
        <v>0.76832134292565946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21.93</v>
      </c>
      <c r="H77" s="16">
        <f t="shared" si="0"/>
        <v>43.584249999999997</v>
      </c>
      <c r="I77" s="5"/>
      <c r="J77" s="15">
        <v>1518.28</v>
      </c>
      <c r="K77" s="16">
        <v>42.832000000000001</v>
      </c>
      <c r="L77" s="16">
        <v>47.197400000000002</v>
      </c>
      <c r="M77" s="16">
        <v>48.026400000000002</v>
      </c>
      <c r="N77" s="16">
        <v>24.781099999999999</v>
      </c>
      <c r="O77" s="16">
        <f t="shared" si="1"/>
        <v>44.026975000000007</v>
      </c>
      <c r="P77" s="7"/>
      <c r="Q77" s="8">
        <f>bdrate(C77:C80,D77:D80,J77:J80,K77:K80)</f>
        <v>-0.40770025210914695</v>
      </c>
      <c r="R77" s="8">
        <f>bdrate(C77:C80,E77:E80,J77:J80,L77:L80)</f>
        <v>-0.56844672803458096</v>
      </c>
      <c r="S77" s="8">
        <f>bdrate(C77:C80,F77:F80,J77:J80,M77:M80)</f>
        <v>-0.57978776505450202</v>
      </c>
      <c r="T77" s="25">
        <f>bdrate(C77:C80,H77:H80,J77:J80,O77:O80)</f>
        <v>-0.45345570946179425</v>
      </c>
      <c r="U77" s="28">
        <f t="shared" si="3"/>
        <v>0.13000911992704053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23.79</v>
      </c>
      <c r="H78" s="18">
        <f t="shared" si="0"/>
        <v>42.683375000000005</v>
      </c>
      <c r="I78" s="5"/>
      <c r="J78" s="17">
        <v>1022.424</v>
      </c>
      <c r="K78" s="18">
        <v>42.068600000000004</v>
      </c>
      <c r="L78" s="18">
        <v>46.435299999999998</v>
      </c>
      <c r="M78" s="18">
        <v>47.270600000000002</v>
      </c>
      <c r="N78" s="18">
        <v>30.623200000000001</v>
      </c>
      <c r="O78" s="18">
        <f t="shared" si="1"/>
        <v>43.264687500000001</v>
      </c>
      <c r="P78" s="7"/>
      <c r="Q78" s="10"/>
      <c r="R78" s="11"/>
      <c r="S78" s="11"/>
      <c r="T78" s="26"/>
      <c r="U78" s="28">
        <f t="shared" si="3"/>
        <v>0.287229928541404</v>
      </c>
    </row>
    <row r="79" spans="1:21" x14ac:dyDescent="0.25">
      <c r="B79" s="9"/>
      <c r="C79" s="17">
        <v>795.02</v>
      </c>
      <c r="D79" s="18">
        <v>40.107999999999997</v>
      </c>
      <c r="E79" s="18">
        <v>43.488</v>
      </c>
      <c r="F79" s="18">
        <v>44.255000000000003</v>
      </c>
      <c r="G79" s="18">
        <v>27.37</v>
      </c>
      <c r="H79" s="18">
        <f t="shared" si="0"/>
        <v>41.048874999999995</v>
      </c>
      <c r="I79" s="5"/>
      <c r="J79" s="17">
        <v>593.03440000000001</v>
      </c>
      <c r="K79" s="18">
        <v>40.838099999999997</v>
      </c>
      <c r="L79" s="18">
        <v>45.213999999999999</v>
      </c>
      <c r="M79" s="18">
        <v>45.999499999999998</v>
      </c>
      <c r="N79" s="18">
        <v>38.5381</v>
      </c>
      <c r="O79" s="18">
        <f t="shared" si="1"/>
        <v>42.030262499999999</v>
      </c>
      <c r="P79" s="7"/>
      <c r="Q79" s="10"/>
      <c r="R79" s="11"/>
      <c r="S79" s="11"/>
      <c r="T79" s="26"/>
      <c r="U79" s="28">
        <f t="shared" si="3"/>
        <v>0.40804165144318594</v>
      </c>
    </row>
    <row r="80" spans="1:21" ht="16.5" thickBot="1" x14ac:dyDescent="0.3">
      <c r="B80" s="12"/>
      <c r="C80" s="19">
        <v>383.1</v>
      </c>
      <c r="D80" s="20">
        <v>36.634999999999998</v>
      </c>
      <c r="E80" s="20">
        <v>41.170999999999999</v>
      </c>
      <c r="F80" s="20">
        <v>41.779000000000003</v>
      </c>
      <c r="G80" s="20">
        <v>33.89</v>
      </c>
      <c r="H80" s="20">
        <f t="shared" si="0"/>
        <v>37.844999999999999</v>
      </c>
      <c r="I80" s="5"/>
      <c r="J80" s="19">
        <v>288.74639999999999</v>
      </c>
      <c r="K80" s="20">
        <v>38.384799999999998</v>
      </c>
      <c r="L80" s="20">
        <v>43.125999999999998</v>
      </c>
      <c r="M80" s="20">
        <v>43.978700000000003</v>
      </c>
      <c r="N80" s="20">
        <v>53.196199999999997</v>
      </c>
      <c r="O80" s="20">
        <f t="shared" si="1"/>
        <v>39.6766875</v>
      </c>
      <c r="P80" s="7"/>
      <c r="Q80" s="13"/>
      <c r="R80" s="14"/>
      <c r="S80" s="14"/>
      <c r="T80" s="27"/>
      <c r="U80" s="28">
        <f t="shared" si="3"/>
        <v>0.56967246975508989</v>
      </c>
    </row>
    <row r="81" spans="1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-0.36579436042485619</v>
      </c>
      <c r="R81" s="21">
        <f>AVERAGE(R9:R80)</f>
        <v>-0.43368862178482098</v>
      </c>
      <c r="S81" s="21">
        <f>AVERAGE(S9:S80)</f>
        <v>-0.43830011955580656</v>
      </c>
      <c r="T81" s="21">
        <f>AVERAGE(T9:T80)</f>
        <v>-0.38167217209959109</v>
      </c>
      <c r="U81" s="21">
        <f>AVERAGE(U9:U80)</f>
        <v>2.0037007150997908E-2</v>
      </c>
    </row>
    <row r="83" spans="1:21" s="35" customFormat="1" ht="15.75" customHeight="1" x14ac:dyDescent="0.25">
      <c r="B83" s="56" t="s">
        <v>29</v>
      </c>
      <c r="C83" s="58" t="s">
        <v>93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60"/>
    </row>
    <row r="84" spans="1:21" s="35" customFormat="1" x14ac:dyDescent="0.25">
      <c r="B84" s="57"/>
      <c r="C84" s="61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3"/>
    </row>
    <row r="85" spans="1:21" ht="16.5" customHeight="1" thickBot="1" x14ac:dyDescent="0.3">
      <c r="C85" s="64" t="s">
        <v>101</v>
      </c>
      <c r="D85" s="65"/>
      <c r="E85" s="65"/>
      <c r="F85" s="65"/>
      <c r="G85" s="65"/>
      <c r="H85" s="65"/>
      <c r="I85" s="5"/>
      <c r="J85" s="64" t="s">
        <v>97</v>
      </c>
      <c r="K85" s="65"/>
      <c r="L85" s="65"/>
      <c r="M85" s="65"/>
      <c r="N85" s="65"/>
      <c r="O85" s="65"/>
      <c r="Q85" s="64" t="s">
        <v>7</v>
      </c>
      <c r="R85" s="65"/>
      <c r="S85" s="66"/>
      <c r="T85" s="36"/>
      <c r="U85" s="67" t="s">
        <v>45</v>
      </c>
    </row>
    <row r="86" spans="1:21" ht="16.5" thickBot="1" x14ac:dyDescent="0.3">
      <c r="C86" s="2" t="s">
        <v>64</v>
      </c>
      <c r="D86" s="3" t="s">
        <v>30</v>
      </c>
      <c r="E86" s="3" t="s">
        <v>31</v>
      </c>
      <c r="F86" s="3" t="s">
        <v>32</v>
      </c>
      <c r="G86" s="3" t="s">
        <v>33</v>
      </c>
      <c r="H86" s="3" t="s">
        <v>34</v>
      </c>
      <c r="I86" s="1"/>
      <c r="J86" s="2" t="s">
        <v>64</v>
      </c>
      <c r="K86" s="3" t="s">
        <v>30</v>
      </c>
      <c r="L86" s="3" t="s">
        <v>31</v>
      </c>
      <c r="M86" s="3" t="s">
        <v>32</v>
      </c>
      <c r="N86" s="3" t="s">
        <v>33</v>
      </c>
      <c r="O86" s="3" t="s">
        <v>34</v>
      </c>
      <c r="Q86" s="2" t="s">
        <v>4</v>
      </c>
      <c r="R86" s="3" t="s">
        <v>5</v>
      </c>
      <c r="S86" s="4" t="s">
        <v>6</v>
      </c>
      <c r="T86" s="24" t="s">
        <v>21</v>
      </c>
      <c r="U86" s="67"/>
    </row>
    <row r="87" spans="1:21" x14ac:dyDescent="0.25">
      <c r="A87" s="6" t="s">
        <v>35</v>
      </c>
      <c r="B87" s="6" t="s">
        <v>46</v>
      </c>
      <c r="C87" s="15">
        <v>5814.4</v>
      </c>
      <c r="D87" s="16">
        <v>37.981999999999999</v>
      </c>
      <c r="E87" s="16">
        <v>39.220999999999997</v>
      </c>
      <c r="F87" s="16">
        <v>41.649000000000001</v>
      </c>
      <c r="G87" s="16">
        <v>11.83</v>
      </c>
      <c r="H87" s="16">
        <f t="shared" ref="H87:H158" si="4">(6*D87+E87+F87)/8</f>
        <v>38.59525</v>
      </c>
      <c r="I87" s="5"/>
      <c r="J87" s="15">
        <v>3876.1024000000002</v>
      </c>
      <c r="K87" s="16">
        <v>38.452399999999997</v>
      </c>
      <c r="L87" s="16">
        <v>39.869399999999999</v>
      </c>
      <c r="M87" s="16">
        <v>42.513399999999997</v>
      </c>
      <c r="N87" s="16">
        <v>11.798</v>
      </c>
      <c r="O87" s="16">
        <f t="shared" ref="O87:O158" si="5">(6*K87+L87+M87)/8</f>
        <v>39.137149999999998</v>
      </c>
      <c r="P87" s="7"/>
      <c r="Q87" s="8">
        <f>bdrate(C87:C90,D87:D90,J87:J90,K87:K90)</f>
        <v>-0.44111804594530968</v>
      </c>
      <c r="R87" s="8">
        <f>bdrate(C87:C90,E87:E90,J87:J90,L87:L90)</f>
        <v>-0.51041801586281021</v>
      </c>
      <c r="S87" s="8">
        <f>bdrate(C87:C90,F87:F90,J87:J90,M87:M90)</f>
        <v>-0.49678170508069985</v>
      </c>
      <c r="T87" s="25">
        <f>bdrate(C87:C90,H87:H90,J87:J90,O87:O90)</f>
        <v>-0.45194566312973727</v>
      </c>
      <c r="U87" s="28">
        <f t="shared" ref="U87:U150" si="6">(N87-G87)/G87</f>
        <v>-2.704987320371938E-3</v>
      </c>
    </row>
    <row r="88" spans="1:21" x14ac:dyDescent="0.25">
      <c r="A88" s="9" t="s">
        <v>36</v>
      </c>
      <c r="B88" s="9"/>
      <c r="C88" s="17">
        <v>4291.3</v>
      </c>
      <c r="D88" s="18">
        <v>37.018000000000001</v>
      </c>
      <c r="E88" s="18">
        <v>38.741999999999997</v>
      </c>
      <c r="F88" s="18">
        <v>41.134999999999998</v>
      </c>
      <c r="G88" s="18">
        <v>12.89</v>
      </c>
      <c r="H88" s="18">
        <f t="shared" si="4"/>
        <v>37.748125000000002</v>
      </c>
      <c r="I88" s="5"/>
      <c r="J88" s="17">
        <v>2885.4591999999998</v>
      </c>
      <c r="K88" s="18">
        <v>37.505299999999998</v>
      </c>
      <c r="L88" s="18">
        <v>39.363799999999998</v>
      </c>
      <c r="M88" s="18">
        <v>41.8476</v>
      </c>
      <c r="N88" s="18">
        <v>14.502599999999999</v>
      </c>
      <c r="O88" s="18">
        <f t="shared" si="5"/>
        <v>38.280399999999993</v>
      </c>
      <c r="P88" s="7"/>
      <c r="Q88" s="10"/>
      <c r="R88" s="11"/>
      <c r="S88" s="11"/>
      <c r="T88" s="26"/>
      <c r="U88" s="28">
        <f t="shared" si="6"/>
        <v>0.12510473235065933</v>
      </c>
    </row>
    <row r="89" spans="1:21" x14ac:dyDescent="0.25">
      <c r="B89" s="9"/>
      <c r="C89" s="17">
        <v>2817.53</v>
      </c>
      <c r="D89" s="18">
        <v>35.475000000000001</v>
      </c>
      <c r="E89" s="18">
        <v>38.042000000000002</v>
      </c>
      <c r="F89" s="18">
        <v>40.386000000000003</v>
      </c>
      <c r="G89" s="18">
        <v>13.8</v>
      </c>
      <c r="H89" s="18">
        <f t="shared" si="4"/>
        <v>36.409750000000003</v>
      </c>
      <c r="I89" s="5"/>
      <c r="J89" s="17">
        <v>1905.6320000000001</v>
      </c>
      <c r="K89" s="18">
        <v>36.139800000000001</v>
      </c>
      <c r="L89" s="18">
        <v>38.663400000000003</v>
      </c>
      <c r="M89" s="18">
        <v>41.024000000000001</v>
      </c>
      <c r="N89" s="18">
        <v>17.101800000000001</v>
      </c>
      <c r="O89" s="18">
        <f t="shared" si="5"/>
        <v>37.065775000000002</v>
      </c>
      <c r="P89" s="7"/>
      <c r="Q89" s="10"/>
      <c r="R89" s="11"/>
      <c r="S89" s="11"/>
      <c r="T89" s="26"/>
      <c r="U89" s="28">
        <f t="shared" si="6"/>
        <v>0.23926086956521739</v>
      </c>
    </row>
    <row r="90" spans="1:21" ht="16.5" thickBot="1" x14ac:dyDescent="0.3">
      <c r="B90" s="12"/>
      <c r="C90" s="19">
        <v>1397.86</v>
      </c>
      <c r="D90" s="20">
        <v>32.298000000000002</v>
      </c>
      <c r="E90" s="20">
        <v>36.923999999999999</v>
      </c>
      <c r="F90" s="20">
        <v>39.241999999999997</v>
      </c>
      <c r="G90" s="20">
        <v>14.91</v>
      </c>
      <c r="H90" s="20">
        <f t="shared" si="4"/>
        <v>33.744250000000001</v>
      </c>
      <c r="I90" s="5"/>
      <c r="J90" s="19">
        <v>914.19839999999999</v>
      </c>
      <c r="K90" s="20">
        <v>33.404299999999999</v>
      </c>
      <c r="L90" s="20">
        <v>37.162799999999997</v>
      </c>
      <c r="M90" s="20">
        <v>39.385399999999997</v>
      </c>
      <c r="N90" s="20">
        <v>23.5627</v>
      </c>
      <c r="O90" s="20">
        <f t="shared" si="5"/>
        <v>34.621749999999999</v>
      </c>
      <c r="P90" s="7"/>
      <c r="Q90" s="13"/>
      <c r="R90" s="14"/>
      <c r="S90" s="14"/>
      <c r="T90" s="27"/>
      <c r="U90" s="28">
        <f t="shared" si="6"/>
        <v>0.58032863849765248</v>
      </c>
    </row>
    <row r="91" spans="1:21" x14ac:dyDescent="0.25">
      <c r="B91" s="6" t="s">
        <v>47</v>
      </c>
      <c r="C91" s="15">
        <v>6839.46</v>
      </c>
      <c r="D91" s="16">
        <v>30.146999999999998</v>
      </c>
      <c r="E91" s="16">
        <v>39.950000000000003</v>
      </c>
      <c r="F91" s="16">
        <v>40.662999999999997</v>
      </c>
      <c r="G91" s="16">
        <v>9.09</v>
      </c>
      <c r="H91" s="16">
        <f t="shared" si="4"/>
        <v>32.686875000000001</v>
      </c>
      <c r="I91" s="5"/>
      <c r="J91" s="15">
        <v>4057.4512</v>
      </c>
      <c r="K91" s="16">
        <v>29.8446</v>
      </c>
      <c r="L91" s="16">
        <v>40.079300000000003</v>
      </c>
      <c r="M91" s="16">
        <v>40.973799999999997</v>
      </c>
      <c r="N91" s="16">
        <v>7.9131</v>
      </c>
      <c r="O91" s="16">
        <f t="shared" si="5"/>
        <v>32.5150875</v>
      </c>
      <c r="P91" s="7"/>
      <c r="Q91" s="8">
        <f>bdrate(C91:C94,D91:D94,J91:J94,K91:K94)</f>
        <v>-0.41514446648163184</v>
      </c>
      <c r="R91" s="8">
        <f>bdrate(C91:C94,E91:E94,J91:J94,L91:L94)</f>
        <v>-0.32067307572650883</v>
      </c>
      <c r="S91" s="8">
        <f>bdrate(C91:C94,F91:F94,J91:J94,M91:M94)</f>
        <v>-0.41038617077088968</v>
      </c>
      <c r="T91" s="25">
        <f>bdrate(C91:C94,H91:H94,J91:J94,O91:O94)</f>
        <v>-0.4134087102239955</v>
      </c>
      <c r="U91" s="28">
        <f t="shared" si="6"/>
        <v>-0.12947194719471947</v>
      </c>
    </row>
    <row r="92" spans="1:21" x14ac:dyDescent="0.25">
      <c r="B92" s="9"/>
      <c r="C92" s="17">
        <v>5144.6400000000003</v>
      </c>
      <c r="D92" s="18">
        <v>28.654</v>
      </c>
      <c r="E92" s="18">
        <v>39.453000000000003</v>
      </c>
      <c r="F92" s="18">
        <v>40.198</v>
      </c>
      <c r="G92" s="18">
        <v>10.11</v>
      </c>
      <c r="H92" s="18">
        <f t="shared" si="4"/>
        <v>31.446875000000002</v>
      </c>
      <c r="I92" s="5"/>
      <c r="J92" s="17">
        <v>3095.0511999999999</v>
      </c>
      <c r="K92" s="18">
        <v>28.644200000000001</v>
      </c>
      <c r="L92" s="18">
        <v>39.523000000000003</v>
      </c>
      <c r="M92" s="18">
        <v>40.487200000000001</v>
      </c>
      <c r="N92" s="18">
        <v>9.5202000000000009</v>
      </c>
      <c r="O92" s="18">
        <f t="shared" si="5"/>
        <v>31.484425000000002</v>
      </c>
      <c r="P92" s="7"/>
      <c r="Q92" s="10"/>
      <c r="R92" s="11"/>
      <c r="S92" s="11"/>
      <c r="T92" s="26"/>
      <c r="U92" s="28">
        <f t="shared" si="6"/>
        <v>-5.8338278931750601E-2</v>
      </c>
    </row>
    <row r="93" spans="1:21" x14ac:dyDescent="0.25">
      <c r="B93" s="9"/>
      <c r="C93" s="17">
        <v>3429</v>
      </c>
      <c r="D93" s="18">
        <v>26.683</v>
      </c>
      <c r="E93" s="18">
        <v>38.826999999999998</v>
      </c>
      <c r="F93" s="18">
        <v>39.573999999999998</v>
      </c>
      <c r="G93" s="18">
        <v>10.74</v>
      </c>
      <c r="H93" s="18">
        <f t="shared" si="4"/>
        <v>29.812375000000003</v>
      </c>
      <c r="I93" s="5"/>
      <c r="J93" s="17">
        <v>2098.7359999999999</v>
      </c>
      <c r="K93" s="18">
        <v>26.929099999999998</v>
      </c>
      <c r="L93" s="18">
        <v>38.617800000000003</v>
      </c>
      <c r="M93" s="18">
        <v>39.687100000000001</v>
      </c>
      <c r="N93" s="18">
        <v>11.6541</v>
      </c>
      <c r="O93" s="18">
        <f t="shared" si="5"/>
        <v>29.984937499999994</v>
      </c>
      <c r="P93" s="7"/>
      <c r="Q93" s="10"/>
      <c r="R93" s="11"/>
      <c r="S93" s="11"/>
      <c r="T93" s="26"/>
      <c r="U93" s="28">
        <f t="shared" si="6"/>
        <v>8.5111731843575372E-2</v>
      </c>
    </row>
    <row r="94" spans="1:21" ht="16.5" thickBot="1" x14ac:dyDescent="0.3">
      <c r="B94" s="12"/>
      <c r="C94" s="19">
        <v>1654.94</v>
      </c>
      <c r="D94" s="20">
        <v>23.427</v>
      </c>
      <c r="E94" s="20">
        <v>37.423000000000002</v>
      </c>
      <c r="F94" s="20">
        <v>38.295999999999999</v>
      </c>
      <c r="G94" s="20">
        <v>11.99</v>
      </c>
      <c r="H94" s="20">
        <f t="shared" si="4"/>
        <v>27.035125000000001</v>
      </c>
      <c r="I94" s="5"/>
      <c r="J94" s="19">
        <v>1365.6128000000001</v>
      </c>
      <c r="K94" s="20">
        <v>25.482600000000001</v>
      </c>
      <c r="L94" s="20">
        <v>37.337800000000001</v>
      </c>
      <c r="M94" s="20">
        <v>38.489800000000002</v>
      </c>
      <c r="N94" s="20">
        <v>13.674899999999999</v>
      </c>
      <c r="O94" s="20">
        <f t="shared" si="5"/>
        <v>28.590400000000002</v>
      </c>
      <c r="P94" s="7"/>
      <c r="Q94" s="13"/>
      <c r="R94" s="14"/>
      <c r="S94" s="14"/>
      <c r="T94" s="27"/>
      <c r="U94" s="28">
        <f t="shared" si="6"/>
        <v>0.1405254378648873</v>
      </c>
    </row>
    <row r="95" spans="1:21" x14ac:dyDescent="0.25">
      <c r="A95" s="6" t="s">
        <v>37</v>
      </c>
      <c r="B95" s="6" t="s">
        <v>48</v>
      </c>
      <c r="C95" s="15">
        <v>3037.23</v>
      </c>
      <c r="D95" s="16">
        <v>39.088000000000001</v>
      </c>
      <c r="E95" s="16">
        <v>41.853999999999999</v>
      </c>
      <c r="F95" s="16">
        <v>42.98</v>
      </c>
      <c r="G95" s="16">
        <v>18.399999999999999</v>
      </c>
      <c r="H95" s="16">
        <f t="shared" si="4"/>
        <v>39.920250000000003</v>
      </c>
      <c r="I95" s="5"/>
      <c r="J95" s="15">
        <v>2192.7375999999999</v>
      </c>
      <c r="K95" s="16">
        <v>39.190899999999999</v>
      </c>
      <c r="L95" s="16">
        <v>41.922699999999999</v>
      </c>
      <c r="M95" s="16">
        <v>43.358199999999997</v>
      </c>
      <c r="N95" s="16">
        <v>22.55</v>
      </c>
      <c r="O95" s="16">
        <f t="shared" si="5"/>
        <v>40.053287500000003</v>
      </c>
      <c r="P95" s="7"/>
      <c r="Q95" s="8">
        <f>bdrate(C95:C98,D95:D98,J95:J98,K95:K98)</f>
        <v>-0.38435110036738784</v>
      </c>
      <c r="R95" s="8">
        <f>bdrate(C95:C98,E95:E98,J95:J98,L95:L98)</f>
        <v>-0.34692160157742202</v>
      </c>
      <c r="S95" s="8">
        <f>bdrate(C95:C98,F95:F98,J95:J98,M95:M98)</f>
        <v>-0.44757062296943351</v>
      </c>
      <c r="T95" s="25">
        <f>bdrate(C95:C98,H95:H98,J95:J98,O95:O98)</f>
        <v>-0.38689304437955985</v>
      </c>
      <c r="U95" s="28">
        <f t="shared" si="6"/>
        <v>0.22554347826086971</v>
      </c>
    </row>
    <row r="96" spans="1:21" x14ac:dyDescent="0.25">
      <c r="A96" s="9" t="s">
        <v>38</v>
      </c>
      <c r="B96" s="9"/>
      <c r="C96" s="17">
        <v>1995.7</v>
      </c>
      <c r="D96" s="18">
        <v>37.64</v>
      </c>
      <c r="E96" s="18">
        <v>41.094999999999999</v>
      </c>
      <c r="F96" s="18">
        <v>42.12</v>
      </c>
      <c r="G96" s="18">
        <v>21.13</v>
      </c>
      <c r="H96" s="18">
        <f t="shared" si="4"/>
        <v>38.631875000000001</v>
      </c>
      <c r="I96" s="5"/>
      <c r="J96" s="17">
        <v>1461.0583999999999</v>
      </c>
      <c r="K96" s="18">
        <v>38.026600000000002</v>
      </c>
      <c r="L96" s="18">
        <v>41.2776</v>
      </c>
      <c r="M96" s="18">
        <v>42.600700000000003</v>
      </c>
      <c r="N96" s="18">
        <v>27.5198</v>
      </c>
      <c r="O96" s="18">
        <f t="shared" si="5"/>
        <v>39.004737500000005</v>
      </c>
      <c r="P96" s="7"/>
      <c r="Q96" s="10"/>
      <c r="R96" s="11"/>
      <c r="S96" s="11"/>
      <c r="T96" s="26"/>
      <c r="U96" s="28">
        <f t="shared" si="6"/>
        <v>0.30240416469474685</v>
      </c>
    </row>
    <row r="97" spans="2:21" x14ac:dyDescent="0.25">
      <c r="B97" s="9"/>
      <c r="C97" s="17">
        <v>1233.77</v>
      </c>
      <c r="D97" s="18">
        <v>35.718000000000004</v>
      </c>
      <c r="E97" s="18">
        <v>40.301000000000002</v>
      </c>
      <c r="F97" s="18">
        <v>41.212000000000003</v>
      </c>
      <c r="G97" s="18">
        <v>24.04</v>
      </c>
      <c r="H97" s="18">
        <f t="shared" si="4"/>
        <v>36.977625000000003</v>
      </c>
      <c r="I97" s="5"/>
      <c r="J97" s="17">
        <v>897.38879999999995</v>
      </c>
      <c r="K97" s="18">
        <v>36.488100000000003</v>
      </c>
      <c r="L97" s="18">
        <v>40.464399999999998</v>
      </c>
      <c r="M97" s="18">
        <v>41.719799999999999</v>
      </c>
      <c r="N97" s="18">
        <v>32.5777</v>
      </c>
      <c r="O97" s="18">
        <f t="shared" si="5"/>
        <v>37.639100000000006</v>
      </c>
      <c r="P97" s="7"/>
      <c r="Q97" s="10"/>
      <c r="R97" s="11"/>
      <c r="S97" s="11"/>
      <c r="T97" s="26"/>
      <c r="U97" s="28">
        <f t="shared" si="6"/>
        <v>0.35514559068219637</v>
      </c>
    </row>
    <row r="98" spans="2:21" ht="16.5" thickBot="1" x14ac:dyDescent="0.3">
      <c r="B98" s="12"/>
      <c r="C98" s="19">
        <v>736.2</v>
      </c>
      <c r="D98" s="20">
        <v>33.401000000000003</v>
      </c>
      <c r="E98" s="20">
        <v>39.384999999999998</v>
      </c>
      <c r="F98" s="20">
        <v>40.356000000000002</v>
      </c>
      <c r="G98" s="20">
        <v>26.62</v>
      </c>
      <c r="H98" s="20">
        <f t="shared" si="4"/>
        <v>35.018374999999999</v>
      </c>
      <c r="I98" s="5"/>
      <c r="J98" s="19">
        <v>522.21040000000005</v>
      </c>
      <c r="K98" s="20">
        <v>34.6907</v>
      </c>
      <c r="L98" s="20">
        <v>39.7089</v>
      </c>
      <c r="M98" s="20">
        <v>40.968499999999999</v>
      </c>
      <c r="N98" s="20">
        <v>39.853900000000003</v>
      </c>
      <c r="O98" s="20">
        <f t="shared" si="5"/>
        <v>36.102699999999999</v>
      </c>
      <c r="P98" s="7"/>
      <c r="Q98" s="13"/>
      <c r="R98" s="14"/>
      <c r="S98" s="14"/>
      <c r="T98" s="27"/>
      <c r="U98" s="28">
        <f t="shared" si="6"/>
        <v>0.49714124718256958</v>
      </c>
    </row>
    <row r="99" spans="2:21" x14ac:dyDescent="0.25">
      <c r="B99" s="6" t="s">
        <v>49</v>
      </c>
      <c r="C99" s="15">
        <v>3436.03</v>
      </c>
      <c r="D99" s="16">
        <v>36.549999999999997</v>
      </c>
      <c r="E99" s="16">
        <v>39.44</v>
      </c>
      <c r="F99" s="16">
        <v>40.624000000000002</v>
      </c>
      <c r="G99" s="16">
        <v>20.65</v>
      </c>
      <c r="H99" s="16">
        <f t="shared" si="4"/>
        <v>37.420500000000004</v>
      </c>
      <c r="I99" s="5"/>
      <c r="J99" s="15">
        <v>2367.7600000000002</v>
      </c>
      <c r="K99" s="16">
        <v>36.361199999999997</v>
      </c>
      <c r="L99" s="16">
        <v>40.0854</v>
      </c>
      <c r="M99" s="16">
        <v>41.324800000000003</v>
      </c>
      <c r="N99" s="16">
        <v>19.847799999999999</v>
      </c>
      <c r="O99" s="16">
        <f t="shared" si="5"/>
        <v>37.447174999999994</v>
      </c>
      <c r="P99" s="7"/>
      <c r="Q99" s="8">
        <f>bdrate(C99:C102,D99:D102,J99:J102,K99:K102)</f>
        <v>-0.3275942295044677</v>
      </c>
      <c r="R99" s="8">
        <f>bdrate(C99:C102,E99:E102,J99:J102,L99:L102)</f>
        <v>-0.47018330301063538</v>
      </c>
      <c r="S99" s="8">
        <f>bdrate(C99:C102,F99:F102,J99:J102,M99:M102)</f>
        <v>-0.47206802507026913</v>
      </c>
      <c r="T99" s="25">
        <f>bdrate(C99:C102,H99:H102,J99:J102,O99:O102)</f>
        <v>-0.35080409794390688</v>
      </c>
      <c r="U99" s="28">
        <f t="shared" si="6"/>
        <v>-3.8847457627118602E-2</v>
      </c>
    </row>
    <row r="100" spans="2:21" x14ac:dyDescent="0.25">
      <c r="B100" s="9"/>
      <c r="C100" s="17">
        <v>2263.19</v>
      </c>
      <c r="D100" s="18">
        <v>35.164999999999999</v>
      </c>
      <c r="E100" s="18">
        <v>38.698</v>
      </c>
      <c r="F100" s="18">
        <v>39.985999999999997</v>
      </c>
      <c r="G100" s="18">
        <v>22.79</v>
      </c>
      <c r="H100" s="18">
        <f t="shared" si="4"/>
        <v>36.209250000000004</v>
      </c>
      <c r="I100" s="5"/>
      <c r="J100" s="17">
        <v>1540.9007999999999</v>
      </c>
      <c r="K100" s="18">
        <v>35.069099999999999</v>
      </c>
      <c r="L100" s="18">
        <v>39.2654</v>
      </c>
      <c r="M100" s="18">
        <v>40.509099999999997</v>
      </c>
      <c r="N100" s="18">
        <v>25.303100000000001</v>
      </c>
      <c r="O100" s="18">
        <f t="shared" si="5"/>
        <v>36.2736375</v>
      </c>
      <c r="P100" s="7"/>
      <c r="Q100" s="10"/>
      <c r="R100" s="11"/>
      <c r="S100" s="11"/>
      <c r="T100" s="26"/>
      <c r="U100" s="28">
        <f t="shared" si="6"/>
        <v>0.11027204914436163</v>
      </c>
    </row>
    <row r="101" spans="2:21" x14ac:dyDescent="0.25">
      <c r="B101" s="9"/>
      <c r="C101" s="17">
        <v>1408.27</v>
      </c>
      <c r="D101" s="18">
        <v>33.475000000000001</v>
      </c>
      <c r="E101" s="18">
        <v>37.924999999999997</v>
      </c>
      <c r="F101" s="18">
        <v>39.350999999999999</v>
      </c>
      <c r="G101" s="18">
        <v>25.18</v>
      </c>
      <c r="H101" s="18">
        <f t="shared" si="4"/>
        <v>34.765750000000004</v>
      </c>
      <c r="I101" s="5"/>
      <c r="J101" s="17">
        <v>960.33199999999999</v>
      </c>
      <c r="K101" s="18">
        <v>33.600700000000003</v>
      </c>
      <c r="L101" s="18">
        <v>38.3245</v>
      </c>
      <c r="M101" s="18">
        <v>39.670499999999997</v>
      </c>
      <c r="N101" s="18">
        <v>31.140499999999999</v>
      </c>
      <c r="O101" s="18">
        <f t="shared" si="5"/>
        <v>34.9499</v>
      </c>
      <c r="P101" s="7"/>
      <c r="Q101" s="10"/>
      <c r="R101" s="11"/>
      <c r="S101" s="11"/>
      <c r="T101" s="26"/>
      <c r="U101" s="28">
        <f t="shared" si="6"/>
        <v>0.23671564733915806</v>
      </c>
    </row>
    <row r="102" spans="2:21" ht="16.5" thickBot="1" x14ac:dyDescent="0.3">
      <c r="B102" s="12"/>
      <c r="C102" s="19">
        <v>839.46</v>
      </c>
      <c r="D102" s="20">
        <v>31.591999999999999</v>
      </c>
      <c r="E102" s="20">
        <v>37.174999999999997</v>
      </c>
      <c r="F102" s="20">
        <v>38.746000000000002</v>
      </c>
      <c r="G102" s="20">
        <v>27.67</v>
      </c>
      <c r="H102" s="20">
        <f t="shared" si="4"/>
        <v>33.184124999999995</v>
      </c>
      <c r="I102" s="5"/>
      <c r="J102" s="19">
        <v>571.08879999999999</v>
      </c>
      <c r="K102" s="20">
        <v>32.0212</v>
      </c>
      <c r="L102" s="20">
        <v>37.366</v>
      </c>
      <c r="M102" s="20">
        <v>38.894300000000001</v>
      </c>
      <c r="N102" s="20">
        <v>38.560400000000001</v>
      </c>
      <c r="O102" s="20">
        <f t="shared" si="5"/>
        <v>33.548437499999999</v>
      </c>
      <c r="P102" s="7"/>
      <c r="Q102" s="13"/>
      <c r="R102" s="14"/>
      <c r="S102" s="14"/>
      <c r="T102" s="27"/>
      <c r="U102" s="28">
        <f t="shared" si="6"/>
        <v>0.39358149620527644</v>
      </c>
    </row>
    <row r="103" spans="2:21" x14ac:dyDescent="0.25">
      <c r="B103" s="6" t="s">
        <v>50</v>
      </c>
      <c r="C103" s="15">
        <v>3527.68</v>
      </c>
      <c r="D103" s="16">
        <v>34.64</v>
      </c>
      <c r="E103" s="16">
        <v>38.149000000000001</v>
      </c>
      <c r="F103" s="16">
        <v>39.862000000000002</v>
      </c>
      <c r="G103" s="16">
        <v>24.39</v>
      </c>
      <c r="H103" s="16">
        <f t="shared" si="4"/>
        <v>35.731375</v>
      </c>
      <c r="I103" s="5"/>
      <c r="J103" s="15">
        <v>2360.9648000000002</v>
      </c>
      <c r="K103" s="16">
        <v>34.794499999999999</v>
      </c>
      <c r="L103" s="16">
        <v>38.307400000000001</v>
      </c>
      <c r="M103" s="16">
        <v>40.5242</v>
      </c>
      <c r="N103" s="16">
        <v>27.116399999999999</v>
      </c>
      <c r="O103" s="16">
        <f t="shared" si="5"/>
        <v>35.949824999999997</v>
      </c>
      <c r="P103" s="7"/>
      <c r="Q103" s="8">
        <f>bdrate(C103:C106,D103:D106,J103:J106,K103:K106)</f>
        <v>-0.44095373146293204</v>
      </c>
      <c r="R103" s="8">
        <f>bdrate(C103:C106,E103:E106,J103:J106,L103:L106)</f>
        <v>-0.45110692595578072</v>
      </c>
      <c r="S103" s="8">
        <f>bdrate(C103:C106,F103:F106,J103:J106,M103:M106)</f>
        <v>-0.48069217068311254</v>
      </c>
      <c r="T103" s="25">
        <f>bdrate(C103:C106,H103:H106,J103:J106,O103:O106)</f>
        <v>-0.44678504667587104</v>
      </c>
      <c r="U103" s="28">
        <f t="shared" si="6"/>
        <v>0.11178351783517827</v>
      </c>
    </row>
    <row r="104" spans="2:21" x14ac:dyDescent="0.25">
      <c r="B104" s="9"/>
      <c r="C104" s="17">
        <v>2352.4699999999998</v>
      </c>
      <c r="D104" s="18">
        <v>33.226999999999997</v>
      </c>
      <c r="E104" s="18">
        <v>37.581000000000003</v>
      </c>
      <c r="F104" s="18">
        <v>38.969000000000001</v>
      </c>
      <c r="G104" s="18">
        <v>27.46</v>
      </c>
      <c r="H104" s="18">
        <f t="shared" si="4"/>
        <v>34.488999999999997</v>
      </c>
      <c r="I104" s="5"/>
      <c r="J104" s="17">
        <v>1580.3735999999999</v>
      </c>
      <c r="K104" s="18">
        <v>33.705500000000001</v>
      </c>
      <c r="L104" s="18">
        <v>37.862900000000003</v>
      </c>
      <c r="M104" s="18">
        <v>39.611800000000002</v>
      </c>
      <c r="N104" s="18">
        <v>32.829900000000002</v>
      </c>
      <c r="O104" s="18">
        <f t="shared" si="5"/>
        <v>34.963462499999999</v>
      </c>
      <c r="P104" s="7"/>
      <c r="Q104" s="10"/>
      <c r="R104" s="11"/>
      <c r="S104" s="11"/>
      <c r="T104" s="26"/>
      <c r="U104" s="28">
        <f t="shared" si="6"/>
        <v>0.19555353241077936</v>
      </c>
    </row>
    <row r="105" spans="2:21" x14ac:dyDescent="0.25">
      <c r="B105" s="9"/>
      <c r="C105" s="17">
        <v>1463.87</v>
      </c>
      <c r="D105" s="18">
        <v>31.395</v>
      </c>
      <c r="E105" s="18">
        <v>36.923000000000002</v>
      </c>
      <c r="F105" s="18">
        <v>37.832999999999998</v>
      </c>
      <c r="G105" s="18">
        <v>29.78</v>
      </c>
      <c r="H105" s="18">
        <f t="shared" si="4"/>
        <v>32.890749999999997</v>
      </c>
      <c r="I105" s="5"/>
      <c r="J105" s="17">
        <v>980.35360000000003</v>
      </c>
      <c r="K105" s="18">
        <v>32.179900000000004</v>
      </c>
      <c r="L105" s="18">
        <v>37.2318</v>
      </c>
      <c r="M105" s="18">
        <v>38.436399999999999</v>
      </c>
      <c r="N105" s="18">
        <v>39.907400000000003</v>
      </c>
      <c r="O105" s="18">
        <f t="shared" si="5"/>
        <v>33.593450000000004</v>
      </c>
      <c r="P105" s="7"/>
      <c r="Q105" s="10"/>
      <c r="R105" s="11"/>
      <c r="S105" s="11"/>
      <c r="T105" s="26"/>
      <c r="U105" s="28">
        <f t="shared" si="6"/>
        <v>0.34007387508394898</v>
      </c>
    </row>
    <row r="106" spans="2:21" ht="16.5" thickBot="1" x14ac:dyDescent="0.3">
      <c r="B106" s="12"/>
      <c r="C106" s="19">
        <v>882.69</v>
      </c>
      <c r="D106" s="20">
        <v>29.251000000000001</v>
      </c>
      <c r="E106" s="20">
        <v>36.220999999999997</v>
      </c>
      <c r="F106" s="20">
        <v>36.76</v>
      </c>
      <c r="G106" s="20">
        <v>30.47</v>
      </c>
      <c r="H106" s="20">
        <f t="shared" si="4"/>
        <v>31.060874999999999</v>
      </c>
      <c r="I106" s="5"/>
      <c r="J106" s="19">
        <v>595.20479999999998</v>
      </c>
      <c r="K106" s="20">
        <v>30.5335</v>
      </c>
      <c r="L106" s="20">
        <v>36.425899999999999</v>
      </c>
      <c r="M106" s="20">
        <v>37.192100000000003</v>
      </c>
      <c r="N106" s="20">
        <v>50.377800000000001</v>
      </c>
      <c r="O106" s="20">
        <f t="shared" si="5"/>
        <v>32.102374999999995</v>
      </c>
      <c r="P106" s="7"/>
      <c r="Q106" s="13"/>
      <c r="R106" s="14"/>
      <c r="S106" s="14"/>
      <c r="T106" s="27"/>
      <c r="U106" s="28">
        <f t="shared" si="6"/>
        <v>0.65335740072202175</v>
      </c>
    </row>
    <row r="107" spans="2:21" x14ac:dyDescent="0.25">
      <c r="B107" s="6" t="s">
        <v>51</v>
      </c>
      <c r="C107" s="29">
        <v>3575.71</v>
      </c>
      <c r="D107" s="30">
        <v>34.281999999999996</v>
      </c>
      <c r="E107" s="30">
        <v>39.92</v>
      </c>
      <c r="F107" s="30">
        <v>39.619999999999997</v>
      </c>
      <c r="G107" s="16">
        <v>21.73</v>
      </c>
      <c r="H107" s="16">
        <f t="shared" si="4"/>
        <v>35.653999999999996</v>
      </c>
      <c r="I107" s="5"/>
      <c r="J107" s="29">
        <v>2410.6952000000001</v>
      </c>
      <c r="K107" s="30">
        <v>34.604999999999997</v>
      </c>
      <c r="L107" s="30">
        <v>40.459299999999999</v>
      </c>
      <c r="M107" s="30">
        <v>39.890300000000003</v>
      </c>
      <c r="N107" s="16">
        <v>22.442699999999999</v>
      </c>
      <c r="O107" s="16">
        <f t="shared" si="5"/>
        <v>35.997450000000001</v>
      </c>
      <c r="P107" s="7"/>
      <c r="Q107" s="8">
        <f>bdrate(C107:C110,D107:D110,J107:J110,K107:K110)</f>
        <v>-0.48081234549351148</v>
      </c>
      <c r="R107" s="8">
        <f>bdrate(C107:C110,E107:E110,J107:J110,L107:L110)</f>
        <v>-0.49869970192185742</v>
      </c>
      <c r="S107" s="8">
        <f>bdrate(C107:C110,F107:F110,J107:J110,M107:M110)</f>
        <v>-0.38429839287518475</v>
      </c>
      <c r="T107" s="25">
        <f>bdrate(C107:C110,H107:H110,J107:J110,O107:O110)</f>
        <v>-0.47504258526778609</v>
      </c>
      <c r="U107" s="28">
        <f t="shared" si="6"/>
        <v>3.279797514956273E-2</v>
      </c>
    </row>
    <row r="108" spans="2:21" x14ac:dyDescent="0.25">
      <c r="B108" s="9"/>
      <c r="C108" s="31">
        <v>2378.0500000000002</v>
      </c>
      <c r="D108" s="32">
        <v>32.619999999999997</v>
      </c>
      <c r="E108" s="32">
        <v>39.075000000000003</v>
      </c>
      <c r="F108" s="32">
        <v>38.512999999999998</v>
      </c>
      <c r="G108" s="18">
        <v>25.02</v>
      </c>
      <c r="H108" s="18">
        <f t="shared" si="4"/>
        <v>34.163499999999992</v>
      </c>
      <c r="I108" s="5"/>
      <c r="J108" s="31">
        <v>1605.9376</v>
      </c>
      <c r="K108" s="32">
        <v>33.335500000000003</v>
      </c>
      <c r="L108" s="32">
        <v>39.6843</v>
      </c>
      <c r="M108" s="32">
        <v>38.761299999999999</v>
      </c>
      <c r="N108" s="18">
        <v>27.197600000000001</v>
      </c>
      <c r="O108" s="18">
        <f t="shared" si="5"/>
        <v>34.807325000000006</v>
      </c>
      <c r="P108" s="7"/>
      <c r="Q108" s="10"/>
      <c r="R108" s="11"/>
      <c r="S108" s="11"/>
      <c r="T108" s="26"/>
      <c r="U108" s="28">
        <f t="shared" si="6"/>
        <v>8.7034372501998469E-2</v>
      </c>
    </row>
    <row r="109" spans="2:21" x14ac:dyDescent="0.25">
      <c r="B109" s="9"/>
      <c r="C109" s="31">
        <v>1473.32</v>
      </c>
      <c r="D109" s="32">
        <v>30.318999999999999</v>
      </c>
      <c r="E109" s="32">
        <v>38.033999999999999</v>
      </c>
      <c r="F109" s="32">
        <v>37.125999999999998</v>
      </c>
      <c r="G109" s="18">
        <v>26.98</v>
      </c>
      <c r="H109" s="18">
        <f t="shared" si="4"/>
        <v>32.134249999999994</v>
      </c>
      <c r="I109" s="5"/>
      <c r="J109" s="31">
        <v>989.07119999999998</v>
      </c>
      <c r="K109" s="32">
        <v>31.7117</v>
      </c>
      <c r="L109" s="32">
        <v>38.7027</v>
      </c>
      <c r="M109" s="32">
        <v>37.344799999999999</v>
      </c>
      <c r="N109" s="18">
        <v>33.077500000000001</v>
      </c>
      <c r="O109" s="18">
        <f t="shared" si="5"/>
        <v>33.2897125</v>
      </c>
      <c r="P109" s="7"/>
      <c r="Q109" s="10"/>
      <c r="R109" s="11"/>
      <c r="S109" s="11"/>
      <c r="T109" s="26"/>
      <c r="U109" s="28">
        <f t="shared" si="6"/>
        <v>0.22600074128984432</v>
      </c>
    </row>
    <row r="110" spans="2:21" ht="16.5" thickBot="1" x14ac:dyDescent="0.3">
      <c r="B110" s="12"/>
      <c r="C110" s="33">
        <v>882.97</v>
      </c>
      <c r="D110" s="34">
        <v>27.428000000000001</v>
      </c>
      <c r="E110" s="34">
        <v>36.886000000000003</v>
      </c>
      <c r="F110" s="34">
        <v>35.284999999999997</v>
      </c>
      <c r="G110" s="20">
        <v>28.19</v>
      </c>
      <c r="H110" s="20">
        <f t="shared" si="4"/>
        <v>29.592375000000001</v>
      </c>
      <c r="I110" s="5"/>
      <c r="J110" s="33">
        <v>591.92240000000004</v>
      </c>
      <c r="K110" s="34">
        <v>29.953499999999998</v>
      </c>
      <c r="L110" s="34">
        <v>37.467199999999998</v>
      </c>
      <c r="M110" s="34">
        <v>35.816400000000002</v>
      </c>
      <c r="N110" s="20">
        <v>42.444800000000001</v>
      </c>
      <c r="O110" s="20">
        <f t="shared" si="5"/>
        <v>31.625574999999998</v>
      </c>
      <c r="P110" s="7"/>
      <c r="Q110" s="13"/>
      <c r="R110" s="14"/>
      <c r="S110" s="14"/>
      <c r="T110" s="27"/>
      <c r="U110" s="28">
        <f t="shared" si="6"/>
        <v>0.50566867683575734</v>
      </c>
    </row>
    <row r="111" spans="2:21" x14ac:dyDescent="0.25">
      <c r="B111" s="6" t="s">
        <v>52</v>
      </c>
      <c r="C111" s="15">
        <v>3604.69</v>
      </c>
      <c r="D111" s="16">
        <v>33.375999999999998</v>
      </c>
      <c r="E111" s="16">
        <v>39.079000000000001</v>
      </c>
      <c r="F111" s="16">
        <v>41.796999999999997</v>
      </c>
      <c r="G111" s="16">
        <v>26.62</v>
      </c>
      <c r="H111" s="16">
        <f t="shared" si="4"/>
        <v>35.141499999999994</v>
      </c>
      <c r="I111" s="5"/>
      <c r="J111" s="15">
        <v>2381.6543999999999</v>
      </c>
      <c r="K111" s="16">
        <v>33.921500000000002</v>
      </c>
      <c r="L111" s="16">
        <v>39.961399999999998</v>
      </c>
      <c r="M111" s="16">
        <v>42.450499999999998</v>
      </c>
      <c r="N111" s="16">
        <v>34.835099999999997</v>
      </c>
      <c r="O111" s="16">
        <f t="shared" si="5"/>
        <v>35.7426125</v>
      </c>
      <c r="P111" s="7"/>
      <c r="Q111" s="8">
        <f>bdrate(C111:C114,D111:D114,J111:J114,K111:K114)</f>
        <v>-0.57376939828487128</v>
      </c>
      <c r="R111" s="8">
        <f>bdrate(C111:C114,E111:E114,J111:J114,L111:L114)</f>
        <v>-0.61575444253186162</v>
      </c>
      <c r="S111" s="8">
        <f>bdrate(C111:C114,F111:F114,J111:J114,M111:M114)</f>
        <v>-0.56091540842121412</v>
      </c>
      <c r="T111" s="25">
        <f>bdrate(C111:C114,H111:H114,J111:J114,O111:O114)</f>
        <v>-0.57791153342595813</v>
      </c>
      <c r="U111" s="28">
        <f t="shared" si="6"/>
        <v>0.3086063110443274</v>
      </c>
    </row>
    <row r="112" spans="2:21" x14ac:dyDescent="0.25">
      <c r="B112" s="9"/>
      <c r="C112" s="17">
        <v>2376.98</v>
      </c>
      <c r="D112" s="18">
        <v>32.459000000000003</v>
      </c>
      <c r="E112" s="18">
        <v>38.597999999999999</v>
      </c>
      <c r="F112" s="18">
        <v>41.276000000000003</v>
      </c>
      <c r="G112" s="18">
        <v>29.36</v>
      </c>
      <c r="H112" s="18">
        <f t="shared" si="4"/>
        <v>34.328500000000005</v>
      </c>
      <c r="I112" s="5"/>
      <c r="J112" s="17">
        <v>1596.3391999999999</v>
      </c>
      <c r="K112" s="18">
        <v>33.313899999999997</v>
      </c>
      <c r="L112" s="18">
        <v>39.479399999999998</v>
      </c>
      <c r="M112" s="18">
        <v>41.979300000000002</v>
      </c>
      <c r="N112" s="18">
        <v>42.844900000000003</v>
      </c>
      <c r="O112" s="18">
        <f t="shared" si="5"/>
        <v>35.167762500000002</v>
      </c>
      <c r="P112" s="7"/>
      <c r="Q112" s="10"/>
      <c r="R112" s="11"/>
      <c r="S112" s="11"/>
      <c r="T112" s="26"/>
      <c r="U112" s="28">
        <f t="shared" si="6"/>
        <v>0.45929495912806551</v>
      </c>
    </row>
    <row r="113" spans="1:21" x14ac:dyDescent="0.25">
      <c r="B113" s="9"/>
      <c r="C113" s="17">
        <v>1466.57</v>
      </c>
      <c r="D113" s="18">
        <v>31.047000000000001</v>
      </c>
      <c r="E113" s="18">
        <v>38.087000000000003</v>
      </c>
      <c r="F113" s="18">
        <v>40.877000000000002</v>
      </c>
      <c r="G113" s="18">
        <v>30.65</v>
      </c>
      <c r="H113" s="18">
        <f t="shared" si="4"/>
        <v>33.155750000000005</v>
      </c>
      <c r="I113" s="5"/>
      <c r="J113" s="17">
        <v>988.48159999999996</v>
      </c>
      <c r="K113" s="18">
        <v>32.367600000000003</v>
      </c>
      <c r="L113" s="18">
        <v>38.720300000000002</v>
      </c>
      <c r="M113" s="18">
        <v>41.289200000000001</v>
      </c>
      <c r="N113" s="18">
        <v>52.507199999999997</v>
      </c>
      <c r="O113" s="18">
        <f t="shared" si="5"/>
        <v>34.276887500000001</v>
      </c>
      <c r="P113" s="7"/>
      <c r="Q113" s="10"/>
      <c r="R113" s="11"/>
      <c r="S113" s="11"/>
      <c r="T113" s="26"/>
      <c r="U113" s="28">
        <f t="shared" si="6"/>
        <v>0.71312234910277328</v>
      </c>
    </row>
    <row r="114" spans="1:21" ht="16.5" thickBot="1" x14ac:dyDescent="0.3">
      <c r="B114" s="12"/>
      <c r="C114" s="19">
        <v>862.06</v>
      </c>
      <c r="D114" s="20">
        <v>29.076000000000001</v>
      </c>
      <c r="E114" s="20">
        <v>37.462000000000003</v>
      </c>
      <c r="F114" s="20">
        <v>39.981000000000002</v>
      </c>
      <c r="G114" s="20">
        <v>31.47</v>
      </c>
      <c r="H114" s="20">
        <f t="shared" si="4"/>
        <v>31.487375</v>
      </c>
      <c r="I114" s="5"/>
      <c r="J114" s="19">
        <v>578.49680000000001</v>
      </c>
      <c r="K114" s="20">
        <v>30.994499999999999</v>
      </c>
      <c r="L114" s="20">
        <v>38.017699999999998</v>
      </c>
      <c r="M114" s="20">
        <v>40.564799999999998</v>
      </c>
      <c r="N114" s="20">
        <v>63.337899999999998</v>
      </c>
      <c r="O114" s="20">
        <f t="shared" si="5"/>
        <v>33.068687499999996</v>
      </c>
      <c r="P114" s="7"/>
      <c r="Q114" s="13"/>
      <c r="R114" s="14"/>
      <c r="S114" s="14"/>
      <c r="T114" s="27"/>
      <c r="U114" s="28">
        <f t="shared" si="6"/>
        <v>1.0126437877343502</v>
      </c>
    </row>
    <row r="115" spans="1:21" x14ac:dyDescent="0.25">
      <c r="A115" s="6" t="s">
        <v>39</v>
      </c>
      <c r="B115" s="6" t="s">
        <v>53</v>
      </c>
      <c r="C115" s="15">
        <v>1557.08</v>
      </c>
      <c r="D115" s="16">
        <v>35.381999999999998</v>
      </c>
      <c r="E115" s="16">
        <v>38.765999999999998</v>
      </c>
      <c r="F115" s="16">
        <v>38.716999999999999</v>
      </c>
      <c r="G115" s="16">
        <v>100.79</v>
      </c>
      <c r="H115" s="16">
        <f t="shared" si="4"/>
        <v>36.221874999999997</v>
      </c>
      <c r="I115" s="5"/>
      <c r="J115" s="15">
        <v>1221.192</v>
      </c>
      <c r="K115" s="16">
        <v>36.593499999999999</v>
      </c>
      <c r="L115" s="16">
        <v>40.222799999999999</v>
      </c>
      <c r="M115" s="16">
        <v>40.131599999999999</v>
      </c>
      <c r="N115" s="16">
        <v>60.871699999999997</v>
      </c>
      <c r="O115" s="16">
        <f t="shared" si="5"/>
        <v>37.489424999999997</v>
      </c>
      <c r="P115" s="7"/>
      <c r="Q115" s="8">
        <f>bdrate(C115:C118,D115:D118,J115:J118,K115:K118)</f>
        <v>-0.39995411411367743</v>
      </c>
      <c r="R115" s="8">
        <f>bdrate(C115:C118,E115:E118,J115:J118,L115:L118)</f>
        <v>-0.46792997507633882</v>
      </c>
      <c r="S115" s="8">
        <f>bdrate(C115:C118,F115:F118,J115:J118,M115:M118)</f>
        <v>-0.42535853826334069</v>
      </c>
      <c r="T115" s="25">
        <f>bdrate(C115:C118,H115:H118,J115:J118,O115:O118)</f>
        <v>-0.40980365420418885</v>
      </c>
      <c r="U115" s="28">
        <f t="shared" si="6"/>
        <v>-0.39605417204087712</v>
      </c>
    </row>
    <row r="116" spans="1:21" x14ac:dyDescent="0.25">
      <c r="A116" s="9" t="s">
        <v>40</v>
      </c>
      <c r="B116" s="9"/>
      <c r="C116" s="17">
        <v>1036.6600000000001</v>
      </c>
      <c r="D116" s="18">
        <v>33.789000000000001</v>
      </c>
      <c r="E116" s="18">
        <v>37.5</v>
      </c>
      <c r="F116" s="18">
        <v>37.332000000000001</v>
      </c>
      <c r="G116" s="18">
        <v>116.55</v>
      </c>
      <c r="H116" s="18">
        <f t="shared" si="4"/>
        <v>34.695750000000004</v>
      </c>
      <c r="I116" s="5"/>
      <c r="J116" s="17">
        <v>814.99760000000003</v>
      </c>
      <c r="K116" s="18">
        <v>34.8232</v>
      </c>
      <c r="L116" s="18">
        <v>38.780200000000001</v>
      </c>
      <c r="M116" s="18">
        <v>38.485700000000001</v>
      </c>
      <c r="N116" s="18">
        <v>72.642700000000005</v>
      </c>
      <c r="O116" s="18">
        <f t="shared" si="5"/>
        <v>35.775637500000002</v>
      </c>
      <c r="P116" s="7"/>
      <c r="Q116" s="10"/>
      <c r="R116" s="11"/>
      <c r="S116" s="11"/>
      <c r="T116" s="26"/>
      <c r="U116" s="28">
        <f t="shared" si="6"/>
        <v>-0.37672501072501069</v>
      </c>
    </row>
    <row r="117" spans="1:21" x14ac:dyDescent="0.25">
      <c r="B117" s="9"/>
      <c r="C117" s="17">
        <v>645.12</v>
      </c>
      <c r="D117" s="18">
        <v>31.861999999999998</v>
      </c>
      <c r="E117" s="18">
        <v>36.212000000000003</v>
      </c>
      <c r="F117" s="18">
        <v>35.890999999999998</v>
      </c>
      <c r="G117" s="18">
        <v>134.12</v>
      </c>
      <c r="H117" s="18">
        <f t="shared" si="4"/>
        <v>32.909375000000004</v>
      </c>
      <c r="I117" s="5"/>
      <c r="J117" s="17">
        <v>504.63600000000002</v>
      </c>
      <c r="K117" s="18">
        <v>32.9223</v>
      </c>
      <c r="L117" s="18">
        <v>37.255899999999997</v>
      </c>
      <c r="M117" s="18">
        <v>36.811799999999998</v>
      </c>
      <c r="N117" s="18">
        <v>88.059200000000004</v>
      </c>
      <c r="O117" s="18">
        <f t="shared" si="5"/>
        <v>33.950187499999998</v>
      </c>
      <c r="P117" s="7"/>
      <c r="Q117" s="10"/>
      <c r="R117" s="11"/>
      <c r="S117" s="11"/>
      <c r="T117" s="26"/>
      <c r="U117" s="28">
        <f t="shared" si="6"/>
        <v>-0.34342976439009842</v>
      </c>
    </row>
    <row r="118" spans="1:21" ht="16.5" thickBot="1" x14ac:dyDescent="0.3">
      <c r="B118" s="12"/>
      <c r="C118" s="19">
        <v>386.09</v>
      </c>
      <c r="D118" s="20">
        <v>29.614000000000001</v>
      </c>
      <c r="E118" s="20">
        <v>34.96</v>
      </c>
      <c r="F118" s="20">
        <v>34.423000000000002</v>
      </c>
      <c r="G118" s="20">
        <v>158.68</v>
      </c>
      <c r="H118" s="20">
        <f t="shared" si="4"/>
        <v>30.883375000000001</v>
      </c>
      <c r="I118" s="5"/>
      <c r="J118" s="19">
        <v>301.51920000000001</v>
      </c>
      <c r="K118" s="20">
        <v>30.968800000000002</v>
      </c>
      <c r="L118" s="20">
        <v>35.793799999999997</v>
      </c>
      <c r="M118" s="20">
        <v>35.182099999999998</v>
      </c>
      <c r="N118" s="20">
        <v>109.0275</v>
      </c>
      <c r="O118" s="20">
        <f t="shared" si="5"/>
        <v>32.098587500000001</v>
      </c>
      <c r="P118" s="7"/>
      <c r="Q118" s="13"/>
      <c r="R118" s="14"/>
      <c r="S118" s="14"/>
      <c r="T118" s="27"/>
      <c r="U118" s="28">
        <f t="shared" si="6"/>
        <v>-0.31290962944290396</v>
      </c>
    </row>
    <row r="119" spans="1:21" x14ac:dyDescent="0.25">
      <c r="B119" s="6" t="s">
        <v>54</v>
      </c>
      <c r="C119" s="15">
        <v>1569.88</v>
      </c>
      <c r="D119" s="16">
        <v>35.707999999999998</v>
      </c>
      <c r="E119" s="16">
        <v>40.116</v>
      </c>
      <c r="F119" s="16">
        <v>40.933999999999997</v>
      </c>
      <c r="G119" s="16">
        <v>112.13</v>
      </c>
      <c r="H119" s="16">
        <f t="shared" si="4"/>
        <v>36.91225</v>
      </c>
      <c r="I119" s="5"/>
      <c r="J119" s="15">
        <v>1173.5752</v>
      </c>
      <c r="K119" s="16">
        <v>35.953400000000002</v>
      </c>
      <c r="L119" s="16">
        <v>40.850200000000001</v>
      </c>
      <c r="M119" s="16">
        <v>41.684899999999999</v>
      </c>
      <c r="N119" s="16">
        <v>74.377099999999999</v>
      </c>
      <c r="O119" s="16">
        <f t="shared" si="5"/>
        <v>37.281937499999998</v>
      </c>
      <c r="P119" s="7"/>
      <c r="Q119" s="8">
        <f>bdrate(C119:C122,D119:D122,J119:J122,K119:K122)</f>
        <v>-0.35446624713950303</v>
      </c>
      <c r="R119" s="8">
        <f>bdrate(C119:C122,E119:E122,J119:J122,L119:L122)</f>
        <v>-0.39350520986645376</v>
      </c>
      <c r="S119" s="8">
        <f>bdrate(C119:C122,F119:F122,J119:J122,M119:M122)</f>
        <v>-0.36206658740802555</v>
      </c>
      <c r="T119" s="25">
        <f>bdrate(C119:C122,H119:H122,J119:J122,O119:O122)</f>
        <v>-0.36049267413581809</v>
      </c>
      <c r="U119" s="28">
        <f t="shared" si="6"/>
        <v>-0.33668866494247746</v>
      </c>
    </row>
    <row r="120" spans="1:21" x14ac:dyDescent="0.25">
      <c r="B120" s="9"/>
      <c r="C120" s="17">
        <v>1047.6400000000001</v>
      </c>
      <c r="D120" s="18">
        <v>33.935000000000002</v>
      </c>
      <c r="E120" s="18">
        <v>39.186</v>
      </c>
      <c r="F120" s="18">
        <v>39.908000000000001</v>
      </c>
      <c r="G120" s="18">
        <v>129.51</v>
      </c>
      <c r="H120" s="18">
        <f t="shared" si="4"/>
        <v>35.338000000000001</v>
      </c>
      <c r="I120" s="5"/>
      <c r="J120" s="17">
        <v>796.69439999999997</v>
      </c>
      <c r="K120" s="18">
        <v>34.465400000000002</v>
      </c>
      <c r="L120" s="18">
        <v>39.8476</v>
      </c>
      <c r="M120" s="18">
        <v>40.534100000000002</v>
      </c>
      <c r="N120" s="18">
        <v>89.445400000000006</v>
      </c>
      <c r="O120" s="18">
        <f t="shared" si="5"/>
        <v>35.896762500000001</v>
      </c>
      <c r="P120" s="7"/>
      <c r="Q120" s="10"/>
      <c r="R120" s="11"/>
      <c r="S120" s="11"/>
      <c r="T120" s="26"/>
      <c r="U120" s="28">
        <f t="shared" si="6"/>
        <v>-0.30935526214191944</v>
      </c>
    </row>
    <row r="121" spans="1:21" x14ac:dyDescent="0.25">
      <c r="B121" s="9"/>
      <c r="C121" s="17">
        <v>654.32000000000005</v>
      </c>
      <c r="D121" s="18">
        <v>31.731999999999999</v>
      </c>
      <c r="E121" s="18">
        <v>38.225999999999999</v>
      </c>
      <c r="F121" s="18">
        <v>38.857999999999997</v>
      </c>
      <c r="G121" s="18">
        <v>144.06</v>
      </c>
      <c r="H121" s="18">
        <f t="shared" si="4"/>
        <v>33.4345</v>
      </c>
      <c r="I121" s="5"/>
      <c r="J121" s="17">
        <v>514.75840000000005</v>
      </c>
      <c r="K121" s="18">
        <v>32.723799999999997</v>
      </c>
      <c r="L121" s="18">
        <v>38.756300000000003</v>
      </c>
      <c r="M121" s="18">
        <v>39.307600000000001</v>
      </c>
      <c r="N121" s="18">
        <v>106.83759999999999</v>
      </c>
      <c r="O121" s="18">
        <f t="shared" si="5"/>
        <v>34.3008375</v>
      </c>
      <c r="P121" s="7"/>
      <c r="Q121" s="10"/>
      <c r="R121" s="11"/>
      <c r="S121" s="11"/>
      <c r="T121" s="26"/>
      <c r="U121" s="28">
        <f t="shared" si="6"/>
        <v>-0.25838123004303765</v>
      </c>
    </row>
    <row r="122" spans="1:21" ht="16.5" thickBot="1" x14ac:dyDescent="0.3">
      <c r="B122" s="12"/>
      <c r="C122" s="19">
        <v>395.02</v>
      </c>
      <c r="D122" s="20">
        <v>29.265999999999998</v>
      </c>
      <c r="E122" s="20">
        <v>37.189</v>
      </c>
      <c r="F122" s="20">
        <v>37.695999999999998</v>
      </c>
      <c r="G122" s="20">
        <v>155.72</v>
      </c>
      <c r="H122" s="20">
        <f t="shared" si="4"/>
        <v>31.310124999999999</v>
      </c>
      <c r="I122" s="5"/>
      <c r="J122" s="19">
        <v>304.00400000000002</v>
      </c>
      <c r="K122" s="20">
        <v>30.6067</v>
      </c>
      <c r="L122" s="20">
        <v>37.481400000000001</v>
      </c>
      <c r="M122" s="20">
        <v>37.8919</v>
      </c>
      <c r="N122" s="20">
        <v>138.37639999999999</v>
      </c>
      <c r="O122" s="20">
        <f t="shared" si="5"/>
        <v>32.376687500000003</v>
      </c>
      <c r="P122" s="7"/>
      <c r="Q122" s="13"/>
      <c r="R122" s="14"/>
      <c r="S122" s="14"/>
      <c r="T122" s="27"/>
      <c r="U122" s="28">
        <f t="shared" si="6"/>
        <v>-0.11137683020806582</v>
      </c>
    </row>
    <row r="123" spans="1:21" x14ac:dyDescent="0.25">
      <c r="B123" s="6" t="s">
        <v>55</v>
      </c>
      <c r="C123" s="15">
        <v>1432.28</v>
      </c>
      <c r="D123" s="16">
        <v>30.16</v>
      </c>
      <c r="E123" s="16">
        <v>35.828000000000003</v>
      </c>
      <c r="F123" s="16">
        <v>36.548999999999999</v>
      </c>
      <c r="G123" s="16">
        <v>104.01</v>
      </c>
      <c r="H123" s="16">
        <f t="shared" si="4"/>
        <v>31.667125000000002</v>
      </c>
      <c r="I123" s="5"/>
      <c r="J123" s="15">
        <v>1145.2775999999999</v>
      </c>
      <c r="K123" s="16">
        <v>30.817</v>
      </c>
      <c r="L123" s="16">
        <v>36.667099999999998</v>
      </c>
      <c r="M123" s="16">
        <v>37.424999999999997</v>
      </c>
      <c r="N123" s="16">
        <v>76.487700000000004</v>
      </c>
      <c r="O123" s="16">
        <f t="shared" si="5"/>
        <v>32.3742625</v>
      </c>
      <c r="P123" s="7"/>
      <c r="Q123" s="8">
        <f>bdrate(C123:C126,D123:D126,J123:J126,K123:K126)</f>
        <v>-0.37207324405290065</v>
      </c>
      <c r="R123" s="8">
        <f>bdrate(C123:C126,E123:E126,J123:J126,L123:L126)</f>
        <v>-0.3501757023521983</v>
      </c>
      <c r="S123" s="8">
        <f>bdrate(C123:C126,F123:F126,J123:J126,M123:M126)</f>
        <v>-0.35226163945175604</v>
      </c>
      <c r="T123" s="25">
        <f>bdrate(C123:C126,H123:H126,J123:J126,O123:O126)</f>
        <v>-0.37271674771771157</v>
      </c>
      <c r="U123" s="28">
        <f t="shared" si="6"/>
        <v>-0.26461205653302566</v>
      </c>
    </row>
    <row r="124" spans="1:21" x14ac:dyDescent="0.25">
      <c r="B124" s="9"/>
      <c r="C124" s="17">
        <v>955.36</v>
      </c>
      <c r="D124" s="18">
        <v>28.684999999999999</v>
      </c>
      <c r="E124" s="18">
        <v>35.201000000000001</v>
      </c>
      <c r="F124" s="18">
        <v>35.912999999999997</v>
      </c>
      <c r="G124" s="18">
        <v>114.08</v>
      </c>
      <c r="H124" s="18">
        <f t="shared" si="4"/>
        <v>30.402999999999999</v>
      </c>
      <c r="I124" s="5"/>
      <c r="J124" s="17">
        <v>763.43520000000001</v>
      </c>
      <c r="K124" s="18">
        <v>29.448599999999999</v>
      </c>
      <c r="L124" s="18">
        <v>35.7483</v>
      </c>
      <c r="M124" s="18">
        <v>36.515599999999999</v>
      </c>
      <c r="N124" s="18">
        <v>92.319100000000006</v>
      </c>
      <c r="O124" s="18">
        <f t="shared" si="5"/>
        <v>31.1194375</v>
      </c>
      <c r="P124" s="7"/>
      <c r="Q124" s="10"/>
      <c r="R124" s="11"/>
      <c r="S124" s="11"/>
      <c r="T124" s="26"/>
      <c r="U124" s="28">
        <f t="shared" si="6"/>
        <v>-0.19075122720897608</v>
      </c>
    </row>
    <row r="125" spans="1:21" x14ac:dyDescent="0.25">
      <c r="B125" s="9"/>
      <c r="C125" s="17">
        <v>599.53</v>
      </c>
      <c r="D125" s="18">
        <v>27.123000000000001</v>
      </c>
      <c r="E125" s="18">
        <v>34.595999999999997</v>
      </c>
      <c r="F125" s="18">
        <v>35.319000000000003</v>
      </c>
      <c r="G125" s="18">
        <v>126.68</v>
      </c>
      <c r="H125" s="18">
        <f t="shared" si="4"/>
        <v>29.081625000000003</v>
      </c>
      <c r="I125" s="5"/>
      <c r="J125" s="17">
        <v>480.52</v>
      </c>
      <c r="K125" s="18">
        <v>27.952400000000001</v>
      </c>
      <c r="L125" s="18">
        <v>34.873100000000001</v>
      </c>
      <c r="M125" s="18">
        <v>35.591000000000001</v>
      </c>
      <c r="N125" s="18">
        <v>114.05110000000001</v>
      </c>
      <c r="O125" s="18">
        <f t="shared" si="5"/>
        <v>29.772312500000002</v>
      </c>
      <c r="P125" s="7"/>
      <c r="Q125" s="10"/>
      <c r="R125" s="11"/>
      <c r="S125" s="11"/>
      <c r="T125" s="26"/>
      <c r="U125" s="28">
        <f t="shared" si="6"/>
        <v>-9.9691348279128525E-2</v>
      </c>
    </row>
    <row r="126" spans="1:21" ht="16.5" thickBot="1" x14ac:dyDescent="0.3">
      <c r="B126" s="12"/>
      <c r="C126" s="19">
        <v>361.22</v>
      </c>
      <c r="D126" s="20">
        <v>25.521999999999998</v>
      </c>
      <c r="E126" s="20">
        <v>34.015000000000001</v>
      </c>
      <c r="F126" s="20">
        <v>34.704000000000001</v>
      </c>
      <c r="G126" s="20">
        <v>142.44999999999999</v>
      </c>
      <c r="H126" s="20">
        <f t="shared" si="4"/>
        <v>27.731375</v>
      </c>
      <c r="I126" s="5"/>
      <c r="J126" s="19">
        <v>288.75360000000001</v>
      </c>
      <c r="K126" s="20">
        <v>26.423200000000001</v>
      </c>
      <c r="L126" s="20">
        <v>33.952100000000002</v>
      </c>
      <c r="M126" s="20">
        <v>34.647399999999998</v>
      </c>
      <c r="N126" s="20">
        <v>147.01560000000001</v>
      </c>
      <c r="O126" s="20">
        <f t="shared" si="5"/>
        <v>28.3923375</v>
      </c>
      <c r="P126" s="7"/>
      <c r="Q126" s="13"/>
      <c r="R126" s="14"/>
      <c r="S126" s="14"/>
      <c r="T126" s="27"/>
      <c r="U126" s="28">
        <f t="shared" si="6"/>
        <v>3.205054405054418E-2</v>
      </c>
    </row>
    <row r="127" spans="1:21" x14ac:dyDescent="0.25">
      <c r="B127" s="6" t="s">
        <v>56</v>
      </c>
      <c r="C127" s="15">
        <v>1434.47</v>
      </c>
      <c r="D127" s="16">
        <v>33.375</v>
      </c>
      <c r="E127" s="16">
        <v>36.954999999999998</v>
      </c>
      <c r="F127" s="16">
        <v>38.655999999999999</v>
      </c>
      <c r="G127" s="16">
        <v>75.41</v>
      </c>
      <c r="H127" s="16">
        <f t="shared" si="4"/>
        <v>34.482624999999999</v>
      </c>
      <c r="I127" s="5"/>
      <c r="J127" s="15">
        <v>1229.7736</v>
      </c>
      <c r="K127" s="16">
        <v>33.285299999999999</v>
      </c>
      <c r="L127" s="16">
        <v>37.276699999999998</v>
      </c>
      <c r="M127" s="16">
        <v>38.853400000000001</v>
      </c>
      <c r="N127" s="16">
        <v>46.889699999999998</v>
      </c>
      <c r="O127" s="16">
        <f t="shared" si="5"/>
        <v>34.480237500000001</v>
      </c>
      <c r="P127" s="7"/>
      <c r="Q127" s="8">
        <f>bdrate(C127:C130,D127:D130,J127:J130,K127:K130)</f>
        <v>-0.18676090837482173</v>
      </c>
      <c r="R127" s="8">
        <f>bdrate(C127:C130,E127:E130,J127:J130,L127:L130)</f>
        <v>-0.19519440722512871</v>
      </c>
      <c r="S127" s="8">
        <f>bdrate(C127:C130,F127:F130,J127:J130,M127:M130)</f>
        <v>-0.17172388066824562</v>
      </c>
      <c r="T127" s="25">
        <f>bdrate(C127:C130,H127:H130,J127:J130,O127:O130)</f>
        <v>-0.18666079138211433</v>
      </c>
      <c r="U127" s="28">
        <f t="shared" si="6"/>
        <v>-0.37820315608009547</v>
      </c>
    </row>
    <row r="128" spans="1:21" x14ac:dyDescent="0.25">
      <c r="B128" s="9"/>
      <c r="C128" s="17">
        <v>968.8</v>
      </c>
      <c r="D128" s="18">
        <v>31.762</v>
      </c>
      <c r="E128" s="18">
        <v>36.139000000000003</v>
      </c>
      <c r="F128" s="18">
        <v>37.82</v>
      </c>
      <c r="G128" s="18">
        <v>84.32</v>
      </c>
      <c r="H128" s="18">
        <f t="shared" si="4"/>
        <v>33.066375000000001</v>
      </c>
      <c r="I128" s="5"/>
      <c r="J128" s="17">
        <v>817.08799999999997</v>
      </c>
      <c r="K128" s="18">
        <v>31.742000000000001</v>
      </c>
      <c r="L128" s="18">
        <v>36.2819</v>
      </c>
      <c r="M128" s="18">
        <v>37.824800000000003</v>
      </c>
      <c r="N128" s="18">
        <v>56.200800000000001</v>
      </c>
      <c r="O128" s="18">
        <f t="shared" si="5"/>
        <v>33.069837499999998</v>
      </c>
      <c r="P128" s="7"/>
      <c r="Q128" s="10"/>
      <c r="R128" s="11"/>
      <c r="S128" s="11"/>
      <c r="T128" s="26"/>
      <c r="U128" s="28">
        <f t="shared" si="6"/>
        <v>-0.33348197343453506</v>
      </c>
    </row>
    <row r="129" spans="1:21" x14ac:dyDescent="0.25">
      <c r="B129" s="9"/>
      <c r="C129" s="17">
        <v>612.36</v>
      </c>
      <c r="D129" s="18">
        <v>29.907</v>
      </c>
      <c r="E129" s="18">
        <v>35.246000000000002</v>
      </c>
      <c r="F129" s="18">
        <v>36.822000000000003</v>
      </c>
      <c r="G129" s="18">
        <v>94.76</v>
      </c>
      <c r="H129" s="18">
        <f t="shared" si="4"/>
        <v>31.438750000000002</v>
      </c>
      <c r="I129" s="5"/>
      <c r="J129" s="17">
        <v>510.43200000000002</v>
      </c>
      <c r="K129" s="18">
        <v>30.091200000000001</v>
      </c>
      <c r="L129" s="18">
        <v>35.268999999999998</v>
      </c>
      <c r="M129" s="18">
        <v>36.8095</v>
      </c>
      <c r="N129" s="18">
        <v>69.881200000000007</v>
      </c>
      <c r="O129" s="18">
        <f t="shared" si="5"/>
        <v>31.578212499999999</v>
      </c>
      <c r="P129" s="7"/>
      <c r="Q129" s="10"/>
      <c r="R129" s="11"/>
      <c r="S129" s="11"/>
      <c r="T129" s="26"/>
      <c r="U129" s="28">
        <f t="shared" si="6"/>
        <v>-0.26254537779653858</v>
      </c>
    </row>
    <row r="130" spans="1:21" ht="16.5" thickBot="1" x14ac:dyDescent="0.3">
      <c r="B130" s="12"/>
      <c r="C130" s="19">
        <v>371.96</v>
      </c>
      <c r="D130" s="20">
        <v>27.939</v>
      </c>
      <c r="E130" s="20">
        <v>34.218000000000004</v>
      </c>
      <c r="F130" s="20">
        <v>35.61</v>
      </c>
      <c r="G130" s="20">
        <v>108.66</v>
      </c>
      <c r="H130" s="20">
        <f t="shared" si="4"/>
        <v>29.682750000000006</v>
      </c>
      <c r="I130" s="5"/>
      <c r="J130" s="19">
        <v>305.36559999999997</v>
      </c>
      <c r="K130" s="20">
        <v>28.471699999999998</v>
      </c>
      <c r="L130" s="20">
        <v>34.221299999999999</v>
      </c>
      <c r="M130" s="20">
        <v>35.703299999999999</v>
      </c>
      <c r="N130" s="20">
        <v>89.874200000000002</v>
      </c>
      <c r="O130" s="20">
        <f t="shared" si="5"/>
        <v>30.094349999999999</v>
      </c>
      <c r="P130" s="7"/>
      <c r="Q130" s="13"/>
      <c r="R130" s="14"/>
      <c r="S130" s="14"/>
      <c r="T130" s="27"/>
      <c r="U130" s="28">
        <f t="shared" si="6"/>
        <v>-0.17288606662985456</v>
      </c>
    </row>
    <row r="131" spans="1:21" x14ac:dyDescent="0.25">
      <c r="A131" s="6" t="s">
        <v>41</v>
      </c>
      <c r="B131" s="6" t="s">
        <v>57</v>
      </c>
      <c r="C131" s="15">
        <v>827.5</v>
      </c>
      <c r="D131" s="16">
        <v>35.979999999999997</v>
      </c>
      <c r="E131" s="16">
        <v>39.863</v>
      </c>
      <c r="F131" s="16">
        <v>38.643999999999998</v>
      </c>
      <c r="G131" s="16">
        <v>323.83</v>
      </c>
      <c r="H131" s="16">
        <f t="shared" si="4"/>
        <v>36.798375</v>
      </c>
      <c r="I131" s="5"/>
      <c r="J131" s="15">
        <v>614.42960000000005</v>
      </c>
      <c r="K131" s="16">
        <v>35.3889</v>
      </c>
      <c r="L131" s="16">
        <v>40.2209</v>
      </c>
      <c r="M131" s="16">
        <v>38.684199999999997</v>
      </c>
      <c r="N131" s="16">
        <v>120.4819</v>
      </c>
      <c r="O131" s="16">
        <f t="shared" si="5"/>
        <v>36.404812499999998</v>
      </c>
      <c r="P131" s="7"/>
      <c r="Q131" s="8">
        <f>bdrate(C131:C134,D131:D134,J131:J134,K131:K134)</f>
        <v>-0.20869989455043569</v>
      </c>
      <c r="R131" s="8">
        <f>bdrate(C131:C134,E131:E134,J131:J134,L131:L134)</f>
        <v>-0.2959373684256128</v>
      </c>
      <c r="S131" s="8">
        <f>bdrate(C131:C134,F131:F134,J131:J134,M131:M134)</f>
        <v>-0.20586630540712758</v>
      </c>
      <c r="T131" s="25">
        <f>bdrate(C131:C134,H131:H134,J131:J134,O131:O134)</f>
        <v>-0.21409018352757703</v>
      </c>
      <c r="U131" s="28">
        <f t="shared" si="6"/>
        <v>-0.62794707099404012</v>
      </c>
    </row>
    <row r="132" spans="1:21" x14ac:dyDescent="0.25">
      <c r="A132" s="9" t="s">
        <v>42</v>
      </c>
      <c r="B132" s="9"/>
      <c r="C132" s="17">
        <v>552.49</v>
      </c>
      <c r="D132" s="18">
        <v>33.99</v>
      </c>
      <c r="E132" s="18">
        <v>38.704999999999998</v>
      </c>
      <c r="F132" s="18">
        <v>37.295999999999999</v>
      </c>
      <c r="G132" s="18">
        <v>364.17</v>
      </c>
      <c r="H132" s="18">
        <f t="shared" si="4"/>
        <v>34.992624999999997</v>
      </c>
      <c r="I132" s="5"/>
      <c r="J132" s="17">
        <v>408.7792</v>
      </c>
      <c r="K132" s="18">
        <v>33.506799999999998</v>
      </c>
      <c r="L132" s="18">
        <v>38.955599999999997</v>
      </c>
      <c r="M132" s="18">
        <v>37.2087</v>
      </c>
      <c r="N132" s="18">
        <v>142.45009999999999</v>
      </c>
      <c r="O132" s="18">
        <f t="shared" si="5"/>
        <v>34.650637500000002</v>
      </c>
      <c r="P132" s="7"/>
      <c r="Q132" s="10"/>
      <c r="R132" s="11"/>
      <c r="S132" s="11"/>
      <c r="T132" s="26"/>
      <c r="U132" s="28">
        <f t="shared" si="6"/>
        <v>-0.6088362577916907</v>
      </c>
    </row>
    <row r="133" spans="1:21" x14ac:dyDescent="0.25">
      <c r="B133" s="9"/>
      <c r="C133" s="17">
        <v>347.68</v>
      </c>
      <c r="D133" s="18">
        <v>31.81</v>
      </c>
      <c r="E133" s="18">
        <v>37.624000000000002</v>
      </c>
      <c r="F133" s="18">
        <v>35.939</v>
      </c>
      <c r="G133" s="18">
        <v>405.84</v>
      </c>
      <c r="H133" s="18">
        <f t="shared" si="4"/>
        <v>33.052875</v>
      </c>
      <c r="I133" s="5"/>
      <c r="J133" s="17">
        <v>255.6576</v>
      </c>
      <c r="K133" s="18">
        <v>31.4864</v>
      </c>
      <c r="L133" s="18">
        <v>37.728400000000001</v>
      </c>
      <c r="M133" s="18">
        <v>35.660200000000003</v>
      </c>
      <c r="N133" s="18">
        <v>177.0538</v>
      </c>
      <c r="O133" s="18">
        <f t="shared" si="5"/>
        <v>32.788375000000002</v>
      </c>
      <c r="P133" s="7"/>
      <c r="Q133" s="10"/>
      <c r="R133" s="11"/>
      <c r="S133" s="11"/>
      <c r="T133" s="26"/>
      <c r="U133" s="28">
        <f t="shared" si="6"/>
        <v>-0.56373496944608714</v>
      </c>
    </row>
    <row r="134" spans="1:21" ht="16.5" thickBot="1" x14ac:dyDescent="0.3">
      <c r="B134" s="12"/>
      <c r="C134" s="19">
        <v>168.53</v>
      </c>
      <c r="D134" s="20">
        <v>28.594999999999999</v>
      </c>
      <c r="E134" s="20">
        <v>36.1</v>
      </c>
      <c r="F134" s="20">
        <v>34.052999999999997</v>
      </c>
      <c r="G134" s="20">
        <v>501</v>
      </c>
      <c r="H134" s="20">
        <f t="shared" si="4"/>
        <v>30.215374999999998</v>
      </c>
      <c r="I134" s="5"/>
      <c r="J134" s="19">
        <v>122.08880000000001</v>
      </c>
      <c r="K134" s="20">
        <v>28.584700000000002</v>
      </c>
      <c r="L134" s="20">
        <v>35.892200000000003</v>
      </c>
      <c r="M134" s="20">
        <v>33.478499999999997</v>
      </c>
      <c r="N134" s="20">
        <v>254.4529</v>
      </c>
      <c r="O134" s="20">
        <f t="shared" si="5"/>
        <v>30.109862500000002</v>
      </c>
      <c r="P134" s="7"/>
      <c r="Q134" s="13"/>
      <c r="R134" s="14"/>
      <c r="S134" s="14"/>
      <c r="T134" s="27"/>
      <c r="U134" s="28">
        <f t="shared" si="6"/>
        <v>-0.49210998003992018</v>
      </c>
    </row>
    <row r="135" spans="1:21" x14ac:dyDescent="0.25">
      <c r="B135" s="6" t="s">
        <v>58</v>
      </c>
      <c r="C135" s="15">
        <v>721.86</v>
      </c>
      <c r="D135" s="16">
        <v>32.905999999999999</v>
      </c>
      <c r="E135" s="16">
        <v>39.709000000000003</v>
      </c>
      <c r="F135" s="16">
        <v>40.448999999999998</v>
      </c>
      <c r="G135" s="16">
        <v>427.35</v>
      </c>
      <c r="H135" s="16">
        <f t="shared" si="4"/>
        <v>34.699249999999999</v>
      </c>
      <c r="I135" s="5"/>
      <c r="J135" s="15">
        <v>586.73519999999996</v>
      </c>
      <c r="K135" s="16">
        <v>34.302300000000002</v>
      </c>
      <c r="L135" s="16">
        <v>41.422699999999999</v>
      </c>
      <c r="M135" s="16">
        <v>42.299300000000002</v>
      </c>
      <c r="N135" s="16">
        <v>210.2313</v>
      </c>
      <c r="O135" s="16">
        <f t="shared" si="5"/>
        <v>36.191974999999999</v>
      </c>
      <c r="P135" s="7"/>
      <c r="Q135" s="8">
        <f>bdrate(C135:C138,D135:D138,J135:J138,K135:K138)</f>
        <v>-0.48421170993647333</v>
      </c>
      <c r="R135" s="8">
        <f>bdrate(C135:C138,E135:E138,J135:J138,L135:L138)</f>
        <v>-0.45297941595697533</v>
      </c>
      <c r="S135" s="8">
        <f>bdrate(C135:C138,F135:F138,J135:J138,M135:M138)</f>
        <v>-0.56046210597817891</v>
      </c>
      <c r="T135" s="25">
        <f>bdrate(C135:C138,H135:H138,J135:J138,O135:O138)</f>
        <v>-0.49185038123771085</v>
      </c>
      <c r="U135" s="28">
        <f t="shared" si="6"/>
        <v>-0.50805826605826609</v>
      </c>
    </row>
    <row r="136" spans="1:21" x14ac:dyDescent="0.25">
      <c r="B136" s="9"/>
      <c r="C136" s="17">
        <v>474.46</v>
      </c>
      <c r="D136" s="18">
        <v>31.396999999999998</v>
      </c>
      <c r="E136" s="18">
        <v>39.225999999999999</v>
      </c>
      <c r="F136" s="18">
        <v>39.79</v>
      </c>
      <c r="G136" s="18">
        <v>480.77</v>
      </c>
      <c r="H136" s="18">
        <f t="shared" si="4"/>
        <v>33.424750000000003</v>
      </c>
      <c r="I136" s="5"/>
      <c r="J136" s="17">
        <v>387.14640000000003</v>
      </c>
      <c r="K136" s="18">
        <v>32.942599999999999</v>
      </c>
      <c r="L136" s="18">
        <v>40.418799999999997</v>
      </c>
      <c r="M136" s="18">
        <v>41.209600000000002</v>
      </c>
      <c r="N136" s="18">
        <v>234.4666</v>
      </c>
      <c r="O136" s="18">
        <f t="shared" si="5"/>
        <v>34.910499999999999</v>
      </c>
      <c r="P136" s="7"/>
      <c r="Q136" s="10"/>
      <c r="R136" s="11"/>
      <c r="S136" s="11"/>
      <c r="T136" s="26"/>
      <c r="U136" s="28">
        <f t="shared" si="6"/>
        <v>-0.51231025230359628</v>
      </c>
    </row>
    <row r="137" spans="1:21" x14ac:dyDescent="0.25">
      <c r="B137" s="9"/>
      <c r="C137" s="17">
        <v>293.91000000000003</v>
      </c>
      <c r="D137" s="18">
        <v>29.677</v>
      </c>
      <c r="E137" s="18">
        <v>38.701000000000001</v>
      </c>
      <c r="F137" s="18">
        <v>39.036000000000001</v>
      </c>
      <c r="G137" s="18">
        <v>519.92999999999995</v>
      </c>
      <c r="H137" s="18">
        <f t="shared" si="4"/>
        <v>31.974875000000001</v>
      </c>
      <c r="I137" s="5"/>
      <c r="J137" s="17">
        <v>233.8664</v>
      </c>
      <c r="K137" s="18">
        <v>31.2438</v>
      </c>
      <c r="L137" s="18">
        <v>39.314500000000002</v>
      </c>
      <c r="M137" s="18">
        <v>40.107700000000001</v>
      </c>
      <c r="N137" s="18">
        <v>331.49169999999998</v>
      </c>
      <c r="O137" s="18">
        <f t="shared" si="5"/>
        <v>33.360625000000006</v>
      </c>
      <c r="P137" s="7"/>
      <c r="Q137" s="10"/>
      <c r="R137" s="11"/>
      <c r="S137" s="11"/>
      <c r="T137" s="26"/>
      <c r="U137" s="28">
        <f t="shared" si="6"/>
        <v>-0.36243013482584191</v>
      </c>
    </row>
    <row r="138" spans="1:21" ht="16.5" thickBot="1" x14ac:dyDescent="0.3">
      <c r="B138" s="12"/>
      <c r="C138" s="19">
        <v>140.13999999999999</v>
      </c>
      <c r="D138" s="20">
        <v>26.940999999999999</v>
      </c>
      <c r="E138" s="20">
        <v>38.069000000000003</v>
      </c>
      <c r="F138" s="20">
        <v>38.210999999999999</v>
      </c>
      <c r="G138" s="20">
        <v>591.72</v>
      </c>
      <c r="H138" s="20">
        <f t="shared" si="4"/>
        <v>29.740749999999998</v>
      </c>
      <c r="I138" s="5"/>
      <c r="J138" s="19">
        <v>111.6168</v>
      </c>
      <c r="K138" s="20">
        <v>28.5747</v>
      </c>
      <c r="L138" s="20">
        <v>37.9818</v>
      </c>
      <c r="M138" s="20">
        <v>38.6218</v>
      </c>
      <c r="N138" s="20">
        <v>493.01560000000001</v>
      </c>
      <c r="O138" s="20">
        <f t="shared" si="5"/>
        <v>31.006474999999998</v>
      </c>
      <c r="P138" s="7"/>
      <c r="Q138" s="13"/>
      <c r="R138" s="14"/>
      <c r="S138" s="14"/>
      <c r="T138" s="27"/>
      <c r="U138" s="28">
        <f t="shared" si="6"/>
        <v>-0.16680930169674849</v>
      </c>
    </row>
    <row r="139" spans="1:21" x14ac:dyDescent="0.25">
      <c r="B139" s="6" t="s">
        <v>59</v>
      </c>
      <c r="C139" s="29">
        <v>807.5</v>
      </c>
      <c r="D139" s="30">
        <v>33.957000000000001</v>
      </c>
      <c r="E139" s="30">
        <v>37.415999999999997</v>
      </c>
      <c r="F139" s="30">
        <v>37.901000000000003</v>
      </c>
      <c r="G139" s="16">
        <v>368.46</v>
      </c>
      <c r="H139" s="16">
        <f t="shared" si="4"/>
        <v>34.882375000000003</v>
      </c>
      <c r="I139" s="5"/>
      <c r="J139" s="29">
        <v>609.96079999999995</v>
      </c>
      <c r="K139" s="30">
        <v>33.808</v>
      </c>
      <c r="L139" s="30">
        <v>38.290500000000002</v>
      </c>
      <c r="M139" s="30">
        <v>39.051499999999997</v>
      </c>
      <c r="N139" s="16">
        <v>174.15530000000001</v>
      </c>
      <c r="O139" s="16">
        <f t="shared" si="5"/>
        <v>35.02375</v>
      </c>
      <c r="P139" s="7"/>
      <c r="Q139" s="8">
        <f>bdrate(C139:C142,D139:D142,J139:J142,K139:K142)</f>
        <v>-0.25393757615898982</v>
      </c>
      <c r="R139" s="8">
        <f>bdrate(C139:C142,E139:E142,J139:J142,L139:L142)</f>
        <v>-0.36135802485574542</v>
      </c>
      <c r="S139" s="8">
        <f>bdrate(C139:C142,F139:F142,J139:J142,M139:M142)</f>
        <v>-0.42221618969965913</v>
      </c>
      <c r="T139" s="25">
        <f>bdrate(C139:C142,H139:H142,J139:J142,O139:O142)</f>
        <v>-0.28065420389440898</v>
      </c>
      <c r="U139" s="28">
        <f t="shared" si="6"/>
        <v>-0.52734272376920144</v>
      </c>
    </row>
    <row r="140" spans="1:21" x14ac:dyDescent="0.25">
      <c r="B140" s="9"/>
      <c r="C140" s="31">
        <v>537.34</v>
      </c>
      <c r="D140" s="32">
        <v>32.264000000000003</v>
      </c>
      <c r="E140" s="32">
        <v>36.368000000000002</v>
      </c>
      <c r="F140" s="32">
        <v>36.832000000000001</v>
      </c>
      <c r="G140" s="18">
        <v>395.57</v>
      </c>
      <c r="H140" s="18">
        <f t="shared" si="4"/>
        <v>33.347999999999999</v>
      </c>
      <c r="I140" s="5"/>
      <c r="J140" s="31">
        <v>403.82080000000002</v>
      </c>
      <c r="K140" s="32">
        <v>32.197299999999998</v>
      </c>
      <c r="L140" s="32">
        <v>36.990900000000003</v>
      </c>
      <c r="M140" s="32">
        <v>37.761400000000002</v>
      </c>
      <c r="N140" s="18">
        <v>209.46799999999999</v>
      </c>
      <c r="O140" s="18">
        <f t="shared" si="5"/>
        <v>33.492012500000001</v>
      </c>
      <c r="P140" s="7"/>
      <c r="Q140" s="10"/>
      <c r="R140" s="11"/>
      <c r="S140" s="11"/>
      <c r="T140" s="26"/>
      <c r="U140" s="28">
        <f t="shared" si="6"/>
        <v>-0.47046540435321182</v>
      </c>
    </row>
    <row r="141" spans="1:21" x14ac:dyDescent="0.25">
      <c r="B141" s="9"/>
      <c r="C141" s="31">
        <v>333.87</v>
      </c>
      <c r="D141" s="32">
        <v>30.391999999999999</v>
      </c>
      <c r="E141" s="32">
        <v>35.459000000000003</v>
      </c>
      <c r="F141" s="32">
        <v>35.932000000000002</v>
      </c>
      <c r="G141" s="18">
        <v>439.37</v>
      </c>
      <c r="H141" s="18">
        <f t="shared" si="4"/>
        <v>31.717874999999999</v>
      </c>
      <c r="I141" s="5"/>
      <c r="J141" s="31">
        <v>252.14320000000001</v>
      </c>
      <c r="K141" s="32">
        <v>30.477399999999999</v>
      </c>
      <c r="L141" s="32">
        <v>35.841099999999997</v>
      </c>
      <c r="M141" s="32">
        <v>36.5443</v>
      </c>
      <c r="N141" s="18">
        <v>254.3235</v>
      </c>
      <c r="O141" s="18">
        <f t="shared" si="5"/>
        <v>31.906224999999996</v>
      </c>
      <c r="P141" s="7"/>
      <c r="Q141" s="10"/>
      <c r="R141" s="11"/>
      <c r="S141" s="11"/>
      <c r="T141" s="26"/>
      <c r="U141" s="28">
        <f t="shared" si="6"/>
        <v>-0.42116325648087033</v>
      </c>
    </row>
    <row r="142" spans="1:21" ht="16.5" thickBot="1" x14ac:dyDescent="0.3">
      <c r="B142" s="12"/>
      <c r="C142" s="33">
        <v>157.62</v>
      </c>
      <c r="D142" s="34">
        <v>27.716000000000001</v>
      </c>
      <c r="E142" s="34">
        <v>34.183999999999997</v>
      </c>
      <c r="F142" s="34">
        <v>34.753999999999998</v>
      </c>
      <c r="G142" s="20">
        <v>508.65</v>
      </c>
      <c r="H142" s="20">
        <f t="shared" si="4"/>
        <v>29.404249999999998</v>
      </c>
      <c r="I142" s="5"/>
      <c r="J142" s="33">
        <v>117.9896</v>
      </c>
      <c r="K142" s="34">
        <v>27.855499999999999</v>
      </c>
      <c r="L142" s="34">
        <v>34.024500000000003</v>
      </c>
      <c r="M142" s="34">
        <v>34.756599999999999</v>
      </c>
      <c r="N142" s="20">
        <v>360.23050000000001</v>
      </c>
      <c r="O142" s="20">
        <f t="shared" si="5"/>
        <v>29.489262499999995</v>
      </c>
      <c r="P142" s="7"/>
      <c r="Q142" s="13"/>
      <c r="R142" s="14"/>
      <c r="S142" s="14"/>
      <c r="T142" s="27"/>
      <c r="U142" s="28">
        <f t="shared" si="6"/>
        <v>-0.29179101543300889</v>
      </c>
    </row>
    <row r="143" spans="1:21" x14ac:dyDescent="0.25">
      <c r="B143" s="6" t="s">
        <v>60</v>
      </c>
      <c r="C143" s="15">
        <v>742.42</v>
      </c>
      <c r="D143" s="16">
        <v>35.695</v>
      </c>
      <c r="E143" s="16">
        <v>37.857999999999997</v>
      </c>
      <c r="F143" s="16">
        <v>39.029000000000003</v>
      </c>
      <c r="G143" s="16">
        <v>246.51</v>
      </c>
      <c r="H143" s="16">
        <f t="shared" si="4"/>
        <v>36.382125000000002</v>
      </c>
      <c r="I143" s="5"/>
      <c r="J143" s="15">
        <v>621.63520000000005</v>
      </c>
      <c r="K143" s="16">
        <v>35.113300000000002</v>
      </c>
      <c r="L143" s="16">
        <v>38.425699999999999</v>
      </c>
      <c r="M143" s="16">
        <v>39.499899999999997</v>
      </c>
      <c r="N143" s="16">
        <v>90.716700000000003</v>
      </c>
      <c r="O143" s="16">
        <f t="shared" si="5"/>
        <v>36.075675000000004</v>
      </c>
      <c r="P143" s="7"/>
      <c r="Q143" s="8">
        <f>bdrate(C143:C146,D143:D146,J143:J146,K143:K146)</f>
        <v>-0.10135580820548296</v>
      </c>
      <c r="R143" s="8">
        <f>bdrate(C143:C146,E143:E146,J143:J146,L143:L146)</f>
        <v>-0.23528097081027455</v>
      </c>
      <c r="S143" s="8">
        <f>bdrate(C143:C146,F143:F146,J143:J146,M143:M146)</f>
        <v>-0.21595154962997987</v>
      </c>
      <c r="T143" s="25">
        <f>bdrate(C143:C146,H143:H146,J143:J146,O143:O146)</f>
        <v>-0.1233769441976712</v>
      </c>
      <c r="U143" s="28">
        <f t="shared" si="6"/>
        <v>-0.63199586223682602</v>
      </c>
    </row>
    <row r="144" spans="1:21" x14ac:dyDescent="0.25">
      <c r="B144" s="9"/>
      <c r="C144" s="17">
        <v>496.88</v>
      </c>
      <c r="D144" s="18">
        <v>33.688000000000002</v>
      </c>
      <c r="E144" s="18">
        <v>36.695999999999998</v>
      </c>
      <c r="F144" s="18">
        <v>37.856000000000002</v>
      </c>
      <c r="G144" s="18">
        <v>271</v>
      </c>
      <c r="H144" s="18">
        <f t="shared" si="4"/>
        <v>34.585000000000001</v>
      </c>
      <c r="I144" s="5"/>
      <c r="J144" s="17">
        <v>412.28879999999998</v>
      </c>
      <c r="K144" s="18">
        <v>33.176099999999998</v>
      </c>
      <c r="L144" s="18">
        <v>37.099400000000003</v>
      </c>
      <c r="M144" s="18">
        <v>38.191600000000001</v>
      </c>
      <c r="N144" s="18">
        <v>108.6563</v>
      </c>
      <c r="O144" s="18">
        <f t="shared" si="5"/>
        <v>34.29345</v>
      </c>
      <c r="P144" s="7"/>
      <c r="Q144" s="10"/>
      <c r="R144" s="11"/>
      <c r="S144" s="11"/>
      <c r="T144" s="26"/>
      <c r="U144" s="28">
        <f t="shared" si="6"/>
        <v>-0.59905424354243542</v>
      </c>
    </row>
    <row r="145" spans="1:21" x14ac:dyDescent="0.25">
      <c r="B145" s="9"/>
      <c r="C145" s="17">
        <v>313.27999999999997</v>
      </c>
      <c r="D145" s="18">
        <v>31.552</v>
      </c>
      <c r="E145" s="18">
        <v>35.555999999999997</v>
      </c>
      <c r="F145" s="18">
        <v>36.695</v>
      </c>
      <c r="G145" s="18">
        <v>287.08</v>
      </c>
      <c r="H145" s="18">
        <f t="shared" si="4"/>
        <v>32.695374999999999</v>
      </c>
      <c r="I145" s="5"/>
      <c r="J145" s="17">
        <v>256.52</v>
      </c>
      <c r="K145" s="18">
        <v>31.151599999999998</v>
      </c>
      <c r="L145" s="18">
        <v>35.699599999999997</v>
      </c>
      <c r="M145" s="18">
        <v>36.754300000000001</v>
      </c>
      <c r="N145" s="18">
        <v>136.4256</v>
      </c>
      <c r="O145" s="18">
        <f t="shared" si="5"/>
        <v>32.420437499999998</v>
      </c>
      <c r="P145" s="7"/>
      <c r="Q145" s="10"/>
      <c r="R145" s="11"/>
      <c r="S145" s="11"/>
      <c r="T145" s="26"/>
      <c r="U145" s="28">
        <f t="shared" si="6"/>
        <v>-0.52478194231573072</v>
      </c>
    </row>
    <row r="146" spans="1:21" ht="16.5" thickBot="1" x14ac:dyDescent="0.3">
      <c r="B146" s="12"/>
      <c r="C146" s="19">
        <v>150.15</v>
      </c>
      <c r="D146" s="20">
        <v>28.521999999999998</v>
      </c>
      <c r="E146" s="20">
        <v>34.029000000000003</v>
      </c>
      <c r="F146" s="20">
        <v>35.020000000000003</v>
      </c>
      <c r="G146" s="20">
        <v>369.91</v>
      </c>
      <c r="H146" s="20">
        <f t="shared" si="4"/>
        <v>30.022625000000001</v>
      </c>
      <c r="I146" s="5"/>
      <c r="J146" s="19">
        <v>122.56480000000001</v>
      </c>
      <c r="K146" s="20">
        <v>28.478300000000001</v>
      </c>
      <c r="L146" s="20">
        <v>33.902099999999997</v>
      </c>
      <c r="M146" s="20">
        <v>34.9086</v>
      </c>
      <c r="N146" s="20">
        <v>196.20670000000001</v>
      </c>
      <c r="O146" s="20">
        <f t="shared" si="5"/>
        <v>29.960062499999999</v>
      </c>
      <c r="P146" s="7"/>
      <c r="Q146" s="13"/>
      <c r="R146" s="14"/>
      <c r="S146" s="14"/>
      <c r="T146" s="27"/>
      <c r="U146" s="28">
        <f t="shared" si="6"/>
        <v>-0.46958260117325834</v>
      </c>
    </row>
    <row r="147" spans="1:21" x14ac:dyDescent="0.25">
      <c r="A147" s="6" t="s">
        <v>43</v>
      </c>
      <c r="B147" s="6" t="s">
        <v>61</v>
      </c>
      <c r="C147" s="15">
        <v>1918.21</v>
      </c>
      <c r="D147" s="16">
        <v>41.551000000000002</v>
      </c>
      <c r="E147" s="16">
        <v>45.18</v>
      </c>
      <c r="F147" s="16">
        <v>46.383000000000003</v>
      </c>
      <c r="G147" s="16">
        <v>73.260000000000005</v>
      </c>
      <c r="H147" s="16">
        <f t="shared" si="4"/>
        <v>42.608624999999996</v>
      </c>
      <c r="I147" s="5"/>
      <c r="J147" s="15">
        <v>1427.7896000000001</v>
      </c>
      <c r="K147" s="16">
        <v>41.732399999999998</v>
      </c>
      <c r="L147" s="16">
        <v>45.863999999999997</v>
      </c>
      <c r="M147" s="16">
        <v>47.042200000000001</v>
      </c>
      <c r="N147" s="16">
        <v>62.952500000000001</v>
      </c>
      <c r="O147" s="16">
        <f t="shared" si="5"/>
        <v>42.912574999999997</v>
      </c>
      <c r="P147" s="7"/>
      <c r="Q147" s="8">
        <f>bdrate(C147:C150,D147:D150,J147:J150,K147:K150)</f>
        <v>-0.31962131576908959</v>
      </c>
      <c r="R147" s="8">
        <f>bdrate(C147:C150,E147:E150,J147:J150,L147:L150)</f>
        <v>-0.44298024545278747</v>
      </c>
      <c r="S147" s="8">
        <f>bdrate(C147:C150,F147:F150,J147:J150,M147:M150)</f>
        <v>-0.45083159616357993</v>
      </c>
      <c r="T147" s="25">
        <f>bdrate(C147:C150,H147:H150,J147:J150,O147:O150)</f>
        <v>-0.34727513649413944</v>
      </c>
      <c r="U147" s="28">
        <f t="shared" si="6"/>
        <v>-0.14069751569751576</v>
      </c>
    </row>
    <row r="148" spans="1:21" x14ac:dyDescent="0.25">
      <c r="A148" s="9" t="s">
        <v>44</v>
      </c>
      <c r="B148" s="9"/>
      <c r="C148" s="17">
        <v>1247.21</v>
      </c>
      <c r="D148" s="18">
        <v>40.399000000000001</v>
      </c>
      <c r="E148" s="18">
        <v>43.988999999999997</v>
      </c>
      <c r="F148" s="18">
        <v>45.113999999999997</v>
      </c>
      <c r="G148" s="18">
        <v>77.08</v>
      </c>
      <c r="H148" s="18">
        <f t="shared" si="4"/>
        <v>41.437124999999995</v>
      </c>
      <c r="I148" s="5"/>
      <c r="J148" s="17">
        <v>945.06320000000005</v>
      </c>
      <c r="K148" s="18">
        <v>40.676699999999997</v>
      </c>
      <c r="L148" s="18">
        <v>44.919199999999996</v>
      </c>
      <c r="M148" s="18">
        <v>46.110799999999998</v>
      </c>
      <c r="N148" s="18">
        <v>76.452600000000004</v>
      </c>
      <c r="O148" s="18">
        <f t="shared" si="5"/>
        <v>41.886274999999998</v>
      </c>
      <c r="P148" s="7"/>
      <c r="Q148" s="10"/>
      <c r="R148" s="11"/>
      <c r="S148" s="11"/>
      <c r="T148" s="26"/>
      <c r="U148" s="28">
        <f t="shared" si="6"/>
        <v>-8.1395952257394197E-3</v>
      </c>
    </row>
    <row r="149" spans="1:21" x14ac:dyDescent="0.25">
      <c r="B149" s="9"/>
      <c r="C149" s="17">
        <v>730.05</v>
      </c>
      <c r="D149" s="18">
        <v>38.284999999999997</v>
      </c>
      <c r="E149" s="18">
        <v>42.426000000000002</v>
      </c>
      <c r="F149" s="18">
        <v>43.368000000000002</v>
      </c>
      <c r="G149" s="18">
        <v>78.81</v>
      </c>
      <c r="H149" s="18">
        <f t="shared" si="4"/>
        <v>39.437999999999995</v>
      </c>
      <c r="I149" s="5"/>
      <c r="J149" s="17">
        <v>561.14880000000005</v>
      </c>
      <c r="K149" s="18">
        <v>38.765099999999997</v>
      </c>
      <c r="L149" s="18">
        <v>43.37</v>
      </c>
      <c r="M149" s="18">
        <v>44.458199999999998</v>
      </c>
      <c r="N149" s="18">
        <v>96.400999999999996</v>
      </c>
      <c r="O149" s="18">
        <f t="shared" si="5"/>
        <v>40.052349999999997</v>
      </c>
      <c r="P149" s="7"/>
      <c r="Q149" s="10"/>
      <c r="R149" s="11"/>
      <c r="S149" s="11"/>
      <c r="T149" s="26"/>
      <c r="U149" s="28">
        <f t="shared" si="6"/>
        <v>0.22320771475701046</v>
      </c>
    </row>
    <row r="150" spans="1:21" ht="16.5" thickBot="1" x14ac:dyDescent="0.3">
      <c r="B150" s="12"/>
      <c r="C150" s="19">
        <v>355.94</v>
      </c>
      <c r="D150" s="20">
        <v>34.384</v>
      </c>
      <c r="E150" s="20">
        <v>40.411000000000001</v>
      </c>
      <c r="F150" s="20">
        <v>41.348999999999997</v>
      </c>
      <c r="G150" s="20">
        <v>80.81</v>
      </c>
      <c r="H150" s="20">
        <f t="shared" si="4"/>
        <v>36.008000000000003</v>
      </c>
      <c r="I150" s="5"/>
      <c r="J150" s="19">
        <v>278.45119999999997</v>
      </c>
      <c r="K150" s="20">
        <v>35.553899999999999</v>
      </c>
      <c r="L150" s="20">
        <v>41.2393</v>
      </c>
      <c r="M150" s="20">
        <v>42.198999999999998</v>
      </c>
      <c r="N150" s="20">
        <v>131.26230000000001</v>
      </c>
      <c r="O150" s="20">
        <f t="shared" si="5"/>
        <v>37.095212500000002</v>
      </c>
      <c r="P150" s="7"/>
      <c r="Q150" s="13"/>
      <c r="R150" s="14"/>
      <c r="S150" s="14"/>
      <c r="T150" s="27"/>
      <c r="U150" s="28">
        <f t="shared" si="6"/>
        <v>0.62433238460586571</v>
      </c>
    </row>
    <row r="151" spans="1:21" x14ac:dyDescent="0.25">
      <c r="B151" s="6" t="s">
        <v>62</v>
      </c>
      <c r="C151" s="15">
        <v>1971.13</v>
      </c>
      <c r="D151" s="16">
        <v>42.453000000000003</v>
      </c>
      <c r="E151" s="16">
        <v>46.963999999999999</v>
      </c>
      <c r="F151" s="16">
        <v>47.430999999999997</v>
      </c>
      <c r="G151" s="16">
        <v>71.09</v>
      </c>
      <c r="H151" s="16">
        <f t="shared" si="4"/>
        <v>43.639125</v>
      </c>
      <c r="I151" s="5"/>
      <c r="J151" s="15">
        <v>1478.7904000000001</v>
      </c>
      <c r="K151" s="16">
        <v>42.856699999999996</v>
      </c>
      <c r="L151" s="16">
        <v>48.038400000000003</v>
      </c>
      <c r="M151" s="16">
        <v>48.707299999999996</v>
      </c>
      <c r="N151" s="16">
        <v>84.901700000000005</v>
      </c>
      <c r="O151" s="16">
        <f t="shared" si="5"/>
        <v>44.235737499999999</v>
      </c>
      <c r="P151" s="7"/>
      <c r="Q151" s="8">
        <f>bdrate(C151:C154,D151:D154,J151:J154,K151:K154)</f>
        <v>-0.49947515646137264</v>
      </c>
      <c r="R151" s="8">
        <f>bdrate(C151:C154,E151:E154,J151:J154,L151:L154)</f>
        <v>-0.6397229721595612</v>
      </c>
      <c r="S151" s="8">
        <f>bdrate(C151:C154,F151:F154,J151:J154,M151:M154)</f>
        <v>-0.67009515807271058</v>
      </c>
      <c r="T151" s="25">
        <f>bdrate(C151:C154,H151:H154,J151:J154,O151:O154)</f>
        <v>-0.54673621654373483</v>
      </c>
      <c r="U151" s="28">
        <f t="shared" ref="U151:U158" si="7">(N151-G151)/G151</f>
        <v>0.1942847095231397</v>
      </c>
    </row>
    <row r="152" spans="1:21" x14ac:dyDescent="0.25">
      <c r="B152" s="9"/>
      <c r="C152" s="17">
        <v>1296</v>
      </c>
      <c r="D152" s="18">
        <v>41.817</v>
      </c>
      <c r="E152" s="18">
        <v>46.097000000000001</v>
      </c>
      <c r="F152" s="18">
        <v>46.375</v>
      </c>
      <c r="G152" s="18">
        <v>73.819999999999993</v>
      </c>
      <c r="H152" s="18">
        <f t="shared" si="4"/>
        <v>42.921749999999996</v>
      </c>
      <c r="I152" s="5"/>
      <c r="J152" s="17">
        <v>967.19759999999997</v>
      </c>
      <c r="K152" s="18">
        <v>42.414400000000001</v>
      </c>
      <c r="L152" s="18">
        <v>47.526800000000001</v>
      </c>
      <c r="M152" s="18">
        <v>48.171599999999998</v>
      </c>
      <c r="N152" s="18">
        <v>104.76690000000001</v>
      </c>
      <c r="O152" s="18">
        <f t="shared" si="5"/>
        <v>43.773099999999999</v>
      </c>
      <c r="P152" s="7"/>
      <c r="Q152" s="10"/>
      <c r="R152" s="11"/>
      <c r="S152" s="11"/>
      <c r="T152" s="26"/>
      <c r="U152" s="28">
        <f t="shared" si="7"/>
        <v>0.41922107829856431</v>
      </c>
    </row>
    <row r="153" spans="1:21" x14ac:dyDescent="0.25">
      <c r="B153" s="9"/>
      <c r="C153" s="17">
        <v>749.46</v>
      </c>
      <c r="D153" s="18">
        <v>40.634</v>
      </c>
      <c r="E153" s="18">
        <v>44.774000000000001</v>
      </c>
      <c r="F153" s="18">
        <v>45.164999999999999</v>
      </c>
      <c r="G153" s="18">
        <v>75.260000000000005</v>
      </c>
      <c r="H153" s="18">
        <f t="shared" si="4"/>
        <v>41.717874999999999</v>
      </c>
      <c r="I153" s="5"/>
      <c r="J153" s="17">
        <v>572.47360000000003</v>
      </c>
      <c r="K153" s="18">
        <v>41.601599999999998</v>
      </c>
      <c r="L153" s="18">
        <v>46.622</v>
      </c>
      <c r="M153" s="18">
        <v>47.185200000000002</v>
      </c>
      <c r="N153" s="18">
        <v>134.01830000000001</v>
      </c>
      <c r="O153" s="18">
        <f t="shared" si="5"/>
        <v>42.927100000000003</v>
      </c>
      <c r="P153" s="7"/>
      <c r="Q153" s="10"/>
      <c r="R153" s="11"/>
      <c r="S153" s="11"/>
      <c r="T153" s="26"/>
      <c r="U153" s="28">
        <f t="shared" si="7"/>
        <v>0.78073744352909913</v>
      </c>
    </row>
    <row r="154" spans="1:21" ht="16.5" thickBot="1" x14ac:dyDescent="0.3">
      <c r="B154" s="12"/>
      <c r="C154" s="19">
        <v>351.38</v>
      </c>
      <c r="D154" s="20">
        <v>37.978999999999999</v>
      </c>
      <c r="E154" s="20">
        <v>42.415999999999997</v>
      </c>
      <c r="F154" s="20">
        <v>43.392000000000003</v>
      </c>
      <c r="G154" s="20">
        <v>76.319999999999993</v>
      </c>
      <c r="H154" s="20">
        <f t="shared" si="4"/>
        <v>39.210249999999995</v>
      </c>
      <c r="I154" s="5"/>
      <c r="J154" s="19">
        <v>284.35520000000002</v>
      </c>
      <c r="K154" s="20">
        <v>39.691200000000002</v>
      </c>
      <c r="L154" s="20">
        <v>44.634399999999999</v>
      </c>
      <c r="M154" s="20">
        <v>45.165799999999997</v>
      </c>
      <c r="N154" s="20">
        <v>178.83760000000001</v>
      </c>
      <c r="O154" s="20">
        <f t="shared" si="5"/>
        <v>40.993425000000002</v>
      </c>
      <c r="P154" s="7"/>
      <c r="Q154" s="13"/>
      <c r="R154" s="14"/>
      <c r="S154" s="14"/>
      <c r="T154" s="27"/>
      <c r="U154" s="28">
        <f t="shared" si="7"/>
        <v>1.3432599580712792</v>
      </c>
    </row>
    <row r="155" spans="1:21" x14ac:dyDescent="0.25">
      <c r="B155" s="6" t="s">
        <v>63</v>
      </c>
      <c r="C155" s="15">
        <v>2052.06</v>
      </c>
      <c r="D155" s="16">
        <v>42.545000000000002</v>
      </c>
      <c r="E155" s="16">
        <v>46.331000000000003</v>
      </c>
      <c r="F155" s="16">
        <v>46.933999999999997</v>
      </c>
      <c r="G155" s="16">
        <v>68.81</v>
      </c>
      <c r="H155" s="16">
        <f t="shared" si="4"/>
        <v>43.566874999999996</v>
      </c>
      <c r="I155" s="5"/>
      <c r="J155" s="15">
        <v>1511.3928000000001</v>
      </c>
      <c r="K155" s="16">
        <v>42.747799999999998</v>
      </c>
      <c r="L155" s="16">
        <v>47.099899999999998</v>
      </c>
      <c r="M155" s="16">
        <v>47.958599999999997</v>
      </c>
      <c r="N155" s="16">
        <v>76.736199999999997</v>
      </c>
      <c r="O155" s="16">
        <f t="shared" si="5"/>
        <v>43.9431625</v>
      </c>
      <c r="P155" s="7"/>
      <c r="Q155" s="8">
        <f>bdrate(C155:C158,D155:D158,J155:J158,K155:K158)</f>
        <v>-0.38546073375463497</v>
      </c>
      <c r="R155" s="8">
        <f>bdrate(C155:C158,E155:E158,J155:J158,L155:L158)</f>
        <v>-0.54806267668088249</v>
      </c>
      <c r="S155" s="8">
        <f>bdrate(C155:C158,F155:F158,J155:J158,M155:M158)</f>
        <v>-0.55736062085155824</v>
      </c>
      <c r="T155" s="25">
        <f>bdrate(C155:C158,H155:H158,J155:J158,O155:O158)</f>
        <v>-0.43103387138046556</v>
      </c>
      <c r="U155" s="28">
        <f t="shared" si="7"/>
        <v>0.11518965266676347</v>
      </c>
    </row>
    <row r="156" spans="1:21" x14ac:dyDescent="0.25">
      <c r="B156" s="9"/>
      <c r="C156" s="17">
        <v>1353.78</v>
      </c>
      <c r="D156" s="18">
        <v>41.692</v>
      </c>
      <c r="E156" s="18">
        <v>45.226999999999997</v>
      </c>
      <c r="F156" s="18">
        <v>45.95</v>
      </c>
      <c r="G156" s="18">
        <v>71.099999999999994</v>
      </c>
      <c r="H156" s="18">
        <f t="shared" si="4"/>
        <v>42.666124999999994</v>
      </c>
      <c r="I156" s="5"/>
      <c r="J156" s="17">
        <v>985.86239999999998</v>
      </c>
      <c r="K156" s="18">
        <v>41.9985</v>
      </c>
      <c r="L156" s="18">
        <v>46.358400000000003</v>
      </c>
      <c r="M156" s="18">
        <v>47.18</v>
      </c>
      <c r="N156" s="18">
        <v>96.370099999999994</v>
      </c>
      <c r="O156" s="18">
        <f t="shared" si="5"/>
        <v>43.191175000000001</v>
      </c>
      <c r="P156" s="7"/>
      <c r="Q156" s="10"/>
      <c r="R156" s="11"/>
      <c r="S156" s="11"/>
      <c r="T156" s="26"/>
      <c r="U156" s="28">
        <f t="shared" si="7"/>
        <v>0.35541631504922644</v>
      </c>
    </row>
    <row r="157" spans="1:21" x14ac:dyDescent="0.25">
      <c r="B157" s="9"/>
      <c r="C157" s="17">
        <v>794.48</v>
      </c>
      <c r="D157" s="18">
        <v>40.076999999999998</v>
      </c>
      <c r="E157" s="18">
        <v>43.496000000000002</v>
      </c>
      <c r="F157" s="18">
        <v>44.231000000000002</v>
      </c>
      <c r="G157" s="18">
        <v>73.13</v>
      </c>
      <c r="H157" s="18">
        <f t="shared" si="4"/>
        <v>41.023624999999996</v>
      </c>
      <c r="I157" s="5"/>
      <c r="J157" s="17">
        <v>585.68560000000002</v>
      </c>
      <c r="K157" s="18">
        <v>40.635199999999998</v>
      </c>
      <c r="L157" s="18">
        <v>45.018599999999999</v>
      </c>
      <c r="M157" s="18">
        <v>45.758400000000002</v>
      </c>
      <c r="N157" s="18">
        <v>119.40300000000001</v>
      </c>
      <c r="O157" s="18">
        <f t="shared" si="5"/>
        <v>41.823524999999997</v>
      </c>
      <c r="P157" s="7"/>
      <c r="Q157" s="10"/>
      <c r="R157" s="11"/>
      <c r="S157" s="11"/>
      <c r="T157" s="26"/>
      <c r="U157" s="28">
        <f t="shared" si="7"/>
        <v>0.6327498974429101</v>
      </c>
    </row>
    <row r="158" spans="1:21" ht="16.5" thickBot="1" x14ac:dyDescent="0.3">
      <c r="B158" s="12"/>
      <c r="C158" s="19">
        <v>383.81</v>
      </c>
      <c r="D158" s="20">
        <v>36.624000000000002</v>
      </c>
      <c r="E158" s="20">
        <v>41.164999999999999</v>
      </c>
      <c r="F158" s="20">
        <v>41.771000000000001</v>
      </c>
      <c r="G158" s="20">
        <v>74.97</v>
      </c>
      <c r="H158" s="20">
        <f t="shared" si="4"/>
        <v>37.835000000000008</v>
      </c>
      <c r="I158" s="5"/>
      <c r="J158" s="19">
        <v>288.96319999999997</v>
      </c>
      <c r="K158" s="20">
        <v>38.1691</v>
      </c>
      <c r="L158" s="20">
        <v>42.972999999999999</v>
      </c>
      <c r="M158" s="20">
        <v>43.847499999999997</v>
      </c>
      <c r="N158" s="20">
        <v>158.2696</v>
      </c>
      <c r="O158" s="20">
        <f t="shared" si="5"/>
        <v>39.479387500000001</v>
      </c>
      <c r="P158" s="7"/>
      <c r="Q158" s="13"/>
      <c r="R158" s="14"/>
      <c r="S158" s="14"/>
      <c r="T158" s="27"/>
      <c r="U158" s="28">
        <f t="shared" si="7"/>
        <v>1.1111057756435907</v>
      </c>
    </row>
    <row r="159" spans="1:21" ht="16.5" thickBot="1" x14ac:dyDescent="0.3">
      <c r="B159" s="22" t="s">
        <v>22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1">
        <f>AVERAGE(Q87:Q158)</f>
        <v>-0.36832000144763855</v>
      </c>
      <c r="R159" s="21">
        <f>AVERAGE(R87:R158)</f>
        <v>-0.42204911308049087</v>
      </c>
      <c r="S159" s="21">
        <f>AVERAGE(S87:S158)</f>
        <v>-0.42482814819249815</v>
      </c>
      <c r="T159" s="21">
        <f>AVERAGE(T87:T158)</f>
        <v>-0.38152674920901974</v>
      </c>
      <c r="U159" s="21">
        <f>AVERAGE(U87:U158)</f>
        <v>2.0346155857684387E-2</v>
      </c>
    </row>
  </sheetData>
  <mergeCells count="12">
    <mergeCell ref="B83:B84"/>
    <mergeCell ref="C83:U84"/>
    <mergeCell ref="C85:H85"/>
    <mergeCell ref="J85:O85"/>
    <mergeCell ref="Q85:S85"/>
    <mergeCell ref="U85:U8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31" priority="321" operator="greaterThan">
      <formula>0.03</formula>
    </cfRule>
    <cfRule type="cellIs" dxfId="230" priority="322" stopIfTrue="1" operator="lessThan">
      <formula>-0.03</formula>
    </cfRule>
  </conditionalFormatting>
  <conditionalFormatting sqref="Q33:T36">
    <cfRule type="cellIs" dxfId="229" priority="319" operator="greaterThan">
      <formula>0.03</formula>
    </cfRule>
    <cfRule type="cellIs" dxfId="228" priority="320" stopIfTrue="1" operator="lessThan">
      <formula>-0.03</formula>
    </cfRule>
  </conditionalFormatting>
  <conditionalFormatting sqref="Q46:T48 Q62:T64">
    <cfRule type="cellIs" dxfId="227" priority="317" operator="greaterThan">
      <formula>0.03</formula>
    </cfRule>
    <cfRule type="cellIs" dxfId="226" priority="318" stopIfTrue="1" operator="lessThan">
      <formula>-0.03</formula>
    </cfRule>
  </conditionalFormatting>
  <conditionalFormatting sqref="Q50:T52 Q54:T56 Q58:T60">
    <cfRule type="cellIs" dxfId="225" priority="315" operator="greaterThan">
      <formula>0.03</formula>
    </cfRule>
    <cfRule type="cellIs" dxfId="224" priority="316" stopIfTrue="1" operator="lessThan">
      <formula>-0.03</formula>
    </cfRule>
  </conditionalFormatting>
  <conditionalFormatting sqref="Q70:T72 Q74:T76">
    <cfRule type="cellIs" dxfId="223" priority="313" operator="greaterThan">
      <formula>0.03</formula>
    </cfRule>
    <cfRule type="cellIs" dxfId="222" priority="314" stopIfTrue="1" operator="lessThan">
      <formula>-0.03</formula>
    </cfRule>
  </conditionalFormatting>
  <conditionalFormatting sqref="Q66:T68">
    <cfRule type="cellIs" dxfId="221" priority="311" operator="greaterThan">
      <formula>0.03</formula>
    </cfRule>
    <cfRule type="cellIs" dxfId="220" priority="312" stopIfTrue="1" operator="lessThan">
      <formula>-0.03</formula>
    </cfRule>
  </conditionalFormatting>
  <conditionalFormatting sqref="Q78:T80">
    <cfRule type="cellIs" dxfId="219" priority="309" operator="greaterThan">
      <formula>0.03</formula>
    </cfRule>
    <cfRule type="cellIs" dxfId="218" priority="310" stopIfTrue="1" operator="lessThan">
      <formula>-0.03</formula>
    </cfRule>
  </conditionalFormatting>
  <conditionalFormatting sqref="Q21:T28">
    <cfRule type="cellIs" dxfId="217" priority="291" operator="greaterThan">
      <formula>0.03</formula>
    </cfRule>
    <cfRule type="cellIs" dxfId="216" priority="292" stopIfTrue="1" operator="lessThan">
      <formula>-0.03</formula>
    </cfRule>
  </conditionalFormatting>
  <conditionalFormatting sqref="Q107:T110 Q115:T122 Q87:T98">
    <cfRule type="cellIs" dxfId="215" priority="287" operator="greaterThan">
      <formula>0.03</formula>
    </cfRule>
    <cfRule type="cellIs" dxfId="214" priority="288" stopIfTrue="1" operator="lessThan">
      <formula>-0.03</formula>
    </cfRule>
  </conditionalFormatting>
  <conditionalFormatting sqref="Q111:T114">
    <cfRule type="cellIs" dxfId="213" priority="285" operator="greaterThan">
      <formula>0.03</formula>
    </cfRule>
    <cfRule type="cellIs" dxfId="212" priority="286" stopIfTrue="1" operator="lessThan">
      <formula>-0.03</formula>
    </cfRule>
  </conditionalFormatting>
  <conditionalFormatting sqref="Q123:T126 Q139:T142">
    <cfRule type="cellIs" dxfId="211" priority="283" operator="greaterThan">
      <formula>0.03</formula>
    </cfRule>
    <cfRule type="cellIs" dxfId="210" priority="284" stopIfTrue="1" operator="lessThan">
      <formula>-0.03</formula>
    </cfRule>
  </conditionalFormatting>
  <conditionalFormatting sqref="Q127:T138">
    <cfRule type="cellIs" dxfId="209" priority="281" operator="greaterThan">
      <formula>0.03</formula>
    </cfRule>
    <cfRule type="cellIs" dxfId="208" priority="282" stopIfTrue="1" operator="lessThan">
      <formula>-0.03</formula>
    </cfRule>
  </conditionalFormatting>
  <conditionalFormatting sqref="Q147:T154">
    <cfRule type="cellIs" dxfId="207" priority="279" operator="greaterThan">
      <formula>0.03</formula>
    </cfRule>
    <cfRule type="cellIs" dxfId="206" priority="280" stopIfTrue="1" operator="lessThan">
      <formula>-0.03</formula>
    </cfRule>
  </conditionalFormatting>
  <conditionalFormatting sqref="Q143:T146">
    <cfRule type="cellIs" dxfId="205" priority="277" operator="greaterThan">
      <formula>0.03</formula>
    </cfRule>
    <cfRule type="cellIs" dxfId="204" priority="278" stopIfTrue="1" operator="lessThan">
      <formula>-0.03</formula>
    </cfRule>
  </conditionalFormatting>
  <conditionalFormatting sqref="Q155:T158">
    <cfRule type="cellIs" dxfId="203" priority="275" operator="greaterThan">
      <formula>0.03</formula>
    </cfRule>
    <cfRule type="cellIs" dxfId="202" priority="276" stopIfTrue="1" operator="lessThan">
      <formula>-0.03</formula>
    </cfRule>
  </conditionalFormatting>
  <conditionalFormatting sqref="Q99:T106">
    <cfRule type="cellIs" dxfId="201" priority="273" operator="greaterThan">
      <formula>0.03</formula>
    </cfRule>
    <cfRule type="cellIs" dxfId="200" priority="274" stopIfTrue="1" operator="lessThan">
      <formula>-0.03</formula>
    </cfRule>
  </conditionalFormatting>
  <conditionalFormatting sqref="Q45:T45">
    <cfRule type="cellIs" dxfId="199" priority="271" operator="greaterThan">
      <formula>0.03</formula>
    </cfRule>
    <cfRule type="cellIs" dxfId="198" priority="272" stopIfTrue="1" operator="lessThan">
      <formula>-0.03</formula>
    </cfRule>
  </conditionalFormatting>
  <conditionalFormatting sqref="Q49:T49">
    <cfRule type="cellIs" dxfId="197" priority="269" operator="greaterThan">
      <formula>0.03</formula>
    </cfRule>
    <cfRule type="cellIs" dxfId="196" priority="270" stopIfTrue="1" operator="lessThan">
      <formula>-0.03</formula>
    </cfRule>
  </conditionalFormatting>
  <conditionalFormatting sqref="Q53:T53">
    <cfRule type="cellIs" dxfId="195" priority="267" operator="greaterThan">
      <formula>0.03</formula>
    </cfRule>
    <cfRule type="cellIs" dxfId="194" priority="268" stopIfTrue="1" operator="lessThan">
      <formula>-0.03</formula>
    </cfRule>
  </conditionalFormatting>
  <conditionalFormatting sqref="Q57:T57">
    <cfRule type="cellIs" dxfId="193" priority="265" operator="greaterThan">
      <formula>0.03</formula>
    </cfRule>
    <cfRule type="cellIs" dxfId="192" priority="266" stopIfTrue="1" operator="lessThan">
      <formula>-0.03</formula>
    </cfRule>
  </conditionalFormatting>
  <conditionalFormatting sqref="Q61:T61">
    <cfRule type="cellIs" dxfId="191" priority="263" operator="greaterThan">
      <formula>0.03</formula>
    </cfRule>
    <cfRule type="cellIs" dxfId="190" priority="264" stopIfTrue="1" operator="lessThan">
      <formula>-0.03</formula>
    </cfRule>
  </conditionalFormatting>
  <conditionalFormatting sqref="Q65:T65">
    <cfRule type="cellIs" dxfId="189" priority="261" operator="greaterThan">
      <formula>0.03</formula>
    </cfRule>
    <cfRule type="cellIs" dxfId="188" priority="262" stopIfTrue="1" operator="lessThan">
      <formula>-0.03</formula>
    </cfRule>
  </conditionalFormatting>
  <conditionalFormatting sqref="Q69:T69">
    <cfRule type="cellIs" dxfId="187" priority="259" operator="greaterThan">
      <formula>0.03</formula>
    </cfRule>
    <cfRule type="cellIs" dxfId="186" priority="260" stopIfTrue="1" operator="lessThan">
      <formula>-0.03</formula>
    </cfRule>
  </conditionalFormatting>
  <conditionalFormatting sqref="Q73:T73">
    <cfRule type="cellIs" dxfId="185" priority="257" operator="greaterThan">
      <formula>0.03</formula>
    </cfRule>
    <cfRule type="cellIs" dxfId="184" priority="258" stopIfTrue="1" operator="lessThan">
      <formula>-0.03</formula>
    </cfRule>
  </conditionalFormatting>
  <conditionalFormatting sqref="Q77:T77">
    <cfRule type="cellIs" dxfId="183" priority="255" operator="greaterThan">
      <formula>0.03</formula>
    </cfRule>
    <cfRule type="cellIs" dxfId="182" priority="256" stopIfTrue="1" operator="lessThan">
      <formula>-0.03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1"/>
  <sheetViews>
    <sheetView topLeftCell="A71" workbookViewId="0">
      <selection activeCell="A81" sqref="A81:XFD300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129</v>
      </c>
    </row>
    <row r="2" spans="1:21" x14ac:dyDescent="0.25">
      <c r="A2" t="s">
        <v>112</v>
      </c>
    </row>
    <row r="3" spans="1:21" x14ac:dyDescent="0.25">
      <c r="A3" t="s">
        <v>119</v>
      </c>
    </row>
    <row r="4" spans="1:21" x14ac:dyDescent="0.25">
      <c r="A4" t="s">
        <v>111</v>
      </c>
    </row>
    <row r="5" spans="1:21" s="35" customFormat="1" ht="15.75" customHeight="1" x14ac:dyDescent="0.25">
      <c r="B5" s="56" t="s">
        <v>29</v>
      </c>
      <c r="C5" s="58" t="s">
        <v>94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100</v>
      </c>
      <c r="D7" s="65"/>
      <c r="E7" s="65"/>
      <c r="F7" s="65"/>
      <c r="G7" s="65"/>
      <c r="H7" s="65"/>
      <c r="I7" s="5"/>
      <c r="J7" s="64" t="s">
        <v>95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3937.8447999999999</v>
      </c>
      <c r="K9" s="16">
        <v>38.7423</v>
      </c>
      <c r="L9" s="16">
        <v>40.080800000000004</v>
      </c>
      <c r="M9" s="16">
        <v>42.762300000000003</v>
      </c>
      <c r="N9" s="16">
        <v>1.3133999999999999</v>
      </c>
      <c r="O9" s="16">
        <f t="shared" ref="O9:O80" si="1">(6*K9+L9+M9)/8</f>
        <v>39.412112499999999</v>
      </c>
      <c r="P9" s="7"/>
      <c r="Q9" s="8">
        <f>bdrate(C9:C12,D9:D12,J9:J12,K9:K12)</f>
        <v>-0.3626256183303318</v>
      </c>
      <c r="R9" s="8">
        <f>bdrate(C9:C12,E9:E12,J9:J12,L9:L12)</f>
        <v>-0.41314848233850276</v>
      </c>
      <c r="S9" s="8">
        <f>bdrate(C9:C12,F9:F12,J9:J12,M9:M12)</f>
        <v>-0.42395231561978153</v>
      </c>
      <c r="T9" s="25">
        <f>bdrate(C9:C12,H9:H12,J9:J12,O9:O12)</f>
        <v>-0.37298988629960528</v>
      </c>
      <c r="U9" s="28">
        <f t="shared" ref="U9:U72" si="2">(N9-G9)/G9</f>
        <v>0.36812499999999992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1.03</v>
      </c>
      <c r="H10" s="18">
        <f t="shared" si="0"/>
        <v>38.306750000000008</v>
      </c>
      <c r="I10" s="5"/>
      <c r="J10" s="17">
        <v>2887.1039999999998</v>
      </c>
      <c r="K10" s="18">
        <v>37.738</v>
      </c>
      <c r="L10" s="18">
        <v>39.509399999999999</v>
      </c>
      <c r="M10" s="18">
        <v>42.0413</v>
      </c>
      <c r="N10" s="18">
        <v>1.5349999999999999</v>
      </c>
      <c r="O10" s="18">
        <f t="shared" si="1"/>
        <v>38.4973375</v>
      </c>
      <c r="P10" s="7"/>
      <c r="Q10" s="10"/>
      <c r="R10" s="11"/>
      <c r="S10" s="11"/>
      <c r="T10" s="26"/>
      <c r="U10" s="28">
        <f t="shared" si="2"/>
        <v>0.49029126213592222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1.1200000000000001</v>
      </c>
      <c r="H11" s="18">
        <f t="shared" si="0"/>
        <v>36.887249999999995</v>
      </c>
      <c r="I11" s="5"/>
      <c r="J11" s="17">
        <v>1893.7904000000001</v>
      </c>
      <c r="K11" s="18">
        <v>36.299599999999998</v>
      </c>
      <c r="L11" s="18">
        <v>38.765599999999999</v>
      </c>
      <c r="M11" s="18">
        <v>41.178699999999999</v>
      </c>
      <c r="N11" s="18">
        <v>1.8877999999999999</v>
      </c>
      <c r="O11" s="18">
        <f t="shared" si="1"/>
        <v>37.217737499999998</v>
      </c>
      <c r="P11" s="7"/>
      <c r="Q11" s="10"/>
      <c r="R11" s="11"/>
      <c r="S11" s="11"/>
      <c r="T11" s="26"/>
      <c r="U11" s="28">
        <f t="shared" si="2"/>
        <v>0.68553571428571403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1.32</v>
      </c>
      <c r="H12" s="20">
        <f t="shared" si="0"/>
        <v>34.038499999999999</v>
      </c>
      <c r="I12" s="5"/>
      <c r="J12" s="19">
        <v>908.80960000000005</v>
      </c>
      <c r="K12" s="20">
        <v>33.529899999999998</v>
      </c>
      <c r="L12" s="20">
        <v>37.147599999999997</v>
      </c>
      <c r="M12" s="20">
        <v>39.439500000000002</v>
      </c>
      <c r="N12" s="20">
        <v>2.7294999999999998</v>
      </c>
      <c r="O12" s="20">
        <f t="shared" si="1"/>
        <v>34.720812500000001</v>
      </c>
      <c r="P12" s="7"/>
      <c r="Q12" s="13"/>
      <c r="R12" s="14"/>
      <c r="S12" s="14"/>
      <c r="T12" s="27"/>
      <c r="U12" s="28">
        <f t="shared" si="2"/>
        <v>1.0678030303030301</v>
      </c>
    </row>
    <row r="13" spans="1:21" x14ac:dyDescent="0.25">
      <c r="B13" s="6" t="s">
        <v>47</v>
      </c>
      <c r="C13" s="15">
        <v>6793.65</v>
      </c>
      <c r="D13" s="16">
        <v>30.731999999999999</v>
      </c>
      <c r="E13" s="16">
        <v>40.463000000000001</v>
      </c>
      <c r="F13" s="16">
        <v>41.128</v>
      </c>
      <c r="G13" s="16">
        <v>0.82</v>
      </c>
      <c r="H13" s="16">
        <f t="shared" si="0"/>
        <v>33.247875000000001</v>
      </c>
      <c r="I13" s="5"/>
      <c r="J13" s="15">
        <v>4092.6095999999998</v>
      </c>
      <c r="K13" s="16">
        <v>30.3203</v>
      </c>
      <c r="L13" s="16">
        <v>40.346800000000002</v>
      </c>
      <c r="M13" s="16">
        <v>41.272199999999998</v>
      </c>
      <c r="N13" s="16">
        <v>0.94169999999999998</v>
      </c>
      <c r="O13" s="16">
        <f t="shared" si="1"/>
        <v>32.942599999999999</v>
      </c>
      <c r="P13" s="7"/>
      <c r="Q13" s="8">
        <f>bdrate(C13:C16,D13:D16,J13:J16,K13:K16)</f>
        <v>-0.40471210909774591</v>
      </c>
      <c r="R13" s="8">
        <f>bdrate(C13:C16,E13:E16,J13:J16,L13:L16)</f>
        <v>-0.27949573511773251</v>
      </c>
      <c r="S13" s="8">
        <f>bdrate(C13:C16,F13:F16,J13:J16,M13:M16)</f>
        <v>-0.3850837894759449</v>
      </c>
      <c r="T13" s="25">
        <f>bdrate(C13:C16,H13:H16,J13:J16,O13:O16)</f>
        <v>-0.39920115391198219</v>
      </c>
      <c r="U13" s="28">
        <f t="shared" si="2"/>
        <v>0.14841463414634151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0.91</v>
      </c>
      <c r="H14" s="18">
        <f t="shared" si="0"/>
        <v>31.978249999999999</v>
      </c>
      <c r="I14" s="5"/>
      <c r="J14" s="17">
        <v>3042.9184</v>
      </c>
      <c r="K14" s="18">
        <v>28.99</v>
      </c>
      <c r="L14" s="18">
        <v>39.687899999999999</v>
      </c>
      <c r="M14" s="18">
        <v>40.700800000000001</v>
      </c>
      <c r="N14" s="18">
        <v>1.0786</v>
      </c>
      <c r="O14" s="18">
        <f t="shared" si="1"/>
        <v>31.791087500000003</v>
      </c>
      <c r="P14" s="7"/>
      <c r="Q14" s="10"/>
      <c r="R14" s="11"/>
      <c r="S14" s="11"/>
      <c r="T14" s="26"/>
      <c r="U14" s="28">
        <f t="shared" si="2"/>
        <v>0.18527472527472524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1.06</v>
      </c>
      <c r="H15" s="18">
        <f t="shared" si="0"/>
        <v>30.218250000000001</v>
      </c>
      <c r="I15" s="5"/>
      <c r="J15" s="17">
        <v>2022.768</v>
      </c>
      <c r="K15" s="18">
        <v>27.183900000000001</v>
      </c>
      <c r="L15" s="18">
        <v>38.722499999999997</v>
      </c>
      <c r="M15" s="18">
        <v>39.841799999999999</v>
      </c>
      <c r="N15" s="18">
        <v>1.302</v>
      </c>
      <c r="O15" s="18">
        <f t="shared" si="1"/>
        <v>30.208462500000003</v>
      </c>
      <c r="P15" s="7"/>
      <c r="Q15" s="10"/>
      <c r="R15" s="11"/>
      <c r="S15" s="11"/>
      <c r="T15" s="26"/>
      <c r="U15" s="28">
        <f t="shared" si="2"/>
        <v>0.22830188679245281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1.26</v>
      </c>
      <c r="H16" s="20">
        <f t="shared" si="0"/>
        <v>27.26275</v>
      </c>
      <c r="I16" s="5"/>
      <c r="J16" s="19">
        <v>1310.8384000000001</v>
      </c>
      <c r="K16" s="20">
        <v>25.706800000000001</v>
      </c>
      <c r="L16" s="20">
        <v>37.392099999999999</v>
      </c>
      <c r="M16" s="20">
        <v>38.635899999999999</v>
      </c>
      <c r="N16" s="20">
        <v>1.4954000000000001</v>
      </c>
      <c r="O16" s="20">
        <f t="shared" si="1"/>
        <v>28.7836</v>
      </c>
      <c r="P16" s="7"/>
      <c r="Q16" s="13"/>
      <c r="R16" s="14"/>
      <c r="S16" s="14"/>
      <c r="T16" s="27"/>
      <c r="U16" s="28">
        <f t="shared" si="2"/>
        <v>0.18682539682539687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1.24</v>
      </c>
      <c r="H17" s="16">
        <f t="shared" si="0"/>
        <v>40.133249999999997</v>
      </c>
      <c r="I17" s="5"/>
      <c r="J17" s="15">
        <v>2407.8519999999999</v>
      </c>
      <c r="K17" s="16">
        <v>39.756300000000003</v>
      </c>
      <c r="L17" s="16">
        <v>42.372199999999999</v>
      </c>
      <c r="M17" s="16">
        <v>43.964100000000002</v>
      </c>
      <c r="N17" s="16">
        <v>1.8070999999999999</v>
      </c>
      <c r="O17" s="16">
        <f t="shared" si="1"/>
        <v>40.6092625</v>
      </c>
      <c r="P17" s="7"/>
      <c r="Q17" s="8">
        <f>bdrate(C17:C20,D17:D20,J17:J20,K17:K20)</f>
        <v>-0.37568728309263777</v>
      </c>
      <c r="R17" s="8">
        <f>bdrate(C17:C20,E17:E20,J17:J20,L17:L20)</f>
        <v>-0.38633835058735644</v>
      </c>
      <c r="S17" s="8">
        <f>bdrate(C17:C20,F17:F20,J17:J20,M17:M20)</f>
        <v>-0.4858429812382784</v>
      </c>
      <c r="T17" s="25">
        <f>bdrate(C17:C20,H17:H20,J17:J20,O17:O20)</f>
        <v>-0.38587447396893082</v>
      </c>
      <c r="U17" s="28">
        <f t="shared" si="2"/>
        <v>0.4573387096774193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1.39</v>
      </c>
      <c r="H18" s="18">
        <f t="shared" si="0"/>
        <v>38.868500000000004</v>
      </c>
      <c r="I18" s="5"/>
      <c r="J18" s="17">
        <v>1578.1992</v>
      </c>
      <c r="K18" s="18">
        <v>38.547899999999998</v>
      </c>
      <c r="L18" s="18">
        <v>41.709899999999998</v>
      </c>
      <c r="M18" s="18">
        <v>43.134</v>
      </c>
      <c r="N18" s="18">
        <v>2.2368000000000001</v>
      </c>
      <c r="O18" s="18">
        <f t="shared" si="1"/>
        <v>39.516412500000001</v>
      </c>
      <c r="P18" s="7"/>
      <c r="Q18" s="10"/>
      <c r="R18" s="11"/>
      <c r="S18" s="11"/>
      <c r="T18" s="26"/>
      <c r="U18" s="28">
        <f t="shared" si="2"/>
        <v>0.60920863309352535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1.64</v>
      </c>
      <c r="H19" s="18">
        <f t="shared" si="0"/>
        <v>37.234250000000003</v>
      </c>
      <c r="I19" s="5"/>
      <c r="J19" s="17">
        <v>967.37599999999998</v>
      </c>
      <c r="K19" s="18">
        <v>36.999099999999999</v>
      </c>
      <c r="L19" s="18">
        <v>40.83</v>
      </c>
      <c r="M19" s="18">
        <v>42.124299999999998</v>
      </c>
      <c r="N19" s="18">
        <v>2.8104</v>
      </c>
      <c r="O19" s="18">
        <f t="shared" si="1"/>
        <v>38.118612499999998</v>
      </c>
      <c r="P19" s="7"/>
      <c r="Q19" s="10"/>
      <c r="R19" s="11"/>
      <c r="S19" s="11"/>
      <c r="T19" s="26"/>
      <c r="U19" s="28">
        <f t="shared" si="2"/>
        <v>0.71365853658536593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552.76639999999998</v>
      </c>
      <c r="K20" s="20">
        <v>35.1569</v>
      </c>
      <c r="L20" s="20">
        <v>40.012900000000002</v>
      </c>
      <c r="M20" s="20">
        <v>41.293100000000003</v>
      </c>
      <c r="N20" s="20">
        <v>3.681</v>
      </c>
      <c r="O20" s="20">
        <f t="shared" si="1"/>
        <v>36.530924999999996</v>
      </c>
      <c r="P20" s="7"/>
      <c r="Q20" s="13"/>
      <c r="R20" s="14"/>
      <c r="S20" s="14"/>
      <c r="T20" s="27"/>
      <c r="U20" s="28">
        <f t="shared" si="2"/>
        <v>0.74454976303317544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1.26</v>
      </c>
      <c r="H21" s="16">
        <f t="shared" si="0"/>
        <v>37.809625000000004</v>
      </c>
      <c r="I21" s="5"/>
      <c r="J21" s="15">
        <v>2499.9672</v>
      </c>
      <c r="K21" s="16">
        <v>36.873600000000003</v>
      </c>
      <c r="L21" s="16">
        <v>40.645400000000002</v>
      </c>
      <c r="M21" s="16">
        <v>41.910600000000002</v>
      </c>
      <c r="N21" s="16">
        <v>2.0514999999999999</v>
      </c>
      <c r="O21" s="16">
        <f t="shared" si="1"/>
        <v>37.974699999999999</v>
      </c>
      <c r="P21" s="7"/>
      <c r="Q21" s="8">
        <f>bdrate(C21:C24,D21:D24,J21:J24,K21:K24)</f>
        <v>-0.28613937306817394</v>
      </c>
      <c r="R21" s="8">
        <f>bdrate(C21:C24,E21:E24,J21:J24,L21:L24)</f>
        <v>-0.48366097905388539</v>
      </c>
      <c r="S21" s="8">
        <f>bdrate(C21:C24,F21:F24,J21:J24,M21:M24)</f>
        <v>-0.48566449604070538</v>
      </c>
      <c r="T21" s="25">
        <f>bdrate(C21:C24,H21:H24,J21:J24,O21:O24)</f>
        <v>-0.32218527639937999</v>
      </c>
      <c r="U21" s="28">
        <f t="shared" si="2"/>
        <v>0.62817460317460305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1.37</v>
      </c>
      <c r="H22" s="18">
        <f t="shared" si="0"/>
        <v>36.568000000000005</v>
      </c>
      <c r="I22" s="5"/>
      <c r="J22" s="17">
        <v>1647.876</v>
      </c>
      <c r="K22" s="18">
        <v>35.559600000000003</v>
      </c>
      <c r="L22" s="18">
        <v>39.738900000000001</v>
      </c>
      <c r="M22" s="18">
        <v>40.939700000000002</v>
      </c>
      <c r="N22" s="18">
        <v>2.4653999999999998</v>
      </c>
      <c r="O22" s="18">
        <f t="shared" si="1"/>
        <v>36.754525000000001</v>
      </c>
      <c r="P22" s="7"/>
      <c r="Q22" s="10"/>
      <c r="R22" s="11"/>
      <c r="S22" s="11"/>
      <c r="T22" s="26"/>
      <c r="U22" s="28">
        <f t="shared" si="2"/>
        <v>0.79956204379562013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1.52</v>
      </c>
      <c r="H23" s="18">
        <f t="shared" si="0"/>
        <v>35.087874999999997</v>
      </c>
      <c r="I23" s="5"/>
      <c r="J23" s="17">
        <v>1017.9648</v>
      </c>
      <c r="K23" s="18">
        <v>34.010899999999999</v>
      </c>
      <c r="L23" s="18">
        <v>38.704599999999999</v>
      </c>
      <c r="M23" s="18">
        <v>39.967199999999998</v>
      </c>
      <c r="N23" s="18">
        <v>3.0718999999999999</v>
      </c>
      <c r="O23" s="18">
        <f t="shared" si="1"/>
        <v>35.342150000000004</v>
      </c>
      <c r="P23" s="7"/>
      <c r="Q23" s="10"/>
      <c r="R23" s="11"/>
      <c r="S23" s="11"/>
      <c r="T23" s="26"/>
      <c r="U23" s="28">
        <f t="shared" si="2"/>
        <v>1.020986842105263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592.32479999999998</v>
      </c>
      <c r="K24" s="20">
        <v>32.337499999999999</v>
      </c>
      <c r="L24" s="20">
        <v>37.587699999999998</v>
      </c>
      <c r="M24" s="20">
        <v>39.086599999999997</v>
      </c>
      <c r="N24" s="20">
        <v>3.9803999999999999</v>
      </c>
      <c r="O24" s="20">
        <f t="shared" si="1"/>
        <v>33.837412499999992</v>
      </c>
      <c r="P24" s="7"/>
      <c r="Q24" s="13"/>
      <c r="R24" s="14"/>
      <c r="S24" s="14"/>
      <c r="T24" s="27"/>
      <c r="U24" s="28">
        <f t="shared" si="2"/>
        <v>1.2488135593220338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1.58</v>
      </c>
      <c r="H25" s="16">
        <f t="shared" si="0"/>
        <v>36.101999999999997</v>
      </c>
      <c r="I25" s="5"/>
      <c r="J25" s="15">
        <v>2404.6511999999998</v>
      </c>
      <c r="K25" s="16">
        <v>35.221600000000002</v>
      </c>
      <c r="L25" s="16">
        <v>38.552799999999998</v>
      </c>
      <c r="M25" s="16">
        <v>40.9298</v>
      </c>
      <c r="N25" s="16">
        <v>2.8671000000000002</v>
      </c>
      <c r="O25" s="16">
        <f t="shared" si="1"/>
        <v>36.351525000000002</v>
      </c>
      <c r="P25" s="7"/>
      <c r="Q25" s="8">
        <f>bdrate(C25:C28,D25:D28,J25:J28,K25:K28)</f>
        <v>-0.42575598660066682</v>
      </c>
      <c r="R25" s="8">
        <f>bdrate(C25:C28,E25:E28,J25:J28,L25:L28)</f>
        <v>-0.44871549555038137</v>
      </c>
      <c r="S25" s="8">
        <f>bdrate(C25:C28,F25:F28,J25:J28,M25:M28)</f>
        <v>-0.48953181610530527</v>
      </c>
      <c r="T25" s="25">
        <f>bdrate(C25:C28,H25:H28,J25:J28,O25:O28)</f>
        <v>-0.43525919901959287</v>
      </c>
      <c r="U25" s="28">
        <f t="shared" si="2"/>
        <v>0.814620253164557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1599.6759999999999</v>
      </c>
      <c r="K26" s="18">
        <v>34.088299999999997</v>
      </c>
      <c r="L26" s="18">
        <v>38.096600000000002</v>
      </c>
      <c r="M26" s="18">
        <v>39.950099999999999</v>
      </c>
      <c r="N26" s="18">
        <v>3.4803000000000002</v>
      </c>
      <c r="O26" s="18">
        <f t="shared" si="1"/>
        <v>35.322062499999994</v>
      </c>
      <c r="P26" s="7"/>
      <c r="Q26" s="10"/>
      <c r="R26" s="11"/>
      <c r="S26" s="11"/>
      <c r="T26" s="26"/>
      <c r="U26" s="28">
        <f t="shared" si="2"/>
        <v>0.9122527472527473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2.12</v>
      </c>
      <c r="H27" s="18">
        <f t="shared" si="0"/>
        <v>33.212875000000004</v>
      </c>
      <c r="I27" s="5"/>
      <c r="J27" s="17">
        <v>996.91840000000002</v>
      </c>
      <c r="K27" s="18">
        <v>32.512900000000002</v>
      </c>
      <c r="L27" s="18">
        <v>37.369900000000001</v>
      </c>
      <c r="M27" s="18">
        <v>38.705500000000001</v>
      </c>
      <c r="N27" s="18">
        <v>4.2694999999999999</v>
      </c>
      <c r="O27" s="18">
        <f t="shared" si="1"/>
        <v>33.894100000000002</v>
      </c>
      <c r="P27" s="7"/>
      <c r="Q27" s="10"/>
      <c r="R27" s="11"/>
      <c r="S27" s="11"/>
      <c r="T27" s="26"/>
      <c r="U27" s="28">
        <f t="shared" si="2"/>
        <v>1.0139150943396225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2.71</v>
      </c>
      <c r="H28" s="20">
        <f t="shared" si="0"/>
        <v>31.292625000000001</v>
      </c>
      <c r="I28" s="5"/>
      <c r="J28" s="19">
        <v>584.38480000000004</v>
      </c>
      <c r="K28" s="20">
        <v>30.715599999999998</v>
      </c>
      <c r="L28" s="20">
        <v>36.481200000000001</v>
      </c>
      <c r="M28" s="20">
        <v>37.341299999999997</v>
      </c>
      <c r="N28" s="20">
        <v>5.5216000000000003</v>
      </c>
      <c r="O28" s="20">
        <f t="shared" si="1"/>
        <v>32.264512500000002</v>
      </c>
      <c r="P28" s="7"/>
      <c r="Q28" s="13"/>
      <c r="R28" s="14"/>
      <c r="S28" s="14"/>
      <c r="T28" s="27"/>
      <c r="U28" s="28">
        <f t="shared" si="2"/>
        <v>1.0374907749077491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2412.6464000000001</v>
      </c>
      <c r="K29" s="30">
        <v>34.960900000000002</v>
      </c>
      <c r="L29" s="30">
        <v>40.945799999999998</v>
      </c>
      <c r="M29" s="30">
        <v>40.484200000000001</v>
      </c>
      <c r="N29" s="16">
        <v>2.4148000000000001</v>
      </c>
      <c r="O29" s="16">
        <f t="shared" si="1"/>
        <v>36.399425000000001</v>
      </c>
      <c r="P29" s="7"/>
      <c r="Q29" s="8">
        <f>bdrate(C29:C32,D29:D32,J29:J32,K29:K32)</f>
        <v>-0.48368246361314626</v>
      </c>
      <c r="R29" s="8">
        <f>bdrate(C29:C32,E29:E32,J29:J32,L29:L32)</f>
        <v>-0.55598920165673815</v>
      </c>
      <c r="S29" s="8">
        <f>bdrate(C29:C32,F29:F32,J29:J32,M29:M32)</f>
        <v>-0.42759502224108537</v>
      </c>
      <c r="T29" s="25">
        <f>bdrate(C29:C32,H29:H32,J29:J32,O29:O32)</f>
        <v>-0.48658723825741323</v>
      </c>
      <c r="U29" s="28">
        <f t="shared" si="2"/>
        <v>0.87193798449612403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1.55</v>
      </c>
      <c r="H30" s="18">
        <f t="shared" si="0"/>
        <v>34.457999999999998</v>
      </c>
      <c r="I30" s="5"/>
      <c r="J30" s="31">
        <v>1606.9960000000001</v>
      </c>
      <c r="K30" s="32">
        <v>33.686300000000003</v>
      </c>
      <c r="L30" s="32">
        <v>40.112000000000002</v>
      </c>
      <c r="M30" s="32">
        <v>39.232900000000001</v>
      </c>
      <c r="N30" s="18">
        <v>2.8872</v>
      </c>
      <c r="O30" s="18">
        <f t="shared" si="1"/>
        <v>35.182837500000005</v>
      </c>
      <c r="P30" s="7"/>
      <c r="Q30" s="10"/>
      <c r="R30" s="11"/>
      <c r="S30" s="11"/>
      <c r="T30" s="26"/>
      <c r="U30" s="28">
        <f t="shared" si="2"/>
        <v>0.86270967741935478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2.14</v>
      </c>
      <c r="H31" s="18">
        <f t="shared" si="0"/>
        <v>32.370375000000003</v>
      </c>
      <c r="I31" s="5"/>
      <c r="J31" s="31">
        <v>1003.5088</v>
      </c>
      <c r="K31" s="32">
        <v>32.110300000000002</v>
      </c>
      <c r="L31" s="32">
        <v>39.1372</v>
      </c>
      <c r="M31" s="32">
        <v>37.801900000000003</v>
      </c>
      <c r="N31" s="18">
        <v>3.5371000000000001</v>
      </c>
      <c r="O31" s="18">
        <f t="shared" si="1"/>
        <v>33.700112500000003</v>
      </c>
      <c r="P31" s="7"/>
      <c r="Q31" s="10"/>
      <c r="R31" s="11"/>
      <c r="S31" s="11"/>
      <c r="T31" s="26"/>
      <c r="U31" s="28">
        <f t="shared" si="2"/>
        <v>0.65285046728971963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3.06</v>
      </c>
      <c r="H32" s="20">
        <f t="shared" si="0"/>
        <v>29.674750000000003</v>
      </c>
      <c r="I32" s="5"/>
      <c r="J32" s="33">
        <v>598.73360000000002</v>
      </c>
      <c r="K32" s="34">
        <v>30.299600000000002</v>
      </c>
      <c r="L32" s="34">
        <v>37.834499999999998</v>
      </c>
      <c r="M32" s="34">
        <v>36.197600000000001</v>
      </c>
      <c r="N32" s="20">
        <v>4.6223000000000001</v>
      </c>
      <c r="O32" s="20">
        <f t="shared" si="1"/>
        <v>31.9787125</v>
      </c>
      <c r="P32" s="7"/>
      <c r="Q32" s="13"/>
      <c r="R32" s="14"/>
      <c r="S32" s="14"/>
      <c r="T32" s="27"/>
      <c r="U32" s="28">
        <f t="shared" si="2"/>
        <v>0.51055555555555554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1.31</v>
      </c>
      <c r="H33" s="16">
        <f t="shared" si="0"/>
        <v>35.568125000000002</v>
      </c>
      <c r="I33" s="5"/>
      <c r="J33" s="15">
        <v>2436.3847999999998</v>
      </c>
      <c r="K33" s="16">
        <v>34.175800000000002</v>
      </c>
      <c r="L33" s="16">
        <v>40.224699999999999</v>
      </c>
      <c r="M33" s="16">
        <v>42.692300000000003</v>
      </c>
      <c r="N33" s="16">
        <v>3.1785999999999999</v>
      </c>
      <c r="O33" s="16">
        <f t="shared" si="1"/>
        <v>35.996474999999997</v>
      </c>
      <c r="P33" s="7"/>
      <c r="Q33" s="8">
        <f>bdrate(C33:C36,D33:D36,J33:J36,K33:K36)</f>
        <v>-0.47093981955354924</v>
      </c>
      <c r="R33" s="8">
        <f>bdrate(C33:C36,E33:E36,J33:J36,L33:L36)</f>
        <v>-0.54848763578442872</v>
      </c>
      <c r="S33" s="8">
        <f>bdrate(C33:C36,F33:F36,J33:J36,M33:M36)</f>
        <v>-0.5170794130021934</v>
      </c>
      <c r="T33" s="25">
        <f>bdrate(C33:C36,H33:H36,J33:J36,O33:O36)</f>
        <v>-0.48386984329097549</v>
      </c>
      <c r="U33" s="28">
        <f t="shared" si="2"/>
        <v>1.4264122137404578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1.47</v>
      </c>
      <c r="H34" s="18">
        <f t="shared" si="0"/>
        <v>34.862499999999997</v>
      </c>
      <c r="I34" s="5"/>
      <c r="J34" s="17">
        <v>1583.3520000000001</v>
      </c>
      <c r="K34" s="18">
        <v>33.506900000000002</v>
      </c>
      <c r="L34" s="18">
        <v>39.719900000000003</v>
      </c>
      <c r="M34" s="18">
        <v>42.255600000000001</v>
      </c>
      <c r="N34" s="18">
        <v>3.9297</v>
      </c>
      <c r="O34" s="18">
        <f t="shared" si="1"/>
        <v>35.377112500000003</v>
      </c>
      <c r="P34" s="7"/>
      <c r="Q34" s="10"/>
      <c r="R34" s="11"/>
      <c r="S34" s="11"/>
      <c r="T34" s="26"/>
      <c r="U34" s="28">
        <f t="shared" si="2"/>
        <v>1.6732653061224489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1.79</v>
      </c>
      <c r="H35" s="18">
        <f t="shared" si="0"/>
        <v>33.743375</v>
      </c>
      <c r="I35" s="5"/>
      <c r="J35" s="17">
        <v>984.52480000000003</v>
      </c>
      <c r="K35" s="18">
        <v>32.517299999999999</v>
      </c>
      <c r="L35" s="18">
        <v>38.916899999999998</v>
      </c>
      <c r="M35" s="18">
        <v>41.487299999999998</v>
      </c>
      <c r="N35" s="18">
        <v>5.2003000000000004</v>
      </c>
      <c r="O35" s="18">
        <f t="shared" si="1"/>
        <v>34.438499999999998</v>
      </c>
      <c r="P35" s="7"/>
      <c r="Q35" s="10"/>
      <c r="R35" s="11"/>
      <c r="S35" s="11"/>
      <c r="T35" s="26"/>
      <c r="U35" s="28">
        <f t="shared" si="2"/>
        <v>1.9051955307262571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600.58960000000002</v>
      </c>
      <c r="K36" s="20">
        <v>31.071999999999999</v>
      </c>
      <c r="L36" s="20">
        <v>38.157299999999999</v>
      </c>
      <c r="M36" s="20">
        <v>40.738500000000002</v>
      </c>
      <c r="N36" s="20">
        <v>7.2744</v>
      </c>
      <c r="O36" s="20">
        <f t="shared" si="1"/>
        <v>33.165974999999996</v>
      </c>
      <c r="P36" s="7"/>
      <c r="Q36" s="13"/>
      <c r="R36" s="14"/>
      <c r="S36" s="14"/>
      <c r="T36" s="27"/>
      <c r="U36" s="28">
        <f t="shared" si="2"/>
        <v>2.1905263157894743</v>
      </c>
    </row>
    <row r="37" spans="1:21" x14ac:dyDescent="0.25">
      <c r="A37" s="6" t="s">
        <v>39</v>
      </c>
      <c r="B37" s="6" t="s">
        <v>53</v>
      </c>
      <c r="C37" s="15">
        <v>1552.54</v>
      </c>
      <c r="D37" s="16">
        <v>36.021000000000001</v>
      </c>
      <c r="E37" s="16">
        <v>39.420999999999999</v>
      </c>
      <c r="F37" s="16">
        <v>39.347000000000001</v>
      </c>
      <c r="G37" s="16">
        <v>6.78</v>
      </c>
      <c r="H37" s="16">
        <f t="shared" si="0"/>
        <v>36.861750000000001</v>
      </c>
      <c r="I37" s="5"/>
      <c r="J37" s="15">
        <v>1242.2927999999999</v>
      </c>
      <c r="K37" s="16">
        <v>36.895899999999997</v>
      </c>
      <c r="L37" s="16">
        <v>40.6404</v>
      </c>
      <c r="M37" s="16">
        <v>40.640799999999999</v>
      </c>
      <c r="N37" s="16">
        <v>6.4558</v>
      </c>
      <c r="O37" s="16">
        <f t="shared" si="1"/>
        <v>37.832075000000003</v>
      </c>
      <c r="P37" s="7"/>
      <c r="Q37" s="8">
        <f>bdrate(C37:C40,D37:D40,J37:J40,K37:K40)</f>
        <v>-0.33483035669241556</v>
      </c>
      <c r="R37" s="8">
        <f>bdrate(C37:C40,E37:E40,J37:J40,L37:L40)</f>
        <v>-0.42540908150211976</v>
      </c>
      <c r="S37" s="8">
        <f>bdrate(C37:C40,F37:F40,J37:J40,M37:M40)</f>
        <v>-0.40101558174944629</v>
      </c>
      <c r="T37" s="25">
        <f>bdrate(C37:C40,H37:H40,J37:J40,O37:O40)</f>
        <v>-0.35250999891448531</v>
      </c>
      <c r="U37" s="28">
        <f t="shared" si="2"/>
        <v>-4.7817109144542812E-2</v>
      </c>
    </row>
    <row r="38" spans="1:21" x14ac:dyDescent="0.25">
      <c r="A38" s="9" t="s">
        <v>40</v>
      </c>
      <c r="B38" s="9"/>
      <c r="C38" s="17">
        <v>1036.72</v>
      </c>
      <c r="D38" s="18">
        <v>34.387999999999998</v>
      </c>
      <c r="E38" s="18">
        <v>37.960999999999999</v>
      </c>
      <c r="F38" s="18">
        <v>37.779000000000003</v>
      </c>
      <c r="G38" s="18">
        <v>7.69</v>
      </c>
      <c r="H38" s="18">
        <f t="shared" si="0"/>
        <v>35.258499999999998</v>
      </c>
      <c r="I38" s="5"/>
      <c r="J38" s="17">
        <v>825.7056</v>
      </c>
      <c r="K38" s="18">
        <v>35.072899999999997</v>
      </c>
      <c r="L38" s="18">
        <v>39.146799999999999</v>
      </c>
      <c r="M38" s="18">
        <v>38.954700000000003</v>
      </c>
      <c r="N38" s="18">
        <v>7.6363000000000003</v>
      </c>
      <c r="O38" s="18">
        <f t="shared" si="1"/>
        <v>36.067362499999994</v>
      </c>
      <c r="P38" s="7"/>
      <c r="Q38" s="10"/>
      <c r="R38" s="11"/>
      <c r="S38" s="11"/>
      <c r="T38" s="26"/>
      <c r="U38" s="28">
        <f t="shared" si="2"/>
        <v>-6.983094928478554E-3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9.32</v>
      </c>
      <c r="H39" s="18">
        <f t="shared" si="0"/>
        <v>33.387125000000005</v>
      </c>
      <c r="I39" s="5"/>
      <c r="J39" s="17">
        <v>514.78160000000003</v>
      </c>
      <c r="K39" s="18">
        <v>33.133600000000001</v>
      </c>
      <c r="L39" s="18">
        <v>37.5334</v>
      </c>
      <c r="M39" s="18">
        <v>37.1569</v>
      </c>
      <c r="N39" s="18">
        <v>9.2408999999999999</v>
      </c>
      <c r="O39" s="18">
        <f t="shared" si="1"/>
        <v>34.186487499999998</v>
      </c>
      <c r="P39" s="7"/>
      <c r="Q39" s="10"/>
      <c r="R39" s="11"/>
      <c r="S39" s="11"/>
      <c r="T39" s="26"/>
      <c r="U39" s="28">
        <f t="shared" si="2"/>
        <v>-8.4871244635193552E-3</v>
      </c>
    </row>
    <row r="40" spans="1:21" ht="16.5" thickBot="1" x14ac:dyDescent="0.3">
      <c r="B40" s="12"/>
      <c r="C40" s="19">
        <v>383.21</v>
      </c>
      <c r="D40" s="20">
        <v>29.995000000000001</v>
      </c>
      <c r="E40" s="20">
        <v>35.249000000000002</v>
      </c>
      <c r="F40" s="20">
        <v>34.692</v>
      </c>
      <c r="G40" s="20">
        <v>12.43</v>
      </c>
      <c r="H40" s="20">
        <f t="shared" si="0"/>
        <v>31.238875</v>
      </c>
      <c r="I40" s="5"/>
      <c r="J40" s="19">
        <v>309.38639999999998</v>
      </c>
      <c r="K40" s="20">
        <v>31.194099999999999</v>
      </c>
      <c r="L40" s="20">
        <v>35.896900000000002</v>
      </c>
      <c r="M40" s="20">
        <v>35.366799999999998</v>
      </c>
      <c r="N40" s="20">
        <v>11.666399999999999</v>
      </c>
      <c r="O40" s="20">
        <f t="shared" si="1"/>
        <v>32.303537500000004</v>
      </c>
      <c r="P40" s="7"/>
      <c r="Q40" s="13"/>
      <c r="R40" s="14"/>
      <c r="S40" s="14"/>
      <c r="T40" s="27"/>
      <c r="U40" s="28">
        <f t="shared" si="2"/>
        <v>-6.1432019308125529E-2</v>
      </c>
    </row>
    <row r="41" spans="1:21" x14ac:dyDescent="0.25">
      <c r="B41" s="6" t="s">
        <v>54</v>
      </c>
      <c r="C41" s="15">
        <v>1584.93</v>
      </c>
      <c r="D41" s="16">
        <v>36.213000000000001</v>
      </c>
      <c r="E41" s="16">
        <v>40.371000000000002</v>
      </c>
      <c r="F41" s="16">
        <v>41.237000000000002</v>
      </c>
      <c r="G41" s="16">
        <v>7.39</v>
      </c>
      <c r="H41" s="16">
        <f t="shared" si="0"/>
        <v>37.360750000000003</v>
      </c>
      <c r="I41" s="5"/>
      <c r="J41" s="15">
        <v>1253.6792</v>
      </c>
      <c r="K41" s="16">
        <v>36.573099999999997</v>
      </c>
      <c r="L41" s="16">
        <v>41.508400000000002</v>
      </c>
      <c r="M41" s="16">
        <v>42.517800000000001</v>
      </c>
      <c r="N41" s="16">
        <v>7.7398999999999996</v>
      </c>
      <c r="O41" s="16">
        <f t="shared" si="1"/>
        <v>37.933100000000003</v>
      </c>
      <c r="P41" s="7"/>
      <c r="Q41" s="8">
        <f>bdrate(C41:C44,D41:D44,J41:J44,K41:K44)</f>
        <v>-0.32804067842331464</v>
      </c>
      <c r="R41" s="8">
        <f>bdrate(C41:C44,E41:E44,J41:J44,L41:L44)</f>
        <v>-0.43452003748283963</v>
      </c>
      <c r="S41" s="8">
        <f>bdrate(C41:C44,F41:F44,J41:J44,M41:M44)</f>
        <v>-0.42847308065459877</v>
      </c>
      <c r="T41" s="25">
        <f>bdrate(C41:C44,H41:H44,J41:J44,O41:O44)</f>
        <v>-0.34858519219466466</v>
      </c>
      <c r="U41" s="28">
        <f t="shared" si="2"/>
        <v>4.734776725304464E-2</v>
      </c>
    </row>
    <row r="42" spans="1:21" x14ac:dyDescent="0.25">
      <c r="B42" s="9"/>
      <c r="C42" s="17">
        <v>1056.6199999999999</v>
      </c>
      <c r="D42" s="18">
        <v>34.462000000000003</v>
      </c>
      <c r="E42" s="18">
        <v>39.402000000000001</v>
      </c>
      <c r="F42" s="18">
        <v>40.149000000000001</v>
      </c>
      <c r="G42" s="18">
        <v>8.1999999999999993</v>
      </c>
      <c r="H42" s="18">
        <f t="shared" si="0"/>
        <v>35.790375000000004</v>
      </c>
      <c r="I42" s="5"/>
      <c r="J42" s="17">
        <v>835.16880000000003</v>
      </c>
      <c r="K42" s="18">
        <v>35.007300000000001</v>
      </c>
      <c r="L42" s="18">
        <v>40.379300000000001</v>
      </c>
      <c r="M42" s="18">
        <v>41.234099999999998</v>
      </c>
      <c r="N42" s="18">
        <v>9.2132000000000005</v>
      </c>
      <c r="O42" s="18">
        <f t="shared" si="1"/>
        <v>36.457149999999999</v>
      </c>
      <c r="P42" s="7"/>
      <c r="Q42" s="10"/>
      <c r="R42" s="11"/>
      <c r="S42" s="11"/>
      <c r="T42" s="26"/>
      <c r="U42" s="28">
        <f t="shared" si="2"/>
        <v>0.12356097560975626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9.41</v>
      </c>
      <c r="H43" s="18">
        <f t="shared" si="0"/>
        <v>33.875874999999994</v>
      </c>
      <c r="I43" s="5"/>
      <c r="J43" s="17">
        <v>521.24080000000004</v>
      </c>
      <c r="K43" s="18">
        <v>33.083399999999997</v>
      </c>
      <c r="L43" s="18">
        <v>39.106699999999996</v>
      </c>
      <c r="M43" s="18">
        <v>39.805999999999997</v>
      </c>
      <c r="N43" s="18">
        <v>11.424899999999999</v>
      </c>
      <c r="O43" s="18">
        <f t="shared" si="1"/>
        <v>34.676637499999998</v>
      </c>
      <c r="P43" s="7"/>
      <c r="Q43" s="10"/>
      <c r="R43" s="11"/>
      <c r="S43" s="11"/>
      <c r="T43" s="26"/>
      <c r="U43" s="28">
        <f t="shared" si="2"/>
        <v>0.21412327311370871</v>
      </c>
    </row>
    <row r="44" spans="1:21" ht="16.5" thickBot="1" x14ac:dyDescent="0.3">
      <c r="B44" s="12"/>
      <c r="C44" s="19">
        <v>395.75</v>
      </c>
      <c r="D44" s="20">
        <v>29.696000000000002</v>
      </c>
      <c r="E44" s="20">
        <v>37.362000000000002</v>
      </c>
      <c r="F44" s="20">
        <v>37.871000000000002</v>
      </c>
      <c r="G44" s="20">
        <v>11.01</v>
      </c>
      <c r="H44" s="20">
        <f t="shared" si="0"/>
        <v>31.676125000000003</v>
      </c>
      <c r="I44" s="5"/>
      <c r="J44" s="19">
        <v>311.78879999999998</v>
      </c>
      <c r="K44" s="20">
        <v>30.964500000000001</v>
      </c>
      <c r="L44" s="20">
        <v>37.778300000000002</v>
      </c>
      <c r="M44" s="20">
        <v>38.316099999999999</v>
      </c>
      <c r="N44" s="20">
        <v>14.468299999999999</v>
      </c>
      <c r="O44" s="20">
        <f t="shared" si="1"/>
        <v>32.735174999999998</v>
      </c>
      <c r="P44" s="7"/>
      <c r="Q44" s="13"/>
      <c r="R44" s="14"/>
      <c r="S44" s="14"/>
      <c r="T44" s="27"/>
      <c r="U44" s="28">
        <f t="shared" si="2"/>
        <v>0.31410535876475926</v>
      </c>
    </row>
    <row r="45" spans="1:21" x14ac:dyDescent="0.25">
      <c r="B45" s="6" t="s">
        <v>55</v>
      </c>
      <c r="C45" s="15">
        <v>1425.48</v>
      </c>
      <c r="D45" s="16">
        <v>30.654</v>
      </c>
      <c r="E45" s="16">
        <v>36.037999999999997</v>
      </c>
      <c r="F45" s="16">
        <v>36.747999999999998</v>
      </c>
      <c r="G45" s="16">
        <v>5.85</v>
      </c>
      <c r="H45" s="16">
        <f t="shared" si="0"/>
        <v>32.088749999999997</v>
      </c>
      <c r="I45" s="5"/>
      <c r="J45" s="15">
        <v>1234.44</v>
      </c>
      <c r="K45" s="16">
        <v>31.432099999999998</v>
      </c>
      <c r="L45" s="16">
        <v>37.341999999999999</v>
      </c>
      <c r="M45" s="16">
        <v>38.179400000000001</v>
      </c>
      <c r="N45" s="16">
        <v>8.0023999999999997</v>
      </c>
      <c r="O45" s="16">
        <f t="shared" si="1"/>
        <v>33.014249999999997</v>
      </c>
      <c r="P45" s="7"/>
      <c r="Q45" s="8">
        <f>bdrate(C45:C48,D45:D48,J45:J48,K45:K48)</f>
        <v>-0.34526932192222748</v>
      </c>
      <c r="R45" s="8">
        <f>bdrate(C45:C48,E45:E48,J45:J48,L45:L48)</f>
        <v>-0.43612665213061264</v>
      </c>
      <c r="S45" s="8">
        <f>bdrate(C45:C48,F45:F48,J45:J48,M45:M48)</f>
        <v>-0.42456372750889626</v>
      </c>
      <c r="T45" s="25">
        <f>bdrate(C45:C48,H45:H48,J45:J48,O45:O48)</f>
        <v>-0.36322635369619483</v>
      </c>
      <c r="U45" s="28">
        <f t="shared" si="2"/>
        <v>0.36793162393162399</v>
      </c>
    </row>
    <row r="46" spans="1:21" x14ac:dyDescent="0.25">
      <c r="B46" s="9"/>
      <c r="C46" s="17">
        <v>951.73</v>
      </c>
      <c r="D46" s="18">
        <v>29.132000000000001</v>
      </c>
      <c r="E46" s="18">
        <v>35.32</v>
      </c>
      <c r="F46" s="18">
        <v>36.061999999999998</v>
      </c>
      <c r="G46" s="18">
        <v>6.45</v>
      </c>
      <c r="H46" s="18">
        <f t="shared" si="0"/>
        <v>30.771749999999997</v>
      </c>
      <c r="I46" s="5"/>
      <c r="J46" s="17">
        <v>821.3288</v>
      </c>
      <c r="K46" s="18">
        <v>29.993400000000001</v>
      </c>
      <c r="L46" s="18">
        <v>36.304600000000001</v>
      </c>
      <c r="M46" s="18">
        <v>37.0839</v>
      </c>
      <c r="N46" s="18">
        <v>9.5442</v>
      </c>
      <c r="O46" s="18">
        <f t="shared" si="1"/>
        <v>31.668612499999998</v>
      </c>
      <c r="P46" s="7"/>
      <c r="Q46" s="10"/>
      <c r="R46" s="11"/>
      <c r="S46" s="11"/>
      <c r="T46" s="26"/>
      <c r="U46" s="28">
        <f t="shared" si="2"/>
        <v>0.47972093023255807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7.1</v>
      </c>
      <c r="H47" s="18">
        <f t="shared" si="0"/>
        <v>29.376374999999999</v>
      </c>
      <c r="I47" s="5"/>
      <c r="J47" s="17">
        <v>511.48480000000001</v>
      </c>
      <c r="K47" s="18">
        <v>28.4633</v>
      </c>
      <c r="L47" s="18">
        <v>35.345399999999998</v>
      </c>
      <c r="M47" s="18">
        <v>36.092300000000002</v>
      </c>
      <c r="N47" s="18">
        <v>11.700799999999999</v>
      </c>
      <c r="O47" s="18">
        <f t="shared" si="1"/>
        <v>30.2771875</v>
      </c>
      <c r="P47" s="7"/>
      <c r="Q47" s="10"/>
      <c r="R47" s="11"/>
      <c r="S47" s="11"/>
      <c r="T47" s="26"/>
      <c r="U47" s="28">
        <f t="shared" si="2"/>
        <v>0.64800000000000002</v>
      </c>
    </row>
    <row r="48" spans="1:21" ht="16.5" thickBot="1" x14ac:dyDescent="0.3">
      <c r="B48" s="12"/>
      <c r="C48" s="19">
        <v>359.68</v>
      </c>
      <c r="D48" s="20">
        <v>25.751999999999999</v>
      </c>
      <c r="E48" s="20">
        <v>34.098999999999997</v>
      </c>
      <c r="F48" s="20">
        <v>34.831000000000003</v>
      </c>
      <c r="G48" s="20">
        <v>7.77</v>
      </c>
      <c r="H48" s="20">
        <f t="shared" si="0"/>
        <v>27.930250000000001</v>
      </c>
      <c r="I48" s="5"/>
      <c r="J48" s="19">
        <v>305.42880000000002</v>
      </c>
      <c r="K48" s="20">
        <v>26.867799999999999</v>
      </c>
      <c r="L48" s="20">
        <v>34.292099999999998</v>
      </c>
      <c r="M48" s="20">
        <v>34.936999999999998</v>
      </c>
      <c r="N48" s="20">
        <v>15.077</v>
      </c>
      <c r="O48" s="20">
        <f t="shared" si="1"/>
        <v>28.8044875</v>
      </c>
      <c r="P48" s="7"/>
      <c r="Q48" s="13"/>
      <c r="R48" s="14"/>
      <c r="S48" s="14"/>
      <c r="T48" s="27"/>
      <c r="U48" s="28">
        <f t="shared" si="2"/>
        <v>0.94041184041184056</v>
      </c>
    </row>
    <row r="49" spans="1:21" x14ac:dyDescent="0.25">
      <c r="B49" s="6" t="s">
        <v>56</v>
      </c>
      <c r="C49" s="15">
        <v>1426.13</v>
      </c>
      <c r="D49" s="16">
        <v>33.726999999999997</v>
      </c>
      <c r="E49" s="16">
        <v>37.131</v>
      </c>
      <c r="F49" s="16">
        <v>38.896999999999998</v>
      </c>
      <c r="G49" s="16">
        <v>5.01</v>
      </c>
      <c r="H49" s="16">
        <f t="shared" si="0"/>
        <v>34.798749999999998</v>
      </c>
      <c r="I49" s="5"/>
      <c r="J49" s="15">
        <v>1230.068</v>
      </c>
      <c r="K49" s="16">
        <v>33.750399999999999</v>
      </c>
      <c r="L49" s="16">
        <v>37.8003</v>
      </c>
      <c r="M49" s="16">
        <v>39.465499999999999</v>
      </c>
      <c r="N49" s="16">
        <v>4.9051</v>
      </c>
      <c r="O49" s="16">
        <f t="shared" si="1"/>
        <v>34.971024999999997</v>
      </c>
      <c r="P49" s="7"/>
      <c r="Q49" s="8">
        <f>bdrate(C49:C52,D49:D52,J49:J52,K49:K52)</f>
        <v>-0.18872310970148987</v>
      </c>
      <c r="R49" s="8">
        <f>bdrate(C49:C52,E49:E52,J49:J52,L49:L52)</f>
        <v>-0.26143533629130922</v>
      </c>
      <c r="S49" s="8">
        <f>bdrate(C49:C52,F49:F52,J49:J52,M49:M52)</f>
        <v>-0.24703058569738645</v>
      </c>
      <c r="T49" s="25">
        <f>bdrate(C49:C52,H49:H52,J49:J52,O49:O52)</f>
        <v>-0.2025074197175476</v>
      </c>
      <c r="U49" s="28">
        <f t="shared" si="2"/>
        <v>-2.0938123752494965E-2</v>
      </c>
    </row>
    <row r="50" spans="1:21" x14ac:dyDescent="0.25">
      <c r="B50" s="9"/>
      <c r="C50" s="17">
        <v>960.71</v>
      </c>
      <c r="D50" s="18">
        <v>32.142000000000003</v>
      </c>
      <c r="E50" s="18">
        <v>36.296999999999997</v>
      </c>
      <c r="F50" s="18">
        <v>38.045999999999999</v>
      </c>
      <c r="G50" s="18">
        <v>5.51</v>
      </c>
      <c r="H50" s="18">
        <f t="shared" si="0"/>
        <v>33.399375000000006</v>
      </c>
      <c r="I50" s="5"/>
      <c r="J50" s="17">
        <v>817.31600000000003</v>
      </c>
      <c r="K50" s="18">
        <v>32.180999999999997</v>
      </c>
      <c r="L50" s="18">
        <v>36.746600000000001</v>
      </c>
      <c r="M50" s="18">
        <v>38.438699999999997</v>
      </c>
      <c r="N50" s="18">
        <v>5.7606000000000002</v>
      </c>
      <c r="O50" s="18">
        <f t="shared" si="1"/>
        <v>33.5339125</v>
      </c>
      <c r="P50" s="7"/>
      <c r="Q50" s="10"/>
      <c r="R50" s="11"/>
      <c r="S50" s="11"/>
      <c r="T50" s="26"/>
      <c r="U50" s="28">
        <f t="shared" si="2"/>
        <v>4.5480943738657055E-2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6.22</v>
      </c>
      <c r="H51" s="18">
        <f t="shared" si="0"/>
        <v>31.795374999999996</v>
      </c>
      <c r="I51" s="5"/>
      <c r="J51" s="17">
        <v>508.98160000000001</v>
      </c>
      <c r="K51" s="18">
        <v>30.4712</v>
      </c>
      <c r="L51" s="18">
        <v>35.655799999999999</v>
      </c>
      <c r="M51" s="18">
        <v>37.311799999999998</v>
      </c>
      <c r="N51" s="18">
        <v>6.9496000000000002</v>
      </c>
      <c r="O51" s="18">
        <f t="shared" si="1"/>
        <v>31.974350000000001</v>
      </c>
      <c r="P51" s="7"/>
      <c r="Q51" s="10"/>
      <c r="R51" s="11"/>
      <c r="S51" s="11"/>
      <c r="T51" s="26"/>
      <c r="U51" s="28">
        <f t="shared" si="2"/>
        <v>0.117299035369775</v>
      </c>
    </row>
    <row r="52" spans="1:21" ht="16.5" thickBot="1" x14ac:dyDescent="0.3">
      <c r="B52" s="12"/>
      <c r="C52" s="19">
        <v>370.06</v>
      </c>
      <c r="D52" s="20">
        <v>28.254000000000001</v>
      </c>
      <c r="E52" s="20">
        <v>34.533999999999999</v>
      </c>
      <c r="F52" s="20">
        <v>36.069000000000003</v>
      </c>
      <c r="G52" s="20">
        <v>7.37</v>
      </c>
      <c r="H52" s="20">
        <f t="shared" si="0"/>
        <v>30.015875000000001</v>
      </c>
      <c r="I52" s="5"/>
      <c r="J52" s="19">
        <v>307.02159999999998</v>
      </c>
      <c r="K52" s="20">
        <v>28.843900000000001</v>
      </c>
      <c r="L52" s="20">
        <v>34.521700000000003</v>
      </c>
      <c r="M52" s="20">
        <v>36.138399999999997</v>
      </c>
      <c r="N52" s="20">
        <v>8.6698000000000004</v>
      </c>
      <c r="O52" s="20">
        <f t="shared" si="1"/>
        <v>30.4654375</v>
      </c>
      <c r="P52" s="7"/>
      <c r="Q52" s="13"/>
      <c r="R52" s="14"/>
      <c r="S52" s="14"/>
      <c r="T52" s="27"/>
      <c r="U52" s="28">
        <f t="shared" si="2"/>
        <v>0.17636363636363639</v>
      </c>
    </row>
    <row r="53" spans="1:21" x14ac:dyDescent="0.25">
      <c r="A53" s="6" t="s">
        <v>41</v>
      </c>
      <c r="B53" s="6" t="s">
        <v>57</v>
      </c>
      <c r="C53" s="15">
        <v>823.1</v>
      </c>
      <c r="D53" s="16">
        <v>36.374000000000002</v>
      </c>
      <c r="E53" s="16">
        <v>40.006999999999998</v>
      </c>
      <c r="F53" s="16">
        <v>38.881999999999998</v>
      </c>
      <c r="G53" s="16">
        <v>23.56</v>
      </c>
      <c r="H53" s="16">
        <f t="shared" si="0"/>
        <v>37.141625000000005</v>
      </c>
      <c r="I53" s="5"/>
      <c r="J53" s="15">
        <v>613.16</v>
      </c>
      <c r="K53" s="16">
        <v>35.8399</v>
      </c>
      <c r="L53" s="16">
        <v>40.819600000000001</v>
      </c>
      <c r="M53" s="16">
        <v>39.330100000000002</v>
      </c>
      <c r="N53" s="16">
        <v>14.7973</v>
      </c>
      <c r="O53" s="16">
        <f t="shared" si="1"/>
        <v>36.8986375</v>
      </c>
      <c r="P53" s="7"/>
      <c r="Q53" s="8">
        <f>bdrate(C53:C56,D53:D56,J53:J56,K53:K56)</f>
        <v>-0.2029521626258397</v>
      </c>
      <c r="R53" s="8">
        <f>bdrate(C53:C56,E53:E56,J53:J56,L53:L56)</f>
        <v>-0.37209977781665859</v>
      </c>
      <c r="S53" s="8">
        <f>bdrate(C53:C56,F53:F56,J53:J56,M53:M56)</f>
        <v>-0.26874670820814239</v>
      </c>
      <c r="T53" s="25">
        <f>bdrate(C53:C56,H53:H56,J53:J56,O53:O56)</f>
        <v>-0.22376054103377496</v>
      </c>
      <c r="U53" s="28">
        <f t="shared" si="2"/>
        <v>-0.37193123938879452</v>
      </c>
    </row>
    <row r="54" spans="1:21" x14ac:dyDescent="0.25">
      <c r="A54" s="9" t="s">
        <v>42</v>
      </c>
      <c r="B54" s="9"/>
      <c r="C54" s="17">
        <v>549.74</v>
      </c>
      <c r="D54" s="18">
        <v>34.354999999999997</v>
      </c>
      <c r="E54" s="18">
        <v>38.795999999999999</v>
      </c>
      <c r="F54" s="18">
        <v>37.485999999999997</v>
      </c>
      <c r="G54" s="18">
        <v>25.09</v>
      </c>
      <c r="H54" s="18">
        <f t="shared" si="0"/>
        <v>35.301499999999997</v>
      </c>
      <c r="I54" s="5"/>
      <c r="J54" s="17">
        <v>408.2688</v>
      </c>
      <c r="K54" s="18">
        <v>33.882599999999996</v>
      </c>
      <c r="L54" s="18">
        <v>39.527000000000001</v>
      </c>
      <c r="M54" s="18">
        <v>37.783900000000003</v>
      </c>
      <c r="N54" s="18">
        <v>17.185700000000001</v>
      </c>
      <c r="O54" s="18">
        <f t="shared" si="1"/>
        <v>35.075812499999998</v>
      </c>
      <c r="P54" s="7"/>
      <c r="Q54" s="10"/>
      <c r="R54" s="11"/>
      <c r="S54" s="11"/>
      <c r="T54" s="26"/>
      <c r="U54" s="28">
        <f t="shared" si="2"/>
        <v>-0.3150378636907134</v>
      </c>
    </row>
    <row r="55" spans="1:21" x14ac:dyDescent="0.25">
      <c r="B55" s="9"/>
      <c r="C55" s="17">
        <v>345.06</v>
      </c>
      <c r="D55" s="18">
        <v>32.158000000000001</v>
      </c>
      <c r="E55" s="18">
        <v>37.673999999999999</v>
      </c>
      <c r="F55" s="18">
        <v>36.125999999999998</v>
      </c>
      <c r="G55" s="18">
        <v>28.26</v>
      </c>
      <c r="H55" s="18">
        <f t="shared" si="0"/>
        <v>33.343499999999999</v>
      </c>
      <c r="I55" s="5"/>
      <c r="J55" s="17">
        <v>255.10159999999999</v>
      </c>
      <c r="K55" s="18">
        <v>31.793700000000001</v>
      </c>
      <c r="L55" s="18">
        <v>38.112000000000002</v>
      </c>
      <c r="M55" s="18">
        <v>36.120600000000003</v>
      </c>
      <c r="N55" s="18">
        <v>20.3095</v>
      </c>
      <c r="O55" s="18">
        <f t="shared" si="1"/>
        <v>33.12435</v>
      </c>
      <c r="P55" s="7"/>
      <c r="Q55" s="10"/>
      <c r="R55" s="11"/>
      <c r="S55" s="11"/>
      <c r="T55" s="26"/>
      <c r="U55" s="28">
        <f t="shared" si="2"/>
        <v>-0.28133404104741688</v>
      </c>
    </row>
    <row r="56" spans="1:21" ht="16.5" thickBot="1" x14ac:dyDescent="0.3">
      <c r="B56" s="12"/>
      <c r="C56" s="19">
        <v>167.84</v>
      </c>
      <c r="D56" s="20">
        <v>28.876999999999999</v>
      </c>
      <c r="E56" s="20">
        <v>36.201000000000001</v>
      </c>
      <c r="F56" s="20">
        <v>34.29</v>
      </c>
      <c r="G56" s="20">
        <v>37.26</v>
      </c>
      <c r="H56" s="20">
        <f t="shared" si="0"/>
        <v>30.469124999999998</v>
      </c>
      <c r="I56" s="5"/>
      <c r="J56" s="19">
        <v>121.9288</v>
      </c>
      <c r="K56" s="20">
        <v>28.838999999999999</v>
      </c>
      <c r="L56" s="20">
        <v>36.070799999999998</v>
      </c>
      <c r="M56" s="20">
        <v>33.729900000000001</v>
      </c>
      <c r="N56" s="20">
        <v>27.607500000000002</v>
      </c>
      <c r="O56" s="20">
        <f t="shared" si="1"/>
        <v>30.3543375</v>
      </c>
      <c r="P56" s="7"/>
      <c r="Q56" s="13"/>
      <c r="R56" s="14"/>
      <c r="S56" s="14"/>
      <c r="T56" s="27"/>
      <c r="U56" s="28">
        <f t="shared" si="2"/>
        <v>-0.25905797101449268</v>
      </c>
    </row>
    <row r="57" spans="1:21" x14ac:dyDescent="0.25">
      <c r="B57" s="6" t="s">
        <v>58</v>
      </c>
      <c r="C57" s="15">
        <v>723.52</v>
      </c>
      <c r="D57" s="16">
        <v>33.363</v>
      </c>
      <c r="E57" s="16">
        <v>39.906999999999996</v>
      </c>
      <c r="F57" s="16">
        <v>40.683999999999997</v>
      </c>
      <c r="G57" s="16">
        <v>23.55</v>
      </c>
      <c r="H57" s="16">
        <f t="shared" si="0"/>
        <v>35.096125000000001</v>
      </c>
      <c r="I57" s="5"/>
      <c r="J57" s="15">
        <v>614.93920000000003</v>
      </c>
      <c r="K57" s="16">
        <v>34.829300000000003</v>
      </c>
      <c r="L57" s="16">
        <v>41.853400000000001</v>
      </c>
      <c r="M57" s="16">
        <v>42.831099999999999</v>
      </c>
      <c r="N57" s="16">
        <v>19.396100000000001</v>
      </c>
      <c r="O57" s="16">
        <f t="shared" si="1"/>
        <v>36.707537500000001</v>
      </c>
      <c r="P57" s="7"/>
      <c r="Q57" s="8">
        <f>bdrate(C57:C60,D57:D60,J57:J60,K57:K60)</f>
        <v>-0.45294024618915396</v>
      </c>
      <c r="R57" s="8">
        <f>bdrate(C57:C60,E57:E60,J57:J60,L57:L60)</f>
        <v>-0.57158783609773767</v>
      </c>
      <c r="S57" s="8">
        <f>bdrate(C57:C60,F57:F60,J57:J60,M57:M60)</f>
        <v>-0.62664803581914574</v>
      </c>
      <c r="T57" s="25">
        <f>bdrate(C57:C60,H57:H60,J57:J60,O57:O60)</f>
        <v>-0.47908817413743909</v>
      </c>
      <c r="U57" s="28">
        <f t="shared" si="2"/>
        <v>-0.17638641188959661</v>
      </c>
    </row>
    <row r="58" spans="1:21" x14ac:dyDescent="0.25">
      <c r="B58" s="9"/>
      <c r="C58" s="17">
        <v>475.86</v>
      </c>
      <c r="D58" s="18">
        <v>31.856000000000002</v>
      </c>
      <c r="E58" s="18">
        <v>39.311999999999998</v>
      </c>
      <c r="F58" s="18">
        <v>39.914999999999999</v>
      </c>
      <c r="G58" s="18">
        <v>26.36</v>
      </c>
      <c r="H58" s="18">
        <f t="shared" si="0"/>
        <v>33.795375000000007</v>
      </c>
      <c r="I58" s="5"/>
      <c r="J58" s="17">
        <v>407.6232</v>
      </c>
      <c r="K58" s="18">
        <v>33.413400000000003</v>
      </c>
      <c r="L58" s="18">
        <v>40.841500000000003</v>
      </c>
      <c r="M58" s="18">
        <v>41.756500000000003</v>
      </c>
      <c r="N58" s="18">
        <v>24.311199999999999</v>
      </c>
      <c r="O58" s="18">
        <f t="shared" si="1"/>
        <v>35.384800000000006</v>
      </c>
      <c r="P58" s="7"/>
      <c r="Q58" s="10"/>
      <c r="R58" s="11"/>
      <c r="S58" s="11"/>
      <c r="T58" s="26"/>
      <c r="U58" s="28">
        <f t="shared" si="2"/>
        <v>-7.7723823975720793E-2</v>
      </c>
    </row>
    <row r="59" spans="1:21" x14ac:dyDescent="0.25">
      <c r="B59" s="9"/>
      <c r="C59" s="17">
        <v>294.08</v>
      </c>
      <c r="D59" s="18">
        <v>30.094000000000001</v>
      </c>
      <c r="E59" s="18">
        <v>38.756</v>
      </c>
      <c r="F59" s="18">
        <v>39.042000000000002</v>
      </c>
      <c r="G59" s="18">
        <v>30.32</v>
      </c>
      <c r="H59" s="18">
        <f t="shared" si="0"/>
        <v>32.295250000000003</v>
      </c>
      <c r="I59" s="5"/>
      <c r="J59" s="17">
        <v>253.71680000000001</v>
      </c>
      <c r="K59" s="18">
        <v>31.770199999999999</v>
      </c>
      <c r="L59" s="18">
        <v>39.900399999999998</v>
      </c>
      <c r="M59" s="18">
        <v>40.742800000000003</v>
      </c>
      <c r="N59" s="18">
        <v>31.5259</v>
      </c>
      <c r="O59" s="18">
        <f t="shared" si="1"/>
        <v>33.908049999999996</v>
      </c>
      <c r="P59" s="7"/>
      <c r="Q59" s="10"/>
      <c r="R59" s="11"/>
      <c r="S59" s="11"/>
      <c r="T59" s="26"/>
      <c r="U59" s="28">
        <f t="shared" si="2"/>
        <v>3.9772427440633237E-2</v>
      </c>
    </row>
    <row r="60" spans="1:21" ht="16.5" thickBot="1" x14ac:dyDescent="0.3">
      <c r="B60" s="12"/>
      <c r="C60" s="19">
        <v>139.75</v>
      </c>
      <c r="D60" s="20">
        <v>27.268999999999998</v>
      </c>
      <c r="E60" s="20">
        <v>38.106000000000002</v>
      </c>
      <c r="F60" s="20">
        <v>38.116999999999997</v>
      </c>
      <c r="G60" s="20">
        <v>38.65</v>
      </c>
      <c r="H60" s="20">
        <f t="shared" si="0"/>
        <v>29.979624999999995</v>
      </c>
      <c r="I60" s="5"/>
      <c r="J60" s="19">
        <v>120.19280000000001</v>
      </c>
      <c r="K60" s="20">
        <v>29.0014</v>
      </c>
      <c r="L60" s="20">
        <v>38.407400000000003</v>
      </c>
      <c r="M60" s="20">
        <v>39.002899999999997</v>
      </c>
      <c r="N60" s="20">
        <v>48.0154</v>
      </c>
      <c r="O60" s="20">
        <f t="shared" si="1"/>
        <v>31.4273375</v>
      </c>
      <c r="P60" s="7"/>
      <c r="Q60" s="13"/>
      <c r="R60" s="14"/>
      <c r="S60" s="14"/>
      <c r="T60" s="27"/>
      <c r="U60" s="28">
        <f t="shared" si="2"/>
        <v>0.24231306597671415</v>
      </c>
    </row>
    <row r="61" spans="1:21" x14ac:dyDescent="0.25">
      <c r="B61" s="6" t="s">
        <v>59</v>
      </c>
      <c r="C61" s="29">
        <v>806.04</v>
      </c>
      <c r="D61" s="30">
        <v>34.405000000000001</v>
      </c>
      <c r="E61" s="30">
        <v>37.923000000000002</v>
      </c>
      <c r="F61" s="30">
        <v>38.423000000000002</v>
      </c>
      <c r="G61" s="16">
        <v>24.65</v>
      </c>
      <c r="H61" s="16">
        <f t="shared" si="0"/>
        <v>35.347000000000001</v>
      </c>
      <c r="I61" s="5"/>
      <c r="J61" s="29">
        <v>638.8904</v>
      </c>
      <c r="K61" s="30">
        <v>34.383800000000001</v>
      </c>
      <c r="L61" s="30">
        <v>38.965499999999999</v>
      </c>
      <c r="M61" s="30">
        <v>39.868699999999997</v>
      </c>
      <c r="N61" s="16">
        <v>16.482099999999999</v>
      </c>
      <c r="O61" s="16">
        <f t="shared" si="1"/>
        <v>35.642125</v>
      </c>
      <c r="P61" s="7"/>
      <c r="Q61" s="8">
        <f>bdrate(C61:C64,D61:D64,J61:J64,K61:K64)</f>
        <v>-0.23375338850100069</v>
      </c>
      <c r="R61" s="8">
        <f>bdrate(C61:C64,E61:E64,J61:J64,L61:L64)</f>
        <v>-0.41386225304217539</v>
      </c>
      <c r="S61" s="8">
        <f>bdrate(C61:C64,F61:F64,J61:J64,M61:M64)</f>
        <v>-0.50066709115756503</v>
      </c>
      <c r="T61" s="25">
        <f>bdrate(C61:C64,H61:H64,J61:J64,O61:O64)</f>
        <v>-0.27986877441432401</v>
      </c>
      <c r="U61" s="28">
        <f t="shared" si="2"/>
        <v>-0.33135496957403648</v>
      </c>
    </row>
    <row r="62" spans="1:21" x14ac:dyDescent="0.25">
      <c r="B62" s="9"/>
      <c r="C62" s="31">
        <v>536.6</v>
      </c>
      <c r="D62" s="32">
        <v>32.726999999999997</v>
      </c>
      <c r="E62" s="32">
        <v>36.728999999999999</v>
      </c>
      <c r="F62" s="32">
        <v>37.204999999999998</v>
      </c>
      <c r="G62" s="18">
        <v>26.25</v>
      </c>
      <c r="H62" s="18">
        <f t="shared" si="0"/>
        <v>33.786999999999992</v>
      </c>
      <c r="I62" s="5"/>
      <c r="J62" s="31">
        <v>428.2928</v>
      </c>
      <c r="K62" s="32">
        <v>32.769199999999998</v>
      </c>
      <c r="L62" s="32">
        <v>37.7027</v>
      </c>
      <c r="M62" s="32">
        <v>38.609099999999998</v>
      </c>
      <c r="N62" s="18">
        <v>19.748000000000001</v>
      </c>
      <c r="O62" s="18">
        <f t="shared" si="1"/>
        <v>34.115874999999996</v>
      </c>
      <c r="P62" s="7"/>
      <c r="Q62" s="10"/>
      <c r="R62" s="11"/>
      <c r="S62" s="11"/>
      <c r="T62" s="26"/>
      <c r="U62" s="28">
        <f t="shared" si="2"/>
        <v>-0.24769523809523805</v>
      </c>
    </row>
    <row r="63" spans="1:21" x14ac:dyDescent="0.25">
      <c r="B63" s="9"/>
      <c r="C63" s="31">
        <v>333.96</v>
      </c>
      <c r="D63" s="32">
        <v>30.831</v>
      </c>
      <c r="E63" s="32">
        <v>35.665999999999997</v>
      </c>
      <c r="F63" s="32">
        <v>36.152000000000001</v>
      </c>
      <c r="G63" s="18">
        <v>27.55</v>
      </c>
      <c r="H63" s="18">
        <f t="shared" si="0"/>
        <v>32.100499999999997</v>
      </c>
      <c r="I63" s="5"/>
      <c r="J63" s="31">
        <v>264.67200000000003</v>
      </c>
      <c r="K63" s="32">
        <v>31.009499999999999</v>
      </c>
      <c r="L63" s="32">
        <v>36.430599999999998</v>
      </c>
      <c r="M63" s="32">
        <v>37.306800000000003</v>
      </c>
      <c r="N63" s="18">
        <v>24.922699999999999</v>
      </c>
      <c r="O63" s="18">
        <f t="shared" si="1"/>
        <v>32.474299999999999</v>
      </c>
      <c r="P63" s="7"/>
      <c r="Q63" s="10"/>
      <c r="R63" s="11"/>
      <c r="S63" s="11"/>
      <c r="T63" s="26"/>
      <c r="U63" s="28">
        <f t="shared" si="2"/>
        <v>-9.53647912885663E-2</v>
      </c>
    </row>
    <row r="64" spans="1:21" ht="16.5" thickBot="1" x14ac:dyDescent="0.3">
      <c r="B64" s="12"/>
      <c r="C64" s="33">
        <v>158.22</v>
      </c>
      <c r="D64" s="34">
        <v>28.097000000000001</v>
      </c>
      <c r="E64" s="34">
        <v>34.338000000000001</v>
      </c>
      <c r="F64" s="34">
        <v>34.875</v>
      </c>
      <c r="G64" s="20">
        <v>30.49</v>
      </c>
      <c r="H64" s="20">
        <f t="shared" si="0"/>
        <v>29.724374999999998</v>
      </c>
      <c r="I64" s="5"/>
      <c r="J64" s="33">
        <v>124.3488</v>
      </c>
      <c r="K64" s="34">
        <v>28.312799999999999</v>
      </c>
      <c r="L64" s="34">
        <v>34.529200000000003</v>
      </c>
      <c r="M64" s="34">
        <v>35.338700000000003</v>
      </c>
      <c r="N64" s="20">
        <v>35.534100000000002</v>
      </c>
      <c r="O64" s="20">
        <f t="shared" si="1"/>
        <v>29.968087500000003</v>
      </c>
      <c r="P64" s="7"/>
      <c r="Q64" s="13"/>
      <c r="R64" s="14"/>
      <c r="S64" s="14"/>
      <c r="T64" s="27"/>
      <c r="U64" s="28">
        <f t="shared" si="2"/>
        <v>0.16543456871105294</v>
      </c>
    </row>
    <row r="65" spans="1:21" x14ac:dyDescent="0.25">
      <c r="B65" s="6" t="s">
        <v>60</v>
      </c>
      <c r="C65" s="15">
        <v>739.58</v>
      </c>
      <c r="D65" s="16">
        <v>36.064999999999998</v>
      </c>
      <c r="E65" s="16">
        <v>38.128999999999998</v>
      </c>
      <c r="F65" s="16">
        <v>39.344999999999999</v>
      </c>
      <c r="G65" s="16">
        <v>20.45</v>
      </c>
      <c r="H65" s="16">
        <f t="shared" si="0"/>
        <v>36.732999999999997</v>
      </c>
      <c r="I65" s="5"/>
      <c r="J65" s="15">
        <v>622.63599999999997</v>
      </c>
      <c r="K65" s="16">
        <v>35.7074</v>
      </c>
      <c r="L65" s="16">
        <v>39.0608</v>
      </c>
      <c r="M65" s="16">
        <v>40.218699999999998</v>
      </c>
      <c r="N65" s="16">
        <v>9.8768999999999991</v>
      </c>
      <c r="O65" s="16">
        <f t="shared" si="1"/>
        <v>36.690487499999996</v>
      </c>
      <c r="P65" s="7"/>
      <c r="Q65" s="8">
        <f>bdrate(C65:C68,D65:D68,J65:J68,K65:K68)</f>
        <v>-0.11150024284148607</v>
      </c>
      <c r="R65" s="8">
        <f>bdrate(C65:C68,E65:E68,J65:J68,L65:L68)</f>
        <v>-0.31152015082980178</v>
      </c>
      <c r="S65" s="8">
        <f>bdrate(C65:C68,F65:F68,J65:J68,M65:M68)</f>
        <v>-0.30514352013189217</v>
      </c>
      <c r="T65" s="25">
        <f>bdrate(C65:C68,H65:H68,J65:J68,O65:O68)</f>
        <v>-0.14989184229834485</v>
      </c>
      <c r="U65" s="28">
        <f t="shared" si="2"/>
        <v>-0.51702200488997563</v>
      </c>
    </row>
    <row r="66" spans="1:21" x14ac:dyDescent="0.25">
      <c r="B66" s="9"/>
      <c r="C66" s="17">
        <v>493.82</v>
      </c>
      <c r="D66" s="18">
        <v>34.06</v>
      </c>
      <c r="E66" s="18">
        <v>36.912999999999997</v>
      </c>
      <c r="F66" s="18">
        <v>38.136000000000003</v>
      </c>
      <c r="G66" s="18">
        <v>21.38</v>
      </c>
      <c r="H66" s="18">
        <f t="shared" si="0"/>
        <v>34.926125000000006</v>
      </c>
      <c r="I66" s="5"/>
      <c r="J66" s="17">
        <v>416</v>
      </c>
      <c r="K66" s="18">
        <v>33.699100000000001</v>
      </c>
      <c r="L66" s="18">
        <v>37.758400000000002</v>
      </c>
      <c r="M66" s="18">
        <v>38.932000000000002</v>
      </c>
      <c r="N66" s="18">
        <v>11.654999999999999</v>
      </c>
      <c r="O66" s="18">
        <f t="shared" si="1"/>
        <v>34.860624999999999</v>
      </c>
      <c r="P66" s="7"/>
      <c r="Q66" s="10"/>
      <c r="R66" s="11"/>
      <c r="S66" s="11"/>
      <c r="T66" s="26"/>
      <c r="U66" s="28">
        <f t="shared" si="2"/>
        <v>-0.45486435921421892</v>
      </c>
    </row>
    <row r="67" spans="1:21" x14ac:dyDescent="0.25">
      <c r="B67" s="9"/>
      <c r="C67" s="17">
        <v>311.77999999999997</v>
      </c>
      <c r="D67" s="18">
        <v>31.908999999999999</v>
      </c>
      <c r="E67" s="18">
        <v>35.756999999999998</v>
      </c>
      <c r="F67" s="18">
        <v>36.911999999999999</v>
      </c>
      <c r="G67" s="18">
        <v>22.2</v>
      </c>
      <c r="H67" s="18">
        <f t="shared" si="0"/>
        <v>33.015374999999999</v>
      </c>
      <c r="I67" s="5"/>
      <c r="J67" s="17">
        <v>258.95519999999999</v>
      </c>
      <c r="K67" s="18">
        <v>31.575700000000001</v>
      </c>
      <c r="L67" s="18">
        <v>36.242100000000001</v>
      </c>
      <c r="M67" s="18">
        <v>37.427</v>
      </c>
      <c r="N67" s="18">
        <v>14.1717</v>
      </c>
      <c r="O67" s="18">
        <f t="shared" si="1"/>
        <v>32.890412500000004</v>
      </c>
      <c r="P67" s="7"/>
      <c r="Q67" s="10"/>
      <c r="R67" s="11"/>
      <c r="S67" s="11"/>
      <c r="T67" s="26"/>
      <c r="U67" s="28">
        <f t="shared" si="2"/>
        <v>-0.36163513513513512</v>
      </c>
    </row>
    <row r="68" spans="1:21" ht="16.5" thickBot="1" x14ac:dyDescent="0.3">
      <c r="B68" s="12"/>
      <c r="C68" s="19">
        <v>149.41</v>
      </c>
      <c r="D68" s="20">
        <v>28.812000000000001</v>
      </c>
      <c r="E68" s="20">
        <v>34.22</v>
      </c>
      <c r="F68" s="20">
        <v>35.301000000000002</v>
      </c>
      <c r="G68" s="20">
        <v>26.23</v>
      </c>
      <c r="H68" s="20">
        <f t="shared" si="0"/>
        <v>30.299125000000004</v>
      </c>
      <c r="I68" s="5"/>
      <c r="J68" s="19">
        <v>123.5168</v>
      </c>
      <c r="K68" s="20">
        <v>28.833600000000001</v>
      </c>
      <c r="L68" s="20">
        <v>34.278199999999998</v>
      </c>
      <c r="M68" s="20">
        <v>35.322400000000002</v>
      </c>
      <c r="N68" s="20">
        <v>19.406199999999998</v>
      </c>
      <c r="O68" s="20">
        <f t="shared" si="1"/>
        <v>30.325274999999998</v>
      </c>
      <c r="P68" s="7"/>
      <c r="Q68" s="13"/>
      <c r="R68" s="14"/>
      <c r="S68" s="14"/>
      <c r="T68" s="27"/>
      <c r="U68" s="28">
        <f t="shared" si="2"/>
        <v>-0.26015249714067867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4.6100000000000003</v>
      </c>
      <c r="H69" s="16">
        <f t="shared" si="0"/>
        <v>43.024000000000001</v>
      </c>
      <c r="I69" s="5"/>
      <c r="J69" s="15">
        <v>1490.7911999999999</v>
      </c>
      <c r="K69" s="16">
        <v>42.034199999999998</v>
      </c>
      <c r="L69" s="16">
        <v>46.296999999999997</v>
      </c>
      <c r="M69" s="16">
        <v>47.571399999999997</v>
      </c>
      <c r="N69" s="16">
        <v>5.7271999999999998</v>
      </c>
      <c r="O69" s="16">
        <f t="shared" si="1"/>
        <v>43.2592</v>
      </c>
      <c r="P69" s="7"/>
      <c r="Q69" s="8">
        <f>bdrate(C69:C72,D69:D72,J69:J72,K69:K72)</f>
        <v>-0.25129141458065019</v>
      </c>
      <c r="R69" s="8">
        <f>bdrate(C69:C72,E69:E72,J69:J72,L69:L72)</f>
        <v>-0.40102515481587953</v>
      </c>
      <c r="S69" s="8">
        <f>bdrate(C69:C72,F69:F72,J69:J72,M69:M72)</f>
        <v>-0.40684288374576283</v>
      </c>
      <c r="T69" s="25">
        <f>bdrate(C69:C72,H69:H72,J69:J72,O69:O72)</f>
        <v>-0.28591907054354559</v>
      </c>
      <c r="U69" s="28">
        <f t="shared" si="2"/>
        <v>0.24234273318872004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5.16</v>
      </c>
      <c r="H70" s="18">
        <f t="shared" si="0"/>
        <v>41.882125000000002</v>
      </c>
      <c r="I70" s="5"/>
      <c r="J70" s="17">
        <v>981.07360000000006</v>
      </c>
      <c r="K70" s="18">
        <v>40.908700000000003</v>
      </c>
      <c r="L70" s="18">
        <v>45.229900000000001</v>
      </c>
      <c r="M70" s="18">
        <v>46.487299999999998</v>
      </c>
      <c r="N70" s="18">
        <v>7.1395999999999997</v>
      </c>
      <c r="O70" s="18">
        <f t="shared" si="1"/>
        <v>42.146174999999999</v>
      </c>
      <c r="P70" s="7"/>
      <c r="Q70" s="10"/>
      <c r="R70" s="11"/>
      <c r="S70" s="11"/>
      <c r="T70" s="26"/>
      <c r="U70" s="28">
        <f t="shared" si="2"/>
        <v>0.38364341085271308</v>
      </c>
    </row>
    <row r="71" spans="1:21" x14ac:dyDescent="0.25">
      <c r="B71" s="9"/>
      <c r="C71" s="17">
        <v>714.72</v>
      </c>
      <c r="D71" s="18">
        <v>38.731999999999999</v>
      </c>
      <c r="E71" s="18">
        <v>42.654000000000003</v>
      </c>
      <c r="F71" s="18">
        <v>43.838000000000001</v>
      </c>
      <c r="G71" s="18">
        <v>6.24</v>
      </c>
      <c r="H71" s="18">
        <f t="shared" si="0"/>
        <v>39.860500000000002</v>
      </c>
      <c r="I71" s="5"/>
      <c r="J71" s="17">
        <v>567.33680000000004</v>
      </c>
      <c r="K71" s="18">
        <v>38.965000000000003</v>
      </c>
      <c r="L71" s="18">
        <v>43.653399999999998</v>
      </c>
      <c r="M71" s="18">
        <v>44.880299999999998</v>
      </c>
      <c r="N71" s="18">
        <v>9.6258999999999997</v>
      </c>
      <c r="O71" s="18">
        <f t="shared" si="1"/>
        <v>40.290462499999997</v>
      </c>
      <c r="P71" s="7"/>
      <c r="Q71" s="10"/>
      <c r="R71" s="11"/>
      <c r="S71" s="11"/>
      <c r="T71" s="26"/>
      <c r="U71" s="28">
        <f t="shared" si="2"/>
        <v>0.54261217948717944</v>
      </c>
    </row>
    <row r="72" spans="1:21" ht="16.5" thickBot="1" x14ac:dyDescent="0.3">
      <c r="B72" s="12"/>
      <c r="C72" s="19">
        <v>350.29</v>
      </c>
      <c r="D72" s="20">
        <v>34.893999999999998</v>
      </c>
      <c r="E72" s="20">
        <v>40.707999999999998</v>
      </c>
      <c r="F72" s="20">
        <v>41.55</v>
      </c>
      <c r="G72" s="20">
        <v>7.64</v>
      </c>
      <c r="H72" s="20">
        <f t="shared" si="0"/>
        <v>36.452749999999995</v>
      </c>
      <c r="I72" s="5"/>
      <c r="J72" s="19">
        <v>278.49360000000001</v>
      </c>
      <c r="K72" s="20">
        <v>35.608800000000002</v>
      </c>
      <c r="L72" s="20">
        <v>41.323500000000003</v>
      </c>
      <c r="M72" s="20">
        <v>42.341200000000001</v>
      </c>
      <c r="N72" s="20">
        <v>13.6715</v>
      </c>
      <c r="O72" s="20">
        <f t="shared" si="1"/>
        <v>37.164687499999999</v>
      </c>
      <c r="P72" s="7"/>
      <c r="Q72" s="13"/>
      <c r="R72" s="14"/>
      <c r="S72" s="14"/>
      <c r="T72" s="27"/>
      <c r="U72" s="28">
        <f t="shared" si="2"/>
        <v>0.78946335078534036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1494.0440000000001</v>
      </c>
      <c r="K73" s="16">
        <v>43.014400000000002</v>
      </c>
      <c r="L73" s="16">
        <v>48.267400000000002</v>
      </c>
      <c r="M73" s="16">
        <v>48.964399999999998</v>
      </c>
      <c r="N73" s="16">
        <v>7.1639999999999997</v>
      </c>
      <c r="O73" s="16">
        <f t="shared" si="1"/>
        <v>44.414775000000006</v>
      </c>
      <c r="P73" s="7"/>
      <c r="Q73" s="8">
        <f>bdrate(C73:C76,D73:D76,J73:J76,K73:K76)</f>
        <v>-0.41281252713111727</v>
      </c>
      <c r="R73" s="8">
        <f>bdrate(C73:C76,E73:E76,J73:J76,L73:L76)</f>
        <v>-0.55449705064215848</v>
      </c>
      <c r="S73" s="8">
        <f>bdrate(C73:C76,F73:F76,J73:J76,M73:M76)</f>
        <v>-0.58511900902659586</v>
      </c>
      <c r="T73" s="25">
        <f>bdrate(C73:C76,H73:H76,J73:J76,O73:O76)</f>
        <v>-0.45973984053999351</v>
      </c>
      <c r="U73" s="28">
        <f t="shared" ref="U73:U80" si="3">(N73-G73)/G73</f>
        <v>0.89523809523809528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4.17</v>
      </c>
      <c r="H74" s="18">
        <f t="shared" si="0"/>
        <v>43.365124999999999</v>
      </c>
      <c r="I74" s="5"/>
      <c r="J74" s="17">
        <v>989.19280000000003</v>
      </c>
      <c r="K74" s="18">
        <v>42.532899999999998</v>
      </c>
      <c r="L74" s="18">
        <v>47.784199999999998</v>
      </c>
      <c r="M74" s="18">
        <v>48.460700000000003</v>
      </c>
      <c r="N74" s="18">
        <v>8.8638999999999992</v>
      </c>
      <c r="O74" s="18">
        <f t="shared" si="1"/>
        <v>43.930287499999991</v>
      </c>
      <c r="P74" s="7"/>
      <c r="Q74" s="10"/>
      <c r="R74" s="11"/>
      <c r="S74" s="11"/>
      <c r="T74" s="26"/>
      <c r="U74" s="28">
        <f t="shared" si="3"/>
        <v>1.1256354916067144</v>
      </c>
    </row>
    <row r="75" spans="1:21" x14ac:dyDescent="0.25">
      <c r="B75" s="9"/>
      <c r="C75" s="17">
        <v>739.27</v>
      </c>
      <c r="D75" s="18">
        <v>41.088000000000001</v>
      </c>
      <c r="E75" s="18">
        <v>45.523000000000003</v>
      </c>
      <c r="F75" s="18">
        <v>46.067</v>
      </c>
      <c r="G75" s="18">
        <v>4.8</v>
      </c>
      <c r="H75" s="18">
        <f t="shared" si="0"/>
        <v>42.264750000000006</v>
      </c>
      <c r="I75" s="5"/>
      <c r="J75" s="17">
        <v>585.03359999999998</v>
      </c>
      <c r="K75" s="18">
        <v>41.715000000000003</v>
      </c>
      <c r="L75" s="18">
        <v>46.8889</v>
      </c>
      <c r="M75" s="18">
        <v>47.5336</v>
      </c>
      <c r="N75" s="18">
        <v>11.7005</v>
      </c>
      <c r="O75" s="18">
        <f t="shared" si="1"/>
        <v>43.089062499999997</v>
      </c>
      <c r="P75" s="7"/>
      <c r="Q75" s="10"/>
      <c r="R75" s="11"/>
      <c r="S75" s="11"/>
      <c r="T75" s="26"/>
      <c r="U75" s="28">
        <f t="shared" si="3"/>
        <v>1.4376041666666668</v>
      </c>
    </row>
    <row r="76" spans="1:21" ht="16.5" thickBot="1" x14ac:dyDescent="0.3">
      <c r="B76" s="12"/>
      <c r="C76" s="19">
        <v>345.5</v>
      </c>
      <c r="D76" s="20">
        <v>38.588000000000001</v>
      </c>
      <c r="E76" s="20">
        <v>43.039000000000001</v>
      </c>
      <c r="F76" s="20">
        <v>43.966000000000001</v>
      </c>
      <c r="G76" s="20">
        <v>6.29</v>
      </c>
      <c r="H76" s="20">
        <f t="shared" si="0"/>
        <v>39.816625000000002</v>
      </c>
      <c r="I76" s="5"/>
      <c r="J76" s="19">
        <v>279.47199999999998</v>
      </c>
      <c r="K76" s="20">
        <v>39.840699999999998</v>
      </c>
      <c r="L76" s="20">
        <v>45.022799999999997</v>
      </c>
      <c r="M76" s="20">
        <v>45.571800000000003</v>
      </c>
      <c r="N76" s="20">
        <v>17.047899999999998</v>
      </c>
      <c r="O76" s="20">
        <f t="shared" si="1"/>
        <v>41.20485</v>
      </c>
      <c r="P76" s="7"/>
      <c r="Q76" s="13"/>
      <c r="R76" s="14"/>
      <c r="S76" s="14"/>
      <c r="T76" s="27"/>
      <c r="U76" s="28">
        <f t="shared" si="3"/>
        <v>1.7103179650238474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4.1100000000000003</v>
      </c>
      <c r="H77" s="16">
        <f t="shared" si="0"/>
        <v>43.929499999999997</v>
      </c>
      <c r="I77" s="5"/>
      <c r="J77" s="15">
        <v>1522.66</v>
      </c>
      <c r="K77" s="16">
        <v>42.971299999999999</v>
      </c>
      <c r="L77" s="16">
        <v>47.419199999999996</v>
      </c>
      <c r="M77" s="16">
        <v>48.343699999999998</v>
      </c>
      <c r="N77" s="16">
        <v>6.5637999999999996</v>
      </c>
      <c r="O77" s="16">
        <f t="shared" si="1"/>
        <v>44.198837500000003</v>
      </c>
      <c r="P77" s="7"/>
      <c r="Q77" s="8">
        <f>bdrate(C77:C80,D77:D80,J77:J80,K77:K80)</f>
        <v>-0.35977390240557783</v>
      </c>
      <c r="R77" s="8">
        <f>bdrate(C77:C80,E77:E80,J77:J80,L77:L80)</f>
        <v>-0.49336532198497707</v>
      </c>
      <c r="S77" s="8">
        <f>bdrate(C77:C80,F77:F80,J77:J80,M77:M80)</f>
        <v>-0.54961200649540598</v>
      </c>
      <c r="T77" s="25">
        <f>bdrate(C77:C80,H77:H80,J77:J80,O77:O80)</f>
        <v>-0.40430945794784856</v>
      </c>
      <c r="U77" s="28">
        <f t="shared" si="3"/>
        <v>0.59703163017031613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4.45</v>
      </c>
      <c r="H78" s="18">
        <f t="shared" si="0"/>
        <v>43.018499999999996</v>
      </c>
      <c r="I78" s="5"/>
      <c r="J78" s="17">
        <v>1009.932</v>
      </c>
      <c r="K78" s="18">
        <v>42.190899999999999</v>
      </c>
      <c r="L78" s="18">
        <v>46.656199999999998</v>
      </c>
      <c r="M78" s="18">
        <v>47.554200000000002</v>
      </c>
      <c r="N78" s="18">
        <v>8.1338000000000008</v>
      </c>
      <c r="O78" s="18">
        <f t="shared" si="1"/>
        <v>43.419474999999998</v>
      </c>
      <c r="P78" s="7"/>
      <c r="Q78" s="10"/>
      <c r="R78" s="11"/>
      <c r="S78" s="11"/>
      <c r="T78" s="26"/>
      <c r="U78" s="28">
        <f t="shared" si="3"/>
        <v>0.82782022471910122</v>
      </c>
    </row>
    <row r="79" spans="1:21" x14ac:dyDescent="0.25">
      <c r="B79" s="9"/>
      <c r="C79" s="17">
        <v>785.17</v>
      </c>
      <c r="D79" s="18">
        <v>40.363999999999997</v>
      </c>
      <c r="E79" s="18">
        <v>44.127000000000002</v>
      </c>
      <c r="F79" s="18">
        <v>44.578000000000003</v>
      </c>
      <c r="G79" s="18">
        <v>5.52</v>
      </c>
      <c r="H79" s="18">
        <f t="shared" si="0"/>
        <v>41.361125000000001</v>
      </c>
      <c r="I79" s="5"/>
      <c r="J79" s="17">
        <v>590.18880000000001</v>
      </c>
      <c r="K79" s="18">
        <v>40.888800000000003</v>
      </c>
      <c r="L79" s="18">
        <v>45.414999999999999</v>
      </c>
      <c r="M79" s="18">
        <v>46.299399999999999</v>
      </c>
      <c r="N79" s="18">
        <v>10.421900000000001</v>
      </c>
      <c r="O79" s="18">
        <f t="shared" si="1"/>
        <v>42.130900000000004</v>
      </c>
      <c r="P79" s="7"/>
      <c r="Q79" s="10"/>
      <c r="R79" s="11"/>
      <c r="S79" s="11"/>
      <c r="T79" s="26"/>
      <c r="U79" s="28">
        <f t="shared" si="3"/>
        <v>0.88802536231884088</v>
      </c>
    </row>
    <row r="80" spans="1:21" ht="16.5" thickBot="1" x14ac:dyDescent="0.3">
      <c r="B80" s="12"/>
      <c r="C80" s="19">
        <v>380.34</v>
      </c>
      <c r="D80" s="20">
        <v>37.048000000000002</v>
      </c>
      <c r="E80" s="20">
        <v>41.615000000000002</v>
      </c>
      <c r="F80" s="20">
        <v>42.061</v>
      </c>
      <c r="G80" s="20">
        <v>7.27</v>
      </c>
      <c r="H80" s="20">
        <f t="shared" si="0"/>
        <v>38.2455</v>
      </c>
      <c r="I80" s="5"/>
      <c r="J80" s="19">
        <v>287.096</v>
      </c>
      <c r="K80" s="20">
        <v>38.301099999999998</v>
      </c>
      <c r="L80" s="20">
        <v>43.250100000000003</v>
      </c>
      <c r="M80" s="20">
        <v>44.115400000000001</v>
      </c>
      <c r="N80" s="20">
        <v>15.319800000000001</v>
      </c>
      <c r="O80" s="20">
        <f t="shared" si="1"/>
        <v>39.6465125</v>
      </c>
      <c r="P80" s="7"/>
      <c r="Q80" s="13"/>
      <c r="R80" s="14"/>
      <c r="S80" s="14"/>
      <c r="T80" s="27"/>
      <c r="U80" s="28">
        <f t="shared" si="3"/>
        <v>1.1072627235213208</v>
      </c>
    </row>
    <row r="81" spans="2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-0.33507944468725137</v>
      </c>
      <c r="R81" s="21">
        <f>AVERAGE(R9:R80)</f>
        <v>-0.4328491407069609</v>
      </c>
      <c r="S81" s="21">
        <f>AVERAGE(S9:S80)</f>
        <v>-0.44214511466211837</v>
      </c>
      <c r="T81" s="21">
        <f>AVERAGE(T9:T80)</f>
        <v>-0.35752076314366898</v>
      </c>
      <c r="U81" s="21">
        <f>AVERAGE(U9:U80)</f>
        <v>0.47261446144318803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81" priority="271" operator="greaterThan">
      <formula>0.03</formula>
    </cfRule>
    <cfRule type="cellIs" dxfId="180" priority="272" stopIfTrue="1" operator="lessThan">
      <formula>-0.03</formula>
    </cfRule>
  </conditionalFormatting>
  <conditionalFormatting sqref="Q33:T36">
    <cfRule type="cellIs" dxfId="179" priority="269" operator="greaterThan">
      <formula>0.03</formula>
    </cfRule>
    <cfRule type="cellIs" dxfId="178" priority="270" stopIfTrue="1" operator="lessThan">
      <formula>-0.03</formula>
    </cfRule>
  </conditionalFormatting>
  <conditionalFormatting sqref="Q45:T48 Q61:T64">
    <cfRule type="cellIs" dxfId="177" priority="267" operator="greaterThan">
      <formula>0.03</formula>
    </cfRule>
    <cfRule type="cellIs" dxfId="176" priority="268" stopIfTrue="1" operator="lessThan">
      <formula>-0.03</formula>
    </cfRule>
  </conditionalFormatting>
  <conditionalFormatting sqref="Q49:T60">
    <cfRule type="cellIs" dxfId="175" priority="265" operator="greaterThan">
      <formula>0.03</formula>
    </cfRule>
    <cfRule type="cellIs" dxfId="174" priority="266" stopIfTrue="1" operator="lessThan">
      <formula>-0.03</formula>
    </cfRule>
  </conditionalFormatting>
  <conditionalFormatting sqref="Q69:T76">
    <cfRule type="cellIs" dxfId="173" priority="263" operator="greaterThan">
      <formula>0.03</formula>
    </cfRule>
    <cfRule type="cellIs" dxfId="172" priority="264" stopIfTrue="1" operator="lessThan">
      <formula>-0.03</formula>
    </cfRule>
  </conditionalFormatting>
  <conditionalFormatting sqref="Q65:T68">
    <cfRule type="cellIs" dxfId="171" priority="261" operator="greaterThan">
      <formula>0.03</formula>
    </cfRule>
    <cfRule type="cellIs" dxfId="170" priority="262" stopIfTrue="1" operator="lessThan">
      <formula>-0.03</formula>
    </cfRule>
  </conditionalFormatting>
  <conditionalFormatting sqref="Q77:T80">
    <cfRule type="cellIs" dxfId="169" priority="259" operator="greaterThan">
      <formula>0.03</formula>
    </cfRule>
    <cfRule type="cellIs" dxfId="168" priority="260" stopIfTrue="1" operator="lessThan">
      <formula>-0.03</formula>
    </cfRule>
  </conditionalFormatting>
  <conditionalFormatting sqref="Q21:T28">
    <cfRule type="cellIs" dxfId="167" priority="257" operator="greaterThan">
      <formula>0.03</formula>
    </cfRule>
    <cfRule type="cellIs" dxfId="166" priority="258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59"/>
  <sheetViews>
    <sheetView topLeftCell="A149" workbookViewId="0">
      <selection activeCell="Q169" sqref="Q169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128</v>
      </c>
    </row>
    <row r="2" spans="1:21" x14ac:dyDescent="0.25">
      <c r="A2" t="s">
        <v>112</v>
      </c>
    </row>
    <row r="3" spans="1:21" x14ac:dyDescent="0.25">
      <c r="A3" t="s">
        <v>113</v>
      </c>
    </row>
    <row r="4" spans="1:21" x14ac:dyDescent="0.25">
      <c r="A4" t="s">
        <v>116</v>
      </c>
    </row>
    <row r="5" spans="1:21" s="35" customFormat="1" ht="15.75" customHeight="1" x14ac:dyDescent="0.25">
      <c r="B5" s="56" t="s">
        <v>29</v>
      </c>
      <c r="C5" s="58" t="s">
        <v>109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66</v>
      </c>
      <c r="D7" s="65"/>
      <c r="E7" s="65"/>
      <c r="F7" s="65"/>
      <c r="G7" s="65"/>
      <c r="H7" s="65"/>
      <c r="I7" s="5"/>
      <c r="J7" s="64" t="s">
        <v>87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3980.29</v>
      </c>
      <c r="D9" s="16">
        <v>34.698</v>
      </c>
      <c r="E9" s="16">
        <v>37.033999999999999</v>
      </c>
      <c r="F9" s="16">
        <v>39.325000000000003</v>
      </c>
      <c r="G9" s="16">
        <v>8.7799999999999994</v>
      </c>
      <c r="H9" s="16">
        <f t="shared" ref="H9:H80" si="0">(6*D9+E9+F9)/8</f>
        <v>35.568374999999996</v>
      </c>
      <c r="I9" s="5"/>
      <c r="J9" s="15">
        <v>4281.9312</v>
      </c>
      <c r="K9" s="16">
        <v>36.480699999999999</v>
      </c>
      <c r="L9" s="16">
        <v>38.268300000000004</v>
      </c>
      <c r="M9" s="16">
        <v>40.599699999999999</v>
      </c>
      <c r="N9" s="16">
        <v>15.841200000000001</v>
      </c>
      <c r="O9" s="16">
        <f t="shared" ref="O9:O80" si="1">(6*K9+L9+M9)/8</f>
        <v>37.219024999999995</v>
      </c>
      <c r="P9" s="7"/>
      <c r="Q9" s="8">
        <f>bdrate(C9:C12,D9:D12,J9:J12,K9:K12)</f>
        <v>-0.22520695742602237</v>
      </c>
      <c r="R9" s="8">
        <f>bdrate(C9:C12,E9:E12,J9:J12,L9:L12)</f>
        <v>-0.38589551304116343</v>
      </c>
      <c r="S9" s="8">
        <f>bdrate(C9:C12,F9:F12,J9:J12,M9:M12)</f>
        <v>-0.39686130270189113</v>
      </c>
      <c r="T9" s="25">
        <f>bdrate(C9:C12,H9:H12,J9:J12,O9:O12)</f>
        <v>-0.24450529948948674</v>
      </c>
      <c r="U9" s="28">
        <f t="shared" ref="U9:U72" si="2">(N9-G9)/G9</f>
        <v>0.80423690205011411</v>
      </c>
    </row>
    <row r="10" spans="1:21" x14ac:dyDescent="0.25">
      <c r="A10" s="9" t="s">
        <v>36</v>
      </c>
      <c r="B10" s="9"/>
      <c r="C10" s="17">
        <v>2930.29</v>
      </c>
      <c r="D10" s="18">
        <v>33.741999999999997</v>
      </c>
      <c r="E10" s="18">
        <v>36.646999999999998</v>
      </c>
      <c r="F10" s="18">
        <v>38.936999999999998</v>
      </c>
      <c r="G10" s="18">
        <v>8.92</v>
      </c>
      <c r="H10" s="18">
        <f t="shared" si="0"/>
        <v>34.7545</v>
      </c>
      <c r="I10" s="5"/>
      <c r="J10" s="17">
        <v>3241.3375999999998</v>
      </c>
      <c r="K10" s="18">
        <v>35.459499999999998</v>
      </c>
      <c r="L10" s="18">
        <v>37.7639</v>
      </c>
      <c r="M10" s="18">
        <v>40.080500000000001</v>
      </c>
      <c r="N10" s="18">
        <v>18.142199999999999</v>
      </c>
      <c r="O10" s="18">
        <f t="shared" si="1"/>
        <v>36.325175000000002</v>
      </c>
      <c r="P10" s="7"/>
      <c r="Q10" s="10"/>
      <c r="R10" s="11"/>
      <c r="S10" s="11"/>
      <c r="T10" s="26"/>
      <c r="U10" s="28">
        <f t="shared" si="2"/>
        <v>1.033878923766816</v>
      </c>
    </row>
    <row r="11" spans="1:21" x14ac:dyDescent="0.25">
      <c r="B11" s="9"/>
      <c r="C11" s="17">
        <v>1967.15</v>
      </c>
      <c r="D11" s="18">
        <v>32.646000000000001</v>
      </c>
      <c r="E11" s="18">
        <v>36.316000000000003</v>
      </c>
      <c r="F11" s="18">
        <v>38.576000000000001</v>
      </c>
      <c r="G11" s="18">
        <v>10.8</v>
      </c>
      <c r="H11" s="18">
        <f t="shared" si="0"/>
        <v>33.846000000000004</v>
      </c>
      <c r="I11" s="5"/>
      <c r="J11" s="17">
        <v>2133.3728000000001</v>
      </c>
      <c r="K11" s="18">
        <v>33.893799999999999</v>
      </c>
      <c r="L11" s="18">
        <v>37.063400000000001</v>
      </c>
      <c r="M11" s="18">
        <v>39.357900000000001</v>
      </c>
      <c r="N11" s="18">
        <v>21.1327</v>
      </c>
      <c r="O11" s="18">
        <f t="shared" si="1"/>
        <v>34.973012499999996</v>
      </c>
      <c r="P11" s="7"/>
      <c r="Q11" s="10"/>
      <c r="R11" s="11"/>
      <c r="S11" s="11"/>
      <c r="T11" s="26"/>
      <c r="U11" s="28">
        <f t="shared" si="2"/>
        <v>0.95673148148148135</v>
      </c>
    </row>
    <row r="12" spans="1:21" ht="16.5" thickBot="1" x14ac:dyDescent="0.3">
      <c r="B12" s="12"/>
      <c r="C12" s="19">
        <v>956.69</v>
      </c>
      <c r="D12" s="20">
        <v>30.716999999999999</v>
      </c>
      <c r="E12" s="20">
        <v>35.805999999999997</v>
      </c>
      <c r="F12" s="20">
        <v>37.996000000000002</v>
      </c>
      <c r="G12" s="20">
        <v>12.72</v>
      </c>
      <c r="H12" s="20">
        <f t="shared" si="0"/>
        <v>32.262999999999998</v>
      </c>
      <c r="I12" s="5"/>
      <c r="J12" s="19">
        <v>1049.4448</v>
      </c>
      <c r="K12" s="20">
        <v>31.0703</v>
      </c>
      <c r="L12" s="20">
        <v>35.997300000000003</v>
      </c>
      <c r="M12" s="20">
        <v>38.279699999999998</v>
      </c>
      <c r="N12" s="20">
        <v>27.392299999999999</v>
      </c>
      <c r="O12" s="20">
        <f t="shared" si="1"/>
        <v>32.587350000000001</v>
      </c>
      <c r="P12" s="7"/>
      <c r="Q12" s="13"/>
      <c r="R12" s="14"/>
      <c r="S12" s="14"/>
      <c r="T12" s="27"/>
      <c r="U12" s="28">
        <f t="shared" si="2"/>
        <v>1.1534827044025155</v>
      </c>
    </row>
    <row r="13" spans="1:21" x14ac:dyDescent="0.25">
      <c r="B13" s="6" t="s">
        <v>47</v>
      </c>
      <c r="C13" s="15">
        <v>4088.92</v>
      </c>
      <c r="D13" s="16">
        <v>28.33</v>
      </c>
      <c r="E13" s="16">
        <v>37.204999999999998</v>
      </c>
      <c r="F13" s="16">
        <v>38.331000000000003</v>
      </c>
      <c r="G13" s="16">
        <v>6.67</v>
      </c>
      <c r="H13" s="16">
        <f t="shared" si="0"/>
        <v>30.689500000000002</v>
      </c>
      <c r="I13" s="5"/>
      <c r="J13" s="15">
        <v>4160.9888000000001</v>
      </c>
      <c r="K13" s="16">
        <v>29.265799999999999</v>
      </c>
      <c r="L13" s="16">
        <v>37.636099999999999</v>
      </c>
      <c r="M13" s="16">
        <v>38.709600000000002</v>
      </c>
      <c r="N13" s="16">
        <v>13.335699999999999</v>
      </c>
      <c r="O13" s="16">
        <f t="shared" si="1"/>
        <v>31.492562499999998</v>
      </c>
      <c r="P13" s="7"/>
      <c r="Q13" s="8">
        <f>bdrate(C13:C16,D13:D16,J13:J16,K13:K16)</f>
        <v>-6.7470983460828582E-2</v>
      </c>
      <c r="R13" s="8">
        <f>bdrate(C13:C16,E13:E16,J13:J16,L13:L16)</f>
        <v>-0.14436809591018418</v>
      </c>
      <c r="S13" s="8">
        <f>bdrate(C13:C16,F13:F16,J13:J16,M13:M16)</f>
        <v>-0.16327898536356622</v>
      </c>
      <c r="T13" s="25">
        <f>bdrate(C13:C16,H13:H16,J13:J16,O13:O16)</f>
        <v>-7.9232234682491631E-2</v>
      </c>
      <c r="U13" s="28">
        <f t="shared" si="2"/>
        <v>0.99935532233883051</v>
      </c>
    </row>
    <row r="14" spans="1:21" x14ac:dyDescent="0.25">
      <c r="B14" s="9"/>
      <c r="C14" s="17">
        <v>3036.24</v>
      </c>
      <c r="D14" s="18">
        <v>27.129000000000001</v>
      </c>
      <c r="E14" s="18">
        <v>36.530999999999999</v>
      </c>
      <c r="F14" s="18">
        <v>37.695</v>
      </c>
      <c r="G14" s="18">
        <v>7.2</v>
      </c>
      <c r="H14" s="18">
        <f t="shared" si="0"/>
        <v>29.625</v>
      </c>
      <c r="I14" s="5"/>
      <c r="J14" s="17">
        <v>3128.7696000000001</v>
      </c>
      <c r="K14" s="18">
        <v>27.8401</v>
      </c>
      <c r="L14" s="18">
        <v>36.9711</v>
      </c>
      <c r="M14" s="18">
        <v>38.132300000000001</v>
      </c>
      <c r="N14" s="18">
        <v>15.0482</v>
      </c>
      <c r="O14" s="18">
        <f t="shared" si="1"/>
        <v>30.268000000000001</v>
      </c>
      <c r="P14" s="7"/>
      <c r="Q14" s="10"/>
      <c r="R14" s="11"/>
      <c r="S14" s="11"/>
      <c r="T14" s="26"/>
      <c r="U14" s="28">
        <f t="shared" si="2"/>
        <v>1.0900277777777776</v>
      </c>
    </row>
    <row r="15" spans="1:21" x14ac:dyDescent="0.25">
      <c r="B15" s="9"/>
      <c r="C15" s="17">
        <v>2023.79</v>
      </c>
      <c r="D15" s="18">
        <v>25.462</v>
      </c>
      <c r="E15" s="18">
        <v>35.625999999999998</v>
      </c>
      <c r="F15" s="18">
        <v>36.901000000000003</v>
      </c>
      <c r="G15" s="18">
        <v>8.33</v>
      </c>
      <c r="H15" s="18">
        <f t="shared" si="0"/>
        <v>28.162375000000001</v>
      </c>
      <c r="I15" s="5"/>
      <c r="J15" s="17">
        <v>2084.0128</v>
      </c>
      <c r="K15" s="18">
        <v>25.773299999999999</v>
      </c>
      <c r="L15" s="18">
        <v>36.035499999999999</v>
      </c>
      <c r="M15" s="18">
        <v>37.3384</v>
      </c>
      <c r="N15" s="18">
        <v>18.177399999999999</v>
      </c>
      <c r="O15" s="18">
        <f t="shared" si="1"/>
        <v>28.5017125</v>
      </c>
      <c r="P15" s="7"/>
      <c r="Q15" s="10"/>
      <c r="R15" s="11"/>
      <c r="S15" s="11"/>
      <c r="T15" s="26"/>
      <c r="U15" s="28">
        <f t="shared" si="2"/>
        <v>1.1821608643457382</v>
      </c>
    </row>
    <row r="16" spans="1:21" ht="16.5" thickBot="1" x14ac:dyDescent="0.3">
      <c r="B16" s="12"/>
      <c r="C16" s="19">
        <v>1429.96</v>
      </c>
      <c r="D16" s="20">
        <v>24.033999999999999</v>
      </c>
      <c r="E16" s="20">
        <v>34.951000000000001</v>
      </c>
      <c r="F16" s="20">
        <v>36.325000000000003</v>
      </c>
      <c r="G16" s="20">
        <v>8.98</v>
      </c>
      <c r="H16" s="20">
        <f t="shared" si="0"/>
        <v>26.935000000000002</v>
      </c>
      <c r="I16" s="5"/>
      <c r="J16" s="19">
        <v>1057.0655999999999</v>
      </c>
      <c r="K16" s="20">
        <v>22.634899999999998</v>
      </c>
      <c r="L16" s="20">
        <v>34.594200000000001</v>
      </c>
      <c r="M16" s="20">
        <v>35.884</v>
      </c>
      <c r="N16" s="20">
        <v>25.235499999999998</v>
      </c>
      <c r="O16" s="20">
        <f t="shared" si="1"/>
        <v>25.78595</v>
      </c>
      <c r="P16" s="7"/>
      <c r="Q16" s="13"/>
      <c r="R16" s="14"/>
      <c r="S16" s="14"/>
      <c r="T16" s="27"/>
      <c r="U16" s="28">
        <f t="shared" si="2"/>
        <v>1.8101893095768371</v>
      </c>
    </row>
    <row r="17" spans="1:21" x14ac:dyDescent="0.25">
      <c r="A17" s="6" t="s">
        <v>37</v>
      </c>
      <c r="B17" s="6" t="s">
        <v>48</v>
      </c>
      <c r="C17" s="15">
        <v>2107.7399999999998</v>
      </c>
      <c r="D17" s="16">
        <v>37.6</v>
      </c>
      <c r="E17" s="16">
        <v>40.113</v>
      </c>
      <c r="F17" s="16">
        <v>41.265999999999998</v>
      </c>
      <c r="G17" s="16">
        <v>12.76</v>
      </c>
      <c r="H17" s="16">
        <f t="shared" si="0"/>
        <v>38.372375000000005</v>
      </c>
      <c r="I17" s="5"/>
      <c r="J17" s="15">
        <v>2091.4151999999999</v>
      </c>
      <c r="K17" s="16">
        <v>38.108400000000003</v>
      </c>
      <c r="L17" s="16">
        <v>40.569099999999999</v>
      </c>
      <c r="M17" s="16">
        <v>41.726199999999999</v>
      </c>
      <c r="N17" s="16">
        <v>34.261200000000002</v>
      </c>
      <c r="O17" s="16">
        <f t="shared" si="1"/>
        <v>38.868212500000006</v>
      </c>
      <c r="P17" s="7"/>
      <c r="Q17" s="8">
        <f>bdrate(C17:C20,D17:D20,J17:J20,K17:K20)</f>
        <v>-7.9545946832575765E-2</v>
      </c>
      <c r="R17" s="8">
        <f>bdrate(C17:C20,E17:E20,J17:J20,L17:L20)</f>
        <v>-0.27747307043007063</v>
      </c>
      <c r="S17" s="8">
        <f>bdrate(C17:C20,F17:F20,J17:J20,M17:M20)</f>
        <v>-0.30954507083505023</v>
      </c>
      <c r="T17" s="25">
        <f>bdrate(C17:C20,H17:H20,J17:J20,O17:O20)</f>
        <v>-0.11135911047833547</v>
      </c>
      <c r="U17" s="28">
        <f t="shared" si="2"/>
        <v>1.685047021943574</v>
      </c>
    </row>
    <row r="18" spans="1:21" x14ac:dyDescent="0.25">
      <c r="A18" s="9" t="s">
        <v>38</v>
      </c>
      <c r="B18" s="9"/>
      <c r="C18" s="17">
        <v>1367.79</v>
      </c>
      <c r="D18" s="18">
        <v>36.319000000000003</v>
      </c>
      <c r="E18" s="18">
        <v>39.341000000000001</v>
      </c>
      <c r="F18" s="18">
        <v>40.567</v>
      </c>
      <c r="G18" s="18">
        <v>14.69</v>
      </c>
      <c r="H18" s="18">
        <f t="shared" si="0"/>
        <v>37.22775</v>
      </c>
      <c r="I18" s="5"/>
      <c r="J18" s="17">
        <v>1384.48</v>
      </c>
      <c r="K18" s="18">
        <v>36.696100000000001</v>
      </c>
      <c r="L18" s="18">
        <v>39.810600000000001</v>
      </c>
      <c r="M18" s="18">
        <v>41.035699999999999</v>
      </c>
      <c r="N18" s="18">
        <v>39.649799999999999</v>
      </c>
      <c r="O18" s="18">
        <f t="shared" si="1"/>
        <v>37.627862500000006</v>
      </c>
      <c r="P18" s="7"/>
      <c r="Q18" s="10"/>
      <c r="R18" s="11"/>
      <c r="S18" s="11"/>
      <c r="T18" s="26"/>
      <c r="U18" s="28">
        <f t="shared" si="2"/>
        <v>1.6991014295439075</v>
      </c>
    </row>
    <row r="19" spans="1:21" x14ac:dyDescent="0.25">
      <c r="B19" s="9"/>
      <c r="C19" s="17">
        <v>837.46</v>
      </c>
      <c r="D19" s="18">
        <v>34.716000000000001</v>
      </c>
      <c r="E19" s="18">
        <v>38.515999999999998</v>
      </c>
      <c r="F19" s="18">
        <v>39.904000000000003</v>
      </c>
      <c r="G19" s="18">
        <v>16.010000000000002</v>
      </c>
      <c r="H19" s="18">
        <f t="shared" si="0"/>
        <v>35.839500000000001</v>
      </c>
      <c r="I19" s="5"/>
      <c r="J19" s="17">
        <v>859.54319999999996</v>
      </c>
      <c r="K19" s="18">
        <v>35.028799999999997</v>
      </c>
      <c r="L19" s="18">
        <v>39.123600000000003</v>
      </c>
      <c r="M19" s="18">
        <v>40.461799999999997</v>
      </c>
      <c r="N19" s="18">
        <v>45.514899999999997</v>
      </c>
      <c r="O19" s="18">
        <f t="shared" si="1"/>
        <v>36.219774999999998</v>
      </c>
      <c r="P19" s="7"/>
      <c r="Q19" s="10"/>
      <c r="R19" s="11"/>
      <c r="S19" s="11"/>
      <c r="T19" s="26"/>
      <c r="U19" s="28">
        <f t="shared" si="2"/>
        <v>1.8429044347282943</v>
      </c>
    </row>
    <row r="20" spans="1:21" ht="16.5" thickBot="1" x14ac:dyDescent="0.3">
      <c r="B20" s="12"/>
      <c r="C20" s="19">
        <v>490.43</v>
      </c>
      <c r="D20" s="20">
        <v>32.942</v>
      </c>
      <c r="E20" s="20">
        <v>37.75</v>
      </c>
      <c r="F20" s="20">
        <v>39.26</v>
      </c>
      <c r="G20" s="20">
        <v>19.7</v>
      </c>
      <c r="H20" s="20">
        <f t="shared" si="0"/>
        <v>34.332749999999997</v>
      </c>
      <c r="I20" s="5"/>
      <c r="J20" s="19">
        <v>512.19759999999997</v>
      </c>
      <c r="K20" s="20">
        <v>33.232900000000001</v>
      </c>
      <c r="L20" s="20">
        <v>38.450400000000002</v>
      </c>
      <c r="M20" s="20">
        <v>39.934199999999997</v>
      </c>
      <c r="N20" s="20">
        <v>53.981099999999998</v>
      </c>
      <c r="O20" s="20">
        <f t="shared" si="1"/>
        <v>34.722749999999998</v>
      </c>
      <c r="P20" s="7"/>
      <c r="Q20" s="13"/>
      <c r="R20" s="14"/>
      <c r="S20" s="14"/>
      <c r="T20" s="27"/>
      <c r="U20" s="28">
        <f t="shared" si="2"/>
        <v>1.7401573604060911</v>
      </c>
    </row>
    <row r="21" spans="1:21" x14ac:dyDescent="0.25">
      <c r="B21" s="6" t="s">
        <v>49</v>
      </c>
      <c r="C21" s="15">
        <v>2333.9</v>
      </c>
      <c r="D21" s="16">
        <v>33.168999999999997</v>
      </c>
      <c r="E21" s="16">
        <v>37.223999999999997</v>
      </c>
      <c r="F21" s="16">
        <v>38.671999999999997</v>
      </c>
      <c r="G21" s="16">
        <v>15.29</v>
      </c>
      <c r="H21" s="16">
        <f t="shared" si="0"/>
        <v>34.363749999999996</v>
      </c>
      <c r="I21" s="5"/>
      <c r="J21" s="15">
        <v>2444.7048</v>
      </c>
      <c r="K21" s="16">
        <v>34.651299999999999</v>
      </c>
      <c r="L21" s="16">
        <v>38.579799999999999</v>
      </c>
      <c r="M21" s="16">
        <v>39.7348</v>
      </c>
      <c r="N21" s="16">
        <v>29.3614</v>
      </c>
      <c r="O21" s="16">
        <f t="shared" si="1"/>
        <v>35.777799999999999</v>
      </c>
      <c r="P21" s="7"/>
      <c r="Q21" s="8">
        <f>bdrate(C21:C24,D21:D24,J21:J24,K21:K24)</f>
        <v>-0.3141656657755667</v>
      </c>
      <c r="R21" s="8">
        <f>bdrate(C21:C24,E21:E24,J21:J24,L21:L24)</f>
        <v>-0.51050127502410436</v>
      </c>
      <c r="S21" s="8">
        <f>bdrate(C21:C24,F21:F24,J21:J24,M21:M24)</f>
        <v>-0.51409250047174226</v>
      </c>
      <c r="T21" s="25">
        <f>bdrate(C21:C24,H21:H24,J21:J24,O21:O24)</f>
        <v>-0.34485705733929373</v>
      </c>
      <c r="U21" s="28">
        <f t="shared" si="2"/>
        <v>0.92030085022890784</v>
      </c>
    </row>
    <row r="22" spans="1:21" x14ac:dyDescent="0.25">
      <c r="B22" s="9"/>
      <c r="C22" s="17">
        <v>1553.45</v>
      </c>
      <c r="D22" s="18">
        <v>32.097000000000001</v>
      </c>
      <c r="E22" s="18">
        <v>36.612000000000002</v>
      </c>
      <c r="F22" s="18">
        <v>38.295999999999999</v>
      </c>
      <c r="G22" s="18">
        <v>17.32</v>
      </c>
      <c r="H22" s="18">
        <f t="shared" si="0"/>
        <v>33.436250000000001</v>
      </c>
      <c r="I22" s="5"/>
      <c r="J22" s="17">
        <v>1635.7583999999999</v>
      </c>
      <c r="K22" s="18">
        <v>33.427199999999999</v>
      </c>
      <c r="L22" s="18">
        <v>37.797899999999998</v>
      </c>
      <c r="M22" s="18">
        <v>39.116700000000002</v>
      </c>
      <c r="N22" s="18">
        <v>34.261200000000002</v>
      </c>
      <c r="O22" s="18">
        <f t="shared" si="1"/>
        <v>34.684725</v>
      </c>
      <c r="P22" s="7"/>
      <c r="Q22" s="10"/>
      <c r="R22" s="11"/>
      <c r="S22" s="11"/>
      <c r="T22" s="26"/>
      <c r="U22" s="28">
        <f t="shared" si="2"/>
        <v>0.9781293302540417</v>
      </c>
    </row>
    <row r="23" spans="1:21" x14ac:dyDescent="0.25">
      <c r="B23" s="9"/>
      <c r="C23" s="17">
        <v>964.64</v>
      </c>
      <c r="D23" s="18">
        <v>30.959</v>
      </c>
      <c r="E23" s="18">
        <v>35.973999999999997</v>
      </c>
      <c r="F23" s="18">
        <v>37.844999999999999</v>
      </c>
      <c r="G23" s="18">
        <v>19.14</v>
      </c>
      <c r="H23" s="18">
        <f t="shared" si="0"/>
        <v>32.446624999999997</v>
      </c>
      <c r="I23" s="5"/>
      <c r="J23" s="17">
        <v>1014.3256</v>
      </c>
      <c r="K23" s="18">
        <v>32.033999999999999</v>
      </c>
      <c r="L23" s="18">
        <v>37.039299999999997</v>
      </c>
      <c r="M23" s="18">
        <v>38.576300000000003</v>
      </c>
      <c r="N23" s="18">
        <v>40.595399999999998</v>
      </c>
      <c r="O23" s="18">
        <f t="shared" si="1"/>
        <v>33.477450000000005</v>
      </c>
      <c r="P23" s="7"/>
      <c r="Q23" s="10"/>
      <c r="R23" s="11"/>
      <c r="S23" s="11"/>
      <c r="T23" s="26"/>
      <c r="U23" s="28">
        <f t="shared" si="2"/>
        <v>1.1209717868338556</v>
      </c>
    </row>
    <row r="24" spans="1:21" ht="16.5" thickBot="1" x14ac:dyDescent="0.3">
      <c r="B24" s="12"/>
      <c r="C24" s="19">
        <v>581.24</v>
      </c>
      <c r="D24" s="20">
        <v>29.858000000000001</v>
      </c>
      <c r="E24" s="20">
        <v>35.408999999999999</v>
      </c>
      <c r="F24" s="20">
        <v>37.368000000000002</v>
      </c>
      <c r="G24" s="20">
        <v>21.95</v>
      </c>
      <c r="H24" s="20">
        <f t="shared" si="0"/>
        <v>31.490624999999998</v>
      </c>
      <c r="I24" s="5"/>
      <c r="J24" s="19">
        <v>599.5376</v>
      </c>
      <c r="K24" s="20">
        <v>30.493600000000001</v>
      </c>
      <c r="L24" s="20">
        <v>36.275399999999998</v>
      </c>
      <c r="M24" s="20">
        <v>38.084600000000002</v>
      </c>
      <c r="N24" s="20">
        <v>50.441400000000002</v>
      </c>
      <c r="O24" s="20">
        <f t="shared" si="1"/>
        <v>32.165199999999999</v>
      </c>
      <c r="P24" s="7"/>
      <c r="Q24" s="13"/>
      <c r="R24" s="14"/>
      <c r="S24" s="14"/>
      <c r="T24" s="27"/>
      <c r="U24" s="28">
        <f t="shared" si="2"/>
        <v>1.2980136674259684</v>
      </c>
    </row>
    <row r="25" spans="1:21" x14ac:dyDescent="0.25">
      <c r="B25" s="6" t="s">
        <v>50</v>
      </c>
      <c r="C25" s="15">
        <v>2375</v>
      </c>
      <c r="D25" s="16">
        <v>31.824999999999999</v>
      </c>
      <c r="E25" s="16">
        <v>36.578000000000003</v>
      </c>
      <c r="F25" s="16">
        <v>37.552</v>
      </c>
      <c r="G25" s="16">
        <v>16.72</v>
      </c>
      <c r="H25" s="16">
        <f t="shared" si="0"/>
        <v>33.134999999999998</v>
      </c>
      <c r="I25" s="5"/>
      <c r="J25" s="15">
        <v>2472.444</v>
      </c>
      <c r="K25" s="16">
        <v>32.921700000000001</v>
      </c>
      <c r="L25" s="16">
        <v>37.2117</v>
      </c>
      <c r="M25" s="16">
        <v>38.5593</v>
      </c>
      <c r="N25" s="16">
        <v>41.573099999999997</v>
      </c>
      <c r="O25" s="16">
        <f t="shared" si="1"/>
        <v>34.162649999999999</v>
      </c>
      <c r="P25" s="7"/>
      <c r="Q25" s="8">
        <f>bdrate(C25:C28,D25:D28,J25:J28,K25:K28)</f>
        <v>-0.10565194944206846</v>
      </c>
      <c r="R25" s="8">
        <f>bdrate(C25:C28,E25:E28,J25:J28,L25:L28)</f>
        <v>-0.20718580417419996</v>
      </c>
      <c r="S25" s="8">
        <f>bdrate(C25:C28,F25:F28,J25:J28,M25:M28)</f>
        <v>-0.21063904424262714</v>
      </c>
      <c r="T25" s="25">
        <f>bdrate(C25:C28,H25:H28,J25:J28,O25:O28)</f>
        <v>-0.12355737148946866</v>
      </c>
      <c r="U25" s="28">
        <f t="shared" si="2"/>
        <v>1.4864294258373205</v>
      </c>
    </row>
    <row r="26" spans="1:21" x14ac:dyDescent="0.25">
      <c r="B26" s="9"/>
      <c r="C26" s="17">
        <v>1601.57</v>
      </c>
      <c r="D26" s="18">
        <v>30.884</v>
      </c>
      <c r="E26" s="18">
        <v>36.142000000000003</v>
      </c>
      <c r="F26" s="18">
        <v>36.883000000000003</v>
      </c>
      <c r="G26" s="18">
        <v>19.37</v>
      </c>
      <c r="H26" s="18">
        <f t="shared" si="0"/>
        <v>32.291125000000001</v>
      </c>
      <c r="I26" s="5"/>
      <c r="J26" s="17">
        <v>1646.5008</v>
      </c>
      <c r="K26" s="18">
        <v>31.610499999999998</v>
      </c>
      <c r="L26" s="18">
        <v>36.642099999999999</v>
      </c>
      <c r="M26" s="18">
        <v>37.6434</v>
      </c>
      <c r="N26" s="18">
        <v>50.556100000000001</v>
      </c>
      <c r="O26" s="18">
        <f t="shared" si="1"/>
        <v>32.993562499999996</v>
      </c>
      <c r="P26" s="7"/>
      <c r="Q26" s="10"/>
      <c r="R26" s="11"/>
      <c r="S26" s="11"/>
      <c r="T26" s="26"/>
      <c r="U26" s="28">
        <f t="shared" si="2"/>
        <v>1.6100206504904491</v>
      </c>
    </row>
    <row r="27" spans="1:21" x14ac:dyDescent="0.25">
      <c r="B27" s="9"/>
      <c r="C27" s="17">
        <v>994.49</v>
      </c>
      <c r="D27" s="18">
        <v>29.689</v>
      </c>
      <c r="E27" s="18">
        <v>35.591999999999999</v>
      </c>
      <c r="F27" s="18">
        <v>36.031999999999996</v>
      </c>
      <c r="G27" s="18">
        <v>21.54</v>
      </c>
      <c r="H27" s="18">
        <f t="shared" si="0"/>
        <v>31.219749999999998</v>
      </c>
      <c r="I27" s="5"/>
      <c r="J27" s="17">
        <v>1034.5856000000001</v>
      </c>
      <c r="K27" s="18">
        <v>30.048999999999999</v>
      </c>
      <c r="L27" s="18">
        <v>35.954300000000003</v>
      </c>
      <c r="M27" s="18">
        <v>36.5824</v>
      </c>
      <c r="N27" s="18">
        <v>59.687199999999997</v>
      </c>
      <c r="O27" s="18">
        <f t="shared" si="1"/>
        <v>31.603837499999997</v>
      </c>
      <c r="P27" s="7"/>
      <c r="Q27" s="10"/>
      <c r="R27" s="11"/>
      <c r="S27" s="11"/>
      <c r="T27" s="26"/>
      <c r="U27" s="28">
        <f t="shared" si="2"/>
        <v>1.7709935004642525</v>
      </c>
    </row>
    <row r="28" spans="1:21" ht="16.5" thickBot="1" x14ac:dyDescent="0.3">
      <c r="B28" s="12"/>
      <c r="C28" s="19">
        <v>592.49</v>
      </c>
      <c r="D28" s="20">
        <v>28.312999999999999</v>
      </c>
      <c r="E28" s="20">
        <v>34.866</v>
      </c>
      <c r="F28" s="20">
        <v>34.926000000000002</v>
      </c>
      <c r="G28" s="20">
        <v>24.69</v>
      </c>
      <c r="H28" s="20">
        <f t="shared" si="0"/>
        <v>29.958749999999995</v>
      </c>
      <c r="I28" s="5"/>
      <c r="J28" s="19">
        <v>618.45839999999998</v>
      </c>
      <c r="K28" s="20">
        <v>28.3</v>
      </c>
      <c r="L28" s="20">
        <v>35.027700000000003</v>
      </c>
      <c r="M28" s="20">
        <v>35.219900000000003</v>
      </c>
      <c r="N28" s="20">
        <v>73.013999999999996</v>
      </c>
      <c r="O28" s="20">
        <f t="shared" si="1"/>
        <v>30.005950000000002</v>
      </c>
      <c r="P28" s="7"/>
      <c r="Q28" s="13"/>
      <c r="R28" s="14"/>
      <c r="S28" s="14"/>
      <c r="T28" s="27"/>
      <c r="U28" s="28">
        <f t="shared" si="2"/>
        <v>1.9572296476306195</v>
      </c>
    </row>
    <row r="29" spans="1:21" x14ac:dyDescent="0.25">
      <c r="B29" s="6" t="s">
        <v>51</v>
      </c>
      <c r="C29" s="29">
        <v>2385.0300000000002</v>
      </c>
      <c r="D29" s="30">
        <v>32.734000000000002</v>
      </c>
      <c r="E29" s="30">
        <v>38.551000000000002</v>
      </c>
      <c r="F29" s="30">
        <v>37.999000000000002</v>
      </c>
      <c r="G29" s="16">
        <v>16.690000000000001</v>
      </c>
      <c r="H29" s="16">
        <f t="shared" si="0"/>
        <v>34.119250000000001</v>
      </c>
      <c r="I29" s="5"/>
      <c r="J29" s="29">
        <v>2445.9704000000002</v>
      </c>
      <c r="K29" s="30">
        <v>33.270699999999998</v>
      </c>
      <c r="L29" s="30">
        <v>39.063899999999997</v>
      </c>
      <c r="M29" s="30">
        <v>38.383899999999997</v>
      </c>
      <c r="N29" s="16">
        <v>38.756700000000002</v>
      </c>
      <c r="O29" s="16">
        <f t="shared" si="1"/>
        <v>34.633999999999993</v>
      </c>
      <c r="P29" s="7"/>
      <c r="Q29" s="8">
        <f>bdrate(C29:C32,D29:D32,J29:J32,K29:K32)</f>
        <v>-9.2881725911693414E-2</v>
      </c>
      <c r="R29" s="8">
        <f>bdrate(C29:C32,E29:E32,J29:J32,L29:L32)</f>
        <v>-8.3969614360163258E-2</v>
      </c>
      <c r="S29" s="8">
        <f>bdrate(C29:C32,F29:F32,J29:J32,M29:M32)</f>
        <v>1.3622283281707004E-2</v>
      </c>
      <c r="T29" s="25">
        <f>bdrate(C29:C32,H29:H32,J29:J32,O29:O32)</f>
        <v>-7.9328550788600682E-2</v>
      </c>
      <c r="U29" s="28">
        <f t="shared" si="2"/>
        <v>1.3221509886159377</v>
      </c>
    </row>
    <row r="30" spans="1:21" x14ac:dyDescent="0.25">
      <c r="B30" s="9"/>
      <c r="C30" s="31">
        <v>1587.49</v>
      </c>
      <c r="D30" s="32">
        <v>31.459</v>
      </c>
      <c r="E30" s="32">
        <v>37.746000000000002</v>
      </c>
      <c r="F30" s="32">
        <v>36.975000000000001</v>
      </c>
      <c r="G30" s="18">
        <v>18.899999999999999</v>
      </c>
      <c r="H30" s="18">
        <f t="shared" si="0"/>
        <v>32.934375000000003</v>
      </c>
      <c r="I30" s="5"/>
      <c r="J30" s="31">
        <v>1625.7552000000001</v>
      </c>
      <c r="K30" s="32">
        <v>31.920100000000001</v>
      </c>
      <c r="L30" s="32">
        <v>38.141599999999997</v>
      </c>
      <c r="M30" s="32">
        <v>37.123800000000003</v>
      </c>
      <c r="N30" s="18">
        <v>46.930700000000002</v>
      </c>
      <c r="O30" s="18">
        <f t="shared" si="1"/>
        <v>33.34825</v>
      </c>
      <c r="P30" s="7"/>
      <c r="Q30" s="10"/>
      <c r="R30" s="11"/>
      <c r="S30" s="11"/>
      <c r="T30" s="26"/>
      <c r="U30" s="28">
        <f t="shared" si="2"/>
        <v>1.4831058201058205</v>
      </c>
    </row>
    <row r="31" spans="1:21" x14ac:dyDescent="0.25">
      <c r="B31" s="9"/>
      <c r="C31" s="31">
        <v>984.72</v>
      </c>
      <c r="D31" s="32">
        <v>29.934999999999999</v>
      </c>
      <c r="E31" s="32">
        <v>36.665999999999997</v>
      </c>
      <c r="F31" s="32">
        <v>35.557000000000002</v>
      </c>
      <c r="G31" s="18">
        <v>21.09</v>
      </c>
      <c r="H31" s="18">
        <f t="shared" si="0"/>
        <v>31.479124999999996</v>
      </c>
      <c r="I31" s="5"/>
      <c r="J31" s="31">
        <v>1017.7944</v>
      </c>
      <c r="K31" s="32">
        <v>30.330500000000001</v>
      </c>
      <c r="L31" s="32">
        <v>36.944099999999999</v>
      </c>
      <c r="M31" s="32">
        <v>35.549900000000001</v>
      </c>
      <c r="N31" s="18">
        <v>55.934699999999999</v>
      </c>
      <c r="O31" s="18">
        <f t="shared" si="1"/>
        <v>31.809625</v>
      </c>
      <c r="P31" s="7"/>
      <c r="Q31" s="10"/>
      <c r="R31" s="11"/>
      <c r="S31" s="11"/>
      <c r="T31" s="26"/>
      <c r="U31" s="28">
        <f t="shared" si="2"/>
        <v>1.6521906116642959</v>
      </c>
    </row>
    <row r="32" spans="1:21" ht="16.5" thickBot="1" x14ac:dyDescent="0.3">
      <c r="B32" s="12"/>
      <c r="C32" s="33">
        <v>584.94000000000005</v>
      </c>
      <c r="D32" s="34">
        <v>28.238</v>
      </c>
      <c r="E32" s="34">
        <v>35.061</v>
      </c>
      <c r="F32" s="34">
        <v>33.801000000000002</v>
      </c>
      <c r="G32" s="20">
        <v>19.91</v>
      </c>
      <c r="H32" s="20">
        <f t="shared" si="0"/>
        <v>29.786250000000003</v>
      </c>
      <c r="I32" s="5"/>
      <c r="J32" s="33">
        <v>611.63520000000005</v>
      </c>
      <c r="K32" s="34">
        <v>28.579799999999999</v>
      </c>
      <c r="L32" s="34">
        <v>35.252200000000002</v>
      </c>
      <c r="M32" s="34">
        <v>33.6661</v>
      </c>
      <c r="N32" s="20">
        <v>67.331000000000003</v>
      </c>
      <c r="O32" s="20">
        <f t="shared" si="1"/>
        <v>30.049637499999999</v>
      </c>
      <c r="P32" s="7"/>
      <c r="Q32" s="13"/>
      <c r="R32" s="14"/>
      <c r="S32" s="14"/>
      <c r="T32" s="27"/>
      <c r="U32" s="28">
        <f t="shared" si="2"/>
        <v>2.3817679558011053</v>
      </c>
    </row>
    <row r="33" spans="1:21" x14ac:dyDescent="0.25">
      <c r="B33" s="6" t="s">
        <v>52</v>
      </c>
      <c r="C33" s="15">
        <v>2379.13</v>
      </c>
      <c r="D33" s="16">
        <v>29.795000000000002</v>
      </c>
      <c r="E33" s="16">
        <v>37.317</v>
      </c>
      <c r="F33" s="16">
        <v>40.01</v>
      </c>
      <c r="G33" s="16">
        <v>21.18</v>
      </c>
      <c r="H33" s="16">
        <f t="shared" si="0"/>
        <v>32.012125000000005</v>
      </c>
      <c r="I33" s="5"/>
      <c r="J33" s="15">
        <v>2483.6615999999999</v>
      </c>
      <c r="K33" s="16">
        <v>32.168500000000002</v>
      </c>
      <c r="L33" s="16">
        <v>38.330199999999998</v>
      </c>
      <c r="M33" s="16">
        <v>40.875999999999998</v>
      </c>
      <c r="N33" s="16">
        <v>39.528300000000002</v>
      </c>
      <c r="O33" s="16">
        <f t="shared" si="1"/>
        <v>34.027149999999999</v>
      </c>
      <c r="P33" s="7"/>
      <c r="Q33" s="8">
        <f>bdrate(C33:C36,D33:D36,J33:J36,K33:K36)</f>
        <v>-0.62559499795807638</v>
      </c>
      <c r="R33" s="8">
        <f>bdrate(C33:C36,E33:E36,J33:J36,L33:L36)</f>
        <v>-0.53580923110358891</v>
      </c>
      <c r="S33" s="8">
        <f>bdrate(C33:C36,F33:F36,J33:J36,M33:M36)</f>
        <v>-0.4467927012095898</v>
      </c>
      <c r="T33" s="25">
        <f>bdrate(C33:C36,H33:H36,J33:J36,O33:O36)</f>
        <v>-0.61150664591804915</v>
      </c>
      <c r="U33" s="28">
        <f t="shared" si="2"/>
        <v>0.86630311614730893</v>
      </c>
    </row>
    <row r="34" spans="1:21" x14ac:dyDescent="0.25">
      <c r="B34" s="9"/>
      <c r="C34" s="17">
        <v>1582.32</v>
      </c>
      <c r="D34" s="18">
        <v>28.904</v>
      </c>
      <c r="E34" s="18">
        <v>36.963999999999999</v>
      </c>
      <c r="F34" s="18">
        <v>39.673000000000002</v>
      </c>
      <c r="G34" s="18">
        <v>23.05</v>
      </c>
      <c r="H34" s="18">
        <f t="shared" si="0"/>
        <v>31.257625000000001</v>
      </c>
      <c r="I34" s="5"/>
      <c r="J34" s="17">
        <v>1635.5183999999999</v>
      </c>
      <c r="K34" s="18">
        <v>31.313300000000002</v>
      </c>
      <c r="L34" s="18">
        <v>37.845700000000001</v>
      </c>
      <c r="M34" s="18">
        <v>40.421599999999998</v>
      </c>
      <c r="N34" s="18">
        <v>45.571899999999999</v>
      </c>
      <c r="O34" s="18">
        <f t="shared" si="1"/>
        <v>33.268387500000003</v>
      </c>
      <c r="P34" s="7"/>
      <c r="Q34" s="10"/>
      <c r="R34" s="11"/>
      <c r="S34" s="11"/>
      <c r="T34" s="26"/>
      <c r="U34" s="28">
        <f t="shared" si="2"/>
        <v>0.97708893709327538</v>
      </c>
    </row>
    <row r="35" spans="1:21" x14ac:dyDescent="0.25">
      <c r="B35" s="9"/>
      <c r="C35" s="17">
        <v>980.92</v>
      </c>
      <c r="D35" s="18">
        <v>27.827999999999999</v>
      </c>
      <c r="E35" s="18">
        <v>36.564999999999998</v>
      </c>
      <c r="F35" s="18">
        <v>39.271999999999998</v>
      </c>
      <c r="G35" s="18">
        <v>26.54</v>
      </c>
      <c r="H35" s="18">
        <f t="shared" si="0"/>
        <v>30.350624999999997</v>
      </c>
      <c r="I35" s="5"/>
      <c r="J35" s="17">
        <v>1030.3968</v>
      </c>
      <c r="K35" s="18">
        <v>30.255400000000002</v>
      </c>
      <c r="L35" s="18">
        <v>37.347200000000001</v>
      </c>
      <c r="M35" s="18">
        <v>39.928400000000003</v>
      </c>
      <c r="N35" s="18">
        <v>53.494999999999997</v>
      </c>
      <c r="O35" s="18">
        <f t="shared" si="1"/>
        <v>32.350999999999999</v>
      </c>
      <c r="P35" s="7"/>
      <c r="Q35" s="10"/>
      <c r="R35" s="11"/>
      <c r="S35" s="11"/>
      <c r="T35" s="26"/>
      <c r="U35" s="28">
        <f t="shared" si="2"/>
        <v>1.0156367746797286</v>
      </c>
    </row>
    <row r="36" spans="1:21" ht="16.5" thickBot="1" x14ac:dyDescent="0.3">
      <c r="B36" s="12"/>
      <c r="C36" s="19">
        <v>550.39</v>
      </c>
      <c r="D36" s="20">
        <v>26.257000000000001</v>
      </c>
      <c r="E36" s="20">
        <v>36.002000000000002</v>
      </c>
      <c r="F36" s="20">
        <v>38.951000000000001</v>
      </c>
      <c r="G36" s="20">
        <v>29.38</v>
      </c>
      <c r="H36" s="20">
        <f t="shared" si="0"/>
        <v>29.061875000000001</v>
      </c>
      <c r="I36" s="5"/>
      <c r="J36" s="19">
        <v>613.10640000000001</v>
      </c>
      <c r="K36" s="20">
        <v>28.8858</v>
      </c>
      <c r="L36" s="20">
        <v>36.7196</v>
      </c>
      <c r="M36" s="20">
        <v>39.194499999999998</v>
      </c>
      <c r="N36" s="20">
        <v>64</v>
      </c>
      <c r="O36" s="20">
        <f t="shared" si="1"/>
        <v>31.153612500000001</v>
      </c>
      <c r="P36" s="7"/>
      <c r="Q36" s="13"/>
      <c r="R36" s="14"/>
      <c r="S36" s="14"/>
      <c r="T36" s="27"/>
      <c r="U36" s="28">
        <f t="shared" si="2"/>
        <v>1.1783526208304971</v>
      </c>
    </row>
    <row r="37" spans="1:21" x14ac:dyDescent="0.25">
      <c r="A37" s="6" t="s">
        <v>39</v>
      </c>
      <c r="B37" s="6" t="s">
        <v>53</v>
      </c>
      <c r="C37" s="15">
        <v>1218.77</v>
      </c>
      <c r="D37" s="16">
        <v>32.667999999999999</v>
      </c>
      <c r="E37" s="16">
        <v>36.192999999999998</v>
      </c>
      <c r="F37" s="16">
        <v>35.968000000000004</v>
      </c>
      <c r="G37" s="16">
        <v>61.05</v>
      </c>
      <c r="H37" s="16">
        <f t="shared" si="0"/>
        <v>33.521124999999998</v>
      </c>
      <c r="I37" s="5"/>
      <c r="J37" s="15">
        <v>1246.6944000000001</v>
      </c>
      <c r="K37" s="16">
        <v>33.611800000000002</v>
      </c>
      <c r="L37" s="16">
        <v>37.467799999999997</v>
      </c>
      <c r="M37" s="16">
        <v>37.351799999999997</v>
      </c>
      <c r="N37" s="16">
        <v>144.34180000000001</v>
      </c>
      <c r="O37" s="16">
        <f t="shared" si="1"/>
        <v>34.561300000000003</v>
      </c>
      <c r="P37" s="7"/>
      <c r="Q37" s="8">
        <f>bdrate(C37:C40,D37:D40,J37:J40,K37:K40)</f>
        <v>-0.18222625094110012</v>
      </c>
      <c r="R37" s="8">
        <f>bdrate(C37:C40,E37:E40,J37:J40,L37:L40)</f>
        <v>-0.17891756057667241</v>
      </c>
      <c r="S37" s="8">
        <f>bdrate(C37:C40,F37:F40,J37:J40,M37:M40)</f>
        <v>-0.15649825861717992</v>
      </c>
      <c r="T37" s="25">
        <f>bdrate(C37:C40,H37:H40,J37:J40,O37:O40)</f>
        <v>-0.18070843942842019</v>
      </c>
      <c r="U37" s="28">
        <f t="shared" si="2"/>
        <v>1.3643210483210486</v>
      </c>
    </row>
    <row r="38" spans="1:21" x14ac:dyDescent="0.25">
      <c r="A38" s="9" t="s">
        <v>40</v>
      </c>
      <c r="B38" s="9"/>
      <c r="C38" s="17">
        <v>810.67</v>
      </c>
      <c r="D38" s="18">
        <v>31.305</v>
      </c>
      <c r="E38" s="18">
        <v>35.421999999999997</v>
      </c>
      <c r="F38" s="18">
        <v>35.098999999999997</v>
      </c>
      <c r="G38" s="18">
        <v>67.19</v>
      </c>
      <c r="H38" s="18">
        <f t="shared" si="0"/>
        <v>32.293875</v>
      </c>
      <c r="I38" s="5"/>
      <c r="J38" s="17">
        <v>829.68079999999998</v>
      </c>
      <c r="K38" s="18">
        <v>32.213900000000002</v>
      </c>
      <c r="L38" s="18">
        <v>36.316299999999998</v>
      </c>
      <c r="M38" s="18">
        <v>35.962299999999999</v>
      </c>
      <c r="N38" s="18">
        <v>177.1165</v>
      </c>
      <c r="O38" s="18">
        <f t="shared" si="1"/>
        <v>33.195250000000001</v>
      </c>
      <c r="P38" s="7"/>
      <c r="Q38" s="10"/>
      <c r="R38" s="11"/>
      <c r="S38" s="11"/>
      <c r="T38" s="26"/>
      <c r="U38" s="28">
        <f t="shared" si="2"/>
        <v>1.6360544723917252</v>
      </c>
    </row>
    <row r="39" spans="1:21" x14ac:dyDescent="0.25">
      <c r="B39" s="9"/>
      <c r="C39" s="17">
        <v>504.89</v>
      </c>
      <c r="D39" s="18">
        <v>29.843</v>
      </c>
      <c r="E39" s="18">
        <v>34.347999999999999</v>
      </c>
      <c r="F39" s="18">
        <v>33.847000000000001</v>
      </c>
      <c r="G39" s="18">
        <v>76.13</v>
      </c>
      <c r="H39" s="18">
        <f t="shared" si="0"/>
        <v>30.906625000000002</v>
      </c>
      <c r="I39" s="5"/>
      <c r="J39" s="17">
        <v>516.73440000000005</v>
      </c>
      <c r="K39" s="18">
        <v>30.550599999999999</v>
      </c>
      <c r="L39" s="18">
        <v>34.881500000000003</v>
      </c>
      <c r="M39" s="18">
        <v>34.366599999999998</v>
      </c>
      <c r="N39" s="18">
        <v>216.6378</v>
      </c>
      <c r="O39" s="18">
        <f t="shared" si="1"/>
        <v>31.568962499999998</v>
      </c>
      <c r="P39" s="7"/>
      <c r="Q39" s="10"/>
      <c r="R39" s="11"/>
      <c r="S39" s="11"/>
      <c r="T39" s="26"/>
      <c r="U39" s="28">
        <f t="shared" si="2"/>
        <v>1.8456298436884278</v>
      </c>
    </row>
    <row r="40" spans="1:21" ht="16.5" thickBot="1" x14ac:dyDescent="0.3">
      <c r="B40" s="12"/>
      <c r="C40" s="19">
        <v>302.56</v>
      </c>
      <c r="D40" s="20">
        <v>28.481999999999999</v>
      </c>
      <c r="E40" s="20">
        <v>33.097999999999999</v>
      </c>
      <c r="F40" s="20">
        <v>32.463000000000001</v>
      </c>
      <c r="G40" s="20">
        <v>86.15</v>
      </c>
      <c r="H40" s="20">
        <f t="shared" si="0"/>
        <v>29.556625</v>
      </c>
      <c r="I40" s="5"/>
      <c r="J40" s="19">
        <v>312.32080000000002</v>
      </c>
      <c r="K40" s="20">
        <v>28.747299999999999</v>
      </c>
      <c r="L40" s="20">
        <v>33.241300000000003</v>
      </c>
      <c r="M40" s="20">
        <v>32.595700000000001</v>
      </c>
      <c r="N40" s="20">
        <v>271.73910000000001</v>
      </c>
      <c r="O40" s="20">
        <f t="shared" si="1"/>
        <v>29.790099999999999</v>
      </c>
      <c r="P40" s="7"/>
      <c r="Q40" s="13"/>
      <c r="R40" s="14"/>
      <c r="S40" s="14"/>
      <c r="T40" s="27"/>
      <c r="U40" s="28">
        <f t="shared" si="2"/>
        <v>2.1542553685432386</v>
      </c>
    </row>
    <row r="41" spans="1:21" x14ac:dyDescent="0.25">
      <c r="B41" s="6" t="s">
        <v>54</v>
      </c>
      <c r="C41" s="15">
        <v>1227.77</v>
      </c>
      <c r="D41" s="16">
        <v>31.852</v>
      </c>
      <c r="E41" s="16">
        <v>37.426000000000002</v>
      </c>
      <c r="F41" s="16">
        <v>38.174999999999997</v>
      </c>
      <c r="G41" s="16">
        <v>67.95</v>
      </c>
      <c r="H41" s="16">
        <f t="shared" si="0"/>
        <v>33.339125000000003</v>
      </c>
      <c r="I41" s="5"/>
      <c r="J41" s="15">
        <v>1212.68</v>
      </c>
      <c r="K41" s="16">
        <v>33.727600000000002</v>
      </c>
      <c r="L41" s="16">
        <v>38.725200000000001</v>
      </c>
      <c r="M41" s="16">
        <v>39.459499999999998</v>
      </c>
      <c r="N41" s="16">
        <v>136.3946</v>
      </c>
      <c r="O41" s="16">
        <f t="shared" si="1"/>
        <v>35.068787500000006</v>
      </c>
      <c r="P41" s="7"/>
      <c r="Q41" s="8">
        <f>bdrate(C41:C44,D41:D44,J41:J44,K41:K44)</f>
        <v>-0.32913866050963592</v>
      </c>
      <c r="R41" s="8">
        <f>bdrate(C41:C44,E41:E44,J41:J44,L41:L44)</f>
        <v>-0.36653152611298079</v>
      </c>
      <c r="S41" s="8">
        <f>bdrate(C41:C44,F41:F44,J41:J44,M41:M44)</f>
        <v>-0.32563173528969935</v>
      </c>
      <c r="T41" s="25">
        <f>bdrate(C41:C44,H41:H44,J41:J44,O41:O44)</f>
        <v>-0.33221464978941928</v>
      </c>
      <c r="U41" s="28">
        <f t="shared" si="2"/>
        <v>1.0072788815305371</v>
      </c>
    </row>
    <row r="42" spans="1:21" x14ac:dyDescent="0.25">
      <c r="B42" s="9"/>
      <c r="C42" s="17">
        <v>820.25</v>
      </c>
      <c r="D42" s="18">
        <v>30.591000000000001</v>
      </c>
      <c r="E42" s="18">
        <v>36.622</v>
      </c>
      <c r="F42" s="18">
        <v>37.277000000000001</v>
      </c>
      <c r="G42" s="18">
        <v>75.849999999999994</v>
      </c>
      <c r="H42" s="18">
        <f t="shared" si="0"/>
        <v>32.180624999999999</v>
      </c>
      <c r="I42" s="5"/>
      <c r="J42" s="17">
        <v>805.84720000000004</v>
      </c>
      <c r="K42" s="18">
        <v>32.180599999999998</v>
      </c>
      <c r="L42" s="18">
        <v>37.7121</v>
      </c>
      <c r="M42" s="18">
        <v>38.372500000000002</v>
      </c>
      <c r="N42" s="18">
        <v>166.48169999999999</v>
      </c>
      <c r="O42" s="18">
        <f t="shared" si="1"/>
        <v>33.646024999999995</v>
      </c>
      <c r="P42" s="7"/>
      <c r="Q42" s="10"/>
      <c r="R42" s="11"/>
      <c r="S42" s="11"/>
      <c r="T42" s="26"/>
      <c r="U42" s="28">
        <f t="shared" si="2"/>
        <v>1.1948806855636125</v>
      </c>
    </row>
    <row r="43" spans="1:21" x14ac:dyDescent="0.25">
      <c r="B43" s="9"/>
      <c r="C43" s="17">
        <v>507.99</v>
      </c>
      <c r="D43" s="18">
        <v>29.111000000000001</v>
      </c>
      <c r="E43" s="18">
        <v>35.677</v>
      </c>
      <c r="F43" s="18">
        <v>36.174999999999997</v>
      </c>
      <c r="G43" s="18">
        <v>85.09</v>
      </c>
      <c r="H43" s="18">
        <f t="shared" si="0"/>
        <v>30.814749999999997</v>
      </c>
      <c r="I43" s="5"/>
      <c r="J43" s="17">
        <v>502.1832</v>
      </c>
      <c r="K43" s="18">
        <v>30.3687</v>
      </c>
      <c r="L43" s="18">
        <v>36.560200000000002</v>
      </c>
      <c r="M43" s="18">
        <v>37.068100000000001</v>
      </c>
      <c r="N43" s="18">
        <v>202.42910000000001</v>
      </c>
      <c r="O43" s="18">
        <f t="shared" si="1"/>
        <v>31.980062500000003</v>
      </c>
      <c r="P43" s="7"/>
      <c r="Q43" s="10"/>
      <c r="R43" s="11"/>
      <c r="S43" s="11"/>
      <c r="T43" s="26"/>
      <c r="U43" s="28">
        <f t="shared" si="2"/>
        <v>1.3789998824773768</v>
      </c>
    </row>
    <row r="44" spans="1:21" ht="16.5" thickBot="1" x14ac:dyDescent="0.3">
      <c r="B44" s="12"/>
      <c r="C44" s="19">
        <v>302.68</v>
      </c>
      <c r="D44" s="20">
        <v>27.547999999999998</v>
      </c>
      <c r="E44" s="20">
        <v>34.631999999999998</v>
      </c>
      <c r="F44" s="20">
        <v>34.908000000000001</v>
      </c>
      <c r="G44" s="20">
        <v>94.73</v>
      </c>
      <c r="H44" s="20">
        <f t="shared" si="0"/>
        <v>29.353499999999997</v>
      </c>
      <c r="I44" s="5"/>
      <c r="J44" s="19">
        <v>302.23680000000002</v>
      </c>
      <c r="K44" s="20">
        <v>28.3751</v>
      </c>
      <c r="L44" s="20">
        <v>35.4422</v>
      </c>
      <c r="M44" s="20">
        <v>35.690100000000001</v>
      </c>
      <c r="N44" s="20">
        <v>256.41030000000001</v>
      </c>
      <c r="O44" s="20">
        <f t="shared" si="1"/>
        <v>30.172862499999997</v>
      </c>
      <c r="P44" s="7"/>
      <c r="Q44" s="13"/>
      <c r="R44" s="14"/>
      <c r="S44" s="14"/>
      <c r="T44" s="27"/>
      <c r="U44" s="28">
        <f t="shared" si="2"/>
        <v>1.7067486540694603</v>
      </c>
    </row>
    <row r="45" spans="1:21" x14ac:dyDescent="0.25">
      <c r="B45" s="6" t="s">
        <v>55</v>
      </c>
      <c r="C45" s="15">
        <v>1139.58</v>
      </c>
      <c r="D45" s="16">
        <v>26.18</v>
      </c>
      <c r="E45" s="16">
        <v>33.366</v>
      </c>
      <c r="F45" s="16">
        <v>34.036999999999999</v>
      </c>
      <c r="G45" s="16">
        <v>66.36</v>
      </c>
      <c r="H45" s="16">
        <f t="shared" si="0"/>
        <v>28.060374999999997</v>
      </c>
      <c r="I45" s="5"/>
      <c r="J45" s="15">
        <v>1202.212</v>
      </c>
      <c r="K45" s="16">
        <v>27.856300000000001</v>
      </c>
      <c r="L45" s="16">
        <v>34.511099999999999</v>
      </c>
      <c r="M45" s="16">
        <v>35.195500000000003</v>
      </c>
      <c r="N45" s="16">
        <v>123.27419999999999</v>
      </c>
      <c r="O45" s="16">
        <f t="shared" si="1"/>
        <v>29.605550000000001</v>
      </c>
      <c r="P45" s="7"/>
      <c r="Q45" s="8">
        <f>bdrate(C45:C48,D45:D48,J45:J48,K45:K48)</f>
        <v>-0.4170024094864716</v>
      </c>
      <c r="R45" s="8">
        <f>bdrate(C45:C48,E45:E48,J45:J48,L45:L48)</f>
        <v>-0.45214084881443461</v>
      </c>
      <c r="S45" s="8">
        <f>bdrate(C45:C48,F45:F48,J45:J48,M45:M48)</f>
        <v>-0.4061452154136872</v>
      </c>
      <c r="T45" s="25">
        <f>bdrate(C45:C48,H45:H48,J45:J48,O45:O48)</f>
        <v>-0.41928777361859193</v>
      </c>
      <c r="U45" s="28">
        <f t="shared" si="2"/>
        <v>0.8576582278481012</v>
      </c>
    </row>
    <row r="46" spans="1:21" x14ac:dyDescent="0.25">
      <c r="B46" s="9"/>
      <c r="C46" s="17">
        <v>756.15</v>
      </c>
      <c r="D46" s="18">
        <v>25.148</v>
      </c>
      <c r="E46" s="18">
        <v>32.792999999999999</v>
      </c>
      <c r="F46" s="18">
        <v>33.508000000000003</v>
      </c>
      <c r="G46" s="18">
        <v>74.72</v>
      </c>
      <c r="H46" s="18">
        <f t="shared" si="0"/>
        <v>27.148625000000003</v>
      </c>
      <c r="I46" s="5"/>
      <c r="J46" s="17">
        <v>803.39599999999996</v>
      </c>
      <c r="K46" s="18">
        <v>26.688099999999999</v>
      </c>
      <c r="L46" s="18">
        <v>33.8005</v>
      </c>
      <c r="M46" s="18">
        <v>34.4726</v>
      </c>
      <c r="N46" s="18">
        <v>151.92949999999999</v>
      </c>
      <c r="O46" s="18">
        <f t="shared" si="1"/>
        <v>28.550212500000001</v>
      </c>
      <c r="P46" s="7"/>
      <c r="Q46" s="10"/>
      <c r="R46" s="11"/>
      <c r="S46" s="11"/>
      <c r="T46" s="26"/>
      <c r="U46" s="28">
        <f t="shared" si="2"/>
        <v>1.0333177194860812</v>
      </c>
    </row>
    <row r="47" spans="1:21" x14ac:dyDescent="0.25">
      <c r="B47" s="9"/>
      <c r="C47" s="17">
        <v>470.51</v>
      </c>
      <c r="D47" s="18">
        <v>24.120999999999999</v>
      </c>
      <c r="E47" s="18">
        <v>32.195999999999998</v>
      </c>
      <c r="F47" s="18">
        <v>32.924999999999997</v>
      </c>
      <c r="G47" s="18">
        <v>81.14</v>
      </c>
      <c r="H47" s="18">
        <f t="shared" si="0"/>
        <v>26.230874999999997</v>
      </c>
      <c r="I47" s="5"/>
      <c r="J47" s="17">
        <v>508.11520000000002</v>
      </c>
      <c r="K47" s="18">
        <v>25.500900000000001</v>
      </c>
      <c r="L47" s="18">
        <v>33.079099999999997</v>
      </c>
      <c r="M47" s="18">
        <v>33.703400000000002</v>
      </c>
      <c r="N47" s="18">
        <v>186.28909999999999</v>
      </c>
      <c r="O47" s="18">
        <f t="shared" si="1"/>
        <v>27.473487499999997</v>
      </c>
      <c r="P47" s="7"/>
      <c r="Q47" s="10"/>
      <c r="R47" s="11"/>
      <c r="S47" s="11"/>
      <c r="T47" s="26"/>
      <c r="U47" s="28">
        <f t="shared" si="2"/>
        <v>1.295897214690658</v>
      </c>
    </row>
    <row r="48" spans="1:21" ht="16.5" thickBot="1" x14ac:dyDescent="0.3">
      <c r="B48" s="12"/>
      <c r="C48" s="19">
        <v>282.45</v>
      </c>
      <c r="D48" s="20">
        <v>23.206</v>
      </c>
      <c r="E48" s="20">
        <v>31.5</v>
      </c>
      <c r="F48" s="20">
        <v>32.274000000000001</v>
      </c>
      <c r="G48" s="20">
        <v>95.95</v>
      </c>
      <c r="H48" s="20">
        <f t="shared" si="0"/>
        <v>25.376249999999999</v>
      </c>
      <c r="I48" s="5"/>
      <c r="J48" s="19">
        <v>307.0736</v>
      </c>
      <c r="K48" s="20">
        <v>24.313099999999999</v>
      </c>
      <c r="L48" s="20">
        <v>32.3964</v>
      </c>
      <c r="M48" s="20">
        <v>32.948900000000002</v>
      </c>
      <c r="N48" s="20">
        <v>244.7381</v>
      </c>
      <c r="O48" s="20">
        <f t="shared" si="1"/>
        <v>26.402987500000002</v>
      </c>
      <c r="P48" s="7"/>
      <c r="Q48" s="13"/>
      <c r="R48" s="14"/>
      <c r="S48" s="14"/>
      <c r="T48" s="27"/>
      <c r="U48" s="28">
        <f t="shared" si="2"/>
        <v>1.5506836894215736</v>
      </c>
    </row>
    <row r="49" spans="1:21" x14ac:dyDescent="0.25">
      <c r="B49" s="6" t="s">
        <v>56</v>
      </c>
      <c r="C49" s="15">
        <v>1152.25</v>
      </c>
      <c r="D49" s="16">
        <v>30.946000000000002</v>
      </c>
      <c r="E49" s="16">
        <v>35.445</v>
      </c>
      <c r="F49" s="16">
        <v>36.973999999999997</v>
      </c>
      <c r="G49" s="16">
        <v>46.22</v>
      </c>
      <c r="H49" s="16">
        <f t="shared" si="0"/>
        <v>32.261875000000003</v>
      </c>
      <c r="I49" s="5"/>
      <c r="J49" s="15">
        <v>1170.3255999999999</v>
      </c>
      <c r="K49" s="16">
        <v>32.033799999999999</v>
      </c>
      <c r="L49" s="16">
        <v>36.08</v>
      </c>
      <c r="M49" s="16">
        <v>37.592500000000001</v>
      </c>
      <c r="N49" s="16">
        <v>101.76390000000001</v>
      </c>
      <c r="O49" s="16">
        <f t="shared" si="1"/>
        <v>33.234412500000005</v>
      </c>
      <c r="P49" s="7"/>
      <c r="Q49" s="8">
        <f>bdrate(C49:C52,D49:D52,J49:J52,K49:K52)</f>
        <v>-0.19031807307233117</v>
      </c>
      <c r="R49" s="8">
        <f>bdrate(C49:C52,E49:E52,J49:J52,L49:L52)</f>
        <v>-0.14768712442871512</v>
      </c>
      <c r="S49" s="8">
        <f>bdrate(C49:C52,F49:F52,J49:J52,M49:M52)</f>
        <v>-0.13948988386856798</v>
      </c>
      <c r="T49" s="25">
        <f>bdrate(C49:C52,H49:H52,J49:J52,O49:O52)</f>
        <v>-0.18096765532976966</v>
      </c>
      <c r="U49" s="28">
        <f t="shared" si="2"/>
        <v>1.2017286888792733</v>
      </c>
    </row>
    <row r="50" spans="1:21" x14ac:dyDescent="0.25">
      <c r="B50" s="9"/>
      <c r="C50" s="17">
        <v>782.83</v>
      </c>
      <c r="D50" s="18">
        <v>29.774000000000001</v>
      </c>
      <c r="E50" s="18">
        <v>34.69</v>
      </c>
      <c r="F50" s="18">
        <v>36.103999999999999</v>
      </c>
      <c r="G50" s="18">
        <v>50.87</v>
      </c>
      <c r="H50" s="18">
        <f t="shared" si="0"/>
        <v>31.179749999999999</v>
      </c>
      <c r="I50" s="5"/>
      <c r="J50" s="17">
        <v>787.77440000000001</v>
      </c>
      <c r="K50" s="18">
        <v>30.606400000000001</v>
      </c>
      <c r="L50" s="18">
        <v>35.177100000000003</v>
      </c>
      <c r="M50" s="18">
        <v>36.614100000000001</v>
      </c>
      <c r="N50" s="18">
        <v>119.4268</v>
      </c>
      <c r="O50" s="18">
        <f t="shared" si="1"/>
        <v>31.928699999999999</v>
      </c>
      <c r="P50" s="7"/>
      <c r="Q50" s="10"/>
      <c r="R50" s="11"/>
      <c r="S50" s="11"/>
      <c r="T50" s="26"/>
      <c r="U50" s="28">
        <f t="shared" si="2"/>
        <v>1.3476862590918028</v>
      </c>
    </row>
    <row r="51" spans="1:21" x14ac:dyDescent="0.25">
      <c r="B51" s="9"/>
      <c r="C51" s="17">
        <v>494.68</v>
      </c>
      <c r="D51" s="18">
        <v>28.576000000000001</v>
      </c>
      <c r="E51" s="18">
        <v>33.865000000000002</v>
      </c>
      <c r="F51" s="18">
        <v>35.186999999999998</v>
      </c>
      <c r="G51" s="18">
        <v>57.58</v>
      </c>
      <c r="H51" s="18">
        <f t="shared" si="0"/>
        <v>30.063500000000005</v>
      </c>
      <c r="I51" s="5"/>
      <c r="J51" s="17">
        <v>496.40559999999999</v>
      </c>
      <c r="K51" s="18">
        <v>29.094999999999999</v>
      </c>
      <c r="L51" s="18">
        <v>34.148499999999999</v>
      </c>
      <c r="M51" s="18">
        <v>35.483199999999997</v>
      </c>
      <c r="N51" s="18">
        <v>146.77099999999999</v>
      </c>
      <c r="O51" s="18">
        <f t="shared" si="1"/>
        <v>30.525212500000002</v>
      </c>
      <c r="P51" s="7"/>
      <c r="Q51" s="10"/>
      <c r="R51" s="11"/>
      <c r="S51" s="11"/>
      <c r="T51" s="26"/>
      <c r="U51" s="28">
        <f t="shared" si="2"/>
        <v>1.548992705800625</v>
      </c>
    </row>
    <row r="52" spans="1:21" ht="16.5" thickBot="1" x14ac:dyDescent="0.3">
      <c r="B52" s="12"/>
      <c r="C52" s="19">
        <v>300.33</v>
      </c>
      <c r="D52" s="20">
        <v>27.404</v>
      </c>
      <c r="E52" s="20">
        <v>32.877000000000002</v>
      </c>
      <c r="F52" s="20">
        <v>34.064</v>
      </c>
      <c r="G52" s="20">
        <v>66.55</v>
      </c>
      <c r="H52" s="20">
        <f t="shared" si="0"/>
        <v>28.920625000000001</v>
      </c>
      <c r="I52" s="5"/>
      <c r="J52" s="19">
        <v>301.608</v>
      </c>
      <c r="K52" s="20">
        <v>27.684200000000001</v>
      </c>
      <c r="L52" s="20">
        <v>32.9923</v>
      </c>
      <c r="M52" s="20">
        <v>34.191400000000002</v>
      </c>
      <c r="N52" s="20">
        <v>186.6833</v>
      </c>
      <c r="O52" s="20">
        <f t="shared" si="1"/>
        <v>29.161112500000002</v>
      </c>
      <c r="P52" s="7"/>
      <c r="Q52" s="13"/>
      <c r="R52" s="14"/>
      <c r="S52" s="14"/>
      <c r="T52" s="27"/>
      <c r="U52" s="28">
        <f t="shared" si="2"/>
        <v>1.8051585274229904</v>
      </c>
    </row>
    <row r="53" spans="1:21" x14ac:dyDescent="0.25">
      <c r="A53" s="6" t="s">
        <v>41</v>
      </c>
      <c r="B53" s="6" t="s">
        <v>57</v>
      </c>
      <c r="C53" s="15">
        <v>610.21</v>
      </c>
      <c r="D53" s="16">
        <v>32.354999999999997</v>
      </c>
      <c r="E53" s="16">
        <v>37.037999999999997</v>
      </c>
      <c r="F53" s="16">
        <v>35.848999999999997</v>
      </c>
      <c r="G53" s="16">
        <v>189.68</v>
      </c>
      <c r="H53" s="16">
        <f t="shared" si="0"/>
        <v>33.377124999999999</v>
      </c>
      <c r="I53" s="5"/>
      <c r="J53" s="15">
        <v>617.34799999999996</v>
      </c>
      <c r="K53" s="16">
        <v>33.738100000000003</v>
      </c>
      <c r="L53" s="16">
        <v>38.607399999999998</v>
      </c>
      <c r="M53" s="16">
        <v>37.241799999999998</v>
      </c>
      <c r="N53" s="16">
        <v>386.10039999999998</v>
      </c>
      <c r="O53" s="16">
        <f t="shared" si="1"/>
        <v>34.784725000000002</v>
      </c>
      <c r="P53" s="7"/>
      <c r="Q53" s="8">
        <f>bdrate(C53:C56,D53:D56,J53:J56,K53:K56)</f>
        <v>-0.19890006150189787</v>
      </c>
      <c r="R53" s="8">
        <f>bdrate(C53:C56,E53:E56,J53:J56,L53:L56)</f>
        <v>-0.3446699093618687</v>
      </c>
      <c r="S53" s="8">
        <f>bdrate(C53:C56,F53:F56,J53:J56,M53:M56)</f>
        <v>-0.25187922058407575</v>
      </c>
      <c r="T53" s="25">
        <f>bdrate(C53:C56,H53:H56,J53:J56,O53:O56)</f>
        <v>-0.21972206284992768</v>
      </c>
      <c r="U53" s="28">
        <f t="shared" si="2"/>
        <v>1.0355356389708981</v>
      </c>
    </row>
    <row r="54" spans="1:21" x14ac:dyDescent="0.25">
      <c r="A54" s="9" t="s">
        <v>42</v>
      </c>
      <c r="B54" s="9"/>
      <c r="C54" s="17">
        <v>407.15</v>
      </c>
      <c r="D54" s="18">
        <v>30.907</v>
      </c>
      <c r="E54" s="18">
        <v>36.082999999999998</v>
      </c>
      <c r="F54" s="18">
        <v>34.703000000000003</v>
      </c>
      <c r="G54" s="18">
        <v>209.56</v>
      </c>
      <c r="H54" s="18">
        <f t="shared" si="0"/>
        <v>32.028500000000001</v>
      </c>
      <c r="I54" s="5"/>
      <c r="J54" s="17">
        <v>412.37920000000003</v>
      </c>
      <c r="K54" s="18">
        <v>32.003900000000002</v>
      </c>
      <c r="L54" s="18">
        <v>37.4193</v>
      </c>
      <c r="M54" s="18">
        <v>35.788699999999999</v>
      </c>
      <c r="N54" s="18">
        <v>457.87549999999999</v>
      </c>
      <c r="O54" s="18">
        <f t="shared" si="1"/>
        <v>33.153925000000001</v>
      </c>
      <c r="P54" s="7"/>
      <c r="Q54" s="10"/>
      <c r="R54" s="11"/>
      <c r="S54" s="11"/>
      <c r="T54" s="26"/>
      <c r="U54" s="28">
        <f t="shared" si="2"/>
        <v>1.1849374880702424</v>
      </c>
    </row>
    <row r="55" spans="1:21" x14ac:dyDescent="0.25">
      <c r="B55" s="9"/>
      <c r="C55" s="17">
        <v>256.19</v>
      </c>
      <c r="D55" s="18">
        <v>29.385000000000002</v>
      </c>
      <c r="E55" s="18">
        <v>35.133000000000003</v>
      </c>
      <c r="F55" s="18">
        <v>33.359000000000002</v>
      </c>
      <c r="G55" s="18">
        <v>230.52</v>
      </c>
      <c r="H55" s="18">
        <f t="shared" si="0"/>
        <v>30.600250000000003</v>
      </c>
      <c r="I55" s="5"/>
      <c r="J55" s="17">
        <v>257.25360000000001</v>
      </c>
      <c r="K55" s="18">
        <v>30.1753</v>
      </c>
      <c r="L55" s="18">
        <v>36.101300000000002</v>
      </c>
      <c r="M55" s="18">
        <v>34.228700000000003</v>
      </c>
      <c r="N55" s="18">
        <v>552.48620000000005</v>
      </c>
      <c r="O55" s="18">
        <f t="shared" si="1"/>
        <v>31.422725000000003</v>
      </c>
      <c r="P55" s="7"/>
      <c r="Q55" s="10"/>
      <c r="R55" s="11"/>
      <c r="S55" s="11"/>
      <c r="T55" s="26"/>
      <c r="U55" s="28">
        <f t="shared" si="2"/>
        <v>1.396695297588062</v>
      </c>
    </row>
    <row r="56" spans="1:21" ht="16.5" thickBot="1" x14ac:dyDescent="0.3">
      <c r="B56" s="12"/>
      <c r="C56" s="19">
        <v>124.55</v>
      </c>
      <c r="D56" s="20">
        <v>27.295000000000002</v>
      </c>
      <c r="E56" s="20">
        <v>33.680999999999997</v>
      </c>
      <c r="F56" s="20">
        <v>31.407</v>
      </c>
      <c r="G56" s="20">
        <v>276.24</v>
      </c>
      <c r="H56" s="20">
        <f t="shared" si="0"/>
        <v>28.607250000000004</v>
      </c>
      <c r="I56" s="5"/>
      <c r="J56" s="19">
        <v>124.0496</v>
      </c>
      <c r="K56" s="20">
        <v>27.544499999999999</v>
      </c>
      <c r="L56" s="20">
        <v>34.287100000000002</v>
      </c>
      <c r="M56" s="20">
        <v>31.982500000000002</v>
      </c>
      <c r="N56" s="20">
        <v>781.25</v>
      </c>
      <c r="O56" s="20">
        <f t="shared" si="1"/>
        <v>28.942075000000003</v>
      </c>
      <c r="P56" s="7"/>
      <c r="Q56" s="13"/>
      <c r="R56" s="14"/>
      <c r="S56" s="14"/>
      <c r="T56" s="27"/>
      <c r="U56" s="28">
        <f t="shared" si="2"/>
        <v>1.8281566753547638</v>
      </c>
    </row>
    <row r="57" spans="1:21" x14ac:dyDescent="0.25">
      <c r="B57" s="6" t="s">
        <v>58</v>
      </c>
      <c r="C57" s="15">
        <v>583.94000000000005</v>
      </c>
      <c r="D57" s="16">
        <v>27.074999999999999</v>
      </c>
      <c r="E57" s="16">
        <v>36.905000000000001</v>
      </c>
      <c r="F57" s="16">
        <v>37.113999999999997</v>
      </c>
      <c r="G57" s="16">
        <v>243.51</v>
      </c>
      <c r="H57" s="16">
        <f t="shared" si="0"/>
        <v>29.558624999999999</v>
      </c>
      <c r="I57" s="5"/>
      <c r="J57" s="15">
        <v>612.32560000000001</v>
      </c>
      <c r="K57" s="16">
        <v>30.063400000000001</v>
      </c>
      <c r="L57" s="16">
        <v>38.484900000000003</v>
      </c>
      <c r="M57" s="16">
        <v>39.235300000000002</v>
      </c>
      <c r="N57" s="16">
        <v>373.36649999999997</v>
      </c>
      <c r="O57" s="16">
        <f t="shared" si="1"/>
        <v>32.262575000000005</v>
      </c>
      <c r="P57" s="7"/>
      <c r="Q57" s="8">
        <f>bdrate(C57:C60,D57:D60,J57:J60,K57:K60)</f>
        <v>-0.62802087641672633</v>
      </c>
      <c r="R57" s="8">
        <f>bdrate(C57:C60,E57:E60,J57:J60,L57:L60)</f>
        <v>-0.62013879347942136</v>
      </c>
      <c r="S57" s="8">
        <f>bdrate(C57:C60,F57:F60,J57:J60,M57:M60)</f>
        <v>-0.67729010539753232</v>
      </c>
      <c r="T57" s="25">
        <f>bdrate(C57:C60,H57:H60,J57:J60,O57:O60)</f>
        <v>-0.63177043410474143</v>
      </c>
      <c r="U57" s="28">
        <f t="shared" si="2"/>
        <v>0.53326968091659477</v>
      </c>
    </row>
    <row r="58" spans="1:21" x14ac:dyDescent="0.25">
      <c r="B58" s="9"/>
      <c r="C58" s="17">
        <v>393.03</v>
      </c>
      <c r="D58" s="18">
        <v>26.129000000000001</v>
      </c>
      <c r="E58" s="18">
        <v>36.578000000000003</v>
      </c>
      <c r="F58" s="18">
        <v>36.792999999999999</v>
      </c>
      <c r="G58" s="18">
        <v>276.75</v>
      </c>
      <c r="H58" s="18">
        <f t="shared" si="0"/>
        <v>28.768125000000001</v>
      </c>
      <c r="I58" s="5"/>
      <c r="J58" s="17">
        <v>403.18639999999999</v>
      </c>
      <c r="K58" s="18">
        <v>28.905200000000001</v>
      </c>
      <c r="L58" s="18">
        <v>37.840299999999999</v>
      </c>
      <c r="M58" s="18">
        <v>38.567900000000002</v>
      </c>
      <c r="N58" s="18">
        <v>442.15179999999998</v>
      </c>
      <c r="O58" s="18">
        <f t="shared" si="1"/>
        <v>31.229925000000001</v>
      </c>
      <c r="P58" s="7"/>
      <c r="Q58" s="10"/>
      <c r="R58" s="11"/>
      <c r="S58" s="11"/>
      <c r="T58" s="26"/>
      <c r="U58" s="28">
        <f t="shared" si="2"/>
        <v>0.59765781391147232</v>
      </c>
    </row>
    <row r="59" spans="1:21" x14ac:dyDescent="0.25">
      <c r="B59" s="9"/>
      <c r="C59" s="17">
        <v>239.97</v>
      </c>
      <c r="D59" s="18">
        <v>24.957999999999998</v>
      </c>
      <c r="E59" s="18">
        <v>36.253</v>
      </c>
      <c r="F59" s="18">
        <v>36.299999999999997</v>
      </c>
      <c r="G59" s="18">
        <v>305.19</v>
      </c>
      <c r="H59" s="18">
        <f t="shared" si="0"/>
        <v>27.787624999999998</v>
      </c>
      <c r="I59" s="5"/>
      <c r="J59" s="17">
        <v>255.36160000000001</v>
      </c>
      <c r="K59" s="18">
        <v>27.6447</v>
      </c>
      <c r="L59" s="18">
        <v>37.207799999999999</v>
      </c>
      <c r="M59" s="18">
        <v>37.820900000000002</v>
      </c>
      <c r="N59" s="18">
        <v>534.28319999999997</v>
      </c>
      <c r="O59" s="18">
        <f t="shared" si="1"/>
        <v>30.112112499999999</v>
      </c>
      <c r="P59" s="7"/>
      <c r="Q59" s="10"/>
      <c r="R59" s="11"/>
      <c r="S59" s="11"/>
      <c r="T59" s="26"/>
      <c r="U59" s="28">
        <f t="shared" si="2"/>
        <v>0.75065762312002349</v>
      </c>
    </row>
    <row r="60" spans="1:21" ht="16.5" thickBot="1" x14ac:dyDescent="0.3">
      <c r="B60" s="12"/>
      <c r="C60" s="19">
        <v>113.53</v>
      </c>
      <c r="D60" s="20">
        <v>23.068999999999999</v>
      </c>
      <c r="E60" s="20">
        <v>35.698999999999998</v>
      </c>
      <c r="F60" s="20">
        <v>35.603000000000002</v>
      </c>
      <c r="G60" s="20">
        <v>373.37</v>
      </c>
      <c r="H60" s="20">
        <f t="shared" si="0"/>
        <v>26.214500000000001</v>
      </c>
      <c r="I60" s="5"/>
      <c r="J60" s="19">
        <v>122.42959999999999</v>
      </c>
      <c r="K60" s="20">
        <v>25.6006</v>
      </c>
      <c r="L60" s="20">
        <v>36.349699999999999</v>
      </c>
      <c r="M60" s="20">
        <v>36.653599999999997</v>
      </c>
      <c r="N60" s="20">
        <v>739.82740000000001</v>
      </c>
      <c r="O60" s="20">
        <f t="shared" si="1"/>
        <v>28.325862499999999</v>
      </c>
      <c r="P60" s="7"/>
      <c r="Q60" s="13"/>
      <c r="R60" s="14"/>
      <c r="S60" s="14"/>
      <c r="T60" s="27"/>
      <c r="U60" s="28">
        <f t="shared" si="2"/>
        <v>0.9814859254894609</v>
      </c>
    </row>
    <row r="61" spans="1:21" x14ac:dyDescent="0.25">
      <c r="B61" s="6" t="s">
        <v>59</v>
      </c>
      <c r="C61" s="29">
        <v>628.96</v>
      </c>
      <c r="D61" s="30">
        <v>29.187000000000001</v>
      </c>
      <c r="E61" s="30">
        <v>34.383000000000003</v>
      </c>
      <c r="F61" s="30">
        <v>34.856000000000002</v>
      </c>
      <c r="G61" s="16">
        <v>210.88</v>
      </c>
      <c r="H61" s="16">
        <f t="shared" si="0"/>
        <v>30.545125000000002</v>
      </c>
      <c r="I61" s="5"/>
      <c r="J61" s="29">
        <v>623.87599999999998</v>
      </c>
      <c r="K61" s="30">
        <v>30.843900000000001</v>
      </c>
      <c r="L61" s="30">
        <v>36.137500000000003</v>
      </c>
      <c r="M61" s="30">
        <v>36.683599999999998</v>
      </c>
      <c r="N61" s="16">
        <v>364.16609999999997</v>
      </c>
      <c r="O61" s="16">
        <f t="shared" si="1"/>
        <v>32.2355625</v>
      </c>
      <c r="P61" s="7"/>
      <c r="Q61" s="8">
        <f>bdrate(C61:C64,D61:D64,J61:J64,K61:K64)</f>
        <v>-0.37487581465834074</v>
      </c>
      <c r="R61" s="8">
        <f>bdrate(C61:C64,E61:E64,J61:J64,L61:L64)</f>
        <v>-0.54184168762872487</v>
      </c>
      <c r="S61" s="8">
        <f>bdrate(C61:C64,F61:F64,J61:J64,M61:M64)</f>
        <v>-0.54185049976484168</v>
      </c>
      <c r="T61" s="25">
        <f>bdrate(C61:C64,H61:H64,J61:J64,O61:O64)</f>
        <v>-0.40798430395927987</v>
      </c>
      <c r="U61" s="28">
        <f t="shared" si="2"/>
        <v>0.72688780349013649</v>
      </c>
    </row>
    <row r="62" spans="1:21" x14ac:dyDescent="0.25">
      <c r="B62" s="9"/>
      <c r="C62" s="31">
        <v>418.07</v>
      </c>
      <c r="D62" s="32">
        <v>28.038</v>
      </c>
      <c r="E62" s="32">
        <v>33.765000000000001</v>
      </c>
      <c r="F62" s="32">
        <v>34.195</v>
      </c>
      <c r="G62" s="18">
        <v>239.12</v>
      </c>
      <c r="H62" s="18">
        <f t="shared" si="0"/>
        <v>29.523499999999999</v>
      </c>
      <c r="I62" s="5"/>
      <c r="J62" s="31">
        <v>417.19600000000003</v>
      </c>
      <c r="K62" s="32">
        <v>29.4817</v>
      </c>
      <c r="L62" s="32">
        <v>35.247999999999998</v>
      </c>
      <c r="M62" s="32">
        <v>35.758800000000001</v>
      </c>
      <c r="N62" s="18">
        <v>445.23599999999999</v>
      </c>
      <c r="O62" s="18">
        <f t="shared" si="1"/>
        <v>30.987124999999999</v>
      </c>
      <c r="P62" s="7"/>
      <c r="Q62" s="10"/>
      <c r="R62" s="11"/>
      <c r="S62" s="11"/>
      <c r="T62" s="26"/>
      <c r="U62" s="28">
        <f t="shared" si="2"/>
        <v>0.86197724991635993</v>
      </c>
    </row>
    <row r="63" spans="1:21" x14ac:dyDescent="0.25">
      <c r="B63" s="9"/>
      <c r="C63" s="31">
        <v>260.91000000000003</v>
      </c>
      <c r="D63" s="32">
        <v>26.83</v>
      </c>
      <c r="E63" s="32">
        <v>33.012999999999998</v>
      </c>
      <c r="F63" s="32">
        <v>33.564</v>
      </c>
      <c r="G63" s="18">
        <v>267.08999999999997</v>
      </c>
      <c r="H63" s="18">
        <f t="shared" si="0"/>
        <v>28.444624999999998</v>
      </c>
      <c r="I63" s="5"/>
      <c r="J63" s="31">
        <v>262.08</v>
      </c>
      <c r="K63" s="32">
        <v>28.084</v>
      </c>
      <c r="L63" s="32">
        <v>34.336199999999998</v>
      </c>
      <c r="M63" s="32">
        <v>34.831699999999998</v>
      </c>
      <c r="N63" s="18">
        <v>542.88819999999998</v>
      </c>
      <c r="O63" s="18">
        <f t="shared" si="1"/>
        <v>29.708987499999999</v>
      </c>
      <c r="P63" s="7"/>
      <c r="Q63" s="10"/>
      <c r="R63" s="11"/>
      <c r="S63" s="11"/>
      <c r="T63" s="26"/>
      <c r="U63" s="28">
        <f t="shared" si="2"/>
        <v>1.0326039911640272</v>
      </c>
    </row>
    <row r="64" spans="1:21" ht="16.5" thickBot="1" x14ac:dyDescent="0.3">
      <c r="B64" s="12"/>
      <c r="C64" s="33">
        <v>123.82</v>
      </c>
      <c r="D64" s="34">
        <v>25.204999999999998</v>
      </c>
      <c r="E64" s="34">
        <v>31.896000000000001</v>
      </c>
      <c r="F64" s="34">
        <v>32.405000000000001</v>
      </c>
      <c r="G64" s="20">
        <v>327.01</v>
      </c>
      <c r="H64" s="20">
        <f t="shared" si="0"/>
        <v>26.941374999999997</v>
      </c>
      <c r="I64" s="5"/>
      <c r="J64" s="33">
        <v>125.9264</v>
      </c>
      <c r="K64" s="34">
        <v>26.107299999999999</v>
      </c>
      <c r="L64" s="34">
        <v>33.0259</v>
      </c>
      <c r="M64" s="34">
        <v>33.465699999999998</v>
      </c>
      <c r="N64" s="20">
        <v>801.28210000000001</v>
      </c>
      <c r="O64" s="20">
        <f t="shared" si="1"/>
        <v>27.891925000000001</v>
      </c>
      <c r="P64" s="7"/>
      <c r="Q64" s="13"/>
      <c r="R64" s="14"/>
      <c r="S64" s="14"/>
      <c r="T64" s="27"/>
      <c r="U64" s="28">
        <f t="shared" si="2"/>
        <v>1.4503290419253234</v>
      </c>
    </row>
    <row r="65" spans="1:21" x14ac:dyDescent="0.25">
      <c r="B65" s="6" t="s">
        <v>60</v>
      </c>
      <c r="C65" s="15">
        <v>587.74</v>
      </c>
      <c r="D65" s="16">
        <v>31.826000000000001</v>
      </c>
      <c r="E65" s="16">
        <v>35.61</v>
      </c>
      <c r="F65" s="16">
        <v>36.609000000000002</v>
      </c>
      <c r="G65" s="16">
        <v>146.77000000000001</v>
      </c>
      <c r="H65" s="16">
        <f t="shared" si="0"/>
        <v>32.896875000000001</v>
      </c>
      <c r="I65" s="5"/>
      <c r="J65" s="15">
        <v>600.16560000000004</v>
      </c>
      <c r="K65" s="16">
        <v>33.417499999999997</v>
      </c>
      <c r="L65" s="16">
        <v>36.970599999999997</v>
      </c>
      <c r="M65" s="16">
        <v>38.001600000000003</v>
      </c>
      <c r="N65" s="16">
        <v>286.80689999999998</v>
      </c>
      <c r="O65" s="16">
        <f t="shared" si="1"/>
        <v>34.434649999999998</v>
      </c>
      <c r="P65" s="7"/>
      <c r="Q65" s="8">
        <f>bdrate(C65:C68,D65:D68,J65:J68,K65:K68)</f>
        <v>-0.25639073313265892</v>
      </c>
      <c r="R65" s="8">
        <f>bdrate(C65:C68,E65:E68,J65:J68,L65:L68)</f>
        <v>-0.34006041666844833</v>
      </c>
      <c r="S65" s="8">
        <f>bdrate(C65:C68,F65:F68,J65:J68,M65:M68)</f>
        <v>-0.32555968270210123</v>
      </c>
      <c r="T65" s="25">
        <f>bdrate(C65:C68,H65:H68,J65:J68,O65:O68)</f>
        <v>-0.27300912477204586</v>
      </c>
      <c r="U65" s="28">
        <f t="shared" si="2"/>
        <v>0.95412482114873587</v>
      </c>
    </row>
    <row r="66" spans="1:21" x14ac:dyDescent="0.25">
      <c r="B66" s="9"/>
      <c r="C66" s="17">
        <v>397.04</v>
      </c>
      <c r="D66" s="18">
        <v>30.466999999999999</v>
      </c>
      <c r="E66" s="18">
        <v>34.607999999999997</v>
      </c>
      <c r="F66" s="18">
        <v>35.585000000000001</v>
      </c>
      <c r="G66" s="18">
        <v>164.38</v>
      </c>
      <c r="H66" s="18">
        <f t="shared" si="0"/>
        <v>31.624375000000001</v>
      </c>
      <c r="I66" s="5"/>
      <c r="J66" s="17">
        <v>401.0224</v>
      </c>
      <c r="K66" s="18">
        <v>31.722899999999999</v>
      </c>
      <c r="L66" s="18">
        <v>35.796199999999999</v>
      </c>
      <c r="M66" s="18">
        <v>36.802599999999998</v>
      </c>
      <c r="N66" s="18">
        <v>337.45780000000002</v>
      </c>
      <c r="O66" s="18">
        <f t="shared" si="1"/>
        <v>32.867024999999998</v>
      </c>
      <c r="P66" s="7"/>
      <c r="Q66" s="10"/>
      <c r="R66" s="11"/>
      <c r="S66" s="11"/>
      <c r="T66" s="26"/>
      <c r="U66" s="28">
        <f t="shared" si="2"/>
        <v>1.0529127631098676</v>
      </c>
    </row>
    <row r="67" spans="1:21" x14ac:dyDescent="0.25">
      <c r="B67" s="9"/>
      <c r="C67" s="17">
        <v>249.87</v>
      </c>
      <c r="D67" s="18">
        <v>29.071000000000002</v>
      </c>
      <c r="E67" s="18">
        <v>33.579000000000001</v>
      </c>
      <c r="F67" s="18">
        <v>34.484000000000002</v>
      </c>
      <c r="G67" s="18">
        <v>183.15</v>
      </c>
      <c r="H67" s="18">
        <f t="shared" si="0"/>
        <v>30.311125000000004</v>
      </c>
      <c r="I67" s="5"/>
      <c r="J67" s="17">
        <v>252.09360000000001</v>
      </c>
      <c r="K67" s="18">
        <v>30.014500000000002</v>
      </c>
      <c r="L67" s="18">
        <v>34.604199999999999</v>
      </c>
      <c r="M67" s="18">
        <v>35.502699999999997</v>
      </c>
      <c r="N67" s="18">
        <v>401.06950000000001</v>
      </c>
      <c r="O67" s="18">
        <f t="shared" si="1"/>
        <v>31.274237500000002</v>
      </c>
      <c r="P67" s="7"/>
      <c r="Q67" s="10"/>
      <c r="R67" s="11"/>
      <c r="S67" s="11"/>
      <c r="T67" s="26"/>
      <c r="U67" s="28">
        <f t="shared" si="2"/>
        <v>1.1898416598416599</v>
      </c>
    </row>
    <row r="68" spans="1:21" ht="16.5" thickBot="1" x14ac:dyDescent="0.3">
      <c r="B68" s="12"/>
      <c r="C68" s="19">
        <v>119.52</v>
      </c>
      <c r="D68" s="20">
        <v>27.102</v>
      </c>
      <c r="E68" s="20">
        <v>31.861999999999998</v>
      </c>
      <c r="F68" s="20">
        <v>32.588999999999999</v>
      </c>
      <c r="G68" s="20">
        <v>211.42</v>
      </c>
      <c r="H68" s="20">
        <f t="shared" si="0"/>
        <v>28.382874999999999</v>
      </c>
      <c r="I68" s="5"/>
      <c r="J68" s="19">
        <v>121.9096</v>
      </c>
      <c r="K68" s="20">
        <v>27.704000000000001</v>
      </c>
      <c r="L68" s="20">
        <v>32.709200000000003</v>
      </c>
      <c r="M68" s="20">
        <v>33.5212</v>
      </c>
      <c r="N68" s="20">
        <v>583.6576</v>
      </c>
      <c r="O68" s="20">
        <f t="shared" si="1"/>
        <v>29.056799999999999</v>
      </c>
      <c r="P68" s="7"/>
      <c r="Q68" s="13"/>
      <c r="R68" s="14"/>
      <c r="S68" s="14"/>
      <c r="T68" s="27"/>
      <c r="U68" s="28">
        <f t="shared" si="2"/>
        <v>1.7606546211332894</v>
      </c>
    </row>
    <row r="69" spans="1:21" x14ac:dyDescent="0.25">
      <c r="A69" s="6" t="s">
        <v>43</v>
      </c>
      <c r="B69" s="6" t="s">
        <v>61</v>
      </c>
      <c r="C69" s="15">
        <v>1397.39</v>
      </c>
      <c r="D69" s="16">
        <v>38.420999999999999</v>
      </c>
      <c r="E69" s="16">
        <v>42.828000000000003</v>
      </c>
      <c r="F69" s="16">
        <v>43.972000000000001</v>
      </c>
      <c r="G69" s="16">
        <v>46.68</v>
      </c>
      <c r="H69" s="16">
        <f t="shared" si="0"/>
        <v>39.665750000000003</v>
      </c>
      <c r="I69" s="5"/>
      <c r="J69" s="15">
        <v>1492.0424</v>
      </c>
      <c r="K69" s="16">
        <v>40.0229</v>
      </c>
      <c r="L69" s="16">
        <v>44.561700000000002</v>
      </c>
      <c r="M69" s="16">
        <v>45.724400000000003</v>
      </c>
      <c r="N69" s="16">
        <v>97.370999999999995</v>
      </c>
      <c r="O69" s="16">
        <f t="shared" si="1"/>
        <v>41.302937500000006</v>
      </c>
      <c r="P69" s="7"/>
      <c r="Q69" s="8">
        <f>bdrate(C69:C72,D69:D72,J69:J72,K69:K72)</f>
        <v>-0.30298352140061335</v>
      </c>
      <c r="R69" s="8">
        <f>bdrate(C69:C72,E69:E72,J69:J72,L69:L72)</f>
        <v>-0.35758413895735264</v>
      </c>
      <c r="S69" s="8">
        <f>bdrate(C69:C72,F69:F72,J69:J72,M69:M72)</f>
        <v>-0.35729563305555645</v>
      </c>
      <c r="T69" s="25">
        <f>bdrate(C69:C72,H69:H72,J69:J72,O69:O72)</f>
        <v>-0.31293560216499716</v>
      </c>
      <c r="U69" s="28">
        <f t="shared" si="2"/>
        <v>1.0859254498714652</v>
      </c>
    </row>
    <row r="70" spans="1:21" x14ac:dyDescent="0.25">
      <c r="A70" s="9" t="s">
        <v>44</v>
      </c>
      <c r="B70" s="9"/>
      <c r="C70" s="17">
        <v>929.28</v>
      </c>
      <c r="D70" s="18">
        <v>37.106000000000002</v>
      </c>
      <c r="E70" s="18">
        <v>42.018999999999998</v>
      </c>
      <c r="F70" s="18">
        <v>43.04</v>
      </c>
      <c r="G70" s="18">
        <v>51.48</v>
      </c>
      <c r="H70" s="18">
        <f t="shared" si="0"/>
        <v>38.461875000000006</v>
      </c>
      <c r="I70" s="5"/>
      <c r="J70" s="17">
        <v>986.13040000000001</v>
      </c>
      <c r="K70" s="18">
        <v>38.847900000000003</v>
      </c>
      <c r="L70" s="18">
        <v>43.589700000000001</v>
      </c>
      <c r="M70" s="18">
        <v>44.647599999999997</v>
      </c>
      <c r="N70" s="18">
        <v>115.85250000000001</v>
      </c>
      <c r="O70" s="18">
        <f t="shared" si="1"/>
        <v>40.165587500000001</v>
      </c>
      <c r="P70" s="7"/>
      <c r="Q70" s="10"/>
      <c r="R70" s="11"/>
      <c r="S70" s="11"/>
      <c r="T70" s="26"/>
      <c r="U70" s="28">
        <f t="shared" si="2"/>
        <v>1.2504370629370631</v>
      </c>
    </row>
    <row r="71" spans="1:21" x14ac:dyDescent="0.25">
      <c r="B71" s="9"/>
      <c r="C71" s="17">
        <v>553.42999999999995</v>
      </c>
      <c r="D71" s="18">
        <v>35.223999999999997</v>
      </c>
      <c r="E71" s="18">
        <v>41.116999999999997</v>
      </c>
      <c r="F71" s="18">
        <v>42.082999999999998</v>
      </c>
      <c r="G71" s="18">
        <v>56.15</v>
      </c>
      <c r="H71" s="18">
        <f t="shared" si="0"/>
        <v>36.817999999999998</v>
      </c>
      <c r="I71" s="5"/>
      <c r="J71" s="17">
        <v>588.55280000000005</v>
      </c>
      <c r="K71" s="18">
        <v>36.920299999999997</v>
      </c>
      <c r="L71" s="18">
        <v>42.273899999999998</v>
      </c>
      <c r="M71" s="18">
        <v>43.292000000000002</v>
      </c>
      <c r="N71" s="18">
        <v>138.34450000000001</v>
      </c>
      <c r="O71" s="18">
        <f t="shared" si="1"/>
        <v>38.385962500000005</v>
      </c>
      <c r="P71" s="7"/>
      <c r="Q71" s="10"/>
      <c r="R71" s="11"/>
      <c r="S71" s="11"/>
      <c r="T71" s="26"/>
      <c r="U71" s="28">
        <f t="shared" si="2"/>
        <v>1.4638379341050758</v>
      </c>
    </row>
    <row r="72" spans="1:21" ht="16.5" thickBot="1" x14ac:dyDescent="0.3">
      <c r="B72" s="12"/>
      <c r="C72" s="19">
        <v>270.47000000000003</v>
      </c>
      <c r="D72" s="20">
        <v>33.213000000000001</v>
      </c>
      <c r="E72" s="20">
        <v>40.213999999999999</v>
      </c>
      <c r="F72" s="20">
        <v>41.002000000000002</v>
      </c>
      <c r="G72" s="20">
        <v>64.75</v>
      </c>
      <c r="H72" s="20">
        <f t="shared" si="0"/>
        <v>35.061750000000004</v>
      </c>
      <c r="I72" s="5"/>
      <c r="J72" s="19">
        <v>292.03359999999998</v>
      </c>
      <c r="K72" s="20">
        <v>33.81</v>
      </c>
      <c r="L72" s="20">
        <v>40.367699999999999</v>
      </c>
      <c r="M72" s="20">
        <v>41.264699999999998</v>
      </c>
      <c r="N72" s="20">
        <v>173.2602</v>
      </c>
      <c r="O72" s="20">
        <f t="shared" si="1"/>
        <v>35.561550000000004</v>
      </c>
      <c r="P72" s="7"/>
      <c r="Q72" s="13"/>
      <c r="R72" s="14"/>
      <c r="S72" s="14"/>
      <c r="T72" s="27"/>
      <c r="U72" s="28">
        <f t="shared" si="2"/>
        <v>1.6758332046332045</v>
      </c>
    </row>
    <row r="73" spans="1:21" x14ac:dyDescent="0.25">
      <c r="B73" s="6" t="s">
        <v>62</v>
      </c>
      <c r="C73" s="15">
        <v>1462.33</v>
      </c>
      <c r="D73" s="16">
        <v>40.317</v>
      </c>
      <c r="E73" s="16">
        <v>45.311</v>
      </c>
      <c r="F73" s="16">
        <v>45.792000000000002</v>
      </c>
      <c r="G73" s="16">
        <v>46.67</v>
      </c>
      <c r="H73" s="16">
        <f t="shared" si="0"/>
        <v>41.625624999999999</v>
      </c>
      <c r="I73" s="5"/>
      <c r="J73" s="15">
        <v>1504.3632</v>
      </c>
      <c r="K73" s="16">
        <v>41.717700000000001</v>
      </c>
      <c r="L73" s="16">
        <v>46.881900000000002</v>
      </c>
      <c r="M73" s="16">
        <v>47.503300000000003</v>
      </c>
      <c r="N73" s="16">
        <v>102.5641</v>
      </c>
      <c r="O73" s="16">
        <f t="shared" si="1"/>
        <v>43.086424999999998</v>
      </c>
      <c r="P73" s="7"/>
      <c r="Q73" s="8">
        <f>bdrate(C73:C76,D73:D76,J73:J76,K73:K76)</f>
        <v>-0.51417356765448119</v>
      </c>
      <c r="R73" s="8">
        <f>bdrate(C73:C76,E73:E76,J73:J76,L73:L76)</f>
        <v>-0.5770286637328913</v>
      </c>
      <c r="S73" s="8">
        <f>bdrate(C73:C76,F73:F76,J73:J76,M73:M76)</f>
        <v>-0.58865348870217615</v>
      </c>
      <c r="T73" s="25">
        <f>bdrate(C73:C76,H73:H76,J73:J76,O73:O76)</f>
        <v>-0.53128474282137739</v>
      </c>
      <c r="U73" s="28">
        <f t="shared" ref="U73:U80" si="3">(N73-G73)/G73</f>
        <v>1.1976451682022711</v>
      </c>
    </row>
    <row r="74" spans="1:21" x14ac:dyDescent="0.25">
      <c r="B74" s="9"/>
      <c r="C74" s="17">
        <v>967.03</v>
      </c>
      <c r="D74" s="18">
        <v>39.610999999999997</v>
      </c>
      <c r="E74" s="18">
        <v>44.741</v>
      </c>
      <c r="F74" s="18">
        <v>45.276000000000003</v>
      </c>
      <c r="G74" s="18">
        <v>50.87</v>
      </c>
      <c r="H74" s="18">
        <f t="shared" si="0"/>
        <v>40.960374999999999</v>
      </c>
      <c r="I74" s="5"/>
      <c r="J74" s="17">
        <v>1004.9952</v>
      </c>
      <c r="K74" s="18">
        <v>41.188800000000001</v>
      </c>
      <c r="L74" s="18">
        <v>46.366100000000003</v>
      </c>
      <c r="M74" s="18">
        <v>46.998699999999999</v>
      </c>
      <c r="N74" s="18">
        <v>118.7178</v>
      </c>
      <c r="O74" s="18">
        <f t="shared" si="1"/>
        <v>42.562199999999997</v>
      </c>
      <c r="P74" s="7"/>
      <c r="Q74" s="10"/>
      <c r="R74" s="11"/>
      <c r="S74" s="11"/>
      <c r="T74" s="26"/>
      <c r="U74" s="28">
        <f t="shared" si="3"/>
        <v>1.3337487713780225</v>
      </c>
    </row>
    <row r="75" spans="1:21" x14ac:dyDescent="0.25">
      <c r="B75" s="9"/>
      <c r="C75" s="17">
        <v>570.37</v>
      </c>
      <c r="D75" s="18">
        <v>38.424999999999997</v>
      </c>
      <c r="E75" s="18">
        <v>43.709000000000003</v>
      </c>
      <c r="F75" s="18">
        <v>44.11</v>
      </c>
      <c r="G75" s="18">
        <v>52.91</v>
      </c>
      <c r="H75" s="18">
        <f t="shared" si="0"/>
        <v>39.796125000000004</v>
      </c>
      <c r="I75" s="5"/>
      <c r="J75" s="17">
        <v>600.71360000000004</v>
      </c>
      <c r="K75" s="18">
        <v>40.2209</v>
      </c>
      <c r="L75" s="18">
        <v>45.579099999999997</v>
      </c>
      <c r="M75" s="18">
        <v>46.174100000000003</v>
      </c>
      <c r="N75" s="18">
        <v>135.4402</v>
      </c>
      <c r="O75" s="18">
        <f t="shared" si="1"/>
        <v>41.634824999999999</v>
      </c>
      <c r="P75" s="7"/>
      <c r="Q75" s="10"/>
      <c r="R75" s="11"/>
      <c r="S75" s="11"/>
      <c r="T75" s="26"/>
      <c r="U75" s="28">
        <f t="shared" si="3"/>
        <v>1.5598223398223401</v>
      </c>
    </row>
    <row r="76" spans="1:21" ht="16.5" thickBot="1" x14ac:dyDescent="0.3">
      <c r="B76" s="12"/>
      <c r="C76" s="19">
        <v>278.54000000000002</v>
      </c>
      <c r="D76" s="20">
        <v>36.671999999999997</v>
      </c>
      <c r="E76" s="20">
        <v>42.680999999999997</v>
      </c>
      <c r="F76" s="20">
        <v>43.104999999999997</v>
      </c>
      <c r="G76" s="20">
        <v>64.209999999999994</v>
      </c>
      <c r="H76" s="20">
        <f t="shared" si="0"/>
        <v>38.227249999999998</v>
      </c>
      <c r="I76" s="5"/>
      <c r="J76" s="19">
        <v>292.4144</v>
      </c>
      <c r="K76" s="20">
        <v>38.309699999999999</v>
      </c>
      <c r="L76" s="20">
        <v>43.798999999999999</v>
      </c>
      <c r="M76" s="20">
        <v>44.356900000000003</v>
      </c>
      <c r="N76" s="20">
        <v>170.9402</v>
      </c>
      <c r="O76" s="20">
        <f t="shared" si="1"/>
        <v>39.751762499999998</v>
      </c>
      <c r="P76" s="7"/>
      <c r="Q76" s="13"/>
      <c r="R76" s="14"/>
      <c r="S76" s="14"/>
      <c r="T76" s="27"/>
      <c r="U76" s="28">
        <f t="shared" si="3"/>
        <v>1.662205263977574</v>
      </c>
    </row>
    <row r="77" spans="1:21" x14ac:dyDescent="0.25">
      <c r="B77" s="6" t="s">
        <v>63</v>
      </c>
      <c r="C77" s="15">
        <v>1511.47</v>
      </c>
      <c r="D77" s="16">
        <v>39.872999999999998</v>
      </c>
      <c r="E77" s="16">
        <v>43.988</v>
      </c>
      <c r="F77" s="16">
        <v>44.792999999999999</v>
      </c>
      <c r="G77" s="16">
        <v>42.97</v>
      </c>
      <c r="H77" s="16">
        <f t="shared" si="0"/>
        <v>41.002375000000001</v>
      </c>
      <c r="I77" s="5"/>
      <c r="J77" s="15">
        <v>1528.6328000000001</v>
      </c>
      <c r="K77" s="16">
        <v>41.556399999999996</v>
      </c>
      <c r="L77" s="16">
        <v>45.657600000000002</v>
      </c>
      <c r="M77" s="16">
        <v>46.453099999999999</v>
      </c>
      <c r="N77" s="16">
        <v>100.1502</v>
      </c>
      <c r="O77" s="16">
        <f t="shared" si="1"/>
        <v>42.681137499999998</v>
      </c>
      <c r="P77" s="7"/>
      <c r="Q77" s="8">
        <f>bdrate(C77:C80,D77:D80,J77:J80,K77:K80)</f>
        <v>-0.45874246030725785</v>
      </c>
      <c r="R77" s="8">
        <f>bdrate(C77:C80,E77:E80,J77:J80,L77:L80)</f>
        <v>-0.44186588659333026</v>
      </c>
      <c r="S77" s="8">
        <f>bdrate(C77:C80,F77:F80,J77:J80,M77:M80)</f>
        <v>-0.45884480793376059</v>
      </c>
      <c r="T77" s="25">
        <f>bdrate(C77:C80,H77:H80,J77:J80,O77:O80)</f>
        <v>-0.45780484054825121</v>
      </c>
      <c r="U77" s="28">
        <f t="shared" si="3"/>
        <v>1.3307004887130556</v>
      </c>
    </row>
    <row r="78" spans="1:21" x14ac:dyDescent="0.25">
      <c r="B78" s="9"/>
      <c r="C78" s="17">
        <v>1005.98</v>
      </c>
      <c r="D78" s="18">
        <v>38.792000000000002</v>
      </c>
      <c r="E78" s="18">
        <v>43.216999999999999</v>
      </c>
      <c r="F78" s="18">
        <v>43.993000000000002</v>
      </c>
      <c r="G78" s="18">
        <v>47.78</v>
      </c>
      <c r="H78" s="18">
        <f t="shared" si="0"/>
        <v>39.995249999999999</v>
      </c>
      <c r="I78" s="5"/>
      <c r="J78" s="17">
        <v>1026.2016000000001</v>
      </c>
      <c r="K78" s="18">
        <v>40.681100000000001</v>
      </c>
      <c r="L78" s="18">
        <v>44.906300000000002</v>
      </c>
      <c r="M78" s="18">
        <v>45.685400000000001</v>
      </c>
      <c r="N78" s="18">
        <v>114.1335</v>
      </c>
      <c r="O78" s="18">
        <f t="shared" si="1"/>
        <v>41.834787500000004</v>
      </c>
      <c r="P78" s="7"/>
      <c r="Q78" s="10"/>
      <c r="R78" s="11"/>
      <c r="S78" s="11"/>
      <c r="T78" s="26"/>
      <c r="U78" s="28">
        <f t="shared" si="3"/>
        <v>1.3887295939723734</v>
      </c>
    </row>
    <row r="79" spans="1:21" x14ac:dyDescent="0.25">
      <c r="B79" s="9"/>
      <c r="C79" s="17">
        <v>597.46</v>
      </c>
      <c r="D79" s="18">
        <v>37.154000000000003</v>
      </c>
      <c r="E79" s="18">
        <v>42.174999999999997</v>
      </c>
      <c r="F79" s="18">
        <v>42.936999999999998</v>
      </c>
      <c r="G79" s="18">
        <v>52.61</v>
      </c>
      <c r="H79" s="18">
        <f t="shared" si="0"/>
        <v>38.504500000000007</v>
      </c>
      <c r="I79" s="5"/>
      <c r="J79" s="17">
        <v>616.428</v>
      </c>
      <c r="K79" s="18">
        <v>39.267699999999998</v>
      </c>
      <c r="L79" s="18">
        <v>43.628999999999998</v>
      </c>
      <c r="M79" s="18">
        <v>44.4634</v>
      </c>
      <c r="N79" s="18">
        <v>133.57079999999999</v>
      </c>
      <c r="O79" s="18">
        <f t="shared" si="1"/>
        <v>40.462325</v>
      </c>
      <c r="P79" s="7"/>
      <c r="Q79" s="10"/>
      <c r="R79" s="11"/>
      <c r="S79" s="11"/>
      <c r="T79" s="26"/>
      <c r="U79" s="28">
        <f t="shared" si="3"/>
        <v>1.5388861433187606</v>
      </c>
    </row>
    <row r="80" spans="1:21" ht="16.5" thickBot="1" x14ac:dyDescent="0.3">
      <c r="B80" s="12"/>
      <c r="C80" s="19">
        <v>295.7</v>
      </c>
      <c r="D80" s="20">
        <v>35.067999999999998</v>
      </c>
      <c r="E80" s="20">
        <v>41.137</v>
      </c>
      <c r="F80" s="20">
        <v>41.857999999999997</v>
      </c>
      <c r="G80" s="20">
        <v>60.47</v>
      </c>
      <c r="H80" s="20">
        <f t="shared" si="0"/>
        <v>36.675374999999995</v>
      </c>
      <c r="I80" s="5"/>
      <c r="J80" s="19">
        <v>307.05439999999999</v>
      </c>
      <c r="K80" s="20">
        <v>36.6721</v>
      </c>
      <c r="L80" s="20">
        <v>41.658000000000001</v>
      </c>
      <c r="M80" s="20">
        <v>42.480800000000002</v>
      </c>
      <c r="N80" s="20">
        <v>167.92609999999999</v>
      </c>
      <c r="O80" s="20">
        <f t="shared" si="1"/>
        <v>38.021425000000001</v>
      </c>
      <c r="P80" s="7"/>
      <c r="Q80" s="13"/>
      <c r="R80" s="14"/>
      <c r="S80" s="14"/>
      <c r="T80" s="27"/>
      <c r="U80" s="28">
        <f t="shared" si="3"/>
        <v>1.7770150487845211</v>
      </c>
    </row>
    <row r="81" spans="1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-0.2979605919937971</v>
      </c>
      <c r="R81" s="21">
        <f>AVERAGE(R9:R80)</f>
        <v>-0.36187050891101757</v>
      </c>
      <c r="S81" s="21">
        <f>AVERAGE(S9:S80)</f>
        <v>-0.34759588071510772</v>
      </c>
      <c r="T81" s="21">
        <f>AVERAGE(T9:T80)</f>
        <v>-0.30789088330958597</v>
      </c>
      <c r="U81" s="21">
        <f>AVERAGE(U9:U80)</f>
        <v>1.3270523007022019</v>
      </c>
    </row>
    <row r="83" spans="1:21" s="35" customFormat="1" ht="15.75" customHeight="1" x14ac:dyDescent="0.25">
      <c r="B83" s="56" t="s">
        <v>29</v>
      </c>
      <c r="C83" s="58" t="s">
        <v>110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60"/>
    </row>
    <row r="84" spans="1:21" s="35" customFormat="1" x14ac:dyDescent="0.25">
      <c r="B84" s="57"/>
      <c r="C84" s="61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3"/>
    </row>
    <row r="85" spans="1:21" ht="16.5" customHeight="1" thickBot="1" x14ac:dyDescent="0.3">
      <c r="C85" s="64" t="s">
        <v>99</v>
      </c>
      <c r="D85" s="65"/>
      <c r="E85" s="65"/>
      <c r="F85" s="65"/>
      <c r="G85" s="65"/>
      <c r="H85" s="65"/>
      <c r="I85" s="5"/>
      <c r="J85" s="64" t="s">
        <v>98</v>
      </c>
      <c r="K85" s="65"/>
      <c r="L85" s="65"/>
      <c r="M85" s="65"/>
      <c r="N85" s="65"/>
      <c r="O85" s="65"/>
      <c r="Q85" s="64" t="s">
        <v>7</v>
      </c>
      <c r="R85" s="65"/>
      <c r="S85" s="66"/>
      <c r="T85" s="36"/>
      <c r="U85" s="67" t="s">
        <v>45</v>
      </c>
    </row>
    <row r="86" spans="1:21" ht="16.5" thickBot="1" x14ac:dyDescent="0.3">
      <c r="C86" s="2" t="s">
        <v>64</v>
      </c>
      <c r="D86" s="3" t="s">
        <v>30</v>
      </c>
      <c r="E86" s="3" t="s">
        <v>31</v>
      </c>
      <c r="F86" s="3" t="s">
        <v>32</v>
      </c>
      <c r="G86" s="3" t="s">
        <v>33</v>
      </c>
      <c r="H86" s="3" t="s">
        <v>34</v>
      </c>
      <c r="I86" s="1"/>
      <c r="J86" s="2" t="s">
        <v>64</v>
      </c>
      <c r="K86" s="3" t="s">
        <v>30</v>
      </c>
      <c r="L86" s="3" t="s">
        <v>31</v>
      </c>
      <c r="M86" s="3" t="s">
        <v>32</v>
      </c>
      <c r="N86" s="3" t="s">
        <v>33</v>
      </c>
      <c r="O86" s="3" t="s">
        <v>34</v>
      </c>
      <c r="Q86" s="2" t="s">
        <v>4</v>
      </c>
      <c r="R86" s="3" t="s">
        <v>5</v>
      </c>
      <c r="S86" s="4" t="s">
        <v>6</v>
      </c>
      <c r="T86" s="24" t="s">
        <v>21</v>
      </c>
      <c r="U86" s="67"/>
    </row>
    <row r="87" spans="1:21" x14ac:dyDescent="0.25">
      <c r="A87" s="6" t="s">
        <v>35</v>
      </c>
      <c r="B87" s="6" t="s">
        <v>46</v>
      </c>
      <c r="C87" s="15">
        <v>3978.11</v>
      </c>
      <c r="D87" s="16">
        <v>34.613999999999997</v>
      </c>
      <c r="E87" s="16">
        <v>36.996000000000002</v>
      </c>
      <c r="F87" s="16">
        <v>39.307000000000002</v>
      </c>
      <c r="G87" s="16">
        <v>30.24</v>
      </c>
      <c r="H87" s="16">
        <f t="shared" ref="H87:H158" si="4">(6*D87+E87+F87)/8</f>
        <v>35.498374999999996</v>
      </c>
      <c r="I87" s="5"/>
      <c r="J87" s="15">
        <v>4265.2208000000001</v>
      </c>
      <c r="K87" s="16">
        <v>36.3962</v>
      </c>
      <c r="L87" s="16">
        <v>38.236499999999999</v>
      </c>
      <c r="M87" s="16">
        <v>40.554699999999997</v>
      </c>
      <c r="N87" s="16">
        <v>42.918500000000002</v>
      </c>
      <c r="O87" s="16">
        <f t="shared" ref="O87:O158" si="5">(6*K87+L87+M87)/8</f>
        <v>37.146050000000002</v>
      </c>
      <c r="P87" s="7"/>
      <c r="Q87" s="8">
        <f>bdrate(C87:C90,D87:D90,J87:J90,K87:K90)</f>
        <v>-0.21532484625633219</v>
      </c>
      <c r="R87" s="8">
        <f>bdrate(C87:C90,E87:E90,J87:J90,L87:L90)</f>
        <v>-0.34094666084100222</v>
      </c>
      <c r="S87" s="8">
        <f>bdrate(C87:C90,F87:F90,J87:J90,M87:M90)</f>
        <v>-0.35243253836044164</v>
      </c>
      <c r="T87" s="25">
        <f>bdrate(C87:C90,H87:H90,J87:J90,O87:O90)</f>
        <v>-0.23026793927582745</v>
      </c>
      <c r="U87" s="28">
        <f t="shared" ref="U87:U150" si="6">(N87-G87)/G87</f>
        <v>0.41926256613756624</v>
      </c>
    </row>
    <row r="88" spans="1:21" x14ac:dyDescent="0.25">
      <c r="A88" s="9" t="s">
        <v>36</v>
      </c>
      <c r="B88" s="9"/>
      <c r="C88" s="17">
        <v>2914.61</v>
      </c>
      <c r="D88" s="18">
        <v>33.624000000000002</v>
      </c>
      <c r="E88" s="18">
        <v>36.633000000000003</v>
      </c>
      <c r="F88" s="18">
        <v>38.93</v>
      </c>
      <c r="G88" s="18">
        <v>32.159999999999997</v>
      </c>
      <c r="H88" s="18">
        <f t="shared" si="4"/>
        <v>34.663375000000002</v>
      </c>
      <c r="I88" s="5"/>
      <c r="J88" s="17">
        <v>3222.2127999999998</v>
      </c>
      <c r="K88" s="18">
        <v>35.358499999999999</v>
      </c>
      <c r="L88" s="18">
        <v>37.6937</v>
      </c>
      <c r="M88" s="18">
        <v>40.003900000000002</v>
      </c>
      <c r="N88" s="18">
        <v>53.361800000000002</v>
      </c>
      <c r="O88" s="18">
        <f t="shared" si="5"/>
        <v>36.231075000000004</v>
      </c>
      <c r="P88" s="7"/>
      <c r="Q88" s="10"/>
      <c r="R88" s="11"/>
      <c r="S88" s="11"/>
      <c r="T88" s="26"/>
      <c r="U88" s="28">
        <f t="shared" si="6"/>
        <v>0.6592599502487565</v>
      </c>
    </row>
    <row r="89" spans="1:21" x14ac:dyDescent="0.25">
      <c r="B89" s="9"/>
      <c r="C89" s="17">
        <v>1965.89</v>
      </c>
      <c r="D89" s="18">
        <v>32.505000000000003</v>
      </c>
      <c r="E89" s="18">
        <v>36.317999999999998</v>
      </c>
      <c r="F89" s="18">
        <v>38.594000000000001</v>
      </c>
      <c r="G89" s="18">
        <v>34.97</v>
      </c>
      <c r="H89" s="18">
        <f t="shared" si="4"/>
        <v>33.742750000000001</v>
      </c>
      <c r="I89" s="5"/>
      <c r="J89" s="17">
        <v>2111.4063999999998</v>
      </c>
      <c r="K89" s="18">
        <v>33.676600000000001</v>
      </c>
      <c r="L89" s="18">
        <v>36.983400000000003</v>
      </c>
      <c r="M89" s="18">
        <v>39.282699999999998</v>
      </c>
      <c r="N89" s="18">
        <v>60.410800000000002</v>
      </c>
      <c r="O89" s="18">
        <f t="shared" si="5"/>
        <v>34.790712499999998</v>
      </c>
      <c r="P89" s="7"/>
      <c r="Q89" s="10"/>
      <c r="R89" s="11"/>
      <c r="S89" s="11"/>
      <c r="T89" s="26"/>
      <c r="U89" s="28">
        <f t="shared" si="6"/>
        <v>0.7275035744924222</v>
      </c>
    </row>
    <row r="90" spans="1:21" ht="16.5" thickBot="1" x14ac:dyDescent="0.3">
      <c r="B90" s="12"/>
      <c r="C90" s="19">
        <v>953.88</v>
      </c>
      <c r="D90" s="20">
        <v>30.463000000000001</v>
      </c>
      <c r="E90" s="20">
        <v>35.790999999999997</v>
      </c>
      <c r="F90" s="20">
        <v>37.99</v>
      </c>
      <c r="G90" s="20">
        <v>41.63</v>
      </c>
      <c r="H90" s="20">
        <f t="shared" si="4"/>
        <v>32.069875000000003</v>
      </c>
      <c r="I90" s="5"/>
      <c r="J90" s="19">
        <v>1031.2560000000001</v>
      </c>
      <c r="K90" s="20">
        <v>30.839400000000001</v>
      </c>
      <c r="L90" s="20">
        <v>35.905799999999999</v>
      </c>
      <c r="M90" s="20">
        <v>38.189599999999999</v>
      </c>
      <c r="N90" s="20">
        <v>72.850899999999996</v>
      </c>
      <c r="O90" s="20">
        <f t="shared" si="5"/>
        <v>32.391475</v>
      </c>
      <c r="P90" s="7"/>
      <c r="Q90" s="13"/>
      <c r="R90" s="14"/>
      <c r="S90" s="14"/>
      <c r="T90" s="27"/>
      <c r="U90" s="28">
        <f t="shared" si="6"/>
        <v>0.74996156617823662</v>
      </c>
    </row>
    <row r="91" spans="1:21" x14ac:dyDescent="0.25">
      <c r="B91" s="6" t="s">
        <v>47</v>
      </c>
      <c r="C91" s="15">
        <v>4030.08</v>
      </c>
      <c r="D91" s="16">
        <v>28.13</v>
      </c>
      <c r="E91" s="16">
        <v>37.091999999999999</v>
      </c>
      <c r="F91" s="16">
        <v>38.261000000000003</v>
      </c>
      <c r="G91" s="16">
        <v>23.45</v>
      </c>
      <c r="H91" s="16">
        <f t="shared" si="4"/>
        <v>30.516625000000001</v>
      </c>
      <c r="I91" s="5"/>
      <c r="J91" s="15">
        <v>4183.6127999999999</v>
      </c>
      <c r="K91" s="16">
        <v>29.223400000000002</v>
      </c>
      <c r="L91" s="16">
        <v>37.647599999999997</v>
      </c>
      <c r="M91" s="16">
        <v>38.712400000000002</v>
      </c>
      <c r="N91" s="16">
        <v>40.916499999999999</v>
      </c>
      <c r="O91" s="16">
        <f t="shared" si="5"/>
        <v>31.46255</v>
      </c>
      <c r="P91" s="7"/>
      <c r="Q91" s="8">
        <f>bdrate(C91:C94,D91:D94,J91:J94,K91:K94)</f>
        <v>-9.2260603869735558E-2</v>
      </c>
      <c r="R91" s="8">
        <f>bdrate(C91:C94,E91:E94,J91:J94,L91:L94)</f>
        <v>-0.14703126533281097</v>
      </c>
      <c r="S91" s="8">
        <f>bdrate(C91:C94,F91:F94,J91:J94,M91:M94)</f>
        <v>-0.14257866192736457</v>
      </c>
      <c r="T91" s="25">
        <f>bdrate(C91:C94,H91:H94,J91:J94,O91:O94)</f>
        <v>-9.9381422637568106E-2</v>
      </c>
      <c r="U91" s="28">
        <f t="shared" si="6"/>
        <v>0.74484008528784651</v>
      </c>
    </row>
    <row r="92" spans="1:21" x14ac:dyDescent="0.25">
      <c r="B92" s="9"/>
      <c r="C92" s="17">
        <v>3015.15</v>
      </c>
      <c r="D92" s="18">
        <v>26.9</v>
      </c>
      <c r="E92" s="18">
        <v>36.412999999999997</v>
      </c>
      <c r="F92" s="18">
        <v>37.655999999999999</v>
      </c>
      <c r="G92" s="18">
        <v>25.92</v>
      </c>
      <c r="H92" s="18">
        <f t="shared" si="4"/>
        <v>29.433624999999999</v>
      </c>
      <c r="I92" s="5"/>
      <c r="J92" s="17">
        <v>3068.8208</v>
      </c>
      <c r="K92" s="18">
        <v>27.650600000000001</v>
      </c>
      <c r="L92" s="18">
        <v>36.848300000000002</v>
      </c>
      <c r="M92" s="18">
        <v>38.033000000000001</v>
      </c>
      <c r="N92" s="18">
        <v>47.588799999999999</v>
      </c>
      <c r="O92" s="18">
        <f t="shared" si="5"/>
        <v>30.098112499999999</v>
      </c>
      <c r="P92" s="7"/>
      <c r="Q92" s="10"/>
      <c r="R92" s="11"/>
      <c r="S92" s="11"/>
      <c r="T92" s="26"/>
      <c r="U92" s="28">
        <f t="shared" si="6"/>
        <v>0.83598765432098754</v>
      </c>
    </row>
    <row r="93" spans="1:21" x14ac:dyDescent="0.25">
      <c r="B93" s="9"/>
      <c r="C93" s="17">
        <v>2013.85</v>
      </c>
      <c r="D93" s="18">
        <v>25.131</v>
      </c>
      <c r="E93" s="18">
        <v>35.488999999999997</v>
      </c>
      <c r="F93" s="18">
        <v>36.883000000000003</v>
      </c>
      <c r="G93" s="18">
        <v>28.88</v>
      </c>
      <c r="H93" s="18">
        <f t="shared" si="4"/>
        <v>27.894750000000002</v>
      </c>
      <c r="I93" s="5"/>
      <c r="J93" s="17">
        <v>2017.5344</v>
      </c>
      <c r="K93" s="18">
        <v>25.474900000000002</v>
      </c>
      <c r="L93" s="18">
        <v>35.864899999999999</v>
      </c>
      <c r="M93" s="18">
        <v>37.197899999999997</v>
      </c>
      <c r="N93" s="18">
        <v>55.248600000000003</v>
      </c>
      <c r="O93" s="18">
        <f t="shared" si="5"/>
        <v>28.239025000000002</v>
      </c>
      <c r="P93" s="7"/>
      <c r="Q93" s="10"/>
      <c r="R93" s="11"/>
      <c r="S93" s="11"/>
      <c r="T93" s="26"/>
      <c r="U93" s="28">
        <f t="shared" si="6"/>
        <v>0.91304016620498629</v>
      </c>
    </row>
    <row r="94" spans="1:21" ht="16.5" thickBot="1" x14ac:dyDescent="0.3">
      <c r="B94" s="12"/>
      <c r="C94" s="19">
        <v>1458.41</v>
      </c>
      <c r="D94" s="20">
        <v>23.704000000000001</v>
      </c>
      <c r="E94" s="20">
        <v>34.863999999999997</v>
      </c>
      <c r="F94" s="20">
        <v>36.256</v>
      </c>
      <c r="G94" s="20">
        <v>31.74</v>
      </c>
      <c r="H94" s="20">
        <f t="shared" si="4"/>
        <v>26.667999999999999</v>
      </c>
      <c r="I94" s="5"/>
      <c r="J94" s="19">
        <v>1105.2256</v>
      </c>
      <c r="K94" s="20">
        <v>22.593</v>
      </c>
      <c r="L94" s="20">
        <v>34.482599999999998</v>
      </c>
      <c r="M94" s="20">
        <v>35.860399999999998</v>
      </c>
      <c r="N94" s="20">
        <v>67.720100000000002</v>
      </c>
      <c r="O94" s="20">
        <f t="shared" si="5"/>
        <v>25.737624999999998</v>
      </c>
      <c r="P94" s="7"/>
      <c r="Q94" s="13"/>
      <c r="R94" s="14"/>
      <c r="S94" s="14"/>
      <c r="T94" s="27"/>
      <c r="U94" s="28">
        <f t="shared" si="6"/>
        <v>1.1335885318210464</v>
      </c>
    </row>
    <row r="95" spans="1:21" x14ac:dyDescent="0.25">
      <c r="A95" s="6" t="s">
        <v>37</v>
      </c>
      <c r="B95" s="6" t="s">
        <v>48</v>
      </c>
      <c r="C95" s="15">
        <v>2099.6999999999998</v>
      </c>
      <c r="D95" s="16">
        <v>37.533000000000001</v>
      </c>
      <c r="E95" s="16">
        <v>40.058</v>
      </c>
      <c r="F95" s="16">
        <v>41.207000000000001</v>
      </c>
      <c r="G95" s="16">
        <v>46.21</v>
      </c>
      <c r="H95" s="16">
        <f t="shared" si="4"/>
        <v>38.307875000000003</v>
      </c>
      <c r="I95" s="5"/>
      <c r="J95" s="15">
        <v>2072.348</v>
      </c>
      <c r="K95" s="16">
        <v>38.057099999999998</v>
      </c>
      <c r="L95" s="16">
        <v>40.531300000000002</v>
      </c>
      <c r="M95" s="16">
        <v>41.696199999999997</v>
      </c>
      <c r="N95" s="16">
        <v>94.413799999999995</v>
      </c>
      <c r="O95" s="16">
        <f t="shared" si="5"/>
        <v>38.821262499999996</v>
      </c>
      <c r="P95" s="7"/>
      <c r="Q95" s="8">
        <f>bdrate(C95:C98,D95:D98,J95:J98,K95:K98)</f>
        <v>-9.3331008542652305E-2</v>
      </c>
      <c r="R95" s="8">
        <f>bdrate(C95:C98,E95:E98,J95:J98,L95:L98)</f>
        <v>-0.28442330342204436</v>
      </c>
      <c r="S95" s="8">
        <f>bdrate(C95:C98,F95:F98,J95:J98,M95:M98)</f>
        <v>-0.31038209398510064</v>
      </c>
      <c r="T95" s="25">
        <f>bdrate(C95:C98,H95:H98,J95:J98,O95:O98)</f>
        <v>-0.12244503103930804</v>
      </c>
      <c r="U95" s="28">
        <f t="shared" si="6"/>
        <v>1.0431465050854791</v>
      </c>
    </row>
    <row r="96" spans="1:21" x14ac:dyDescent="0.25">
      <c r="A96" s="9" t="s">
        <v>38</v>
      </c>
      <c r="B96" s="9"/>
      <c r="C96" s="17">
        <v>1365.93</v>
      </c>
      <c r="D96" s="18">
        <v>36.216999999999999</v>
      </c>
      <c r="E96" s="18">
        <v>39.276000000000003</v>
      </c>
      <c r="F96" s="18">
        <v>40.518000000000001</v>
      </c>
      <c r="G96" s="18">
        <v>50.78</v>
      </c>
      <c r="H96" s="18">
        <f t="shared" si="4"/>
        <v>37.137</v>
      </c>
      <c r="I96" s="5"/>
      <c r="J96" s="17">
        <v>1371.0672</v>
      </c>
      <c r="K96" s="18">
        <v>36.613599999999998</v>
      </c>
      <c r="L96" s="18">
        <v>39.768500000000003</v>
      </c>
      <c r="M96" s="18">
        <v>41.008499999999998</v>
      </c>
      <c r="N96" s="18">
        <v>117.41679999999999</v>
      </c>
      <c r="O96" s="18">
        <f t="shared" si="5"/>
        <v>37.557325000000006</v>
      </c>
      <c r="P96" s="7"/>
      <c r="Q96" s="10"/>
      <c r="R96" s="11"/>
      <c r="S96" s="11"/>
      <c r="T96" s="26"/>
      <c r="U96" s="28">
        <f t="shared" si="6"/>
        <v>1.312264671130366</v>
      </c>
    </row>
    <row r="97" spans="2:21" x14ac:dyDescent="0.25">
      <c r="B97" s="9"/>
      <c r="C97" s="17">
        <v>825.07</v>
      </c>
      <c r="D97" s="18">
        <v>34.512</v>
      </c>
      <c r="E97" s="18">
        <v>38.409999999999997</v>
      </c>
      <c r="F97" s="18">
        <v>39.853999999999999</v>
      </c>
      <c r="G97" s="18">
        <v>59.17</v>
      </c>
      <c r="H97" s="18">
        <f t="shared" si="4"/>
        <v>35.667000000000002</v>
      </c>
      <c r="I97" s="5"/>
      <c r="J97" s="17">
        <v>848.88639999999998</v>
      </c>
      <c r="K97" s="18">
        <v>34.899799999999999</v>
      </c>
      <c r="L97" s="18">
        <v>39.041400000000003</v>
      </c>
      <c r="M97" s="18">
        <v>40.386600000000001</v>
      </c>
      <c r="N97" s="18">
        <v>130.3639</v>
      </c>
      <c r="O97" s="18">
        <f t="shared" si="5"/>
        <v>36.103349999999999</v>
      </c>
      <c r="P97" s="7"/>
      <c r="Q97" s="10"/>
      <c r="R97" s="11"/>
      <c r="S97" s="11"/>
      <c r="T97" s="26"/>
      <c r="U97" s="28">
        <f t="shared" si="6"/>
        <v>1.2032093966537096</v>
      </c>
    </row>
    <row r="98" spans="2:21" ht="16.5" thickBot="1" x14ac:dyDescent="0.3">
      <c r="B98" s="12"/>
      <c r="C98" s="19">
        <v>492.12</v>
      </c>
      <c r="D98" s="20">
        <v>32.707000000000001</v>
      </c>
      <c r="E98" s="20">
        <v>37.704000000000001</v>
      </c>
      <c r="F98" s="20">
        <v>39.238</v>
      </c>
      <c r="G98" s="20">
        <v>68.38</v>
      </c>
      <c r="H98" s="20">
        <f t="shared" si="4"/>
        <v>34.148000000000003</v>
      </c>
      <c r="I98" s="5"/>
      <c r="J98" s="19">
        <v>503.61759999999998</v>
      </c>
      <c r="K98" s="20">
        <v>33.037599999999998</v>
      </c>
      <c r="L98" s="20">
        <v>38.344999999999999</v>
      </c>
      <c r="M98" s="20">
        <v>39.838999999999999</v>
      </c>
      <c r="N98" s="20">
        <v>147.87430000000001</v>
      </c>
      <c r="O98" s="20">
        <f t="shared" si="5"/>
        <v>34.551199999999994</v>
      </c>
      <c r="P98" s="7"/>
      <c r="Q98" s="13"/>
      <c r="R98" s="14"/>
      <c r="S98" s="14"/>
      <c r="T98" s="27"/>
      <c r="U98" s="28">
        <f t="shared" si="6"/>
        <v>1.1625372916057328</v>
      </c>
    </row>
    <row r="99" spans="2:21" x14ac:dyDescent="0.25">
      <c r="B99" s="6" t="s">
        <v>49</v>
      </c>
      <c r="C99" s="15">
        <v>2327.84</v>
      </c>
      <c r="D99" s="16">
        <v>33.109000000000002</v>
      </c>
      <c r="E99" s="16">
        <v>37.212000000000003</v>
      </c>
      <c r="F99" s="16">
        <v>38.683999999999997</v>
      </c>
      <c r="G99" s="16">
        <v>54.18</v>
      </c>
      <c r="H99" s="16">
        <f t="shared" si="4"/>
        <v>34.318749999999994</v>
      </c>
      <c r="I99" s="5"/>
      <c r="J99" s="15">
        <v>2418.0192000000002</v>
      </c>
      <c r="K99" s="16">
        <v>34.578800000000001</v>
      </c>
      <c r="L99" s="16">
        <v>38.551699999999997</v>
      </c>
      <c r="M99" s="16">
        <v>39.708500000000001</v>
      </c>
      <c r="N99" s="16">
        <v>87.399900000000002</v>
      </c>
      <c r="O99" s="16">
        <f t="shared" si="5"/>
        <v>35.716625000000001</v>
      </c>
      <c r="P99" s="7"/>
      <c r="Q99" s="8">
        <f>bdrate(C99:C102,D99:D102,J99:J102,K99:K102)</f>
        <v>-0.31944479583416086</v>
      </c>
      <c r="R99" s="8">
        <f>bdrate(C99:C102,E99:E102,J99:J102,L99:L102)</f>
        <v>-0.49944922097323707</v>
      </c>
      <c r="S99" s="8">
        <f>bdrate(C99:C102,F99:F102,J99:J102,M99:M102)</f>
        <v>-0.50580198873559978</v>
      </c>
      <c r="T99" s="25">
        <f>bdrate(C99:C102,H99:H102,J99:J102,O99:O102)</f>
        <v>-0.34665910983454129</v>
      </c>
      <c r="U99" s="28">
        <f t="shared" si="6"/>
        <v>0.61313953488372097</v>
      </c>
    </row>
    <row r="100" spans="2:21" x14ac:dyDescent="0.25">
      <c r="B100" s="9"/>
      <c r="C100" s="17">
        <v>1551.19</v>
      </c>
      <c r="D100" s="18">
        <v>32.018999999999998</v>
      </c>
      <c r="E100" s="18">
        <v>36.619999999999997</v>
      </c>
      <c r="F100" s="18">
        <v>38.286999999999999</v>
      </c>
      <c r="G100" s="18">
        <v>60.58</v>
      </c>
      <c r="H100" s="18">
        <f t="shared" si="4"/>
        <v>33.377624999999995</v>
      </c>
      <c r="I100" s="5"/>
      <c r="J100" s="17">
        <v>1618.5976000000001</v>
      </c>
      <c r="K100" s="18">
        <v>33.347999999999999</v>
      </c>
      <c r="L100" s="18">
        <v>37.768999999999998</v>
      </c>
      <c r="M100" s="18">
        <v>39.105600000000003</v>
      </c>
      <c r="N100" s="18">
        <v>103.98609999999999</v>
      </c>
      <c r="O100" s="18">
        <f t="shared" si="5"/>
        <v>34.620325000000001</v>
      </c>
      <c r="P100" s="7"/>
      <c r="Q100" s="10"/>
      <c r="R100" s="11"/>
      <c r="S100" s="11"/>
      <c r="T100" s="26"/>
      <c r="U100" s="28">
        <f t="shared" si="6"/>
        <v>0.71650874876196757</v>
      </c>
    </row>
    <row r="101" spans="2:21" x14ac:dyDescent="0.25">
      <c r="B101" s="9"/>
      <c r="C101" s="17">
        <v>963.85</v>
      </c>
      <c r="D101" s="18">
        <v>30.847999999999999</v>
      </c>
      <c r="E101" s="18">
        <v>35.997</v>
      </c>
      <c r="F101" s="18">
        <v>37.853999999999999</v>
      </c>
      <c r="G101" s="18">
        <v>68.38</v>
      </c>
      <c r="H101" s="18">
        <f t="shared" si="4"/>
        <v>32.367374999999996</v>
      </c>
      <c r="I101" s="5"/>
      <c r="J101" s="17">
        <v>1003.8704</v>
      </c>
      <c r="K101" s="18">
        <v>31.9254</v>
      </c>
      <c r="L101" s="18">
        <v>36.994199999999999</v>
      </c>
      <c r="M101" s="18">
        <v>38.554900000000004</v>
      </c>
      <c r="N101" s="18">
        <v>119.2843</v>
      </c>
      <c r="O101" s="18">
        <f t="shared" si="5"/>
        <v>33.387687499999998</v>
      </c>
      <c r="P101" s="7"/>
      <c r="Q101" s="10"/>
      <c r="R101" s="11"/>
      <c r="S101" s="11"/>
      <c r="T101" s="26"/>
      <c r="U101" s="28">
        <f t="shared" si="6"/>
        <v>0.74443258262649914</v>
      </c>
    </row>
    <row r="102" spans="2:21" ht="16.5" thickBot="1" x14ac:dyDescent="0.3">
      <c r="B102" s="12"/>
      <c r="C102" s="19">
        <v>580.79</v>
      </c>
      <c r="D102" s="20">
        <v>29.706</v>
      </c>
      <c r="E102" s="20">
        <v>35.396999999999998</v>
      </c>
      <c r="F102" s="20">
        <v>37.314999999999998</v>
      </c>
      <c r="G102" s="20">
        <v>76.17</v>
      </c>
      <c r="H102" s="20">
        <f t="shared" si="4"/>
        <v>31.368499999999997</v>
      </c>
      <c r="I102" s="5"/>
      <c r="J102" s="19">
        <v>592.46720000000005</v>
      </c>
      <c r="K102" s="20">
        <v>30.422699999999999</v>
      </c>
      <c r="L102" s="20">
        <v>36.245800000000003</v>
      </c>
      <c r="M102" s="20">
        <v>38.045200000000001</v>
      </c>
      <c r="N102" s="20">
        <v>138.6482</v>
      </c>
      <c r="O102" s="20">
        <f t="shared" si="5"/>
        <v>32.103400000000001</v>
      </c>
      <c r="P102" s="7"/>
      <c r="Q102" s="13"/>
      <c r="R102" s="14"/>
      <c r="S102" s="14"/>
      <c r="T102" s="27"/>
      <c r="U102" s="28">
        <f t="shared" si="6"/>
        <v>0.82024681633188923</v>
      </c>
    </row>
    <row r="103" spans="2:21" x14ac:dyDescent="0.25">
      <c r="B103" s="6" t="s">
        <v>50</v>
      </c>
      <c r="C103" s="15">
        <v>2385.58</v>
      </c>
      <c r="D103" s="16">
        <v>31.693000000000001</v>
      </c>
      <c r="E103" s="16">
        <v>36.552999999999997</v>
      </c>
      <c r="F103" s="16">
        <v>37.51</v>
      </c>
      <c r="G103" s="16">
        <v>62.36</v>
      </c>
      <c r="H103" s="16">
        <f t="shared" si="4"/>
        <v>33.027625</v>
      </c>
      <c r="I103" s="5"/>
      <c r="J103" s="15">
        <v>2438.6632</v>
      </c>
      <c r="K103" s="16">
        <v>32.782299999999999</v>
      </c>
      <c r="L103" s="16">
        <v>37.133600000000001</v>
      </c>
      <c r="M103" s="16">
        <v>38.441899999999997</v>
      </c>
      <c r="N103" s="16">
        <v>93.984999999999999</v>
      </c>
      <c r="O103" s="16">
        <f t="shared" si="5"/>
        <v>34.033662499999998</v>
      </c>
      <c r="P103" s="7"/>
      <c r="Q103" s="8">
        <f>bdrate(C103:C106,D103:D106,J103:J106,K103:K106)</f>
        <v>-0.14254018891559539</v>
      </c>
      <c r="R103" s="8">
        <f>bdrate(C103:C106,E103:E106,J103:J106,L103:L106)</f>
        <v>-0.19959666669035225</v>
      </c>
      <c r="S103" s="8">
        <f>bdrate(C103:C106,F103:F106,J103:J106,M103:M106)</f>
        <v>-0.20139651651206292</v>
      </c>
      <c r="T103" s="25">
        <f>bdrate(C103:C106,H103:H106,J103:J106,O103:O106)</f>
        <v>-0.15281366285719522</v>
      </c>
      <c r="U103" s="28">
        <f t="shared" si="6"/>
        <v>0.50713598460551634</v>
      </c>
    </row>
    <row r="104" spans="2:21" x14ac:dyDescent="0.25">
      <c r="B104" s="9"/>
      <c r="C104" s="17">
        <v>1593.03</v>
      </c>
      <c r="D104" s="18">
        <v>30.666</v>
      </c>
      <c r="E104" s="18">
        <v>36.091999999999999</v>
      </c>
      <c r="F104" s="18">
        <v>36.798000000000002</v>
      </c>
      <c r="G104" s="18">
        <v>68.33</v>
      </c>
      <c r="H104" s="18">
        <f t="shared" si="4"/>
        <v>32.110750000000003</v>
      </c>
      <c r="I104" s="5"/>
      <c r="J104" s="17">
        <v>1646.2927999999999</v>
      </c>
      <c r="K104" s="18">
        <v>31.504300000000001</v>
      </c>
      <c r="L104" s="18">
        <v>36.603700000000003</v>
      </c>
      <c r="M104" s="18">
        <v>37.567999999999998</v>
      </c>
      <c r="N104" s="18">
        <v>140.56790000000001</v>
      </c>
      <c r="O104" s="18">
        <f t="shared" si="5"/>
        <v>32.899687499999999</v>
      </c>
      <c r="P104" s="7"/>
      <c r="Q104" s="10"/>
      <c r="R104" s="11"/>
      <c r="S104" s="11"/>
      <c r="T104" s="26"/>
      <c r="U104" s="28">
        <f t="shared" si="6"/>
        <v>1.0571915703205037</v>
      </c>
    </row>
    <row r="105" spans="2:21" x14ac:dyDescent="0.25">
      <c r="B105" s="9"/>
      <c r="C105" s="17">
        <v>994.08</v>
      </c>
      <c r="D105" s="18">
        <v>29.388999999999999</v>
      </c>
      <c r="E105" s="18">
        <v>35.496000000000002</v>
      </c>
      <c r="F105" s="18">
        <v>35.881999999999998</v>
      </c>
      <c r="G105" s="18">
        <v>72.180000000000007</v>
      </c>
      <c r="H105" s="18">
        <f t="shared" si="4"/>
        <v>30.964000000000002</v>
      </c>
      <c r="I105" s="5"/>
      <c r="J105" s="17">
        <v>1021.324</v>
      </c>
      <c r="K105" s="18">
        <v>29.858899999999998</v>
      </c>
      <c r="L105" s="18">
        <v>35.854500000000002</v>
      </c>
      <c r="M105" s="18">
        <v>36.4251</v>
      </c>
      <c r="N105" s="18">
        <v>157.13390000000001</v>
      </c>
      <c r="O105" s="18">
        <f t="shared" si="5"/>
        <v>31.429124999999999</v>
      </c>
      <c r="P105" s="7"/>
      <c r="Q105" s="10"/>
      <c r="R105" s="11"/>
      <c r="S105" s="11"/>
      <c r="T105" s="26"/>
      <c r="U105" s="28">
        <f t="shared" si="6"/>
        <v>1.1769728456636186</v>
      </c>
    </row>
    <row r="106" spans="2:21" ht="16.5" thickBot="1" x14ac:dyDescent="0.3">
      <c r="B106" s="12"/>
      <c r="C106" s="19">
        <v>583.12</v>
      </c>
      <c r="D106" s="20">
        <v>27.861000000000001</v>
      </c>
      <c r="E106" s="20">
        <v>34.640999999999998</v>
      </c>
      <c r="F106" s="20">
        <v>34.639000000000003</v>
      </c>
      <c r="G106" s="20">
        <v>84.12</v>
      </c>
      <c r="H106" s="20">
        <f t="shared" si="4"/>
        <v>29.55575</v>
      </c>
      <c r="I106" s="5"/>
      <c r="J106" s="19">
        <v>615.51279999999997</v>
      </c>
      <c r="K106" s="20">
        <v>28.0868</v>
      </c>
      <c r="L106" s="20">
        <v>34.857700000000001</v>
      </c>
      <c r="M106" s="20">
        <v>34.9649</v>
      </c>
      <c r="N106" s="20">
        <v>170.41579999999999</v>
      </c>
      <c r="O106" s="20">
        <f t="shared" si="5"/>
        <v>29.792925</v>
      </c>
      <c r="P106" s="7"/>
      <c r="Q106" s="13"/>
      <c r="R106" s="14"/>
      <c r="S106" s="14"/>
      <c r="T106" s="27"/>
      <c r="U106" s="28">
        <f t="shared" si="6"/>
        <v>1.0258654303376127</v>
      </c>
    </row>
    <row r="107" spans="2:21" x14ac:dyDescent="0.25">
      <c r="B107" s="6" t="s">
        <v>51</v>
      </c>
      <c r="C107" s="29">
        <v>2375.04</v>
      </c>
      <c r="D107" s="30">
        <v>32.536999999999999</v>
      </c>
      <c r="E107" s="30">
        <v>38.472999999999999</v>
      </c>
      <c r="F107" s="30">
        <v>37.875</v>
      </c>
      <c r="G107" s="16">
        <v>59.91</v>
      </c>
      <c r="H107" s="16">
        <f t="shared" si="4"/>
        <v>33.946249999999999</v>
      </c>
      <c r="I107" s="5"/>
      <c r="J107" s="29">
        <v>2435.5111999999999</v>
      </c>
      <c r="K107" s="30">
        <v>33.194499999999998</v>
      </c>
      <c r="L107" s="30">
        <v>39.020299999999999</v>
      </c>
      <c r="M107" s="30">
        <v>38.288200000000003</v>
      </c>
      <c r="N107" s="16">
        <v>89.525499999999994</v>
      </c>
      <c r="O107" s="16">
        <f t="shared" si="5"/>
        <v>34.559437499999994</v>
      </c>
      <c r="P107" s="7"/>
      <c r="Q107" s="8">
        <f>bdrate(C107:C110,D107:D110,J107:J110,K107:K110)</f>
        <v>-0.13240596473091659</v>
      </c>
      <c r="R107" s="8">
        <f>bdrate(C107:C110,E107:E110,J107:J110,L107:L110)</f>
        <v>-8.3915805873892912E-2</v>
      </c>
      <c r="S107" s="8">
        <f>bdrate(C107:C110,F107:F110,J107:J110,M107:M110)</f>
        <v>-4.895604932460329E-3</v>
      </c>
      <c r="T107" s="25">
        <f>bdrate(C107:C110,H107:H110,J107:J110,O107:O110)</f>
        <v>-0.11278325131330325</v>
      </c>
      <c r="U107" s="28">
        <f t="shared" si="6"/>
        <v>0.4943331664162911</v>
      </c>
    </row>
    <row r="108" spans="2:21" x14ac:dyDescent="0.25">
      <c r="B108" s="9"/>
      <c r="C108" s="31">
        <v>1579.66</v>
      </c>
      <c r="D108" s="32">
        <v>31.187999999999999</v>
      </c>
      <c r="E108" s="32">
        <v>37.606999999999999</v>
      </c>
      <c r="F108" s="32">
        <v>36.795000000000002</v>
      </c>
      <c r="G108" s="18">
        <v>66.92</v>
      </c>
      <c r="H108" s="18">
        <f t="shared" si="4"/>
        <v>32.691249999999997</v>
      </c>
      <c r="I108" s="5"/>
      <c r="J108" s="31">
        <v>1624.4775999999999</v>
      </c>
      <c r="K108" s="32">
        <v>31.819099999999999</v>
      </c>
      <c r="L108" s="32">
        <v>38.078499999999998</v>
      </c>
      <c r="M108" s="32">
        <v>37.005000000000003</v>
      </c>
      <c r="N108" s="18">
        <v>131.33699999999999</v>
      </c>
      <c r="O108" s="18">
        <f t="shared" si="5"/>
        <v>33.249762500000003</v>
      </c>
      <c r="P108" s="7"/>
      <c r="Q108" s="10"/>
      <c r="R108" s="11"/>
      <c r="S108" s="11"/>
      <c r="T108" s="26"/>
      <c r="U108" s="28">
        <f t="shared" si="6"/>
        <v>0.96259713090257004</v>
      </c>
    </row>
    <row r="109" spans="2:21" x14ac:dyDescent="0.25">
      <c r="B109" s="9"/>
      <c r="C109" s="31">
        <v>982.33</v>
      </c>
      <c r="D109" s="32">
        <v>29.58</v>
      </c>
      <c r="E109" s="32">
        <v>36.481999999999999</v>
      </c>
      <c r="F109" s="32">
        <v>35.31</v>
      </c>
      <c r="G109" s="18">
        <v>74.37</v>
      </c>
      <c r="H109" s="18">
        <f t="shared" si="4"/>
        <v>31.158999999999999</v>
      </c>
      <c r="I109" s="5"/>
      <c r="J109" s="31">
        <v>1014.304</v>
      </c>
      <c r="K109" s="32">
        <v>30.157599999999999</v>
      </c>
      <c r="L109" s="32">
        <v>36.715699999999998</v>
      </c>
      <c r="M109" s="32">
        <v>35.3658</v>
      </c>
      <c r="N109" s="18">
        <v>149.03129999999999</v>
      </c>
      <c r="O109" s="18">
        <f t="shared" si="5"/>
        <v>31.628387499999999</v>
      </c>
      <c r="P109" s="7"/>
      <c r="Q109" s="10"/>
      <c r="R109" s="11"/>
      <c r="S109" s="11"/>
      <c r="T109" s="26"/>
      <c r="U109" s="28">
        <f t="shared" si="6"/>
        <v>1.0039169019766032</v>
      </c>
    </row>
    <row r="110" spans="2:21" ht="16.5" thickBot="1" x14ac:dyDescent="0.3">
      <c r="B110" s="12"/>
      <c r="C110" s="33">
        <v>581.62</v>
      </c>
      <c r="D110" s="34">
        <v>27.709</v>
      </c>
      <c r="E110" s="34">
        <v>34.731999999999999</v>
      </c>
      <c r="F110" s="34">
        <v>33.323999999999998</v>
      </c>
      <c r="G110" s="20">
        <v>83.04</v>
      </c>
      <c r="H110" s="20">
        <f t="shared" si="4"/>
        <v>29.28875</v>
      </c>
      <c r="I110" s="5"/>
      <c r="J110" s="33">
        <v>607.16</v>
      </c>
      <c r="K110" s="34">
        <v>28.297999999999998</v>
      </c>
      <c r="L110" s="34">
        <v>35.034700000000001</v>
      </c>
      <c r="M110" s="34">
        <v>33.349600000000002</v>
      </c>
      <c r="N110" s="20">
        <v>164.3115</v>
      </c>
      <c r="O110" s="20">
        <f t="shared" si="5"/>
        <v>29.771537500000001</v>
      </c>
      <c r="P110" s="7"/>
      <c r="Q110" s="13"/>
      <c r="R110" s="14"/>
      <c r="S110" s="14"/>
      <c r="T110" s="27"/>
      <c r="U110" s="28">
        <f t="shared" si="6"/>
        <v>0.97870303468208075</v>
      </c>
    </row>
    <row r="111" spans="2:21" x14ac:dyDescent="0.25">
      <c r="B111" s="6" t="s">
        <v>52</v>
      </c>
      <c r="C111" s="15">
        <v>2379.85</v>
      </c>
      <c r="D111" s="16">
        <v>29.652999999999999</v>
      </c>
      <c r="E111" s="16">
        <v>37.341000000000001</v>
      </c>
      <c r="F111" s="16">
        <v>40.024999999999999</v>
      </c>
      <c r="G111" s="16">
        <v>75.260000000000005</v>
      </c>
      <c r="H111" s="16">
        <f t="shared" si="4"/>
        <v>31.910500000000003</v>
      </c>
      <c r="I111" s="5"/>
      <c r="J111" s="15">
        <v>2472.9656</v>
      </c>
      <c r="K111" s="16">
        <v>32.107199999999999</v>
      </c>
      <c r="L111" s="16">
        <v>38.306800000000003</v>
      </c>
      <c r="M111" s="16">
        <v>40.863100000000003</v>
      </c>
      <c r="N111" s="16">
        <v>87.412599999999998</v>
      </c>
      <c r="O111" s="16">
        <f t="shared" si="5"/>
        <v>33.976637499999995</v>
      </c>
      <c r="P111" s="7"/>
      <c r="Q111" s="8">
        <f>bdrate(C111:C114,D111:D114,J111:J114,K111:K114)</f>
        <v>-0.62481089927689903</v>
      </c>
      <c r="R111" s="8">
        <f>bdrate(C111:C114,E111:E114,J111:J114,L111:L114)</f>
        <v>-0.50566552176211621</v>
      </c>
      <c r="S111" s="8">
        <f>bdrate(C111:C114,F111:F114,J111:J114,M111:M114)</f>
        <v>-0.43788415836514749</v>
      </c>
      <c r="T111" s="25">
        <f>bdrate(C111:C114,H111:H114,J111:J114,O111:O114)</f>
        <v>-0.60962936088056163</v>
      </c>
      <c r="U111" s="28">
        <f t="shared" si="6"/>
        <v>0.16147488705819812</v>
      </c>
    </row>
    <row r="112" spans="2:21" x14ac:dyDescent="0.25">
      <c r="B112" s="9"/>
      <c r="C112" s="17">
        <v>1582.92</v>
      </c>
      <c r="D112" s="18">
        <v>28.728999999999999</v>
      </c>
      <c r="E112" s="18">
        <v>36.97</v>
      </c>
      <c r="F112" s="18">
        <v>39.676000000000002</v>
      </c>
      <c r="G112" s="18">
        <v>82.53</v>
      </c>
      <c r="H112" s="18">
        <f t="shared" si="4"/>
        <v>31.127499999999998</v>
      </c>
      <c r="I112" s="5"/>
      <c r="J112" s="17">
        <v>1639.3344</v>
      </c>
      <c r="K112" s="18">
        <v>31.2484</v>
      </c>
      <c r="L112" s="18">
        <v>37.844499999999996</v>
      </c>
      <c r="M112" s="18">
        <v>40.439599999999999</v>
      </c>
      <c r="N112" s="18">
        <v>130.77590000000001</v>
      </c>
      <c r="O112" s="18">
        <f t="shared" si="5"/>
        <v>33.221812499999999</v>
      </c>
      <c r="P112" s="7"/>
      <c r="Q112" s="10"/>
      <c r="R112" s="11"/>
      <c r="S112" s="11"/>
      <c r="T112" s="26"/>
      <c r="U112" s="28">
        <f t="shared" si="6"/>
        <v>0.58458621107476072</v>
      </c>
    </row>
    <row r="113" spans="1:21" x14ac:dyDescent="0.25">
      <c r="B113" s="9"/>
      <c r="C113" s="17">
        <v>977.73</v>
      </c>
      <c r="D113" s="18">
        <v>27.565999999999999</v>
      </c>
      <c r="E113" s="18">
        <v>36.555</v>
      </c>
      <c r="F113" s="18">
        <v>39.274999999999999</v>
      </c>
      <c r="G113" s="18">
        <v>87.62</v>
      </c>
      <c r="H113" s="18">
        <f t="shared" si="4"/>
        <v>30.15325</v>
      </c>
      <c r="I113" s="5"/>
      <c r="J113" s="17">
        <v>1024.4656</v>
      </c>
      <c r="K113" s="18">
        <v>30.122499999999999</v>
      </c>
      <c r="L113" s="18">
        <v>37.284999999999997</v>
      </c>
      <c r="M113" s="18">
        <v>39.864699999999999</v>
      </c>
      <c r="N113" s="18">
        <v>145.0326</v>
      </c>
      <c r="O113" s="18">
        <f t="shared" si="5"/>
        <v>32.235587499999994</v>
      </c>
      <c r="P113" s="7"/>
      <c r="Q113" s="10"/>
      <c r="R113" s="11"/>
      <c r="S113" s="11"/>
      <c r="T113" s="26"/>
      <c r="U113" s="28">
        <f t="shared" si="6"/>
        <v>0.65524537776763292</v>
      </c>
    </row>
    <row r="114" spans="1:21" ht="16.5" thickBot="1" x14ac:dyDescent="0.3">
      <c r="B114" s="12"/>
      <c r="C114" s="19">
        <v>526.82000000000005</v>
      </c>
      <c r="D114" s="20">
        <v>25.663</v>
      </c>
      <c r="E114" s="20">
        <v>35.787999999999997</v>
      </c>
      <c r="F114" s="20">
        <v>38.686</v>
      </c>
      <c r="G114" s="20">
        <v>97.13</v>
      </c>
      <c r="H114" s="20">
        <f t="shared" si="4"/>
        <v>28.556500000000003</v>
      </c>
      <c r="I114" s="5"/>
      <c r="J114" s="19">
        <v>611.99279999999999</v>
      </c>
      <c r="K114" s="20">
        <v>28.696999999999999</v>
      </c>
      <c r="L114" s="20">
        <v>36.673099999999998</v>
      </c>
      <c r="M114" s="20">
        <v>39.250900000000001</v>
      </c>
      <c r="N114" s="20">
        <v>162.1183</v>
      </c>
      <c r="O114" s="20">
        <f t="shared" si="5"/>
        <v>31.013249999999999</v>
      </c>
      <c r="P114" s="7"/>
      <c r="Q114" s="13"/>
      <c r="R114" s="14"/>
      <c r="S114" s="14"/>
      <c r="T114" s="27"/>
      <c r="U114" s="28">
        <f t="shared" si="6"/>
        <v>0.66908576135076714</v>
      </c>
    </row>
    <row r="115" spans="1:21" x14ac:dyDescent="0.25">
      <c r="A115" s="6" t="s">
        <v>39</v>
      </c>
      <c r="B115" s="6" t="s">
        <v>53</v>
      </c>
      <c r="C115" s="15">
        <v>1215.8499999999999</v>
      </c>
      <c r="D115" s="16">
        <v>32.531999999999996</v>
      </c>
      <c r="E115" s="16">
        <v>36.122999999999998</v>
      </c>
      <c r="F115" s="16">
        <v>35.844999999999999</v>
      </c>
      <c r="G115" s="16">
        <v>232.23</v>
      </c>
      <c r="H115" s="16">
        <f t="shared" si="4"/>
        <v>33.394999999999996</v>
      </c>
      <c r="I115" s="5"/>
      <c r="J115" s="15">
        <v>1241.5383999999999</v>
      </c>
      <c r="K115" s="16">
        <v>33.557299999999998</v>
      </c>
      <c r="L115" s="16">
        <v>37.462699999999998</v>
      </c>
      <c r="M115" s="16">
        <v>37.308799999999998</v>
      </c>
      <c r="N115" s="16">
        <v>400.64100000000002</v>
      </c>
      <c r="O115" s="16">
        <f t="shared" si="5"/>
        <v>34.514412499999999</v>
      </c>
      <c r="P115" s="7"/>
      <c r="Q115" s="8">
        <f>bdrate(C115:C118,D115:D118,J115:J118,K115:K118)</f>
        <v>-0.20256961637412541</v>
      </c>
      <c r="R115" s="8">
        <f>bdrate(C115:C118,E115:E118,J115:J118,L115:L118)</f>
        <v>-0.18503564909403447</v>
      </c>
      <c r="S115" s="8">
        <f>bdrate(C115:C118,F115:F118,J115:J118,M115:M118)</f>
        <v>-0.16423033371015705</v>
      </c>
      <c r="T115" s="25">
        <f>bdrate(C115:C118,H115:H118,J115:J118,O115:O118)</f>
        <v>-0.19751829856898928</v>
      </c>
      <c r="U115" s="28">
        <f t="shared" si="6"/>
        <v>0.72519054385738291</v>
      </c>
    </row>
    <row r="116" spans="1:21" x14ac:dyDescent="0.25">
      <c r="A116" s="9" t="s">
        <v>40</v>
      </c>
      <c r="B116" s="9"/>
      <c r="C116" s="17">
        <v>813.36</v>
      </c>
      <c r="D116" s="18">
        <v>31.099</v>
      </c>
      <c r="E116" s="18">
        <v>35.311</v>
      </c>
      <c r="F116" s="18">
        <v>34.924999999999997</v>
      </c>
      <c r="G116" s="18">
        <v>256.41000000000003</v>
      </c>
      <c r="H116" s="18">
        <f t="shared" si="4"/>
        <v>32.103749999999998</v>
      </c>
      <c r="I116" s="5"/>
      <c r="J116" s="17">
        <v>829.23199999999997</v>
      </c>
      <c r="K116" s="18">
        <v>32.105899999999998</v>
      </c>
      <c r="L116" s="18">
        <v>36.133299999999998</v>
      </c>
      <c r="M116" s="18">
        <v>35.822099999999999</v>
      </c>
      <c r="N116" s="18">
        <v>471.25349999999997</v>
      </c>
      <c r="O116" s="18">
        <f t="shared" si="5"/>
        <v>33.07385</v>
      </c>
      <c r="P116" s="7"/>
      <c r="Q116" s="10"/>
      <c r="R116" s="11"/>
      <c r="S116" s="11"/>
      <c r="T116" s="26"/>
      <c r="U116" s="28">
        <f t="shared" si="6"/>
        <v>0.83789048789048759</v>
      </c>
    </row>
    <row r="117" spans="1:21" x14ac:dyDescent="0.25">
      <c r="B117" s="9"/>
      <c r="C117" s="17">
        <v>508.01</v>
      </c>
      <c r="D117" s="18">
        <v>29.623999999999999</v>
      </c>
      <c r="E117" s="18">
        <v>34.137</v>
      </c>
      <c r="F117" s="18">
        <v>33.642000000000003</v>
      </c>
      <c r="G117" s="18">
        <v>291.38</v>
      </c>
      <c r="H117" s="18">
        <f t="shared" si="4"/>
        <v>30.690375</v>
      </c>
      <c r="I117" s="5"/>
      <c r="J117" s="17">
        <v>518.72479999999996</v>
      </c>
      <c r="K117" s="18">
        <v>30.4316</v>
      </c>
      <c r="L117" s="18">
        <v>34.706600000000002</v>
      </c>
      <c r="M117" s="18">
        <v>34.152799999999999</v>
      </c>
      <c r="N117" s="18">
        <v>562.42970000000003</v>
      </c>
      <c r="O117" s="18">
        <f t="shared" si="5"/>
        <v>31.431125000000002</v>
      </c>
      <c r="P117" s="7"/>
      <c r="Q117" s="10"/>
      <c r="R117" s="11"/>
      <c r="S117" s="11"/>
      <c r="T117" s="26"/>
      <c r="U117" s="28">
        <f t="shared" si="6"/>
        <v>0.93022753792298729</v>
      </c>
    </row>
    <row r="118" spans="1:21" ht="16.5" thickBot="1" x14ac:dyDescent="0.3">
      <c r="B118" s="12"/>
      <c r="C118" s="19">
        <v>301.94</v>
      </c>
      <c r="D118" s="20">
        <v>28.135999999999999</v>
      </c>
      <c r="E118" s="20">
        <v>32.671999999999997</v>
      </c>
      <c r="F118" s="20">
        <v>32.018000000000001</v>
      </c>
      <c r="G118" s="20">
        <v>323.62</v>
      </c>
      <c r="H118" s="20">
        <f t="shared" si="4"/>
        <v>29.18825</v>
      </c>
      <c r="I118" s="5"/>
      <c r="J118" s="19">
        <v>311.904</v>
      </c>
      <c r="K118" s="20">
        <v>28.5321</v>
      </c>
      <c r="L118" s="20">
        <v>33.065300000000001</v>
      </c>
      <c r="M118" s="20">
        <v>32.399900000000002</v>
      </c>
      <c r="N118" s="20">
        <v>682.12819999999999</v>
      </c>
      <c r="O118" s="20">
        <f t="shared" si="5"/>
        <v>29.582225000000001</v>
      </c>
      <c r="P118" s="7"/>
      <c r="Q118" s="13"/>
      <c r="R118" s="14"/>
      <c r="S118" s="14"/>
      <c r="T118" s="27"/>
      <c r="U118" s="28">
        <f t="shared" si="6"/>
        <v>1.1078060688461775</v>
      </c>
    </row>
    <row r="119" spans="1:21" x14ac:dyDescent="0.25">
      <c r="B119" s="6" t="s">
        <v>54</v>
      </c>
      <c r="C119" s="15">
        <v>1227.3499999999999</v>
      </c>
      <c r="D119" s="16">
        <v>31.744</v>
      </c>
      <c r="E119" s="16">
        <v>37.372</v>
      </c>
      <c r="F119" s="16">
        <v>38.1</v>
      </c>
      <c r="G119" s="16">
        <v>256.41000000000003</v>
      </c>
      <c r="H119" s="16">
        <f t="shared" si="4"/>
        <v>33.242000000000004</v>
      </c>
      <c r="I119" s="5"/>
      <c r="J119" s="15">
        <v>1205.1232</v>
      </c>
      <c r="K119" s="16">
        <v>33.639299999999999</v>
      </c>
      <c r="L119" s="16">
        <v>38.627600000000001</v>
      </c>
      <c r="M119" s="16">
        <v>39.398499999999999</v>
      </c>
      <c r="N119" s="16">
        <v>400.53399999999999</v>
      </c>
      <c r="O119" s="16">
        <f t="shared" si="5"/>
        <v>34.982737499999999</v>
      </c>
      <c r="P119" s="7"/>
      <c r="Q119" s="8">
        <f>bdrate(C119:C122,D119:D122,J119:J122,K119:K122)</f>
        <v>-0.34323951830247634</v>
      </c>
      <c r="R119" s="8">
        <f>bdrate(C119:C122,E119:E122,J119:J122,L119:L122)</f>
        <v>-0.36192254370097787</v>
      </c>
      <c r="S119" s="8">
        <f>bdrate(C119:C122,F119:F122,J119:J122,M119:M122)</f>
        <v>-0.32355998214131199</v>
      </c>
      <c r="T119" s="25">
        <f>bdrate(C119:C122,H119:H122,J119:J122,O119:O122)</f>
        <v>-0.34295710634220222</v>
      </c>
      <c r="U119" s="28">
        <f t="shared" si="6"/>
        <v>0.5620841620841619</v>
      </c>
    </row>
    <row r="120" spans="1:21" x14ac:dyDescent="0.25">
      <c r="B120" s="9"/>
      <c r="C120" s="17">
        <v>814.54</v>
      </c>
      <c r="D120" s="18">
        <v>30.402999999999999</v>
      </c>
      <c r="E120" s="18">
        <v>36.517000000000003</v>
      </c>
      <c r="F120" s="18">
        <v>37.139000000000003</v>
      </c>
      <c r="G120" s="18">
        <v>268.94</v>
      </c>
      <c r="H120" s="18">
        <f t="shared" si="4"/>
        <v>32.009250000000002</v>
      </c>
      <c r="I120" s="5"/>
      <c r="J120" s="17">
        <v>800.72239999999999</v>
      </c>
      <c r="K120" s="18">
        <v>32.0916</v>
      </c>
      <c r="L120" s="18">
        <v>37.682200000000002</v>
      </c>
      <c r="M120" s="18">
        <v>38.293799999999997</v>
      </c>
      <c r="N120" s="18">
        <v>457.66590000000002</v>
      </c>
      <c r="O120" s="18">
        <f t="shared" si="5"/>
        <v>33.5657</v>
      </c>
      <c r="P120" s="7"/>
      <c r="Q120" s="10"/>
      <c r="R120" s="11"/>
      <c r="S120" s="11"/>
      <c r="T120" s="26"/>
      <c r="U120" s="28">
        <f t="shared" si="6"/>
        <v>0.70173979326243785</v>
      </c>
    </row>
    <row r="121" spans="1:21" x14ac:dyDescent="0.25">
      <c r="B121" s="9"/>
      <c r="C121" s="17">
        <v>507.01</v>
      </c>
      <c r="D121" s="18">
        <v>28.89</v>
      </c>
      <c r="E121" s="18">
        <v>35.552</v>
      </c>
      <c r="F121" s="18">
        <v>35.969000000000001</v>
      </c>
      <c r="G121" s="18">
        <v>331.49</v>
      </c>
      <c r="H121" s="18">
        <f t="shared" si="4"/>
        <v>30.607624999999999</v>
      </c>
      <c r="I121" s="5"/>
      <c r="J121" s="17">
        <v>499.6712</v>
      </c>
      <c r="K121" s="18">
        <v>30.2544</v>
      </c>
      <c r="L121" s="18">
        <v>36.459600000000002</v>
      </c>
      <c r="M121" s="18">
        <v>36.896299999999997</v>
      </c>
      <c r="N121" s="18">
        <v>541.51620000000003</v>
      </c>
      <c r="O121" s="18">
        <f t="shared" si="5"/>
        <v>31.860287499999998</v>
      </c>
      <c r="P121" s="7"/>
      <c r="Q121" s="10"/>
      <c r="R121" s="11"/>
      <c r="S121" s="11"/>
      <c r="T121" s="26"/>
      <c r="U121" s="28">
        <f t="shared" si="6"/>
        <v>0.63358231017526923</v>
      </c>
    </row>
    <row r="122" spans="1:21" ht="16.5" thickBot="1" x14ac:dyDescent="0.3">
      <c r="B122" s="12"/>
      <c r="C122" s="19">
        <v>299.54000000000002</v>
      </c>
      <c r="D122" s="20">
        <v>27.187000000000001</v>
      </c>
      <c r="E122" s="20">
        <v>34.420999999999999</v>
      </c>
      <c r="F122" s="20">
        <v>34.523000000000003</v>
      </c>
      <c r="G122" s="20">
        <v>373.6</v>
      </c>
      <c r="H122" s="20">
        <f t="shared" si="4"/>
        <v>29.00825</v>
      </c>
      <c r="I122" s="5"/>
      <c r="J122" s="19">
        <v>299.07119999999998</v>
      </c>
      <c r="K122" s="20">
        <v>28.1828</v>
      </c>
      <c r="L122" s="20">
        <v>35.212400000000002</v>
      </c>
      <c r="M122" s="20">
        <v>35.446300000000001</v>
      </c>
      <c r="N122" s="20">
        <v>662.98339999999996</v>
      </c>
      <c r="O122" s="20">
        <f t="shared" si="5"/>
        <v>29.969437500000002</v>
      </c>
      <c r="P122" s="7"/>
      <c r="Q122" s="13"/>
      <c r="R122" s="14"/>
      <c r="S122" s="14"/>
      <c r="T122" s="27"/>
      <c r="U122" s="28">
        <f t="shared" si="6"/>
        <v>0.77458083511777276</v>
      </c>
    </row>
    <row r="123" spans="1:21" x14ac:dyDescent="0.25">
      <c r="B123" s="6" t="s">
        <v>55</v>
      </c>
      <c r="C123" s="15">
        <v>1138.03</v>
      </c>
      <c r="D123" s="16">
        <v>26.076000000000001</v>
      </c>
      <c r="E123" s="16">
        <v>33.328000000000003</v>
      </c>
      <c r="F123" s="16">
        <v>34.006999999999998</v>
      </c>
      <c r="G123" s="16">
        <v>248.39</v>
      </c>
      <c r="H123" s="16">
        <f t="shared" si="4"/>
        <v>27.973875000000003</v>
      </c>
      <c r="I123" s="5"/>
      <c r="J123" s="15">
        <v>1191.4952000000001</v>
      </c>
      <c r="K123" s="16">
        <v>27.7971</v>
      </c>
      <c r="L123" s="16">
        <v>34.474200000000003</v>
      </c>
      <c r="M123" s="16">
        <v>35.18</v>
      </c>
      <c r="N123" s="16">
        <v>356.12540000000001</v>
      </c>
      <c r="O123" s="16">
        <f t="shared" si="5"/>
        <v>29.554600000000001</v>
      </c>
      <c r="P123" s="7"/>
      <c r="Q123" s="8">
        <f>bdrate(C123:C126,D123:D126,J123:J126,K123:K126)</f>
        <v>-0.42378235293116773</v>
      </c>
      <c r="R123" s="8">
        <f>bdrate(C123:C126,E123:E126,J123:J126,L123:L126)</f>
        <v>-0.44121558611119482</v>
      </c>
      <c r="S123" s="8">
        <f>bdrate(C123:C126,F123:F126,J123:J126,M123:M126)</f>
        <v>-0.3990519773774297</v>
      </c>
      <c r="T123" s="25">
        <f>bdrate(C123:C126,H123:H126,J123:J126,O123:O126)</f>
        <v>-0.42341493241298589</v>
      </c>
      <c r="U123" s="28">
        <f t="shared" si="6"/>
        <v>0.43373485244977672</v>
      </c>
    </row>
    <row r="124" spans="1:21" x14ac:dyDescent="0.25">
      <c r="B124" s="9"/>
      <c r="C124" s="17">
        <v>754.19</v>
      </c>
      <c r="D124" s="18">
        <v>25.044</v>
      </c>
      <c r="E124" s="18">
        <v>32.761000000000003</v>
      </c>
      <c r="F124" s="18">
        <v>33.459000000000003</v>
      </c>
      <c r="G124" s="18">
        <v>283.61</v>
      </c>
      <c r="H124" s="18">
        <f t="shared" si="4"/>
        <v>27.060500000000001</v>
      </c>
      <c r="I124" s="5"/>
      <c r="J124" s="17">
        <v>798.42639999999994</v>
      </c>
      <c r="K124" s="18">
        <v>26.633400000000002</v>
      </c>
      <c r="L124" s="18">
        <v>33.737200000000001</v>
      </c>
      <c r="M124" s="18">
        <v>34.419699999999999</v>
      </c>
      <c r="N124" s="18">
        <v>416.31970000000001</v>
      </c>
      <c r="O124" s="18">
        <f t="shared" si="5"/>
        <v>28.494662500000004</v>
      </c>
      <c r="P124" s="7"/>
      <c r="Q124" s="10"/>
      <c r="R124" s="11"/>
      <c r="S124" s="11"/>
      <c r="T124" s="26"/>
      <c r="U124" s="28">
        <f t="shared" si="6"/>
        <v>0.46793025633792884</v>
      </c>
    </row>
    <row r="125" spans="1:21" x14ac:dyDescent="0.25">
      <c r="B125" s="9"/>
      <c r="C125" s="17">
        <v>470.04</v>
      </c>
      <c r="D125" s="18">
        <v>23.995000000000001</v>
      </c>
      <c r="E125" s="18">
        <v>32.127000000000002</v>
      </c>
      <c r="F125" s="18">
        <v>32.866999999999997</v>
      </c>
      <c r="G125" s="18">
        <v>327.01</v>
      </c>
      <c r="H125" s="18">
        <f t="shared" si="4"/>
        <v>26.1205</v>
      </c>
      <c r="I125" s="5"/>
      <c r="J125" s="17">
        <v>503.30160000000001</v>
      </c>
      <c r="K125" s="18">
        <v>25.4053</v>
      </c>
      <c r="L125" s="18">
        <v>33.015099999999997</v>
      </c>
      <c r="M125" s="18">
        <v>33.622999999999998</v>
      </c>
      <c r="N125" s="18">
        <v>508.64699999999999</v>
      </c>
      <c r="O125" s="18">
        <f t="shared" si="5"/>
        <v>27.383737499999999</v>
      </c>
      <c r="P125" s="7"/>
      <c r="Q125" s="10"/>
      <c r="R125" s="11"/>
      <c r="S125" s="11"/>
      <c r="T125" s="26"/>
      <c r="U125" s="28">
        <f t="shared" si="6"/>
        <v>0.55544784563163208</v>
      </c>
    </row>
    <row r="126" spans="1:21" ht="16.5" thickBot="1" x14ac:dyDescent="0.3">
      <c r="B126" s="12"/>
      <c r="C126" s="19">
        <v>281.2</v>
      </c>
      <c r="D126" s="20">
        <v>23.010999999999999</v>
      </c>
      <c r="E126" s="20">
        <v>31.422999999999998</v>
      </c>
      <c r="F126" s="20">
        <v>32.174999999999997</v>
      </c>
      <c r="G126" s="20">
        <v>372.86</v>
      </c>
      <c r="H126" s="20">
        <f t="shared" si="4"/>
        <v>25.207999999999998</v>
      </c>
      <c r="I126" s="5"/>
      <c r="J126" s="19">
        <v>303.77999999999997</v>
      </c>
      <c r="K126" s="20">
        <v>24.211600000000001</v>
      </c>
      <c r="L126" s="20">
        <v>32.297499999999999</v>
      </c>
      <c r="M126" s="20">
        <v>32.880299999999998</v>
      </c>
      <c r="N126" s="20">
        <v>628.14070000000004</v>
      </c>
      <c r="O126" s="20">
        <f t="shared" si="5"/>
        <v>26.305924999999998</v>
      </c>
      <c r="P126" s="7"/>
      <c r="Q126" s="13"/>
      <c r="R126" s="14"/>
      <c r="S126" s="14"/>
      <c r="T126" s="27"/>
      <c r="U126" s="28">
        <f t="shared" si="6"/>
        <v>0.68465563482272174</v>
      </c>
    </row>
    <row r="127" spans="1:21" x14ac:dyDescent="0.25">
      <c r="B127" s="6" t="s">
        <v>56</v>
      </c>
      <c r="C127" s="15">
        <v>1147.01</v>
      </c>
      <c r="D127" s="16">
        <v>30.866</v>
      </c>
      <c r="E127" s="16">
        <v>35.371000000000002</v>
      </c>
      <c r="F127" s="16">
        <v>36.912999999999997</v>
      </c>
      <c r="G127" s="16">
        <v>168.73</v>
      </c>
      <c r="H127" s="16">
        <f t="shared" si="4"/>
        <v>32.185000000000002</v>
      </c>
      <c r="I127" s="5"/>
      <c r="J127" s="15">
        <v>1163.7295999999999</v>
      </c>
      <c r="K127" s="16">
        <v>31.974599999999999</v>
      </c>
      <c r="L127" s="16">
        <v>36.039299999999997</v>
      </c>
      <c r="M127" s="16">
        <v>37.555900000000001</v>
      </c>
      <c r="N127" s="16">
        <v>305.18819999999999</v>
      </c>
      <c r="O127" s="16">
        <f t="shared" si="5"/>
        <v>33.180349999999997</v>
      </c>
      <c r="P127" s="7"/>
      <c r="Q127" s="8">
        <f>bdrate(C127:C130,D127:D130,J127:J130,K127:K130)</f>
        <v>-0.20620744210423625</v>
      </c>
      <c r="R127" s="8">
        <f>bdrate(C127:C130,E127:E130,J127:J130,L127:L130)</f>
        <v>-0.15224895258135518</v>
      </c>
      <c r="S127" s="8">
        <f>bdrate(C127:C130,F127:F130,J127:J130,M127:M130)</f>
        <v>-0.13295612651410704</v>
      </c>
      <c r="T127" s="25">
        <f>bdrate(C127:C130,H127:H130,J127:J130,O127:O130)</f>
        <v>-0.19353004982457167</v>
      </c>
      <c r="U127" s="28">
        <f t="shared" si="6"/>
        <v>0.8087370355005038</v>
      </c>
    </row>
    <row r="128" spans="1:21" x14ac:dyDescent="0.25">
      <c r="B128" s="9"/>
      <c r="C128" s="17">
        <v>780.89</v>
      </c>
      <c r="D128" s="18">
        <v>29.666</v>
      </c>
      <c r="E128" s="18">
        <v>34.630000000000003</v>
      </c>
      <c r="F128" s="18">
        <v>36.045000000000002</v>
      </c>
      <c r="G128" s="18">
        <v>188.44</v>
      </c>
      <c r="H128" s="18">
        <f t="shared" si="4"/>
        <v>31.083874999999999</v>
      </c>
      <c r="I128" s="5"/>
      <c r="J128" s="17">
        <v>783.89919999999995</v>
      </c>
      <c r="K128" s="18">
        <v>30.526299999999999</v>
      </c>
      <c r="L128" s="18">
        <v>35.131700000000002</v>
      </c>
      <c r="M128" s="18">
        <v>36.558799999999998</v>
      </c>
      <c r="N128" s="18">
        <v>362.75700000000001</v>
      </c>
      <c r="O128" s="18">
        <f t="shared" si="5"/>
        <v>31.856037499999999</v>
      </c>
      <c r="P128" s="7"/>
      <c r="Q128" s="10"/>
      <c r="R128" s="11"/>
      <c r="S128" s="11"/>
      <c r="T128" s="26"/>
      <c r="U128" s="28">
        <f t="shared" si="6"/>
        <v>0.92505306728932291</v>
      </c>
    </row>
    <row r="129" spans="1:21" x14ac:dyDescent="0.25">
      <c r="B129" s="9"/>
      <c r="C129" s="17">
        <v>493.52</v>
      </c>
      <c r="D129" s="18">
        <v>28.393000000000001</v>
      </c>
      <c r="E129" s="18">
        <v>33.759</v>
      </c>
      <c r="F129" s="18">
        <v>35.07</v>
      </c>
      <c r="G129" s="18">
        <v>206.75</v>
      </c>
      <c r="H129" s="18">
        <f t="shared" si="4"/>
        <v>29.898375000000001</v>
      </c>
      <c r="I129" s="5"/>
      <c r="J129" s="17">
        <v>493.50080000000003</v>
      </c>
      <c r="K129" s="18">
        <v>28.996099999999998</v>
      </c>
      <c r="L129" s="18">
        <v>34.044899999999998</v>
      </c>
      <c r="M129" s="18">
        <v>35.345999999999997</v>
      </c>
      <c r="N129" s="18">
        <v>436.68119999999999</v>
      </c>
      <c r="O129" s="18">
        <f t="shared" si="5"/>
        <v>30.420937500000001</v>
      </c>
      <c r="P129" s="7"/>
      <c r="Q129" s="10"/>
      <c r="R129" s="11"/>
      <c r="S129" s="11"/>
      <c r="T129" s="26"/>
      <c r="U129" s="28">
        <f t="shared" si="6"/>
        <v>1.1121218863361548</v>
      </c>
    </row>
    <row r="130" spans="1:21" ht="16.5" thickBot="1" x14ac:dyDescent="0.3">
      <c r="B130" s="12"/>
      <c r="C130" s="19">
        <v>298.63</v>
      </c>
      <c r="D130" s="20">
        <v>27.158999999999999</v>
      </c>
      <c r="E130" s="20">
        <v>32.677</v>
      </c>
      <c r="F130" s="20">
        <v>33.868000000000002</v>
      </c>
      <c r="G130" s="20">
        <v>223.55</v>
      </c>
      <c r="H130" s="20">
        <f t="shared" si="4"/>
        <v>28.687374999999999</v>
      </c>
      <c r="I130" s="5"/>
      <c r="J130" s="19">
        <v>299.89839999999998</v>
      </c>
      <c r="K130" s="20">
        <v>27.5641</v>
      </c>
      <c r="L130" s="20">
        <v>32.879300000000001</v>
      </c>
      <c r="M130" s="20">
        <v>34.007100000000001</v>
      </c>
      <c r="N130" s="20">
        <v>505.90219999999999</v>
      </c>
      <c r="O130" s="20">
        <f t="shared" si="5"/>
        <v>29.033875000000002</v>
      </c>
      <c r="P130" s="7"/>
      <c r="Q130" s="13"/>
      <c r="R130" s="14"/>
      <c r="S130" s="14"/>
      <c r="T130" s="27"/>
      <c r="U130" s="28">
        <f t="shared" si="6"/>
        <v>1.263038246477298</v>
      </c>
    </row>
    <row r="131" spans="1:21" x14ac:dyDescent="0.25">
      <c r="A131" s="6" t="s">
        <v>41</v>
      </c>
      <c r="B131" s="6" t="s">
        <v>57</v>
      </c>
      <c r="C131" s="15">
        <v>608.87</v>
      </c>
      <c r="D131" s="16">
        <v>32.241</v>
      </c>
      <c r="E131" s="16">
        <v>36.976999999999997</v>
      </c>
      <c r="F131" s="16">
        <v>35.738</v>
      </c>
      <c r="G131" s="16">
        <v>593.12</v>
      </c>
      <c r="H131" s="16">
        <f t="shared" si="4"/>
        <v>33.270125</v>
      </c>
      <c r="I131" s="5"/>
      <c r="J131" s="15">
        <v>616.28560000000004</v>
      </c>
      <c r="K131" s="16">
        <v>33.688499999999998</v>
      </c>
      <c r="L131" s="16">
        <v>38.527500000000003</v>
      </c>
      <c r="M131" s="16">
        <v>37.204799999999999</v>
      </c>
      <c r="N131" s="16">
        <v>572.08240000000001</v>
      </c>
      <c r="O131" s="16">
        <f t="shared" si="5"/>
        <v>34.732912499999998</v>
      </c>
      <c r="P131" s="7"/>
      <c r="Q131" s="8">
        <f>bdrate(C131:C134,D131:D134,J131:J134,K131:K134)</f>
        <v>-0.21687633688153074</v>
      </c>
      <c r="R131" s="8">
        <f>bdrate(C131:C134,E131:E134,J131:J134,L131:L134)</f>
        <v>-0.35743908395029422</v>
      </c>
      <c r="S131" s="8">
        <f>bdrate(C131:C134,F131:F134,J131:J134,M131:M134)</f>
        <v>-0.26375587348522833</v>
      </c>
      <c r="T131" s="25">
        <f>bdrate(C131:C134,H131:H134,J131:J134,O131:O134)</f>
        <v>-0.23648174137607847</v>
      </c>
      <c r="U131" s="28">
        <f t="shared" si="6"/>
        <v>-3.5469382249797676E-2</v>
      </c>
    </row>
    <row r="132" spans="1:21" x14ac:dyDescent="0.25">
      <c r="A132" s="9" t="s">
        <v>42</v>
      </c>
      <c r="B132" s="9"/>
      <c r="C132" s="17">
        <v>407.25</v>
      </c>
      <c r="D132" s="18">
        <v>30.753</v>
      </c>
      <c r="E132" s="18">
        <v>35.978999999999999</v>
      </c>
      <c r="F132" s="18">
        <v>34.555</v>
      </c>
      <c r="G132" s="18">
        <v>667.56</v>
      </c>
      <c r="H132" s="18">
        <f t="shared" si="4"/>
        <v>31.881500000000003</v>
      </c>
      <c r="I132" s="5"/>
      <c r="J132" s="17">
        <v>410.2072</v>
      </c>
      <c r="K132" s="18">
        <v>31.905100000000001</v>
      </c>
      <c r="L132" s="18">
        <v>37.3431</v>
      </c>
      <c r="M132" s="18">
        <v>35.716000000000001</v>
      </c>
      <c r="N132" s="18">
        <v>727.80200000000002</v>
      </c>
      <c r="O132" s="18">
        <f t="shared" si="5"/>
        <v>33.061212499999996</v>
      </c>
      <c r="P132" s="7"/>
      <c r="Q132" s="10"/>
      <c r="R132" s="11"/>
      <c r="S132" s="11"/>
      <c r="T132" s="26"/>
      <c r="U132" s="28">
        <f t="shared" si="6"/>
        <v>9.0242075618671105E-2</v>
      </c>
    </row>
    <row r="133" spans="1:21" x14ac:dyDescent="0.25">
      <c r="B133" s="9"/>
      <c r="C133" s="17">
        <v>256.98</v>
      </c>
      <c r="D133" s="18">
        <v>29.2</v>
      </c>
      <c r="E133" s="18">
        <v>35.021999999999998</v>
      </c>
      <c r="F133" s="18">
        <v>33.212000000000003</v>
      </c>
      <c r="G133" s="18">
        <v>745.16</v>
      </c>
      <c r="H133" s="18">
        <f t="shared" si="4"/>
        <v>30.429249999999996</v>
      </c>
      <c r="I133" s="5"/>
      <c r="J133" s="17">
        <v>257.62720000000002</v>
      </c>
      <c r="K133" s="18">
        <v>30.077100000000002</v>
      </c>
      <c r="L133" s="18">
        <v>36.115499999999997</v>
      </c>
      <c r="M133" s="18">
        <v>34.146999999999998</v>
      </c>
      <c r="N133" s="18">
        <v>822.36839999999995</v>
      </c>
      <c r="O133" s="18">
        <f t="shared" si="5"/>
        <v>31.3406375</v>
      </c>
      <c r="P133" s="7"/>
      <c r="Q133" s="10"/>
      <c r="R133" s="11"/>
      <c r="S133" s="11"/>
      <c r="T133" s="26"/>
      <c r="U133" s="28">
        <f t="shared" si="6"/>
        <v>0.10361318374577271</v>
      </c>
    </row>
    <row r="134" spans="1:21" ht="16.5" thickBot="1" x14ac:dyDescent="0.3">
      <c r="B134" s="12"/>
      <c r="C134" s="19">
        <v>124.8</v>
      </c>
      <c r="D134" s="20">
        <v>27.007000000000001</v>
      </c>
      <c r="E134" s="20">
        <v>33.456000000000003</v>
      </c>
      <c r="F134" s="20">
        <v>31.062999999999999</v>
      </c>
      <c r="G134" s="20">
        <v>915.75</v>
      </c>
      <c r="H134" s="20">
        <f t="shared" si="4"/>
        <v>28.320124999999997</v>
      </c>
      <c r="I134" s="5"/>
      <c r="J134" s="19">
        <v>123.50239999999999</v>
      </c>
      <c r="K134" s="20">
        <v>27.385200000000001</v>
      </c>
      <c r="L134" s="20">
        <v>34.063200000000002</v>
      </c>
      <c r="M134" s="20">
        <v>31.7608</v>
      </c>
      <c r="N134" s="20">
        <v>1068.3761</v>
      </c>
      <c r="O134" s="20">
        <f t="shared" si="5"/>
        <v>28.7669</v>
      </c>
      <c r="P134" s="7"/>
      <c r="Q134" s="13"/>
      <c r="R134" s="14"/>
      <c r="S134" s="14"/>
      <c r="T134" s="27"/>
      <c r="U134" s="28">
        <f t="shared" si="6"/>
        <v>0.1666678678678678</v>
      </c>
    </row>
    <row r="135" spans="1:21" x14ac:dyDescent="0.25">
      <c r="B135" s="6" t="s">
        <v>58</v>
      </c>
      <c r="C135" s="15">
        <v>583.44000000000005</v>
      </c>
      <c r="D135" s="16">
        <v>26.997</v>
      </c>
      <c r="E135" s="16">
        <v>36.841999999999999</v>
      </c>
      <c r="F135" s="16">
        <v>37.115000000000002</v>
      </c>
      <c r="G135" s="16">
        <v>769.23</v>
      </c>
      <c r="H135" s="16">
        <f t="shared" si="4"/>
        <v>29.492375000000003</v>
      </c>
      <c r="I135" s="5"/>
      <c r="J135" s="15">
        <v>603.36720000000003</v>
      </c>
      <c r="K135" s="16">
        <v>29.967400000000001</v>
      </c>
      <c r="L135" s="16">
        <v>38.406199999999998</v>
      </c>
      <c r="M135" s="16">
        <v>39.149000000000001</v>
      </c>
      <c r="N135" s="16">
        <v>591.71600000000001</v>
      </c>
      <c r="O135" s="16">
        <f t="shared" si="5"/>
        <v>32.16995</v>
      </c>
      <c r="P135" s="7"/>
      <c r="Q135" s="8">
        <f>bdrate(C135:C138,D135:D138,J135:J138,K135:K138)</f>
        <v>-0.62408763227634301</v>
      </c>
      <c r="R135" s="8">
        <f>bdrate(C135:C138,E135:E138,J135:J138,L135:L138)</f>
        <v>-0.60166457092389836</v>
      </c>
      <c r="S135" s="8">
        <f>bdrate(C135:C138,F135:F138,J135:J138,M135:M138)</f>
        <v>-0.61884482576166255</v>
      </c>
      <c r="T135" s="25">
        <f>bdrate(C135:C138,H135:H138,J135:J138,O135:O138)</f>
        <v>-0.62419455810678337</v>
      </c>
      <c r="U135" s="28">
        <f t="shared" si="6"/>
        <v>-0.23076843076843079</v>
      </c>
    </row>
    <row r="136" spans="1:21" x14ac:dyDescent="0.25">
      <c r="B136" s="9"/>
      <c r="C136" s="17">
        <v>392.47</v>
      </c>
      <c r="D136" s="18">
        <v>26.027999999999999</v>
      </c>
      <c r="E136" s="18">
        <v>36.639000000000003</v>
      </c>
      <c r="F136" s="18">
        <v>36.850999999999999</v>
      </c>
      <c r="G136" s="18">
        <v>894.19</v>
      </c>
      <c r="H136" s="18">
        <f t="shared" si="4"/>
        <v>28.707250000000002</v>
      </c>
      <c r="I136" s="5"/>
      <c r="J136" s="17">
        <v>399.13040000000001</v>
      </c>
      <c r="K136" s="18">
        <v>28.8184</v>
      </c>
      <c r="L136" s="18">
        <v>37.814599999999999</v>
      </c>
      <c r="M136" s="18">
        <v>38.479900000000001</v>
      </c>
      <c r="N136" s="18">
        <v>699.30070000000001</v>
      </c>
      <c r="O136" s="18">
        <f t="shared" si="5"/>
        <v>31.150612500000001</v>
      </c>
      <c r="P136" s="7"/>
      <c r="Q136" s="10"/>
      <c r="R136" s="11"/>
      <c r="S136" s="11"/>
      <c r="T136" s="26"/>
      <c r="U136" s="28">
        <f t="shared" si="6"/>
        <v>-0.21795065925586288</v>
      </c>
    </row>
    <row r="137" spans="1:21" x14ac:dyDescent="0.25">
      <c r="B137" s="9"/>
      <c r="C137" s="17">
        <v>238.7</v>
      </c>
      <c r="D137" s="18">
        <v>24.788</v>
      </c>
      <c r="E137" s="18">
        <v>36.244</v>
      </c>
      <c r="F137" s="18">
        <v>36.298000000000002</v>
      </c>
      <c r="G137" s="18">
        <v>1039.8599999999999</v>
      </c>
      <c r="H137" s="18">
        <f t="shared" si="4"/>
        <v>27.658750000000001</v>
      </c>
      <c r="I137" s="5"/>
      <c r="J137" s="17">
        <v>252.1352</v>
      </c>
      <c r="K137" s="18">
        <v>27.537500000000001</v>
      </c>
      <c r="L137" s="18">
        <v>37.211300000000001</v>
      </c>
      <c r="M137" s="18">
        <v>37.758699999999997</v>
      </c>
      <c r="N137" s="18">
        <v>801.06809999999996</v>
      </c>
      <c r="O137" s="18">
        <f t="shared" si="5"/>
        <v>30.024375000000003</v>
      </c>
      <c r="P137" s="7"/>
      <c r="Q137" s="10"/>
      <c r="R137" s="11"/>
      <c r="S137" s="11"/>
      <c r="T137" s="26"/>
      <c r="U137" s="28">
        <f t="shared" si="6"/>
        <v>-0.22963850903006169</v>
      </c>
    </row>
    <row r="138" spans="1:21" ht="16.5" thickBot="1" x14ac:dyDescent="0.3">
      <c r="B138" s="12"/>
      <c r="C138" s="19">
        <v>113.46</v>
      </c>
      <c r="D138" s="20">
        <v>22.8</v>
      </c>
      <c r="E138" s="20">
        <v>35.826000000000001</v>
      </c>
      <c r="F138" s="20">
        <v>35.531999999999996</v>
      </c>
      <c r="G138" s="20">
        <v>1327.43</v>
      </c>
      <c r="H138" s="20">
        <f t="shared" si="4"/>
        <v>26.019750000000002</v>
      </c>
      <c r="I138" s="5"/>
      <c r="J138" s="19">
        <v>120.9256</v>
      </c>
      <c r="K138" s="20">
        <v>25.411100000000001</v>
      </c>
      <c r="L138" s="20">
        <v>36.342399999999998</v>
      </c>
      <c r="M138" s="20">
        <v>36.462699999999998</v>
      </c>
      <c r="N138" s="20">
        <v>1132.0754999999999</v>
      </c>
      <c r="O138" s="20">
        <f t="shared" si="5"/>
        <v>28.158962500000001</v>
      </c>
      <c r="P138" s="7"/>
      <c r="Q138" s="13"/>
      <c r="R138" s="14"/>
      <c r="S138" s="14"/>
      <c r="T138" s="27"/>
      <c r="U138" s="28">
        <f t="shared" si="6"/>
        <v>-0.14716745892438782</v>
      </c>
    </row>
    <row r="139" spans="1:21" x14ac:dyDescent="0.25">
      <c r="B139" s="6" t="s">
        <v>59</v>
      </c>
      <c r="C139" s="29">
        <v>628.62</v>
      </c>
      <c r="D139" s="30">
        <v>29.109000000000002</v>
      </c>
      <c r="E139" s="30">
        <v>34.302999999999997</v>
      </c>
      <c r="F139" s="30">
        <v>34.795999999999999</v>
      </c>
      <c r="G139" s="16">
        <v>681.2</v>
      </c>
      <c r="H139" s="16">
        <f t="shared" si="4"/>
        <v>30.469124999999998</v>
      </c>
      <c r="I139" s="5"/>
      <c r="J139" s="29">
        <v>618.34479999999996</v>
      </c>
      <c r="K139" s="30">
        <v>30.785599999999999</v>
      </c>
      <c r="L139" s="30">
        <v>36.100900000000003</v>
      </c>
      <c r="M139" s="30">
        <v>36.6295</v>
      </c>
      <c r="N139" s="16">
        <v>561.79780000000005</v>
      </c>
      <c r="O139" s="16">
        <f t="shared" si="5"/>
        <v>32.180499999999995</v>
      </c>
      <c r="P139" s="7"/>
      <c r="Q139" s="8">
        <f>bdrate(C139:C142,D139:D142,J139:J142,K139:K142)</f>
        <v>-0.37880093551145511</v>
      </c>
      <c r="R139" s="8">
        <f>bdrate(C139:C142,E139:E142,J139:J142,L139:L142)</f>
        <v>-0.51502244189473045</v>
      </c>
      <c r="S139" s="8">
        <f>bdrate(C139:C142,F139:F142,J139:J142,M139:M142)</f>
        <v>-0.52878896448998214</v>
      </c>
      <c r="T139" s="25">
        <f>bdrate(C139:C142,H139:H142,J139:J142,O139:O142)</f>
        <v>-0.40735531048951479</v>
      </c>
      <c r="U139" s="28">
        <f t="shared" si="6"/>
        <v>-0.17528214914856133</v>
      </c>
    </row>
    <row r="140" spans="1:21" x14ac:dyDescent="0.25">
      <c r="B140" s="9"/>
      <c r="C140" s="31">
        <v>417.94</v>
      </c>
      <c r="D140" s="32">
        <v>27.93</v>
      </c>
      <c r="E140" s="32">
        <v>33.648000000000003</v>
      </c>
      <c r="F140" s="32">
        <v>34.159999999999997</v>
      </c>
      <c r="G140" s="18">
        <v>801.28</v>
      </c>
      <c r="H140" s="18">
        <f t="shared" si="4"/>
        <v>29.423499999999997</v>
      </c>
      <c r="I140" s="5"/>
      <c r="J140" s="31">
        <v>415.012</v>
      </c>
      <c r="K140" s="32">
        <v>29.3992</v>
      </c>
      <c r="L140" s="32">
        <v>35.184199999999997</v>
      </c>
      <c r="M140" s="32">
        <v>35.669899999999998</v>
      </c>
      <c r="N140" s="18">
        <v>654.45029999999997</v>
      </c>
      <c r="O140" s="18">
        <f t="shared" si="5"/>
        <v>30.906162500000001</v>
      </c>
      <c r="P140" s="7"/>
      <c r="Q140" s="10"/>
      <c r="R140" s="11"/>
      <c r="S140" s="11"/>
      <c r="T140" s="26"/>
      <c r="U140" s="28">
        <f t="shared" si="6"/>
        <v>-0.18324393470447287</v>
      </c>
    </row>
    <row r="141" spans="1:21" x14ac:dyDescent="0.25">
      <c r="B141" s="9"/>
      <c r="C141" s="31">
        <v>260.20999999999998</v>
      </c>
      <c r="D141" s="32">
        <v>26.684999999999999</v>
      </c>
      <c r="E141" s="32">
        <v>32.947000000000003</v>
      </c>
      <c r="F141" s="32">
        <v>33.399000000000001</v>
      </c>
      <c r="G141" s="18">
        <v>943.4</v>
      </c>
      <c r="H141" s="18">
        <f t="shared" si="4"/>
        <v>28.306999999999999</v>
      </c>
      <c r="I141" s="5"/>
      <c r="J141" s="31">
        <v>260.38799999999998</v>
      </c>
      <c r="K141" s="32">
        <v>27.975999999999999</v>
      </c>
      <c r="L141" s="32">
        <v>34.174399999999999</v>
      </c>
      <c r="M141" s="32">
        <v>34.701000000000001</v>
      </c>
      <c r="N141" s="18">
        <v>843.1703</v>
      </c>
      <c r="O141" s="18">
        <f t="shared" si="5"/>
        <v>29.591424999999997</v>
      </c>
      <c r="P141" s="7"/>
      <c r="Q141" s="10"/>
      <c r="R141" s="11"/>
      <c r="S141" s="11"/>
      <c r="T141" s="26"/>
      <c r="U141" s="28">
        <f t="shared" si="6"/>
        <v>-0.10624305702777187</v>
      </c>
    </row>
    <row r="142" spans="1:21" ht="16.5" thickBot="1" x14ac:dyDescent="0.3">
      <c r="B142" s="12"/>
      <c r="C142" s="33">
        <v>122.9</v>
      </c>
      <c r="D142" s="34">
        <v>25.007000000000001</v>
      </c>
      <c r="E142" s="34">
        <v>31.701000000000001</v>
      </c>
      <c r="F142" s="34">
        <v>32.162999999999997</v>
      </c>
      <c r="G142" s="20">
        <v>1068.3800000000001</v>
      </c>
      <c r="H142" s="20">
        <f t="shared" si="4"/>
        <v>26.738250000000001</v>
      </c>
      <c r="I142" s="5"/>
      <c r="J142" s="33">
        <v>124.9032</v>
      </c>
      <c r="K142" s="34">
        <v>25.952200000000001</v>
      </c>
      <c r="L142" s="34">
        <v>32.790599999999998</v>
      </c>
      <c r="M142" s="34">
        <v>33.340800000000002</v>
      </c>
      <c r="N142" s="20">
        <v>1033.0579</v>
      </c>
      <c r="O142" s="20">
        <f t="shared" si="5"/>
        <v>27.730575000000002</v>
      </c>
      <c r="P142" s="7"/>
      <c r="Q142" s="13"/>
      <c r="R142" s="14"/>
      <c r="S142" s="14"/>
      <c r="T142" s="27"/>
      <c r="U142" s="28">
        <f t="shared" si="6"/>
        <v>-3.3061363934180805E-2</v>
      </c>
    </row>
    <row r="143" spans="1:21" x14ac:dyDescent="0.25">
      <c r="B143" s="6" t="s">
        <v>60</v>
      </c>
      <c r="C143" s="15">
        <v>585.36</v>
      </c>
      <c r="D143" s="16">
        <v>31.745000000000001</v>
      </c>
      <c r="E143" s="16">
        <v>35.497999999999998</v>
      </c>
      <c r="F143" s="16">
        <v>36.491</v>
      </c>
      <c r="G143" s="16">
        <v>505.9</v>
      </c>
      <c r="H143" s="16">
        <f t="shared" si="4"/>
        <v>32.807375</v>
      </c>
      <c r="I143" s="5"/>
      <c r="J143" s="15">
        <v>599.01440000000002</v>
      </c>
      <c r="K143" s="16">
        <v>33.391800000000003</v>
      </c>
      <c r="L143" s="16">
        <v>36.953600000000002</v>
      </c>
      <c r="M143" s="16">
        <v>37.986400000000003</v>
      </c>
      <c r="N143" s="16">
        <v>469.48360000000002</v>
      </c>
      <c r="O143" s="16">
        <f t="shared" si="5"/>
        <v>34.411349999999999</v>
      </c>
      <c r="P143" s="7"/>
      <c r="Q143" s="8">
        <f>bdrate(C143:C146,D143:D146,J143:J146,K143:K146)</f>
        <v>-0.26664206125829659</v>
      </c>
      <c r="R143" s="8">
        <f>bdrate(C143:C146,E143:E146,J143:J146,L143:L146)</f>
        <v>-0.34576999084690097</v>
      </c>
      <c r="S143" s="8">
        <f>bdrate(C143:C146,F143:F146,J143:J146,M143:M146)</f>
        <v>-0.33121553951783811</v>
      </c>
      <c r="T143" s="25">
        <f>bdrate(C143:C146,H143:H146,J143:J146,O143:O146)</f>
        <v>-0.28222916459850922</v>
      </c>
      <c r="U143" s="28">
        <f t="shared" si="6"/>
        <v>-7.1983395928048935E-2</v>
      </c>
    </row>
    <row r="144" spans="1:21" x14ac:dyDescent="0.25">
      <c r="B144" s="9"/>
      <c r="C144" s="17">
        <v>396.49</v>
      </c>
      <c r="D144" s="18">
        <v>30.373999999999999</v>
      </c>
      <c r="E144" s="18">
        <v>34.533000000000001</v>
      </c>
      <c r="F144" s="18">
        <v>35.465000000000003</v>
      </c>
      <c r="G144" s="18">
        <v>566.04</v>
      </c>
      <c r="H144" s="18">
        <f t="shared" si="4"/>
        <v>31.530249999999999</v>
      </c>
      <c r="I144" s="5"/>
      <c r="J144" s="17">
        <v>399.02879999999999</v>
      </c>
      <c r="K144" s="18">
        <v>31.663399999999999</v>
      </c>
      <c r="L144" s="18">
        <v>35.762999999999998</v>
      </c>
      <c r="M144" s="18">
        <v>36.743600000000001</v>
      </c>
      <c r="N144" s="18">
        <v>564.97180000000003</v>
      </c>
      <c r="O144" s="18">
        <f t="shared" si="5"/>
        <v>32.810875000000003</v>
      </c>
      <c r="P144" s="7"/>
      <c r="Q144" s="10"/>
      <c r="R144" s="11"/>
      <c r="S144" s="11"/>
      <c r="T144" s="26"/>
      <c r="U144" s="28">
        <f t="shared" si="6"/>
        <v>-1.8871457847500768E-3</v>
      </c>
    </row>
    <row r="145" spans="1:21" x14ac:dyDescent="0.25">
      <c r="B145" s="9"/>
      <c r="C145" s="17">
        <v>249.2</v>
      </c>
      <c r="D145" s="18">
        <v>28.922999999999998</v>
      </c>
      <c r="E145" s="18">
        <v>33.459000000000003</v>
      </c>
      <c r="F145" s="18">
        <v>34.356000000000002</v>
      </c>
      <c r="G145" s="18">
        <v>621.12</v>
      </c>
      <c r="H145" s="18">
        <f t="shared" si="4"/>
        <v>30.169124999999998</v>
      </c>
      <c r="I145" s="5"/>
      <c r="J145" s="17">
        <v>250.25360000000001</v>
      </c>
      <c r="K145" s="18">
        <v>29.9192</v>
      </c>
      <c r="L145" s="18">
        <v>34.514400000000002</v>
      </c>
      <c r="M145" s="18">
        <v>35.401600000000002</v>
      </c>
      <c r="N145" s="18">
        <v>564.97180000000003</v>
      </c>
      <c r="O145" s="18">
        <f t="shared" si="5"/>
        <v>31.178899999999999</v>
      </c>
      <c r="P145" s="7"/>
      <c r="Q145" s="10"/>
      <c r="R145" s="11"/>
      <c r="S145" s="11"/>
      <c r="T145" s="26"/>
      <c r="U145" s="28">
        <f t="shared" si="6"/>
        <v>-9.0398312725399235E-2</v>
      </c>
    </row>
    <row r="146" spans="1:21" ht="16.5" thickBot="1" x14ac:dyDescent="0.3">
      <c r="B146" s="12"/>
      <c r="C146" s="19">
        <v>119.4</v>
      </c>
      <c r="D146" s="20">
        <v>26.86</v>
      </c>
      <c r="E146" s="20">
        <v>31.677</v>
      </c>
      <c r="F146" s="20">
        <v>32.404000000000003</v>
      </c>
      <c r="G146" s="20">
        <v>712.59</v>
      </c>
      <c r="H146" s="20">
        <f t="shared" si="4"/>
        <v>28.155124999999998</v>
      </c>
      <c r="I146" s="5"/>
      <c r="J146" s="19">
        <v>120.2632</v>
      </c>
      <c r="K146" s="20">
        <v>27.5519</v>
      </c>
      <c r="L146" s="20">
        <v>32.581400000000002</v>
      </c>
      <c r="M146" s="20">
        <v>33.3461</v>
      </c>
      <c r="N146" s="20">
        <v>874.63559999999995</v>
      </c>
      <c r="O146" s="20">
        <f t="shared" si="5"/>
        <v>28.9048625</v>
      </c>
      <c r="P146" s="7"/>
      <c r="Q146" s="13"/>
      <c r="R146" s="14"/>
      <c r="S146" s="14"/>
      <c r="T146" s="27"/>
      <c r="U146" s="28">
        <f t="shared" si="6"/>
        <v>0.22740369637519459</v>
      </c>
    </row>
    <row r="147" spans="1:21" x14ac:dyDescent="0.25">
      <c r="A147" s="6" t="s">
        <v>43</v>
      </c>
      <c r="B147" s="6" t="s">
        <v>61</v>
      </c>
      <c r="C147" s="15">
        <v>1396.62</v>
      </c>
      <c r="D147" s="16">
        <v>38.295000000000002</v>
      </c>
      <c r="E147" s="16">
        <v>42.756999999999998</v>
      </c>
      <c r="F147" s="16">
        <v>43.890999999999998</v>
      </c>
      <c r="G147" s="16">
        <v>149.07</v>
      </c>
      <c r="H147" s="16">
        <f t="shared" si="4"/>
        <v>39.552250000000001</v>
      </c>
      <c r="I147" s="5"/>
      <c r="J147" s="15">
        <v>1489.6320000000001</v>
      </c>
      <c r="K147" s="16">
        <v>40.026200000000003</v>
      </c>
      <c r="L147" s="16">
        <v>44.544199999999996</v>
      </c>
      <c r="M147" s="16">
        <v>45.685099999999998</v>
      </c>
      <c r="N147" s="16">
        <v>216.06049999999999</v>
      </c>
      <c r="O147" s="16">
        <f t="shared" si="5"/>
        <v>41.298312500000002</v>
      </c>
      <c r="P147" s="7"/>
      <c r="Q147" s="8">
        <f>bdrate(C147:C150,D147:D150,J147:J150,K147:K150)</f>
        <v>-0.31405237682695231</v>
      </c>
      <c r="R147" s="8">
        <f>bdrate(C147:C150,E147:E150,J147:J150,L147:L150)</f>
        <v>-0.36517373734326564</v>
      </c>
      <c r="S147" s="8">
        <f>bdrate(C147:C150,F147:F150,J147:J150,M147:M150)</f>
        <v>-0.3578565678998159</v>
      </c>
      <c r="T147" s="25">
        <f>bdrate(C147:C150,H147:H150,J147:J150,O147:O150)</f>
        <v>-0.32266547761110365</v>
      </c>
      <c r="U147" s="28">
        <f t="shared" si="6"/>
        <v>0.44938954853424568</v>
      </c>
    </row>
    <row r="148" spans="1:21" x14ac:dyDescent="0.25">
      <c r="A148" s="9" t="s">
        <v>44</v>
      </c>
      <c r="B148" s="9"/>
      <c r="C148" s="17">
        <v>932.86</v>
      </c>
      <c r="D148" s="18">
        <v>36.869999999999997</v>
      </c>
      <c r="E148" s="18">
        <v>41.872999999999998</v>
      </c>
      <c r="F148" s="18">
        <v>42.953000000000003</v>
      </c>
      <c r="G148" s="18">
        <v>158.27000000000001</v>
      </c>
      <c r="H148" s="18">
        <f t="shared" si="4"/>
        <v>38.255749999999992</v>
      </c>
      <c r="I148" s="5"/>
      <c r="J148" s="17">
        <v>983.91840000000002</v>
      </c>
      <c r="K148" s="18">
        <v>38.750900000000001</v>
      </c>
      <c r="L148" s="18">
        <v>43.521999999999998</v>
      </c>
      <c r="M148" s="18">
        <v>44.608199999999997</v>
      </c>
      <c r="N148" s="18">
        <v>305.18819999999999</v>
      </c>
      <c r="O148" s="18">
        <f t="shared" si="5"/>
        <v>40.079450000000001</v>
      </c>
      <c r="P148" s="7"/>
      <c r="Q148" s="10"/>
      <c r="R148" s="11"/>
      <c r="S148" s="11"/>
      <c r="T148" s="26"/>
      <c r="U148" s="28">
        <f t="shared" si="6"/>
        <v>0.9282757313451695</v>
      </c>
    </row>
    <row r="149" spans="1:21" x14ac:dyDescent="0.25">
      <c r="B149" s="9"/>
      <c r="C149" s="17">
        <v>554.22</v>
      </c>
      <c r="D149" s="18">
        <v>34.814999999999998</v>
      </c>
      <c r="E149" s="18">
        <v>41.046999999999997</v>
      </c>
      <c r="F149" s="18">
        <v>42.024000000000001</v>
      </c>
      <c r="G149" s="18">
        <v>191.33</v>
      </c>
      <c r="H149" s="18">
        <f t="shared" si="4"/>
        <v>36.495125000000002</v>
      </c>
      <c r="I149" s="5"/>
      <c r="J149" s="17">
        <v>584.77760000000001</v>
      </c>
      <c r="K149" s="18">
        <v>36.627899999999997</v>
      </c>
      <c r="L149" s="18">
        <v>42.170900000000003</v>
      </c>
      <c r="M149" s="18">
        <v>43.1922</v>
      </c>
      <c r="N149" s="18">
        <v>346.4203</v>
      </c>
      <c r="O149" s="18">
        <f t="shared" si="5"/>
        <v>38.141312499999998</v>
      </c>
      <c r="P149" s="7"/>
      <c r="Q149" s="10"/>
      <c r="R149" s="11"/>
      <c r="S149" s="11"/>
      <c r="T149" s="26"/>
      <c r="U149" s="28">
        <f t="shared" si="6"/>
        <v>0.81059060262373894</v>
      </c>
    </row>
    <row r="150" spans="1:21" ht="16.5" thickBot="1" x14ac:dyDescent="0.3">
      <c r="B150" s="12"/>
      <c r="C150" s="19">
        <v>268.24</v>
      </c>
      <c r="D150" s="20">
        <v>32.808999999999997</v>
      </c>
      <c r="E150" s="20">
        <v>40.012</v>
      </c>
      <c r="F150" s="20">
        <v>40.783999999999999</v>
      </c>
      <c r="G150" s="20">
        <v>199.27</v>
      </c>
      <c r="H150" s="20">
        <f t="shared" si="4"/>
        <v>34.706249999999997</v>
      </c>
      <c r="I150" s="5"/>
      <c r="J150" s="19">
        <v>288.79039999999998</v>
      </c>
      <c r="K150" s="20">
        <v>33.461599999999997</v>
      </c>
      <c r="L150" s="20">
        <v>40.2498</v>
      </c>
      <c r="M150" s="20">
        <v>41.1616</v>
      </c>
      <c r="N150" s="20">
        <v>400.53399999999999</v>
      </c>
      <c r="O150" s="20">
        <f t="shared" si="5"/>
        <v>35.272624999999998</v>
      </c>
      <c r="P150" s="7"/>
      <c r="Q150" s="13"/>
      <c r="R150" s="14"/>
      <c r="S150" s="14"/>
      <c r="T150" s="27"/>
      <c r="U150" s="28">
        <f t="shared" si="6"/>
        <v>1.0100065238119134</v>
      </c>
    </row>
    <row r="151" spans="1:21" x14ac:dyDescent="0.25">
      <c r="B151" s="6" t="s">
        <v>62</v>
      </c>
      <c r="C151" s="15">
        <v>1459.75</v>
      </c>
      <c r="D151" s="16">
        <v>40.219000000000001</v>
      </c>
      <c r="E151" s="16">
        <v>45.238999999999997</v>
      </c>
      <c r="F151" s="16">
        <v>45.798999999999999</v>
      </c>
      <c r="G151" s="16">
        <v>167.97</v>
      </c>
      <c r="H151" s="16">
        <f t="shared" si="4"/>
        <v>41.543999999999997</v>
      </c>
      <c r="I151" s="5"/>
      <c r="J151" s="15">
        <v>1502.1264000000001</v>
      </c>
      <c r="K151" s="16">
        <v>41.700299999999999</v>
      </c>
      <c r="L151" s="16">
        <v>46.875599999999999</v>
      </c>
      <c r="M151" s="16">
        <v>47.494900000000001</v>
      </c>
      <c r="N151" s="16">
        <v>223.63030000000001</v>
      </c>
      <c r="O151" s="16">
        <f t="shared" si="5"/>
        <v>43.071537500000005</v>
      </c>
      <c r="P151" s="7"/>
      <c r="Q151" s="8">
        <f>bdrate(C151:C154,D151:D154,J151:J154,K151:K154)</f>
        <v>-0.52266869936722826</v>
      </c>
      <c r="R151" s="8">
        <f>bdrate(C151:C154,E151:E154,J151:J154,L151:L154)</f>
        <v>-0.55357715089814974</v>
      </c>
      <c r="S151" s="8">
        <f>bdrate(C151:C154,F151:F154,J151:J154,M151:M154)</f>
        <v>-0.58204644613217127</v>
      </c>
      <c r="T151" s="25">
        <f>bdrate(C151:C154,H151:H154,J151:J154,O151:O154)</f>
        <v>-0.5337660693929509</v>
      </c>
      <c r="U151" s="28">
        <f t="shared" ref="U151:U158" si="7">(N151-G151)/G151</f>
        <v>0.33137048282431392</v>
      </c>
    </row>
    <row r="152" spans="1:21" x14ac:dyDescent="0.25">
      <c r="B152" s="9"/>
      <c r="C152" s="17">
        <v>962.89</v>
      </c>
      <c r="D152" s="18">
        <v>39.442</v>
      </c>
      <c r="E152" s="18">
        <v>44.631999999999998</v>
      </c>
      <c r="F152" s="18">
        <v>45.13</v>
      </c>
      <c r="G152" s="18">
        <v>171.72</v>
      </c>
      <c r="H152" s="18">
        <f t="shared" si="4"/>
        <v>40.801749999999998</v>
      </c>
      <c r="I152" s="5"/>
      <c r="J152" s="17">
        <v>999.70159999999998</v>
      </c>
      <c r="K152" s="18">
        <v>41.1006</v>
      </c>
      <c r="L152" s="18">
        <v>46.370800000000003</v>
      </c>
      <c r="M152" s="18">
        <v>46.960799999999999</v>
      </c>
      <c r="N152" s="18">
        <v>315.29160000000002</v>
      </c>
      <c r="O152" s="18">
        <f t="shared" si="5"/>
        <v>42.491900000000001</v>
      </c>
      <c r="P152" s="7"/>
      <c r="Q152" s="10"/>
      <c r="R152" s="11"/>
      <c r="S152" s="11"/>
      <c r="T152" s="26"/>
      <c r="U152" s="28">
        <f t="shared" si="7"/>
        <v>0.83607966457023075</v>
      </c>
    </row>
    <row r="153" spans="1:21" x14ac:dyDescent="0.25">
      <c r="B153" s="9"/>
      <c r="C153" s="17">
        <v>565.13</v>
      </c>
      <c r="D153" s="18">
        <v>38.168999999999997</v>
      </c>
      <c r="E153" s="18">
        <v>43.613999999999997</v>
      </c>
      <c r="F153" s="18">
        <v>44.064999999999998</v>
      </c>
      <c r="G153" s="18">
        <v>194.24</v>
      </c>
      <c r="H153" s="18">
        <f t="shared" si="4"/>
        <v>39.586624999999998</v>
      </c>
      <c r="I153" s="5"/>
      <c r="J153" s="17">
        <v>593.95519999999999</v>
      </c>
      <c r="K153" s="18">
        <v>40.119799999999998</v>
      </c>
      <c r="L153" s="18">
        <v>45.483899999999998</v>
      </c>
      <c r="M153" s="18">
        <v>46.086399999999998</v>
      </c>
      <c r="N153" s="18">
        <v>349.65030000000002</v>
      </c>
      <c r="O153" s="18">
        <f t="shared" si="5"/>
        <v>41.536137499999995</v>
      </c>
      <c r="P153" s="7"/>
      <c r="Q153" s="10"/>
      <c r="R153" s="11"/>
      <c r="S153" s="11"/>
      <c r="T153" s="26"/>
      <c r="U153" s="28">
        <f t="shared" si="7"/>
        <v>0.8000942133443163</v>
      </c>
    </row>
    <row r="154" spans="1:21" ht="16.5" thickBot="1" x14ac:dyDescent="0.3">
      <c r="B154" s="12"/>
      <c r="C154" s="19">
        <v>277.47000000000003</v>
      </c>
      <c r="D154" s="20">
        <v>36.241</v>
      </c>
      <c r="E154" s="20">
        <v>42.558</v>
      </c>
      <c r="F154" s="20">
        <v>43.08</v>
      </c>
      <c r="G154" s="20">
        <v>207.9</v>
      </c>
      <c r="H154" s="20">
        <f t="shared" si="4"/>
        <v>37.8855</v>
      </c>
      <c r="I154" s="5"/>
      <c r="J154" s="19">
        <v>291.27679999999998</v>
      </c>
      <c r="K154" s="20">
        <v>38.066499999999998</v>
      </c>
      <c r="L154" s="20">
        <v>43.499000000000002</v>
      </c>
      <c r="M154" s="20">
        <v>44.130800000000001</v>
      </c>
      <c r="N154" s="20">
        <v>400.53399999999999</v>
      </c>
      <c r="O154" s="20">
        <f t="shared" si="5"/>
        <v>39.503600000000006</v>
      </c>
      <c r="P154" s="7"/>
      <c r="Q154" s="13"/>
      <c r="R154" s="14"/>
      <c r="S154" s="14"/>
      <c r="T154" s="27"/>
      <c r="U154" s="28">
        <f t="shared" si="7"/>
        <v>0.92657046657046649</v>
      </c>
    </row>
    <row r="155" spans="1:21" x14ac:dyDescent="0.25">
      <c r="B155" s="6" t="s">
        <v>63</v>
      </c>
      <c r="C155" s="15">
        <v>1508.64</v>
      </c>
      <c r="D155" s="16">
        <v>39.771000000000001</v>
      </c>
      <c r="E155" s="16">
        <v>43.93</v>
      </c>
      <c r="F155" s="16">
        <v>44.75</v>
      </c>
      <c r="G155" s="16">
        <v>147.93</v>
      </c>
      <c r="H155" s="16">
        <f t="shared" si="4"/>
        <v>40.913249999999998</v>
      </c>
      <c r="I155" s="5"/>
      <c r="J155" s="15">
        <v>1523.4975999999999</v>
      </c>
      <c r="K155" s="16">
        <v>41.503300000000003</v>
      </c>
      <c r="L155" s="16">
        <v>45.621699999999997</v>
      </c>
      <c r="M155" s="16">
        <v>46.398299999999999</v>
      </c>
      <c r="N155" s="16">
        <v>218.49959999999999</v>
      </c>
      <c r="O155" s="16">
        <f t="shared" si="5"/>
        <v>42.629975000000002</v>
      </c>
      <c r="P155" s="7"/>
      <c r="Q155" s="8">
        <f>bdrate(C155:C158,D155:D158,J155:J158,K155:K158)</f>
        <v>-0.46112578846253693</v>
      </c>
      <c r="R155" s="8">
        <f>bdrate(C155:C158,E155:E158,J155:J158,L155:L158)</f>
        <v>-0.44804498773700696</v>
      </c>
      <c r="S155" s="8">
        <f>bdrate(C155:C158,F155:F158,J155:J158,M155:M158)</f>
        <v>-0.46274227763387066</v>
      </c>
      <c r="T155" s="25">
        <f>bdrate(C155:C158,H155:H158,J155:J158,O155:O158)</f>
        <v>-0.46081258688060678</v>
      </c>
      <c r="U155" s="28">
        <f t="shared" si="7"/>
        <v>0.4770472520786857</v>
      </c>
    </row>
    <row r="156" spans="1:21" x14ac:dyDescent="0.25">
      <c r="B156" s="9"/>
      <c r="C156" s="17">
        <v>1004.07</v>
      </c>
      <c r="D156" s="18">
        <v>38.593000000000004</v>
      </c>
      <c r="E156" s="18">
        <v>43.121000000000002</v>
      </c>
      <c r="F156" s="18">
        <v>43.841000000000001</v>
      </c>
      <c r="G156" s="18">
        <v>159.57</v>
      </c>
      <c r="H156" s="18">
        <f t="shared" si="4"/>
        <v>39.815000000000005</v>
      </c>
      <c r="I156" s="5"/>
      <c r="J156" s="17">
        <v>1019.14</v>
      </c>
      <c r="K156" s="18">
        <v>40.586100000000002</v>
      </c>
      <c r="L156" s="18">
        <v>44.813800000000001</v>
      </c>
      <c r="M156" s="18">
        <v>45.598799999999997</v>
      </c>
      <c r="N156" s="18">
        <v>305.18819999999999</v>
      </c>
      <c r="O156" s="18">
        <f t="shared" si="5"/>
        <v>41.741149999999998</v>
      </c>
      <c r="P156" s="7"/>
      <c r="Q156" s="10"/>
      <c r="R156" s="11"/>
      <c r="S156" s="11"/>
      <c r="T156" s="26"/>
      <c r="U156" s="28">
        <f t="shared" si="7"/>
        <v>0.91256627185561201</v>
      </c>
    </row>
    <row r="157" spans="1:21" x14ac:dyDescent="0.25">
      <c r="B157" s="9"/>
      <c r="C157" s="17">
        <v>599.77</v>
      </c>
      <c r="D157" s="18">
        <v>36.884</v>
      </c>
      <c r="E157" s="18">
        <v>42.057000000000002</v>
      </c>
      <c r="F157" s="18">
        <v>42.79</v>
      </c>
      <c r="G157" s="18">
        <v>176.42</v>
      </c>
      <c r="H157" s="18">
        <f t="shared" si="4"/>
        <v>38.268875000000001</v>
      </c>
      <c r="I157" s="5"/>
      <c r="J157" s="17">
        <v>611.55280000000005</v>
      </c>
      <c r="K157" s="18">
        <v>39.087299999999999</v>
      </c>
      <c r="L157" s="18">
        <v>43.563899999999997</v>
      </c>
      <c r="M157" s="18">
        <v>44.351999999999997</v>
      </c>
      <c r="N157" s="18">
        <v>343.44589999999999</v>
      </c>
      <c r="O157" s="18">
        <f t="shared" si="5"/>
        <v>40.304962499999995</v>
      </c>
      <c r="P157" s="7"/>
      <c r="Q157" s="10"/>
      <c r="R157" s="11"/>
      <c r="S157" s="11"/>
      <c r="T157" s="26"/>
      <c r="U157" s="28">
        <f t="shared" si="7"/>
        <v>0.94675150209726799</v>
      </c>
    </row>
    <row r="158" spans="1:21" ht="16.5" thickBot="1" x14ac:dyDescent="0.3">
      <c r="B158" s="12"/>
      <c r="C158" s="19">
        <v>293.18</v>
      </c>
      <c r="D158" s="20">
        <v>34.651000000000003</v>
      </c>
      <c r="E158" s="20">
        <v>40.887999999999998</v>
      </c>
      <c r="F158" s="20">
        <v>41.582999999999998</v>
      </c>
      <c r="G158" s="20">
        <v>206.83</v>
      </c>
      <c r="H158" s="20">
        <f t="shared" si="4"/>
        <v>36.297125000000001</v>
      </c>
      <c r="I158" s="5"/>
      <c r="J158" s="19">
        <v>305.06079999999997</v>
      </c>
      <c r="K158" s="20">
        <v>36.369199999999999</v>
      </c>
      <c r="L158" s="20">
        <v>41.498199999999997</v>
      </c>
      <c r="M158" s="20">
        <v>42.282499999999999</v>
      </c>
      <c r="N158" s="20">
        <v>392.67020000000002</v>
      </c>
      <c r="O158" s="20">
        <f t="shared" si="5"/>
        <v>37.749487500000001</v>
      </c>
      <c r="P158" s="7"/>
      <c r="Q158" s="13"/>
      <c r="R158" s="14"/>
      <c r="S158" s="14"/>
      <c r="T158" s="27"/>
      <c r="U158" s="28">
        <f t="shared" si="7"/>
        <v>0.89851665619107479</v>
      </c>
    </row>
    <row r="159" spans="1:21" ht="16.5" thickBot="1" x14ac:dyDescent="0.3">
      <c r="B159" s="22" t="s">
        <v>22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1">
        <f>AVERAGE(Q87:Q158)</f>
        <v>-0.31000950376236891</v>
      </c>
      <c r="R159" s="21">
        <f>AVERAGE(R87:R158)</f>
        <v>-0.35489684110984809</v>
      </c>
      <c r="S159" s="21">
        <f>AVERAGE(S87:S158)</f>
        <v>-0.3400233598600973</v>
      </c>
      <c r="T159" s="21">
        <f>AVERAGE(T87:T158)</f>
        <v>-0.31660583741347786</v>
      </c>
      <c r="U159" s="21">
        <f>AVERAGE(U87:U158)</f>
        <v>0.61099931177641953</v>
      </c>
    </row>
  </sheetData>
  <mergeCells count="12">
    <mergeCell ref="B83:B84"/>
    <mergeCell ref="C83:U84"/>
    <mergeCell ref="C85:H85"/>
    <mergeCell ref="J85:O85"/>
    <mergeCell ref="Q85:S85"/>
    <mergeCell ref="U85:U8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65" priority="321" operator="greaterThan">
      <formula>0.03</formula>
    </cfRule>
    <cfRule type="cellIs" dxfId="164" priority="322" stopIfTrue="1" operator="lessThan">
      <formula>-0.03</formula>
    </cfRule>
  </conditionalFormatting>
  <conditionalFormatting sqref="Q33:T36">
    <cfRule type="cellIs" dxfId="163" priority="319" operator="greaterThan">
      <formula>0.03</formula>
    </cfRule>
    <cfRule type="cellIs" dxfId="162" priority="320" stopIfTrue="1" operator="lessThan">
      <formula>-0.03</formula>
    </cfRule>
  </conditionalFormatting>
  <conditionalFormatting sqref="Q46:T48 Q62:T64">
    <cfRule type="cellIs" dxfId="161" priority="317" operator="greaterThan">
      <formula>0.03</formula>
    </cfRule>
    <cfRule type="cellIs" dxfId="160" priority="318" stopIfTrue="1" operator="lessThan">
      <formula>-0.03</formula>
    </cfRule>
  </conditionalFormatting>
  <conditionalFormatting sqref="Q50:T52 Q54:T56 Q58:T60">
    <cfRule type="cellIs" dxfId="159" priority="315" operator="greaterThan">
      <formula>0.03</formula>
    </cfRule>
    <cfRule type="cellIs" dxfId="158" priority="316" stopIfTrue="1" operator="lessThan">
      <formula>-0.03</formula>
    </cfRule>
  </conditionalFormatting>
  <conditionalFormatting sqref="Q70:T72 Q74:T76">
    <cfRule type="cellIs" dxfId="157" priority="313" operator="greaterThan">
      <formula>0.03</formula>
    </cfRule>
    <cfRule type="cellIs" dxfId="156" priority="314" stopIfTrue="1" operator="lessThan">
      <formula>-0.03</formula>
    </cfRule>
  </conditionalFormatting>
  <conditionalFormatting sqref="Q66:T68">
    <cfRule type="cellIs" dxfId="155" priority="311" operator="greaterThan">
      <formula>0.03</formula>
    </cfRule>
    <cfRule type="cellIs" dxfId="154" priority="312" stopIfTrue="1" operator="lessThan">
      <formula>-0.03</formula>
    </cfRule>
  </conditionalFormatting>
  <conditionalFormatting sqref="Q78:T80">
    <cfRule type="cellIs" dxfId="153" priority="309" operator="greaterThan">
      <formula>0.03</formula>
    </cfRule>
    <cfRule type="cellIs" dxfId="152" priority="310" stopIfTrue="1" operator="lessThan">
      <formula>-0.03</formula>
    </cfRule>
  </conditionalFormatting>
  <conditionalFormatting sqref="Q21:T28">
    <cfRule type="cellIs" dxfId="151" priority="291" operator="greaterThan">
      <formula>0.03</formula>
    </cfRule>
    <cfRule type="cellIs" dxfId="150" priority="292" stopIfTrue="1" operator="lessThan">
      <formula>-0.03</formula>
    </cfRule>
  </conditionalFormatting>
  <conditionalFormatting sqref="Q107:T110 Q115:T122 Q87:T98">
    <cfRule type="cellIs" dxfId="149" priority="287" operator="greaterThan">
      <formula>0.03</formula>
    </cfRule>
    <cfRule type="cellIs" dxfId="148" priority="288" stopIfTrue="1" operator="lessThan">
      <formula>-0.03</formula>
    </cfRule>
  </conditionalFormatting>
  <conditionalFormatting sqref="Q111:T114">
    <cfRule type="cellIs" dxfId="147" priority="285" operator="greaterThan">
      <formula>0.03</formula>
    </cfRule>
    <cfRule type="cellIs" dxfId="146" priority="286" stopIfTrue="1" operator="lessThan">
      <formula>-0.03</formula>
    </cfRule>
  </conditionalFormatting>
  <conditionalFormatting sqref="Q123:T126 Q139:T142">
    <cfRule type="cellIs" dxfId="145" priority="283" operator="greaterThan">
      <formula>0.03</formula>
    </cfRule>
    <cfRule type="cellIs" dxfId="144" priority="284" stopIfTrue="1" operator="lessThan">
      <formula>-0.03</formula>
    </cfRule>
  </conditionalFormatting>
  <conditionalFormatting sqref="Q127:T138">
    <cfRule type="cellIs" dxfId="143" priority="281" operator="greaterThan">
      <formula>0.03</formula>
    </cfRule>
    <cfRule type="cellIs" dxfId="142" priority="282" stopIfTrue="1" operator="lessThan">
      <formula>-0.03</formula>
    </cfRule>
  </conditionalFormatting>
  <conditionalFormatting sqref="Q147:T154">
    <cfRule type="cellIs" dxfId="141" priority="279" operator="greaterThan">
      <formula>0.03</formula>
    </cfRule>
    <cfRule type="cellIs" dxfId="140" priority="280" stopIfTrue="1" operator="lessThan">
      <formula>-0.03</formula>
    </cfRule>
  </conditionalFormatting>
  <conditionalFormatting sqref="Q143:T146">
    <cfRule type="cellIs" dxfId="139" priority="277" operator="greaterThan">
      <formula>0.03</formula>
    </cfRule>
    <cfRule type="cellIs" dxfId="138" priority="278" stopIfTrue="1" operator="lessThan">
      <formula>-0.03</formula>
    </cfRule>
  </conditionalFormatting>
  <conditionalFormatting sqref="Q155:T158">
    <cfRule type="cellIs" dxfId="137" priority="275" operator="greaterThan">
      <formula>0.03</formula>
    </cfRule>
    <cfRule type="cellIs" dxfId="136" priority="276" stopIfTrue="1" operator="lessThan">
      <formula>-0.03</formula>
    </cfRule>
  </conditionalFormatting>
  <conditionalFormatting sqref="Q99:T106">
    <cfRule type="cellIs" dxfId="135" priority="273" operator="greaterThan">
      <formula>0.03</formula>
    </cfRule>
    <cfRule type="cellIs" dxfId="134" priority="274" stopIfTrue="1" operator="lessThan">
      <formula>-0.03</formula>
    </cfRule>
  </conditionalFormatting>
  <conditionalFormatting sqref="Q45:T45">
    <cfRule type="cellIs" dxfId="133" priority="271" operator="greaterThan">
      <formula>0.03</formula>
    </cfRule>
    <cfRule type="cellIs" dxfId="132" priority="272" stopIfTrue="1" operator="lessThan">
      <formula>-0.03</formula>
    </cfRule>
  </conditionalFormatting>
  <conditionalFormatting sqref="Q49:T49">
    <cfRule type="cellIs" dxfId="131" priority="269" operator="greaterThan">
      <formula>0.03</formula>
    </cfRule>
    <cfRule type="cellIs" dxfId="130" priority="270" stopIfTrue="1" operator="lessThan">
      <formula>-0.03</formula>
    </cfRule>
  </conditionalFormatting>
  <conditionalFormatting sqref="Q53:T53">
    <cfRule type="cellIs" dxfId="129" priority="267" operator="greaterThan">
      <formula>0.03</formula>
    </cfRule>
    <cfRule type="cellIs" dxfId="128" priority="268" stopIfTrue="1" operator="lessThan">
      <formula>-0.03</formula>
    </cfRule>
  </conditionalFormatting>
  <conditionalFormatting sqref="Q57:T57">
    <cfRule type="cellIs" dxfId="127" priority="265" operator="greaterThan">
      <formula>0.03</formula>
    </cfRule>
    <cfRule type="cellIs" dxfId="126" priority="266" stopIfTrue="1" operator="lessThan">
      <formula>-0.03</formula>
    </cfRule>
  </conditionalFormatting>
  <conditionalFormatting sqref="Q61:T61">
    <cfRule type="cellIs" dxfId="125" priority="263" operator="greaterThan">
      <formula>0.03</formula>
    </cfRule>
    <cfRule type="cellIs" dxfId="124" priority="264" stopIfTrue="1" operator="lessThan">
      <formula>-0.03</formula>
    </cfRule>
  </conditionalFormatting>
  <conditionalFormatting sqref="Q65:T65">
    <cfRule type="cellIs" dxfId="123" priority="261" operator="greaterThan">
      <formula>0.03</formula>
    </cfRule>
    <cfRule type="cellIs" dxfId="122" priority="262" stopIfTrue="1" operator="lessThan">
      <formula>-0.03</formula>
    </cfRule>
  </conditionalFormatting>
  <conditionalFormatting sqref="Q69:T69">
    <cfRule type="cellIs" dxfId="121" priority="259" operator="greaterThan">
      <formula>0.03</formula>
    </cfRule>
    <cfRule type="cellIs" dxfId="120" priority="260" stopIfTrue="1" operator="lessThan">
      <formula>-0.03</formula>
    </cfRule>
  </conditionalFormatting>
  <conditionalFormatting sqref="Q73:T73">
    <cfRule type="cellIs" dxfId="119" priority="257" operator="greaterThan">
      <formula>0.03</formula>
    </cfRule>
    <cfRule type="cellIs" dxfId="118" priority="258" stopIfTrue="1" operator="lessThan">
      <formula>-0.03</formula>
    </cfRule>
  </conditionalFormatting>
  <conditionalFormatting sqref="Q77:T77">
    <cfRule type="cellIs" dxfId="117" priority="255" operator="greaterThan">
      <formula>0.03</formula>
    </cfRule>
    <cfRule type="cellIs" dxfId="116" priority="256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59"/>
  <sheetViews>
    <sheetView topLeftCell="A149" workbookViewId="0">
      <selection activeCell="A159" sqref="A159:XFD37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127</v>
      </c>
    </row>
    <row r="2" spans="1:21" x14ac:dyDescent="0.25">
      <c r="A2" t="s">
        <v>112</v>
      </c>
    </row>
    <row r="3" spans="1:21" x14ac:dyDescent="0.25">
      <c r="A3" t="s">
        <v>117</v>
      </c>
    </row>
    <row r="4" spans="1:21" x14ac:dyDescent="0.25">
      <c r="A4" t="s">
        <v>120</v>
      </c>
    </row>
    <row r="5" spans="1:21" s="35" customFormat="1" ht="15.75" customHeight="1" x14ac:dyDescent="0.25">
      <c r="B5" s="56" t="s">
        <v>29</v>
      </c>
      <c r="C5" s="58" t="s">
        <v>107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66</v>
      </c>
      <c r="D7" s="65"/>
      <c r="E7" s="65"/>
      <c r="F7" s="65"/>
      <c r="G7" s="65"/>
      <c r="H7" s="65"/>
      <c r="I7" s="5"/>
      <c r="J7" s="64" t="s">
        <v>87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3817.09</v>
      </c>
      <c r="D9" s="16">
        <v>36.094999999999999</v>
      </c>
      <c r="E9" s="16">
        <v>37.981999999999999</v>
      </c>
      <c r="F9" s="16">
        <v>40.271000000000001</v>
      </c>
      <c r="G9" s="16">
        <v>10.59</v>
      </c>
      <c r="H9" s="16">
        <f t="shared" ref="H9:H80" si="0">(6*D9+E9+F9)/8</f>
        <v>36.852874999999997</v>
      </c>
      <c r="I9" s="5"/>
      <c r="J9" s="15">
        <v>4021.4463999999998</v>
      </c>
      <c r="K9" s="16">
        <v>37.927900000000001</v>
      </c>
      <c r="L9" s="16">
        <v>39.457999999999998</v>
      </c>
      <c r="M9" s="16">
        <v>41.934899999999999</v>
      </c>
      <c r="N9" s="16">
        <v>16.242599999999999</v>
      </c>
      <c r="O9" s="16">
        <f t="shared" ref="O9:O80" si="1">(6*K9+L9+M9)/8</f>
        <v>38.620037499999995</v>
      </c>
      <c r="P9" s="7"/>
      <c r="Q9" s="8">
        <f>bdrate(C9:C12,D9:D12,J9:J12,K9:K12)</f>
        <v>-0.3164188697603012</v>
      </c>
      <c r="R9" s="8">
        <f>bdrate(C9:C12,E9:E12,J9:J12,L9:L12)</f>
        <v>-0.50344880075597043</v>
      </c>
      <c r="S9" s="8">
        <f>bdrate(C9:C12,F9:F12,J9:J12,M9:M12)</f>
        <v>-0.46866531191248662</v>
      </c>
      <c r="T9" s="25">
        <f>bdrate(C9:C12,H9:H12,J9:J12,O9:O12)</f>
        <v>-0.34006342377367582</v>
      </c>
      <c r="U9" s="28">
        <f t="shared" ref="U9:U72" si="2">(N9-G9)/G9</f>
        <v>0.53376770538243623</v>
      </c>
    </row>
    <row r="10" spans="1:21" x14ac:dyDescent="0.25">
      <c r="A10" s="9" t="s">
        <v>36</v>
      </c>
      <c r="B10" s="9"/>
      <c r="C10" s="17">
        <v>2854.08</v>
      </c>
      <c r="D10" s="18">
        <v>35.159999999999997</v>
      </c>
      <c r="E10" s="18">
        <v>37.524000000000001</v>
      </c>
      <c r="F10" s="18">
        <v>39.838000000000001</v>
      </c>
      <c r="G10" s="18">
        <v>11.78</v>
      </c>
      <c r="H10" s="18">
        <f t="shared" si="0"/>
        <v>36.04025</v>
      </c>
      <c r="I10" s="5"/>
      <c r="J10" s="17">
        <v>2909.1632</v>
      </c>
      <c r="K10" s="18">
        <v>36.917000000000002</v>
      </c>
      <c r="L10" s="18">
        <v>38.857399999999998</v>
      </c>
      <c r="M10" s="18">
        <v>41.207900000000002</v>
      </c>
      <c r="N10" s="18">
        <v>18.348600000000001</v>
      </c>
      <c r="O10" s="18">
        <f t="shared" si="1"/>
        <v>37.695912499999999</v>
      </c>
      <c r="P10" s="7"/>
      <c r="Q10" s="10"/>
      <c r="R10" s="11"/>
      <c r="S10" s="11"/>
      <c r="T10" s="26"/>
      <c r="U10" s="28">
        <f t="shared" si="2"/>
        <v>0.55760611205432953</v>
      </c>
    </row>
    <row r="11" spans="1:21" x14ac:dyDescent="0.25">
      <c r="B11" s="9"/>
      <c r="C11" s="17">
        <v>1862.48</v>
      </c>
      <c r="D11" s="18">
        <v>33.933</v>
      </c>
      <c r="E11" s="18">
        <v>37.070999999999998</v>
      </c>
      <c r="F11" s="18">
        <v>39.369999999999997</v>
      </c>
      <c r="G11" s="18">
        <v>13.01</v>
      </c>
      <c r="H11" s="18">
        <f t="shared" si="0"/>
        <v>35.004874999999998</v>
      </c>
      <c r="I11" s="5"/>
      <c r="J11" s="17">
        <v>1929.8032000000001</v>
      </c>
      <c r="K11" s="18">
        <v>35.386499999999998</v>
      </c>
      <c r="L11" s="18">
        <v>38.186599999999999</v>
      </c>
      <c r="M11" s="18">
        <v>40.4788</v>
      </c>
      <c r="N11" s="18">
        <v>20.9937</v>
      </c>
      <c r="O11" s="18">
        <f t="shared" si="1"/>
        <v>36.373049999999999</v>
      </c>
      <c r="P11" s="7"/>
      <c r="Q11" s="10"/>
      <c r="R11" s="11"/>
      <c r="S11" s="11"/>
      <c r="T11" s="26"/>
      <c r="U11" s="28">
        <f t="shared" si="2"/>
        <v>0.6136587240584167</v>
      </c>
    </row>
    <row r="12" spans="1:21" ht="16.5" thickBot="1" x14ac:dyDescent="0.3">
      <c r="B12" s="12"/>
      <c r="C12" s="19">
        <v>882.49</v>
      </c>
      <c r="D12" s="20">
        <v>31.516999999999999</v>
      </c>
      <c r="E12" s="20">
        <v>36.463000000000001</v>
      </c>
      <c r="F12" s="20">
        <v>38.703000000000003</v>
      </c>
      <c r="G12" s="20">
        <v>15.02</v>
      </c>
      <c r="H12" s="20">
        <f t="shared" si="0"/>
        <v>33.033500000000004</v>
      </c>
      <c r="I12" s="5"/>
      <c r="J12" s="19">
        <v>932.00639999999999</v>
      </c>
      <c r="K12" s="20">
        <v>32.5687</v>
      </c>
      <c r="L12" s="20">
        <v>36.858699999999999</v>
      </c>
      <c r="M12" s="20">
        <v>39.039499999999997</v>
      </c>
      <c r="N12" s="20">
        <v>27.711099999999998</v>
      </c>
      <c r="O12" s="20">
        <f t="shared" si="1"/>
        <v>33.913799999999995</v>
      </c>
      <c r="P12" s="7"/>
      <c r="Q12" s="13"/>
      <c r="R12" s="14"/>
      <c r="S12" s="14"/>
      <c r="T12" s="27"/>
      <c r="U12" s="28">
        <f t="shared" si="2"/>
        <v>0.84494673768308914</v>
      </c>
    </row>
    <row r="13" spans="1:21" x14ac:dyDescent="0.25">
      <c r="B13" s="6" t="s">
        <v>47</v>
      </c>
      <c r="C13" s="15">
        <v>4093.65</v>
      </c>
      <c r="D13" s="16">
        <v>28.89</v>
      </c>
      <c r="E13" s="16">
        <v>38.234000000000002</v>
      </c>
      <c r="F13" s="16">
        <v>39.231999999999999</v>
      </c>
      <c r="G13" s="16">
        <v>7.44</v>
      </c>
      <c r="H13" s="16">
        <f t="shared" si="0"/>
        <v>31.350750000000001</v>
      </c>
      <c r="I13" s="5"/>
      <c r="J13" s="15">
        <v>4113.7376000000004</v>
      </c>
      <c r="K13" s="16">
        <v>29.290400000000002</v>
      </c>
      <c r="L13" s="16">
        <v>39.257599999999996</v>
      </c>
      <c r="M13" s="16">
        <v>40.197200000000002</v>
      </c>
      <c r="N13" s="16">
        <v>11.870799999999999</v>
      </c>
      <c r="O13" s="16">
        <f t="shared" si="1"/>
        <v>31.899650000000001</v>
      </c>
      <c r="P13" s="7"/>
      <c r="Q13" s="8">
        <f>bdrate(C13:C16,D13:D16,J13:J16,K13:K16)</f>
        <v>-5.2088523325536484E-2</v>
      </c>
      <c r="R13" s="8">
        <f>bdrate(C13:C16,E13:E16,J13:J16,L13:L16)</f>
        <v>-0.37462809179207579</v>
      </c>
      <c r="S13" s="8">
        <f>bdrate(C13:C16,F13:F16,J13:J16,M13:M16)</f>
        <v>-0.40311028568681306</v>
      </c>
      <c r="T13" s="25">
        <f>bdrate(C13:C16,H13:H16,J13:J16,O13:O16)</f>
        <v>-0.11024719866982413</v>
      </c>
      <c r="U13" s="28">
        <f t="shared" si="2"/>
        <v>0.59553763440860197</v>
      </c>
    </row>
    <row r="14" spans="1:21" x14ac:dyDescent="0.25">
      <c r="B14" s="9"/>
      <c r="C14" s="17">
        <v>3058.93</v>
      </c>
      <c r="D14" s="18">
        <v>27.713999999999999</v>
      </c>
      <c r="E14" s="18">
        <v>37.787999999999997</v>
      </c>
      <c r="F14" s="18">
        <v>38.81</v>
      </c>
      <c r="G14" s="18">
        <v>8.81</v>
      </c>
      <c r="H14" s="18">
        <f t="shared" si="0"/>
        <v>30.360250000000001</v>
      </c>
      <c r="I14" s="5"/>
      <c r="J14" s="17">
        <v>3057.2447999999999</v>
      </c>
      <c r="K14" s="18">
        <v>27.9711</v>
      </c>
      <c r="L14" s="18">
        <v>38.721200000000003</v>
      </c>
      <c r="M14" s="18">
        <v>39.737099999999998</v>
      </c>
      <c r="N14" s="18">
        <v>13.6587</v>
      </c>
      <c r="O14" s="18">
        <f t="shared" si="1"/>
        <v>30.785612499999999</v>
      </c>
      <c r="P14" s="7"/>
      <c r="Q14" s="10"/>
      <c r="R14" s="11"/>
      <c r="S14" s="11"/>
      <c r="T14" s="26"/>
      <c r="U14" s="28">
        <f t="shared" si="2"/>
        <v>0.55036322360953449</v>
      </c>
    </row>
    <row r="15" spans="1:21" x14ac:dyDescent="0.25">
      <c r="B15" s="9"/>
      <c r="C15" s="17">
        <v>2026.14</v>
      </c>
      <c r="D15" s="18">
        <v>26.1</v>
      </c>
      <c r="E15" s="18">
        <v>36.762999999999998</v>
      </c>
      <c r="F15" s="18">
        <v>37.93</v>
      </c>
      <c r="G15" s="18">
        <v>10.18</v>
      </c>
      <c r="H15" s="18">
        <f t="shared" si="0"/>
        <v>28.911625000000004</v>
      </c>
      <c r="I15" s="5"/>
      <c r="J15" s="17">
        <v>2083.0767999999998</v>
      </c>
      <c r="K15" s="18">
        <v>26.305800000000001</v>
      </c>
      <c r="L15" s="18">
        <v>37.966099999999997</v>
      </c>
      <c r="M15" s="18">
        <v>39.086100000000002</v>
      </c>
      <c r="N15" s="18">
        <v>16.7224</v>
      </c>
      <c r="O15" s="18">
        <f t="shared" si="1"/>
        <v>29.360875</v>
      </c>
      <c r="P15" s="7"/>
      <c r="Q15" s="10"/>
      <c r="R15" s="11"/>
      <c r="S15" s="11"/>
      <c r="T15" s="26"/>
      <c r="U15" s="28">
        <f t="shared" si="2"/>
        <v>0.64267190569744603</v>
      </c>
    </row>
    <row r="16" spans="1:21" ht="16.5" thickBot="1" x14ac:dyDescent="0.3">
      <c r="B16" s="12"/>
      <c r="C16" s="19">
        <v>1010.4</v>
      </c>
      <c r="D16" s="20">
        <v>23.178999999999998</v>
      </c>
      <c r="E16" s="20">
        <v>35.405999999999999</v>
      </c>
      <c r="F16" s="20">
        <v>36.598999999999997</v>
      </c>
      <c r="G16" s="20">
        <v>12.25</v>
      </c>
      <c r="H16" s="20">
        <f t="shared" si="0"/>
        <v>26.384874999999997</v>
      </c>
      <c r="I16" s="5"/>
      <c r="J16" s="19">
        <v>1186.6576</v>
      </c>
      <c r="K16" s="20">
        <v>24.340199999999999</v>
      </c>
      <c r="L16" s="20">
        <v>36.525399999999998</v>
      </c>
      <c r="M16" s="20">
        <v>37.774799999999999</v>
      </c>
      <c r="N16" s="20">
        <v>21.177499999999998</v>
      </c>
      <c r="O16" s="20">
        <f t="shared" si="1"/>
        <v>27.542674999999999</v>
      </c>
      <c r="P16" s="7"/>
      <c r="Q16" s="13"/>
      <c r="R16" s="14"/>
      <c r="S16" s="14"/>
      <c r="T16" s="27"/>
      <c r="U16" s="28">
        <f t="shared" si="2"/>
        <v>0.72877551020408149</v>
      </c>
    </row>
    <row r="17" spans="1:21" x14ac:dyDescent="0.25">
      <c r="A17" s="6" t="s">
        <v>37</v>
      </c>
      <c r="B17" s="6" t="s">
        <v>48</v>
      </c>
      <c r="C17" s="15">
        <v>2012</v>
      </c>
      <c r="D17" s="16">
        <v>38.378</v>
      </c>
      <c r="E17" s="16">
        <v>40.959000000000003</v>
      </c>
      <c r="F17" s="16">
        <v>42.094999999999999</v>
      </c>
      <c r="G17" s="16">
        <v>15.38</v>
      </c>
      <c r="H17" s="16">
        <f t="shared" si="0"/>
        <v>39.16525</v>
      </c>
      <c r="I17" s="5"/>
      <c r="J17" s="15">
        <v>2387.1039999999998</v>
      </c>
      <c r="K17" s="16">
        <v>38.987699999999997</v>
      </c>
      <c r="L17" s="16">
        <v>41.811300000000003</v>
      </c>
      <c r="M17" s="16">
        <v>43.159199999999998</v>
      </c>
      <c r="N17" s="16">
        <v>31.5914</v>
      </c>
      <c r="O17" s="16">
        <f t="shared" si="1"/>
        <v>39.862087500000001</v>
      </c>
      <c r="P17" s="7"/>
      <c r="Q17" s="8">
        <f>bdrate(C17:C20,D17:D20,J17:J20,K17:K20)</f>
        <v>-6.5875485994251082E-2</v>
      </c>
      <c r="R17" s="8">
        <f>bdrate(C17:C20,E17:E20,J17:J20,L17:L20)</f>
        <v>-0.36144190650502184</v>
      </c>
      <c r="S17" s="8">
        <f>bdrate(C17:C20,F17:F20,J17:J20,M17:M20)</f>
        <v>-0.38130312774567865</v>
      </c>
      <c r="T17" s="25">
        <f>bdrate(C17:C20,H17:H20,J17:J20,O17:O20)</f>
        <v>-0.11662987803248959</v>
      </c>
      <c r="U17" s="28">
        <f t="shared" si="2"/>
        <v>1.0540572171651494</v>
      </c>
    </row>
    <row r="18" spans="1:21" x14ac:dyDescent="0.25">
      <c r="A18" s="9" t="s">
        <v>38</v>
      </c>
      <c r="B18" s="9"/>
      <c r="C18" s="17">
        <v>1315.64</v>
      </c>
      <c r="D18" s="18">
        <v>37.049999999999997</v>
      </c>
      <c r="E18" s="18">
        <v>40.128</v>
      </c>
      <c r="F18" s="18">
        <v>41.298000000000002</v>
      </c>
      <c r="G18" s="18">
        <v>18.63</v>
      </c>
      <c r="H18" s="18">
        <f t="shared" si="0"/>
        <v>37.96575</v>
      </c>
      <c r="I18" s="5"/>
      <c r="J18" s="17">
        <v>1577.5696</v>
      </c>
      <c r="K18" s="18">
        <v>37.783499999999997</v>
      </c>
      <c r="L18" s="18">
        <v>41.155299999999997</v>
      </c>
      <c r="M18" s="18">
        <v>42.411299999999997</v>
      </c>
      <c r="N18" s="18">
        <v>36.281199999999998</v>
      </c>
      <c r="O18" s="18">
        <f t="shared" si="1"/>
        <v>38.783449999999995</v>
      </c>
      <c r="P18" s="7"/>
      <c r="Q18" s="10"/>
      <c r="R18" s="11"/>
      <c r="S18" s="11"/>
      <c r="T18" s="26"/>
      <c r="U18" s="28">
        <f t="shared" si="2"/>
        <v>0.9474610842726785</v>
      </c>
    </row>
    <row r="19" spans="1:21" x14ac:dyDescent="0.25">
      <c r="B19" s="9"/>
      <c r="C19" s="17">
        <v>808.52</v>
      </c>
      <c r="D19" s="18">
        <v>35.408999999999999</v>
      </c>
      <c r="E19" s="18">
        <v>39.344999999999999</v>
      </c>
      <c r="F19" s="18">
        <v>40.600999999999999</v>
      </c>
      <c r="G19" s="18">
        <v>19.75</v>
      </c>
      <c r="H19" s="18">
        <f t="shared" si="0"/>
        <v>36.549999999999997</v>
      </c>
      <c r="I19" s="5"/>
      <c r="J19" s="17">
        <v>978.19920000000002</v>
      </c>
      <c r="K19" s="18">
        <v>36.291699999999999</v>
      </c>
      <c r="L19" s="18">
        <v>40.372199999999999</v>
      </c>
      <c r="M19" s="18">
        <v>41.576799999999999</v>
      </c>
      <c r="N19" s="18">
        <v>41.695599999999999</v>
      </c>
      <c r="O19" s="18">
        <f t="shared" si="1"/>
        <v>37.462400000000002</v>
      </c>
      <c r="P19" s="7"/>
      <c r="Q19" s="10"/>
      <c r="R19" s="11"/>
      <c r="S19" s="11"/>
      <c r="T19" s="26"/>
      <c r="U19" s="28">
        <f t="shared" si="2"/>
        <v>1.1111696202531645</v>
      </c>
    </row>
    <row r="20" spans="1:21" ht="16.5" thickBot="1" x14ac:dyDescent="0.3">
      <c r="B20" s="12"/>
      <c r="C20" s="19">
        <v>479.6</v>
      </c>
      <c r="D20" s="20">
        <v>33.582999999999998</v>
      </c>
      <c r="E20" s="20">
        <v>38.561999999999998</v>
      </c>
      <c r="F20" s="20">
        <v>39.978999999999999</v>
      </c>
      <c r="G20" s="20">
        <v>22.62</v>
      </c>
      <c r="H20" s="20">
        <f t="shared" si="0"/>
        <v>35.004874999999998</v>
      </c>
      <c r="I20" s="5"/>
      <c r="J20" s="19">
        <v>564.72720000000004</v>
      </c>
      <c r="K20" s="20">
        <v>34.512500000000003</v>
      </c>
      <c r="L20" s="20">
        <v>39.656399999999998</v>
      </c>
      <c r="M20" s="20">
        <v>40.89</v>
      </c>
      <c r="N20" s="20">
        <v>49.782200000000003</v>
      </c>
      <c r="O20" s="20">
        <f t="shared" si="1"/>
        <v>35.952674999999999</v>
      </c>
      <c r="P20" s="7"/>
      <c r="Q20" s="13"/>
      <c r="R20" s="14"/>
      <c r="S20" s="14"/>
      <c r="T20" s="27"/>
      <c r="U20" s="28">
        <f t="shared" si="2"/>
        <v>1.2008045977011494</v>
      </c>
    </row>
    <row r="21" spans="1:21" x14ac:dyDescent="0.25">
      <c r="B21" s="6" t="s">
        <v>49</v>
      </c>
      <c r="C21" s="15">
        <v>2306.38</v>
      </c>
      <c r="D21" s="16">
        <v>34.616</v>
      </c>
      <c r="E21" s="16">
        <v>38.31</v>
      </c>
      <c r="F21" s="16">
        <v>39.514000000000003</v>
      </c>
      <c r="G21" s="16">
        <v>18.690000000000001</v>
      </c>
      <c r="H21" s="16">
        <f t="shared" si="0"/>
        <v>35.69</v>
      </c>
      <c r="I21" s="5"/>
      <c r="J21" s="15">
        <v>2528.5328</v>
      </c>
      <c r="K21" s="16">
        <v>36.0349</v>
      </c>
      <c r="L21" s="16">
        <v>39.933399999999999</v>
      </c>
      <c r="M21" s="16">
        <v>41.166800000000002</v>
      </c>
      <c r="N21" s="16">
        <v>28.332000000000001</v>
      </c>
      <c r="O21" s="16">
        <f t="shared" si="1"/>
        <v>37.163700000000006</v>
      </c>
      <c r="P21" s="7"/>
      <c r="Q21" s="8">
        <f>bdrate(C21:C24,D21:D24,J21:J24,K21:K24)</f>
        <v>-0.28919132609343212</v>
      </c>
      <c r="R21" s="8">
        <f>bdrate(C21:C24,E21:E24,J21:J24,L21:L24)</f>
        <v>-0.52764539773376484</v>
      </c>
      <c r="S21" s="8">
        <f>bdrate(C21:C24,F21:F24,J21:J24,M21:M24)</f>
        <v>-0.5454975962368982</v>
      </c>
      <c r="T21" s="25">
        <f>bdrate(C21:C24,H21:H24,J21:J24,O21:O24)</f>
        <v>-0.33201094916295504</v>
      </c>
      <c r="U21" s="28">
        <f t="shared" si="2"/>
        <v>0.51589085072231133</v>
      </c>
    </row>
    <row r="22" spans="1:21" x14ac:dyDescent="0.25">
      <c r="B22" s="9"/>
      <c r="C22" s="17">
        <v>1528.3</v>
      </c>
      <c r="D22" s="18">
        <v>33.426000000000002</v>
      </c>
      <c r="E22" s="18">
        <v>37.545999999999999</v>
      </c>
      <c r="F22" s="18">
        <v>38.960999999999999</v>
      </c>
      <c r="G22" s="18">
        <v>21.34</v>
      </c>
      <c r="H22" s="18">
        <f t="shared" si="0"/>
        <v>34.632874999999999</v>
      </c>
      <c r="I22" s="5"/>
      <c r="J22" s="17">
        <v>1625.6448</v>
      </c>
      <c r="K22" s="18">
        <v>34.7318</v>
      </c>
      <c r="L22" s="18">
        <v>39.109400000000001</v>
      </c>
      <c r="M22" s="18">
        <v>40.323099999999997</v>
      </c>
      <c r="N22" s="18">
        <v>33.8887</v>
      </c>
      <c r="O22" s="18">
        <f t="shared" si="1"/>
        <v>35.977912500000002</v>
      </c>
      <c r="P22" s="7"/>
      <c r="Q22" s="10"/>
      <c r="R22" s="11"/>
      <c r="S22" s="11"/>
      <c r="T22" s="26"/>
      <c r="U22" s="28">
        <f t="shared" si="2"/>
        <v>0.58803655107778818</v>
      </c>
    </row>
    <row r="23" spans="1:21" x14ac:dyDescent="0.25">
      <c r="B23" s="9"/>
      <c r="C23" s="17">
        <v>945.42</v>
      </c>
      <c r="D23" s="18">
        <v>32.109000000000002</v>
      </c>
      <c r="E23" s="18">
        <v>36.799999999999997</v>
      </c>
      <c r="F23" s="18">
        <v>38.493000000000002</v>
      </c>
      <c r="G23" s="18">
        <v>25.39</v>
      </c>
      <c r="H23" s="18">
        <f t="shared" si="0"/>
        <v>33.493375</v>
      </c>
      <c r="I23" s="5"/>
      <c r="J23" s="17">
        <v>1028.7944</v>
      </c>
      <c r="K23" s="18">
        <v>33.298699999999997</v>
      </c>
      <c r="L23" s="18">
        <v>38.178699999999999</v>
      </c>
      <c r="M23" s="18">
        <v>39.4923</v>
      </c>
      <c r="N23" s="18">
        <v>40.705599999999997</v>
      </c>
      <c r="O23" s="18">
        <f t="shared" si="1"/>
        <v>34.682899999999997</v>
      </c>
      <c r="P23" s="7"/>
      <c r="Q23" s="10"/>
      <c r="R23" s="11"/>
      <c r="S23" s="11"/>
      <c r="T23" s="26"/>
      <c r="U23" s="28">
        <f t="shared" si="2"/>
        <v>0.60321386372587615</v>
      </c>
    </row>
    <row r="24" spans="1:21" ht="16.5" thickBot="1" x14ac:dyDescent="0.3">
      <c r="B24" s="12"/>
      <c r="C24" s="19">
        <v>558.95000000000005</v>
      </c>
      <c r="D24" s="20">
        <v>30.667999999999999</v>
      </c>
      <c r="E24" s="20">
        <v>36.095999999999997</v>
      </c>
      <c r="F24" s="20">
        <v>37.988999999999997</v>
      </c>
      <c r="G24" s="20">
        <v>25.26</v>
      </c>
      <c r="H24" s="20">
        <f t="shared" si="0"/>
        <v>32.261624999999995</v>
      </c>
      <c r="I24" s="5"/>
      <c r="J24" s="19">
        <v>601.97439999999995</v>
      </c>
      <c r="K24" s="20">
        <v>31.652999999999999</v>
      </c>
      <c r="L24" s="20">
        <v>37.258000000000003</v>
      </c>
      <c r="M24" s="20">
        <v>38.783099999999997</v>
      </c>
      <c r="N24" s="20">
        <v>49.150100000000002</v>
      </c>
      <c r="O24" s="20">
        <f t="shared" si="1"/>
        <v>33.244887500000004</v>
      </c>
      <c r="P24" s="7"/>
      <c r="Q24" s="13"/>
      <c r="R24" s="14"/>
      <c r="S24" s="14"/>
      <c r="T24" s="27"/>
      <c r="U24" s="28">
        <f t="shared" si="2"/>
        <v>0.94576801266825017</v>
      </c>
    </row>
    <row r="25" spans="1:21" x14ac:dyDescent="0.25">
      <c r="B25" s="6" t="s">
        <v>50</v>
      </c>
      <c r="C25" s="15">
        <v>2389.25</v>
      </c>
      <c r="D25" s="16">
        <v>32.877000000000002</v>
      </c>
      <c r="E25" s="16">
        <v>37.192</v>
      </c>
      <c r="F25" s="16">
        <v>38.5</v>
      </c>
      <c r="G25" s="16">
        <v>21.7</v>
      </c>
      <c r="H25" s="16">
        <f t="shared" si="0"/>
        <v>34.119250000000001</v>
      </c>
      <c r="I25" s="5"/>
      <c r="J25" s="15">
        <v>2410.54</v>
      </c>
      <c r="K25" s="16">
        <v>34.1509</v>
      </c>
      <c r="L25" s="16">
        <v>38.058599999999998</v>
      </c>
      <c r="M25" s="16">
        <v>40.002299999999998</v>
      </c>
      <c r="N25" s="16">
        <v>38.753700000000002</v>
      </c>
      <c r="O25" s="16">
        <f t="shared" si="1"/>
        <v>35.370787499999999</v>
      </c>
      <c r="P25" s="7"/>
      <c r="Q25" s="8">
        <f>bdrate(C25:C28,D25:D28,J25:J28,K25:K28)</f>
        <v>-0.26730836417804438</v>
      </c>
      <c r="R25" s="8">
        <f>bdrate(C25:C28,E25:E28,J25:J28,L25:L28)</f>
        <v>-0.43471649756202657</v>
      </c>
      <c r="S25" s="8">
        <f>bdrate(C25:C28,F25:F28,J25:J28,M25:M28)</f>
        <v>-0.41994089852936256</v>
      </c>
      <c r="T25" s="25">
        <f>bdrate(C25:C28,H25:H28,J25:J28,O25:O28)</f>
        <v>-0.29459509097039982</v>
      </c>
      <c r="U25" s="28">
        <f t="shared" si="2"/>
        <v>0.78588479262672828</v>
      </c>
    </row>
    <row r="26" spans="1:21" x14ac:dyDescent="0.25">
      <c r="B26" s="9"/>
      <c r="C26" s="17">
        <v>1579.49</v>
      </c>
      <c r="D26" s="18">
        <v>31.827000000000002</v>
      </c>
      <c r="E26" s="18">
        <v>36.795999999999999</v>
      </c>
      <c r="F26" s="18">
        <v>37.847999999999999</v>
      </c>
      <c r="G26" s="18">
        <v>24.08</v>
      </c>
      <c r="H26" s="18">
        <f t="shared" si="0"/>
        <v>33.200749999999999</v>
      </c>
      <c r="I26" s="5"/>
      <c r="J26" s="17">
        <v>1606.4744000000001</v>
      </c>
      <c r="K26" s="18">
        <v>32.968899999999998</v>
      </c>
      <c r="L26" s="18">
        <v>37.582700000000003</v>
      </c>
      <c r="M26" s="18">
        <v>39.109299999999998</v>
      </c>
      <c r="N26" s="18">
        <v>46.317700000000002</v>
      </c>
      <c r="O26" s="18">
        <f t="shared" si="1"/>
        <v>34.313175000000001</v>
      </c>
      <c r="P26" s="7"/>
      <c r="Q26" s="10"/>
      <c r="R26" s="11"/>
      <c r="S26" s="11"/>
      <c r="T26" s="26"/>
      <c r="U26" s="28">
        <f t="shared" si="2"/>
        <v>0.92349252491694378</v>
      </c>
    </row>
    <row r="27" spans="1:21" x14ac:dyDescent="0.25">
      <c r="B27" s="9"/>
      <c r="C27" s="17">
        <v>976.31</v>
      </c>
      <c r="D27" s="18">
        <v>30.527999999999999</v>
      </c>
      <c r="E27" s="18">
        <v>36.247</v>
      </c>
      <c r="F27" s="18">
        <v>36.942999999999998</v>
      </c>
      <c r="G27" s="18">
        <v>25.95</v>
      </c>
      <c r="H27" s="18">
        <f t="shared" si="0"/>
        <v>32.044750000000001</v>
      </c>
      <c r="I27" s="5"/>
      <c r="J27" s="17">
        <v>1003.2504</v>
      </c>
      <c r="K27" s="18">
        <v>31.454499999999999</v>
      </c>
      <c r="L27" s="18">
        <v>36.967799999999997</v>
      </c>
      <c r="M27" s="18">
        <v>38.049500000000002</v>
      </c>
      <c r="N27" s="18">
        <v>54.507800000000003</v>
      </c>
      <c r="O27" s="18">
        <f t="shared" si="1"/>
        <v>32.968037500000001</v>
      </c>
      <c r="P27" s="7"/>
      <c r="Q27" s="10"/>
      <c r="R27" s="11"/>
      <c r="S27" s="11"/>
      <c r="T27" s="26"/>
      <c r="U27" s="28">
        <f t="shared" si="2"/>
        <v>1.1004932562620426</v>
      </c>
    </row>
    <row r="28" spans="1:21" ht="16.5" thickBot="1" x14ac:dyDescent="0.3">
      <c r="B28" s="12"/>
      <c r="C28" s="19">
        <v>575.02</v>
      </c>
      <c r="D28" s="20">
        <v>28.948</v>
      </c>
      <c r="E28" s="20">
        <v>35.463000000000001</v>
      </c>
      <c r="F28" s="20">
        <v>35.777999999999999</v>
      </c>
      <c r="G28" s="20">
        <v>29.38</v>
      </c>
      <c r="H28" s="20">
        <f t="shared" si="0"/>
        <v>30.616124999999997</v>
      </c>
      <c r="I28" s="5"/>
      <c r="J28" s="19">
        <v>584.47439999999995</v>
      </c>
      <c r="K28" s="20">
        <v>29.704799999999999</v>
      </c>
      <c r="L28" s="20">
        <v>36.213500000000003</v>
      </c>
      <c r="M28" s="20">
        <v>36.888100000000001</v>
      </c>
      <c r="N28" s="20">
        <v>65.677099999999996</v>
      </c>
      <c r="O28" s="20">
        <f t="shared" si="1"/>
        <v>31.4163</v>
      </c>
      <c r="P28" s="7"/>
      <c r="Q28" s="13"/>
      <c r="R28" s="14"/>
      <c r="S28" s="14"/>
      <c r="T28" s="27"/>
      <c r="U28" s="28">
        <f t="shared" si="2"/>
        <v>1.2354356705241663</v>
      </c>
    </row>
    <row r="29" spans="1:21" x14ac:dyDescent="0.25">
      <c r="B29" s="6" t="s">
        <v>51</v>
      </c>
      <c r="C29" s="29">
        <v>2403.19</v>
      </c>
      <c r="D29" s="30">
        <v>33.475000000000001</v>
      </c>
      <c r="E29" s="30">
        <v>39.395000000000003</v>
      </c>
      <c r="F29" s="30">
        <v>38.851999999999997</v>
      </c>
      <c r="G29" s="16">
        <v>19.2</v>
      </c>
      <c r="H29" s="16">
        <f t="shared" si="0"/>
        <v>34.887125000000005</v>
      </c>
      <c r="I29" s="5"/>
      <c r="J29" s="29">
        <v>2410.7808</v>
      </c>
      <c r="K29" s="30">
        <v>34.042700000000004</v>
      </c>
      <c r="L29" s="30">
        <v>40.174599999999998</v>
      </c>
      <c r="M29" s="30">
        <v>39.566299999999998</v>
      </c>
      <c r="N29" s="16">
        <v>33.916699999999999</v>
      </c>
      <c r="O29" s="16">
        <f t="shared" si="1"/>
        <v>35.499637500000006</v>
      </c>
      <c r="P29" s="7"/>
      <c r="Q29" s="8">
        <f>bdrate(C29:C32,D29:D32,J29:J32,K29:K32)</f>
        <v>-0.14944481413026212</v>
      </c>
      <c r="R29" s="8">
        <f>bdrate(C29:C32,E29:E32,J29:J32,L29:L32)</f>
        <v>-0.23764091992242609</v>
      </c>
      <c r="S29" s="8">
        <f>bdrate(C29:C32,F29:F32,J29:J32,M29:M32)</f>
        <v>-0.17020102797943082</v>
      </c>
      <c r="T29" s="25">
        <f>bdrate(C29:C32,H29:H32,J29:J32,O29:O32)</f>
        <v>-0.1610276058961565</v>
      </c>
      <c r="U29" s="28">
        <f t="shared" si="2"/>
        <v>0.76649479166666667</v>
      </c>
    </row>
    <row r="30" spans="1:21" x14ac:dyDescent="0.25">
      <c r="B30" s="9"/>
      <c r="C30" s="31">
        <v>1593.1</v>
      </c>
      <c r="D30" s="32">
        <v>32.142000000000003</v>
      </c>
      <c r="E30" s="32">
        <v>38.606000000000002</v>
      </c>
      <c r="F30" s="32">
        <v>37.813000000000002</v>
      </c>
      <c r="G30" s="18">
        <v>21.74</v>
      </c>
      <c r="H30" s="18">
        <f t="shared" si="0"/>
        <v>33.658875000000002</v>
      </c>
      <c r="I30" s="5"/>
      <c r="J30" s="31">
        <v>1604.0927999999999</v>
      </c>
      <c r="K30" s="32">
        <v>32.731000000000002</v>
      </c>
      <c r="L30" s="32">
        <v>39.387799999999999</v>
      </c>
      <c r="M30" s="32">
        <v>38.475900000000003</v>
      </c>
      <c r="N30" s="18">
        <v>40.883099999999999</v>
      </c>
      <c r="O30" s="18">
        <f t="shared" si="1"/>
        <v>34.281212500000002</v>
      </c>
      <c r="P30" s="7"/>
      <c r="Q30" s="10"/>
      <c r="R30" s="11"/>
      <c r="S30" s="11"/>
      <c r="T30" s="26"/>
      <c r="U30" s="28">
        <f t="shared" si="2"/>
        <v>0.88054737810487593</v>
      </c>
    </row>
    <row r="31" spans="1:21" x14ac:dyDescent="0.25">
      <c r="B31" s="9"/>
      <c r="C31" s="31">
        <v>989.42</v>
      </c>
      <c r="D31" s="32">
        <v>30.503</v>
      </c>
      <c r="E31" s="32">
        <v>37.728999999999999</v>
      </c>
      <c r="F31" s="32">
        <v>36.576999999999998</v>
      </c>
      <c r="G31" s="18">
        <v>26.38</v>
      </c>
      <c r="H31" s="18">
        <f t="shared" si="0"/>
        <v>32.165500000000002</v>
      </c>
      <c r="I31" s="5"/>
      <c r="J31" s="31">
        <v>1001.3656</v>
      </c>
      <c r="K31" s="32">
        <v>31.089099999999998</v>
      </c>
      <c r="L31" s="32">
        <v>38.358699999999999</v>
      </c>
      <c r="M31" s="32">
        <v>37.0717</v>
      </c>
      <c r="N31" s="18">
        <v>47.623600000000003</v>
      </c>
      <c r="O31" s="18">
        <f t="shared" si="1"/>
        <v>32.745624999999997</v>
      </c>
      <c r="P31" s="7"/>
      <c r="Q31" s="10"/>
      <c r="R31" s="11"/>
      <c r="S31" s="11"/>
      <c r="T31" s="26"/>
      <c r="U31" s="28">
        <f t="shared" si="2"/>
        <v>0.80529188779378336</v>
      </c>
    </row>
    <row r="32" spans="1:21" ht="16.5" thickBot="1" x14ac:dyDescent="0.3">
      <c r="B32" s="12"/>
      <c r="C32" s="33">
        <v>588.04</v>
      </c>
      <c r="D32" s="34">
        <v>28.632999999999999</v>
      </c>
      <c r="E32" s="34">
        <v>36.189</v>
      </c>
      <c r="F32" s="34">
        <v>34.805</v>
      </c>
      <c r="G32" s="20">
        <v>30.12</v>
      </c>
      <c r="H32" s="20">
        <f t="shared" si="0"/>
        <v>30.349</v>
      </c>
      <c r="I32" s="5"/>
      <c r="J32" s="33">
        <v>598.44799999999998</v>
      </c>
      <c r="K32" s="34">
        <v>29.2744</v>
      </c>
      <c r="L32" s="34">
        <v>36.717300000000002</v>
      </c>
      <c r="M32" s="34">
        <v>35.413200000000003</v>
      </c>
      <c r="N32" s="20">
        <v>56.5291</v>
      </c>
      <c r="O32" s="20">
        <f t="shared" si="1"/>
        <v>30.972112500000001</v>
      </c>
      <c r="P32" s="7"/>
      <c r="Q32" s="13"/>
      <c r="R32" s="14"/>
      <c r="S32" s="14"/>
      <c r="T32" s="27"/>
      <c r="U32" s="28">
        <f t="shared" si="2"/>
        <v>0.87679614873837974</v>
      </c>
    </row>
    <row r="33" spans="1:21" x14ac:dyDescent="0.25">
      <c r="B33" s="6" t="s">
        <v>52</v>
      </c>
      <c r="C33" s="15">
        <v>2397.5300000000002</v>
      </c>
      <c r="D33" s="16">
        <v>31.789000000000001</v>
      </c>
      <c r="E33" s="16">
        <v>38.363999999999997</v>
      </c>
      <c r="F33" s="16">
        <v>41.073</v>
      </c>
      <c r="G33" s="16">
        <v>28.47</v>
      </c>
      <c r="H33" s="16">
        <f t="shared" si="0"/>
        <v>33.771374999999999</v>
      </c>
      <c r="I33" s="5"/>
      <c r="J33" s="15">
        <v>2435.9920000000002</v>
      </c>
      <c r="K33" s="16">
        <v>33.631700000000002</v>
      </c>
      <c r="L33" s="16">
        <v>39.731000000000002</v>
      </c>
      <c r="M33" s="16">
        <v>42.164900000000003</v>
      </c>
      <c r="N33" s="16">
        <v>41.715899999999998</v>
      </c>
      <c r="O33" s="16">
        <f t="shared" si="1"/>
        <v>35.460762500000001</v>
      </c>
      <c r="P33" s="7"/>
      <c r="Q33" s="8">
        <f>bdrate(C33:C36,D33:D36,J33:J36,K33:K36)</f>
        <v>-0.55685583603202282</v>
      </c>
      <c r="R33" s="8">
        <f>bdrate(C33:C36,E33:E36,J33:J36,L33:L36)</f>
        <v>-0.62307265093614483</v>
      </c>
      <c r="S33" s="8">
        <f>bdrate(C33:C36,F33:F36,J33:J36,M33:M36)</f>
        <v>-0.52695086339997599</v>
      </c>
      <c r="T33" s="25">
        <f>bdrate(C33:C36,H33:H36,J33:J36,O33:O36)</f>
        <v>-0.55878303912974625</v>
      </c>
      <c r="U33" s="28">
        <f t="shared" si="2"/>
        <v>0.46525816649104318</v>
      </c>
    </row>
    <row r="34" spans="1:21" x14ac:dyDescent="0.25">
      <c r="B34" s="9"/>
      <c r="C34" s="17">
        <v>1558.56</v>
      </c>
      <c r="D34" s="18">
        <v>30.87</v>
      </c>
      <c r="E34" s="18">
        <v>37.997999999999998</v>
      </c>
      <c r="F34" s="18">
        <v>40.743000000000002</v>
      </c>
      <c r="G34" s="18">
        <v>27.51</v>
      </c>
      <c r="H34" s="18">
        <f t="shared" si="0"/>
        <v>32.995125000000002</v>
      </c>
      <c r="I34" s="5"/>
      <c r="J34" s="17">
        <v>1591.7375999999999</v>
      </c>
      <c r="K34" s="18">
        <v>32.899700000000003</v>
      </c>
      <c r="L34" s="18">
        <v>39.244199999999999</v>
      </c>
      <c r="M34" s="18">
        <v>41.773600000000002</v>
      </c>
      <c r="N34" s="18">
        <v>49.562199999999997</v>
      </c>
      <c r="O34" s="18">
        <f t="shared" si="1"/>
        <v>34.802000000000007</v>
      </c>
      <c r="P34" s="7"/>
      <c r="Q34" s="10"/>
      <c r="R34" s="11"/>
      <c r="S34" s="11"/>
      <c r="T34" s="26"/>
      <c r="U34" s="28">
        <f t="shared" si="2"/>
        <v>0.8016066884769173</v>
      </c>
    </row>
    <row r="35" spans="1:21" x14ac:dyDescent="0.25">
      <c r="B35" s="9"/>
      <c r="C35" s="17">
        <v>935.15</v>
      </c>
      <c r="D35" s="18">
        <v>29.571999999999999</v>
      </c>
      <c r="E35" s="18">
        <v>37.542999999999999</v>
      </c>
      <c r="F35" s="18">
        <v>40.295000000000002</v>
      </c>
      <c r="G35" s="18">
        <v>32</v>
      </c>
      <c r="H35" s="18">
        <f t="shared" si="0"/>
        <v>31.908749999999998</v>
      </c>
      <c r="I35" s="5"/>
      <c r="J35" s="17">
        <v>1031.2904000000001</v>
      </c>
      <c r="K35" s="18">
        <v>31.855899999999998</v>
      </c>
      <c r="L35" s="18">
        <v>38.579599999999999</v>
      </c>
      <c r="M35" s="18">
        <v>41.068899999999999</v>
      </c>
      <c r="N35" s="18">
        <v>56.641199999999998</v>
      </c>
      <c r="O35" s="18">
        <f t="shared" si="1"/>
        <v>33.847987500000002</v>
      </c>
      <c r="P35" s="7"/>
      <c r="Q35" s="10"/>
      <c r="R35" s="11"/>
      <c r="S35" s="11"/>
      <c r="T35" s="26"/>
      <c r="U35" s="28">
        <f t="shared" si="2"/>
        <v>0.77003749999999993</v>
      </c>
    </row>
    <row r="36" spans="1:21" ht="16.5" thickBot="1" x14ac:dyDescent="0.3">
      <c r="B36" s="12"/>
      <c r="C36" s="19">
        <v>491.46</v>
      </c>
      <c r="D36" s="20">
        <v>27.007000000000001</v>
      </c>
      <c r="E36" s="20">
        <v>36.499000000000002</v>
      </c>
      <c r="F36" s="20">
        <v>39.509</v>
      </c>
      <c r="G36" s="20">
        <v>35.06</v>
      </c>
      <c r="H36" s="20">
        <f t="shared" si="0"/>
        <v>29.756250000000001</v>
      </c>
      <c r="I36" s="5"/>
      <c r="J36" s="19">
        <v>601.55999999999995</v>
      </c>
      <c r="K36" s="20">
        <v>30.441800000000001</v>
      </c>
      <c r="L36" s="20">
        <v>37.989899999999999</v>
      </c>
      <c r="M36" s="20">
        <v>40.544600000000003</v>
      </c>
      <c r="N36" s="20">
        <v>64.864900000000006</v>
      </c>
      <c r="O36" s="20">
        <f t="shared" si="1"/>
        <v>32.648162499999998</v>
      </c>
      <c r="P36" s="7"/>
      <c r="Q36" s="13"/>
      <c r="R36" s="14"/>
      <c r="S36" s="14"/>
      <c r="T36" s="27"/>
      <c r="U36" s="28">
        <f t="shared" si="2"/>
        <v>0.85011123787792364</v>
      </c>
    </row>
    <row r="37" spans="1:21" x14ac:dyDescent="0.25">
      <c r="A37" s="6" t="s">
        <v>39</v>
      </c>
      <c r="B37" s="6" t="s">
        <v>53</v>
      </c>
      <c r="C37" s="15">
        <v>1221.8399999999999</v>
      </c>
      <c r="D37" s="16">
        <v>33.652000000000001</v>
      </c>
      <c r="E37" s="16">
        <v>37.341000000000001</v>
      </c>
      <c r="F37" s="16">
        <v>37.125999999999998</v>
      </c>
      <c r="G37" s="16">
        <v>67.91</v>
      </c>
      <c r="H37" s="16">
        <f t="shared" si="0"/>
        <v>34.547375000000002</v>
      </c>
      <c r="I37" s="5"/>
      <c r="J37" s="15">
        <v>1220.2624000000001</v>
      </c>
      <c r="K37" s="16">
        <v>35.0548</v>
      </c>
      <c r="L37" s="16">
        <v>38.894500000000001</v>
      </c>
      <c r="M37" s="16">
        <v>38.750399999999999</v>
      </c>
      <c r="N37" s="16">
        <v>128.20509999999999</v>
      </c>
      <c r="O37" s="16">
        <f t="shared" si="1"/>
        <v>35.996712500000001</v>
      </c>
      <c r="P37" s="7"/>
      <c r="Q37" s="8">
        <f>bdrate(C37:C40,D37:D40,J37:J40,K37:K40)</f>
        <v>-0.26897969428908541</v>
      </c>
      <c r="R37" s="8">
        <f>bdrate(C37:C40,E37:E40,J37:J40,L37:L40)</f>
        <v>-0.33089370331673473</v>
      </c>
      <c r="S37" s="8">
        <f>bdrate(C37:C40,F37:F40,J37:J40,M37:M40)</f>
        <v>-0.2940885617241723</v>
      </c>
      <c r="T37" s="25">
        <f>bdrate(C37:C40,H37:H40,J37:J40,O37:O40)</f>
        <v>-0.27812315921010544</v>
      </c>
      <c r="U37" s="28">
        <f t="shared" si="2"/>
        <v>0.88786776616109553</v>
      </c>
    </row>
    <row r="38" spans="1:21" x14ac:dyDescent="0.25">
      <c r="A38" s="9" t="s">
        <v>40</v>
      </c>
      <c r="B38" s="9"/>
      <c r="C38" s="17">
        <v>818.47</v>
      </c>
      <c r="D38" s="18">
        <v>32.305</v>
      </c>
      <c r="E38" s="18">
        <v>36.372</v>
      </c>
      <c r="F38" s="18">
        <v>36.018999999999998</v>
      </c>
      <c r="G38" s="18">
        <v>77.05</v>
      </c>
      <c r="H38" s="18">
        <f t="shared" si="0"/>
        <v>33.277625</v>
      </c>
      <c r="I38" s="5"/>
      <c r="J38" s="17">
        <v>812.54</v>
      </c>
      <c r="K38" s="18">
        <v>33.526200000000003</v>
      </c>
      <c r="L38" s="18">
        <v>37.662300000000002</v>
      </c>
      <c r="M38" s="18">
        <v>37.324399999999997</v>
      </c>
      <c r="N38" s="18">
        <v>154.7988</v>
      </c>
      <c r="O38" s="18">
        <f t="shared" si="1"/>
        <v>34.517987500000004</v>
      </c>
      <c r="P38" s="7"/>
      <c r="Q38" s="10"/>
      <c r="R38" s="11"/>
      <c r="S38" s="11"/>
      <c r="T38" s="26"/>
      <c r="U38" s="28">
        <f t="shared" si="2"/>
        <v>1.0090694354315379</v>
      </c>
    </row>
    <row r="39" spans="1:21" x14ac:dyDescent="0.25">
      <c r="B39" s="9"/>
      <c r="C39" s="17">
        <v>509.08</v>
      </c>
      <c r="D39" s="18">
        <v>30.783999999999999</v>
      </c>
      <c r="E39" s="18">
        <v>35.482999999999997</v>
      </c>
      <c r="F39" s="18">
        <v>34.994999999999997</v>
      </c>
      <c r="G39" s="18">
        <v>85.02</v>
      </c>
      <c r="H39" s="18">
        <f t="shared" si="0"/>
        <v>31.897750000000002</v>
      </c>
      <c r="I39" s="5"/>
      <c r="J39" s="17">
        <v>507.09280000000001</v>
      </c>
      <c r="K39" s="18">
        <v>31.7834</v>
      </c>
      <c r="L39" s="18">
        <v>36.296399999999998</v>
      </c>
      <c r="M39" s="18">
        <v>35.799900000000001</v>
      </c>
      <c r="N39" s="18">
        <v>190.76689999999999</v>
      </c>
      <c r="O39" s="18">
        <f t="shared" si="1"/>
        <v>32.849587499999998</v>
      </c>
      <c r="P39" s="7"/>
      <c r="Q39" s="10"/>
      <c r="R39" s="11"/>
      <c r="S39" s="11"/>
      <c r="T39" s="26"/>
      <c r="U39" s="28">
        <f t="shared" si="2"/>
        <v>1.2437885203481533</v>
      </c>
    </row>
    <row r="40" spans="1:21" ht="16.5" thickBot="1" x14ac:dyDescent="0.3">
      <c r="B40" s="12"/>
      <c r="C40" s="19">
        <v>300.89999999999998</v>
      </c>
      <c r="D40" s="20">
        <v>29.17</v>
      </c>
      <c r="E40" s="20">
        <v>34.433</v>
      </c>
      <c r="F40" s="20">
        <v>33.790999999999997</v>
      </c>
      <c r="G40" s="20">
        <v>100.16</v>
      </c>
      <c r="H40" s="20">
        <f t="shared" si="0"/>
        <v>30.4055</v>
      </c>
      <c r="I40" s="5"/>
      <c r="J40" s="19">
        <v>303.2208</v>
      </c>
      <c r="K40" s="20">
        <v>29.9025</v>
      </c>
      <c r="L40" s="20">
        <v>34.9437</v>
      </c>
      <c r="M40" s="20">
        <v>34.227699999999999</v>
      </c>
      <c r="N40" s="20">
        <v>240.9639</v>
      </c>
      <c r="O40" s="20">
        <f t="shared" si="1"/>
        <v>31.0733</v>
      </c>
      <c r="P40" s="7"/>
      <c r="Q40" s="13"/>
      <c r="R40" s="14"/>
      <c r="S40" s="14"/>
      <c r="T40" s="27"/>
      <c r="U40" s="28">
        <f t="shared" si="2"/>
        <v>1.4057897364217253</v>
      </c>
    </row>
    <row r="41" spans="1:21" x14ac:dyDescent="0.25">
      <c r="B41" s="6" t="s">
        <v>54</v>
      </c>
      <c r="C41" s="15">
        <v>1232.55</v>
      </c>
      <c r="D41" s="16">
        <v>33.447000000000003</v>
      </c>
      <c r="E41" s="16">
        <v>38.780999999999999</v>
      </c>
      <c r="F41" s="16">
        <v>39.585999999999999</v>
      </c>
      <c r="G41" s="16">
        <v>80.13</v>
      </c>
      <c r="H41" s="16">
        <f t="shared" si="0"/>
        <v>34.881125000000004</v>
      </c>
      <c r="I41" s="5"/>
      <c r="J41" s="15">
        <v>1245.6168</v>
      </c>
      <c r="K41" s="16">
        <v>35.268500000000003</v>
      </c>
      <c r="L41" s="16">
        <v>40.379899999999999</v>
      </c>
      <c r="M41" s="16">
        <v>41.176900000000003</v>
      </c>
      <c r="N41" s="16">
        <v>132.626</v>
      </c>
      <c r="O41" s="16">
        <f t="shared" si="1"/>
        <v>36.645975</v>
      </c>
      <c r="P41" s="7"/>
      <c r="Q41" s="8">
        <f>bdrate(C41:C44,D41:D44,J41:J44,K41:K44)</f>
        <v>-0.33911627197734562</v>
      </c>
      <c r="R41" s="8">
        <f>bdrate(C41:C44,E41:E44,J41:J44,L41:L44)</f>
        <v>-0.47721801502399308</v>
      </c>
      <c r="S41" s="8">
        <f>bdrate(C41:C44,F41:F44,J41:J44,M41:M44)</f>
        <v>-0.42086378514495115</v>
      </c>
      <c r="T41" s="25">
        <f>bdrate(C41:C44,H41:H44,J41:J44,O41:O44)</f>
        <v>-0.35926643204616171</v>
      </c>
      <c r="U41" s="28">
        <f t="shared" si="2"/>
        <v>0.6551354049669289</v>
      </c>
    </row>
    <row r="42" spans="1:21" x14ac:dyDescent="0.25">
      <c r="B42" s="9"/>
      <c r="C42" s="17">
        <v>821.1</v>
      </c>
      <c r="D42" s="18">
        <v>32.01</v>
      </c>
      <c r="E42" s="18">
        <v>37.886000000000003</v>
      </c>
      <c r="F42" s="18">
        <v>38.582999999999998</v>
      </c>
      <c r="G42" s="18">
        <v>90.72</v>
      </c>
      <c r="H42" s="18">
        <f t="shared" si="0"/>
        <v>33.566125</v>
      </c>
      <c r="I42" s="5"/>
      <c r="J42" s="17">
        <v>830.6232</v>
      </c>
      <c r="K42" s="18">
        <v>33.721299999999999</v>
      </c>
      <c r="L42" s="18">
        <v>39.381599999999999</v>
      </c>
      <c r="M42" s="18">
        <v>40.011899999999997</v>
      </c>
      <c r="N42" s="18">
        <v>159.5745</v>
      </c>
      <c r="O42" s="18">
        <f t="shared" si="1"/>
        <v>35.215162499999998</v>
      </c>
      <c r="P42" s="7"/>
      <c r="Q42" s="10"/>
      <c r="R42" s="11"/>
      <c r="S42" s="11"/>
      <c r="T42" s="26"/>
      <c r="U42" s="28">
        <f t="shared" si="2"/>
        <v>0.75897817460317463</v>
      </c>
    </row>
    <row r="43" spans="1:21" x14ac:dyDescent="0.25">
      <c r="B43" s="9"/>
      <c r="C43" s="17">
        <v>511.57</v>
      </c>
      <c r="D43" s="18">
        <v>30.361000000000001</v>
      </c>
      <c r="E43" s="18">
        <v>36.921999999999997</v>
      </c>
      <c r="F43" s="18">
        <v>37.481000000000002</v>
      </c>
      <c r="G43" s="18">
        <v>100.17</v>
      </c>
      <c r="H43" s="18">
        <f t="shared" si="0"/>
        <v>32.071125000000002</v>
      </c>
      <c r="I43" s="5"/>
      <c r="J43" s="17">
        <v>518.82719999999995</v>
      </c>
      <c r="K43" s="18">
        <v>31.886399999999998</v>
      </c>
      <c r="L43" s="18">
        <v>38.299799999999998</v>
      </c>
      <c r="M43" s="18">
        <v>38.809199999999997</v>
      </c>
      <c r="N43" s="18">
        <v>191.32650000000001</v>
      </c>
      <c r="O43" s="18">
        <f t="shared" si="1"/>
        <v>33.553424999999997</v>
      </c>
      <c r="P43" s="7"/>
      <c r="Q43" s="10"/>
      <c r="R43" s="11"/>
      <c r="S43" s="11"/>
      <c r="T43" s="26"/>
      <c r="U43" s="28">
        <f t="shared" si="2"/>
        <v>0.91001796945193181</v>
      </c>
    </row>
    <row r="44" spans="1:21" ht="16.5" thickBot="1" x14ac:dyDescent="0.3">
      <c r="B44" s="12"/>
      <c r="C44" s="19">
        <v>302.58999999999997</v>
      </c>
      <c r="D44" s="20">
        <v>28.524000000000001</v>
      </c>
      <c r="E44" s="20">
        <v>35.841999999999999</v>
      </c>
      <c r="F44" s="20">
        <v>36.19</v>
      </c>
      <c r="G44" s="20">
        <v>113.12</v>
      </c>
      <c r="H44" s="20">
        <f t="shared" si="0"/>
        <v>30.396999999999998</v>
      </c>
      <c r="I44" s="5"/>
      <c r="J44" s="19">
        <v>310.58960000000002</v>
      </c>
      <c r="K44" s="20">
        <v>29.857199999999999</v>
      </c>
      <c r="L44" s="20">
        <v>37.211100000000002</v>
      </c>
      <c r="M44" s="20">
        <v>37.551200000000001</v>
      </c>
      <c r="N44" s="20">
        <v>237.4357</v>
      </c>
      <c r="O44" s="20">
        <f t="shared" si="1"/>
        <v>31.738187499999995</v>
      </c>
      <c r="P44" s="7"/>
      <c r="Q44" s="13"/>
      <c r="R44" s="14"/>
      <c r="S44" s="14"/>
      <c r="T44" s="27"/>
      <c r="U44" s="28">
        <f t="shared" si="2"/>
        <v>1.0989718882602544</v>
      </c>
    </row>
    <row r="45" spans="1:21" x14ac:dyDescent="0.25">
      <c r="B45" s="6" t="s">
        <v>55</v>
      </c>
      <c r="C45" s="15">
        <v>1098.67</v>
      </c>
      <c r="D45" s="16">
        <v>27.908999999999999</v>
      </c>
      <c r="E45" s="16">
        <v>34.444000000000003</v>
      </c>
      <c r="F45" s="16">
        <v>35.25</v>
      </c>
      <c r="G45" s="16">
        <v>77.78</v>
      </c>
      <c r="H45" s="16">
        <f t="shared" si="0"/>
        <v>29.643500000000003</v>
      </c>
      <c r="I45" s="5"/>
      <c r="J45" s="15">
        <v>1220.4808</v>
      </c>
      <c r="K45" s="16">
        <v>30.36</v>
      </c>
      <c r="L45" s="16">
        <v>36.534700000000001</v>
      </c>
      <c r="M45" s="16">
        <v>37.277700000000003</v>
      </c>
      <c r="N45" s="16">
        <v>119.5886</v>
      </c>
      <c r="O45" s="16">
        <f t="shared" si="1"/>
        <v>31.996550000000003</v>
      </c>
      <c r="P45" s="7"/>
      <c r="Q45" s="8">
        <f>bdrate(C45:C48,D45:D48,J45:J48,K45:K48)</f>
        <v>-0.47893636721375865</v>
      </c>
      <c r="R45" s="8">
        <f>bdrate(C45:C48,E45:E48,J45:J48,L45:L48)</f>
        <v>-0.60446556357152703</v>
      </c>
      <c r="S45" s="8">
        <f>bdrate(C45:C48,F45:F48,J45:J48,M45:M48)</f>
        <v>-0.57244984905353946</v>
      </c>
      <c r="T45" s="25">
        <f>bdrate(C45:C48,H45:H48,J45:J48,O45:O48)</f>
        <v>-0.49717646740669807</v>
      </c>
      <c r="U45" s="28">
        <f t="shared" si="2"/>
        <v>0.53752378503471332</v>
      </c>
    </row>
    <row r="46" spans="1:21" x14ac:dyDescent="0.25">
      <c r="B46" s="9"/>
      <c r="C46" s="17">
        <v>729.83</v>
      </c>
      <c r="D46" s="18">
        <v>26.684000000000001</v>
      </c>
      <c r="E46" s="18">
        <v>33.881</v>
      </c>
      <c r="F46" s="18">
        <v>34.689</v>
      </c>
      <c r="G46" s="18">
        <v>88.54</v>
      </c>
      <c r="H46" s="18">
        <f t="shared" si="0"/>
        <v>28.584250000000001</v>
      </c>
      <c r="I46" s="5"/>
      <c r="J46" s="17">
        <v>822.69920000000002</v>
      </c>
      <c r="K46" s="18">
        <v>29.0916</v>
      </c>
      <c r="L46" s="18">
        <v>35.7577</v>
      </c>
      <c r="M46" s="18">
        <v>36.503500000000003</v>
      </c>
      <c r="N46" s="18">
        <v>145.6876</v>
      </c>
      <c r="O46" s="18">
        <f t="shared" si="1"/>
        <v>30.85135</v>
      </c>
      <c r="P46" s="7"/>
      <c r="Q46" s="10"/>
      <c r="R46" s="11"/>
      <c r="S46" s="11"/>
      <c r="T46" s="26"/>
      <c r="U46" s="28">
        <f t="shared" si="2"/>
        <v>0.64544386717867619</v>
      </c>
    </row>
    <row r="47" spans="1:21" x14ac:dyDescent="0.25">
      <c r="B47" s="9"/>
      <c r="C47" s="17">
        <v>451.35</v>
      </c>
      <c r="D47" s="18">
        <v>25.35</v>
      </c>
      <c r="E47" s="18">
        <v>33.188000000000002</v>
      </c>
      <c r="F47" s="18">
        <v>34.064999999999998</v>
      </c>
      <c r="G47" s="18">
        <v>99.54</v>
      </c>
      <c r="H47" s="18">
        <f t="shared" si="0"/>
        <v>27.419125000000001</v>
      </c>
      <c r="I47" s="5"/>
      <c r="J47" s="17">
        <v>513.40560000000005</v>
      </c>
      <c r="K47" s="18">
        <v>27.587399999999999</v>
      </c>
      <c r="L47" s="18">
        <v>34.821100000000001</v>
      </c>
      <c r="M47" s="18">
        <v>35.4863</v>
      </c>
      <c r="N47" s="18">
        <v>182.14940000000001</v>
      </c>
      <c r="O47" s="18">
        <f t="shared" si="1"/>
        <v>29.478974999999998</v>
      </c>
      <c r="P47" s="7"/>
      <c r="Q47" s="10"/>
      <c r="R47" s="11"/>
      <c r="S47" s="11"/>
      <c r="T47" s="26"/>
      <c r="U47" s="28">
        <f t="shared" si="2"/>
        <v>0.82991159332931486</v>
      </c>
    </row>
    <row r="48" spans="1:21" ht="16.5" thickBot="1" x14ac:dyDescent="0.3">
      <c r="B48" s="12"/>
      <c r="C48" s="19">
        <v>261.26</v>
      </c>
      <c r="D48" s="20">
        <v>23.827999999999999</v>
      </c>
      <c r="E48" s="20">
        <v>32.337000000000003</v>
      </c>
      <c r="F48" s="20">
        <v>33.161000000000001</v>
      </c>
      <c r="G48" s="20">
        <v>114.08</v>
      </c>
      <c r="H48" s="20">
        <f t="shared" si="0"/>
        <v>26.058250000000001</v>
      </c>
      <c r="I48" s="5"/>
      <c r="J48" s="19">
        <v>308.08319999999998</v>
      </c>
      <c r="K48" s="20">
        <v>26.063800000000001</v>
      </c>
      <c r="L48" s="20">
        <v>33.923499999999997</v>
      </c>
      <c r="M48" s="20">
        <v>34.625399999999999</v>
      </c>
      <c r="N48" s="20">
        <v>225.7336</v>
      </c>
      <c r="O48" s="20">
        <f t="shared" si="1"/>
        <v>28.116462499999997</v>
      </c>
      <c r="P48" s="7"/>
      <c r="Q48" s="13"/>
      <c r="R48" s="14"/>
      <c r="S48" s="14"/>
      <c r="T48" s="27"/>
      <c r="U48" s="28">
        <f t="shared" si="2"/>
        <v>0.97873071528751754</v>
      </c>
    </row>
    <row r="49" spans="1:21" x14ac:dyDescent="0.25">
      <c r="B49" s="6" t="s">
        <v>56</v>
      </c>
      <c r="C49" s="15">
        <v>1125.1099999999999</v>
      </c>
      <c r="D49" s="16">
        <v>31.398</v>
      </c>
      <c r="E49" s="16">
        <v>35.908999999999999</v>
      </c>
      <c r="F49" s="16">
        <v>37.554000000000002</v>
      </c>
      <c r="G49" s="16">
        <v>51.01</v>
      </c>
      <c r="H49" s="16">
        <f t="shared" si="0"/>
        <v>32.731375</v>
      </c>
      <c r="I49" s="5"/>
      <c r="J49" s="15">
        <v>1210.7624000000001</v>
      </c>
      <c r="K49" s="16">
        <v>32.360300000000002</v>
      </c>
      <c r="L49" s="16">
        <v>36.659700000000001</v>
      </c>
      <c r="M49" s="16">
        <v>38.202100000000002</v>
      </c>
      <c r="N49" s="16">
        <v>87.412599999999998</v>
      </c>
      <c r="O49" s="16">
        <f t="shared" si="1"/>
        <v>33.627949999999998</v>
      </c>
      <c r="P49" s="7"/>
      <c r="Q49" s="8">
        <f>bdrate(C49:C52,D49:D52,J49:J52,K49:K52)</f>
        <v>-0.11949040376776943</v>
      </c>
      <c r="R49" s="8">
        <f>bdrate(C49:C52,E49:E52,J49:J52,L49:L52)</f>
        <v>-0.17951103678931668</v>
      </c>
      <c r="S49" s="8">
        <f>bdrate(C49:C52,F49:F52,J49:J52,M49:M52)</f>
        <v>-0.17134304963619262</v>
      </c>
      <c r="T49" s="25">
        <f>bdrate(C49:C52,H49:H52,J49:J52,O49:O52)</f>
        <v>-0.12987565907900334</v>
      </c>
      <c r="U49" s="28">
        <f t="shared" si="2"/>
        <v>0.7136365418545384</v>
      </c>
    </row>
    <row r="50" spans="1:21" x14ac:dyDescent="0.25">
      <c r="B50" s="9"/>
      <c r="C50" s="17">
        <v>755.74</v>
      </c>
      <c r="D50" s="18">
        <v>30.105</v>
      </c>
      <c r="E50" s="18">
        <v>35.167999999999999</v>
      </c>
      <c r="F50" s="18">
        <v>36.741</v>
      </c>
      <c r="G50" s="18">
        <v>59</v>
      </c>
      <c r="H50" s="18">
        <f t="shared" si="0"/>
        <v>31.567374999999998</v>
      </c>
      <c r="I50" s="5"/>
      <c r="J50" s="17">
        <v>807.14559999999994</v>
      </c>
      <c r="K50" s="18">
        <v>30.853000000000002</v>
      </c>
      <c r="L50" s="18">
        <v>35.754600000000003</v>
      </c>
      <c r="M50" s="18">
        <v>37.293599999999998</v>
      </c>
      <c r="N50" s="18">
        <v>105.0788</v>
      </c>
      <c r="O50" s="18">
        <f t="shared" si="1"/>
        <v>32.270775</v>
      </c>
      <c r="P50" s="7"/>
      <c r="Q50" s="10"/>
      <c r="R50" s="11"/>
      <c r="S50" s="11"/>
      <c r="T50" s="26"/>
      <c r="U50" s="28">
        <f t="shared" si="2"/>
        <v>0.78099661016949151</v>
      </c>
    </row>
    <row r="51" spans="1:21" x14ac:dyDescent="0.25">
      <c r="B51" s="9"/>
      <c r="C51" s="17">
        <v>481.03</v>
      </c>
      <c r="D51" s="18">
        <v>28.771999999999998</v>
      </c>
      <c r="E51" s="18">
        <v>34.369</v>
      </c>
      <c r="F51" s="18">
        <v>35.79</v>
      </c>
      <c r="G51" s="18">
        <v>66.77</v>
      </c>
      <c r="H51" s="18">
        <f t="shared" si="0"/>
        <v>30.348875</v>
      </c>
      <c r="I51" s="5"/>
      <c r="J51" s="17">
        <v>503.79840000000002</v>
      </c>
      <c r="K51" s="18">
        <v>29.252500000000001</v>
      </c>
      <c r="L51" s="18">
        <v>34.795400000000001</v>
      </c>
      <c r="M51" s="18">
        <v>36.285299999999999</v>
      </c>
      <c r="N51" s="18">
        <v>129.9264</v>
      </c>
      <c r="O51" s="18">
        <f t="shared" si="1"/>
        <v>30.824462500000003</v>
      </c>
      <c r="P51" s="7"/>
      <c r="Q51" s="10"/>
      <c r="R51" s="11"/>
      <c r="S51" s="11"/>
      <c r="T51" s="26"/>
      <c r="U51" s="28">
        <f t="shared" si="2"/>
        <v>0.94587988617642671</v>
      </c>
    </row>
    <row r="52" spans="1:21" ht="16.5" thickBot="1" x14ac:dyDescent="0.3">
      <c r="B52" s="12"/>
      <c r="C52" s="19">
        <v>290.57</v>
      </c>
      <c r="D52" s="20">
        <v>27.425000000000001</v>
      </c>
      <c r="E52" s="20">
        <v>33.415999999999997</v>
      </c>
      <c r="F52" s="20">
        <v>34.72</v>
      </c>
      <c r="G52" s="20">
        <v>75.11</v>
      </c>
      <c r="H52" s="20">
        <f t="shared" si="0"/>
        <v>29.085750000000001</v>
      </c>
      <c r="I52" s="5"/>
      <c r="J52" s="19">
        <v>301.94959999999998</v>
      </c>
      <c r="K52" s="20">
        <v>27.669</v>
      </c>
      <c r="L52" s="20">
        <v>33.7697</v>
      </c>
      <c r="M52" s="20">
        <v>35.154200000000003</v>
      </c>
      <c r="N52" s="20">
        <v>164.29349999999999</v>
      </c>
      <c r="O52" s="20">
        <f t="shared" si="1"/>
        <v>29.367237500000002</v>
      </c>
      <c r="P52" s="7"/>
      <c r="Q52" s="13"/>
      <c r="R52" s="14"/>
      <c r="S52" s="14"/>
      <c r="T52" s="27"/>
      <c r="U52" s="28">
        <f t="shared" si="2"/>
        <v>1.1873718546132339</v>
      </c>
    </row>
    <row r="53" spans="1:21" x14ac:dyDescent="0.25">
      <c r="A53" s="6" t="s">
        <v>41</v>
      </c>
      <c r="B53" s="6" t="s">
        <v>57</v>
      </c>
      <c r="C53" s="15">
        <v>642.32000000000005</v>
      </c>
      <c r="D53" s="16">
        <v>33.46</v>
      </c>
      <c r="E53" s="16">
        <v>38.378999999999998</v>
      </c>
      <c r="F53" s="16">
        <v>37.081000000000003</v>
      </c>
      <c r="G53" s="16">
        <v>206.78</v>
      </c>
      <c r="H53" s="16">
        <f t="shared" si="0"/>
        <v>34.527499999999996</v>
      </c>
      <c r="I53" s="5"/>
      <c r="J53" s="15">
        <v>604.64480000000003</v>
      </c>
      <c r="K53" s="16">
        <v>34.408499999999997</v>
      </c>
      <c r="L53" s="16">
        <v>39.479500000000002</v>
      </c>
      <c r="M53" s="16">
        <v>38.038200000000003</v>
      </c>
      <c r="N53" s="16">
        <v>341.0641</v>
      </c>
      <c r="O53" s="16">
        <f t="shared" si="1"/>
        <v>35.496087499999994</v>
      </c>
      <c r="P53" s="7"/>
      <c r="Q53" s="8">
        <f>bdrate(C53:C56,D53:D56,J53:J56,K53:K56)</f>
        <v>-0.17219472818115</v>
      </c>
      <c r="R53" s="8">
        <f>bdrate(C53:C56,E53:E56,J53:J56,L53:L56)</f>
        <v>-0.33640620227547002</v>
      </c>
      <c r="S53" s="8">
        <f>bdrate(C53:C56,F53:F56,J53:J56,M53:M56)</f>
        <v>-0.22924054835895713</v>
      </c>
      <c r="T53" s="25">
        <f>bdrate(C53:C56,H53:H56,J53:J56,O53:O56)</f>
        <v>-0.19292344193457622</v>
      </c>
      <c r="U53" s="28">
        <f t="shared" si="2"/>
        <v>0.64940564851533022</v>
      </c>
    </row>
    <row r="54" spans="1:21" x14ac:dyDescent="0.25">
      <c r="A54" s="9" t="s">
        <v>42</v>
      </c>
      <c r="B54" s="9"/>
      <c r="C54" s="17">
        <v>426.85</v>
      </c>
      <c r="D54" s="18">
        <v>31.882000000000001</v>
      </c>
      <c r="E54" s="18">
        <v>37.36</v>
      </c>
      <c r="F54" s="18">
        <v>35.881</v>
      </c>
      <c r="G54" s="18">
        <v>233.97</v>
      </c>
      <c r="H54" s="18">
        <f t="shared" si="0"/>
        <v>33.066625000000002</v>
      </c>
      <c r="I54" s="5"/>
      <c r="J54" s="17">
        <v>405.23759999999999</v>
      </c>
      <c r="K54" s="18">
        <v>32.654000000000003</v>
      </c>
      <c r="L54" s="18">
        <v>38.310400000000001</v>
      </c>
      <c r="M54" s="18">
        <v>36.634700000000002</v>
      </c>
      <c r="N54" s="18">
        <v>395.56959999999998</v>
      </c>
      <c r="O54" s="18">
        <f t="shared" si="1"/>
        <v>33.858637500000007</v>
      </c>
      <c r="P54" s="7"/>
      <c r="Q54" s="10"/>
      <c r="R54" s="11"/>
      <c r="S54" s="11"/>
      <c r="T54" s="26"/>
      <c r="U54" s="28">
        <f t="shared" si="2"/>
        <v>0.69068513057229552</v>
      </c>
    </row>
    <row r="55" spans="1:21" x14ac:dyDescent="0.25">
      <c r="B55" s="9"/>
      <c r="C55" s="17">
        <v>267.02</v>
      </c>
      <c r="D55" s="18">
        <v>30.253</v>
      </c>
      <c r="E55" s="18">
        <v>36.381</v>
      </c>
      <c r="F55" s="18">
        <v>34.652999999999999</v>
      </c>
      <c r="G55" s="18">
        <v>260.69</v>
      </c>
      <c r="H55" s="18">
        <f t="shared" si="0"/>
        <v>31.568999999999999</v>
      </c>
      <c r="I55" s="5"/>
      <c r="J55" s="17">
        <v>252.768</v>
      </c>
      <c r="K55" s="18">
        <v>30.719899999999999</v>
      </c>
      <c r="L55" s="18">
        <v>37.159199999999998</v>
      </c>
      <c r="M55" s="18">
        <v>35.203899999999997</v>
      </c>
      <c r="N55" s="18">
        <v>493.09660000000002</v>
      </c>
      <c r="O55" s="18">
        <f t="shared" si="1"/>
        <v>32.085312500000001</v>
      </c>
      <c r="P55" s="7"/>
      <c r="Q55" s="10"/>
      <c r="R55" s="11"/>
      <c r="S55" s="11"/>
      <c r="T55" s="26"/>
      <c r="U55" s="28">
        <f t="shared" si="2"/>
        <v>0.89150561970156139</v>
      </c>
    </row>
    <row r="56" spans="1:21" ht="16.5" thickBot="1" x14ac:dyDescent="0.3">
      <c r="B56" s="12"/>
      <c r="C56" s="19">
        <v>128.5</v>
      </c>
      <c r="D56" s="20">
        <v>27.922000000000001</v>
      </c>
      <c r="E56" s="20">
        <v>35.052</v>
      </c>
      <c r="F56" s="20">
        <v>32.83</v>
      </c>
      <c r="G56" s="20">
        <v>323.83</v>
      </c>
      <c r="H56" s="20">
        <f t="shared" si="0"/>
        <v>29.426749999999998</v>
      </c>
      <c r="I56" s="5"/>
      <c r="J56" s="19">
        <v>122.0504</v>
      </c>
      <c r="K56" s="20">
        <v>28.009699999999999</v>
      </c>
      <c r="L56" s="20">
        <v>35.534599999999998</v>
      </c>
      <c r="M56" s="20">
        <v>33.142600000000002</v>
      </c>
      <c r="N56" s="20">
        <v>681.19889999999998</v>
      </c>
      <c r="O56" s="20">
        <f t="shared" si="1"/>
        <v>29.591925000000003</v>
      </c>
      <c r="P56" s="7"/>
      <c r="Q56" s="13"/>
      <c r="R56" s="14"/>
      <c r="S56" s="14"/>
      <c r="T56" s="27"/>
      <c r="U56" s="28">
        <f t="shared" si="2"/>
        <v>1.1035694654602723</v>
      </c>
    </row>
    <row r="57" spans="1:21" x14ac:dyDescent="0.25">
      <c r="B57" s="6" t="s">
        <v>58</v>
      </c>
      <c r="C57" s="15">
        <v>555.44000000000005</v>
      </c>
      <c r="D57" s="16">
        <v>30.132999999999999</v>
      </c>
      <c r="E57" s="16">
        <v>38.488999999999997</v>
      </c>
      <c r="F57" s="16">
        <v>39.100999999999999</v>
      </c>
      <c r="G57" s="16">
        <v>356.08</v>
      </c>
      <c r="H57" s="16">
        <f t="shared" si="0"/>
        <v>32.298500000000004</v>
      </c>
      <c r="I57" s="5"/>
      <c r="J57" s="15">
        <v>607.4144</v>
      </c>
      <c r="K57" s="16">
        <v>33.652999999999999</v>
      </c>
      <c r="L57" s="16">
        <v>41.198099999999997</v>
      </c>
      <c r="M57" s="16">
        <v>41.986400000000003</v>
      </c>
      <c r="N57" s="16">
        <v>388.34949999999998</v>
      </c>
      <c r="O57" s="16">
        <f t="shared" si="1"/>
        <v>35.637812500000003</v>
      </c>
      <c r="P57" s="7"/>
      <c r="Q57" s="8">
        <f>bdrate(C57:C60,D57:D60,J57:J60,K57:K60)</f>
        <v>-0.63169803358856025</v>
      </c>
      <c r="R57" s="8">
        <f>bdrate(C57:C60,E57:E60,J57:J60,L57:L60)</f>
        <v>-0.72940471476620927</v>
      </c>
      <c r="S57" s="8">
        <f>bdrate(C57:C60,F57:F60,J57:J60,M57:M60)</f>
        <v>-0.69670831239747355</v>
      </c>
      <c r="T57" s="25">
        <f>bdrate(C57:C60,H57:H60,J57:J60,O57:O60)</f>
        <v>-0.64428433048231004</v>
      </c>
      <c r="U57" s="28">
        <f t="shared" si="2"/>
        <v>9.062429791058188E-2</v>
      </c>
    </row>
    <row r="58" spans="1:21" x14ac:dyDescent="0.25">
      <c r="B58" s="9"/>
      <c r="C58" s="17">
        <v>367.3</v>
      </c>
      <c r="D58" s="18">
        <v>28.795999999999999</v>
      </c>
      <c r="E58" s="18">
        <v>38.046999999999997</v>
      </c>
      <c r="F58" s="18">
        <v>38.691000000000003</v>
      </c>
      <c r="G58" s="18">
        <v>376.88</v>
      </c>
      <c r="H58" s="18">
        <f t="shared" si="0"/>
        <v>31.189250000000001</v>
      </c>
      <c r="I58" s="5"/>
      <c r="J58" s="17">
        <v>405.37279999999998</v>
      </c>
      <c r="K58" s="18">
        <v>32.385399999999997</v>
      </c>
      <c r="L58" s="18">
        <v>40.2864</v>
      </c>
      <c r="M58" s="18">
        <v>41.095399999999998</v>
      </c>
      <c r="N58" s="18">
        <v>487.01299999999998</v>
      </c>
      <c r="O58" s="18">
        <f t="shared" si="1"/>
        <v>34.461774999999996</v>
      </c>
      <c r="P58" s="7"/>
      <c r="Q58" s="10"/>
      <c r="R58" s="11"/>
      <c r="S58" s="11"/>
      <c r="T58" s="26"/>
      <c r="U58" s="28">
        <f t="shared" si="2"/>
        <v>0.29222298874973462</v>
      </c>
    </row>
    <row r="59" spans="1:21" x14ac:dyDescent="0.25">
      <c r="B59" s="9"/>
      <c r="C59" s="17">
        <v>229.05</v>
      </c>
      <c r="D59" s="18">
        <v>27.358000000000001</v>
      </c>
      <c r="E59" s="18">
        <v>37.652000000000001</v>
      </c>
      <c r="F59" s="18">
        <v>38.237000000000002</v>
      </c>
      <c r="G59" s="18">
        <v>409</v>
      </c>
      <c r="H59" s="18">
        <f t="shared" si="0"/>
        <v>30.004625000000001</v>
      </c>
      <c r="I59" s="5"/>
      <c r="J59" s="17">
        <v>251.7296</v>
      </c>
      <c r="K59" s="18">
        <v>30.854900000000001</v>
      </c>
      <c r="L59" s="18">
        <v>39.511499999999998</v>
      </c>
      <c r="M59" s="18">
        <v>40.155900000000003</v>
      </c>
      <c r="N59" s="18">
        <v>630.25210000000004</v>
      </c>
      <c r="O59" s="18">
        <f t="shared" si="1"/>
        <v>33.099599999999995</v>
      </c>
      <c r="P59" s="7"/>
      <c r="Q59" s="10"/>
      <c r="R59" s="11"/>
      <c r="S59" s="11"/>
      <c r="T59" s="26"/>
      <c r="U59" s="28">
        <f t="shared" si="2"/>
        <v>0.54095867970660161</v>
      </c>
    </row>
    <row r="60" spans="1:21" ht="16.5" thickBot="1" x14ac:dyDescent="0.3">
      <c r="B60" s="12"/>
      <c r="C60" s="19">
        <v>105.52</v>
      </c>
      <c r="D60" s="20">
        <v>24.940999999999999</v>
      </c>
      <c r="E60" s="20">
        <v>36.895000000000003</v>
      </c>
      <c r="F60" s="20">
        <v>37.332999999999998</v>
      </c>
      <c r="G60" s="20">
        <v>457.67</v>
      </c>
      <c r="H60" s="20">
        <f t="shared" si="0"/>
        <v>27.984249999999999</v>
      </c>
      <c r="I60" s="5"/>
      <c r="J60" s="19">
        <v>121.10080000000001</v>
      </c>
      <c r="K60" s="20">
        <v>28.385300000000001</v>
      </c>
      <c r="L60" s="20">
        <v>38.176200000000001</v>
      </c>
      <c r="M60" s="20">
        <v>38.655900000000003</v>
      </c>
      <c r="N60" s="20">
        <v>873.36239999999998</v>
      </c>
      <c r="O60" s="20">
        <f t="shared" si="1"/>
        <v>30.8929875</v>
      </c>
      <c r="P60" s="7"/>
      <c r="Q60" s="13"/>
      <c r="R60" s="14"/>
      <c r="S60" s="14"/>
      <c r="T60" s="27"/>
      <c r="U60" s="28">
        <f t="shared" si="2"/>
        <v>0.90827976489610407</v>
      </c>
    </row>
    <row r="61" spans="1:21" x14ac:dyDescent="0.25">
      <c r="B61" s="6" t="s">
        <v>59</v>
      </c>
      <c r="C61" s="29">
        <v>643.6</v>
      </c>
      <c r="D61" s="30">
        <v>31.145</v>
      </c>
      <c r="E61" s="30">
        <v>35.847999999999999</v>
      </c>
      <c r="F61" s="30">
        <v>36.353000000000002</v>
      </c>
      <c r="G61" s="16">
        <v>240.96</v>
      </c>
      <c r="H61" s="16">
        <f t="shared" si="0"/>
        <v>32.383875000000003</v>
      </c>
      <c r="I61" s="5"/>
      <c r="J61" s="29">
        <v>633.8048</v>
      </c>
      <c r="K61" s="30">
        <v>33.113300000000002</v>
      </c>
      <c r="L61" s="30">
        <v>37.987200000000001</v>
      </c>
      <c r="M61" s="30">
        <v>38.743699999999997</v>
      </c>
      <c r="N61" s="16">
        <v>368.45979999999997</v>
      </c>
      <c r="O61" s="16">
        <f t="shared" si="1"/>
        <v>34.426337500000002</v>
      </c>
      <c r="P61" s="7"/>
      <c r="Q61" s="8">
        <f>bdrate(C61:C64,D61:D64,J61:J64,K61:K64)</f>
        <v>-0.41716148363889949</v>
      </c>
      <c r="R61" s="8">
        <f>bdrate(C61:C64,E61:E64,J61:J64,L61:L64)</f>
        <v>-0.57573607935688309</v>
      </c>
      <c r="S61" s="8">
        <f>bdrate(C61:C64,F61:F64,J61:J64,M61:M64)</f>
        <v>-0.61052572394702453</v>
      </c>
      <c r="T61" s="25">
        <f>bdrate(C61:C64,H61:H64,J61:J64,O61:O64)</f>
        <v>-0.45349813528823146</v>
      </c>
      <c r="U61" s="28">
        <f t="shared" si="2"/>
        <v>0.52913263612217776</v>
      </c>
    </row>
    <row r="62" spans="1:21" x14ac:dyDescent="0.25">
      <c r="B62" s="9"/>
      <c r="C62" s="31">
        <v>427.85</v>
      </c>
      <c r="D62" s="32">
        <v>29.734999999999999</v>
      </c>
      <c r="E62" s="32">
        <v>34.92</v>
      </c>
      <c r="F62" s="32">
        <v>35.472000000000001</v>
      </c>
      <c r="G62" s="18">
        <v>288.85000000000002</v>
      </c>
      <c r="H62" s="18">
        <f t="shared" si="0"/>
        <v>31.100249999999999</v>
      </c>
      <c r="I62" s="5"/>
      <c r="J62" s="31">
        <v>422.53199999999998</v>
      </c>
      <c r="K62" s="32">
        <v>31.615400000000001</v>
      </c>
      <c r="L62" s="32">
        <v>36.9758</v>
      </c>
      <c r="M62" s="32">
        <v>37.712699999999998</v>
      </c>
      <c r="N62" s="18">
        <v>451.26350000000002</v>
      </c>
      <c r="O62" s="18">
        <f t="shared" si="1"/>
        <v>33.0476125</v>
      </c>
      <c r="P62" s="7"/>
      <c r="Q62" s="10"/>
      <c r="R62" s="11"/>
      <c r="S62" s="11"/>
      <c r="T62" s="26"/>
      <c r="U62" s="28">
        <f t="shared" si="2"/>
        <v>0.56227626795914831</v>
      </c>
    </row>
    <row r="63" spans="1:21" x14ac:dyDescent="0.25">
      <c r="B63" s="9"/>
      <c r="C63" s="31">
        <v>265.56</v>
      </c>
      <c r="D63" s="32">
        <v>28.268999999999998</v>
      </c>
      <c r="E63" s="32">
        <v>34.033000000000001</v>
      </c>
      <c r="F63" s="32">
        <v>34.591000000000001</v>
      </c>
      <c r="G63" s="18">
        <v>320.51</v>
      </c>
      <c r="H63" s="18">
        <f t="shared" si="0"/>
        <v>29.77975</v>
      </c>
      <c r="I63" s="5"/>
      <c r="J63" s="31">
        <v>264.32</v>
      </c>
      <c r="K63" s="32">
        <v>29.956800000000001</v>
      </c>
      <c r="L63" s="32">
        <v>35.790700000000001</v>
      </c>
      <c r="M63" s="32">
        <v>36.4998</v>
      </c>
      <c r="N63" s="18">
        <v>552.48620000000005</v>
      </c>
      <c r="O63" s="18">
        <f t="shared" si="1"/>
        <v>31.503912499999998</v>
      </c>
      <c r="P63" s="7"/>
      <c r="Q63" s="10"/>
      <c r="R63" s="11"/>
      <c r="S63" s="11"/>
      <c r="T63" s="26"/>
      <c r="U63" s="28">
        <f t="shared" si="2"/>
        <v>0.72377211319459633</v>
      </c>
    </row>
    <row r="64" spans="1:21" ht="16.5" thickBot="1" x14ac:dyDescent="0.3">
      <c r="B64" s="12"/>
      <c r="C64" s="33">
        <v>125.1</v>
      </c>
      <c r="D64" s="34">
        <v>26.151</v>
      </c>
      <c r="E64" s="34">
        <v>32.661999999999999</v>
      </c>
      <c r="F64" s="34">
        <v>33.228000000000002</v>
      </c>
      <c r="G64" s="20">
        <v>381.39</v>
      </c>
      <c r="H64" s="20">
        <f t="shared" si="0"/>
        <v>27.849500000000003</v>
      </c>
      <c r="I64" s="5"/>
      <c r="J64" s="33">
        <v>126.3944</v>
      </c>
      <c r="K64" s="34">
        <v>27.607299999999999</v>
      </c>
      <c r="L64" s="34">
        <v>34.168500000000002</v>
      </c>
      <c r="M64" s="34">
        <v>34.911700000000003</v>
      </c>
      <c r="N64" s="20">
        <v>763.35879999999997</v>
      </c>
      <c r="O64" s="20">
        <f t="shared" si="1"/>
        <v>29.340499999999999</v>
      </c>
      <c r="P64" s="7"/>
      <c r="Q64" s="13"/>
      <c r="R64" s="14"/>
      <c r="S64" s="14"/>
      <c r="T64" s="27"/>
      <c r="U64" s="28">
        <f t="shared" si="2"/>
        <v>1.0015176066493616</v>
      </c>
    </row>
    <row r="65" spans="1:21" x14ac:dyDescent="0.25">
      <c r="B65" s="6" t="s">
        <v>60</v>
      </c>
      <c r="C65" s="15">
        <v>581.98</v>
      </c>
      <c r="D65" s="16">
        <v>32.582999999999998</v>
      </c>
      <c r="E65" s="16">
        <v>36.537999999999997</v>
      </c>
      <c r="F65" s="16">
        <v>37.67</v>
      </c>
      <c r="G65" s="16">
        <v>162.94999999999999</v>
      </c>
      <c r="H65" s="16">
        <f t="shared" si="0"/>
        <v>33.713250000000002</v>
      </c>
      <c r="I65" s="5"/>
      <c r="J65" s="15">
        <v>607.69280000000003</v>
      </c>
      <c r="K65" s="16">
        <v>34.0336</v>
      </c>
      <c r="L65" s="16">
        <v>37.630699999999997</v>
      </c>
      <c r="M65" s="16">
        <v>38.703800000000001</v>
      </c>
      <c r="N65" s="16">
        <v>240.38460000000001</v>
      </c>
      <c r="O65" s="16">
        <f t="shared" si="1"/>
        <v>35.067012499999997</v>
      </c>
      <c r="P65" s="7"/>
      <c r="Q65" s="8">
        <f>bdrate(C65:C68,D65:D68,J65:J68,K65:K68)</f>
        <v>-0.20091539328049157</v>
      </c>
      <c r="R65" s="8">
        <f>bdrate(C65:C68,E65:E68,J65:J68,L65:L68)</f>
        <v>-0.27150176322709052</v>
      </c>
      <c r="S65" s="8">
        <f>bdrate(C65:C68,F65:F68,J65:J68,M65:M68)</f>
        <v>-0.26359641377109755</v>
      </c>
      <c r="T65" s="25">
        <f>bdrate(C65:C68,H65:H68,J65:J68,O65:O68)</f>
        <v>-0.21461765902896912</v>
      </c>
      <c r="U65" s="28">
        <f t="shared" si="2"/>
        <v>0.47520466400736439</v>
      </c>
    </row>
    <row r="66" spans="1:21" x14ac:dyDescent="0.25">
      <c r="B66" s="9"/>
      <c r="C66" s="17">
        <v>390.97</v>
      </c>
      <c r="D66" s="18">
        <v>31.058</v>
      </c>
      <c r="E66" s="18">
        <v>35.505000000000003</v>
      </c>
      <c r="F66" s="18">
        <v>36.552</v>
      </c>
      <c r="G66" s="18">
        <v>183.15</v>
      </c>
      <c r="H66" s="18">
        <f t="shared" si="0"/>
        <v>32.300625000000004</v>
      </c>
      <c r="I66" s="5"/>
      <c r="J66" s="17">
        <v>405.37599999999998</v>
      </c>
      <c r="K66" s="18">
        <v>32.250500000000002</v>
      </c>
      <c r="L66" s="18">
        <v>36.466799999999999</v>
      </c>
      <c r="M66" s="18">
        <v>37.532400000000003</v>
      </c>
      <c r="N66" s="18">
        <v>287.0813</v>
      </c>
      <c r="O66" s="18">
        <f t="shared" si="1"/>
        <v>33.437775000000002</v>
      </c>
      <c r="P66" s="7"/>
      <c r="Q66" s="10"/>
      <c r="R66" s="11"/>
      <c r="S66" s="11"/>
      <c r="T66" s="26"/>
      <c r="U66" s="28">
        <f t="shared" si="2"/>
        <v>0.56746546546546539</v>
      </c>
    </row>
    <row r="67" spans="1:21" x14ac:dyDescent="0.25">
      <c r="B67" s="9"/>
      <c r="C67" s="17">
        <v>245.82</v>
      </c>
      <c r="D67" s="18">
        <v>29.516999999999999</v>
      </c>
      <c r="E67" s="18">
        <v>34.457999999999998</v>
      </c>
      <c r="F67" s="18">
        <v>35.398000000000003</v>
      </c>
      <c r="G67" s="18">
        <v>215.98</v>
      </c>
      <c r="H67" s="18">
        <f t="shared" si="0"/>
        <v>30.86975</v>
      </c>
      <c r="I67" s="5"/>
      <c r="J67" s="17">
        <v>252.7792</v>
      </c>
      <c r="K67" s="18">
        <v>30.358799999999999</v>
      </c>
      <c r="L67" s="18">
        <v>35.2057</v>
      </c>
      <c r="M67" s="18">
        <v>36.203099999999999</v>
      </c>
      <c r="N67" s="18">
        <v>362.75700000000001</v>
      </c>
      <c r="O67" s="18">
        <f t="shared" si="1"/>
        <v>31.6952</v>
      </c>
      <c r="P67" s="7"/>
      <c r="Q67" s="10"/>
      <c r="R67" s="11"/>
      <c r="S67" s="11"/>
      <c r="T67" s="26"/>
      <c r="U67" s="28">
        <f t="shared" si="2"/>
        <v>0.67958607278451721</v>
      </c>
    </row>
    <row r="68" spans="1:21" ht="16.5" thickBot="1" x14ac:dyDescent="0.3">
      <c r="B68" s="12"/>
      <c r="C68" s="19">
        <v>117.34</v>
      </c>
      <c r="D68" s="20">
        <v>27.4</v>
      </c>
      <c r="E68" s="20">
        <v>32.814999999999998</v>
      </c>
      <c r="F68" s="20">
        <v>33.716000000000001</v>
      </c>
      <c r="G68" s="20">
        <v>267.14</v>
      </c>
      <c r="H68" s="20">
        <f t="shared" si="0"/>
        <v>28.866374999999998</v>
      </c>
      <c r="I68" s="5"/>
      <c r="J68" s="19">
        <v>121.55759999999999</v>
      </c>
      <c r="K68" s="20">
        <v>27.873000000000001</v>
      </c>
      <c r="L68" s="20">
        <v>33.6419</v>
      </c>
      <c r="M68" s="20">
        <v>34.488799999999998</v>
      </c>
      <c r="N68" s="20">
        <v>519.9307</v>
      </c>
      <c r="O68" s="20">
        <f t="shared" si="1"/>
        <v>29.421087499999999</v>
      </c>
      <c r="P68" s="7"/>
      <c r="Q68" s="13"/>
      <c r="R68" s="14"/>
      <c r="S68" s="14"/>
      <c r="T68" s="27"/>
      <c r="U68" s="28">
        <f t="shared" si="2"/>
        <v>0.94628546829377869</v>
      </c>
    </row>
    <row r="69" spans="1:21" x14ac:dyDescent="0.25">
      <c r="A69" s="6" t="s">
        <v>43</v>
      </c>
      <c r="B69" s="6" t="s">
        <v>61</v>
      </c>
      <c r="C69" s="15">
        <v>1382.65</v>
      </c>
      <c r="D69" s="16">
        <v>39.729999999999997</v>
      </c>
      <c r="E69" s="16">
        <v>43.99</v>
      </c>
      <c r="F69" s="16">
        <v>45.177</v>
      </c>
      <c r="G69" s="16">
        <v>54.79</v>
      </c>
      <c r="H69" s="16">
        <f t="shared" si="0"/>
        <v>40.943375000000003</v>
      </c>
      <c r="I69" s="5"/>
      <c r="J69" s="15">
        <v>1527.5424</v>
      </c>
      <c r="K69" s="16">
        <v>41.340800000000002</v>
      </c>
      <c r="L69" s="16">
        <v>45.559899999999999</v>
      </c>
      <c r="M69" s="16">
        <v>46.728099999999998</v>
      </c>
      <c r="N69" s="16">
        <v>104.2209</v>
      </c>
      <c r="O69" s="16">
        <f t="shared" si="1"/>
        <v>42.541599999999995</v>
      </c>
      <c r="P69" s="7"/>
      <c r="Q69" s="8">
        <f>bdrate(C69:C72,D69:D72,J69:J72,K69:K72)</f>
        <v>-0.32137478663054286</v>
      </c>
      <c r="R69" s="8">
        <f>bdrate(C69:C72,E69:E72,J69:J72,L69:L72)</f>
        <v>-0.35708823592203465</v>
      </c>
      <c r="S69" s="8">
        <f>bdrate(C69:C72,F69:F72,J69:J72,M69:M72)</f>
        <v>-0.33045020474444031</v>
      </c>
      <c r="T69" s="25">
        <f>bdrate(C69:C72,H69:H72,J69:J72,O69:O72)</f>
        <v>-0.3250911824536511</v>
      </c>
      <c r="U69" s="28">
        <f t="shared" si="2"/>
        <v>0.90218835553933208</v>
      </c>
    </row>
    <row r="70" spans="1:21" x14ac:dyDescent="0.25">
      <c r="A70" s="9" t="s">
        <v>44</v>
      </c>
      <c r="B70" s="9"/>
      <c r="C70" s="17">
        <v>915.89</v>
      </c>
      <c r="D70" s="18">
        <v>38.377000000000002</v>
      </c>
      <c r="E70" s="18">
        <v>42.912999999999997</v>
      </c>
      <c r="F70" s="18">
        <v>44.064</v>
      </c>
      <c r="G70" s="18">
        <v>60.66</v>
      </c>
      <c r="H70" s="18">
        <f t="shared" si="0"/>
        <v>39.654875000000004</v>
      </c>
      <c r="I70" s="5"/>
      <c r="J70" s="17">
        <v>1047.5008</v>
      </c>
      <c r="K70" s="18">
        <v>40.206200000000003</v>
      </c>
      <c r="L70" s="18">
        <v>44.533900000000003</v>
      </c>
      <c r="M70" s="18">
        <v>45.6646</v>
      </c>
      <c r="N70" s="18">
        <v>118.3432</v>
      </c>
      <c r="O70" s="18">
        <f t="shared" si="1"/>
        <v>41.429462500000007</v>
      </c>
      <c r="P70" s="7"/>
      <c r="Q70" s="10"/>
      <c r="R70" s="11"/>
      <c r="S70" s="11"/>
      <c r="T70" s="26"/>
      <c r="U70" s="28">
        <f t="shared" si="2"/>
        <v>0.95092647543686126</v>
      </c>
    </row>
    <row r="71" spans="1:21" x14ac:dyDescent="0.25">
      <c r="B71" s="9"/>
      <c r="C71" s="17">
        <v>544.07000000000005</v>
      </c>
      <c r="D71" s="18">
        <v>36.450000000000003</v>
      </c>
      <c r="E71" s="18">
        <v>41.991</v>
      </c>
      <c r="F71" s="18">
        <v>43.037999999999997</v>
      </c>
      <c r="G71" s="18">
        <v>77.540000000000006</v>
      </c>
      <c r="H71" s="18">
        <f t="shared" si="0"/>
        <v>37.966125000000005</v>
      </c>
      <c r="I71" s="5"/>
      <c r="J71" s="17">
        <v>574.97519999999997</v>
      </c>
      <c r="K71" s="18">
        <v>38.269799999999996</v>
      </c>
      <c r="L71" s="18">
        <v>43.128799999999998</v>
      </c>
      <c r="M71" s="18">
        <v>44.166899999999998</v>
      </c>
      <c r="N71" s="18">
        <v>139.86009999999999</v>
      </c>
      <c r="O71" s="18">
        <f t="shared" si="1"/>
        <v>39.614312499999997</v>
      </c>
      <c r="P71" s="7"/>
      <c r="Q71" s="10"/>
      <c r="R71" s="11"/>
      <c r="S71" s="11"/>
      <c r="T71" s="26"/>
      <c r="U71" s="28">
        <f t="shared" si="2"/>
        <v>0.8037155016765537</v>
      </c>
    </row>
    <row r="72" spans="1:21" ht="16.5" thickBot="1" x14ac:dyDescent="0.3">
      <c r="B72" s="12"/>
      <c r="C72" s="19">
        <v>259.14999999999998</v>
      </c>
      <c r="D72" s="20">
        <v>34.341999999999999</v>
      </c>
      <c r="E72" s="20">
        <v>41.011000000000003</v>
      </c>
      <c r="F72" s="20">
        <v>41.921999999999997</v>
      </c>
      <c r="G72" s="20">
        <v>87.81</v>
      </c>
      <c r="H72" s="20">
        <f t="shared" si="0"/>
        <v>36.123125000000002</v>
      </c>
      <c r="I72" s="5"/>
      <c r="J72" s="19">
        <v>277.48</v>
      </c>
      <c r="K72" s="20">
        <v>34.980699999999999</v>
      </c>
      <c r="L72" s="20">
        <v>41.190100000000001</v>
      </c>
      <c r="M72" s="20">
        <v>42.116</v>
      </c>
      <c r="N72" s="20">
        <v>171.6738</v>
      </c>
      <c r="O72" s="20">
        <f t="shared" si="1"/>
        <v>36.648787499999997</v>
      </c>
      <c r="P72" s="7"/>
      <c r="Q72" s="13"/>
      <c r="R72" s="14"/>
      <c r="S72" s="14"/>
      <c r="T72" s="27"/>
      <c r="U72" s="28">
        <f t="shared" si="2"/>
        <v>0.95505978817902282</v>
      </c>
    </row>
    <row r="73" spans="1:21" x14ac:dyDescent="0.25">
      <c r="B73" s="6" t="s">
        <v>62</v>
      </c>
      <c r="C73" s="15">
        <v>1436.5</v>
      </c>
      <c r="D73" s="16">
        <v>41.618000000000002</v>
      </c>
      <c r="E73" s="16">
        <v>46.417999999999999</v>
      </c>
      <c r="F73" s="16">
        <v>46.985999999999997</v>
      </c>
      <c r="G73" s="16">
        <v>56.56</v>
      </c>
      <c r="H73" s="16">
        <f t="shared" si="0"/>
        <v>42.889000000000003</v>
      </c>
      <c r="I73" s="5"/>
      <c r="J73" s="15">
        <v>1498.3088</v>
      </c>
      <c r="K73" s="16">
        <v>42.5822</v>
      </c>
      <c r="L73" s="16">
        <v>47.572800000000001</v>
      </c>
      <c r="M73" s="16">
        <v>48.221800000000002</v>
      </c>
      <c r="N73" s="16">
        <v>114.1335</v>
      </c>
      <c r="O73" s="16">
        <f t="shared" si="1"/>
        <v>43.910975000000008</v>
      </c>
      <c r="P73" s="7"/>
      <c r="Q73" s="8">
        <f>bdrate(C73:C76,D73:D76,J73:J76,K73:K76)</f>
        <v>-0.39467865886414188</v>
      </c>
      <c r="R73" s="8">
        <f>bdrate(C73:C76,E73:E76,J73:J76,L73:L76)</f>
        <v>-0.42916843412845695</v>
      </c>
      <c r="S73" s="8">
        <f>bdrate(C73:C76,F73:F76,J73:J76,M73:M76)</f>
        <v>-0.46472215432541386</v>
      </c>
      <c r="T73" s="25">
        <f>bdrate(C73:C76,H73:H76,J73:J76,O73:O76)</f>
        <v>-0.40783434916853312</v>
      </c>
      <c r="U73" s="28">
        <f t="shared" ref="U73:U80" si="3">(N73-G73)/G73</f>
        <v>1.0179190240452616</v>
      </c>
    </row>
    <row r="74" spans="1:21" x14ac:dyDescent="0.25">
      <c r="B74" s="9"/>
      <c r="C74" s="17">
        <v>949.1</v>
      </c>
      <c r="D74" s="18">
        <v>40.923000000000002</v>
      </c>
      <c r="E74" s="18">
        <v>45.789000000000001</v>
      </c>
      <c r="F74" s="18">
        <v>46.276000000000003</v>
      </c>
      <c r="G74" s="18">
        <v>72.84</v>
      </c>
      <c r="H74" s="18">
        <f t="shared" si="0"/>
        <v>42.200375000000001</v>
      </c>
      <c r="I74" s="5"/>
      <c r="J74" s="17">
        <v>993.71199999999999</v>
      </c>
      <c r="K74" s="18">
        <v>42.031100000000002</v>
      </c>
      <c r="L74" s="18">
        <v>47.080399999999997</v>
      </c>
      <c r="M74" s="18">
        <v>47.726300000000002</v>
      </c>
      <c r="N74" s="18">
        <v>134.9528</v>
      </c>
      <c r="O74" s="18">
        <f t="shared" si="1"/>
        <v>43.374162499999997</v>
      </c>
      <c r="P74" s="7"/>
      <c r="Q74" s="10"/>
      <c r="R74" s="11"/>
      <c r="S74" s="11"/>
      <c r="T74" s="26"/>
      <c r="U74" s="28">
        <f t="shared" si="3"/>
        <v>0.85272926963207019</v>
      </c>
    </row>
    <row r="75" spans="1:21" x14ac:dyDescent="0.25">
      <c r="B75" s="9"/>
      <c r="C75" s="17">
        <v>561.02</v>
      </c>
      <c r="D75" s="18">
        <v>39.872</v>
      </c>
      <c r="E75" s="18">
        <v>44.786000000000001</v>
      </c>
      <c r="F75" s="18">
        <v>45.182000000000002</v>
      </c>
      <c r="G75" s="18">
        <v>79.959999999999994</v>
      </c>
      <c r="H75" s="18">
        <f t="shared" si="0"/>
        <v>41.150000000000006</v>
      </c>
      <c r="I75" s="5"/>
      <c r="J75" s="17">
        <v>591.65120000000002</v>
      </c>
      <c r="K75" s="18">
        <v>41.087899999999998</v>
      </c>
      <c r="L75" s="18">
        <v>46.08</v>
      </c>
      <c r="M75" s="18">
        <v>46.660200000000003</v>
      </c>
      <c r="N75" s="18">
        <v>154.4402</v>
      </c>
      <c r="O75" s="18">
        <f t="shared" si="1"/>
        <v>42.408450000000002</v>
      </c>
      <c r="P75" s="7"/>
      <c r="Q75" s="10"/>
      <c r="R75" s="11"/>
      <c r="S75" s="11"/>
      <c r="T75" s="26"/>
      <c r="U75" s="28">
        <f t="shared" si="3"/>
        <v>0.9314682341170587</v>
      </c>
    </row>
    <row r="76" spans="1:21" ht="16.5" thickBot="1" x14ac:dyDescent="0.3">
      <c r="B76" s="12"/>
      <c r="C76" s="19">
        <v>268.42</v>
      </c>
      <c r="D76" s="20">
        <v>37.963999999999999</v>
      </c>
      <c r="E76" s="20">
        <v>43.554000000000002</v>
      </c>
      <c r="F76" s="20">
        <v>43.933999999999997</v>
      </c>
      <c r="G76" s="20">
        <v>87.41</v>
      </c>
      <c r="H76" s="20">
        <f t="shared" si="0"/>
        <v>39.408999999999992</v>
      </c>
      <c r="I76" s="5"/>
      <c r="J76" s="19">
        <v>284.4128</v>
      </c>
      <c r="K76" s="20">
        <v>39.1736</v>
      </c>
      <c r="L76" s="20">
        <v>44.2804</v>
      </c>
      <c r="M76" s="20">
        <v>44.874499999999998</v>
      </c>
      <c r="N76" s="20">
        <v>181.4333</v>
      </c>
      <c r="O76" s="20">
        <f t="shared" si="1"/>
        <v>40.524562500000002</v>
      </c>
      <c r="P76" s="7"/>
      <c r="Q76" s="13"/>
      <c r="R76" s="14"/>
      <c r="S76" s="14"/>
      <c r="T76" s="27"/>
      <c r="U76" s="28">
        <f t="shared" si="3"/>
        <v>1.0756583914883882</v>
      </c>
    </row>
    <row r="77" spans="1:21" x14ac:dyDescent="0.25">
      <c r="B77" s="6" t="s">
        <v>63</v>
      </c>
      <c r="C77" s="15">
        <v>1506.71</v>
      </c>
      <c r="D77" s="16">
        <v>41.326000000000001</v>
      </c>
      <c r="E77" s="16">
        <v>45.469000000000001</v>
      </c>
      <c r="F77" s="16">
        <v>46.262999999999998</v>
      </c>
      <c r="G77" s="16">
        <v>53.34</v>
      </c>
      <c r="H77" s="16">
        <f t="shared" si="0"/>
        <v>42.460999999999999</v>
      </c>
      <c r="I77" s="5"/>
      <c r="J77" s="15">
        <v>1556.9608000000001</v>
      </c>
      <c r="K77" s="16">
        <v>42.451000000000001</v>
      </c>
      <c r="L77" s="16">
        <v>46.691800000000001</v>
      </c>
      <c r="M77" s="16">
        <v>47.545099999999998</v>
      </c>
      <c r="N77" s="16">
        <v>102.5641</v>
      </c>
      <c r="O77" s="16">
        <f t="shared" si="1"/>
        <v>43.617862500000001</v>
      </c>
      <c r="P77" s="7"/>
      <c r="Q77" s="8">
        <f>bdrate(C77:C80,D77:D80,J77:J80,K77:K80)</f>
        <v>-0.3597590011687164</v>
      </c>
      <c r="R77" s="8">
        <f>bdrate(C77:C80,E77:E80,J77:J80,L77:L80)</f>
        <v>-0.37210837685277398</v>
      </c>
      <c r="S77" s="8">
        <f>bdrate(C77:C80,F77:F80,J77:J80,M77:M80)</f>
        <v>-0.34414310750227151</v>
      </c>
      <c r="T77" s="25">
        <f>bdrate(C77:C80,H77:H80,J77:J80,O77:O80)</f>
        <v>-0.35937022359761506</v>
      </c>
      <c r="U77" s="28">
        <f t="shared" si="3"/>
        <v>0.92283652043494546</v>
      </c>
    </row>
    <row r="78" spans="1:21" x14ac:dyDescent="0.25">
      <c r="B78" s="9"/>
      <c r="C78" s="17">
        <v>997.6</v>
      </c>
      <c r="D78" s="18">
        <v>40.229999999999997</v>
      </c>
      <c r="E78" s="18">
        <v>44.524000000000001</v>
      </c>
      <c r="F78" s="18">
        <v>45.319000000000003</v>
      </c>
      <c r="G78" s="18">
        <v>66.78</v>
      </c>
      <c r="H78" s="18">
        <f t="shared" si="0"/>
        <v>41.402875000000002</v>
      </c>
      <c r="I78" s="5"/>
      <c r="J78" s="17">
        <v>1022.8288</v>
      </c>
      <c r="K78" s="18">
        <v>41.576900000000002</v>
      </c>
      <c r="L78" s="18">
        <v>45.836500000000001</v>
      </c>
      <c r="M78" s="18">
        <v>46.656700000000001</v>
      </c>
      <c r="N78" s="18">
        <v>119.8083</v>
      </c>
      <c r="O78" s="18">
        <f t="shared" si="1"/>
        <v>42.744325000000003</v>
      </c>
      <c r="P78" s="7"/>
      <c r="Q78" s="10"/>
      <c r="R78" s="11"/>
      <c r="S78" s="11"/>
      <c r="T78" s="26"/>
      <c r="U78" s="28">
        <f t="shared" si="3"/>
        <v>0.79407457322551667</v>
      </c>
    </row>
    <row r="79" spans="1:21" x14ac:dyDescent="0.25">
      <c r="B79" s="9"/>
      <c r="C79" s="17">
        <v>593.78</v>
      </c>
      <c r="D79" s="18">
        <v>38.707999999999998</v>
      </c>
      <c r="E79" s="18">
        <v>43.313000000000002</v>
      </c>
      <c r="F79" s="18">
        <v>44.198</v>
      </c>
      <c r="G79" s="18">
        <v>74.260000000000005</v>
      </c>
      <c r="H79" s="18">
        <f t="shared" si="0"/>
        <v>39.969874999999995</v>
      </c>
      <c r="I79" s="5"/>
      <c r="J79" s="17">
        <v>601.59439999999995</v>
      </c>
      <c r="K79" s="18">
        <v>40.153599999999997</v>
      </c>
      <c r="L79" s="18">
        <v>44.476700000000001</v>
      </c>
      <c r="M79" s="18">
        <v>45.231499999999997</v>
      </c>
      <c r="N79" s="18">
        <v>138.8246</v>
      </c>
      <c r="O79" s="18">
        <f t="shared" si="1"/>
        <v>41.328724999999999</v>
      </c>
      <c r="P79" s="7"/>
      <c r="Q79" s="10"/>
      <c r="R79" s="11"/>
      <c r="S79" s="11"/>
      <c r="T79" s="26"/>
      <c r="U79" s="28">
        <f t="shared" si="3"/>
        <v>0.86943980608672222</v>
      </c>
    </row>
    <row r="80" spans="1:21" ht="16.5" thickBot="1" x14ac:dyDescent="0.3">
      <c r="B80" s="12"/>
      <c r="C80" s="19">
        <v>286.33</v>
      </c>
      <c r="D80" s="20">
        <v>36.465000000000003</v>
      </c>
      <c r="E80" s="20">
        <v>42.067999999999998</v>
      </c>
      <c r="F80" s="20">
        <v>42.957000000000001</v>
      </c>
      <c r="G80" s="20">
        <v>85.09</v>
      </c>
      <c r="H80" s="20">
        <f t="shared" si="0"/>
        <v>37.976875</v>
      </c>
      <c r="I80" s="5"/>
      <c r="J80" s="19">
        <v>295.072</v>
      </c>
      <c r="K80" s="20">
        <v>37.617800000000003</v>
      </c>
      <c r="L80" s="20">
        <v>42.637599999999999</v>
      </c>
      <c r="M80" s="20">
        <v>43.361199999999997</v>
      </c>
      <c r="N80" s="20">
        <v>165.74590000000001</v>
      </c>
      <c r="O80" s="20">
        <f t="shared" si="1"/>
        <v>38.963200000000001</v>
      </c>
      <c r="P80" s="7"/>
      <c r="Q80" s="13"/>
      <c r="R80" s="14"/>
      <c r="S80" s="14"/>
      <c r="T80" s="27"/>
      <c r="U80" s="28">
        <f t="shared" si="3"/>
        <v>0.94788929368903518</v>
      </c>
    </row>
    <row r="81" spans="1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-0.30008266900635067</v>
      </c>
      <c r="R81" s="21">
        <f>AVERAGE(R9:R80)</f>
        <v>-0.42922757724655103</v>
      </c>
      <c r="S81" s="21">
        <f>AVERAGE(S9:S80)</f>
        <v>-0.4063222678942322</v>
      </c>
      <c r="T81" s="21">
        <f>AVERAGE(T9:T80)</f>
        <v>-0.32085656807395008</v>
      </c>
      <c r="U81" s="21">
        <f>AVERAGE(U9:U80)</f>
        <v>0.8133429203748912</v>
      </c>
    </row>
    <row r="83" spans="1:21" s="35" customFormat="1" ht="15.75" customHeight="1" x14ac:dyDescent="0.25">
      <c r="B83" s="56" t="s">
        <v>29</v>
      </c>
      <c r="C83" s="58" t="s">
        <v>108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60"/>
    </row>
    <row r="84" spans="1:21" s="35" customFormat="1" x14ac:dyDescent="0.25">
      <c r="B84" s="57"/>
      <c r="C84" s="61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3"/>
    </row>
    <row r="85" spans="1:21" ht="16.5" customHeight="1" thickBot="1" x14ac:dyDescent="0.3">
      <c r="C85" s="64" t="s">
        <v>99</v>
      </c>
      <c r="D85" s="65"/>
      <c r="E85" s="65"/>
      <c r="F85" s="65"/>
      <c r="G85" s="65"/>
      <c r="H85" s="65"/>
      <c r="I85" s="5"/>
      <c r="J85" s="64" t="s">
        <v>98</v>
      </c>
      <c r="K85" s="65"/>
      <c r="L85" s="65"/>
      <c r="M85" s="65"/>
      <c r="N85" s="65"/>
      <c r="O85" s="65"/>
      <c r="Q85" s="64" t="s">
        <v>7</v>
      </c>
      <c r="R85" s="65"/>
      <c r="S85" s="66"/>
      <c r="T85" s="36"/>
      <c r="U85" s="67" t="s">
        <v>45</v>
      </c>
    </row>
    <row r="86" spans="1:21" ht="16.5" thickBot="1" x14ac:dyDescent="0.3">
      <c r="C86" s="2" t="s">
        <v>64</v>
      </c>
      <c r="D86" s="3" t="s">
        <v>30</v>
      </c>
      <c r="E86" s="3" t="s">
        <v>31</v>
      </c>
      <c r="F86" s="3" t="s">
        <v>32</v>
      </c>
      <c r="G86" s="3" t="s">
        <v>33</v>
      </c>
      <c r="H86" s="3" t="s">
        <v>34</v>
      </c>
      <c r="I86" s="1"/>
      <c r="J86" s="2" t="s">
        <v>64</v>
      </c>
      <c r="K86" s="3" t="s">
        <v>30</v>
      </c>
      <c r="L86" s="3" t="s">
        <v>31</v>
      </c>
      <c r="M86" s="3" t="s">
        <v>32</v>
      </c>
      <c r="N86" s="3" t="s">
        <v>33</v>
      </c>
      <c r="O86" s="3" t="s">
        <v>34</v>
      </c>
      <c r="Q86" s="2" t="s">
        <v>4</v>
      </c>
      <c r="R86" s="3" t="s">
        <v>5</v>
      </c>
      <c r="S86" s="4" t="s">
        <v>6</v>
      </c>
      <c r="T86" s="24" t="s">
        <v>21</v>
      </c>
      <c r="U86" s="67"/>
    </row>
    <row r="87" spans="1:21" x14ac:dyDescent="0.25">
      <c r="A87" s="6" t="s">
        <v>35</v>
      </c>
      <c r="B87" s="6" t="s">
        <v>46</v>
      </c>
      <c r="C87" s="15">
        <v>3742.29</v>
      </c>
      <c r="D87" s="16">
        <v>35.899000000000001</v>
      </c>
      <c r="E87" s="16">
        <v>37.869999999999997</v>
      </c>
      <c r="F87" s="16">
        <v>40.183999999999997</v>
      </c>
      <c r="G87" s="16">
        <v>29.14</v>
      </c>
      <c r="H87" s="16">
        <f t="shared" ref="H87:H158" si="4">(6*D87+E87+F87)/8</f>
        <v>36.680999999999997</v>
      </c>
      <c r="I87" s="5"/>
      <c r="J87" s="15">
        <v>4033.5839999999998</v>
      </c>
      <c r="K87" s="16">
        <v>37.908000000000001</v>
      </c>
      <c r="L87" s="16">
        <v>39.450899999999997</v>
      </c>
      <c r="M87" s="16">
        <v>41.926600000000001</v>
      </c>
      <c r="N87" s="16">
        <v>34.090899999999998</v>
      </c>
      <c r="O87" s="16">
        <f t="shared" ref="O87:O158" si="5">(6*K87+L87+M87)/8</f>
        <v>38.603187500000004</v>
      </c>
      <c r="P87" s="7"/>
      <c r="Q87" s="8">
        <f>bdrate(C87:C90,D87:D90,J87:J90,K87:K90)</f>
        <v>-0.32157025733312594</v>
      </c>
      <c r="R87" s="8">
        <f>bdrate(C87:C90,E87:E90,J87:J90,L87:L90)</f>
        <v>-0.4983417523840028</v>
      </c>
      <c r="S87" s="8">
        <f>bdrate(C87:C90,F87:F90,J87:J90,M87:M90)</f>
        <v>-0.46859501754684707</v>
      </c>
      <c r="T87" s="25">
        <f>bdrate(C87:C90,H87:H90,J87:J90,O87:O90)</f>
        <v>-0.34351732389004208</v>
      </c>
      <c r="U87" s="28">
        <f t="shared" ref="U87:U150" si="6">(N87-G87)/G87</f>
        <v>0.16990048043925865</v>
      </c>
    </row>
    <row r="88" spans="1:21" x14ac:dyDescent="0.25">
      <c r="A88" s="9" t="s">
        <v>36</v>
      </c>
      <c r="B88" s="9"/>
      <c r="C88" s="17">
        <v>2812.33</v>
      </c>
      <c r="D88" s="18">
        <v>35.024000000000001</v>
      </c>
      <c r="E88" s="18">
        <v>37.468000000000004</v>
      </c>
      <c r="F88" s="18">
        <v>39.792000000000002</v>
      </c>
      <c r="G88" s="18">
        <v>31.63</v>
      </c>
      <c r="H88" s="18">
        <f t="shared" si="4"/>
        <v>35.9255</v>
      </c>
      <c r="I88" s="5"/>
      <c r="J88" s="17">
        <v>2926.1424000000002</v>
      </c>
      <c r="K88" s="18">
        <v>36.890500000000003</v>
      </c>
      <c r="L88" s="18">
        <v>38.853200000000001</v>
      </c>
      <c r="M88" s="18">
        <v>41.206400000000002</v>
      </c>
      <c r="N88" s="18">
        <v>52.228400000000001</v>
      </c>
      <c r="O88" s="18">
        <f t="shared" si="5"/>
        <v>37.675325000000001</v>
      </c>
      <c r="P88" s="7"/>
      <c r="Q88" s="10"/>
      <c r="R88" s="11"/>
      <c r="S88" s="11"/>
      <c r="T88" s="26"/>
      <c r="U88" s="28">
        <f t="shared" si="6"/>
        <v>0.65122984508378134</v>
      </c>
    </row>
    <row r="89" spans="1:21" x14ac:dyDescent="0.25">
      <c r="B89" s="9"/>
      <c r="C89" s="17">
        <v>1841.33</v>
      </c>
      <c r="D89" s="18">
        <v>33.758000000000003</v>
      </c>
      <c r="E89" s="18">
        <v>37.031999999999996</v>
      </c>
      <c r="F89" s="18">
        <v>39.338999999999999</v>
      </c>
      <c r="G89" s="18">
        <v>33.979999999999997</v>
      </c>
      <c r="H89" s="18">
        <f t="shared" si="4"/>
        <v>34.864874999999998</v>
      </c>
      <c r="I89" s="5"/>
      <c r="J89" s="17">
        <v>1935.2431999999999</v>
      </c>
      <c r="K89" s="18">
        <v>35.32</v>
      </c>
      <c r="L89" s="18">
        <v>38.158499999999997</v>
      </c>
      <c r="M89" s="18">
        <v>40.453600000000002</v>
      </c>
      <c r="N89" s="18">
        <v>60.851900000000001</v>
      </c>
      <c r="O89" s="18">
        <f t="shared" si="5"/>
        <v>36.316512500000002</v>
      </c>
      <c r="P89" s="7"/>
      <c r="Q89" s="10"/>
      <c r="R89" s="11"/>
      <c r="S89" s="11"/>
      <c r="T89" s="26"/>
      <c r="U89" s="28">
        <f t="shared" si="6"/>
        <v>0.79081518540317852</v>
      </c>
    </row>
    <row r="90" spans="1:21" ht="16.5" thickBot="1" x14ac:dyDescent="0.3">
      <c r="B90" s="12"/>
      <c r="C90" s="19">
        <v>860.82</v>
      </c>
      <c r="D90" s="20">
        <v>31.137</v>
      </c>
      <c r="E90" s="20">
        <v>36.414999999999999</v>
      </c>
      <c r="F90" s="20">
        <v>38.594999999999999</v>
      </c>
      <c r="G90" s="20">
        <v>37.57</v>
      </c>
      <c r="H90" s="20">
        <f t="shared" si="4"/>
        <v>32.728999999999999</v>
      </c>
      <c r="I90" s="5"/>
      <c r="J90" s="19">
        <v>914.3664</v>
      </c>
      <c r="K90" s="20">
        <v>32.388500000000001</v>
      </c>
      <c r="L90" s="20">
        <v>36.801400000000001</v>
      </c>
      <c r="M90" s="20">
        <v>39.015700000000002</v>
      </c>
      <c r="N90" s="20">
        <v>71.701700000000002</v>
      </c>
      <c r="O90" s="20">
        <f t="shared" si="5"/>
        <v>33.7685125</v>
      </c>
      <c r="P90" s="7"/>
      <c r="Q90" s="13"/>
      <c r="R90" s="14"/>
      <c r="S90" s="14"/>
      <c r="T90" s="27"/>
      <c r="U90" s="28">
        <f t="shared" si="6"/>
        <v>0.90848283204684599</v>
      </c>
    </row>
    <row r="91" spans="1:21" x14ac:dyDescent="0.25">
      <c r="B91" s="6" t="s">
        <v>47</v>
      </c>
      <c r="C91" s="15">
        <v>4043.78</v>
      </c>
      <c r="D91" s="16">
        <v>28.693999999999999</v>
      </c>
      <c r="E91" s="16">
        <v>38.194000000000003</v>
      </c>
      <c r="F91" s="16">
        <v>39.186999999999998</v>
      </c>
      <c r="G91" s="16">
        <v>22.95</v>
      </c>
      <c r="H91" s="16">
        <f t="shared" si="4"/>
        <v>31.193125000000002</v>
      </c>
      <c r="I91" s="5"/>
      <c r="J91" s="15">
        <v>4071.3712</v>
      </c>
      <c r="K91" s="16">
        <v>29.166899999999998</v>
      </c>
      <c r="L91" s="16">
        <v>39.188299999999998</v>
      </c>
      <c r="M91" s="16">
        <v>40.148200000000003</v>
      </c>
      <c r="N91" s="16">
        <v>28.868400000000001</v>
      </c>
      <c r="O91" s="16">
        <f t="shared" si="5"/>
        <v>31.792237499999999</v>
      </c>
      <c r="P91" s="7"/>
      <c r="Q91" s="8">
        <f>bdrate(C91:C94,D91:D94,J91:J94,K91:K94)</f>
        <v>-7.2768957386110555E-2</v>
      </c>
      <c r="R91" s="8">
        <f>bdrate(C91:C94,E91:E94,J91:J94,L91:L94)</f>
        <v>-0.37264983014516462</v>
      </c>
      <c r="S91" s="8">
        <f>bdrate(C91:C94,F91:F94,J91:J94,M91:M94)</f>
        <v>-0.40218951463501218</v>
      </c>
      <c r="T91" s="25">
        <f>bdrate(C91:C94,H91:H94,J91:J94,O91:O94)</f>
        <v>-0.12819139454180972</v>
      </c>
      <c r="U91" s="28">
        <f t="shared" si="6"/>
        <v>0.25788235294117656</v>
      </c>
    </row>
    <row r="92" spans="1:21" x14ac:dyDescent="0.25">
      <c r="B92" s="9"/>
      <c r="C92" s="17">
        <v>3024.5</v>
      </c>
      <c r="D92" s="18">
        <v>27.506</v>
      </c>
      <c r="E92" s="18">
        <v>37.713999999999999</v>
      </c>
      <c r="F92" s="18">
        <v>38.765999999999998</v>
      </c>
      <c r="G92" s="18">
        <v>25.78</v>
      </c>
      <c r="H92" s="18">
        <f t="shared" si="4"/>
        <v>30.189499999999999</v>
      </c>
      <c r="I92" s="5"/>
      <c r="J92" s="17">
        <v>3038.8047999999999</v>
      </c>
      <c r="K92" s="18">
        <v>27.869599999999998</v>
      </c>
      <c r="L92" s="18">
        <v>38.711799999999997</v>
      </c>
      <c r="M92" s="18">
        <v>39.7301</v>
      </c>
      <c r="N92" s="18">
        <v>43.314999999999998</v>
      </c>
      <c r="O92" s="18">
        <f t="shared" si="5"/>
        <v>30.707437499999997</v>
      </c>
      <c r="P92" s="7"/>
      <c r="Q92" s="10"/>
      <c r="R92" s="11"/>
      <c r="S92" s="11"/>
      <c r="T92" s="26"/>
      <c r="U92" s="28">
        <f t="shared" si="6"/>
        <v>0.68017843289371593</v>
      </c>
    </row>
    <row r="93" spans="1:21" x14ac:dyDescent="0.25">
      <c r="B93" s="9"/>
      <c r="C93" s="17">
        <v>1989.78</v>
      </c>
      <c r="D93" s="18">
        <v>25.821000000000002</v>
      </c>
      <c r="E93" s="18">
        <v>36.630000000000003</v>
      </c>
      <c r="F93" s="18">
        <v>37.780999999999999</v>
      </c>
      <c r="G93" s="18">
        <v>29.22</v>
      </c>
      <c r="H93" s="18">
        <f t="shared" si="4"/>
        <v>28.667125000000002</v>
      </c>
      <c r="I93" s="5"/>
      <c r="J93" s="17">
        <v>2053.7936</v>
      </c>
      <c r="K93" s="18">
        <v>26.144200000000001</v>
      </c>
      <c r="L93" s="18">
        <v>37.872300000000003</v>
      </c>
      <c r="M93" s="18">
        <v>39.0246</v>
      </c>
      <c r="N93" s="18">
        <v>49.051699999999997</v>
      </c>
      <c r="O93" s="18">
        <f t="shared" si="5"/>
        <v>29.2202625</v>
      </c>
      <c r="P93" s="7"/>
      <c r="Q93" s="10"/>
      <c r="R93" s="11"/>
      <c r="S93" s="11"/>
      <c r="T93" s="26"/>
      <c r="U93" s="28">
        <f t="shared" si="6"/>
        <v>0.67870294318959612</v>
      </c>
    </row>
    <row r="94" spans="1:21" ht="16.5" thickBot="1" x14ac:dyDescent="0.3">
      <c r="B94" s="12"/>
      <c r="C94" s="19">
        <v>1001.67</v>
      </c>
      <c r="D94" s="20">
        <v>22.728000000000002</v>
      </c>
      <c r="E94" s="20">
        <v>35.279000000000003</v>
      </c>
      <c r="F94" s="20">
        <v>36.423000000000002</v>
      </c>
      <c r="G94" s="20">
        <v>33.74</v>
      </c>
      <c r="H94" s="20">
        <f t="shared" si="4"/>
        <v>26.008749999999999</v>
      </c>
      <c r="I94" s="5"/>
      <c r="J94" s="19">
        <v>1223.136</v>
      </c>
      <c r="K94" s="20">
        <v>24.307300000000001</v>
      </c>
      <c r="L94" s="20">
        <v>36.542099999999998</v>
      </c>
      <c r="M94" s="20">
        <v>37.774799999999999</v>
      </c>
      <c r="N94" s="20">
        <v>58.275100000000002</v>
      </c>
      <c r="O94" s="20">
        <f t="shared" si="5"/>
        <v>27.520087500000002</v>
      </c>
      <c r="P94" s="7"/>
      <c r="Q94" s="13"/>
      <c r="R94" s="14"/>
      <c r="S94" s="14"/>
      <c r="T94" s="27"/>
      <c r="U94" s="28">
        <f t="shared" si="6"/>
        <v>0.72718138707765256</v>
      </c>
    </row>
    <row r="95" spans="1:21" x14ac:dyDescent="0.25">
      <c r="A95" s="6" t="s">
        <v>37</v>
      </c>
      <c r="B95" s="6" t="s">
        <v>48</v>
      </c>
      <c r="C95" s="15">
        <v>2002.22</v>
      </c>
      <c r="D95" s="16">
        <v>38.270000000000003</v>
      </c>
      <c r="E95" s="16">
        <v>40.918999999999997</v>
      </c>
      <c r="F95" s="16">
        <v>42.057000000000002</v>
      </c>
      <c r="G95" s="16">
        <v>47.05</v>
      </c>
      <c r="H95" s="16">
        <f t="shared" si="4"/>
        <v>39.0745</v>
      </c>
      <c r="I95" s="5"/>
      <c r="J95" s="15">
        <v>2402.2143999999998</v>
      </c>
      <c r="K95" s="16">
        <v>38.950400000000002</v>
      </c>
      <c r="L95" s="16">
        <v>41.8125</v>
      </c>
      <c r="M95" s="16">
        <v>43.198</v>
      </c>
      <c r="N95" s="16">
        <v>71.877799999999993</v>
      </c>
      <c r="O95" s="16">
        <f t="shared" si="5"/>
        <v>39.839112499999999</v>
      </c>
      <c r="P95" s="7"/>
      <c r="Q95" s="8">
        <f>bdrate(C95:C98,D95:D98,J95:J98,K95:K98)</f>
        <v>-9.0154718218172447E-2</v>
      </c>
      <c r="R95" s="8">
        <f>bdrate(C95:C98,E95:E98,J95:J98,L95:L98)</f>
        <v>-0.3684955145833978</v>
      </c>
      <c r="S95" s="8">
        <f>bdrate(C95:C98,F95:F98,J95:J98,M95:M98)</f>
        <v>-0.39146013425582171</v>
      </c>
      <c r="T95" s="25">
        <f>bdrate(C95:C98,H95:H98,J95:J98,O95:O98)</f>
        <v>-0.13827035686045153</v>
      </c>
      <c r="U95" s="28">
        <f t="shared" si="6"/>
        <v>0.5276896918172157</v>
      </c>
    </row>
    <row r="96" spans="1:21" x14ac:dyDescent="0.25">
      <c r="A96" s="9" t="s">
        <v>38</v>
      </c>
      <c r="B96" s="9"/>
      <c r="C96" s="17">
        <v>1308.3399999999999</v>
      </c>
      <c r="D96" s="18">
        <v>36.904000000000003</v>
      </c>
      <c r="E96" s="18">
        <v>40.082000000000001</v>
      </c>
      <c r="F96" s="18">
        <v>41.261000000000003</v>
      </c>
      <c r="G96" s="18">
        <v>53.05</v>
      </c>
      <c r="H96" s="18">
        <f t="shared" si="4"/>
        <v>37.845875000000007</v>
      </c>
      <c r="I96" s="5"/>
      <c r="J96" s="17">
        <v>1576.8784000000001</v>
      </c>
      <c r="K96" s="18">
        <v>37.755699999999997</v>
      </c>
      <c r="L96" s="18">
        <v>41.174700000000001</v>
      </c>
      <c r="M96" s="18">
        <v>42.450299999999999</v>
      </c>
      <c r="N96" s="18">
        <v>111.47239999999999</v>
      </c>
      <c r="O96" s="18">
        <f t="shared" si="5"/>
        <v>38.769899999999993</v>
      </c>
      <c r="P96" s="7"/>
      <c r="Q96" s="10"/>
      <c r="R96" s="11"/>
      <c r="S96" s="11"/>
      <c r="T96" s="26"/>
      <c r="U96" s="28">
        <f t="shared" si="6"/>
        <v>1.1012704995287466</v>
      </c>
    </row>
    <row r="97" spans="2:21" x14ac:dyDescent="0.25">
      <c r="B97" s="9"/>
      <c r="C97" s="17">
        <v>803.16</v>
      </c>
      <c r="D97" s="18">
        <v>35.24</v>
      </c>
      <c r="E97" s="18">
        <v>39.298999999999999</v>
      </c>
      <c r="F97" s="18">
        <v>40.561</v>
      </c>
      <c r="G97" s="18">
        <v>59.17</v>
      </c>
      <c r="H97" s="18">
        <f t="shared" si="4"/>
        <v>36.412500000000001</v>
      </c>
      <c r="I97" s="5"/>
      <c r="J97" s="17">
        <v>977.16480000000001</v>
      </c>
      <c r="K97" s="18">
        <v>36.245800000000003</v>
      </c>
      <c r="L97" s="18">
        <v>40.3523</v>
      </c>
      <c r="M97" s="18">
        <v>41.572000000000003</v>
      </c>
      <c r="N97" s="18">
        <v>121.15089999999999</v>
      </c>
      <c r="O97" s="18">
        <f t="shared" si="5"/>
        <v>37.424887500000004</v>
      </c>
      <c r="P97" s="7"/>
      <c r="Q97" s="10"/>
      <c r="R97" s="11"/>
      <c r="S97" s="11"/>
      <c r="T97" s="26"/>
      <c r="U97" s="28">
        <f t="shared" si="6"/>
        <v>1.0475054926483014</v>
      </c>
    </row>
    <row r="98" spans="2:21" ht="16.5" thickBot="1" x14ac:dyDescent="0.3">
      <c r="B98" s="12"/>
      <c r="C98" s="19">
        <v>477.26</v>
      </c>
      <c r="D98" s="20">
        <v>33.347000000000001</v>
      </c>
      <c r="E98" s="20">
        <v>38.497999999999998</v>
      </c>
      <c r="F98" s="20">
        <v>39.918999999999997</v>
      </c>
      <c r="G98" s="20">
        <v>64.64</v>
      </c>
      <c r="H98" s="20">
        <f t="shared" si="4"/>
        <v>34.812374999999996</v>
      </c>
      <c r="I98" s="5"/>
      <c r="J98" s="19">
        <v>569.87519999999995</v>
      </c>
      <c r="K98" s="20">
        <v>34.451700000000002</v>
      </c>
      <c r="L98" s="20">
        <v>39.637500000000003</v>
      </c>
      <c r="M98" s="20">
        <v>40.893799999999999</v>
      </c>
      <c r="N98" s="20">
        <v>139.86009999999999</v>
      </c>
      <c r="O98" s="20">
        <f t="shared" si="5"/>
        <v>35.905187500000004</v>
      </c>
      <c r="P98" s="7"/>
      <c r="Q98" s="13"/>
      <c r="R98" s="14"/>
      <c r="S98" s="14"/>
      <c r="T98" s="27"/>
      <c r="U98" s="28">
        <f t="shared" si="6"/>
        <v>1.1636772896039602</v>
      </c>
    </row>
    <row r="99" spans="2:21" x14ac:dyDescent="0.25">
      <c r="B99" s="6" t="s">
        <v>49</v>
      </c>
      <c r="C99" s="15">
        <v>2291.69</v>
      </c>
      <c r="D99" s="16">
        <v>34.497</v>
      </c>
      <c r="E99" s="16">
        <v>38.296999999999997</v>
      </c>
      <c r="F99" s="16">
        <v>39.491999999999997</v>
      </c>
      <c r="G99" s="16">
        <v>54.93</v>
      </c>
      <c r="H99" s="16">
        <f t="shared" si="4"/>
        <v>35.596375000000002</v>
      </c>
      <c r="I99" s="5"/>
      <c r="J99" s="15">
        <v>2554.3056000000001</v>
      </c>
      <c r="K99" s="16">
        <v>36.019399999999997</v>
      </c>
      <c r="L99" s="16">
        <v>39.941600000000001</v>
      </c>
      <c r="M99" s="16">
        <v>41.172899999999998</v>
      </c>
      <c r="N99" s="16">
        <v>69.284099999999995</v>
      </c>
      <c r="O99" s="16">
        <f t="shared" si="5"/>
        <v>37.153862500000002</v>
      </c>
      <c r="P99" s="7"/>
      <c r="Q99" s="8">
        <f>bdrate(C99:C102,D99:D102,J99:J102,K99:K102)</f>
        <v>-0.30628642573009235</v>
      </c>
      <c r="R99" s="8">
        <f>bdrate(C99:C102,E99:E102,J99:J102,L99:L102)</f>
        <v>-0.53559892025293965</v>
      </c>
      <c r="S99" s="8">
        <f>bdrate(C99:C102,F99:F102,J99:J102,M99:M102)</f>
        <v>-0.55360904721891613</v>
      </c>
      <c r="T99" s="25">
        <f>bdrate(C99:C102,H99:H102,J99:J102,O99:O102)</f>
        <v>-0.34772551182908551</v>
      </c>
      <c r="U99" s="28">
        <f t="shared" si="6"/>
        <v>0.26131622064445648</v>
      </c>
    </row>
    <row r="100" spans="2:21" x14ac:dyDescent="0.25">
      <c r="B100" s="9"/>
      <c r="C100" s="17">
        <v>1516.6</v>
      </c>
      <c r="D100" s="18">
        <v>33.313000000000002</v>
      </c>
      <c r="E100" s="18">
        <v>37.511000000000003</v>
      </c>
      <c r="F100" s="18">
        <v>38.932000000000002</v>
      </c>
      <c r="G100" s="18">
        <v>61.04</v>
      </c>
      <c r="H100" s="18">
        <f t="shared" si="4"/>
        <v>34.540125000000003</v>
      </c>
      <c r="I100" s="5"/>
      <c r="J100" s="17">
        <v>1658.3255999999999</v>
      </c>
      <c r="K100" s="18">
        <v>34.721499999999999</v>
      </c>
      <c r="L100" s="18">
        <v>39.097499999999997</v>
      </c>
      <c r="M100" s="18">
        <v>40.3142</v>
      </c>
      <c r="N100" s="18">
        <v>103.22580000000001</v>
      </c>
      <c r="O100" s="18">
        <f t="shared" si="5"/>
        <v>35.9675875</v>
      </c>
      <c r="P100" s="7"/>
      <c r="Q100" s="10"/>
      <c r="R100" s="11"/>
      <c r="S100" s="11"/>
      <c r="T100" s="26"/>
      <c r="U100" s="28">
        <f t="shared" si="6"/>
        <v>0.69111730013106176</v>
      </c>
    </row>
    <row r="101" spans="2:21" x14ac:dyDescent="0.25">
      <c r="B101" s="9"/>
      <c r="C101" s="17">
        <v>942.36</v>
      </c>
      <c r="D101" s="18">
        <v>31.988</v>
      </c>
      <c r="E101" s="18">
        <v>36.765999999999998</v>
      </c>
      <c r="F101" s="18">
        <v>38.459000000000003</v>
      </c>
      <c r="G101" s="18">
        <v>65.47</v>
      </c>
      <c r="H101" s="18">
        <f t="shared" si="4"/>
        <v>33.394125000000003</v>
      </c>
      <c r="I101" s="5"/>
      <c r="J101" s="17">
        <v>1012.192</v>
      </c>
      <c r="K101" s="18">
        <v>33.2425</v>
      </c>
      <c r="L101" s="18">
        <v>38.186300000000003</v>
      </c>
      <c r="M101" s="18">
        <v>39.495399999999997</v>
      </c>
      <c r="N101" s="18">
        <v>120.12009999999999</v>
      </c>
      <c r="O101" s="18">
        <f t="shared" si="5"/>
        <v>34.642087500000002</v>
      </c>
      <c r="P101" s="7"/>
      <c r="Q101" s="10"/>
      <c r="R101" s="11"/>
      <c r="S101" s="11"/>
      <c r="T101" s="26"/>
      <c r="U101" s="28">
        <f t="shared" si="6"/>
        <v>0.8347349931266228</v>
      </c>
    </row>
    <row r="102" spans="2:21" ht="16.5" thickBot="1" x14ac:dyDescent="0.3">
      <c r="B102" s="12"/>
      <c r="C102" s="19">
        <v>555.95000000000005</v>
      </c>
      <c r="D102" s="20">
        <v>30.484000000000002</v>
      </c>
      <c r="E102" s="20">
        <v>36.058</v>
      </c>
      <c r="F102" s="20">
        <v>37.962000000000003</v>
      </c>
      <c r="G102" s="20">
        <v>69.010000000000005</v>
      </c>
      <c r="H102" s="20">
        <f t="shared" si="4"/>
        <v>32.115499999999997</v>
      </c>
      <c r="I102" s="5"/>
      <c r="J102" s="19">
        <v>604.51760000000002</v>
      </c>
      <c r="K102" s="20">
        <v>31.607399999999998</v>
      </c>
      <c r="L102" s="20">
        <v>37.226399999999998</v>
      </c>
      <c r="M102" s="20">
        <v>38.761299999999999</v>
      </c>
      <c r="N102" s="20">
        <v>138.4083</v>
      </c>
      <c r="O102" s="20">
        <f t="shared" si="5"/>
        <v>33.204012499999997</v>
      </c>
      <c r="P102" s="7"/>
      <c r="Q102" s="13"/>
      <c r="R102" s="14"/>
      <c r="S102" s="14"/>
      <c r="T102" s="27"/>
      <c r="U102" s="28">
        <f t="shared" si="6"/>
        <v>1.0056267207651064</v>
      </c>
    </row>
    <row r="103" spans="2:21" x14ac:dyDescent="0.25">
      <c r="B103" s="6" t="s">
        <v>50</v>
      </c>
      <c r="C103" s="15">
        <v>2384.9299999999998</v>
      </c>
      <c r="D103" s="16">
        <v>32.756</v>
      </c>
      <c r="E103" s="16">
        <v>37.155000000000001</v>
      </c>
      <c r="F103" s="16">
        <v>38.423999999999999</v>
      </c>
      <c r="G103" s="16">
        <v>59.02</v>
      </c>
      <c r="H103" s="16">
        <f t="shared" si="4"/>
        <v>34.014375000000001</v>
      </c>
      <c r="I103" s="5"/>
      <c r="J103" s="15">
        <v>2411.1655999999998</v>
      </c>
      <c r="K103" s="16">
        <v>34.081699999999998</v>
      </c>
      <c r="L103" s="16">
        <v>38.0473</v>
      </c>
      <c r="M103" s="16">
        <v>39.968899999999998</v>
      </c>
      <c r="N103" s="16">
        <v>74.327299999999994</v>
      </c>
      <c r="O103" s="16">
        <f t="shared" si="5"/>
        <v>35.313299999999998</v>
      </c>
      <c r="P103" s="7"/>
      <c r="Q103" s="8">
        <f>bdrate(C103:C106,D103:D106,J103:J106,K103:K106)</f>
        <v>-0.28371342442202152</v>
      </c>
      <c r="R103" s="8">
        <f>bdrate(C103:C106,E103:E106,J103:J106,L103:L106)</f>
        <v>-0.43580096363614074</v>
      </c>
      <c r="S103" s="8">
        <f>bdrate(C103:C106,F103:F106,J103:J106,M103:M106)</f>
        <v>-0.41880052886015373</v>
      </c>
      <c r="T103" s="25">
        <f>bdrate(C103:C106,H103:H106,J103:J106,O103:O106)</f>
        <v>-0.30811769563353297</v>
      </c>
      <c r="U103" s="28">
        <f t="shared" si="6"/>
        <v>0.25935784479837326</v>
      </c>
    </row>
    <row r="104" spans="2:21" x14ac:dyDescent="0.25">
      <c r="B104" s="9"/>
      <c r="C104" s="17">
        <v>1575.74</v>
      </c>
      <c r="D104" s="18">
        <v>31.652999999999999</v>
      </c>
      <c r="E104" s="18">
        <v>36.723999999999997</v>
      </c>
      <c r="F104" s="18">
        <v>37.723999999999997</v>
      </c>
      <c r="G104" s="18">
        <v>64.489999999999995</v>
      </c>
      <c r="H104" s="18">
        <f t="shared" si="4"/>
        <v>33.045749999999998</v>
      </c>
      <c r="I104" s="5"/>
      <c r="J104" s="17">
        <v>1607.8248000000001</v>
      </c>
      <c r="K104" s="18">
        <v>32.8752</v>
      </c>
      <c r="L104" s="18">
        <v>37.566200000000002</v>
      </c>
      <c r="M104" s="18">
        <v>39.081000000000003</v>
      </c>
      <c r="N104" s="18">
        <v>134.08420000000001</v>
      </c>
      <c r="O104" s="18">
        <f t="shared" si="5"/>
        <v>34.237299999999998</v>
      </c>
      <c r="P104" s="7"/>
      <c r="Q104" s="10"/>
      <c r="R104" s="11"/>
      <c r="S104" s="11"/>
      <c r="T104" s="26"/>
      <c r="U104" s="28">
        <f t="shared" si="6"/>
        <v>1.0791471545976123</v>
      </c>
    </row>
    <row r="105" spans="2:21" x14ac:dyDescent="0.25">
      <c r="B105" s="9"/>
      <c r="C105" s="17">
        <v>974.11</v>
      </c>
      <c r="D105" s="18">
        <v>30.239000000000001</v>
      </c>
      <c r="E105" s="18">
        <v>36.146999999999998</v>
      </c>
      <c r="F105" s="18">
        <v>36.752000000000002</v>
      </c>
      <c r="G105" s="18">
        <v>70.599999999999994</v>
      </c>
      <c r="H105" s="18">
        <f t="shared" si="4"/>
        <v>31.791625</v>
      </c>
      <c r="I105" s="5"/>
      <c r="J105" s="17">
        <v>1003.2496</v>
      </c>
      <c r="K105" s="18">
        <v>31.3047</v>
      </c>
      <c r="L105" s="18">
        <v>36.913499999999999</v>
      </c>
      <c r="M105" s="18">
        <v>37.924900000000001</v>
      </c>
      <c r="N105" s="18">
        <v>151.14869999999999</v>
      </c>
      <c r="O105" s="18">
        <f t="shared" si="5"/>
        <v>32.833325000000002</v>
      </c>
      <c r="P105" s="7"/>
      <c r="Q105" s="10"/>
      <c r="R105" s="11"/>
      <c r="S105" s="11"/>
      <c r="T105" s="26"/>
      <c r="U105" s="28">
        <f t="shared" si="6"/>
        <v>1.1409164305949009</v>
      </c>
    </row>
    <row r="106" spans="2:21" ht="16.5" thickBot="1" x14ac:dyDescent="0.3">
      <c r="B106" s="12"/>
      <c r="C106" s="19">
        <v>568.45000000000005</v>
      </c>
      <c r="D106" s="20">
        <v>28.454000000000001</v>
      </c>
      <c r="E106" s="20">
        <v>35.195999999999998</v>
      </c>
      <c r="F106" s="20">
        <v>35.386000000000003</v>
      </c>
      <c r="G106" s="20">
        <v>73.84</v>
      </c>
      <c r="H106" s="20">
        <f t="shared" si="4"/>
        <v>30.163249999999998</v>
      </c>
      <c r="I106" s="5"/>
      <c r="J106" s="19">
        <v>600.08079999999995</v>
      </c>
      <c r="K106" s="20">
        <v>29.5853</v>
      </c>
      <c r="L106" s="20">
        <v>36.146000000000001</v>
      </c>
      <c r="M106" s="20">
        <v>36.775100000000002</v>
      </c>
      <c r="N106" s="20">
        <v>164.3655</v>
      </c>
      <c r="O106" s="20">
        <f t="shared" si="5"/>
        <v>31.304112500000002</v>
      </c>
      <c r="P106" s="7"/>
      <c r="Q106" s="13"/>
      <c r="R106" s="14"/>
      <c r="S106" s="14"/>
      <c r="T106" s="27"/>
      <c r="U106" s="28">
        <f t="shared" si="6"/>
        <v>1.2259683098591547</v>
      </c>
    </row>
    <row r="107" spans="2:21" x14ac:dyDescent="0.25">
      <c r="B107" s="6" t="s">
        <v>51</v>
      </c>
      <c r="C107" s="29">
        <v>2390.8000000000002</v>
      </c>
      <c r="D107" s="30">
        <v>33.302</v>
      </c>
      <c r="E107" s="30">
        <v>39.335000000000001</v>
      </c>
      <c r="F107" s="30">
        <v>38.734999999999999</v>
      </c>
      <c r="G107" s="16">
        <v>56.23</v>
      </c>
      <c r="H107" s="16">
        <f t="shared" si="4"/>
        <v>34.735250000000001</v>
      </c>
      <c r="I107" s="5"/>
      <c r="J107" s="29">
        <v>2413.6255999999998</v>
      </c>
      <c r="K107" s="30">
        <v>33.983899999999998</v>
      </c>
      <c r="L107" s="30">
        <v>40.116700000000002</v>
      </c>
      <c r="M107" s="30">
        <v>39.509099999999997</v>
      </c>
      <c r="N107" s="16">
        <v>65.651300000000006</v>
      </c>
      <c r="O107" s="16">
        <f t="shared" si="5"/>
        <v>35.44115</v>
      </c>
      <c r="P107" s="7"/>
      <c r="Q107" s="8">
        <f>bdrate(C107:C110,D107:D110,J107:J110,K107:K110)</f>
        <v>-0.176777718773653</v>
      </c>
      <c r="R107" s="8">
        <f>bdrate(C107:C110,E107:E110,J107:J110,L107:L110)</f>
        <v>-0.24551629173495226</v>
      </c>
      <c r="S107" s="8">
        <f>bdrate(C107:C110,F107:F110,J107:J110,M107:M110)</f>
        <v>-0.19065911152270465</v>
      </c>
      <c r="T107" s="25">
        <f>bdrate(C107:C110,H107:H110,J107:J110,O107:O110)</f>
        <v>-0.18552121589739456</v>
      </c>
      <c r="U107" s="28">
        <f t="shared" si="6"/>
        <v>0.16754935088031317</v>
      </c>
    </row>
    <row r="108" spans="2:21" x14ac:dyDescent="0.25">
      <c r="B108" s="9"/>
      <c r="C108" s="31">
        <v>1588.85</v>
      </c>
      <c r="D108" s="32">
        <v>31.911000000000001</v>
      </c>
      <c r="E108" s="32">
        <v>38.517000000000003</v>
      </c>
      <c r="F108" s="32">
        <v>37.69</v>
      </c>
      <c r="G108" s="18">
        <v>60.59</v>
      </c>
      <c r="H108" s="18">
        <f t="shared" si="4"/>
        <v>33.459125</v>
      </c>
      <c r="I108" s="5"/>
      <c r="J108" s="31">
        <v>1604.3488</v>
      </c>
      <c r="K108" s="32">
        <v>32.6252</v>
      </c>
      <c r="L108" s="32">
        <v>39.338299999999997</v>
      </c>
      <c r="M108" s="32">
        <v>38.381700000000002</v>
      </c>
      <c r="N108" s="18">
        <v>119.9616</v>
      </c>
      <c r="O108" s="18">
        <f t="shared" si="5"/>
        <v>34.183900000000001</v>
      </c>
      <c r="P108" s="7"/>
      <c r="Q108" s="10"/>
      <c r="R108" s="11"/>
      <c r="S108" s="11"/>
      <c r="T108" s="26"/>
      <c r="U108" s="28">
        <f t="shared" si="6"/>
        <v>0.97989107113385043</v>
      </c>
    </row>
    <row r="109" spans="2:21" x14ac:dyDescent="0.25">
      <c r="B109" s="9"/>
      <c r="C109" s="31">
        <v>984.14</v>
      </c>
      <c r="D109" s="32">
        <v>30.152999999999999</v>
      </c>
      <c r="E109" s="32">
        <v>37.56</v>
      </c>
      <c r="F109" s="32">
        <v>36.322000000000003</v>
      </c>
      <c r="G109" s="18">
        <v>66.22</v>
      </c>
      <c r="H109" s="18">
        <f t="shared" si="4"/>
        <v>31.85</v>
      </c>
      <c r="I109" s="5"/>
      <c r="J109" s="31">
        <v>1004.7752</v>
      </c>
      <c r="K109" s="32">
        <v>30.940300000000001</v>
      </c>
      <c r="L109" s="32">
        <v>38.246600000000001</v>
      </c>
      <c r="M109" s="32">
        <v>36.989600000000003</v>
      </c>
      <c r="N109" s="18">
        <v>132.9787</v>
      </c>
      <c r="O109" s="18">
        <f t="shared" si="5"/>
        <v>32.609749999999998</v>
      </c>
      <c r="P109" s="7"/>
      <c r="Q109" s="10"/>
      <c r="R109" s="11"/>
      <c r="S109" s="11"/>
      <c r="T109" s="26"/>
      <c r="U109" s="28">
        <f t="shared" si="6"/>
        <v>1.0081350045303534</v>
      </c>
    </row>
    <row r="110" spans="2:21" ht="16.5" thickBot="1" x14ac:dyDescent="0.3">
      <c r="B110" s="12"/>
      <c r="C110" s="33">
        <v>584.24</v>
      </c>
      <c r="D110" s="34">
        <v>28.143000000000001</v>
      </c>
      <c r="E110" s="34">
        <v>35.738</v>
      </c>
      <c r="F110" s="34">
        <v>34.271999999999998</v>
      </c>
      <c r="G110" s="20">
        <v>70.91</v>
      </c>
      <c r="H110" s="20">
        <f t="shared" si="4"/>
        <v>29.858499999999999</v>
      </c>
      <c r="I110" s="5"/>
      <c r="J110" s="33">
        <v>599.96079999999995</v>
      </c>
      <c r="K110" s="34">
        <v>29.0382</v>
      </c>
      <c r="L110" s="34">
        <v>36.610900000000001</v>
      </c>
      <c r="M110" s="34">
        <v>35.227499999999999</v>
      </c>
      <c r="N110" s="20">
        <v>151.88339999999999</v>
      </c>
      <c r="O110" s="20">
        <f t="shared" si="5"/>
        <v>30.75845</v>
      </c>
      <c r="P110" s="7"/>
      <c r="Q110" s="13"/>
      <c r="R110" s="14"/>
      <c r="S110" s="14"/>
      <c r="T110" s="27"/>
      <c r="U110" s="28">
        <f t="shared" si="6"/>
        <v>1.1419179241291779</v>
      </c>
    </row>
    <row r="111" spans="2:21" x14ac:dyDescent="0.25">
      <c r="B111" s="6" t="s">
        <v>52</v>
      </c>
      <c r="C111" s="15">
        <v>2388.87</v>
      </c>
      <c r="D111" s="16">
        <v>31.699000000000002</v>
      </c>
      <c r="E111" s="16">
        <v>38.348999999999997</v>
      </c>
      <c r="F111" s="16">
        <v>41.042999999999999</v>
      </c>
      <c r="G111" s="16">
        <v>68.81</v>
      </c>
      <c r="H111" s="16">
        <f t="shared" si="4"/>
        <v>33.698250000000002</v>
      </c>
      <c r="I111" s="5"/>
      <c r="J111" s="15">
        <v>2420.1632</v>
      </c>
      <c r="K111" s="16">
        <v>33.591000000000001</v>
      </c>
      <c r="L111" s="16">
        <v>39.707599999999999</v>
      </c>
      <c r="M111" s="16">
        <v>42.165999999999997</v>
      </c>
      <c r="N111" s="16">
        <v>77.329599999999999</v>
      </c>
      <c r="O111" s="16">
        <f t="shared" si="5"/>
        <v>35.42745</v>
      </c>
      <c r="P111" s="7"/>
      <c r="Q111" s="8">
        <f>bdrate(C111:C114,D111:D114,J111:J114,K111:K114)</f>
        <v>-0.56062070357749705</v>
      </c>
      <c r="R111" s="8">
        <f>bdrate(C111:C114,E111:E114,J111:J114,L111:L114)</f>
        <v>-0.60334838818903647</v>
      </c>
      <c r="S111" s="8">
        <f>bdrate(C111:C114,F111:F114,J111:J114,M111:M114)</f>
        <v>-0.51202041959847877</v>
      </c>
      <c r="T111" s="25">
        <f>bdrate(C111:C114,H111:H114,J111:J114,O111:O114)</f>
        <v>-0.56028866638064945</v>
      </c>
      <c r="U111" s="28">
        <f t="shared" si="6"/>
        <v>0.1238133992152303</v>
      </c>
    </row>
    <row r="112" spans="2:21" x14ac:dyDescent="0.25">
      <c r="B112" s="9"/>
      <c r="C112" s="17">
        <v>1548.08</v>
      </c>
      <c r="D112" s="18">
        <v>30.710999999999999</v>
      </c>
      <c r="E112" s="18">
        <v>37.988</v>
      </c>
      <c r="F112" s="18">
        <v>40.731000000000002</v>
      </c>
      <c r="G112" s="18">
        <v>73.959999999999994</v>
      </c>
      <c r="H112" s="18">
        <f t="shared" si="4"/>
        <v>32.873125000000002</v>
      </c>
      <c r="I112" s="5"/>
      <c r="J112" s="17">
        <v>1608.3191999999999</v>
      </c>
      <c r="K112" s="18">
        <v>32.876300000000001</v>
      </c>
      <c r="L112" s="18">
        <v>39.236800000000002</v>
      </c>
      <c r="M112" s="18">
        <v>41.760399999999997</v>
      </c>
      <c r="N112" s="18">
        <v>137.74100000000001</v>
      </c>
      <c r="O112" s="18">
        <f t="shared" si="5"/>
        <v>34.781874999999999</v>
      </c>
      <c r="P112" s="7"/>
      <c r="Q112" s="10"/>
      <c r="R112" s="11"/>
      <c r="S112" s="11"/>
      <c r="T112" s="26"/>
      <c r="U112" s="28">
        <f t="shared" si="6"/>
        <v>0.86237155219037354</v>
      </c>
    </row>
    <row r="113" spans="1:21" x14ac:dyDescent="0.25">
      <c r="B113" s="9"/>
      <c r="C113" s="17">
        <v>927.63</v>
      </c>
      <c r="D113" s="18">
        <v>29.24</v>
      </c>
      <c r="E113" s="18">
        <v>37.447000000000003</v>
      </c>
      <c r="F113" s="18">
        <v>40.229999999999997</v>
      </c>
      <c r="G113" s="18">
        <v>77.53</v>
      </c>
      <c r="H113" s="18">
        <f t="shared" si="4"/>
        <v>31.639624999999999</v>
      </c>
      <c r="I113" s="5"/>
      <c r="J113" s="17">
        <v>1027.876</v>
      </c>
      <c r="K113" s="18">
        <v>31.789300000000001</v>
      </c>
      <c r="L113" s="18">
        <v>38.552</v>
      </c>
      <c r="M113" s="18">
        <v>41.068800000000003</v>
      </c>
      <c r="N113" s="18">
        <v>151.43870000000001</v>
      </c>
      <c r="O113" s="18">
        <f t="shared" si="5"/>
        <v>33.794575000000002</v>
      </c>
      <c r="P113" s="7"/>
      <c r="Q113" s="10"/>
      <c r="R113" s="11"/>
      <c r="S113" s="11"/>
      <c r="T113" s="26"/>
      <c r="U113" s="28">
        <f t="shared" si="6"/>
        <v>0.95329162904682074</v>
      </c>
    </row>
    <row r="114" spans="1:21" ht="16.5" thickBot="1" x14ac:dyDescent="0.3">
      <c r="B114" s="12"/>
      <c r="C114" s="19">
        <v>473.5</v>
      </c>
      <c r="D114" s="20">
        <v>26.122</v>
      </c>
      <c r="E114" s="20">
        <v>36.158999999999999</v>
      </c>
      <c r="F114" s="20">
        <v>38.969000000000001</v>
      </c>
      <c r="G114" s="20">
        <v>82.54</v>
      </c>
      <c r="H114" s="20">
        <f t="shared" si="4"/>
        <v>28.982499999999998</v>
      </c>
      <c r="I114" s="5"/>
      <c r="J114" s="19">
        <v>595.55439999999999</v>
      </c>
      <c r="K114" s="20">
        <v>30.255099999999999</v>
      </c>
      <c r="L114" s="20">
        <v>37.9146</v>
      </c>
      <c r="M114" s="20">
        <v>40.457500000000003</v>
      </c>
      <c r="N114" s="20">
        <v>165.70009999999999</v>
      </c>
      <c r="O114" s="20">
        <f t="shared" si="5"/>
        <v>32.487837499999998</v>
      </c>
      <c r="P114" s="7"/>
      <c r="Q114" s="13"/>
      <c r="R114" s="14"/>
      <c r="S114" s="14"/>
      <c r="T114" s="27"/>
      <c r="U114" s="28">
        <f t="shared" si="6"/>
        <v>1.0075127211049186</v>
      </c>
    </row>
    <row r="115" spans="1:21" x14ac:dyDescent="0.25">
      <c r="A115" s="6" t="s">
        <v>39</v>
      </c>
      <c r="B115" s="6" t="s">
        <v>53</v>
      </c>
      <c r="C115" s="15">
        <v>1218.33</v>
      </c>
      <c r="D115" s="16">
        <v>33.511000000000003</v>
      </c>
      <c r="E115" s="16">
        <v>37.216000000000001</v>
      </c>
      <c r="F115" s="16">
        <v>36.991</v>
      </c>
      <c r="G115" s="16">
        <v>227.27</v>
      </c>
      <c r="H115" s="16">
        <f t="shared" si="4"/>
        <v>34.409125000000003</v>
      </c>
      <c r="I115" s="5"/>
      <c r="J115" s="15">
        <v>1218.0455999999999</v>
      </c>
      <c r="K115" s="16">
        <v>34.9788</v>
      </c>
      <c r="L115" s="16">
        <v>38.824399999999997</v>
      </c>
      <c r="M115" s="16">
        <v>38.659599999999998</v>
      </c>
      <c r="N115" s="16">
        <v>395.56959999999998</v>
      </c>
      <c r="O115" s="16">
        <f t="shared" si="5"/>
        <v>35.919599999999996</v>
      </c>
      <c r="P115" s="7"/>
      <c r="Q115" s="8">
        <f>bdrate(C115:C118,D115:D118,J115:J118,K115:K118)</f>
        <v>-0.28367482639351471</v>
      </c>
      <c r="R115" s="8">
        <f>bdrate(C115:C118,E115:E118,J115:J118,L115:L118)</f>
        <v>-0.32789258827572221</v>
      </c>
      <c r="S115" s="8">
        <f>bdrate(C115:C118,F115:F118,J115:J118,M115:M118)</f>
        <v>-0.29852317239074078</v>
      </c>
      <c r="T115" s="25">
        <f>bdrate(C115:C118,H115:H118,J115:J118,O115:O118)</f>
        <v>-0.29011254493560412</v>
      </c>
      <c r="U115" s="28">
        <f t="shared" si="6"/>
        <v>0.74052712632551576</v>
      </c>
    </row>
    <row r="116" spans="1:21" x14ac:dyDescent="0.25">
      <c r="A116" s="9" t="s">
        <v>40</v>
      </c>
      <c r="B116" s="9"/>
      <c r="C116" s="17">
        <v>812.51</v>
      </c>
      <c r="D116" s="18">
        <v>32.109000000000002</v>
      </c>
      <c r="E116" s="18">
        <v>36.308</v>
      </c>
      <c r="F116" s="18">
        <v>35.918999999999997</v>
      </c>
      <c r="G116" s="18">
        <v>258.52999999999997</v>
      </c>
      <c r="H116" s="18">
        <f t="shared" si="4"/>
        <v>33.110124999999996</v>
      </c>
      <c r="I116" s="5"/>
      <c r="J116" s="17">
        <v>816.2808</v>
      </c>
      <c r="K116" s="18">
        <v>33.454300000000003</v>
      </c>
      <c r="L116" s="18">
        <v>37.610399999999998</v>
      </c>
      <c r="M116" s="18">
        <v>37.29</v>
      </c>
      <c r="N116" s="18">
        <v>464.68400000000003</v>
      </c>
      <c r="O116" s="18">
        <f t="shared" si="5"/>
        <v>34.453275000000005</v>
      </c>
      <c r="P116" s="7"/>
      <c r="Q116" s="10"/>
      <c r="R116" s="11"/>
      <c r="S116" s="11"/>
      <c r="T116" s="26"/>
      <c r="U116" s="28">
        <f t="shared" si="6"/>
        <v>0.79740842455421068</v>
      </c>
    </row>
    <row r="117" spans="1:21" x14ac:dyDescent="0.25">
      <c r="B117" s="9"/>
      <c r="C117" s="17">
        <v>505.03</v>
      </c>
      <c r="D117" s="18">
        <v>30.516999999999999</v>
      </c>
      <c r="E117" s="18">
        <v>35.249000000000002</v>
      </c>
      <c r="F117" s="18">
        <v>34.808999999999997</v>
      </c>
      <c r="G117" s="18">
        <v>291.38</v>
      </c>
      <c r="H117" s="18">
        <f t="shared" si="4"/>
        <v>31.645</v>
      </c>
      <c r="I117" s="5"/>
      <c r="J117" s="17">
        <v>506.14640000000003</v>
      </c>
      <c r="K117" s="18">
        <v>31.663399999999999</v>
      </c>
      <c r="L117" s="18">
        <v>36.135100000000001</v>
      </c>
      <c r="M117" s="18">
        <v>35.678800000000003</v>
      </c>
      <c r="N117" s="18">
        <v>542.88819999999998</v>
      </c>
      <c r="O117" s="18">
        <f t="shared" si="5"/>
        <v>32.724287500000003</v>
      </c>
      <c r="P117" s="7"/>
      <c r="Q117" s="10"/>
      <c r="R117" s="11"/>
      <c r="S117" s="11"/>
      <c r="T117" s="26"/>
      <c r="U117" s="28">
        <f t="shared" si="6"/>
        <v>0.86316219369894975</v>
      </c>
    </row>
    <row r="118" spans="1:21" ht="16.5" thickBot="1" x14ac:dyDescent="0.3">
      <c r="B118" s="12"/>
      <c r="C118" s="19">
        <v>299.73</v>
      </c>
      <c r="D118" s="20">
        <v>28.835999999999999</v>
      </c>
      <c r="E118" s="20">
        <v>34.14</v>
      </c>
      <c r="F118" s="20">
        <v>33.424999999999997</v>
      </c>
      <c r="G118" s="20">
        <v>330.47</v>
      </c>
      <c r="H118" s="20">
        <f t="shared" si="4"/>
        <v>30.072625000000002</v>
      </c>
      <c r="I118" s="5"/>
      <c r="J118" s="19">
        <v>303.93200000000002</v>
      </c>
      <c r="K118" s="20">
        <v>29.704699999999999</v>
      </c>
      <c r="L118" s="20">
        <v>34.816299999999998</v>
      </c>
      <c r="M118" s="20">
        <v>34.089100000000002</v>
      </c>
      <c r="N118" s="20">
        <v>667.55669999999998</v>
      </c>
      <c r="O118" s="20">
        <f t="shared" si="5"/>
        <v>30.891699999999997</v>
      </c>
      <c r="P118" s="7"/>
      <c r="Q118" s="13"/>
      <c r="R118" s="14"/>
      <c r="S118" s="14"/>
      <c r="T118" s="27"/>
      <c r="U118" s="28">
        <f t="shared" si="6"/>
        <v>1.0200220897509604</v>
      </c>
    </row>
    <row r="119" spans="1:21" x14ac:dyDescent="0.25">
      <c r="B119" s="6" t="s">
        <v>54</v>
      </c>
      <c r="C119" s="15">
        <v>1226.98</v>
      </c>
      <c r="D119" s="16">
        <v>33.32</v>
      </c>
      <c r="E119" s="16">
        <v>38.692</v>
      </c>
      <c r="F119" s="16">
        <v>39.478000000000002</v>
      </c>
      <c r="G119" s="16">
        <v>265.25</v>
      </c>
      <c r="H119" s="16">
        <f t="shared" si="4"/>
        <v>34.761250000000004</v>
      </c>
      <c r="I119" s="5"/>
      <c r="J119" s="15">
        <v>1247.6592000000001</v>
      </c>
      <c r="K119" s="16">
        <v>35.243000000000002</v>
      </c>
      <c r="L119" s="16">
        <v>40.384900000000002</v>
      </c>
      <c r="M119" s="16">
        <v>41.156500000000001</v>
      </c>
      <c r="N119" s="16">
        <v>392.41329999999999</v>
      </c>
      <c r="O119" s="16">
        <f t="shared" si="5"/>
        <v>36.624925000000005</v>
      </c>
      <c r="P119" s="7"/>
      <c r="Q119" s="8">
        <f>bdrate(C119:C122,D119:D122,J119:J122,K119:K122)</f>
        <v>-0.34645564281510954</v>
      </c>
      <c r="R119" s="8">
        <f>bdrate(C119:C122,E119:E122,J119:J122,L119:L122)</f>
        <v>-0.47477421862580638</v>
      </c>
      <c r="S119" s="8">
        <f>bdrate(C119:C122,F119:F122,J119:J122,M119:M122)</f>
        <v>-0.42245486529935905</v>
      </c>
      <c r="T119" s="25">
        <f>bdrate(C119:C122,H119:H122,J119:J122,O119:O122)</f>
        <v>-0.36478716897892483</v>
      </c>
      <c r="U119" s="28">
        <f t="shared" si="6"/>
        <v>0.47940923656927426</v>
      </c>
    </row>
    <row r="120" spans="1:21" x14ac:dyDescent="0.25">
      <c r="B120" s="9"/>
      <c r="C120" s="17">
        <v>816.28</v>
      </c>
      <c r="D120" s="18">
        <v>31.841999999999999</v>
      </c>
      <c r="E120" s="18">
        <v>37.820999999999998</v>
      </c>
      <c r="F120" s="18">
        <v>38.475000000000001</v>
      </c>
      <c r="G120" s="18">
        <v>293.54000000000002</v>
      </c>
      <c r="H120" s="18">
        <f t="shared" si="4"/>
        <v>33.418500000000002</v>
      </c>
      <c r="I120" s="5"/>
      <c r="J120" s="17">
        <v>830.83280000000002</v>
      </c>
      <c r="K120" s="18">
        <v>33.671799999999998</v>
      </c>
      <c r="L120" s="18">
        <v>39.349600000000002</v>
      </c>
      <c r="M120" s="18">
        <v>39.997199999999999</v>
      </c>
      <c r="N120" s="18">
        <v>452.48869999999999</v>
      </c>
      <c r="O120" s="18">
        <f t="shared" si="5"/>
        <v>35.172200000000004</v>
      </c>
      <c r="P120" s="7"/>
      <c r="Q120" s="10"/>
      <c r="R120" s="11"/>
      <c r="S120" s="11"/>
      <c r="T120" s="26"/>
      <c r="U120" s="28">
        <f t="shared" si="6"/>
        <v>0.5414890645227225</v>
      </c>
    </row>
    <row r="121" spans="1:21" x14ac:dyDescent="0.25">
      <c r="B121" s="9"/>
      <c r="C121" s="17">
        <v>506.72</v>
      </c>
      <c r="D121" s="18">
        <v>30.091999999999999</v>
      </c>
      <c r="E121" s="18">
        <v>36.826999999999998</v>
      </c>
      <c r="F121" s="18">
        <v>37.313000000000002</v>
      </c>
      <c r="G121" s="18">
        <v>320.51</v>
      </c>
      <c r="H121" s="18">
        <f t="shared" si="4"/>
        <v>31.836500000000001</v>
      </c>
      <c r="I121" s="5"/>
      <c r="J121" s="17">
        <v>519.09199999999998</v>
      </c>
      <c r="K121" s="18">
        <v>31.767900000000001</v>
      </c>
      <c r="L121" s="18">
        <v>38.256399999999999</v>
      </c>
      <c r="M121" s="18">
        <v>38.722000000000001</v>
      </c>
      <c r="N121" s="18">
        <v>541.51620000000003</v>
      </c>
      <c r="O121" s="18">
        <f t="shared" si="5"/>
        <v>33.448225000000001</v>
      </c>
      <c r="P121" s="7"/>
      <c r="Q121" s="10"/>
      <c r="R121" s="11"/>
      <c r="S121" s="11"/>
      <c r="T121" s="26"/>
      <c r="U121" s="28">
        <f t="shared" si="6"/>
        <v>0.68954541199962571</v>
      </c>
    </row>
    <row r="122" spans="1:21" ht="16.5" thickBot="1" x14ac:dyDescent="0.3">
      <c r="B122" s="12"/>
      <c r="C122" s="19">
        <v>298.66000000000003</v>
      </c>
      <c r="D122" s="20">
        <v>28.122</v>
      </c>
      <c r="E122" s="20">
        <v>35.58</v>
      </c>
      <c r="F122" s="20">
        <v>35.863</v>
      </c>
      <c r="G122" s="20">
        <v>349.65</v>
      </c>
      <c r="H122" s="20">
        <f t="shared" si="4"/>
        <v>30.021875000000001</v>
      </c>
      <c r="I122" s="5"/>
      <c r="J122" s="19">
        <v>310.95600000000002</v>
      </c>
      <c r="K122" s="20">
        <v>29.670500000000001</v>
      </c>
      <c r="L122" s="20">
        <v>37.094900000000003</v>
      </c>
      <c r="M122" s="20">
        <v>37.426299999999998</v>
      </c>
      <c r="N122" s="20">
        <v>652.1739</v>
      </c>
      <c r="O122" s="20">
        <f t="shared" si="5"/>
        <v>31.568024999999999</v>
      </c>
      <c r="P122" s="7"/>
      <c r="Q122" s="13"/>
      <c r="R122" s="14"/>
      <c r="S122" s="14"/>
      <c r="T122" s="27"/>
      <c r="U122" s="28">
        <f t="shared" si="6"/>
        <v>0.8652192192192194</v>
      </c>
    </row>
    <row r="123" spans="1:21" x14ac:dyDescent="0.25">
      <c r="B123" s="6" t="s">
        <v>55</v>
      </c>
      <c r="C123" s="15">
        <v>1097.5999999999999</v>
      </c>
      <c r="D123" s="16">
        <v>27.809000000000001</v>
      </c>
      <c r="E123" s="16">
        <v>34.405000000000001</v>
      </c>
      <c r="F123" s="16">
        <v>35.229999999999997</v>
      </c>
      <c r="G123" s="16">
        <v>262.61</v>
      </c>
      <c r="H123" s="16">
        <f t="shared" si="4"/>
        <v>29.561125000000001</v>
      </c>
      <c r="I123" s="5"/>
      <c r="J123" s="15">
        <v>1226.4767999999999</v>
      </c>
      <c r="K123" s="16">
        <v>30.376200000000001</v>
      </c>
      <c r="L123" s="16">
        <v>36.633800000000001</v>
      </c>
      <c r="M123" s="16">
        <v>37.392200000000003</v>
      </c>
      <c r="N123" s="16">
        <v>368.45979999999997</v>
      </c>
      <c r="O123" s="16">
        <f t="shared" si="5"/>
        <v>32.035400000000003</v>
      </c>
      <c r="P123" s="7"/>
      <c r="Q123" s="8">
        <f>bdrate(C123:C126,D123:D126,J123:J126,K123:K126)</f>
        <v>-0.48774275127202793</v>
      </c>
      <c r="R123" s="8">
        <f>bdrate(C123:C126,E123:E126,J123:J126,L123:L126)</f>
        <v>-0.6041101714764423</v>
      </c>
      <c r="S123" s="8">
        <f>bdrate(C123:C126,F123:F126,J123:J126,M123:M126)</f>
        <v>-0.57231425542076109</v>
      </c>
      <c r="T123" s="25">
        <f>bdrate(C123:C126,H123:H126,J123:J126,O123:O126)</f>
        <v>-0.5038847448960222</v>
      </c>
      <c r="U123" s="28">
        <f t="shared" si="6"/>
        <v>0.40306842846807034</v>
      </c>
    </row>
    <row r="124" spans="1:21" x14ac:dyDescent="0.25">
      <c r="B124" s="9"/>
      <c r="C124" s="17">
        <v>726.69</v>
      </c>
      <c r="D124" s="18">
        <v>26.541</v>
      </c>
      <c r="E124" s="18">
        <v>33.845999999999997</v>
      </c>
      <c r="F124" s="18">
        <v>34.664000000000001</v>
      </c>
      <c r="G124" s="18">
        <v>293.94</v>
      </c>
      <c r="H124" s="18">
        <f t="shared" si="4"/>
        <v>28.469500000000004</v>
      </c>
      <c r="I124" s="5"/>
      <c r="J124" s="17">
        <v>816.76559999999995</v>
      </c>
      <c r="K124" s="18">
        <v>29.0139</v>
      </c>
      <c r="L124" s="18">
        <v>35.7027</v>
      </c>
      <c r="M124" s="18">
        <v>36.4251</v>
      </c>
      <c r="N124" s="18">
        <v>433.2756</v>
      </c>
      <c r="O124" s="18">
        <f t="shared" si="5"/>
        <v>30.776399999999995</v>
      </c>
      <c r="P124" s="7"/>
      <c r="Q124" s="10"/>
      <c r="R124" s="11"/>
      <c r="S124" s="11"/>
      <c r="T124" s="26"/>
      <c r="U124" s="28">
        <f t="shared" si="6"/>
        <v>0.47402735252092265</v>
      </c>
    </row>
    <row r="125" spans="1:21" x14ac:dyDescent="0.25">
      <c r="B125" s="9"/>
      <c r="C125" s="17">
        <v>448.78</v>
      </c>
      <c r="D125" s="18">
        <v>25.16</v>
      </c>
      <c r="E125" s="18">
        <v>33.106000000000002</v>
      </c>
      <c r="F125" s="18">
        <v>34.026000000000003</v>
      </c>
      <c r="G125" s="18">
        <v>323.62</v>
      </c>
      <c r="H125" s="18">
        <f t="shared" si="4"/>
        <v>27.261500000000002</v>
      </c>
      <c r="I125" s="5"/>
      <c r="J125" s="17">
        <v>514.73919999999998</v>
      </c>
      <c r="K125" s="18">
        <v>27.529399999999999</v>
      </c>
      <c r="L125" s="18">
        <v>34.759599999999999</v>
      </c>
      <c r="M125" s="18">
        <v>35.472799999999999</v>
      </c>
      <c r="N125" s="18">
        <v>517.06309999999996</v>
      </c>
      <c r="O125" s="18">
        <f t="shared" si="5"/>
        <v>29.426100000000002</v>
      </c>
      <c r="P125" s="7"/>
      <c r="Q125" s="10"/>
      <c r="R125" s="11"/>
      <c r="S125" s="11"/>
      <c r="T125" s="26"/>
      <c r="U125" s="28">
        <f t="shared" si="6"/>
        <v>0.59774766701687154</v>
      </c>
    </row>
    <row r="126" spans="1:21" ht="16.5" thickBot="1" x14ac:dyDescent="0.3">
      <c r="B126" s="12"/>
      <c r="C126" s="19">
        <v>257.81</v>
      </c>
      <c r="D126" s="20">
        <v>23.513000000000002</v>
      </c>
      <c r="E126" s="20">
        <v>32.085000000000001</v>
      </c>
      <c r="F126" s="20">
        <v>32.895000000000003</v>
      </c>
      <c r="G126" s="20">
        <v>356.13</v>
      </c>
      <c r="H126" s="20">
        <f t="shared" si="4"/>
        <v>25.757250000000003</v>
      </c>
      <c r="I126" s="5"/>
      <c r="J126" s="19">
        <v>309.43439999999998</v>
      </c>
      <c r="K126" s="20">
        <v>25.9986</v>
      </c>
      <c r="L126" s="20">
        <v>33.918100000000003</v>
      </c>
      <c r="M126" s="20">
        <v>34.608600000000003</v>
      </c>
      <c r="N126" s="20">
        <v>628.14070000000004</v>
      </c>
      <c r="O126" s="20">
        <f t="shared" si="5"/>
        <v>28.064787500000001</v>
      </c>
      <c r="P126" s="7"/>
      <c r="Q126" s="13"/>
      <c r="R126" s="14"/>
      <c r="S126" s="14"/>
      <c r="T126" s="27"/>
      <c r="U126" s="28">
        <f t="shared" si="6"/>
        <v>0.76379608569904256</v>
      </c>
    </row>
    <row r="127" spans="1:21" x14ac:dyDescent="0.25">
      <c r="B127" s="6" t="s">
        <v>56</v>
      </c>
      <c r="C127" s="15">
        <v>1118.8</v>
      </c>
      <c r="D127" s="16">
        <v>31.292999999999999</v>
      </c>
      <c r="E127" s="16">
        <v>35.851999999999997</v>
      </c>
      <c r="F127" s="16">
        <v>37.499000000000002</v>
      </c>
      <c r="G127" s="16">
        <v>178.04</v>
      </c>
      <c r="H127" s="16">
        <f t="shared" si="4"/>
        <v>32.638624999999998</v>
      </c>
      <c r="I127" s="5"/>
      <c r="J127" s="15">
        <v>1210.5088000000001</v>
      </c>
      <c r="K127" s="16">
        <v>32.299300000000002</v>
      </c>
      <c r="L127" s="16">
        <v>36.613100000000003</v>
      </c>
      <c r="M127" s="16">
        <v>38.175400000000003</v>
      </c>
      <c r="N127" s="16">
        <v>274.7253</v>
      </c>
      <c r="O127" s="16">
        <f t="shared" si="5"/>
        <v>33.573037500000005</v>
      </c>
      <c r="P127" s="7"/>
      <c r="Q127" s="8">
        <f>bdrate(C127:C130,D127:D130,J127:J130,K127:K130)</f>
        <v>-0.13934486591246675</v>
      </c>
      <c r="R127" s="8">
        <f>bdrate(C127:C130,E127:E130,J127:J130,L127:L130)</f>
        <v>-0.19840872520338781</v>
      </c>
      <c r="S127" s="8">
        <f>bdrate(C127:C130,F127:F130,J127:J130,M127:M130)</f>
        <v>-0.18377804649615148</v>
      </c>
      <c r="T127" s="25">
        <f>bdrate(C127:C130,H127:H130,J127:J130,O127:O130)</f>
        <v>-0.14894029062010095</v>
      </c>
      <c r="U127" s="28">
        <f t="shared" si="6"/>
        <v>0.54305380813300386</v>
      </c>
    </row>
    <row r="128" spans="1:21" x14ac:dyDescent="0.25">
      <c r="B128" s="9"/>
      <c r="C128" s="17">
        <v>753.64</v>
      </c>
      <c r="D128" s="18">
        <v>29.972000000000001</v>
      </c>
      <c r="E128" s="18">
        <v>35.107999999999997</v>
      </c>
      <c r="F128" s="18">
        <v>36.661000000000001</v>
      </c>
      <c r="G128" s="18">
        <v>198.28</v>
      </c>
      <c r="H128" s="18">
        <f t="shared" si="4"/>
        <v>31.450125</v>
      </c>
      <c r="I128" s="5"/>
      <c r="J128" s="17">
        <v>805.904</v>
      </c>
      <c r="K128" s="18">
        <v>30.801500000000001</v>
      </c>
      <c r="L128" s="18">
        <v>35.7254</v>
      </c>
      <c r="M128" s="18">
        <v>37.253500000000003</v>
      </c>
      <c r="N128" s="18">
        <v>326.08699999999999</v>
      </c>
      <c r="O128" s="18">
        <f t="shared" si="5"/>
        <v>32.223487500000005</v>
      </c>
      <c r="P128" s="7"/>
      <c r="Q128" s="10"/>
      <c r="R128" s="11"/>
      <c r="S128" s="11"/>
      <c r="T128" s="26"/>
      <c r="U128" s="28">
        <f t="shared" si="6"/>
        <v>0.64457837401654217</v>
      </c>
    </row>
    <row r="129" spans="1:21" x14ac:dyDescent="0.25">
      <c r="B129" s="9"/>
      <c r="C129" s="17">
        <v>479.66</v>
      </c>
      <c r="D129" s="18">
        <v>28.597000000000001</v>
      </c>
      <c r="E129" s="18">
        <v>34.256999999999998</v>
      </c>
      <c r="F129" s="18">
        <v>35.677999999999997</v>
      </c>
      <c r="G129" s="18">
        <v>223.55</v>
      </c>
      <c r="H129" s="18">
        <f t="shared" si="4"/>
        <v>30.189624999999999</v>
      </c>
      <c r="I129" s="5"/>
      <c r="J129" s="17">
        <v>503.96159999999998</v>
      </c>
      <c r="K129" s="18">
        <v>29.174299999999999</v>
      </c>
      <c r="L129" s="18">
        <v>34.766800000000003</v>
      </c>
      <c r="M129" s="18">
        <v>36.220199999999998</v>
      </c>
      <c r="N129" s="18">
        <v>400.53399999999999</v>
      </c>
      <c r="O129" s="18">
        <f t="shared" si="5"/>
        <v>30.754099999999998</v>
      </c>
      <c r="P129" s="7"/>
      <c r="Q129" s="10"/>
      <c r="R129" s="11"/>
      <c r="S129" s="11"/>
      <c r="T129" s="26"/>
      <c r="U129" s="28">
        <f t="shared" si="6"/>
        <v>0.79169760679937362</v>
      </c>
    </row>
    <row r="130" spans="1:21" ht="16.5" thickBot="1" x14ac:dyDescent="0.3">
      <c r="B130" s="12"/>
      <c r="C130" s="19">
        <v>289.62</v>
      </c>
      <c r="D130" s="20">
        <v>27.244</v>
      </c>
      <c r="E130" s="20">
        <v>33.308</v>
      </c>
      <c r="F130" s="20">
        <v>34.591999999999999</v>
      </c>
      <c r="G130" s="20">
        <v>256.41000000000003</v>
      </c>
      <c r="H130" s="20">
        <f t="shared" si="4"/>
        <v>28.920499999999997</v>
      </c>
      <c r="I130" s="5"/>
      <c r="J130" s="19">
        <v>301.85199999999998</v>
      </c>
      <c r="K130" s="20">
        <v>27.578099999999999</v>
      </c>
      <c r="L130" s="20">
        <v>33.716999999999999</v>
      </c>
      <c r="M130" s="20">
        <v>35.115000000000002</v>
      </c>
      <c r="N130" s="20">
        <v>492.61079999999998</v>
      </c>
      <c r="O130" s="20">
        <f t="shared" si="5"/>
        <v>29.287574999999997</v>
      </c>
      <c r="P130" s="7"/>
      <c r="Q130" s="13"/>
      <c r="R130" s="14"/>
      <c r="S130" s="14"/>
      <c r="T130" s="27"/>
      <c r="U130" s="28">
        <f t="shared" si="6"/>
        <v>0.92118404118404096</v>
      </c>
    </row>
    <row r="131" spans="1:21" x14ac:dyDescent="0.25">
      <c r="A131" s="6" t="s">
        <v>41</v>
      </c>
      <c r="B131" s="6" t="s">
        <v>57</v>
      </c>
      <c r="C131" s="15">
        <v>640.66999999999996</v>
      </c>
      <c r="D131" s="16">
        <v>33.317</v>
      </c>
      <c r="E131" s="16">
        <v>38.298999999999999</v>
      </c>
      <c r="F131" s="16">
        <v>36.968000000000004</v>
      </c>
      <c r="G131" s="16">
        <v>654.45000000000005</v>
      </c>
      <c r="H131" s="16">
        <f t="shared" si="4"/>
        <v>34.396124999999998</v>
      </c>
      <c r="I131" s="5"/>
      <c r="J131" s="15">
        <v>606.32159999999999</v>
      </c>
      <c r="K131" s="16">
        <v>34.389600000000002</v>
      </c>
      <c r="L131" s="16">
        <v>39.467399999999998</v>
      </c>
      <c r="M131" s="16">
        <v>38.0167</v>
      </c>
      <c r="N131" s="16">
        <v>728.86300000000006</v>
      </c>
      <c r="O131" s="16">
        <f t="shared" si="5"/>
        <v>35.477712500000003</v>
      </c>
      <c r="P131" s="7"/>
      <c r="Q131" s="8">
        <f>bdrate(C131:C134,D131:D134,J131:J134,K131:K134)</f>
        <v>-0.19821580300110442</v>
      </c>
      <c r="R131" s="8">
        <f>bdrate(C131:C134,E131:E134,J131:J134,L131:L134)</f>
        <v>-0.33919136170209707</v>
      </c>
      <c r="S131" s="8">
        <f>bdrate(C131:C134,F131:F134,J131:J134,M131:M134)</f>
        <v>-0.24996530471807699</v>
      </c>
      <c r="T131" s="25">
        <f>bdrate(C131:C134,H131:H134,J131:J134,O131:O134)</f>
        <v>-0.21625016604479297</v>
      </c>
      <c r="U131" s="28">
        <f t="shared" si="6"/>
        <v>0.11370310948124381</v>
      </c>
    </row>
    <row r="132" spans="1:21" x14ac:dyDescent="0.25">
      <c r="A132" s="9" t="s">
        <v>42</v>
      </c>
      <c r="B132" s="9"/>
      <c r="C132" s="17">
        <v>427.32</v>
      </c>
      <c r="D132" s="18">
        <v>31.725000000000001</v>
      </c>
      <c r="E132" s="18">
        <v>37.283999999999999</v>
      </c>
      <c r="F132" s="18">
        <v>35.764000000000003</v>
      </c>
      <c r="G132" s="18">
        <v>745.16</v>
      </c>
      <c r="H132" s="18">
        <f t="shared" si="4"/>
        <v>32.924750000000003</v>
      </c>
      <c r="I132" s="5"/>
      <c r="J132" s="17">
        <v>404.79199999999997</v>
      </c>
      <c r="K132" s="18">
        <v>32.585099999999997</v>
      </c>
      <c r="L132" s="18">
        <v>38.255499999999998</v>
      </c>
      <c r="M132" s="18">
        <v>36.601900000000001</v>
      </c>
      <c r="N132" s="18">
        <v>866.55110000000002</v>
      </c>
      <c r="O132" s="18">
        <f t="shared" si="5"/>
        <v>33.795999999999999</v>
      </c>
      <c r="P132" s="7"/>
      <c r="Q132" s="10"/>
      <c r="R132" s="11"/>
      <c r="S132" s="11"/>
      <c r="T132" s="26"/>
      <c r="U132" s="28">
        <f t="shared" si="6"/>
        <v>0.16290608728326811</v>
      </c>
    </row>
    <row r="133" spans="1:21" x14ac:dyDescent="0.25">
      <c r="B133" s="9"/>
      <c r="C133" s="17">
        <v>267.33</v>
      </c>
      <c r="D133" s="18">
        <v>30.071000000000002</v>
      </c>
      <c r="E133" s="18">
        <v>36.311999999999998</v>
      </c>
      <c r="F133" s="18">
        <v>34.533000000000001</v>
      </c>
      <c r="G133" s="18">
        <v>843.17</v>
      </c>
      <c r="H133" s="18">
        <f t="shared" si="4"/>
        <v>31.408875000000002</v>
      </c>
      <c r="I133" s="5"/>
      <c r="J133" s="17">
        <v>253.9</v>
      </c>
      <c r="K133" s="18">
        <v>30.6904</v>
      </c>
      <c r="L133" s="18">
        <v>37.100999999999999</v>
      </c>
      <c r="M133" s="18">
        <v>35.150199999999998</v>
      </c>
      <c r="N133" s="18">
        <v>972.76260000000002</v>
      </c>
      <c r="O133" s="18">
        <f t="shared" si="5"/>
        <v>32.049199999999999</v>
      </c>
      <c r="P133" s="7"/>
      <c r="Q133" s="10"/>
      <c r="R133" s="11"/>
      <c r="S133" s="11"/>
      <c r="T133" s="26"/>
      <c r="U133" s="28">
        <f t="shared" si="6"/>
        <v>0.15369688200481524</v>
      </c>
    </row>
    <row r="134" spans="1:21" ht="16.5" thickBot="1" x14ac:dyDescent="0.3">
      <c r="B134" s="12"/>
      <c r="C134" s="19">
        <v>128.13999999999999</v>
      </c>
      <c r="D134" s="20">
        <v>27.622</v>
      </c>
      <c r="E134" s="20">
        <v>34.878</v>
      </c>
      <c r="F134" s="20">
        <v>32.567999999999998</v>
      </c>
      <c r="G134" s="20">
        <v>1035.2</v>
      </c>
      <c r="H134" s="20">
        <f t="shared" si="4"/>
        <v>29.14725</v>
      </c>
      <c r="I134" s="5"/>
      <c r="J134" s="19">
        <v>122.508</v>
      </c>
      <c r="K134" s="20">
        <v>27.881599999999999</v>
      </c>
      <c r="L134" s="20">
        <v>35.458599999999997</v>
      </c>
      <c r="M134" s="20">
        <v>33.089599999999997</v>
      </c>
      <c r="N134" s="20">
        <v>1392.7577000000001</v>
      </c>
      <c r="O134" s="20">
        <f t="shared" si="5"/>
        <v>29.479724999999998</v>
      </c>
      <c r="P134" s="7"/>
      <c r="Q134" s="13"/>
      <c r="R134" s="14"/>
      <c r="S134" s="14"/>
      <c r="T134" s="27"/>
      <c r="U134" s="28">
        <f t="shared" si="6"/>
        <v>0.3453996329211747</v>
      </c>
    </row>
    <row r="135" spans="1:21" x14ac:dyDescent="0.25">
      <c r="B135" s="6" t="s">
        <v>58</v>
      </c>
      <c r="C135" s="15">
        <v>554.9</v>
      </c>
      <c r="D135" s="16">
        <v>30.052</v>
      </c>
      <c r="E135" s="16">
        <v>38.456000000000003</v>
      </c>
      <c r="F135" s="16">
        <v>39.064999999999998</v>
      </c>
      <c r="G135" s="16">
        <v>1039.8599999999999</v>
      </c>
      <c r="H135" s="16">
        <f t="shared" si="4"/>
        <v>32.229125000000003</v>
      </c>
      <c r="I135" s="5"/>
      <c r="J135" s="15">
        <v>607.72</v>
      </c>
      <c r="K135" s="16">
        <v>33.617600000000003</v>
      </c>
      <c r="L135" s="16">
        <v>41.121600000000001</v>
      </c>
      <c r="M135" s="16">
        <v>41.9405</v>
      </c>
      <c r="N135" s="16">
        <v>874.63559999999995</v>
      </c>
      <c r="O135" s="16">
        <f t="shared" si="5"/>
        <v>35.595962499999999</v>
      </c>
      <c r="P135" s="7"/>
      <c r="Q135" s="8">
        <f>bdrate(C135:C138,D135:D138,J135:J138,K135:K138)</f>
        <v>-0.63387902758309234</v>
      </c>
      <c r="R135" s="8">
        <f>bdrate(C135:C138,E135:E138,J135:J138,L135:L138)</f>
        <v>-0.71885866044551783</v>
      </c>
      <c r="S135" s="8">
        <f>bdrate(C135:C138,F135:F138,J135:J138,M135:M138)</f>
        <v>-0.68171300567317605</v>
      </c>
      <c r="T135" s="25">
        <f>bdrate(C135:C138,H135:H138,J135:J138,O135:O138)</f>
        <v>-0.64400138628081094</v>
      </c>
      <c r="U135" s="28">
        <f t="shared" si="6"/>
        <v>-0.15889100455830588</v>
      </c>
    </row>
    <row r="136" spans="1:21" x14ac:dyDescent="0.25">
      <c r="B136" s="9"/>
      <c r="C136" s="17">
        <v>366.73</v>
      </c>
      <c r="D136" s="18">
        <v>28.658000000000001</v>
      </c>
      <c r="E136" s="18">
        <v>38.055999999999997</v>
      </c>
      <c r="F136" s="18">
        <v>38.619</v>
      </c>
      <c r="G136" s="18">
        <v>1202.4000000000001</v>
      </c>
      <c r="H136" s="18">
        <f t="shared" si="4"/>
        <v>31.077875000000002</v>
      </c>
      <c r="I136" s="5"/>
      <c r="J136" s="17">
        <v>405.12720000000002</v>
      </c>
      <c r="K136" s="18">
        <v>32.341700000000003</v>
      </c>
      <c r="L136" s="18">
        <v>40.207900000000002</v>
      </c>
      <c r="M136" s="18">
        <v>41.008600000000001</v>
      </c>
      <c r="N136" s="18">
        <v>1098.9011</v>
      </c>
      <c r="O136" s="18">
        <f t="shared" si="5"/>
        <v>34.408337500000002</v>
      </c>
      <c r="P136" s="7"/>
      <c r="Q136" s="10"/>
      <c r="R136" s="11"/>
      <c r="S136" s="11"/>
      <c r="T136" s="26"/>
      <c r="U136" s="28">
        <f t="shared" si="6"/>
        <v>-8.6076929474384598E-2</v>
      </c>
    </row>
    <row r="137" spans="1:21" x14ac:dyDescent="0.25">
      <c r="B137" s="9"/>
      <c r="C137" s="17">
        <v>228.84</v>
      </c>
      <c r="D137" s="18">
        <v>27.19</v>
      </c>
      <c r="E137" s="18">
        <v>37.648000000000003</v>
      </c>
      <c r="F137" s="18">
        <v>38.121000000000002</v>
      </c>
      <c r="G137" s="18">
        <v>1324.5</v>
      </c>
      <c r="H137" s="18">
        <f t="shared" si="4"/>
        <v>29.863625000000003</v>
      </c>
      <c r="I137" s="5"/>
      <c r="J137" s="17">
        <v>253.04480000000001</v>
      </c>
      <c r="K137" s="18">
        <v>30.821000000000002</v>
      </c>
      <c r="L137" s="18">
        <v>39.476799999999997</v>
      </c>
      <c r="M137" s="18">
        <v>40.044699999999999</v>
      </c>
      <c r="N137" s="18">
        <v>1372.9976999999999</v>
      </c>
      <c r="O137" s="18">
        <f t="shared" si="5"/>
        <v>33.055937499999999</v>
      </c>
      <c r="P137" s="7"/>
      <c r="Q137" s="10"/>
      <c r="R137" s="11"/>
      <c r="S137" s="11"/>
      <c r="T137" s="26"/>
      <c r="U137" s="28">
        <f t="shared" si="6"/>
        <v>3.6615855039637518E-2</v>
      </c>
    </row>
    <row r="138" spans="1:21" ht="16.5" thickBot="1" x14ac:dyDescent="0.3">
      <c r="B138" s="12"/>
      <c r="C138" s="19">
        <v>104.16</v>
      </c>
      <c r="D138" s="20">
        <v>24.535</v>
      </c>
      <c r="E138" s="20">
        <v>36.991</v>
      </c>
      <c r="F138" s="20">
        <v>37.228999999999999</v>
      </c>
      <c r="G138" s="20">
        <v>1477.83</v>
      </c>
      <c r="H138" s="20">
        <f t="shared" si="4"/>
        <v>27.678750000000001</v>
      </c>
      <c r="I138" s="5"/>
      <c r="J138" s="19">
        <v>121.7016</v>
      </c>
      <c r="K138" s="20">
        <v>28.271899999999999</v>
      </c>
      <c r="L138" s="20">
        <v>38.124200000000002</v>
      </c>
      <c r="M138" s="20">
        <v>38.537199999999999</v>
      </c>
      <c r="N138" s="20">
        <v>1749.2710999999999</v>
      </c>
      <c r="O138" s="20">
        <f t="shared" si="5"/>
        <v>30.7866</v>
      </c>
      <c r="P138" s="7"/>
      <c r="Q138" s="13"/>
      <c r="R138" s="14"/>
      <c r="S138" s="14"/>
      <c r="T138" s="27"/>
      <c r="U138" s="28">
        <f t="shared" si="6"/>
        <v>0.18367545658160953</v>
      </c>
    </row>
    <row r="139" spans="1:21" x14ac:dyDescent="0.25">
      <c r="B139" s="6" t="s">
        <v>59</v>
      </c>
      <c r="C139" s="29">
        <v>641.79</v>
      </c>
      <c r="D139" s="30">
        <v>31.036999999999999</v>
      </c>
      <c r="E139" s="30">
        <v>35.746000000000002</v>
      </c>
      <c r="F139" s="30">
        <v>36.268999999999998</v>
      </c>
      <c r="G139" s="16">
        <v>822.37</v>
      </c>
      <c r="H139" s="16">
        <f t="shared" si="4"/>
        <v>32.279624999999996</v>
      </c>
      <c r="I139" s="5"/>
      <c r="J139" s="29">
        <v>634.69759999999997</v>
      </c>
      <c r="K139" s="30">
        <v>33.081099999999999</v>
      </c>
      <c r="L139" s="30">
        <v>37.961799999999997</v>
      </c>
      <c r="M139" s="30">
        <v>38.720399999999998</v>
      </c>
      <c r="N139" s="16">
        <v>801.28210000000001</v>
      </c>
      <c r="O139" s="16">
        <f t="shared" si="5"/>
        <v>34.396099999999997</v>
      </c>
      <c r="P139" s="7"/>
      <c r="Q139" s="8">
        <f>bdrate(C139:C142,D139:D142,J139:J142,K139:K142)</f>
        <v>-0.42774047745294841</v>
      </c>
      <c r="R139" s="8">
        <f>bdrate(C139:C142,E139:E142,J139:J142,L139:L142)</f>
        <v>-0.58511036550861961</v>
      </c>
      <c r="S139" s="8">
        <f>bdrate(C139:C142,F139:F142,J139:J142,M139:M142)</f>
        <v>-0.62777843302230785</v>
      </c>
      <c r="T139" s="25">
        <f>bdrate(C139:C142,H139:H142,J139:J142,O139:O142)</f>
        <v>-0.46462618029905201</v>
      </c>
      <c r="U139" s="28">
        <f t="shared" si="6"/>
        <v>-2.5642837165752629E-2</v>
      </c>
    </row>
    <row r="140" spans="1:21" x14ac:dyDescent="0.25">
      <c r="B140" s="9"/>
      <c r="C140" s="31">
        <v>425.95</v>
      </c>
      <c r="D140" s="32">
        <v>29.614999999999998</v>
      </c>
      <c r="E140" s="32">
        <v>34.82</v>
      </c>
      <c r="F140" s="32">
        <v>35.375</v>
      </c>
      <c r="G140" s="18">
        <v>915.75</v>
      </c>
      <c r="H140" s="18">
        <f t="shared" si="4"/>
        <v>30.985624999999999</v>
      </c>
      <c r="I140" s="5"/>
      <c r="J140" s="31">
        <v>422.0016</v>
      </c>
      <c r="K140" s="32">
        <v>31.565899999999999</v>
      </c>
      <c r="L140" s="32">
        <v>36.957999999999998</v>
      </c>
      <c r="M140" s="32">
        <v>37.671100000000003</v>
      </c>
      <c r="N140" s="18">
        <v>1002.004</v>
      </c>
      <c r="O140" s="18">
        <f t="shared" si="5"/>
        <v>33.003062499999999</v>
      </c>
      <c r="P140" s="7"/>
      <c r="Q140" s="10"/>
      <c r="R140" s="11"/>
      <c r="S140" s="11"/>
      <c r="T140" s="26"/>
      <c r="U140" s="28">
        <f t="shared" si="6"/>
        <v>9.4189462189462211E-2</v>
      </c>
    </row>
    <row r="141" spans="1:21" x14ac:dyDescent="0.25">
      <c r="B141" s="9"/>
      <c r="C141" s="31">
        <v>264.2</v>
      </c>
      <c r="D141" s="32">
        <v>28.102</v>
      </c>
      <c r="E141" s="32">
        <v>33.911999999999999</v>
      </c>
      <c r="F141" s="32">
        <v>34.478000000000002</v>
      </c>
      <c r="G141" s="18">
        <v>1068.3800000000001</v>
      </c>
      <c r="H141" s="18">
        <f t="shared" si="4"/>
        <v>29.625250000000001</v>
      </c>
      <c r="I141" s="5"/>
      <c r="J141" s="31">
        <v>264.0496</v>
      </c>
      <c r="K141" s="32">
        <v>29.8964</v>
      </c>
      <c r="L141" s="32">
        <v>35.756399999999999</v>
      </c>
      <c r="M141" s="32">
        <v>36.507300000000001</v>
      </c>
      <c r="N141" s="18">
        <v>1187.6485</v>
      </c>
      <c r="O141" s="18">
        <f t="shared" si="5"/>
        <v>31.455262499999996</v>
      </c>
      <c r="P141" s="7"/>
      <c r="Q141" s="10"/>
      <c r="R141" s="11"/>
      <c r="S141" s="11"/>
      <c r="T141" s="26"/>
      <c r="U141" s="28">
        <f t="shared" si="6"/>
        <v>0.11163490518354882</v>
      </c>
    </row>
    <row r="142" spans="1:21" ht="16.5" thickBot="1" x14ac:dyDescent="0.3">
      <c r="B142" s="12"/>
      <c r="C142" s="33">
        <v>123.76</v>
      </c>
      <c r="D142" s="34">
        <v>25.863</v>
      </c>
      <c r="E142" s="34">
        <v>32.372</v>
      </c>
      <c r="F142" s="34">
        <v>33.040999999999997</v>
      </c>
      <c r="G142" s="20">
        <v>1234.57</v>
      </c>
      <c r="H142" s="20">
        <f t="shared" si="4"/>
        <v>27.573875000000001</v>
      </c>
      <c r="I142" s="5"/>
      <c r="J142" s="33">
        <v>126.67440000000001</v>
      </c>
      <c r="K142" s="34">
        <v>27.533200000000001</v>
      </c>
      <c r="L142" s="34">
        <v>34.1145</v>
      </c>
      <c r="M142" s="34">
        <v>34.911000000000001</v>
      </c>
      <c r="N142" s="20">
        <v>1396.6479999999999</v>
      </c>
      <c r="O142" s="20">
        <f t="shared" si="5"/>
        <v>29.278087500000002</v>
      </c>
      <c r="P142" s="7"/>
      <c r="Q142" s="13"/>
      <c r="R142" s="14"/>
      <c r="S142" s="14"/>
      <c r="T142" s="27"/>
      <c r="U142" s="28">
        <f t="shared" si="6"/>
        <v>0.1312829568189734</v>
      </c>
    </row>
    <row r="143" spans="1:21" x14ac:dyDescent="0.25">
      <c r="B143" s="6" t="s">
        <v>60</v>
      </c>
      <c r="C143" s="15">
        <v>581.1</v>
      </c>
      <c r="D143" s="16">
        <v>32.472999999999999</v>
      </c>
      <c r="E143" s="16">
        <v>36.468000000000004</v>
      </c>
      <c r="F143" s="16">
        <v>37.588000000000001</v>
      </c>
      <c r="G143" s="16">
        <v>533.80999999999995</v>
      </c>
      <c r="H143" s="16">
        <f t="shared" si="4"/>
        <v>33.611750000000001</v>
      </c>
      <c r="I143" s="5"/>
      <c r="J143" s="15">
        <v>606.49919999999997</v>
      </c>
      <c r="K143" s="16">
        <v>34.0107</v>
      </c>
      <c r="L143" s="16">
        <v>37.608199999999997</v>
      </c>
      <c r="M143" s="16">
        <v>38.657899999999998</v>
      </c>
      <c r="N143" s="16">
        <v>519.9307</v>
      </c>
      <c r="O143" s="16">
        <f t="shared" si="5"/>
        <v>35.041287499999996</v>
      </c>
      <c r="P143" s="7"/>
      <c r="Q143" s="8">
        <f>bdrate(C143:C146,D143:D146,J143:J146,K143:K146)</f>
        <v>-0.21419326737661848</v>
      </c>
      <c r="R143" s="8">
        <f>bdrate(C143:C146,E143:E146,J143:J146,L143:L146)</f>
        <v>-0.27784033071482772</v>
      </c>
      <c r="S143" s="8">
        <f>bdrate(C143:C146,F143:F146,J143:J146,M143:M146)</f>
        <v>-0.27534221095132094</v>
      </c>
      <c r="T143" s="25">
        <f>bdrate(C143:C146,H143:H146,J143:J146,O143:O146)</f>
        <v>-0.22696256441706775</v>
      </c>
      <c r="U143" s="28">
        <f t="shared" si="6"/>
        <v>-2.6000449598171532E-2</v>
      </c>
    </row>
    <row r="144" spans="1:21" x14ac:dyDescent="0.25">
      <c r="B144" s="9"/>
      <c r="C144" s="17">
        <v>389.28</v>
      </c>
      <c r="D144" s="18">
        <v>30.922000000000001</v>
      </c>
      <c r="E144" s="18">
        <v>35.42</v>
      </c>
      <c r="F144" s="18">
        <v>36.481000000000002</v>
      </c>
      <c r="G144" s="18">
        <v>601.20000000000005</v>
      </c>
      <c r="H144" s="18">
        <f t="shared" si="4"/>
        <v>32.179124999999999</v>
      </c>
      <c r="I144" s="5"/>
      <c r="J144" s="17">
        <v>404.3048</v>
      </c>
      <c r="K144" s="18">
        <v>32.180199999999999</v>
      </c>
      <c r="L144" s="18">
        <v>36.436700000000002</v>
      </c>
      <c r="M144" s="18">
        <v>37.492600000000003</v>
      </c>
      <c r="N144" s="18">
        <v>621.11800000000005</v>
      </c>
      <c r="O144" s="18">
        <f t="shared" si="5"/>
        <v>33.376312499999997</v>
      </c>
      <c r="P144" s="7"/>
      <c r="Q144" s="10"/>
      <c r="R144" s="11"/>
      <c r="S144" s="11"/>
      <c r="T144" s="26"/>
      <c r="U144" s="28">
        <f t="shared" si="6"/>
        <v>3.313040585495676E-2</v>
      </c>
    </row>
    <row r="145" spans="1:21" x14ac:dyDescent="0.25">
      <c r="B145" s="9"/>
      <c r="C145" s="17">
        <v>244.69</v>
      </c>
      <c r="D145" s="18">
        <v>29.343</v>
      </c>
      <c r="E145" s="18">
        <v>34.347000000000001</v>
      </c>
      <c r="F145" s="18">
        <v>35.274000000000001</v>
      </c>
      <c r="G145" s="18">
        <v>686.5</v>
      </c>
      <c r="H145" s="18">
        <f t="shared" si="4"/>
        <v>30.709875</v>
      </c>
      <c r="I145" s="5"/>
      <c r="J145" s="17">
        <v>252.99520000000001</v>
      </c>
      <c r="K145" s="18">
        <v>30.267700000000001</v>
      </c>
      <c r="L145" s="18">
        <v>35.152099999999997</v>
      </c>
      <c r="M145" s="18">
        <v>36.152700000000003</v>
      </c>
      <c r="N145" s="18">
        <v>740.74069999999995</v>
      </c>
      <c r="O145" s="18">
        <f t="shared" si="5"/>
        <v>31.613875</v>
      </c>
      <c r="P145" s="7"/>
      <c r="Q145" s="10"/>
      <c r="R145" s="11"/>
      <c r="S145" s="11"/>
      <c r="T145" s="26"/>
      <c r="U145" s="28">
        <f t="shared" si="6"/>
        <v>7.9010487982519959E-2</v>
      </c>
    </row>
    <row r="146" spans="1:21" ht="16.5" thickBot="1" x14ac:dyDescent="0.3">
      <c r="B146" s="12"/>
      <c r="C146" s="19">
        <v>117.25</v>
      </c>
      <c r="D146" s="20">
        <v>27.189</v>
      </c>
      <c r="E146" s="20">
        <v>32.695</v>
      </c>
      <c r="F146" s="20">
        <v>33.536999999999999</v>
      </c>
      <c r="G146" s="20">
        <v>874.64</v>
      </c>
      <c r="H146" s="20">
        <f t="shared" si="4"/>
        <v>28.670750000000002</v>
      </c>
      <c r="I146" s="5"/>
      <c r="J146" s="19">
        <v>121.3648</v>
      </c>
      <c r="K146" s="20">
        <v>27.771799999999999</v>
      </c>
      <c r="L146" s="20">
        <v>33.519100000000002</v>
      </c>
      <c r="M146" s="20">
        <v>34.431699999999999</v>
      </c>
      <c r="N146" s="20">
        <v>961.5385</v>
      </c>
      <c r="O146" s="20">
        <f t="shared" si="5"/>
        <v>29.322700000000001</v>
      </c>
      <c r="P146" s="7"/>
      <c r="Q146" s="13"/>
      <c r="R146" s="14"/>
      <c r="S146" s="14"/>
      <c r="T146" s="27"/>
      <c r="U146" s="28">
        <f t="shared" si="6"/>
        <v>9.935344827586208E-2</v>
      </c>
    </row>
    <row r="147" spans="1:21" x14ac:dyDescent="0.25">
      <c r="A147" s="6" t="s">
        <v>43</v>
      </c>
      <c r="B147" s="6" t="s">
        <v>61</v>
      </c>
      <c r="C147" s="15">
        <v>1376.93</v>
      </c>
      <c r="D147" s="16">
        <v>39.579000000000001</v>
      </c>
      <c r="E147" s="16">
        <v>43.768999999999998</v>
      </c>
      <c r="F147" s="16">
        <v>44.945999999999998</v>
      </c>
      <c r="G147" s="16">
        <v>152.05000000000001</v>
      </c>
      <c r="H147" s="16">
        <f t="shared" si="4"/>
        <v>40.773624999999996</v>
      </c>
      <c r="I147" s="5"/>
      <c r="J147" s="15">
        <v>1557.4792</v>
      </c>
      <c r="K147" s="16">
        <v>41.331499999999998</v>
      </c>
      <c r="L147" s="16">
        <v>45.534500000000001</v>
      </c>
      <c r="M147" s="16">
        <v>46.684399999999997</v>
      </c>
      <c r="N147" s="16">
        <v>207.90020000000001</v>
      </c>
      <c r="O147" s="16">
        <f t="shared" si="5"/>
        <v>42.525987499999992</v>
      </c>
      <c r="P147" s="7"/>
      <c r="Q147" s="8">
        <f>bdrate(C147:C150,D147:D150,J147:J150,K147:K150)</f>
        <v>-0.33477138300295428</v>
      </c>
      <c r="R147" s="8">
        <f>bdrate(C147:C150,E147:E150,J147:J150,L147:L150)</f>
        <v>-0.37567382927676729</v>
      </c>
      <c r="S147" s="8">
        <f>bdrate(C147:C150,F147:F150,J147:J150,M147:M150)</f>
        <v>-0.34687853309583017</v>
      </c>
      <c r="T147" s="25">
        <f>bdrate(C147:C150,H147:H150,J147:J150,O147:O150)</f>
        <v>-0.33929010945379179</v>
      </c>
      <c r="U147" s="28">
        <f t="shared" si="6"/>
        <v>0.36731469911213416</v>
      </c>
    </row>
    <row r="148" spans="1:21" x14ac:dyDescent="0.25">
      <c r="A148" s="9" t="s">
        <v>44</v>
      </c>
      <c r="B148" s="9"/>
      <c r="C148" s="17">
        <v>913.97</v>
      </c>
      <c r="D148" s="18">
        <v>38.143999999999998</v>
      </c>
      <c r="E148" s="18">
        <v>42.744999999999997</v>
      </c>
      <c r="F148" s="18">
        <v>43.872999999999998</v>
      </c>
      <c r="G148" s="18">
        <v>169.44</v>
      </c>
      <c r="H148" s="18">
        <f t="shared" si="4"/>
        <v>39.435249999999996</v>
      </c>
      <c r="I148" s="5"/>
      <c r="J148" s="17">
        <v>990.93759999999997</v>
      </c>
      <c r="K148" s="18">
        <v>40.107900000000001</v>
      </c>
      <c r="L148" s="18">
        <v>44.458300000000001</v>
      </c>
      <c r="M148" s="18">
        <v>45.578699999999998</v>
      </c>
      <c r="N148" s="18">
        <v>307.69229999999999</v>
      </c>
      <c r="O148" s="18">
        <f t="shared" si="5"/>
        <v>41.335549999999998</v>
      </c>
      <c r="P148" s="7"/>
      <c r="Q148" s="10"/>
      <c r="R148" s="11"/>
      <c r="S148" s="11"/>
      <c r="T148" s="26"/>
      <c r="U148" s="28">
        <f t="shared" si="6"/>
        <v>0.8159366147308782</v>
      </c>
    </row>
    <row r="149" spans="1:21" x14ac:dyDescent="0.25">
      <c r="B149" s="9"/>
      <c r="C149" s="17">
        <v>540.92999999999995</v>
      </c>
      <c r="D149" s="18">
        <v>36.167000000000002</v>
      </c>
      <c r="E149" s="18">
        <v>41.856000000000002</v>
      </c>
      <c r="F149" s="18">
        <v>42.893999999999998</v>
      </c>
      <c r="G149" s="18">
        <v>178.89</v>
      </c>
      <c r="H149" s="18">
        <f t="shared" si="4"/>
        <v>37.719000000000001</v>
      </c>
      <c r="I149" s="5"/>
      <c r="J149" s="17">
        <v>581.59280000000001</v>
      </c>
      <c r="K149" s="18">
        <v>38.179099999999998</v>
      </c>
      <c r="L149" s="18">
        <v>43.074599999999997</v>
      </c>
      <c r="M149" s="18">
        <v>44.135100000000001</v>
      </c>
      <c r="N149" s="18">
        <v>346.62049999999999</v>
      </c>
      <c r="O149" s="18">
        <f t="shared" si="5"/>
        <v>39.535537499999997</v>
      </c>
      <c r="P149" s="7"/>
      <c r="Q149" s="10"/>
      <c r="R149" s="11"/>
      <c r="S149" s="11"/>
      <c r="T149" s="26"/>
      <c r="U149" s="28">
        <f t="shared" si="6"/>
        <v>0.93761808932863777</v>
      </c>
    </row>
    <row r="150" spans="1:21" ht="16.5" thickBot="1" x14ac:dyDescent="0.3">
      <c r="B150" s="12"/>
      <c r="C150" s="19">
        <v>257.44</v>
      </c>
      <c r="D150" s="20">
        <v>33.798000000000002</v>
      </c>
      <c r="E150" s="20">
        <v>40.789000000000001</v>
      </c>
      <c r="F150" s="20">
        <v>41.588000000000001</v>
      </c>
      <c r="G150" s="20">
        <v>193.3</v>
      </c>
      <c r="H150" s="20">
        <f t="shared" si="4"/>
        <v>35.645625000000003</v>
      </c>
      <c r="I150" s="5"/>
      <c r="J150" s="19">
        <v>284.01519999999999</v>
      </c>
      <c r="K150" s="20">
        <v>34.7502</v>
      </c>
      <c r="L150" s="20">
        <v>41.116100000000003</v>
      </c>
      <c r="M150" s="20">
        <v>41.944699999999997</v>
      </c>
      <c r="N150" s="20">
        <v>413.50790000000001</v>
      </c>
      <c r="O150" s="20">
        <f t="shared" si="5"/>
        <v>36.445250000000001</v>
      </c>
      <c r="P150" s="7"/>
      <c r="Q150" s="13"/>
      <c r="R150" s="14"/>
      <c r="S150" s="14"/>
      <c r="T150" s="27"/>
      <c r="U150" s="28">
        <f t="shared" si="6"/>
        <v>1.1392027935851008</v>
      </c>
    </row>
    <row r="151" spans="1:21" x14ac:dyDescent="0.25">
      <c r="B151" s="6" t="s">
        <v>62</v>
      </c>
      <c r="C151" s="15">
        <v>1428.16</v>
      </c>
      <c r="D151" s="16">
        <v>41.508000000000003</v>
      </c>
      <c r="E151" s="16">
        <v>46.308</v>
      </c>
      <c r="F151" s="16">
        <v>46.926000000000002</v>
      </c>
      <c r="G151" s="16">
        <v>153.85</v>
      </c>
      <c r="H151" s="16">
        <f t="shared" si="4"/>
        <v>42.785249999999998</v>
      </c>
      <c r="I151" s="5"/>
      <c r="J151" s="15">
        <v>1503.6823999999999</v>
      </c>
      <c r="K151" s="16">
        <v>42.563000000000002</v>
      </c>
      <c r="L151" s="16">
        <v>47.57</v>
      </c>
      <c r="M151" s="16">
        <v>48.2545</v>
      </c>
      <c r="N151" s="16">
        <v>219.78020000000001</v>
      </c>
      <c r="O151" s="16">
        <f t="shared" si="5"/>
        <v>43.900312500000005</v>
      </c>
      <c r="P151" s="7"/>
      <c r="Q151" s="8">
        <f>bdrate(C151:C154,D151:D154,J151:J154,K151:K154)</f>
        <v>-0.43517852308781957</v>
      </c>
      <c r="R151" s="8">
        <f>bdrate(C151:C154,E151:E154,J151:J154,L151:L154)</f>
        <v>-0.48225129803127709</v>
      </c>
      <c r="S151" s="8">
        <f>bdrate(C151:C154,F151:F154,J151:J154,M151:M154)</f>
        <v>-0.48445060927203221</v>
      </c>
      <c r="T151" s="25">
        <f>bdrate(C151:C154,H151:H154,J151:J154,O151:O154)</f>
        <v>-0.4467844778883322</v>
      </c>
      <c r="U151" s="28">
        <f t="shared" ref="U151:U158" si="7">(N151-G151)/G151</f>
        <v>0.42853558661033486</v>
      </c>
    </row>
    <row r="152" spans="1:21" x14ac:dyDescent="0.25">
      <c r="B152" s="9"/>
      <c r="C152" s="17">
        <v>942.43</v>
      </c>
      <c r="D152" s="18">
        <v>40.771000000000001</v>
      </c>
      <c r="E152" s="18">
        <v>45.576999999999998</v>
      </c>
      <c r="F152" s="18">
        <v>46.222000000000001</v>
      </c>
      <c r="G152" s="18">
        <v>167.93</v>
      </c>
      <c r="H152" s="18">
        <f t="shared" si="4"/>
        <v>42.053124999999994</v>
      </c>
      <c r="I152" s="5"/>
      <c r="J152" s="17">
        <v>1002.2776</v>
      </c>
      <c r="K152" s="18">
        <v>42.009599999999999</v>
      </c>
      <c r="L152" s="18">
        <v>46.990499999999997</v>
      </c>
      <c r="M152" s="18">
        <v>47.662799999999997</v>
      </c>
      <c r="N152" s="18">
        <v>320.51280000000003</v>
      </c>
      <c r="O152" s="18">
        <f t="shared" si="5"/>
        <v>43.338862499999998</v>
      </c>
      <c r="P152" s="7"/>
      <c r="Q152" s="10"/>
      <c r="R152" s="11"/>
      <c r="S152" s="11"/>
      <c r="T152" s="26"/>
      <c r="U152" s="28">
        <f t="shared" si="7"/>
        <v>0.90860953968915625</v>
      </c>
    </row>
    <row r="153" spans="1:21" x14ac:dyDescent="0.25">
      <c r="B153" s="9"/>
      <c r="C153" s="17">
        <v>555.21</v>
      </c>
      <c r="D153" s="18">
        <v>39.634999999999998</v>
      </c>
      <c r="E153" s="18">
        <v>44.600999999999999</v>
      </c>
      <c r="F153" s="18">
        <v>45.078000000000003</v>
      </c>
      <c r="G153" s="18">
        <v>179.69</v>
      </c>
      <c r="H153" s="18">
        <f t="shared" si="4"/>
        <v>40.936125000000004</v>
      </c>
      <c r="I153" s="5"/>
      <c r="J153" s="17">
        <v>574.55200000000002</v>
      </c>
      <c r="K153" s="18">
        <v>41.063000000000002</v>
      </c>
      <c r="L153" s="18">
        <v>46.061999999999998</v>
      </c>
      <c r="M153" s="18">
        <v>46.690899999999999</v>
      </c>
      <c r="N153" s="18">
        <v>359.49669999999998</v>
      </c>
      <c r="O153" s="18">
        <f t="shared" si="5"/>
        <v>42.3913625</v>
      </c>
      <c r="P153" s="7"/>
      <c r="Q153" s="10"/>
      <c r="R153" s="11"/>
      <c r="S153" s="11"/>
      <c r="T153" s="26"/>
      <c r="U153" s="28">
        <f t="shared" si="7"/>
        <v>1.0006494518337135</v>
      </c>
    </row>
    <row r="154" spans="1:21" ht="16.5" thickBot="1" x14ac:dyDescent="0.3">
      <c r="B154" s="12"/>
      <c r="C154" s="19">
        <v>263.52999999999997</v>
      </c>
      <c r="D154" s="20">
        <v>37.423999999999999</v>
      </c>
      <c r="E154" s="20">
        <v>43.302</v>
      </c>
      <c r="F154" s="20">
        <v>43.777999999999999</v>
      </c>
      <c r="G154" s="20">
        <v>190.42</v>
      </c>
      <c r="H154" s="20">
        <f t="shared" si="4"/>
        <v>38.953000000000003</v>
      </c>
      <c r="I154" s="5"/>
      <c r="J154" s="19">
        <v>285.89600000000002</v>
      </c>
      <c r="K154" s="20">
        <v>39.005099999999999</v>
      </c>
      <c r="L154" s="20">
        <v>44.206400000000002</v>
      </c>
      <c r="M154" s="20">
        <v>44.726300000000002</v>
      </c>
      <c r="N154" s="20">
        <v>400.53399999999999</v>
      </c>
      <c r="O154" s="20">
        <f t="shared" si="5"/>
        <v>40.370412499999993</v>
      </c>
      <c r="P154" s="7"/>
      <c r="Q154" s="13"/>
      <c r="R154" s="14"/>
      <c r="S154" s="14"/>
      <c r="T154" s="27"/>
      <c r="U154" s="28">
        <f t="shared" si="7"/>
        <v>1.1034240100829746</v>
      </c>
    </row>
    <row r="155" spans="1:21" x14ac:dyDescent="0.25">
      <c r="B155" s="6" t="s">
        <v>63</v>
      </c>
      <c r="C155" s="15">
        <v>1495.4</v>
      </c>
      <c r="D155" s="16">
        <v>41.185000000000002</v>
      </c>
      <c r="E155" s="16">
        <v>45.335999999999999</v>
      </c>
      <c r="F155" s="16">
        <v>46.167000000000002</v>
      </c>
      <c r="G155" s="16">
        <v>143.51</v>
      </c>
      <c r="H155" s="16">
        <f t="shared" si="4"/>
        <v>42.326625000000007</v>
      </c>
      <c r="I155" s="5"/>
      <c r="J155" s="15">
        <v>1552.1904</v>
      </c>
      <c r="K155" s="16">
        <v>42.415599999999998</v>
      </c>
      <c r="L155" s="16">
        <v>46.639800000000001</v>
      </c>
      <c r="M155" s="16">
        <v>47.512999999999998</v>
      </c>
      <c r="N155" s="16">
        <v>218.49959999999999</v>
      </c>
      <c r="O155" s="16">
        <f t="shared" si="5"/>
        <v>43.580799999999996</v>
      </c>
      <c r="P155" s="7"/>
      <c r="Q155" s="8">
        <f>bdrate(C155:C158,D155:D158,J155:J158,K155:K158)</f>
        <v>-0.38237187459751842</v>
      </c>
      <c r="R155" s="8">
        <f>bdrate(C155:C158,E155:E158,J155:J158,L155:L158)</f>
        <v>-0.38806264297439175</v>
      </c>
      <c r="S155" s="8">
        <f>bdrate(C155:C158,F155:F158,J155:J158,M155:M158)</f>
        <v>-0.36304086474102359</v>
      </c>
      <c r="T155" s="25">
        <f>bdrate(C155:C158,H155:H158,J155:J158,O155:O158)</f>
        <v>-0.38093968055423921</v>
      </c>
      <c r="U155" s="28">
        <f t="shared" si="7"/>
        <v>0.52253919587485198</v>
      </c>
    </row>
    <row r="156" spans="1:21" x14ac:dyDescent="0.25">
      <c r="B156" s="9"/>
      <c r="C156" s="17">
        <v>992.85</v>
      </c>
      <c r="D156" s="18">
        <v>40.076999999999998</v>
      </c>
      <c r="E156" s="18">
        <v>44.332999999999998</v>
      </c>
      <c r="F156" s="18">
        <v>45.222000000000001</v>
      </c>
      <c r="G156" s="18">
        <v>162.25</v>
      </c>
      <c r="H156" s="18">
        <f t="shared" si="4"/>
        <v>41.252124999999992</v>
      </c>
      <c r="I156" s="5"/>
      <c r="J156" s="17">
        <v>1013.9263999999999</v>
      </c>
      <c r="K156" s="18">
        <v>41.528100000000002</v>
      </c>
      <c r="L156" s="18">
        <v>45.726999999999997</v>
      </c>
      <c r="M156" s="18">
        <v>46.545499999999997</v>
      </c>
      <c r="N156" s="18">
        <v>310.23779999999999</v>
      </c>
      <c r="O156" s="18">
        <f t="shared" si="5"/>
        <v>42.680137500000001</v>
      </c>
      <c r="P156" s="7"/>
      <c r="Q156" s="10"/>
      <c r="R156" s="11"/>
      <c r="S156" s="11"/>
      <c r="T156" s="26"/>
      <c r="U156" s="28">
        <f t="shared" si="7"/>
        <v>0.91209738058551615</v>
      </c>
    </row>
    <row r="157" spans="1:21" x14ac:dyDescent="0.25">
      <c r="B157" s="9"/>
      <c r="C157" s="17">
        <v>588.52</v>
      </c>
      <c r="D157" s="18">
        <v>38.316000000000003</v>
      </c>
      <c r="E157" s="18">
        <v>43.11</v>
      </c>
      <c r="F157" s="18">
        <v>44.029000000000003</v>
      </c>
      <c r="G157" s="18">
        <v>160.94</v>
      </c>
      <c r="H157" s="18">
        <f t="shared" si="4"/>
        <v>39.629375000000003</v>
      </c>
      <c r="I157" s="5"/>
      <c r="J157" s="17">
        <v>598.59760000000006</v>
      </c>
      <c r="K157" s="18">
        <v>40.034300000000002</v>
      </c>
      <c r="L157" s="18">
        <v>44.378999999999998</v>
      </c>
      <c r="M157" s="18">
        <v>45.175400000000003</v>
      </c>
      <c r="N157" s="18">
        <v>352.7337</v>
      </c>
      <c r="O157" s="18">
        <f t="shared" si="5"/>
        <v>41.220025000000007</v>
      </c>
      <c r="P157" s="7"/>
      <c r="Q157" s="10"/>
      <c r="R157" s="11"/>
      <c r="S157" s="11"/>
      <c r="T157" s="26"/>
      <c r="U157" s="28">
        <f t="shared" si="7"/>
        <v>1.1917093326705606</v>
      </c>
    </row>
    <row r="158" spans="1:21" ht="16.5" thickBot="1" x14ac:dyDescent="0.3">
      <c r="B158" s="12"/>
      <c r="C158" s="19">
        <v>280.33999999999997</v>
      </c>
      <c r="D158" s="20">
        <v>35.881999999999998</v>
      </c>
      <c r="E158" s="20">
        <v>41.676000000000002</v>
      </c>
      <c r="F158" s="20">
        <v>42.609000000000002</v>
      </c>
      <c r="G158" s="20">
        <v>172.46</v>
      </c>
      <c r="H158" s="20">
        <f t="shared" si="4"/>
        <v>37.447124999999993</v>
      </c>
      <c r="I158" s="5"/>
      <c r="J158" s="19">
        <v>295.23520000000002</v>
      </c>
      <c r="K158" s="20">
        <v>37.381599999999999</v>
      </c>
      <c r="L158" s="20">
        <v>42.444000000000003</v>
      </c>
      <c r="M158" s="20">
        <v>43.270499999999998</v>
      </c>
      <c r="N158" s="20">
        <v>400.26679999999999</v>
      </c>
      <c r="O158" s="20">
        <f t="shared" si="5"/>
        <v>38.750512499999999</v>
      </c>
      <c r="P158" s="7"/>
      <c r="Q158" s="13"/>
      <c r="R158" s="14"/>
      <c r="S158" s="14"/>
      <c r="T158" s="27"/>
      <c r="U158" s="28">
        <f t="shared" si="7"/>
        <v>1.3209254319842281</v>
      </c>
    </row>
    <row r="159" spans="1:21" ht="16.5" thickBot="1" x14ac:dyDescent="0.3">
      <c r="B159" s="22" t="s">
        <v>22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1">
        <f>AVERAGE(Q87:Q158)</f>
        <v>-0.31641448044088044</v>
      </c>
      <c r="R159" s="21">
        <f>AVERAGE(R87:R158)</f>
        <v>-0.43510699184224949</v>
      </c>
      <c r="S159" s="21">
        <f>AVERAGE(S87:S158)</f>
        <v>-0.413531837484373</v>
      </c>
      <c r="T159" s="21">
        <f>AVERAGE(T87:T158)</f>
        <v>-0.33545619330009474</v>
      </c>
      <c r="U159" s="21">
        <f>AVERAGE(U87:U158)</f>
        <v>0.61777319145567555</v>
      </c>
    </row>
  </sheetData>
  <mergeCells count="12">
    <mergeCell ref="B83:B84"/>
    <mergeCell ref="C83:U84"/>
    <mergeCell ref="C85:H85"/>
    <mergeCell ref="J85:O85"/>
    <mergeCell ref="Q85:S85"/>
    <mergeCell ref="U85:U8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15" priority="321" operator="greaterThan">
      <formula>0.03</formula>
    </cfRule>
    <cfRule type="cellIs" dxfId="114" priority="322" stopIfTrue="1" operator="lessThan">
      <formula>-0.03</formula>
    </cfRule>
  </conditionalFormatting>
  <conditionalFormatting sqref="Q33:T36">
    <cfRule type="cellIs" dxfId="113" priority="319" operator="greaterThan">
      <formula>0.03</formula>
    </cfRule>
    <cfRule type="cellIs" dxfId="112" priority="320" stopIfTrue="1" operator="lessThan">
      <formula>-0.03</formula>
    </cfRule>
  </conditionalFormatting>
  <conditionalFormatting sqref="Q46:T48 Q62:T64">
    <cfRule type="cellIs" dxfId="111" priority="317" operator="greaterThan">
      <formula>0.03</formula>
    </cfRule>
    <cfRule type="cellIs" dxfId="110" priority="318" stopIfTrue="1" operator="lessThan">
      <formula>-0.03</formula>
    </cfRule>
  </conditionalFormatting>
  <conditionalFormatting sqref="Q50:T52 Q54:T56 Q58:T60">
    <cfRule type="cellIs" dxfId="109" priority="315" operator="greaterThan">
      <formula>0.03</formula>
    </cfRule>
    <cfRule type="cellIs" dxfId="108" priority="316" stopIfTrue="1" operator="lessThan">
      <formula>-0.03</formula>
    </cfRule>
  </conditionalFormatting>
  <conditionalFormatting sqref="Q70:T72 Q74:T76">
    <cfRule type="cellIs" dxfId="107" priority="313" operator="greaterThan">
      <formula>0.03</formula>
    </cfRule>
    <cfRule type="cellIs" dxfId="106" priority="314" stopIfTrue="1" operator="lessThan">
      <formula>-0.03</formula>
    </cfRule>
  </conditionalFormatting>
  <conditionalFormatting sqref="Q66:T68">
    <cfRule type="cellIs" dxfId="105" priority="311" operator="greaterThan">
      <formula>0.03</formula>
    </cfRule>
    <cfRule type="cellIs" dxfId="104" priority="312" stopIfTrue="1" operator="lessThan">
      <formula>-0.03</formula>
    </cfRule>
  </conditionalFormatting>
  <conditionalFormatting sqref="Q78:T80">
    <cfRule type="cellIs" dxfId="103" priority="309" operator="greaterThan">
      <formula>0.03</formula>
    </cfRule>
    <cfRule type="cellIs" dxfId="102" priority="310" stopIfTrue="1" operator="lessThan">
      <formula>-0.03</formula>
    </cfRule>
  </conditionalFormatting>
  <conditionalFormatting sqref="Q21:T28">
    <cfRule type="cellIs" dxfId="101" priority="291" operator="greaterThan">
      <formula>0.03</formula>
    </cfRule>
    <cfRule type="cellIs" dxfId="100" priority="292" stopIfTrue="1" operator="lessThan">
      <formula>-0.03</formula>
    </cfRule>
  </conditionalFormatting>
  <conditionalFormatting sqref="Q107:T110 Q115:T122 Q87:T98">
    <cfRule type="cellIs" dxfId="99" priority="287" operator="greaterThan">
      <formula>0.03</formula>
    </cfRule>
    <cfRule type="cellIs" dxfId="98" priority="288" stopIfTrue="1" operator="lessThan">
      <formula>-0.03</formula>
    </cfRule>
  </conditionalFormatting>
  <conditionalFormatting sqref="Q111:T114">
    <cfRule type="cellIs" dxfId="97" priority="285" operator="greaterThan">
      <formula>0.03</formula>
    </cfRule>
    <cfRule type="cellIs" dxfId="96" priority="286" stopIfTrue="1" operator="lessThan">
      <formula>-0.03</formula>
    </cfRule>
  </conditionalFormatting>
  <conditionalFormatting sqref="Q123:T126 Q139:T142">
    <cfRule type="cellIs" dxfId="95" priority="283" operator="greaterThan">
      <formula>0.03</formula>
    </cfRule>
    <cfRule type="cellIs" dxfId="94" priority="284" stopIfTrue="1" operator="lessThan">
      <formula>-0.03</formula>
    </cfRule>
  </conditionalFormatting>
  <conditionalFormatting sqref="Q127:T138">
    <cfRule type="cellIs" dxfId="93" priority="281" operator="greaterThan">
      <formula>0.03</formula>
    </cfRule>
    <cfRule type="cellIs" dxfId="92" priority="282" stopIfTrue="1" operator="lessThan">
      <formula>-0.03</formula>
    </cfRule>
  </conditionalFormatting>
  <conditionalFormatting sqref="Q147:T154">
    <cfRule type="cellIs" dxfId="91" priority="279" operator="greaterThan">
      <formula>0.03</formula>
    </cfRule>
    <cfRule type="cellIs" dxfId="90" priority="280" stopIfTrue="1" operator="lessThan">
      <formula>-0.03</formula>
    </cfRule>
  </conditionalFormatting>
  <conditionalFormatting sqref="Q143:T146">
    <cfRule type="cellIs" dxfId="89" priority="277" operator="greaterThan">
      <formula>0.03</formula>
    </cfRule>
    <cfRule type="cellIs" dxfId="88" priority="278" stopIfTrue="1" operator="lessThan">
      <formula>-0.03</formula>
    </cfRule>
  </conditionalFormatting>
  <conditionalFormatting sqref="Q155:T158">
    <cfRule type="cellIs" dxfId="87" priority="275" operator="greaterThan">
      <formula>0.03</formula>
    </cfRule>
    <cfRule type="cellIs" dxfId="86" priority="276" stopIfTrue="1" operator="lessThan">
      <formula>-0.03</formula>
    </cfRule>
  </conditionalFormatting>
  <conditionalFormatting sqref="Q99:T106">
    <cfRule type="cellIs" dxfId="85" priority="273" operator="greaterThan">
      <formula>0.03</formula>
    </cfRule>
    <cfRule type="cellIs" dxfId="84" priority="274" stopIfTrue="1" operator="lessThan">
      <formula>-0.03</formula>
    </cfRule>
  </conditionalFormatting>
  <conditionalFormatting sqref="Q45:T45">
    <cfRule type="cellIs" dxfId="83" priority="271" operator="greaterThan">
      <formula>0.03</formula>
    </cfRule>
    <cfRule type="cellIs" dxfId="82" priority="272" stopIfTrue="1" operator="lessThan">
      <formula>-0.03</formula>
    </cfRule>
  </conditionalFormatting>
  <conditionalFormatting sqref="Q49:T49">
    <cfRule type="cellIs" dxfId="81" priority="269" operator="greaterThan">
      <formula>0.03</formula>
    </cfRule>
    <cfRule type="cellIs" dxfId="80" priority="270" stopIfTrue="1" operator="lessThan">
      <formula>-0.03</formula>
    </cfRule>
  </conditionalFormatting>
  <conditionalFormatting sqref="Q53:T53">
    <cfRule type="cellIs" dxfId="79" priority="267" operator="greaterThan">
      <formula>0.03</formula>
    </cfRule>
    <cfRule type="cellIs" dxfId="78" priority="268" stopIfTrue="1" operator="lessThan">
      <formula>-0.03</formula>
    </cfRule>
  </conditionalFormatting>
  <conditionalFormatting sqref="Q57:T57">
    <cfRule type="cellIs" dxfId="77" priority="265" operator="greaterThan">
      <formula>0.03</formula>
    </cfRule>
    <cfRule type="cellIs" dxfId="76" priority="266" stopIfTrue="1" operator="lessThan">
      <formula>-0.03</formula>
    </cfRule>
  </conditionalFormatting>
  <conditionalFormatting sqref="Q61:T61">
    <cfRule type="cellIs" dxfId="75" priority="263" operator="greaterThan">
      <formula>0.03</formula>
    </cfRule>
    <cfRule type="cellIs" dxfId="74" priority="264" stopIfTrue="1" operator="lessThan">
      <formula>-0.03</formula>
    </cfRule>
  </conditionalFormatting>
  <conditionalFormatting sqref="Q65:T65">
    <cfRule type="cellIs" dxfId="73" priority="261" operator="greaterThan">
      <formula>0.03</formula>
    </cfRule>
    <cfRule type="cellIs" dxfId="72" priority="262" stopIfTrue="1" operator="lessThan">
      <formula>-0.03</formula>
    </cfRule>
  </conditionalFormatting>
  <conditionalFormatting sqref="Q69:T69">
    <cfRule type="cellIs" dxfId="71" priority="259" operator="greaterThan">
      <formula>0.03</formula>
    </cfRule>
    <cfRule type="cellIs" dxfId="70" priority="260" stopIfTrue="1" operator="lessThan">
      <formula>-0.03</formula>
    </cfRule>
  </conditionalFormatting>
  <conditionalFormatting sqref="Q73:T73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Q77:T77">
    <cfRule type="cellIs" dxfId="67" priority="255" operator="greaterThan">
      <formula>0.03</formula>
    </cfRule>
    <cfRule type="cellIs" dxfId="66" priority="256" stopIfTrue="1" operator="lessThan">
      <formula>-0.03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59"/>
  <sheetViews>
    <sheetView topLeftCell="A149" workbookViewId="0">
      <selection activeCell="A159" sqref="A159:XFD378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126</v>
      </c>
    </row>
    <row r="2" spans="1:21" x14ac:dyDescent="0.25">
      <c r="A2" t="s">
        <v>122</v>
      </c>
    </row>
    <row r="3" spans="1:21" x14ac:dyDescent="0.25">
      <c r="A3" t="s">
        <v>121</v>
      </c>
    </row>
    <row r="4" spans="1:21" x14ac:dyDescent="0.25">
      <c r="A4" t="s">
        <v>111</v>
      </c>
    </row>
    <row r="5" spans="1:21" s="35" customFormat="1" ht="15.75" customHeight="1" x14ac:dyDescent="0.25">
      <c r="B5" s="56" t="s">
        <v>29</v>
      </c>
      <c r="C5" s="58" t="s">
        <v>105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68</v>
      </c>
      <c r="D7" s="65"/>
      <c r="E7" s="65"/>
      <c r="F7" s="65"/>
      <c r="G7" s="65"/>
      <c r="H7" s="65"/>
      <c r="I7" s="5"/>
      <c r="J7" s="64" t="s">
        <v>92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3673.24</v>
      </c>
      <c r="D9" s="16">
        <v>37.850999999999999</v>
      </c>
      <c r="E9" s="16">
        <v>38.972000000000001</v>
      </c>
      <c r="F9" s="16">
        <v>41.314</v>
      </c>
      <c r="G9" s="16">
        <v>1.58</v>
      </c>
      <c r="H9" s="16">
        <f t="shared" ref="H9:H80" si="0">(6*D9+E9+F9)/8</f>
        <v>38.423999999999999</v>
      </c>
      <c r="I9" s="5"/>
      <c r="J9" s="15">
        <v>3950.2208000000001</v>
      </c>
      <c r="K9" s="16">
        <v>38.529000000000003</v>
      </c>
      <c r="L9" s="16">
        <v>39.911099999999998</v>
      </c>
      <c r="M9" s="16">
        <v>42.561100000000003</v>
      </c>
      <c r="N9" s="16">
        <v>3.7751999999999999</v>
      </c>
      <c r="O9" s="16">
        <f t="shared" ref="O9:O80" si="1">(6*K9+L9+M9)/8</f>
        <v>39.205775000000003</v>
      </c>
      <c r="P9" s="7"/>
      <c r="Q9" s="8">
        <f>bdrate(C9:C12,D9:D12,J9:J12,K9:K12)</f>
        <v>-7.3557643236172976E-2</v>
      </c>
      <c r="R9" s="8">
        <f>bdrate(C9:C12,E9:E12,J9:J12,L9:L12)</f>
        <v>-0.3730688664474151</v>
      </c>
      <c r="S9" s="8">
        <f>bdrate(C9:C12,F9:F12,J9:J12,M9:M12)</f>
        <v>-0.36137167311206619</v>
      </c>
      <c r="T9" s="25">
        <f>bdrate(C9:C12,H9:H12,J9:J12,O9:O12)</f>
        <v>-0.12426367304119856</v>
      </c>
      <c r="U9" s="28">
        <f t="shared" ref="U9:U72" si="2">(N9-G9)/G9</f>
        <v>1.3893670886075948</v>
      </c>
    </row>
    <row r="10" spans="1:21" x14ac:dyDescent="0.25">
      <c r="A10" s="9" t="s">
        <v>36</v>
      </c>
      <c r="B10" s="9"/>
      <c r="C10" s="17">
        <v>2725.08</v>
      </c>
      <c r="D10" s="18">
        <v>36.94</v>
      </c>
      <c r="E10" s="18">
        <v>38.395000000000003</v>
      </c>
      <c r="F10" s="18">
        <v>40.725000000000001</v>
      </c>
      <c r="G10" s="18">
        <v>1.74</v>
      </c>
      <c r="H10" s="18">
        <f t="shared" si="0"/>
        <v>37.594999999999999</v>
      </c>
      <c r="I10" s="5"/>
      <c r="J10" s="17">
        <v>2916.6959999999999</v>
      </c>
      <c r="K10" s="18">
        <v>37.555300000000003</v>
      </c>
      <c r="L10" s="18">
        <v>39.385100000000001</v>
      </c>
      <c r="M10" s="18">
        <v>41.880699999999997</v>
      </c>
      <c r="N10" s="18">
        <v>4.4413</v>
      </c>
      <c r="O10" s="18">
        <f t="shared" si="1"/>
        <v>38.3247</v>
      </c>
      <c r="P10" s="7"/>
      <c r="Q10" s="10"/>
      <c r="R10" s="11"/>
      <c r="S10" s="11"/>
      <c r="T10" s="26"/>
      <c r="U10" s="28">
        <f t="shared" si="2"/>
        <v>1.552471264367816</v>
      </c>
    </row>
    <row r="11" spans="1:21" x14ac:dyDescent="0.25">
      <c r="B11" s="9"/>
      <c r="C11" s="17">
        <v>1799.48</v>
      </c>
      <c r="D11" s="18">
        <v>35.698999999999998</v>
      </c>
      <c r="E11" s="18">
        <v>37.707000000000001</v>
      </c>
      <c r="F11" s="18">
        <v>40.023000000000003</v>
      </c>
      <c r="G11" s="18">
        <v>1.93</v>
      </c>
      <c r="H11" s="18">
        <f t="shared" si="0"/>
        <v>36.490499999999997</v>
      </c>
      <c r="I11" s="5"/>
      <c r="J11" s="17">
        <v>1897.944</v>
      </c>
      <c r="K11" s="18">
        <v>36.171999999999997</v>
      </c>
      <c r="L11" s="18">
        <v>38.691200000000002</v>
      </c>
      <c r="M11" s="18">
        <v>41.057499999999997</v>
      </c>
      <c r="N11" s="18">
        <v>5.3898999999999999</v>
      </c>
      <c r="O11" s="18">
        <f t="shared" si="1"/>
        <v>37.097587499999996</v>
      </c>
      <c r="P11" s="7"/>
      <c r="Q11" s="10"/>
      <c r="R11" s="11"/>
      <c r="S11" s="11"/>
      <c r="T11" s="26"/>
      <c r="U11" s="28">
        <f t="shared" si="2"/>
        <v>1.7926943005181348</v>
      </c>
    </row>
    <row r="12" spans="1:21" ht="16.5" thickBot="1" x14ac:dyDescent="0.3">
      <c r="B12" s="12"/>
      <c r="C12" s="19">
        <v>867.35</v>
      </c>
      <c r="D12" s="20">
        <v>33.356999999999999</v>
      </c>
      <c r="E12" s="20">
        <v>36.887</v>
      </c>
      <c r="F12" s="20">
        <v>39.128</v>
      </c>
      <c r="G12" s="20">
        <v>2.35</v>
      </c>
      <c r="H12" s="20">
        <f t="shared" si="0"/>
        <v>34.519624999999998</v>
      </c>
      <c r="I12" s="5"/>
      <c r="J12" s="19">
        <v>922.40959999999995</v>
      </c>
      <c r="K12" s="20">
        <v>33.503</v>
      </c>
      <c r="L12" s="20">
        <v>37.204799999999999</v>
      </c>
      <c r="M12" s="20">
        <v>39.427799999999998</v>
      </c>
      <c r="N12" s="20">
        <v>7.5176999999999996</v>
      </c>
      <c r="O12" s="20">
        <f t="shared" si="1"/>
        <v>34.706325</v>
      </c>
      <c r="P12" s="7"/>
      <c r="Q12" s="13"/>
      <c r="R12" s="14"/>
      <c r="S12" s="14"/>
      <c r="T12" s="27"/>
      <c r="U12" s="28">
        <f t="shared" si="2"/>
        <v>2.1990212765957446</v>
      </c>
    </row>
    <row r="13" spans="1:21" x14ac:dyDescent="0.25">
      <c r="B13" s="6" t="s">
        <v>47</v>
      </c>
      <c r="C13" s="15">
        <v>4122.1499999999996</v>
      </c>
      <c r="D13" s="16">
        <v>30.428000000000001</v>
      </c>
      <c r="E13" s="16">
        <v>38.298000000000002</v>
      </c>
      <c r="F13" s="16">
        <v>39.552999999999997</v>
      </c>
      <c r="G13" s="16">
        <v>1.01</v>
      </c>
      <c r="H13" s="16">
        <f t="shared" si="0"/>
        <v>32.552374999999998</v>
      </c>
      <c r="I13" s="5"/>
      <c r="J13" s="15">
        <v>4102.8239999999996</v>
      </c>
      <c r="K13" s="16">
        <v>29.969100000000001</v>
      </c>
      <c r="L13" s="16">
        <v>40.104799999999997</v>
      </c>
      <c r="M13" s="16">
        <v>40.981999999999999</v>
      </c>
      <c r="N13" s="16">
        <v>2.3730000000000002</v>
      </c>
      <c r="O13" s="16">
        <f t="shared" si="1"/>
        <v>32.612674999999996</v>
      </c>
      <c r="P13" s="7"/>
      <c r="Q13" s="8">
        <f>bdrate(C13:C16,D13:D16,J13:J16,K13:K16)</f>
        <v>3.5883360262714659E-2</v>
      </c>
      <c r="R13" s="8">
        <f>bdrate(C13:C16,E13:E16,J13:J16,L13:L16)</f>
        <v>-0.54502967115852363</v>
      </c>
      <c r="S13" s="8">
        <f>bdrate(C13:C16,F13:F16,J13:J16,M13:M16)</f>
        <v>-0.49746705382218237</v>
      </c>
      <c r="T13" s="25">
        <f>bdrate(C13:C16,H13:H16,J13:J16,O13:O16)</f>
        <v>-6.9061015823941418E-2</v>
      </c>
      <c r="U13" s="28">
        <f t="shared" si="2"/>
        <v>1.3495049504950496</v>
      </c>
    </row>
    <row r="14" spans="1:21" x14ac:dyDescent="0.25">
      <c r="B14" s="9"/>
      <c r="C14" s="17">
        <v>3061.46</v>
      </c>
      <c r="D14" s="18">
        <v>29.02</v>
      </c>
      <c r="E14" s="18">
        <v>37.572000000000003</v>
      </c>
      <c r="F14" s="18">
        <v>38.953000000000003</v>
      </c>
      <c r="G14" s="18">
        <v>1.1399999999999999</v>
      </c>
      <c r="H14" s="18">
        <f t="shared" si="0"/>
        <v>31.330625000000001</v>
      </c>
      <c r="I14" s="5"/>
      <c r="J14" s="17">
        <v>3082.5295999999998</v>
      </c>
      <c r="K14" s="18">
        <v>28.7044</v>
      </c>
      <c r="L14" s="18">
        <v>39.546599999999998</v>
      </c>
      <c r="M14" s="18">
        <v>40.510599999999997</v>
      </c>
      <c r="N14" s="18">
        <v>2.7766000000000002</v>
      </c>
      <c r="O14" s="18">
        <f t="shared" si="1"/>
        <v>31.535450000000004</v>
      </c>
      <c r="P14" s="7"/>
      <c r="Q14" s="10"/>
      <c r="R14" s="11"/>
      <c r="S14" s="11"/>
      <c r="T14" s="26"/>
      <c r="U14" s="28">
        <f t="shared" si="2"/>
        <v>1.4356140350877196</v>
      </c>
    </row>
    <row r="15" spans="1:21" x14ac:dyDescent="0.25">
      <c r="B15" s="9"/>
      <c r="C15" s="17">
        <v>2025.2</v>
      </c>
      <c r="D15" s="18">
        <v>27.096</v>
      </c>
      <c r="E15" s="18">
        <v>36.673000000000002</v>
      </c>
      <c r="F15" s="18">
        <v>38.149000000000001</v>
      </c>
      <c r="G15" s="18">
        <v>1.32</v>
      </c>
      <c r="H15" s="18">
        <f t="shared" si="0"/>
        <v>29.67475</v>
      </c>
      <c r="I15" s="5"/>
      <c r="J15" s="17">
        <v>2094.3056000000001</v>
      </c>
      <c r="K15" s="18">
        <v>27.024100000000001</v>
      </c>
      <c r="L15" s="18">
        <v>38.690399999999997</v>
      </c>
      <c r="M15" s="18">
        <v>39.756300000000003</v>
      </c>
      <c r="N15" s="18">
        <v>3.4013</v>
      </c>
      <c r="O15" s="18">
        <f t="shared" si="1"/>
        <v>30.073912499999999</v>
      </c>
      <c r="P15" s="7"/>
      <c r="Q15" s="10"/>
      <c r="R15" s="11"/>
      <c r="S15" s="11"/>
      <c r="T15" s="26"/>
      <c r="U15" s="28">
        <f t="shared" si="2"/>
        <v>1.5767424242424239</v>
      </c>
    </row>
    <row r="16" spans="1:21" ht="16.5" thickBot="1" x14ac:dyDescent="0.3">
      <c r="B16" s="12"/>
      <c r="C16" s="19">
        <v>1492.59</v>
      </c>
      <c r="D16" s="20">
        <v>24.898</v>
      </c>
      <c r="E16" s="20">
        <v>35.366999999999997</v>
      </c>
      <c r="F16" s="20">
        <v>36.962000000000003</v>
      </c>
      <c r="G16" s="20">
        <v>2.04</v>
      </c>
      <c r="H16" s="20">
        <f t="shared" si="0"/>
        <v>27.714624999999998</v>
      </c>
      <c r="I16" s="5"/>
      <c r="J16" s="19">
        <v>1349.4576</v>
      </c>
      <c r="K16" s="20">
        <v>25.558599999999998</v>
      </c>
      <c r="L16" s="20">
        <v>37.3628</v>
      </c>
      <c r="M16" s="20">
        <v>38.502499999999998</v>
      </c>
      <c r="N16" s="20">
        <v>4.0452000000000004</v>
      </c>
      <c r="O16" s="20">
        <f t="shared" si="1"/>
        <v>28.652112499999998</v>
      </c>
      <c r="P16" s="7"/>
      <c r="Q16" s="13"/>
      <c r="R16" s="14"/>
      <c r="S16" s="14"/>
      <c r="T16" s="27"/>
      <c r="U16" s="28">
        <f t="shared" si="2"/>
        <v>0.98294117647058832</v>
      </c>
    </row>
    <row r="17" spans="1:21" x14ac:dyDescent="0.25">
      <c r="A17" s="6" t="s">
        <v>37</v>
      </c>
      <c r="B17" s="6" t="s">
        <v>48</v>
      </c>
      <c r="C17" s="15">
        <v>2002.09</v>
      </c>
      <c r="D17" s="16">
        <v>39.301000000000002</v>
      </c>
      <c r="E17" s="16">
        <v>41.524999999999999</v>
      </c>
      <c r="F17" s="16">
        <v>42.784999999999997</v>
      </c>
      <c r="G17" s="16">
        <v>1.7</v>
      </c>
      <c r="H17" s="16">
        <f t="shared" si="0"/>
        <v>40.014499999999998</v>
      </c>
      <c r="I17" s="5"/>
      <c r="J17" s="15">
        <v>2402.6095999999998</v>
      </c>
      <c r="K17" s="16">
        <v>39.393799999999999</v>
      </c>
      <c r="L17" s="16">
        <v>42.049599999999998</v>
      </c>
      <c r="M17" s="16">
        <v>43.543100000000003</v>
      </c>
      <c r="N17" s="16">
        <v>6.4751000000000003</v>
      </c>
      <c r="O17" s="16">
        <f t="shared" si="1"/>
        <v>40.244437499999997</v>
      </c>
      <c r="P17" s="7"/>
      <c r="Q17" s="8">
        <f>bdrate(C17:C20,D17:D20,J17:J20,K17:K20)</f>
        <v>7.4678361129556947E-2</v>
      </c>
      <c r="R17" s="8">
        <f>bdrate(C17:C20,E17:E20,J17:J20,L17:L20)</f>
        <v>-0.26378932249182152</v>
      </c>
      <c r="S17" s="8">
        <f>bdrate(C17:C20,F17:F20,J17:J20,M17:M20)</f>
        <v>-0.28031937673381557</v>
      </c>
      <c r="T17" s="25">
        <f>bdrate(C17:C20,H17:H20,J17:J20,O17:O20)</f>
        <v>1.0388593101656962E-2</v>
      </c>
      <c r="U17" s="28">
        <f t="shared" si="2"/>
        <v>2.8088823529411768</v>
      </c>
    </row>
    <row r="18" spans="1:21" x14ac:dyDescent="0.25">
      <c r="A18" s="9" t="s">
        <v>38</v>
      </c>
      <c r="B18" s="9"/>
      <c r="C18" s="17">
        <v>1315.33</v>
      </c>
      <c r="D18" s="18">
        <v>37.994999999999997</v>
      </c>
      <c r="E18" s="18">
        <v>40.637999999999998</v>
      </c>
      <c r="F18" s="18">
        <v>41.87</v>
      </c>
      <c r="G18" s="18">
        <v>1.99</v>
      </c>
      <c r="H18" s="18">
        <f t="shared" si="0"/>
        <v>38.809749999999994</v>
      </c>
      <c r="I18" s="5"/>
      <c r="J18" s="17">
        <v>1585.54</v>
      </c>
      <c r="K18" s="18">
        <v>38.252299999999998</v>
      </c>
      <c r="L18" s="18">
        <v>41.420999999999999</v>
      </c>
      <c r="M18" s="18">
        <v>42.783299999999997</v>
      </c>
      <c r="N18" s="18">
        <v>7.6539999999999999</v>
      </c>
      <c r="O18" s="18">
        <f t="shared" si="1"/>
        <v>39.214762499999999</v>
      </c>
      <c r="P18" s="7"/>
      <c r="Q18" s="10"/>
      <c r="R18" s="11"/>
      <c r="S18" s="11"/>
      <c r="T18" s="26"/>
      <c r="U18" s="28">
        <f t="shared" si="2"/>
        <v>2.8462311557788942</v>
      </c>
    </row>
    <row r="19" spans="1:21" x14ac:dyDescent="0.25">
      <c r="B19" s="9"/>
      <c r="C19" s="17">
        <v>812.94</v>
      </c>
      <c r="D19" s="18">
        <v>36.369</v>
      </c>
      <c r="E19" s="18">
        <v>39.698</v>
      </c>
      <c r="F19" s="18">
        <v>41.014000000000003</v>
      </c>
      <c r="G19" s="18">
        <v>2.41</v>
      </c>
      <c r="H19" s="18">
        <f t="shared" si="0"/>
        <v>37.365749999999998</v>
      </c>
      <c r="I19" s="5"/>
      <c r="J19" s="17">
        <v>965.60080000000005</v>
      </c>
      <c r="K19" s="18">
        <v>36.771700000000003</v>
      </c>
      <c r="L19" s="18">
        <v>40.64</v>
      </c>
      <c r="M19" s="18">
        <v>41.911099999999998</v>
      </c>
      <c r="N19" s="18">
        <v>9.24</v>
      </c>
      <c r="O19" s="18">
        <f t="shared" si="1"/>
        <v>37.897662499999996</v>
      </c>
      <c r="P19" s="7"/>
      <c r="Q19" s="10"/>
      <c r="R19" s="11"/>
      <c r="S19" s="11"/>
      <c r="T19" s="26"/>
      <c r="U19" s="28">
        <f t="shared" si="2"/>
        <v>2.8340248962655599</v>
      </c>
    </row>
    <row r="20" spans="1:21" ht="16.5" thickBot="1" x14ac:dyDescent="0.3">
      <c r="B20" s="12"/>
      <c r="C20" s="19">
        <v>482.4</v>
      </c>
      <c r="D20" s="20">
        <v>34.536000000000001</v>
      </c>
      <c r="E20" s="20">
        <v>38.676000000000002</v>
      </c>
      <c r="F20" s="20">
        <v>40.158999999999999</v>
      </c>
      <c r="G20" s="20">
        <v>2.93</v>
      </c>
      <c r="H20" s="20">
        <f t="shared" si="0"/>
        <v>35.756374999999998</v>
      </c>
      <c r="I20" s="5"/>
      <c r="J20" s="19">
        <v>555.83119999999997</v>
      </c>
      <c r="K20" s="20">
        <v>34.983800000000002</v>
      </c>
      <c r="L20" s="20">
        <v>39.834000000000003</v>
      </c>
      <c r="M20" s="20">
        <v>41.096600000000002</v>
      </c>
      <c r="N20" s="20">
        <v>11.5931</v>
      </c>
      <c r="O20" s="20">
        <f t="shared" si="1"/>
        <v>36.354175000000005</v>
      </c>
      <c r="P20" s="7"/>
      <c r="Q20" s="13"/>
      <c r="R20" s="14"/>
      <c r="S20" s="14"/>
      <c r="T20" s="27"/>
      <c r="U20" s="28">
        <f t="shared" si="2"/>
        <v>2.9566894197952216</v>
      </c>
    </row>
    <row r="21" spans="1:21" x14ac:dyDescent="0.25">
      <c r="B21" s="6" t="s">
        <v>49</v>
      </c>
      <c r="C21" s="15">
        <v>2246.3200000000002</v>
      </c>
      <c r="D21" s="16">
        <v>36.305999999999997</v>
      </c>
      <c r="E21" s="16">
        <v>39.335999999999999</v>
      </c>
      <c r="F21" s="16">
        <v>40.363999999999997</v>
      </c>
      <c r="G21" s="16">
        <v>2.42</v>
      </c>
      <c r="H21" s="16">
        <f t="shared" si="0"/>
        <v>37.191999999999993</v>
      </c>
      <c r="I21" s="5"/>
      <c r="J21" s="15">
        <v>2527.0423999999998</v>
      </c>
      <c r="K21" s="16">
        <v>36.601300000000002</v>
      </c>
      <c r="L21" s="16">
        <v>40.298099999999998</v>
      </c>
      <c r="M21" s="16">
        <v>41.549199999999999</v>
      </c>
      <c r="N21" s="16">
        <v>6.0785999999999998</v>
      </c>
      <c r="O21" s="16">
        <f t="shared" si="1"/>
        <v>37.681887499999995</v>
      </c>
      <c r="P21" s="7"/>
      <c r="Q21" s="8">
        <f>bdrate(C21:C24,D21:D24,J21:J24,K21:K24)</f>
        <v>6.6191152310768331E-3</v>
      </c>
      <c r="R21" s="8">
        <f>bdrate(C21:C24,E21:E24,J21:J24,L21:L24)</f>
        <v>-0.34358837354197846</v>
      </c>
      <c r="S21" s="8">
        <f>bdrate(C21:C24,F21:F24,J21:J24,M21:M24)</f>
        <v>-0.38685911109856697</v>
      </c>
      <c r="T21" s="25">
        <f>bdrate(C21:C24,H21:H24,J21:J24,O21:O24)</f>
        <v>-6.7180769615577174E-2</v>
      </c>
      <c r="U21" s="28">
        <f t="shared" si="2"/>
        <v>1.5118181818181817</v>
      </c>
    </row>
    <row r="22" spans="1:21" x14ac:dyDescent="0.25">
      <c r="B22" s="9"/>
      <c r="C22" s="17">
        <v>1493.25</v>
      </c>
      <c r="D22" s="18">
        <v>35.003</v>
      </c>
      <c r="E22" s="18">
        <v>38.393000000000001</v>
      </c>
      <c r="F22" s="18">
        <v>39.591999999999999</v>
      </c>
      <c r="G22" s="18">
        <v>2.73</v>
      </c>
      <c r="H22" s="18">
        <f t="shared" si="0"/>
        <v>36.000374999999998</v>
      </c>
      <c r="I22" s="5"/>
      <c r="J22" s="17">
        <v>1651.1056000000001</v>
      </c>
      <c r="K22" s="18">
        <v>35.323</v>
      </c>
      <c r="L22" s="18">
        <v>39.445599999999999</v>
      </c>
      <c r="M22" s="18">
        <v>40.672600000000003</v>
      </c>
      <c r="N22" s="18">
        <v>7.5636000000000001</v>
      </c>
      <c r="O22" s="18">
        <f t="shared" si="1"/>
        <v>36.507024999999999</v>
      </c>
      <c r="P22" s="7"/>
      <c r="Q22" s="10"/>
      <c r="R22" s="11"/>
      <c r="S22" s="11"/>
      <c r="T22" s="26"/>
      <c r="U22" s="28">
        <f t="shared" si="2"/>
        <v>1.7705494505494508</v>
      </c>
    </row>
    <row r="23" spans="1:21" x14ac:dyDescent="0.25">
      <c r="B23" s="9"/>
      <c r="C23" s="17">
        <v>927.68</v>
      </c>
      <c r="D23" s="18">
        <v>33.548000000000002</v>
      </c>
      <c r="E23" s="18">
        <v>37.426000000000002</v>
      </c>
      <c r="F23" s="18">
        <v>38.869</v>
      </c>
      <c r="G23" s="18">
        <v>2.97</v>
      </c>
      <c r="H23" s="18">
        <f t="shared" si="0"/>
        <v>34.697874999999996</v>
      </c>
      <c r="I23" s="5"/>
      <c r="J23" s="17">
        <v>1019.5368</v>
      </c>
      <c r="K23" s="18">
        <v>33.816499999999998</v>
      </c>
      <c r="L23" s="18">
        <v>38.478400000000001</v>
      </c>
      <c r="M23" s="18">
        <v>39.773699999999998</v>
      </c>
      <c r="N23" s="18">
        <v>9.4674999999999994</v>
      </c>
      <c r="O23" s="18">
        <f t="shared" si="1"/>
        <v>35.143887499999998</v>
      </c>
      <c r="P23" s="7"/>
      <c r="Q23" s="10"/>
      <c r="R23" s="11"/>
      <c r="S23" s="11"/>
      <c r="T23" s="26"/>
      <c r="U23" s="28">
        <f t="shared" si="2"/>
        <v>2.1877104377104373</v>
      </c>
    </row>
    <row r="24" spans="1:21" ht="16.5" thickBot="1" x14ac:dyDescent="0.3">
      <c r="B24" s="12"/>
      <c r="C24" s="19">
        <v>550.55999999999995</v>
      </c>
      <c r="D24" s="20">
        <v>32.012</v>
      </c>
      <c r="E24" s="20">
        <v>36.536999999999999</v>
      </c>
      <c r="F24" s="20">
        <v>38.262999999999998</v>
      </c>
      <c r="G24" s="20">
        <v>3.33</v>
      </c>
      <c r="H24" s="20">
        <f t="shared" si="0"/>
        <v>33.359000000000002</v>
      </c>
      <c r="I24" s="5"/>
      <c r="J24" s="19">
        <v>598.85519999999997</v>
      </c>
      <c r="K24" s="20">
        <v>32.191000000000003</v>
      </c>
      <c r="L24" s="20">
        <v>37.4651</v>
      </c>
      <c r="M24" s="20">
        <v>38.9587</v>
      </c>
      <c r="N24" s="20">
        <v>11.916600000000001</v>
      </c>
      <c r="O24" s="20">
        <f t="shared" si="1"/>
        <v>33.696225000000005</v>
      </c>
      <c r="P24" s="7"/>
      <c r="Q24" s="13"/>
      <c r="R24" s="14"/>
      <c r="S24" s="14"/>
      <c r="T24" s="27"/>
      <c r="U24" s="28">
        <f t="shared" si="2"/>
        <v>2.5785585585585586</v>
      </c>
    </row>
    <row r="25" spans="1:21" x14ac:dyDescent="0.25">
      <c r="B25" s="6" t="s">
        <v>50</v>
      </c>
      <c r="C25" s="15">
        <v>2360.7199999999998</v>
      </c>
      <c r="D25" s="16">
        <v>34.415999999999997</v>
      </c>
      <c r="E25" s="16">
        <v>37.637</v>
      </c>
      <c r="F25" s="16">
        <v>39.250999999999998</v>
      </c>
      <c r="G25" s="16">
        <v>2.68</v>
      </c>
      <c r="H25" s="16">
        <f t="shared" si="0"/>
        <v>35.422999999999995</v>
      </c>
      <c r="I25" s="5"/>
      <c r="J25" s="15">
        <v>2412.5992000000001</v>
      </c>
      <c r="K25" s="16">
        <v>34.889099999999999</v>
      </c>
      <c r="L25" s="16">
        <v>38.334499999999998</v>
      </c>
      <c r="M25" s="16">
        <v>40.597700000000003</v>
      </c>
      <c r="N25" s="16">
        <v>8.0389999999999997</v>
      </c>
      <c r="O25" s="16">
        <f t="shared" si="1"/>
        <v>36.033349999999999</v>
      </c>
      <c r="P25" s="7"/>
      <c r="Q25" s="8">
        <f>bdrate(C25:C28,D25:D28,J25:J28,K25:K28)</f>
        <v>-0.11050698242836232</v>
      </c>
      <c r="R25" s="8">
        <f>bdrate(C25:C28,E25:E28,J25:J28,L25:L28)</f>
        <v>-0.40723091865911865</v>
      </c>
      <c r="S25" s="8">
        <f>bdrate(C25:C28,F25:F28,J25:J28,M25:M28)</f>
        <v>-0.38092403870193092</v>
      </c>
      <c r="T25" s="25">
        <f>bdrate(C25:C28,H25:H28,J25:J28,O25:O28)</f>
        <v>-0.16648432708738814</v>
      </c>
      <c r="U25" s="28">
        <f t="shared" si="2"/>
        <v>1.9996268656716416</v>
      </c>
    </row>
    <row r="26" spans="1:21" x14ac:dyDescent="0.25">
      <c r="B26" s="9"/>
      <c r="C26" s="17">
        <v>1569.32</v>
      </c>
      <c r="D26" s="18">
        <v>33.328000000000003</v>
      </c>
      <c r="E26" s="18">
        <v>37.177</v>
      </c>
      <c r="F26" s="18">
        <v>38.485999999999997</v>
      </c>
      <c r="G26" s="18">
        <v>3.15</v>
      </c>
      <c r="H26" s="18">
        <f t="shared" si="0"/>
        <v>34.453875000000004</v>
      </c>
      <c r="I26" s="5"/>
      <c r="J26" s="17">
        <v>1602.7560000000001</v>
      </c>
      <c r="K26" s="18">
        <v>33.821599999999997</v>
      </c>
      <c r="L26" s="18">
        <v>37.921199999999999</v>
      </c>
      <c r="M26" s="18">
        <v>39.694299999999998</v>
      </c>
      <c r="N26" s="18">
        <v>9.7065000000000001</v>
      </c>
      <c r="O26" s="18">
        <f t="shared" si="1"/>
        <v>35.068137499999999</v>
      </c>
      <c r="P26" s="7"/>
      <c r="Q26" s="10"/>
      <c r="R26" s="11"/>
      <c r="S26" s="11"/>
      <c r="T26" s="26"/>
      <c r="U26" s="28">
        <f t="shared" si="2"/>
        <v>2.0814285714285714</v>
      </c>
    </row>
    <row r="27" spans="1:21" x14ac:dyDescent="0.25">
      <c r="B27" s="9"/>
      <c r="C27" s="17">
        <v>971.66</v>
      </c>
      <c r="D27" s="18">
        <v>31.978000000000002</v>
      </c>
      <c r="E27" s="18">
        <v>36.546999999999997</v>
      </c>
      <c r="F27" s="18">
        <v>37.49</v>
      </c>
      <c r="G27" s="18">
        <v>3.6</v>
      </c>
      <c r="H27" s="18">
        <f t="shared" si="0"/>
        <v>33.238124999999997</v>
      </c>
      <c r="I27" s="5"/>
      <c r="J27" s="17">
        <v>997.85760000000005</v>
      </c>
      <c r="K27" s="18">
        <v>32.355200000000004</v>
      </c>
      <c r="L27" s="18">
        <v>37.277500000000003</v>
      </c>
      <c r="M27" s="18">
        <v>38.553899999999999</v>
      </c>
      <c r="N27" s="18">
        <v>11.972899999999999</v>
      </c>
      <c r="O27" s="18">
        <f t="shared" si="1"/>
        <v>33.745325000000008</v>
      </c>
      <c r="P27" s="7"/>
      <c r="Q27" s="10"/>
      <c r="R27" s="11"/>
      <c r="S27" s="11"/>
      <c r="T27" s="26"/>
      <c r="U27" s="28">
        <f t="shared" si="2"/>
        <v>2.3258055555555552</v>
      </c>
    </row>
    <row r="28" spans="1:21" ht="16.5" thickBot="1" x14ac:dyDescent="0.3">
      <c r="B28" s="12"/>
      <c r="C28" s="19">
        <v>571.62</v>
      </c>
      <c r="D28" s="20">
        <v>30.341000000000001</v>
      </c>
      <c r="E28" s="20">
        <v>35.576000000000001</v>
      </c>
      <c r="F28" s="20">
        <v>36.075000000000003</v>
      </c>
      <c r="G28" s="20">
        <v>3.97</v>
      </c>
      <c r="H28" s="20">
        <f t="shared" si="0"/>
        <v>31.712125</v>
      </c>
      <c r="I28" s="5"/>
      <c r="J28" s="19">
        <v>586.10320000000002</v>
      </c>
      <c r="K28" s="20">
        <v>30.661899999999999</v>
      </c>
      <c r="L28" s="20">
        <v>36.515500000000003</v>
      </c>
      <c r="M28" s="20">
        <v>37.341799999999999</v>
      </c>
      <c r="N28" s="20">
        <v>15.3355</v>
      </c>
      <c r="O28" s="20">
        <f t="shared" si="1"/>
        <v>32.228587499999996</v>
      </c>
      <c r="P28" s="7"/>
      <c r="Q28" s="13"/>
      <c r="R28" s="14"/>
      <c r="S28" s="14"/>
      <c r="T28" s="27"/>
      <c r="U28" s="28">
        <f t="shared" si="2"/>
        <v>2.8628463476070527</v>
      </c>
    </row>
    <row r="29" spans="1:21" x14ac:dyDescent="0.25">
      <c r="B29" s="6" t="s">
        <v>51</v>
      </c>
      <c r="C29" s="29">
        <v>2409.42</v>
      </c>
      <c r="D29" s="30">
        <v>34.664000000000001</v>
      </c>
      <c r="E29" s="30">
        <v>39.786000000000001</v>
      </c>
      <c r="F29" s="30">
        <v>39.372</v>
      </c>
      <c r="G29" s="16">
        <v>2.2200000000000002</v>
      </c>
      <c r="H29" s="16">
        <f t="shared" si="0"/>
        <v>35.892749999999999</v>
      </c>
      <c r="I29" s="5"/>
      <c r="J29" s="29">
        <v>2417.2055999999998</v>
      </c>
      <c r="K29" s="30">
        <v>34.6646</v>
      </c>
      <c r="L29" s="30">
        <v>40.510800000000003</v>
      </c>
      <c r="M29" s="30">
        <v>39.963099999999997</v>
      </c>
      <c r="N29" s="16">
        <v>6.8705999999999996</v>
      </c>
      <c r="O29" s="16">
        <f t="shared" si="1"/>
        <v>36.0576875</v>
      </c>
      <c r="P29" s="7"/>
      <c r="Q29" s="8">
        <f>bdrate(C29:C32,D29:D32,J29:J32,K29:K32)</f>
        <v>-2.296856900235722E-2</v>
      </c>
      <c r="R29" s="8">
        <f>bdrate(C29:C32,E29:E32,J29:J32,L29:L32)</f>
        <v>-0.373260717264016</v>
      </c>
      <c r="S29" s="8">
        <f>bdrate(C29:C32,F29:F32,J29:J32,M29:M32)</f>
        <v>-0.24060883600929994</v>
      </c>
      <c r="T29" s="25">
        <f>bdrate(C29:C32,H29:H32,J29:J32,O29:O32)</f>
        <v>-9.168311366983195E-2</v>
      </c>
      <c r="U29" s="28">
        <f t="shared" si="2"/>
        <v>2.094864864864864</v>
      </c>
    </row>
    <row r="30" spans="1:21" x14ac:dyDescent="0.25">
      <c r="B30" s="9"/>
      <c r="C30" s="31">
        <v>1598.08</v>
      </c>
      <c r="D30" s="32">
        <v>33.366999999999997</v>
      </c>
      <c r="E30" s="32">
        <v>38.826000000000001</v>
      </c>
      <c r="F30" s="32">
        <v>38.131999999999998</v>
      </c>
      <c r="G30" s="18">
        <v>2.41</v>
      </c>
      <c r="H30" s="18">
        <f t="shared" si="0"/>
        <v>34.644999999999996</v>
      </c>
      <c r="I30" s="5"/>
      <c r="J30" s="31">
        <v>1606.4824000000001</v>
      </c>
      <c r="K30" s="32">
        <v>33.430599999999998</v>
      </c>
      <c r="L30" s="32">
        <v>39.759900000000002</v>
      </c>
      <c r="M30" s="32">
        <v>38.856900000000003</v>
      </c>
      <c r="N30" s="18">
        <v>8.2776999999999994</v>
      </c>
      <c r="O30" s="18">
        <f t="shared" si="1"/>
        <v>34.90005</v>
      </c>
      <c r="P30" s="7"/>
      <c r="Q30" s="10"/>
      <c r="R30" s="11"/>
      <c r="S30" s="11"/>
      <c r="T30" s="26"/>
      <c r="U30" s="28">
        <f t="shared" si="2"/>
        <v>2.434730290456431</v>
      </c>
    </row>
    <row r="31" spans="1:21" x14ac:dyDescent="0.25">
      <c r="B31" s="9"/>
      <c r="C31" s="31">
        <v>993.91</v>
      </c>
      <c r="D31" s="32">
        <v>31.774999999999999</v>
      </c>
      <c r="E31" s="32">
        <v>37.610999999999997</v>
      </c>
      <c r="F31" s="32">
        <v>36.604999999999997</v>
      </c>
      <c r="G31" s="18">
        <v>2.74</v>
      </c>
      <c r="H31" s="18">
        <f t="shared" si="0"/>
        <v>33.108249999999998</v>
      </c>
      <c r="I31" s="5"/>
      <c r="J31" s="31">
        <v>1005.272</v>
      </c>
      <c r="K31" s="32">
        <v>31.9084</v>
      </c>
      <c r="L31" s="32">
        <v>38.8215</v>
      </c>
      <c r="M31" s="32">
        <v>37.538899999999998</v>
      </c>
      <c r="N31" s="18">
        <v>10.130100000000001</v>
      </c>
      <c r="O31" s="18">
        <f t="shared" si="1"/>
        <v>33.476350000000004</v>
      </c>
      <c r="P31" s="7"/>
      <c r="Q31" s="10"/>
      <c r="R31" s="11"/>
      <c r="S31" s="11"/>
      <c r="T31" s="26"/>
      <c r="U31" s="28">
        <f t="shared" si="2"/>
        <v>2.6971167883211677</v>
      </c>
    </row>
    <row r="32" spans="1:21" ht="16.5" thickBot="1" x14ac:dyDescent="0.3">
      <c r="B32" s="12"/>
      <c r="C32" s="33">
        <v>593.04</v>
      </c>
      <c r="D32" s="34">
        <v>30.01</v>
      </c>
      <c r="E32" s="34">
        <v>35.76</v>
      </c>
      <c r="F32" s="34">
        <v>34.869999999999997</v>
      </c>
      <c r="G32" s="20">
        <v>3.16</v>
      </c>
      <c r="H32" s="20">
        <f t="shared" si="0"/>
        <v>31.33625</v>
      </c>
      <c r="I32" s="5"/>
      <c r="J32" s="33">
        <v>599.68560000000002</v>
      </c>
      <c r="K32" s="34">
        <v>30.212399999999999</v>
      </c>
      <c r="L32" s="34">
        <v>37.752400000000002</v>
      </c>
      <c r="M32" s="34">
        <v>36.125999999999998</v>
      </c>
      <c r="N32" s="20">
        <v>12.8307</v>
      </c>
      <c r="O32" s="20">
        <f t="shared" si="1"/>
        <v>31.894099999999998</v>
      </c>
      <c r="P32" s="7"/>
      <c r="Q32" s="13"/>
      <c r="R32" s="14"/>
      <c r="S32" s="14"/>
      <c r="T32" s="27"/>
      <c r="U32" s="28">
        <f t="shared" si="2"/>
        <v>3.0603481012658227</v>
      </c>
    </row>
    <row r="33" spans="1:21" x14ac:dyDescent="0.25">
      <c r="B33" s="6" t="s">
        <v>52</v>
      </c>
      <c r="C33" s="15">
        <v>2356.29</v>
      </c>
      <c r="D33" s="16">
        <v>33.776000000000003</v>
      </c>
      <c r="E33" s="16">
        <v>39.177999999999997</v>
      </c>
      <c r="F33" s="16">
        <v>41.798000000000002</v>
      </c>
      <c r="G33" s="16">
        <v>3.6</v>
      </c>
      <c r="H33" s="16">
        <f t="shared" si="0"/>
        <v>35.454000000000001</v>
      </c>
      <c r="I33" s="5"/>
      <c r="J33" s="15">
        <v>2406.0608000000002</v>
      </c>
      <c r="K33" s="16">
        <v>33.966500000000003</v>
      </c>
      <c r="L33" s="16">
        <v>39.996000000000002</v>
      </c>
      <c r="M33" s="16">
        <v>42.4542</v>
      </c>
      <c r="N33" s="16">
        <v>10.7614</v>
      </c>
      <c r="O33" s="16">
        <f t="shared" si="1"/>
        <v>35.781150000000004</v>
      </c>
      <c r="P33" s="7"/>
      <c r="Q33" s="8">
        <f>bdrate(C33:C36,D33:D36,J33:J36,K33:K36)</f>
        <v>-9.9624279049168485E-2</v>
      </c>
      <c r="R33" s="8">
        <f>bdrate(C33:C36,E33:E36,J33:J36,L33:L36)</f>
        <v>-0.38432516300607034</v>
      </c>
      <c r="S33" s="8">
        <f>bdrate(C33:C36,F33:F36,J33:J36,M33:M36)</f>
        <v>-0.30262880308419882</v>
      </c>
      <c r="T33" s="25">
        <f>bdrate(C33:C36,H33:H36,J33:J36,O33:O36)</f>
        <v>-0.14852697251302815</v>
      </c>
      <c r="U33" s="28">
        <f t="shared" si="2"/>
        <v>1.9892777777777779</v>
      </c>
    </row>
    <row r="34" spans="1:21" x14ac:dyDescent="0.25">
      <c r="B34" s="9"/>
      <c r="C34" s="17">
        <v>1552.31</v>
      </c>
      <c r="D34" s="18">
        <v>33.119</v>
      </c>
      <c r="E34" s="18">
        <v>38.718000000000004</v>
      </c>
      <c r="F34" s="18">
        <v>41.438000000000002</v>
      </c>
      <c r="G34" s="18">
        <v>3.95</v>
      </c>
      <c r="H34" s="18">
        <f t="shared" si="0"/>
        <v>34.858750000000001</v>
      </c>
      <c r="I34" s="5"/>
      <c r="J34" s="17">
        <v>1610.6872000000001</v>
      </c>
      <c r="K34" s="18">
        <v>33.360100000000003</v>
      </c>
      <c r="L34" s="18">
        <v>39.505699999999997</v>
      </c>
      <c r="M34" s="18">
        <v>42.003100000000003</v>
      </c>
      <c r="N34" s="18">
        <v>13.3085</v>
      </c>
      <c r="O34" s="18">
        <f t="shared" si="1"/>
        <v>35.208674999999999</v>
      </c>
      <c r="P34" s="7"/>
      <c r="Q34" s="10"/>
      <c r="R34" s="11"/>
      <c r="S34" s="11"/>
      <c r="T34" s="26"/>
      <c r="U34" s="28">
        <f t="shared" si="2"/>
        <v>2.3692405063291138</v>
      </c>
    </row>
    <row r="35" spans="1:21" x14ac:dyDescent="0.25">
      <c r="B35" s="9"/>
      <c r="C35" s="17">
        <v>942.91</v>
      </c>
      <c r="D35" s="18">
        <v>32.121000000000002</v>
      </c>
      <c r="E35" s="18">
        <v>38.137999999999998</v>
      </c>
      <c r="F35" s="18">
        <v>40.930999999999997</v>
      </c>
      <c r="G35" s="18">
        <v>4.4400000000000004</v>
      </c>
      <c r="H35" s="18">
        <f t="shared" si="0"/>
        <v>33.974375000000002</v>
      </c>
      <c r="I35" s="5"/>
      <c r="J35" s="17">
        <v>991.78880000000004</v>
      </c>
      <c r="K35" s="18">
        <v>32.446399999999997</v>
      </c>
      <c r="L35" s="18">
        <v>38.76</v>
      </c>
      <c r="M35" s="18">
        <v>41.386699999999998</v>
      </c>
      <c r="N35" s="18">
        <v>16.401499999999999</v>
      </c>
      <c r="O35" s="18">
        <f t="shared" si="1"/>
        <v>34.353137499999995</v>
      </c>
      <c r="P35" s="7"/>
      <c r="Q35" s="10"/>
      <c r="R35" s="11"/>
      <c r="S35" s="11"/>
      <c r="T35" s="26"/>
      <c r="U35" s="28">
        <f t="shared" si="2"/>
        <v>2.6940315315315306</v>
      </c>
    </row>
    <row r="36" spans="1:21" ht="16.5" thickBot="1" x14ac:dyDescent="0.3">
      <c r="B36" s="12"/>
      <c r="C36" s="19">
        <v>510.89</v>
      </c>
      <c r="D36" s="20">
        <v>30.292999999999999</v>
      </c>
      <c r="E36" s="20">
        <v>37.192</v>
      </c>
      <c r="F36" s="20">
        <v>40.137</v>
      </c>
      <c r="G36" s="20">
        <v>4.95</v>
      </c>
      <c r="H36" s="20">
        <f t="shared" si="0"/>
        <v>32.385874999999999</v>
      </c>
      <c r="I36" s="5"/>
      <c r="J36" s="19">
        <v>585.22</v>
      </c>
      <c r="K36" s="20">
        <v>31.176600000000001</v>
      </c>
      <c r="L36" s="20">
        <v>38.106900000000003</v>
      </c>
      <c r="M36" s="20">
        <v>40.642000000000003</v>
      </c>
      <c r="N36" s="20">
        <v>20.0321</v>
      </c>
      <c r="O36" s="20">
        <f t="shared" si="1"/>
        <v>33.226062499999998</v>
      </c>
      <c r="P36" s="7"/>
      <c r="Q36" s="13"/>
      <c r="R36" s="14"/>
      <c r="S36" s="14"/>
      <c r="T36" s="27"/>
      <c r="U36" s="28">
        <f t="shared" si="2"/>
        <v>3.0468888888888888</v>
      </c>
    </row>
    <row r="37" spans="1:21" x14ac:dyDescent="0.25">
      <c r="A37" s="6" t="s">
        <v>39</v>
      </c>
      <c r="B37" s="6" t="s">
        <v>53</v>
      </c>
      <c r="C37" s="15">
        <v>1223.8900000000001</v>
      </c>
      <c r="D37" s="16">
        <v>35.691000000000003</v>
      </c>
      <c r="E37" s="16">
        <v>39.308</v>
      </c>
      <c r="F37" s="16">
        <v>39.377000000000002</v>
      </c>
      <c r="G37" s="16">
        <v>9.31</v>
      </c>
      <c r="H37" s="16">
        <f t="shared" si="0"/>
        <v>36.603875000000002</v>
      </c>
      <c r="I37" s="5"/>
      <c r="J37" s="15">
        <v>1241.3648000000001</v>
      </c>
      <c r="K37" s="16">
        <v>36.6873</v>
      </c>
      <c r="L37" s="16">
        <v>40.284199999999998</v>
      </c>
      <c r="M37" s="16">
        <v>40.182200000000002</v>
      </c>
      <c r="N37" s="16">
        <v>20.0321</v>
      </c>
      <c r="O37" s="16">
        <f t="shared" si="1"/>
        <v>37.573775000000005</v>
      </c>
      <c r="P37" s="7"/>
      <c r="Q37" s="8">
        <f>bdrate(C37:C40,D37:D40,J37:J40,K37:K40)</f>
        <v>-0.12829152545796174</v>
      </c>
      <c r="R37" s="8">
        <f>bdrate(C37:C40,E37:E40,J37:J40,L37:L40)</f>
        <v>-0.21151734182920245</v>
      </c>
      <c r="S37" s="8">
        <f>bdrate(C37:C40,F37:F40,J37:J40,M37:M40)</f>
        <v>-0.103979919075331</v>
      </c>
      <c r="T37" s="25">
        <f>bdrate(C37:C40,H37:H40,J37:J40,O37:O40)</f>
        <v>-0.13449987635587779</v>
      </c>
      <c r="U37" s="28">
        <f t="shared" si="2"/>
        <v>1.151675617615467</v>
      </c>
    </row>
    <row r="38" spans="1:21" x14ac:dyDescent="0.25">
      <c r="A38" s="9" t="s">
        <v>40</v>
      </c>
      <c r="B38" s="9"/>
      <c r="C38" s="17">
        <v>816.69</v>
      </c>
      <c r="D38" s="18">
        <v>34.209000000000003</v>
      </c>
      <c r="E38" s="18">
        <v>37.972999999999999</v>
      </c>
      <c r="F38" s="18">
        <v>38.011000000000003</v>
      </c>
      <c r="G38" s="18">
        <v>10.58</v>
      </c>
      <c r="H38" s="18">
        <f t="shared" si="0"/>
        <v>35.154750000000007</v>
      </c>
      <c r="I38" s="5"/>
      <c r="J38" s="17">
        <v>826.21680000000003</v>
      </c>
      <c r="K38" s="18">
        <v>34.9313</v>
      </c>
      <c r="L38" s="18">
        <v>38.860100000000003</v>
      </c>
      <c r="M38" s="18">
        <v>38.595799999999997</v>
      </c>
      <c r="N38" s="18">
        <v>24.026900000000001</v>
      </c>
      <c r="O38" s="18">
        <f t="shared" si="1"/>
        <v>35.8804625</v>
      </c>
      <c r="P38" s="7"/>
      <c r="Q38" s="10"/>
      <c r="R38" s="11"/>
      <c r="S38" s="11"/>
      <c r="T38" s="26"/>
      <c r="U38" s="28">
        <f t="shared" si="2"/>
        <v>1.2709735349716447</v>
      </c>
    </row>
    <row r="39" spans="1:21" x14ac:dyDescent="0.25">
      <c r="B39" s="9"/>
      <c r="C39" s="17">
        <v>509.28</v>
      </c>
      <c r="D39" s="18">
        <v>32.633000000000003</v>
      </c>
      <c r="E39" s="18">
        <v>36.741999999999997</v>
      </c>
      <c r="F39" s="18">
        <v>36.670999999999999</v>
      </c>
      <c r="G39" s="18">
        <v>12.46</v>
      </c>
      <c r="H39" s="18">
        <f t="shared" si="0"/>
        <v>33.651375000000002</v>
      </c>
      <c r="I39" s="5"/>
      <c r="J39" s="17">
        <v>514.61199999999997</v>
      </c>
      <c r="K39" s="18">
        <v>33.085099999999997</v>
      </c>
      <c r="L39" s="18">
        <v>37.372100000000003</v>
      </c>
      <c r="M39" s="18">
        <v>36.906799999999997</v>
      </c>
      <c r="N39" s="18">
        <v>29.351299999999998</v>
      </c>
      <c r="O39" s="18">
        <f t="shared" si="1"/>
        <v>34.098687499999997</v>
      </c>
      <c r="P39" s="7"/>
      <c r="Q39" s="10"/>
      <c r="R39" s="11"/>
      <c r="S39" s="11"/>
      <c r="T39" s="26"/>
      <c r="U39" s="28">
        <f t="shared" si="2"/>
        <v>1.3556420545746386</v>
      </c>
    </row>
    <row r="40" spans="1:21" ht="16.5" thickBot="1" x14ac:dyDescent="0.3">
      <c r="B40" s="12"/>
      <c r="C40" s="19">
        <v>302.04000000000002</v>
      </c>
      <c r="D40" s="20">
        <v>30.957999999999998</v>
      </c>
      <c r="E40" s="20">
        <v>35.503999999999998</v>
      </c>
      <c r="F40" s="20">
        <v>35.142000000000003</v>
      </c>
      <c r="G40" s="20">
        <v>14.88</v>
      </c>
      <c r="H40" s="20">
        <f t="shared" si="0"/>
        <v>32.049250000000001</v>
      </c>
      <c r="I40" s="5"/>
      <c r="J40" s="19">
        <v>308.03840000000002</v>
      </c>
      <c r="K40" s="20">
        <v>31.175899999999999</v>
      </c>
      <c r="L40" s="20">
        <v>35.929900000000004</v>
      </c>
      <c r="M40" s="20">
        <v>35.363799999999998</v>
      </c>
      <c r="N40" s="20">
        <v>36.297600000000003</v>
      </c>
      <c r="O40" s="20">
        <f t="shared" si="1"/>
        <v>32.293637500000003</v>
      </c>
      <c r="P40" s="7"/>
      <c r="Q40" s="13"/>
      <c r="R40" s="14"/>
      <c r="S40" s="14"/>
      <c r="T40" s="27"/>
      <c r="U40" s="28">
        <f t="shared" si="2"/>
        <v>1.4393548387096773</v>
      </c>
    </row>
    <row r="41" spans="1:21" x14ac:dyDescent="0.25">
      <c r="B41" s="6" t="s">
        <v>54</v>
      </c>
      <c r="C41" s="15">
        <v>1229.08</v>
      </c>
      <c r="D41" s="16">
        <v>35.801000000000002</v>
      </c>
      <c r="E41" s="16">
        <v>40.009</v>
      </c>
      <c r="F41" s="16">
        <v>40.9</v>
      </c>
      <c r="G41" s="16">
        <v>11.83</v>
      </c>
      <c r="H41" s="16">
        <f t="shared" si="0"/>
        <v>36.964374999999997</v>
      </c>
      <c r="I41" s="5"/>
      <c r="J41" s="15">
        <v>1253.7983999999999</v>
      </c>
      <c r="K41" s="16">
        <v>36.233199999999997</v>
      </c>
      <c r="L41" s="16">
        <v>41.127899999999997</v>
      </c>
      <c r="M41" s="16">
        <v>42.008200000000002</v>
      </c>
      <c r="N41" s="16">
        <v>24.877700000000001</v>
      </c>
      <c r="O41" s="16">
        <f t="shared" si="1"/>
        <v>37.566912499999994</v>
      </c>
      <c r="P41" s="7"/>
      <c r="Q41" s="8">
        <f>bdrate(C41:C44,D41:D44,J41:J44,K41:K44)</f>
        <v>-0.1243992854764665</v>
      </c>
      <c r="R41" s="8">
        <f>bdrate(C41:C44,E41:E44,J41:J44,L41:L44)</f>
        <v>-0.3524231228498661</v>
      </c>
      <c r="S41" s="8">
        <f>bdrate(C41:C44,F41:F44,J41:J44,M41:M44)</f>
        <v>-0.31739635990406767</v>
      </c>
      <c r="T41" s="25">
        <f>bdrate(C41:C44,H41:H44,J41:J44,O41:O44)</f>
        <v>-0.16915998957034084</v>
      </c>
      <c r="U41" s="28">
        <f t="shared" si="2"/>
        <v>1.1029332206255285</v>
      </c>
    </row>
    <row r="42" spans="1:21" x14ac:dyDescent="0.25">
      <c r="B42" s="9"/>
      <c r="C42" s="17">
        <v>820.05</v>
      </c>
      <c r="D42" s="18">
        <v>34.188000000000002</v>
      </c>
      <c r="E42" s="18">
        <v>38.887</v>
      </c>
      <c r="F42" s="18">
        <v>39.662999999999997</v>
      </c>
      <c r="G42" s="18">
        <v>13.52</v>
      </c>
      <c r="H42" s="18">
        <f t="shared" si="0"/>
        <v>35.45975</v>
      </c>
      <c r="I42" s="5"/>
      <c r="J42" s="17">
        <v>835.09439999999995</v>
      </c>
      <c r="K42" s="18">
        <v>34.729999999999997</v>
      </c>
      <c r="L42" s="18">
        <v>40.006500000000003</v>
      </c>
      <c r="M42" s="18">
        <v>40.750300000000003</v>
      </c>
      <c r="N42" s="18">
        <v>29.337</v>
      </c>
      <c r="O42" s="18">
        <f t="shared" si="1"/>
        <v>36.142099999999999</v>
      </c>
      <c r="P42" s="7"/>
      <c r="Q42" s="10"/>
      <c r="R42" s="11"/>
      <c r="S42" s="11"/>
      <c r="T42" s="26"/>
      <c r="U42" s="28">
        <f t="shared" si="2"/>
        <v>1.169896449704142</v>
      </c>
    </row>
    <row r="43" spans="1:21" x14ac:dyDescent="0.25">
      <c r="B43" s="9"/>
      <c r="C43" s="17">
        <v>510.16</v>
      </c>
      <c r="D43" s="18">
        <v>32.231000000000002</v>
      </c>
      <c r="E43" s="18">
        <v>37.585999999999999</v>
      </c>
      <c r="F43" s="18">
        <v>38.173999999999999</v>
      </c>
      <c r="G43" s="18">
        <v>15.58</v>
      </c>
      <c r="H43" s="18">
        <f t="shared" si="0"/>
        <v>33.643250000000002</v>
      </c>
      <c r="I43" s="5"/>
      <c r="J43" s="17">
        <v>520.66319999999996</v>
      </c>
      <c r="K43" s="18">
        <v>32.882899999999999</v>
      </c>
      <c r="L43" s="18">
        <v>38.820399999999999</v>
      </c>
      <c r="M43" s="18">
        <v>39.4313</v>
      </c>
      <c r="N43" s="18">
        <v>35.979900000000001</v>
      </c>
      <c r="O43" s="18">
        <f t="shared" si="1"/>
        <v>34.443637500000001</v>
      </c>
      <c r="P43" s="7"/>
      <c r="Q43" s="10"/>
      <c r="R43" s="11"/>
      <c r="S43" s="11"/>
      <c r="T43" s="26"/>
      <c r="U43" s="28">
        <f t="shared" si="2"/>
        <v>1.3093645699614893</v>
      </c>
    </row>
    <row r="44" spans="1:21" ht="16.5" thickBot="1" x14ac:dyDescent="0.3">
      <c r="B44" s="12"/>
      <c r="C44" s="19">
        <v>303.91000000000003</v>
      </c>
      <c r="D44" s="20">
        <v>30.056999999999999</v>
      </c>
      <c r="E44" s="20">
        <v>36.04</v>
      </c>
      <c r="F44" s="20">
        <v>36.412999999999997</v>
      </c>
      <c r="G44" s="20">
        <v>18.03</v>
      </c>
      <c r="H44" s="20">
        <f t="shared" si="0"/>
        <v>31.599374999999995</v>
      </c>
      <c r="I44" s="5"/>
      <c r="J44" s="19">
        <v>311.82560000000001</v>
      </c>
      <c r="K44" s="20">
        <v>30.879000000000001</v>
      </c>
      <c r="L44" s="20">
        <v>37.628500000000003</v>
      </c>
      <c r="M44" s="20">
        <v>38.047899999999998</v>
      </c>
      <c r="N44" s="20">
        <v>45.143300000000004</v>
      </c>
      <c r="O44" s="20">
        <f t="shared" si="1"/>
        <v>32.6188</v>
      </c>
      <c r="P44" s="7"/>
      <c r="Q44" s="13"/>
      <c r="R44" s="14"/>
      <c r="S44" s="14"/>
      <c r="T44" s="27"/>
      <c r="U44" s="28">
        <f t="shared" si="2"/>
        <v>1.5037881308929562</v>
      </c>
    </row>
    <row r="45" spans="1:21" x14ac:dyDescent="0.25">
      <c r="B45" s="6" t="s">
        <v>55</v>
      </c>
      <c r="C45" s="15">
        <v>1095.3599999999999</v>
      </c>
      <c r="D45" s="16">
        <v>30.349</v>
      </c>
      <c r="E45" s="16">
        <v>35.829000000000001</v>
      </c>
      <c r="F45" s="16">
        <v>36.575000000000003</v>
      </c>
      <c r="G45" s="16">
        <v>11.59</v>
      </c>
      <c r="H45" s="16">
        <f t="shared" si="0"/>
        <v>31.812249999999999</v>
      </c>
      <c r="I45" s="5"/>
      <c r="J45" s="15">
        <v>1237.096</v>
      </c>
      <c r="K45" s="16">
        <v>31.174399999999999</v>
      </c>
      <c r="L45" s="16">
        <v>36.975999999999999</v>
      </c>
      <c r="M45" s="16">
        <v>37.754600000000003</v>
      </c>
      <c r="N45" s="16">
        <v>23.936</v>
      </c>
      <c r="O45" s="16">
        <f t="shared" si="1"/>
        <v>32.722124999999998</v>
      </c>
      <c r="P45" s="7"/>
      <c r="Q45" s="8">
        <f>bdrate(C45:C48,D45:D48,J45:J48,K45:K48)</f>
        <v>-0.13212217102986146</v>
      </c>
      <c r="R45" s="8">
        <f>bdrate(C45:C48,E45:E48,J45:J48,L45:L48)</f>
        <v>-0.31478198143890856</v>
      </c>
      <c r="S45" s="8">
        <f>bdrate(C45:C48,F45:F48,J45:J48,M45:M48)</f>
        <v>-0.28688615396123529</v>
      </c>
      <c r="T45" s="25">
        <f>bdrate(C45:C48,H45:H48,J45:J48,O45:O48)</f>
        <v>-0.16314176677543679</v>
      </c>
      <c r="U45" s="28">
        <f t="shared" si="2"/>
        <v>1.0652286453839517</v>
      </c>
    </row>
    <row r="46" spans="1:21" x14ac:dyDescent="0.25">
      <c r="B46" s="9"/>
      <c r="C46" s="17">
        <v>729.59</v>
      </c>
      <c r="D46" s="18">
        <v>28.968</v>
      </c>
      <c r="E46" s="18">
        <v>35.052999999999997</v>
      </c>
      <c r="F46" s="18">
        <v>35.832999999999998</v>
      </c>
      <c r="G46" s="18">
        <v>13.27</v>
      </c>
      <c r="H46" s="18">
        <f t="shared" si="0"/>
        <v>30.586749999999999</v>
      </c>
      <c r="I46" s="5"/>
      <c r="J46" s="17">
        <v>825.49919999999997</v>
      </c>
      <c r="K46" s="18">
        <v>29.838100000000001</v>
      </c>
      <c r="L46" s="18">
        <v>36.0762</v>
      </c>
      <c r="M46" s="18">
        <v>36.837499999999999</v>
      </c>
      <c r="N46" s="18">
        <v>29.270600000000002</v>
      </c>
      <c r="O46" s="18">
        <f t="shared" si="1"/>
        <v>31.492787500000002</v>
      </c>
      <c r="P46" s="7"/>
      <c r="Q46" s="10"/>
      <c r="R46" s="11"/>
      <c r="S46" s="11"/>
      <c r="T46" s="26"/>
      <c r="U46" s="28">
        <f t="shared" si="2"/>
        <v>1.2057724189902037</v>
      </c>
    </row>
    <row r="47" spans="1:21" x14ac:dyDescent="0.25">
      <c r="B47" s="9"/>
      <c r="C47" s="17">
        <v>452.96</v>
      </c>
      <c r="D47" s="18">
        <v>27.501000000000001</v>
      </c>
      <c r="E47" s="18">
        <v>34.261000000000003</v>
      </c>
      <c r="F47" s="18">
        <v>35.073</v>
      </c>
      <c r="G47" s="18">
        <v>15.38</v>
      </c>
      <c r="H47" s="18">
        <f t="shared" si="0"/>
        <v>29.2925</v>
      </c>
      <c r="I47" s="5"/>
      <c r="J47" s="17">
        <v>512.73440000000005</v>
      </c>
      <c r="K47" s="18">
        <v>28.303699999999999</v>
      </c>
      <c r="L47" s="18">
        <v>35.136400000000002</v>
      </c>
      <c r="M47" s="18">
        <v>35.848999999999997</v>
      </c>
      <c r="N47" s="18">
        <v>37.268900000000002</v>
      </c>
      <c r="O47" s="18">
        <f t="shared" si="1"/>
        <v>30.100950000000001</v>
      </c>
      <c r="P47" s="7"/>
      <c r="Q47" s="10"/>
      <c r="R47" s="11"/>
      <c r="S47" s="11"/>
      <c r="T47" s="26"/>
      <c r="U47" s="28">
        <f t="shared" si="2"/>
        <v>1.4232054616384915</v>
      </c>
    </row>
    <row r="48" spans="1:21" ht="16.5" thickBot="1" x14ac:dyDescent="0.3">
      <c r="B48" s="12"/>
      <c r="C48" s="19">
        <v>261.5</v>
      </c>
      <c r="D48" s="20">
        <v>25.800999999999998</v>
      </c>
      <c r="E48" s="20">
        <v>33.182000000000002</v>
      </c>
      <c r="F48" s="20">
        <v>34.006</v>
      </c>
      <c r="G48" s="20">
        <v>17.89</v>
      </c>
      <c r="H48" s="20">
        <f t="shared" si="0"/>
        <v>27.74925</v>
      </c>
      <c r="I48" s="5"/>
      <c r="J48" s="19">
        <v>308.47919999999999</v>
      </c>
      <c r="K48" s="20">
        <v>26.808800000000002</v>
      </c>
      <c r="L48" s="20">
        <v>34.149799999999999</v>
      </c>
      <c r="M48" s="20">
        <v>34.851500000000001</v>
      </c>
      <c r="N48" s="20">
        <v>47.837699999999998</v>
      </c>
      <c r="O48" s="20">
        <f t="shared" si="1"/>
        <v>28.731762500000002</v>
      </c>
      <c r="P48" s="7"/>
      <c r="Q48" s="13"/>
      <c r="R48" s="14"/>
      <c r="S48" s="14"/>
      <c r="T48" s="27"/>
      <c r="U48" s="28">
        <f t="shared" si="2"/>
        <v>1.6739910564561205</v>
      </c>
    </row>
    <row r="49" spans="1:21" x14ac:dyDescent="0.25">
      <c r="B49" s="6" t="s">
        <v>56</v>
      </c>
      <c r="C49" s="15">
        <v>1109.1600000000001</v>
      </c>
      <c r="D49" s="16">
        <v>33.359000000000002</v>
      </c>
      <c r="E49" s="16">
        <v>36.874000000000002</v>
      </c>
      <c r="F49" s="16">
        <v>38.531999999999996</v>
      </c>
      <c r="G49" s="16">
        <v>6.91</v>
      </c>
      <c r="H49" s="16">
        <f t="shared" si="0"/>
        <v>34.445</v>
      </c>
      <c r="I49" s="5"/>
      <c r="J49" s="15">
        <v>1238.8768</v>
      </c>
      <c r="K49" s="16">
        <v>33.335500000000003</v>
      </c>
      <c r="L49" s="16">
        <v>37.299900000000001</v>
      </c>
      <c r="M49" s="16">
        <v>38.8643</v>
      </c>
      <c r="N49" s="16">
        <v>14.8155</v>
      </c>
      <c r="O49" s="16">
        <f t="shared" si="1"/>
        <v>34.522150000000003</v>
      </c>
      <c r="P49" s="7"/>
      <c r="Q49" s="8">
        <f>bdrate(C49:C52,D49:D52,J49:J52,K49:K52)</f>
        <v>0.11776682387650728</v>
      </c>
      <c r="R49" s="8">
        <f>bdrate(C49:C52,E49:E52,J49:J52,L49:L52)</f>
        <v>-0.11311128627338718</v>
      </c>
      <c r="S49" s="8">
        <f>bdrate(C49:C52,F49:F52,J49:J52,M49:M52)</f>
        <v>-8.5122661233569819E-2</v>
      </c>
      <c r="T49" s="25">
        <f>bdrate(C49:C52,H49:H52,J49:J52,O49:O52)</f>
        <v>7.4097006300724022E-2</v>
      </c>
      <c r="U49" s="28">
        <f t="shared" si="2"/>
        <v>1.1440665701881332</v>
      </c>
    </row>
    <row r="50" spans="1:21" x14ac:dyDescent="0.25">
      <c r="B50" s="9"/>
      <c r="C50" s="17">
        <v>746.68</v>
      </c>
      <c r="D50" s="18">
        <v>31.91</v>
      </c>
      <c r="E50" s="18">
        <v>35.889000000000003</v>
      </c>
      <c r="F50" s="18">
        <v>37.536000000000001</v>
      </c>
      <c r="G50" s="18">
        <v>7.74</v>
      </c>
      <c r="H50" s="18">
        <f t="shared" si="0"/>
        <v>33.110624999999999</v>
      </c>
      <c r="I50" s="5"/>
      <c r="J50" s="17">
        <v>823.4</v>
      </c>
      <c r="K50" s="18">
        <v>31.829599999999999</v>
      </c>
      <c r="L50" s="18">
        <v>36.357300000000002</v>
      </c>
      <c r="M50" s="18">
        <v>37.917999999999999</v>
      </c>
      <c r="N50" s="18">
        <v>17.8063</v>
      </c>
      <c r="O50" s="18">
        <f t="shared" si="1"/>
        <v>33.156612500000001</v>
      </c>
      <c r="P50" s="7"/>
      <c r="Q50" s="10"/>
      <c r="R50" s="11"/>
      <c r="S50" s="11"/>
      <c r="T50" s="26"/>
      <c r="U50" s="28">
        <f t="shared" si="2"/>
        <v>1.3005555555555555</v>
      </c>
    </row>
    <row r="51" spans="1:21" x14ac:dyDescent="0.25">
      <c r="B51" s="9"/>
      <c r="C51" s="17">
        <v>475.69</v>
      </c>
      <c r="D51" s="18">
        <v>30.311</v>
      </c>
      <c r="E51" s="18">
        <v>34.866999999999997</v>
      </c>
      <c r="F51" s="18">
        <v>36.475000000000001</v>
      </c>
      <c r="G51" s="18">
        <v>8.8699999999999992</v>
      </c>
      <c r="H51" s="18">
        <f t="shared" si="0"/>
        <v>31.650999999999996</v>
      </c>
      <c r="I51" s="5"/>
      <c r="J51" s="17">
        <v>514.8904</v>
      </c>
      <c r="K51" s="18">
        <v>30.208100000000002</v>
      </c>
      <c r="L51" s="18">
        <v>35.311999999999998</v>
      </c>
      <c r="M51" s="18">
        <v>36.880800000000001</v>
      </c>
      <c r="N51" s="18">
        <v>22.232099999999999</v>
      </c>
      <c r="O51" s="18">
        <f t="shared" si="1"/>
        <v>31.680175000000002</v>
      </c>
      <c r="P51" s="7"/>
      <c r="Q51" s="10"/>
      <c r="R51" s="11"/>
      <c r="S51" s="11"/>
      <c r="T51" s="26"/>
      <c r="U51" s="28">
        <f t="shared" si="2"/>
        <v>1.5064374295377678</v>
      </c>
    </row>
    <row r="52" spans="1:21" ht="16.5" thickBot="1" x14ac:dyDescent="0.3">
      <c r="B52" s="12"/>
      <c r="C52" s="19">
        <v>288.77999999999997</v>
      </c>
      <c r="D52" s="20">
        <v>28.672000000000001</v>
      </c>
      <c r="E52" s="20">
        <v>33.701999999999998</v>
      </c>
      <c r="F52" s="20">
        <v>35.168999999999997</v>
      </c>
      <c r="G52" s="20">
        <v>10.49</v>
      </c>
      <c r="H52" s="20">
        <f t="shared" si="0"/>
        <v>30.112875000000003</v>
      </c>
      <c r="I52" s="5"/>
      <c r="J52" s="19">
        <v>308.87920000000003</v>
      </c>
      <c r="K52" s="20">
        <v>28.618600000000001</v>
      </c>
      <c r="L52" s="20">
        <v>34.335500000000003</v>
      </c>
      <c r="M52" s="20">
        <v>35.842599999999997</v>
      </c>
      <c r="N52" s="20">
        <v>28.155799999999999</v>
      </c>
      <c r="O52" s="20">
        <f t="shared" si="1"/>
        <v>30.236212500000001</v>
      </c>
      <c r="P52" s="7"/>
      <c r="Q52" s="13"/>
      <c r="R52" s="14"/>
      <c r="S52" s="14"/>
      <c r="T52" s="27"/>
      <c r="U52" s="28">
        <f t="shared" si="2"/>
        <v>1.6840610104861771</v>
      </c>
    </row>
    <row r="53" spans="1:21" x14ac:dyDescent="0.25">
      <c r="A53" s="6" t="s">
        <v>41</v>
      </c>
      <c r="B53" s="6" t="s">
        <v>57</v>
      </c>
      <c r="C53" s="15">
        <v>640.27</v>
      </c>
      <c r="D53" s="16">
        <v>35.661000000000001</v>
      </c>
      <c r="E53" s="16">
        <v>39.997999999999998</v>
      </c>
      <c r="F53" s="16">
        <v>38.735999999999997</v>
      </c>
      <c r="G53" s="16">
        <v>28.49</v>
      </c>
      <c r="H53" s="16">
        <f t="shared" si="0"/>
        <v>36.587499999999999</v>
      </c>
      <c r="I53" s="5"/>
      <c r="J53" s="15">
        <v>614.65840000000003</v>
      </c>
      <c r="K53" s="16">
        <v>35.431399999999996</v>
      </c>
      <c r="L53" s="16">
        <v>40.247199999999999</v>
      </c>
      <c r="M53" s="16">
        <v>38.7425</v>
      </c>
      <c r="N53" s="16">
        <v>59.129600000000003</v>
      </c>
      <c r="O53" s="16">
        <f t="shared" si="1"/>
        <v>36.447262499999994</v>
      </c>
      <c r="P53" s="7"/>
      <c r="Q53" s="8">
        <f>bdrate(C53:C56,D53:D56,J53:J56,K53:K56)</f>
        <v>3.2450052571892041E-2</v>
      </c>
      <c r="R53" s="8">
        <f>bdrate(C53:C56,E53:E56,J53:J56,L53:L56)</f>
        <v>-0.19999856142215366</v>
      </c>
      <c r="S53" s="8">
        <f>bdrate(C53:C56,F53:F56,J53:J56,M53:M56)</f>
        <v>-7.990766876702915E-2</v>
      </c>
      <c r="T53" s="25">
        <f>bdrate(C53:C56,H53:H56,J53:J56,O53:O56)</f>
        <v>-3.7593370166264517E-3</v>
      </c>
      <c r="U53" s="28">
        <f t="shared" si="2"/>
        <v>1.0754510354510356</v>
      </c>
    </row>
    <row r="54" spans="1:21" x14ac:dyDescent="0.25">
      <c r="A54" s="9" t="s">
        <v>42</v>
      </c>
      <c r="B54" s="9"/>
      <c r="C54" s="17">
        <v>426.09</v>
      </c>
      <c r="D54" s="18">
        <v>33.823999999999998</v>
      </c>
      <c r="E54" s="18">
        <v>38.543999999999997</v>
      </c>
      <c r="F54" s="18">
        <v>37.148000000000003</v>
      </c>
      <c r="G54" s="18">
        <v>32.71</v>
      </c>
      <c r="H54" s="18">
        <f t="shared" si="0"/>
        <v>34.829500000000003</v>
      </c>
      <c r="I54" s="5"/>
      <c r="J54" s="17">
        <v>410.3784</v>
      </c>
      <c r="K54" s="18">
        <v>33.5702</v>
      </c>
      <c r="L54" s="18">
        <v>39.005800000000001</v>
      </c>
      <c r="M54" s="18">
        <v>37.255200000000002</v>
      </c>
      <c r="N54" s="18">
        <v>71.225099999999998</v>
      </c>
      <c r="O54" s="18">
        <f t="shared" si="1"/>
        <v>34.710274999999996</v>
      </c>
      <c r="P54" s="7"/>
      <c r="Q54" s="10"/>
      <c r="R54" s="11"/>
      <c r="S54" s="11"/>
      <c r="T54" s="26"/>
      <c r="U54" s="28">
        <f t="shared" si="2"/>
        <v>1.1774717211861814</v>
      </c>
    </row>
    <row r="55" spans="1:21" x14ac:dyDescent="0.25">
      <c r="B55" s="9"/>
      <c r="C55" s="17">
        <v>265.67</v>
      </c>
      <c r="D55" s="18">
        <v>31.846</v>
      </c>
      <c r="E55" s="18">
        <v>37.238</v>
      </c>
      <c r="F55" s="18">
        <v>35.597999999999999</v>
      </c>
      <c r="G55" s="18">
        <v>38.340000000000003</v>
      </c>
      <c r="H55" s="18">
        <f t="shared" si="0"/>
        <v>32.988999999999997</v>
      </c>
      <c r="I55" s="5"/>
      <c r="J55" s="17">
        <v>255.988</v>
      </c>
      <c r="K55" s="18">
        <v>31.558199999999999</v>
      </c>
      <c r="L55" s="18">
        <v>37.779699999999998</v>
      </c>
      <c r="M55" s="18">
        <v>35.743600000000001</v>
      </c>
      <c r="N55" s="18">
        <v>88.292400000000001</v>
      </c>
      <c r="O55" s="18">
        <f t="shared" si="1"/>
        <v>32.8590625</v>
      </c>
      <c r="P55" s="7"/>
      <c r="Q55" s="10"/>
      <c r="R55" s="11"/>
      <c r="S55" s="11"/>
      <c r="T55" s="26"/>
      <c r="U55" s="28">
        <f t="shared" si="2"/>
        <v>1.3028794992175272</v>
      </c>
    </row>
    <row r="56" spans="1:21" ht="16.5" thickBot="1" x14ac:dyDescent="0.3">
      <c r="B56" s="12"/>
      <c r="C56" s="19">
        <v>126.91</v>
      </c>
      <c r="D56" s="20">
        <v>29.079000000000001</v>
      </c>
      <c r="E56" s="20">
        <v>35.249000000000002</v>
      </c>
      <c r="F56" s="20">
        <v>33.222000000000001</v>
      </c>
      <c r="G56" s="20">
        <v>49.31</v>
      </c>
      <c r="H56" s="20">
        <f t="shared" si="0"/>
        <v>30.368124999999999</v>
      </c>
      <c r="I56" s="5"/>
      <c r="J56" s="19">
        <v>121.6808</v>
      </c>
      <c r="K56" s="20">
        <v>28.694099999999999</v>
      </c>
      <c r="L56" s="20">
        <v>35.96</v>
      </c>
      <c r="M56" s="20">
        <v>33.536000000000001</v>
      </c>
      <c r="N56" s="20">
        <v>127.1617</v>
      </c>
      <c r="O56" s="20">
        <f t="shared" si="1"/>
        <v>30.207575000000002</v>
      </c>
      <c r="P56" s="7"/>
      <c r="Q56" s="13"/>
      <c r="R56" s="14"/>
      <c r="S56" s="14"/>
      <c r="T56" s="27"/>
      <c r="U56" s="28">
        <f t="shared" si="2"/>
        <v>1.5788217400121678</v>
      </c>
    </row>
    <row r="57" spans="1:21" x14ac:dyDescent="0.25">
      <c r="B57" s="6" t="s">
        <v>58</v>
      </c>
      <c r="C57" s="15">
        <v>551.54999999999995</v>
      </c>
      <c r="D57" s="16">
        <v>33.392000000000003</v>
      </c>
      <c r="E57" s="16">
        <v>40.017000000000003</v>
      </c>
      <c r="F57" s="16">
        <v>40.826000000000001</v>
      </c>
      <c r="G57" s="16">
        <v>48.32</v>
      </c>
      <c r="H57" s="16">
        <f t="shared" si="0"/>
        <v>35.149375000000006</v>
      </c>
      <c r="I57" s="5"/>
      <c r="J57" s="15">
        <v>617.2912</v>
      </c>
      <c r="K57" s="16">
        <v>34.463500000000003</v>
      </c>
      <c r="L57" s="16">
        <v>41.681699999999999</v>
      </c>
      <c r="M57" s="16">
        <v>42.576599999999999</v>
      </c>
      <c r="N57" s="16">
        <v>88.823099999999997</v>
      </c>
      <c r="O57" s="16">
        <f t="shared" si="1"/>
        <v>36.379912500000003</v>
      </c>
      <c r="P57" s="7"/>
      <c r="Q57" s="8">
        <f>bdrate(C57:C60,D57:D60,J57:J60,K57:K60)</f>
        <v>-0.18888241456074673</v>
      </c>
      <c r="R57" s="8">
        <f>bdrate(C57:C60,E57:E60,J57:J60,L57:L60)</f>
        <v>-0.33337237530975594</v>
      </c>
      <c r="S57" s="8">
        <f>bdrate(C57:C60,F57:F60,J57:J60,M57:M60)</f>
        <v>-0.36431819507373131</v>
      </c>
      <c r="T57" s="25">
        <f>bdrate(C57:C60,H57:H60,J57:J60,O57:O60)</f>
        <v>-0.21773798773195163</v>
      </c>
      <c r="U57" s="28">
        <f t="shared" si="2"/>
        <v>0.83822640728476816</v>
      </c>
    </row>
    <row r="58" spans="1:21" x14ac:dyDescent="0.25">
      <c r="B58" s="9"/>
      <c r="C58" s="17">
        <v>363.35</v>
      </c>
      <c r="D58" s="18">
        <v>32.029000000000003</v>
      </c>
      <c r="E58" s="18">
        <v>39.317</v>
      </c>
      <c r="F58" s="18">
        <v>40.073999999999998</v>
      </c>
      <c r="G58" s="18">
        <v>55.34</v>
      </c>
      <c r="H58" s="18">
        <f t="shared" si="0"/>
        <v>33.945625000000007</v>
      </c>
      <c r="I58" s="5"/>
      <c r="J58" s="17">
        <v>408.51440000000002</v>
      </c>
      <c r="K58" s="18">
        <v>33.137700000000002</v>
      </c>
      <c r="L58" s="18">
        <v>40.693199999999997</v>
      </c>
      <c r="M58" s="18">
        <v>41.546799999999998</v>
      </c>
      <c r="N58" s="18">
        <v>110.8443</v>
      </c>
      <c r="O58" s="18">
        <f t="shared" si="1"/>
        <v>35.133275000000005</v>
      </c>
      <c r="P58" s="7"/>
      <c r="Q58" s="10"/>
      <c r="R58" s="11"/>
      <c r="S58" s="11"/>
      <c r="T58" s="26"/>
      <c r="U58" s="28">
        <f t="shared" si="2"/>
        <v>1.0029689194073004</v>
      </c>
    </row>
    <row r="59" spans="1:21" x14ac:dyDescent="0.25">
      <c r="B59" s="9"/>
      <c r="C59" s="17">
        <v>224.92</v>
      </c>
      <c r="D59" s="18">
        <v>30.486000000000001</v>
      </c>
      <c r="E59" s="18">
        <v>38.685000000000002</v>
      </c>
      <c r="F59" s="18">
        <v>39.353999999999999</v>
      </c>
      <c r="G59" s="18">
        <v>62.74</v>
      </c>
      <c r="H59" s="18">
        <f t="shared" si="0"/>
        <v>32.619374999999998</v>
      </c>
      <c r="I59" s="5"/>
      <c r="J59" s="17">
        <v>253.8064</v>
      </c>
      <c r="K59" s="18">
        <v>31.571200000000001</v>
      </c>
      <c r="L59" s="18">
        <v>39.5212</v>
      </c>
      <c r="M59" s="18">
        <v>40.384900000000002</v>
      </c>
      <c r="N59" s="18">
        <v>147.38390000000001</v>
      </c>
      <c r="O59" s="18">
        <f t="shared" si="1"/>
        <v>33.666662500000001</v>
      </c>
      <c r="P59" s="7"/>
      <c r="Q59" s="10"/>
      <c r="R59" s="11"/>
      <c r="S59" s="11"/>
      <c r="T59" s="26"/>
      <c r="U59" s="28">
        <f t="shared" si="2"/>
        <v>1.349121772394007</v>
      </c>
    </row>
    <row r="60" spans="1:21" ht="16.5" thickBot="1" x14ac:dyDescent="0.3">
      <c r="B60" s="12"/>
      <c r="C60" s="19">
        <v>103.85</v>
      </c>
      <c r="D60" s="20">
        <v>27.782</v>
      </c>
      <c r="E60" s="20">
        <v>37.61</v>
      </c>
      <c r="F60" s="20">
        <v>38.139000000000003</v>
      </c>
      <c r="G60" s="20">
        <v>77.39</v>
      </c>
      <c r="H60" s="20">
        <f t="shared" si="0"/>
        <v>30.305125000000004</v>
      </c>
      <c r="I60" s="5"/>
      <c r="J60" s="19">
        <v>120.48480000000001</v>
      </c>
      <c r="K60" s="20">
        <v>29.011399999999998</v>
      </c>
      <c r="L60" s="20">
        <v>38.174999999999997</v>
      </c>
      <c r="M60" s="20">
        <v>38.862400000000001</v>
      </c>
      <c r="N60" s="20">
        <v>234.4666</v>
      </c>
      <c r="O60" s="20">
        <f t="shared" si="1"/>
        <v>31.388225000000002</v>
      </c>
      <c r="P60" s="7"/>
      <c r="Q60" s="13"/>
      <c r="R60" s="14"/>
      <c r="S60" s="14"/>
      <c r="T60" s="27"/>
      <c r="U60" s="28">
        <f t="shared" si="2"/>
        <v>2.0296756686910453</v>
      </c>
    </row>
    <row r="61" spans="1:21" x14ac:dyDescent="0.25">
      <c r="B61" s="6" t="s">
        <v>59</v>
      </c>
      <c r="C61" s="29">
        <v>627.91</v>
      </c>
      <c r="D61" s="30">
        <v>33.622</v>
      </c>
      <c r="E61" s="30">
        <v>37.509</v>
      </c>
      <c r="F61" s="30">
        <v>38.113999999999997</v>
      </c>
      <c r="G61" s="16">
        <v>38.25</v>
      </c>
      <c r="H61" s="16">
        <f t="shared" si="0"/>
        <v>34.669374999999995</v>
      </c>
      <c r="I61" s="5"/>
      <c r="J61" s="29">
        <v>646.84960000000001</v>
      </c>
      <c r="K61" s="30">
        <v>34.0246</v>
      </c>
      <c r="L61" s="30">
        <v>38.4739</v>
      </c>
      <c r="M61" s="30">
        <v>39.313699999999997</v>
      </c>
      <c r="N61" s="16">
        <v>77.423400000000001</v>
      </c>
      <c r="O61" s="16">
        <f t="shared" si="1"/>
        <v>35.241900000000001</v>
      </c>
      <c r="P61" s="7"/>
      <c r="Q61" s="8">
        <f>bdrate(C61:C64,D61:D64,J61:J64,K61:K64)</f>
        <v>-0.10724230287153869</v>
      </c>
      <c r="R61" s="8">
        <f>bdrate(C61:C64,E61:E64,J61:J64,L61:L64)</f>
        <v>-0.27210308129311955</v>
      </c>
      <c r="S61" s="8">
        <f>bdrate(C61:C64,F61:F64,J61:J64,M61:M64)</f>
        <v>-0.31913379187676039</v>
      </c>
      <c r="T61" s="25">
        <f>bdrate(C61:C64,H61:H64,J61:J64,O61:O64)</f>
        <v>-0.14658411765250068</v>
      </c>
      <c r="U61" s="28">
        <f t="shared" si="2"/>
        <v>1.0241411764705883</v>
      </c>
    </row>
    <row r="62" spans="1:21" x14ac:dyDescent="0.25">
      <c r="B62" s="9"/>
      <c r="C62" s="31">
        <v>418.78</v>
      </c>
      <c r="D62" s="32">
        <v>31.986999999999998</v>
      </c>
      <c r="E62" s="32">
        <v>36.393000000000001</v>
      </c>
      <c r="F62" s="32">
        <v>36.984000000000002</v>
      </c>
      <c r="G62" s="18">
        <v>44.27</v>
      </c>
      <c r="H62" s="18">
        <f t="shared" si="0"/>
        <v>33.162374999999997</v>
      </c>
      <c r="I62" s="5"/>
      <c r="J62" s="31">
        <v>429.16640000000001</v>
      </c>
      <c r="K62" s="32">
        <v>32.467199999999998</v>
      </c>
      <c r="L62" s="32">
        <v>37.320999999999998</v>
      </c>
      <c r="M62" s="32">
        <v>38.134099999999997</v>
      </c>
      <c r="N62" s="18">
        <v>95.6755</v>
      </c>
      <c r="O62" s="18">
        <f t="shared" si="1"/>
        <v>33.782287500000002</v>
      </c>
      <c r="P62" s="7"/>
      <c r="Q62" s="10"/>
      <c r="R62" s="11"/>
      <c r="S62" s="11"/>
      <c r="T62" s="26"/>
      <c r="U62" s="28">
        <f t="shared" si="2"/>
        <v>1.1611813869437542</v>
      </c>
    </row>
    <row r="63" spans="1:21" x14ac:dyDescent="0.25">
      <c r="B63" s="9"/>
      <c r="C63" s="31">
        <v>260.81</v>
      </c>
      <c r="D63" s="32">
        <v>30.231000000000002</v>
      </c>
      <c r="E63" s="32">
        <v>35.258000000000003</v>
      </c>
      <c r="F63" s="32">
        <v>35.848999999999997</v>
      </c>
      <c r="G63" s="18">
        <v>51.2</v>
      </c>
      <c r="H63" s="18">
        <f t="shared" si="0"/>
        <v>31.561625000000003</v>
      </c>
      <c r="I63" s="5"/>
      <c r="J63" s="31">
        <v>265.67439999999999</v>
      </c>
      <c r="K63" s="32">
        <v>30.719200000000001</v>
      </c>
      <c r="L63" s="32">
        <v>36.052599999999998</v>
      </c>
      <c r="M63" s="32">
        <v>36.816299999999998</v>
      </c>
      <c r="N63" s="18">
        <v>118.7085</v>
      </c>
      <c r="O63" s="18">
        <f t="shared" si="1"/>
        <v>32.1480125</v>
      </c>
      <c r="P63" s="7"/>
      <c r="Q63" s="10"/>
      <c r="R63" s="11"/>
      <c r="S63" s="11"/>
      <c r="T63" s="26"/>
      <c r="U63" s="28">
        <f t="shared" si="2"/>
        <v>1.3185253906249998</v>
      </c>
    </row>
    <row r="64" spans="1:21" ht="16.5" thickBot="1" x14ac:dyDescent="0.3">
      <c r="B64" s="12"/>
      <c r="C64" s="33">
        <v>123.28</v>
      </c>
      <c r="D64" s="34">
        <v>27.712</v>
      </c>
      <c r="E64" s="34">
        <v>33.585999999999999</v>
      </c>
      <c r="F64" s="34">
        <v>34.128</v>
      </c>
      <c r="G64" s="20">
        <v>64.62</v>
      </c>
      <c r="H64" s="20">
        <f t="shared" si="0"/>
        <v>29.248249999999999</v>
      </c>
      <c r="I64" s="5"/>
      <c r="J64" s="33">
        <v>124.6472</v>
      </c>
      <c r="K64" s="34">
        <v>28.196300000000001</v>
      </c>
      <c r="L64" s="34">
        <v>34.3125</v>
      </c>
      <c r="M64" s="34">
        <v>35.019500000000001</v>
      </c>
      <c r="N64" s="20">
        <v>171.3502</v>
      </c>
      <c r="O64" s="20">
        <f t="shared" si="1"/>
        <v>29.813724999999998</v>
      </c>
      <c r="P64" s="7"/>
      <c r="Q64" s="13"/>
      <c r="R64" s="14"/>
      <c r="S64" s="14"/>
      <c r="T64" s="27"/>
      <c r="U64" s="28">
        <f t="shared" si="2"/>
        <v>1.6516589291241099</v>
      </c>
    </row>
    <row r="65" spans="1:21" x14ac:dyDescent="0.25">
      <c r="B65" s="6" t="s">
        <v>60</v>
      </c>
      <c r="C65" s="15">
        <v>577.61</v>
      </c>
      <c r="D65" s="16">
        <v>35.113999999999997</v>
      </c>
      <c r="E65" s="16">
        <v>38.159999999999997</v>
      </c>
      <c r="F65" s="16">
        <v>39.363</v>
      </c>
      <c r="G65" s="16">
        <v>21.93</v>
      </c>
      <c r="H65" s="16">
        <f t="shared" si="0"/>
        <v>36.025874999999999</v>
      </c>
      <c r="I65" s="5"/>
      <c r="J65" s="15">
        <v>622.548</v>
      </c>
      <c r="K65" s="16">
        <v>35.145699999999998</v>
      </c>
      <c r="L65" s="16">
        <v>38.418900000000001</v>
      </c>
      <c r="M65" s="16">
        <v>39.513800000000003</v>
      </c>
      <c r="N65" s="16">
        <v>44.111199999999997</v>
      </c>
      <c r="O65" s="16">
        <f t="shared" si="1"/>
        <v>36.100862499999998</v>
      </c>
      <c r="P65" s="7"/>
      <c r="Q65" s="8">
        <f>bdrate(C65:C68,D65:D68,J65:J68,K65:K68)</f>
        <v>7.7986691620798521E-2</v>
      </c>
      <c r="R65" s="8">
        <f>bdrate(C65:C68,E65:E68,J65:J68,L65:L68)</f>
        <v>-6.6108465362902269E-2</v>
      </c>
      <c r="S65" s="8">
        <f>bdrate(C65:C68,F65:F68,J65:J68,M65:M68)</f>
        <v>-5.1729944951000584E-2</v>
      </c>
      <c r="T65" s="25">
        <f>bdrate(C65:C68,H65:H68,J65:J68,O65:O68)</f>
        <v>4.8918268659966513E-2</v>
      </c>
      <c r="U65" s="28">
        <f t="shared" si="2"/>
        <v>1.0114546283629731</v>
      </c>
    </row>
    <row r="66" spans="1:21" x14ac:dyDescent="0.25">
      <c r="B66" s="9"/>
      <c r="C66" s="17">
        <v>387.14</v>
      </c>
      <c r="D66" s="18">
        <v>33.24</v>
      </c>
      <c r="E66" s="18">
        <v>36.802</v>
      </c>
      <c r="F66" s="18">
        <v>37.951999999999998</v>
      </c>
      <c r="G66" s="18">
        <v>25.37</v>
      </c>
      <c r="H66" s="18">
        <f t="shared" si="0"/>
        <v>34.274249999999995</v>
      </c>
      <c r="I66" s="5"/>
      <c r="J66" s="17">
        <v>416.16239999999999</v>
      </c>
      <c r="K66" s="18">
        <v>33.243000000000002</v>
      </c>
      <c r="L66" s="18">
        <v>37.1721</v>
      </c>
      <c r="M66" s="18">
        <v>38.253100000000003</v>
      </c>
      <c r="N66" s="18">
        <v>53.715299999999999</v>
      </c>
      <c r="O66" s="18">
        <f t="shared" si="1"/>
        <v>34.360400000000006</v>
      </c>
      <c r="P66" s="7"/>
      <c r="Q66" s="10"/>
      <c r="R66" s="11"/>
      <c r="S66" s="11"/>
      <c r="T66" s="26"/>
      <c r="U66" s="28">
        <f t="shared" si="2"/>
        <v>1.1172763106030743</v>
      </c>
    </row>
    <row r="67" spans="1:21" x14ac:dyDescent="0.25">
      <c r="B67" s="9"/>
      <c r="C67" s="17">
        <v>243.75</v>
      </c>
      <c r="D67" s="18">
        <v>31.311</v>
      </c>
      <c r="E67" s="18">
        <v>35.430999999999997</v>
      </c>
      <c r="F67" s="18">
        <v>36.526000000000003</v>
      </c>
      <c r="G67" s="18">
        <v>30.1</v>
      </c>
      <c r="H67" s="18">
        <f t="shared" si="0"/>
        <v>32.477874999999997</v>
      </c>
      <c r="I67" s="5"/>
      <c r="J67" s="17">
        <v>258.89440000000002</v>
      </c>
      <c r="K67" s="18">
        <v>31.240600000000001</v>
      </c>
      <c r="L67" s="18">
        <v>35.770200000000003</v>
      </c>
      <c r="M67" s="18">
        <v>36.858899999999998</v>
      </c>
      <c r="N67" s="18">
        <v>67.950199999999995</v>
      </c>
      <c r="O67" s="18">
        <f t="shared" si="1"/>
        <v>32.5090875</v>
      </c>
      <c r="P67" s="7"/>
      <c r="Q67" s="10"/>
      <c r="R67" s="11"/>
      <c r="S67" s="11"/>
      <c r="T67" s="26"/>
      <c r="U67" s="28">
        <f t="shared" si="2"/>
        <v>1.2574817275747505</v>
      </c>
    </row>
    <row r="68" spans="1:21" ht="16.5" thickBot="1" x14ac:dyDescent="0.3">
      <c r="B68" s="12"/>
      <c r="C68" s="19">
        <v>116.79</v>
      </c>
      <c r="D68" s="20">
        <v>28.661999999999999</v>
      </c>
      <c r="E68" s="20">
        <v>33.374000000000002</v>
      </c>
      <c r="F68" s="20">
        <v>34.362000000000002</v>
      </c>
      <c r="G68" s="20">
        <v>40.229999999999997</v>
      </c>
      <c r="H68" s="20">
        <f t="shared" si="0"/>
        <v>29.963499999999996</v>
      </c>
      <c r="I68" s="5"/>
      <c r="J68" s="19">
        <v>123.7152</v>
      </c>
      <c r="K68" s="20">
        <v>28.595500000000001</v>
      </c>
      <c r="L68" s="20">
        <v>34.020000000000003</v>
      </c>
      <c r="M68" s="20">
        <v>35.0197</v>
      </c>
      <c r="N68" s="20">
        <v>99.634699999999995</v>
      </c>
      <c r="O68" s="20">
        <f t="shared" si="1"/>
        <v>30.076587500000002</v>
      </c>
      <c r="P68" s="7"/>
      <c r="Q68" s="13"/>
      <c r="R68" s="14"/>
      <c r="S68" s="14"/>
      <c r="T68" s="27"/>
      <c r="U68" s="28">
        <f t="shared" si="2"/>
        <v>1.4766268953517276</v>
      </c>
    </row>
    <row r="69" spans="1:21" x14ac:dyDescent="0.25">
      <c r="A69" s="6" t="s">
        <v>43</v>
      </c>
      <c r="B69" s="6" t="s">
        <v>61</v>
      </c>
      <c r="C69" s="15">
        <v>1386.27</v>
      </c>
      <c r="D69" s="16">
        <v>41.329000000000001</v>
      </c>
      <c r="E69" s="16">
        <v>44.886000000000003</v>
      </c>
      <c r="F69" s="16">
        <v>46.173999999999999</v>
      </c>
      <c r="G69" s="16">
        <v>8.9499999999999993</v>
      </c>
      <c r="H69" s="16">
        <f t="shared" si="0"/>
        <v>42.379249999999999</v>
      </c>
      <c r="I69" s="5"/>
      <c r="J69" s="15">
        <v>1495.6848</v>
      </c>
      <c r="K69" s="16">
        <v>41.844499999999996</v>
      </c>
      <c r="L69" s="16">
        <v>45.979900000000001</v>
      </c>
      <c r="M69" s="16">
        <v>47.166899999999998</v>
      </c>
      <c r="N69" s="16">
        <v>22.0791</v>
      </c>
      <c r="O69" s="16">
        <f t="shared" si="1"/>
        <v>43.026724999999999</v>
      </c>
      <c r="P69" s="7"/>
      <c r="Q69" s="8">
        <f>bdrate(C69:C72,D69:D72,J69:J72,K69:K72)</f>
        <v>-5.1778987274164745E-2</v>
      </c>
      <c r="R69" s="8">
        <f>bdrate(C69:C72,E69:E72,J69:J72,L69:L72)</f>
        <v>-0.24728040001459461</v>
      </c>
      <c r="S69" s="8">
        <f>bdrate(C69:C72,F69:F72,J69:J72,M69:M72)</f>
        <v>-0.20145364213291328</v>
      </c>
      <c r="T69" s="25">
        <f>bdrate(C69:C72,H69:H72,J69:J72,O69:O72)</f>
        <v>-8.7783177588893091E-2</v>
      </c>
      <c r="U69" s="28">
        <f t="shared" si="2"/>
        <v>1.4669385474860337</v>
      </c>
    </row>
    <row r="70" spans="1:21" x14ac:dyDescent="0.25">
      <c r="A70" s="9" t="s">
        <v>44</v>
      </c>
      <c r="B70" s="9"/>
      <c r="C70" s="17">
        <v>912.8</v>
      </c>
      <c r="D70" s="18">
        <v>40.216999999999999</v>
      </c>
      <c r="E70" s="18">
        <v>43.917000000000002</v>
      </c>
      <c r="F70" s="18">
        <v>45.215000000000003</v>
      </c>
      <c r="G70" s="18">
        <v>10.15</v>
      </c>
      <c r="H70" s="18">
        <f t="shared" si="0"/>
        <v>41.304249999999996</v>
      </c>
      <c r="I70" s="5"/>
      <c r="J70" s="17">
        <v>985.62800000000004</v>
      </c>
      <c r="K70" s="18">
        <v>40.815899999999999</v>
      </c>
      <c r="L70" s="18">
        <v>45.065300000000001</v>
      </c>
      <c r="M70" s="18">
        <v>46.207999999999998</v>
      </c>
      <c r="N70" s="18">
        <v>27.7303</v>
      </c>
      <c r="O70" s="18">
        <f t="shared" si="1"/>
        <v>42.021087499999993</v>
      </c>
      <c r="P70" s="7"/>
      <c r="Q70" s="10"/>
      <c r="R70" s="11"/>
      <c r="S70" s="11"/>
      <c r="T70" s="26"/>
      <c r="U70" s="28">
        <f t="shared" si="2"/>
        <v>1.7320492610837439</v>
      </c>
    </row>
    <row r="71" spans="1:21" x14ac:dyDescent="0.25">
      <c r="B71" s="9"/>
      <c r="C71" s="17">
        <v>542.65</v>
      </c>
      <c r="D71" s="18">
        <v>38.543999999999997</v>
      </c>
      <c r="E71" s="18">
        <v>42.594000000000001</v>
      </c>
      <c r="F71" s="18">
        <v>43.844000000000001</v>
      </c>
      <c r="G71" s="18">
        <v>11.53</v>
      </c>
      <c r="H71" s="18">
        <f t="shared" si="0"/>
        <v>39.71275</v>
      </c>
      <c r="I71" s="5"/>
      <c r="J71" s="17">
        <v>570.20640000000003</v>
      </c>
      <c r="K71" s="18">
        <v>38.9681</v>
      </c>
      <c r="L71" s="18">
        <v>43.510399999999997</v>
      </c>
      <c r="M71" s="18">
        <v>44.6248</v>
      </c>
      <c r="N71" s="18">
        <v>35.612499999999997</v>
      </c>
      <c r="O71" s="18">
        <f t="shared" si="1"/>
        <v>40.242975000000001</v>
      </c>
      <c r="P71" s="7"/>
      <c r="Q71" s="10"/>
      <c r="R71" s="11"/>
      <c r="S71" s="11"/>
      <c r="T71" s="26"/>
      <c r="U71" s="28">
        <f t="shared" si="2"/>
        <v>2.0886816999132694</v>
      </c>
    </row>
    <row r="72" spans="1:21" ht="16.5" thickBot="1" x14ac:dyDescent="0.3">
      <c r="B72" s="12"/>
      <c r="C72" s="19">
        <v>261.64</v>
      </c>
      <c r="D72" s="20">
        <v>36.19</v>
      </c>
      <c r="E72" s="20">
        <v>41.313000000000002</v>
      </c>
      <c r="F72" s="20">
        <v>42.296999999999997</v>
      </c>
      <c r="G72" s="20">
        <v>13.29</v>
      </c>
      <c r="H72" s="20">
        <f t="shared" si="0"/>
        <v>37.59375</v>
      </c>
      <c r="I72" s="5"/>
      <c r="J72" s="19">
        <v>277.93279999999999</v>
      </c>
      <c r="K72" s="20">
        <v>35.951799999999999</v>
      </c>
      <c r="L72" s="20">
        <v>41.488300000000002</v>
      </c>
      <c r="M72" s="20">
        <v>42.500399999999999</v>
      </c>
      <c r="N72" s="20">
        <v>48.437899999999999</v>
      </c>
      <c r="O72" s="20">
        <f t="shared" si="1"/>
        <v>37.4624375</v>
      </c>
      <c r="P72" s="7"/>
      <c r="Q72" s="13"/>
      <c r="R72" s="14"/>
      <c r="S72" s="14"/>
      <c r="T72" s="27"/>
      <c r="U72" s="28">
        <f t="shared" si="2"/>
        <v>2.6446877351392026</v>
      </c>
    </row>
    <row r="73" spans="1:21" x14ac:dyDescent="0.25">
      <c r="B73" s="6" t="s">
        <v>62</v>
      </c>
      <c r="C73" s="15">
        <v>1430.98</v>
      </c>
      <c r="D73" s="16">
        <v>42.723999999999997</v>
      </c>
      <c r="E73" s="16">
        <v>47.101999999999997</v>
      </c>
      <c r="F73" s="16">
        <v>47.792999999999999</v>
      </c>
      <c r="G73" s="16">
        <v>9.15</v>
      </c>
      <c r="H73" s="16">
        <f t="shared" si="0"/>
        <v>43.904874999999997</v>
      </c>
      <c r="I73" s="5"/>
      <c r="J73" s="15">
        <v>1505.4079999999999</v>
      </c>
      <c r="K73" s="16">
        <v>42.897399999999998</v>
      </c>
      <c r="L73" s="16">
        <v>48.094999999999999</v>
      </c>
      <c r="M73" s="16">
        <v>48.767000000000003</v>
      </c>
      <c r="N73" s="16">
        <v>26.635899999999999</v>
      </c>
      <c r="O73" s="16">
        <f t="shared" si="1"/>
        <v>44.280799999999992</v>
      </c>
      <c r="P73" s="7"/>
      <c r="Q73" s="8">
        <f>bdrate(C73:C76,D73:D76,J73:J76,K73:K76)</f>
        <v>-0.10097672481158393</v>
      </c>
      <c r="R73" s="8">
        <f>bdrate(C73:C76,E73:E76,J73:J76,L73:L76)</f>
        <v>-0.40845103869008126</v>
      </c>
      <c r="S73" s="8">
        <f>bdrate(C73:C76,F73:F76,J73:J76,M73:M76)</f>
        <v>-0.37773076368431158</v>
      </c>
      <c r="T73" s="25">
        <f>bdrate(C73:C76,H73:H76,J73:J76,O73:O76)</f>
        <v>-0.19381118642475903</v>
      </c>
      <c r="U73" s="28">
        <f t="shared" ref="U73:U80" si="3">(N73-G73)/G73</f>
        <v>1.9110273224043717</v>
      </c>
    </row>
    <row r="74" spans="1:21" x14ac:dyDescent="0.25">
      <c r="B74" s="9"/>
      <c r="C74" s="17">
        <v>942.4</v>
      </c>
      <c r="D74" s="18">
        <v>42.209000000000003</v>
      </c>
      <c r="E74" s="18">
        <v>46.478000000000002</v>
      </c>
      <c r="F74" s="18">
        <v>47.116999999999997</v>
      </c>
      <c r="G74" s="18">
        <v>10.19</v>
      </c>
      <c r="H74" s="18">
        <f t="shared" si="0"/>
        <v>43.356125000000006</v>
      </c>
      <c r="I74" s="5"/>
      <c r="J74" s="17">
        <v>989.19600000000003</v>
      </c>
      <c r="K74" s="18">
        <v>42.426299999999998</v>
      </c>
      <c r="L74" s="18">
        <v>47.567999999999998</v>
      </c>
      <c r="M74" s="18">
        <v>48.255099999999999</v>
      </c>
      <c r="N74" s="18">
        <v>33.357399999999998</v>
      </c>
      <c r="O74" s="18">
        <f t="shared" si="1"/>
        <v>43.7976125</v>
      </c>
      <c r="P74" s="7"/>
      <c r="Q74" s="10"/>
      <c r="R74" s="11"/>
      <c r="S74" s="11"/>
      <c r="T74" s="26"/>
      <c r="U74" s="28">
        <f t="shared" si="3"/>
        <v>2.2735426889106969</v>
      </c>
    </row>
    <row r="75" spans="1:21" x14ac:dyDescent="0.25">
      <c r="B75" s="9"/>
      <c r="C75" s="17">
        <v>555.4</v>
      </c>
      <c r="D75" s="18">
        <v>41.424999999999997</v>
      </c>
      <c r="E75" s="18">
        <v>45.625</v>
      </c>
      <c r="F75" s="18">
        <v>46.234000000000002</v>
      </c>
      <c r="G75" s="18">
        <v>11.48</v>
      </c>
      <c r="H75" s="18">
        <f t="shared" si="0"/>
        <v>42.551124999999992</v>
      </c>
      <c r="I75" s="5"/>
      <c r="J75" s="17">
        <v>573.48879999999997</v>
      </c>
      <c r="K75" s="18">
        <v>41.681699999999999</v>
      </c>
      <c r="L75" s="18">
        <v>46.706400000000002</v>
      </c>
      <c r="M75" s="18">
        <v>47.3005</v>
      </c>
      <c r="N75" s="18">
        <v>42.924599999999998</v>
      </c>
      <c r="O75" s="18">
        <f t="shared" si="1"/>
        <v>43.012137500000001</v>
      </c>
      <c r="P75" s="7"/>
      <c r="Q75" s="10"/>
      <c r="R75" s="11"/>
      <c r="S75" s="11"/>
      <c r="T75" s="26"/>
      <c r="U75" s="28">
        <f t="shared" si="3"/>
        <v>2.7390766550522647</v>
      </c>
    </row>
    <row r="76" spans="1:21" ht="16.5" thickBot="1" x14ac:dyDescent="0.3">
      <c r="B76" s="12"/>
      <c r="C76" s="19">
        <v>267.67</v>
      </c>
      <c r="D76" s="20">
        <v>39.851999999999997</v>
      </c>
      <c r="E76" s="20">
        <v>44.222000000000001</v>
      </c>
      <c r="F76" s="20">
        <v>44.731999999999999</v>
      </c>
      <c r="G76" s="20">
        <v>13.16</v>
      </c>
      <c r="H76" s="20">
        <f t="shared" si="0"/>
        <v>41.00824999999999</v>
      </c>
      <c r="I76" s="5"/>
      <c r="J76" s="19">
        <v>275.05759999999998</v>
      </c>
      <c r="K76" s="20">
        <v>40.058999999999997</v>
      </c>
      <c r="L76" s="20">
        <v>44.908099999999997</v>
      </c>
      <c r="M76" s="20">
        <v>45.326099999999997</v>
      </c>
      <c r="N76" s="20">
        <v>58.991199999999999</v>
      </c>
      <c r="O76" s="20">
        <f t="shared" si="1"/>
        <v>41.323524999999997</v>
      </c>
      <c r="P76" s="7"/>
      <c r="Q76" s="13"/>
      <c r="R76" s="14"/>
      <c r="S76" s="14"/>
      <c r="T76" s="27"/>
      <c r="U76" s="28">
        <f t="shared" si="3"/>
        <v>3.4826139817629174</v>
      </c>
    </row>
    <row r="77" spans="1:21" x14ac:dyDescent="0.25">
      <c r="B77" s="6" t="s">
        <v>63</v>
      </c>
      <c r="C77" s="15">
        <v>1490.45</v>
      </c>
      <c r="D77" s="16">
        <v>42.603000000000002</v>
      </c>
      <c r="E77" s="16">
        <v>46.375999999999998</v>
      </c>
      <c r="F77" s="16">
        <v>47.258000000000003</v>
      </c>
      <c r="G77" s="16">
        <v>7.91</v>
      </c>
      <c r="H77" s="16">
        <f t="shared" si="0"/>
        <v>43.656499999999994</v>
      </c>
      <c r="I77" s="5"/>
      <c r="J77" s="15">
        <v>1518.28</v>
      </c>
      <c r="K77" s="16">
        <v>42.832000000000001</v>
      </c>
      <c r="L77" s="16">
        <v>47.197400000000002</v>
      </c>
      <c r="M77" s="16">
        <v>48.026400000000002</v>
      </c>
      <c r="N77" s="16">
        <v>24.781099999999999</v>
      </c>
      <c r="O77" s="16">
        <f t="shared" si="1"/>
        <v>44.026975000000007</v>
      </c>
      <c r="P77" s="7"/>
      <c r="Q77" s="8">
        <f>bdrate(C77:C80,D77:D80,J77:J80,K77:K80)</f>
        <v>-5.5199556479518908E-2</v>
      </c>
      <c r="R77" s="8">
        <f>bdrate(C77:C80,E77:E80,J77:J80,L77:L80)</f>
        <v>-0.27760031811088526</v>
      </c>
      <c r="S77" s="8">
        <f>bdrate(C77:C80,F77:F80,J77:J80,M77:M80)</f>
        <v>-0.26087705166274699</v>
      </c>
      <c r="T77" s="25">
        <f>bdrate(C77:C80,H77:H80,J77:J80,O77:O80)</f>
        <v>-0.10789494311777581</v>
      </c>
      <c r="U77" s="28">
        <f t="shared" si="3"/>
        <v>2.132882427307206</v>
      </c>
    </row>
    <row r="78" spans="1:21" x14ac:dyDescent="0.25">
      <c r="B78" s="9"/>
      <c r="C78" s="17">
        <v>989.59</v>
      </c>
      <c r="D78" s="18">
        <v>41.856999999999999</v>
      </c>
      <c r="E78" s="18">
        <v>45.567</v>
      </c>
      <c r="F78" s="18">
        <v>46.46</v>
      </c>
      <c r="G78" s="18">
        <v>8.8000000000000007</v>
      </c>
      <c r="H78" s="18">
        <f t="shared" si="0"/>
        <v>42.896124999999998</v>
      </c>
      <c r="I78" s="5"/>
      <c r="J78" s="17">
        <v>1022.424</v>
      </c>
      <c r="K78" s="18">
        <v>42.068600000000004</v>
      </c>
      <c r="L78" s="18">
        <v>46.435299999999998</v>
      </c>
      <c r="M78" s="18">
        <v>47.270600000000002</v>
      </c>
      <c r="N78" s="18">
        <v>30.623200000000001</v>
      </c>
      <c r="O78" s="18">
        <f t="shared" si="1"/>
        <v>43.264687500000001</v>
      </c>
      <c r="P78" s="7"/>
      <c r="Q78" s="10"/>
      <c r="R78" s="11"/>
      <c r="S78" s="11"/>
      <c r="T78" s="26"/>
      <c r="U78" s="28">
        <f t="shared" si="3"/>
        <v>2.4799090909090906</v>
      </c>
    </row>
    <row r="79" spans="1:21" x14ac:dyDescent="0.25">
      <c r="B79" s="9"/>
      <c r="C79" s="17">
        <v>590.26</v>
      </c>
      <c r="D79" s="18">
        <v>40.61</v>
      </c>
      <c r="E79" s="18">
        <v>44.345999999999997</v>
      </c>
      <c r="F79" s="18">
        <v>45.173999999999999</v>
      </c>
      <c r="G79" s="18">
        <v>9.64</v>
      </c>
      <c r="H79" s="18">
        <f t="shared" si="0"/>
        <v>41.647499999999994</v>
      </c>
      <c r="I79" s="5"/>
      <c r="J79" s="17">
        <v>593.03440000000001</v>
      </c>
      <c r="K79" s="18">
        <v>40.838099999999997</v>
      </c>
      <c r="L79" s="18">
        <v>45.213999999999999</v>
      </c>
      <c r="M79" s="18">
        <v>45.999499999999998</v>
      </c>
      <c r="N79" s="18">
        <v>38.5381</v>
      </c>
      <c r="O79" s="18">
        <f t="shared" si="1"/>
        <v>42.030262499999999</v>
      </c>
      <c r="P79" s="7"/>
      <c r="Q79" s="10"/>
      <c r="R79" s="11"/>
      <c r="S79" s="11"/>
      <c r="T79" s="26"/>
      <c r="U79" s="28">
        <f t="shared" si="3"/>
        <v>2.9977282157676348</v>
      </c>
    </row>
    <row r="80" spans="1:21" ht="16.5" thickBot="1" x14ac:dyDescent="0.3">
      <c r="B80" s="12"/>
      <c r="C80" s="19">
        <v>289.33999999999997</v>
      </c>
      <c r="D80" s="20">
        <v>38.546999999999997</v>
      </c>
      <c r="E80" s="20">
        <v>42.703000000000003</v>
      </c>
      <c r="F80" s="20">
        <v>43.631</v>
      </c>
      <c r="G80" s="20">
        <v>11.26</v>
      </c>
      <c r="H80" s="20">
        <f t="shared" si="0"/>
        <v>39.701999999999998</v>
      </c>
      <c r="I80" s="5"/>
      <c r="J80" s="19">
        <v>288.74639999999999</v>
      </c>
      <c r="K80" s="20">
        <v>38.384799999999998</v>
      </c>
      <c r="L80" s="20">
        <v>43.125999999999998</v>
      </c>
      <c r="M80" s="20">
        <v>43.978700000000003</v>
      </c>
      <c r="N80" s="20">
        <v>53.196199999999997</v>
      </c>
      <c r="O80" s="20">
        <f t="shared" si="1"/>
        <v>39.6766875</v>
      </c>
      <c r="P80" s="7"/>
      <c r="Q80" s="13"/>
      <c r="R80" s="14"/>
      <c r="S80" s="14"/>
      <c r="T80" s="27"/>
      <c r="U80" s="28">
        <f t="shared" si="3"/>
        <v>3.7243516873889875</v>
      </c>
    </row>
    <row r="81" spans="1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-4.7231446499186522E-2</v>
      </c>
      <c r="R81" s="21">
        <f>AVERAGE(R9:R80)</f>
        <v>-0.30483561139798887</v>
      </c>
      <c r="S81" s="21">
        <f>AVERAGE(S9:S80)</f>
        <v>-0.272150835826931</v>
      </c>
      <c r="T81" s="21">
        <f>AVERAGE(T9:T80)</f>
        <v>-9.7676021440154442E-2</v>
      </c>
      <c r="U81" s="21">
        <f>AVERAGE(U9:U80)</f>
        <v>1.8442003631474766</v>
      </c>
    </row>
    <row r="83" spans="1:21" s="35" customFormat="1" ht="15.75" customHeight="1" x14ac:dyDescent="0.25">
      <c r="B83" s="56" t="s">
        <v>29</v>
      </c>
      <c r="C83" s="58" t="s">
        <v>106</v>
      </c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60"/>
    </row>
    <row r="84" spans="1:21" s="35" customFormat="1" x14ac:dyDescent="0.25">
      <c r="B84" s="57"/>
      <c r="C84" s="61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3"/>
    </row>
    <row r="85" spans="1:21" ht="16.5" customHeight="1" thickBot="1" x14ac:dyDescent="0.3">
      <c r="C85" s="64" t="s">
        <v>96</v>
      </c>
      <c r="D85" s="65"/>
      <c r="E85" s="65"/>
      <c r="F85" s="65"/>
      <c r="G85" s="65"/>
      <c r="H85" s="65"/>
      <c r="I85" s="5"/>
      <c r="J85" s="64" t="s">
        <v>97</v>
      </c>
      <c r="K85" s="65"/>
      <c r="L85" s="65"/>
      <c r="M85" s="65"/>
      <c r="N85" s="65"/>
      <c r="O85" s="65"/>
      <c r="Q85" s="64" t="s">
        <v>7</v>
      </c>
      <c r="R85" s="65"/>
      <c r="S85" s="66"/>
      <c r="T85" s="36"/>
      <c r="U85" s="67" t="s">
        <v>45</v>
      </c>
    </row>
    <row r="86" spans="1:21" ht="16.5" thickBot="1" x14ac:dyDescent="0.3">
      <c r="C86" s="2" t="s">
        <v>64</v>
      </c>
      <c r="D86" s="3" t="s">
        <v>30</v>
      </c>
      <c r="E86" s="3" t="s">
        <v>31</v>
      </c>
      <c r="F86" s="3" t="s">
        <v>32</v>
      </c>
      <c r="G86" s="3" t="s">
        <v>33</v>
      </c>
      <c r="H86" s="3" t="s">
        <v>34</v>
      </c>
      <c r="I86" s="1"/>
      <c r="J86" s="2" t="s">
        <v>64</v>
      </c>
      <c r="K86" s="3" t="s">
        <v>30</v>
      </c>
      <c r="L86" s="3" t="s">
        <v>31</v>
      </c>
      <c r="M86" s="3" t="s">
        <v>32</v>
      </c>
      <c r="N86" s="3" t="s">
        <v>33</v>
      </c>
      <c r="O86" s="3" t="s">
        <v>34</v>
      </c>
      <c r="Q86" s="2" t="s">
        <v>4</v>
      </c>
      <c r="R86" s="3" t="s">
        <v>5</v>
      </c>
      <c r="S86" s="4" t="s">
        <v>6</v>
      </c>
      <c r="T86" s="24" t="s">
        <v>21</v>
      </c>
      <c r="U86" s="67"/>
    </row>
    <row r="87" spans="1:21" x14ac:dyDescent="0.25">
      <c r="A87" s="6" t="s">
        <v>35</v>
      </c>
      <c r="B87" s="6" t="s">
        <v>46</v>
      </c>
      <c r="C87" s="15">
        <v>3611.58</v>
      </c>
      <c r="D87" s="16">
        <v>37.683999999999997</v>
      </c>
      <c r="E87" s="16">
        <v>38.942999999999998</v>
      </c>
      <c r="F87" s="16">
        <v>41.301000000000002</v>
      </c>
      <c r="G87" s="16">
        <v>4.97</v>
      </c>
      <c r="H87" s="16">
        <f t="shared" ref="H87:H158" si="4">(6*D87+E87+F87)/8</f>
        <v>38.293499999999995</v>
      </c>
      <c r="I87" s="5"/>
      <c r="J87" s="15">
        <v>3876.1024000000002</v>
      </c>
      <c r="K87" s="16">
        <v>38.452399999999997</v>
      </c>
      <c r="L87" s="16">
        <v>39.869399999999999</v>
      </c>
      <c r="M87" s="16">
        <v>42.513399999999997</v>
      </c>
      <c r="N87" s="16">
        <v>11.798</v>
      </c>
      <c r="O87" s="16">
        <f t="shared" ref="O87:O158" si="5">(6*K87+L87+M87)/8</f>
        <v>39.137149999999998</v>
      </c>
      <c r="P87" s="7"/>
      <c r="Q87" s="8">
        <f>bdrate(C87:C90,D87:D90,J87:J90,K87:K90)</f>
        <v>-8.8187172495877153E-2</v>
      </c>
      <c r="R87" s="8">
        <f>bdrate(C87:C90,E87:E90,J87:J90,L87:L90)</f>
        <v>-0.35755320880449348</v>
      </c>
      <c r="S87" s="8">
        <f>bdrate(C87:C90,F87:F90,J87:J90,M87:M90)</f>
        <v>-0.34143695132761487</v>
      </c>
      <c r="T87" s="25">
        <f>bdrate(C87:C90,H87:H90,J87:J90,O87:O90)</f>
        <v>-0.13218514852332519</v>
      </c>
      <c r="U87" s="28">
        <f t="shared" ref="U87:U150" si="6">(N87-G87)/G87</f>
        <v>1.3738430583501007</v>
      </c>
    </row>
    <row r="88" spans="1:21" x14ac:dyDescent="0.25">
      <c r="A88" s="9" t="s">
        <v>36</v>
      </c>
      <c r="B88" s="9"/>
      <c r="C88" s="17">
        <v>2695.82</v>
      </c>
      <c r="D88" s="18">
        <v>36.822000000000003</v>
      </c>
      <c r="E88" s="18">
        <v>38.366</v>
      </c>
      <c r="F88" s="18">
        <v>40.704000000000001</v>
      </c>
      <c r="G88" s="18">
        <v>5.49</v>
      </c>
      <c r="H88" s="18">
        <f t="shared" si="4"/>
        <v>37.500250000000001</v>
      </c>
      <c r="I88" s="5"/>
      <c r="J88" s="17">
        <v>2885.4591999999998</v>
      </c>
      <c r="K88" s="18">
        <v>37.505299999999998</v>
      </c>
      <c r="L88" s="18">
        <v>39.363799999999998</v>
      </c>
      <c r="M88" s="18">
        <v>41.8476</v>
      </c>
      <c r="N88" s="18">
        <v>14.502599999999999</v>
      </c>
      <c r="O88" s="18">
        <f t="shared" si="5"/>
        <v>38.280399999999993</v>
      </c>
      <c r="P88" s="7"/>
      <c r="Q88" s="10"/>
      <c r="R88" s="11"/>
      <c r="S88" s="11"/>
      <c r="T88" s="26"/>
      <c r="U88" s="28">
        <f t="shared" si="6"/>
        <v>1.6416393442622947</v>
      </c>
    </row>
    <row r="89" spans="1:21" x14ac:dyDescent="0.25">
      <c r="B89" s="9"/>
      <c r="C89" s="17">
        <v>1775.51</v>
      </c>
      <c r="D89" s="18">
        <v>35.567</v>
      </c>
      <c r="E89" s="18">
        <v>37.69</v>
      </c>
      <c r="F89" s="18">
        <v>40.008000000000003</v>
      </c>
      <c r="G89" s="18">
        <v>6.07</v>
      </c>
      <c r="H89" s="18">
        <f t="shared" si="4"/>
        <v>36.387499999999996</v>
      </c>
      <c r="I89" s="5"/>
      <c r="J89" s="17">
        <v>1905.6320000000001</v>
      </c>
      <c r="K89" s="18">
        <v>36.139800000000001</v>
      </c>
      <c r="L89" s="18">
        <v>38.663400000000003</v>
      </c>
      <c r="M89" s="18">
        <v>41.024000000000001</v>
      </c>
      <c r="N89" s="18">
        <v>17.101800000000001</v>
      </c>
      <c r="O89" s="18">
        <f t="shared" si="5"/>
        <v>37.065775000000002</v>
      </c>
      <c r="P89" s="7"/>
      <c r="Q89" s="10"/>
      <c r="R89" s="11"/>
      <c r="S89" s="11"/>
      <c r="T89" s="26"/>
      <c r="U89" s="28">
        <f t="shared" si="6"/>
        <v>1.8174299835255354</v>
      </c>
    </row>
    <row r="90" spans="1:21" ht="16.5" thickBot="1" x14ac:dyDescent="0.3">
      <c r="B90" s="12"/>
      <c r="C90" s="19">
        <v>853.06</v>
      </c>
      <c r="D90" s="20">
        <v>33.119</v>
      </c>
      <c r="E90" s="20">
        <v>36.896999999999998</v>
      </c>
      <c r="F90" s="20">
        <v>39.168999999999997</v>
      </c>
      <c r="G90" s="20">
        <v>7.12</v>
      </c>
      <c r="H90" s="20">
        <f t="shared" si="4"/>
        <v>34.347499999999997</v>
      </c>
      <c r="I90" s="5"/>
      <c r="J90" s="19">
        <v>914.19839999999999</v>
      </c>
      <c r="K90" s="20">
        <v>33.404299999999999</v>
      </c>
      <c r="L90" s="20">
        <v>37.162799999999997</v>
      </c>
      <c r="M90" s="20">
        <v>39.385399999999997</v>
      </c>
      <c r="N90" s="20">
        <v>23.5627</v>
      </c>
      <c r="O90" s="20">
        <f t="shared" si="5"/>
        <v>34.621749999999999</v>
      </c>
      <c r="P90" s="7"/>
      <c r="Q90" s="13"/>
      <c r="R90" s="14"/>
      <c r="S90" s="14"/>
      <c r="T90" s="27"/>
      <c r="U90" s="28">
        <f t="shared" si="6"/>
        <v>2.3093679775280895</v>
      </c>
    </row>
    <row r="91" spans="1:21" x14ac:dyDescent="0.25">
      <c r="B91" s="6" t="s">
        <v>47</v>
      </c>
      <c r="C91" s="15">
        <v>4015.4</v>
      </c>
      <c r="D91" s="16">
        <v>30.234999999999999</v>
      </c>
      <c r="E91" s="16">
        <v>38.302999999999997</v>
      </c>
      <c r="F91" s="16">
        <v>39.590000000000003</v>
      </c>
      <c r="G91" s="16">
        <v>3.42</v>
      </c>
      <c r="H91" s="16">
        <f t="shared" si="4"/>
        <v>32.412875</v>
      </c>
      <c r="I91" s="5"/>
      <c r="J91" s="15">
        <v>4057.4512</v>
      </c>
      <c r="K91" s="16">
        <v>29.8446</v>
      </c>
      <c r="L91" s="16">
        <v>40.079300000000003</v>
      </c>
      <c r="M91" s="16">
        <v>40.973799999999997</v>
      </c>
      <c r="N91" s="16">
        <v>7.9131</v>
      </c>
      <c r="O91" s="16">
        <f t="shared" si="5"/>
        <v>32.5150875</v>
      </c>
      <c r="P91" s="7"/>
      <c r="Q91" s="8">
        <f>bdrate(C91:C94,D91:D94,J91:J94,K91:K94)</f>
        <v>3.2486172704564442E-2</v>
      </c>
      <c r="R91" s="8">
        <f>bdrate(C91:C94,E91:E94,J91:J94,L91:L94)</f>
        <v>-0.49280170059890571</v>
      </c>
      <c r="S91" s="8">
        <f>bdrate(C91:C94,F91:F94,J91:J94,M91:M94)</f>
        <v>-0.4323017558522263</v>
      </c>
      <c r="T91" s="25">
        <f>bdrate(C91:C94,H91:H94,J91:J94,O91:O94)</f>
        <v>-5.7879898286618658E-2</v>
      </c>
      <c r="U91" s="28">
        <f t="shared" si="6"/>
        <v>1.3137719298245614</v>
      </c>
    </row>
    <row r="92" spans="1:21" x14ac:dyDescent="0.25">
      <c r="B92" s="9"/>
      <c r="C92" s="17">
        <v>3000.55</v>
      </c>
      <c r="D92" s="18">
        <v>28.837</v>
      </c>
      <c r="E92" s="18">
        <v>37.738</v>
      </c>
      <c r="F92" s="18">
        <v>39.106000000000002</v>
      </c>
      <c r="G92" s="18">
        <v>3.84</v>
      </c>
      <c r="H92" s="18">
        <f t="shared" si="4"/>
        <v>31.233249999999998</v>
      </c>
      <c r="I92" s="5"/>
      <c r="J92" s="17">
        <v>3095.0511999999999</v>
      </c>
      <c r="K92" s="18">
        <v>28.644200000000001</v>
      </c>
      <c r="L92" s="18">
        <v>39.523000000000003</v>
      </c>
      <c r="M92" s="18">
        <v>40.487200000000001</v>
      </c>
      <c r="N92" s="18">
        <v>9.5202000000000009</v>
      </c>
      <c r="O92" s="18">
        <f t="shared" si="5"/>
        <v>31.484425000000002</v>
      </c>
      <c r="P92" s="7"/>
      <c r="Q92" s="10"/>
      <c r="R92" s="11"/>
      <c r="S92" s="11"/>
      <c r="T92" s="26"/>
      <c r="U92" s="28">
        <f t="shared" si="6"/>
        <v>1.4792187500000002</v>
      </c>
    </row>
    <row r="93" spans="1:21" x14ac:dyDescent="0.25">
      <c r="B93" s="9"/>
      <c r="C93" s="17">
        <v>2000.35</v>
      </c>
      <c r="D93" s="18">
        <v>26.904</v>
      </c>
      <c r="E93" s="18">
        <v>36.844000000000001</v>
      </c>
      <c r="F93" s="18">
        <v>38.335000000000001</v>
      </c>
      <c r="G93" s="18">
        <v>4.33</v>
      </c>
      <c r="H93" s="18">
        <f t="shared" si="4"/>
        <v>29.575375000000001</v>
      </c>
      <c r="I93" s="5"/>
      <c r="J93" s="17">
        <v>2098.7359999999999</v>
      </c>
      <c r="K93" s="18">
        <v>26.929099999999998</v>
      </c>
      <c r="L93" s="18">
        <v>38.617800000000003</v>
      </c>
      <c r="M93" s="18">
        <v>39.687100000000001</v>
      </c>
      <c r="N93" s="18">
        <v>11.6541</v>
      </c>
      <c r="O93" s="18">
        <f t="shared" si="5"/>
        <v>29.984937499999994</v>
      </c>
      <c r="P93" s="7"/>
      <c r="Q93" s="10"/>
      <c r="R93" s="11"/>
      <c r="S93" s="11"/>
      <c r="T93" s="26"/>
      <c r="U93" s="28">
        <f t="shared" si="6"/>
        <v>1.6914780600461892</v>
      </c>
    </row>
    <row r="94" spans="1:21" ht="16.5" thickBot="1" x14ac:dyDescent="0.3">
      <c r="B94" s="12"/>
      <c r="C94" s="19">
        <v>1525.61</v>
      </c>
      <c r="D94" s="20">
        <v>24.789000000000001</v>
      </c>
      <c r="E94" s="20">
        <v>35.313000000000002</v>
      </c>
      <c r="F94" s="20">
        <v>36.959000000000003</v>
      </c>
      <c r="G94" s="20">
        <v>6.28</v>
      </c>
      <c r="H94" s="20">
        <f t="shared" si="4"/>
        <v>27.625750000000004</v>
      </c>
      <c r="I94" s="5"/>
      <c r="J94" s="19">
        <v>1365.6128000000001</v>
      </c>
      <c r="K94" s="20">
        <v>25.482600000000001</v>
      </c>
      <c r="L94" s="20">
        <v>37.337800000000001</v>
      </c>
      <c r="M94" s="20">
        <v>38.489800000000002</v>
      </c>
      <c r="N94" s="20">
        <v>13.674899999999999</v>
      </c>
      <c r="O94" s="20">
        <f t="shared" si="5"/>
        <v>28.590400000000002</v>
      </c>
      <c r="P94" s="7"/>
      <c r="Q94" s="13"/>
      <c r="R94" s="14"/>
      <c r="S94" s="14"/>
      <c r="T94" s="27"/>
      <c r="U94" s="28">
        <f t="shared" si="6"/>
        <v>1.1775318471337577</v>
      </c>
    </row>
    <row r="95" spans="1:21" x14ac:dyDescent="0.25">
      <c r="A95" s="6" t="s">
        <v>37</v>
      </c>
      <c r="B95" s="6" t="s">
        <v>48</v>
      </c>
      <c r="C95" s="15">
        <v>1990.2</v>
      </c>
      <c r="D95" s="16">
        <v>39.292000000000002</v>
      </c>
      <c r="E95" s="16">
        <v>41.545000000000002</v>
      </c>
      <c r="F95" s="16">
        <v>42.804000000000002</v>
      </c>
      <c r="G95" s="16">
        <v>5.81</v>
      </c>
      <c r="H95" s="16">
        <f t="shared" si="4"/>
        <v>40.012625</v>
      </c>
      <c r="I95" s="5"/>
      <c r="J95" s="15">
        <v>2192.7375999999999</v>
      </c>
      <c r="K95" s="16">
        <v>39.190899999999999</v>
      </c>
      <c r="L95" s="16">
        <v>41.922699999999999</v>
      </c>
      <c r="M95" s="16">
        <v>43.358199999999997</v>
      </c>
      <c r="N95" s="16">
        <v>22.55</v>
      </c>
      <c r="O95" s="16">
        <f t="shared" si="5"/>
        <v>40.053287500000003</v>
      </c>
      <c r="P95" s="7"/>
      <c r="Q95" s="8">
        <f>bdrate(C95:C98,D95:D98,J95:J98,K95:K98)</f>
        <v>7.0837869984875956E-2</v>
      </c>
      <c r="R95" s="8">
        <f>bdrate(C95:C98,E95:E98,J95:J98,L95:L98)</f>
        <v>-0.23912993968372442</v>
      </c>
      <c r="S95" s="8">
        <f>bdrate(C95:C98,F95:F98,J95:J98,M95:M98)</f>
        <v>-0.25537253919255209</v>
      </c>
      <c r="T95" s="25">
        <f>bdrate(C95:C98,H95:H98,J95:J98,O95:O98)</f>
        <v>1.4162254123844864E-2</v>
      </c>
      <c r="U95" s="28">
        <f t="shared" si="6"/>
        <v>2.8812392426850262</v>
      </c>
    </row>
    <row r="96" spans="1:21" x14ac:dyDescent="0.25">
      <c r="A96" s="9" t="s">
        <v>38</v>
      </c>
      <c r="B96" s="9"/>
      <c r="C96" s="17">
        <v>1306.79</v>
      </c>
      <c r="D96" s="18">
        <v>37.959000000000003</v>
      </c>
      <c r="E96" s="18">
        <v>40.661999999999999</v>
      </c>
      <c r="F96" s="18">
        <v>41.872</v>
      </c>
      <c r="G96" s="18">
        <v>6.77</v>
      </c>
      <c r="H96" s="18">
        <f t="shared" si="4"/>
        <v>38.786000000000001</v>
      </c>
      <c r="I96" s="5"/>
      <c r="J96" s="17">
        <v>1461.0583999999999</v>
      </c>
      <c r="K96" s="18">
        <v>38.026600000000002</v>
      </c>
      <c r="L96" s="18">
        <v>41.2776</v>
      </c>
      <c r="M96" s="18">
        <v>42.600700000000003</v>
      </c>
      <c r="N96" s="18">
        <v>27.5198</v>
      </c>
      <c r="O96" s="18">
        <f t="shared" si="5"/>
        <v>39.004737500000005</v>
      </c>
      <c r="P96" s="7"/>
      <c r="Q96" s="10"/>
      <c r="R96" s="11"/>
      <c r="S96" s="11"/>
      <c r="T96" s="26"/>
      <c r="U96" s="28">
        <f t="shared" si="6"/>
        <v>3.0649630723781391</v>
      </c>
    </row>
    <row r="97" spans="2:21" x14ac:dyDescent="0.25">
      <c r="B97" s="9"/>
      <c r="C97" s="17">
        <v>808.15</v>
      </c>
      <c r="D97" s="18">
        <v>36.325000000000003</v>
      </c>
      <c r="E97" s="18">
        <v>39.679000000000002</v>
      </c>
      <c r="F97" s="18">
        <v>40.996000000000002</v>
      </c>
      <c r="G97" s="18">
        <v>7.94</v>
      </c>
      <c r="H97" s="18">
        <f t="shared" si="4"/>
        <v>37.328125</v>
      </c>
      <c r="I97" s="5"/>
      <c r="J97" s="17">
        <v>897.38879999999995</v>
      </c>
      <c r="K97" s="18">
        <v>36.488100000000003</v>
      </c>
      <c r="L97" s="18">
        <v>40.464399999999998</v>
      </c>
      <c r="M97" s="18">
        <v>41.719799999999999</v>
      </c>
      <c r="N97" s="18">
        <v>32.5777</v>
      </c>
      <c r="O97" s="18">
        <f t="shared" si="5"/>
        <v>37.639100000000006</v>
      </c>
      <c r="P97" s="7"/>
      <c r="Q97" s="10"/>
      <c r="R97" s="11"/>
      <c r="S97" s="11"/>
      <c r="T97" s="26"/>
      <c r="U97" s="28">
        <f t="shared" si="6"/>
        <v>3.1029848866498737</v>
      </c>
    </row>
    <row r="98" spans="2:21" ht="16.5" thickBot="1" x14ac:dyDescent="0.3">
      <c r="B98" s="12"/>
      <c r="C98" s="19">
        <v>479.75</v>
      </c>
      <c r="D98" s="20">
        <v>34.433</v>
      </c>
      <c r="E98" s="20">
        <v>38.651000000000003</v>
      </c>
      <c r="F98" s="20">
        <v>40.238999999999997</v>
      </c>
      <c r="G98" s="20">
        <v>9.2100000000000009</v>
      </c>
      <c r="H98" s="20">
        <f t="shared" si="4"/>
        <v>35.686</v>
      </c>
      <c r="I98" s="5"/>
      <c r="J98" s="19">
        <v>522.21040000000005</v>
      </c>
      <c r="K98" s="20">
        <v>34.6907</v>
      </c>
      <c r="L98" s="20">
        <v>39.7089</v>
      </c>
      <c r="M98" s="20">
        <v>40.968499999999999</v>
      </c>
      <c r="N98" s="20">
        <v>39.853900000000003</v>
      </c>
      <c r="O98" s="20">
        <f t="shared" si="5"/>
        <v>36.102699999999999</v>
      </c>
      <c r="P98" s="7"/>
      <c r="Q98" s="13"/>
      <c r="R98" s="14"/>
      <c r="S98" s="14"/>
      <c r="T98" s="27"/>
      <c r="U98" s="28">
        <f t="shared" si="6"/>
        <v>3.3272421281216067</v>
      </c>
    </row>
    <row r="99" spans="2:21" x14ac:dyDescent="0.25">
      <c r="B99" s="6" t="s">
        <v>49</v>
      </c>
      <c r="C99" s="15">
        <v>2231.6799999999998</v>
      </c>
      <c r="D99" s="16">
        <v>36.226999999999997</v>
      </c>
      <c r="E99" s="16">
        <v>39.360999999999997</v>
      </c>
      <c r="F99" s="16">
        <v>40.402999999999999</v>
      </c>
      <c r="G99" s="16">
        <v>7.89</v>
      </c>
      <c r="H99" s="16">
        <f t="shared" si="4"/>
        <v>37.140749999999997</v>
      </c>
      <c r="I99" s="5"/>
      <c r="J99" s="15">
        <v>2367.7600000000002</v>
      </c>
      <c r="K99" s="16">
        <v>36.361199999999997</v>
      </c>
      <c r="L99" s="16">
        <v>40.0854</v>
      </c>
      <c r="M99" s="16">
        <v>41.324800000000003</v>
      </c>
      <c r="N99" s="16">
        <v>19.847799999999999</v>
      </c>
      <c r="O99" s="16">
        <f t="shared" si="5"/>
        <v>37.447174999999994</v>
      </c>
      <c r="P99" s="7"/>
      <c r="Q99" s="8">
        <f>bdrate(C99:C102,D99:D102,J99:J102,K99:K102)</f>
        <v>-2.9297520627957763E-4</v>
      </c>
      <c r="R99" s="8">
        <f>bdrate(C99:C102,E99:E102,J99:J102,L99:L102)</f>
        <v>-0.32202290281246804</v>
      </c>
      <c r="S99" s="8">
        <f>bdrate(C99:C102,F99:F102,J99:J102,M99:M102)</f>
        <v>-0.37180178010792486</v>
      </c>
      <c r="T99" s="25">
        <f>bdrate(C99:C102,H99:H102,J99:J102,O99:O102)</f>
        <v>-6.6453893524424212E-2</v>
      </c>
      <c r="U99" s="28">
        <f t="shared" si="6"/>
        <v>1.5155640050697083</v>
      </c>
    </row>
    <row r="100" spans="2:21" x14ac:dyDescent="0.25">
      <c r="B100" s="9"/>
      <c r="C100" s="17">
        <v>1482.96</v>
      </c>
      <c r="D100" s="18">
        <v>34.935000000000002</v>
      </c>
      <c r="E100" s="18">
        <v>38.411000000000001</v>
      </c>
      <c r="F100" s="18">
        <v>39.606000000000002</v>
      </c>
      <c r="G100" s="18">
        <v>8.76</v>
      </c>
      <c r="H100" s="18">
        <f t="shared" si="4"/>
        <v>35.953375000000001</v>
      </c>
      <c r="I100" s="5"/>
      <c r="J100" s="17">
        <v>1540.9007999999999</v>
      </c>
      <c r="K100" s="18">
        <v>35.069099999999999</v>
      </c>
      <c r="L100" s="18">
        <v>39.2654</v>
      </c>
      <c r="M100" s="18">
        <v>40.509099999999997</v>
      </c>
      <c r="N100" s="18">
        <v>25.303100000000001</v>
      </c>
      <c r="O100" s="18">
        <f t="shared" si="5"/>
        <v>36.2736375</v>
      </c>
      <c r="P100" s="7"/>
      <c r="Q100" s="10"/>
      <c r="R100" s="11"/>
      <c r="S100" s="11"/>
      <c r="T100" s="26"/>
      <c r="U100" s="28">
        <f t="shared" si="6"/>
        <v>1.8884817351598178</v>
      </c>
    </row>
    <row r="101" spans="2:21" x14ac:dyDescent="0.25">
      <c r="B101" s="9"/>
      <c r="C101" s="17">
        <v>921.48</v>
      </c>
      <c r="D101" s="18">
        <v>33.472000000000001</v>
      </c>
      <c r="E101" s="18">
        <v>37.453000000000003</v>
      </c>
      <c r="F101" s="18">
        <v>38.915999999999997</v>
      </c>
      <c r="G101" s="18">
        <v>9.7899999999999991</v>
      </c>
      <c r="H101" s="18">
        <f t="shared" si="4"/>
        <v>34.650125000000003</v>
      </c>
      <c r="I101" s="5"/>
      <c r="J101" s="17">
        <v>960.33199999999999</v>
      </c>
      <c r="K101" s="18">
        <v>33.600700000000003</v>
      </c>
      <c r="L101" s="18">
        <v>38.3245</v>
      </c>
      <c r="M101" s="18">
        <v>39.670499999999997</v>
      </c>
      <c r="N101" s="18">
        <v>31.140499999999999</v>
      </c>
      <c r="O101" s="18">
        <f t="shared" si="5"/>
        <v>34.9499</v>
      </c>
      <c r="P101" s="7"/>
      <c r="Q101" s="10"/>
      <c r="R101" s="11"/>
      <c r="S101" s="11"/>
      <c r="T101" s="26"/>
      <c r="U101" s="28">
        <f t="shared" si="6"/>
        <v>2.180847803881512</v>
      </c>
    </row>
    <row r="102" spans="2:21" ht="16.5" thickBot="1" x14ac:dyDescent="0.3">
      <c r="B102" s="12"/>
      <c r="C102" s="19">
        <v>547.04999999999995</v>
      </c>
      <c r="D102" s="20">
        <v>31.899000000000001</v>
      </c>
      <c r="E102" s="20">
        <v>36.545999999999999</v>
      </c>
      <c r="F102" s="20">
        <v>38.323999999999998</v>
      </c>
      <c r="G102" s="20">
        <v>10.8</v>
      </c>
      <c r="H102" s="20">
        <f t="shared" si="4"/>
        <v>33.283000000000001</v>
      </c>
      <c r="I102" s="5"/>
      <c r="J102" s="19">
        <v>571.08879999999999</v>
      </c>
      <c r="K102" s="20">
        <v>32.0212</v>
      </c>
      <c r="L102" s="20">
        <v>37.366</v>
      </c>
      <c r="M102" s="20">
        <v>38.894300000000001</v>
      </c>
      <c r="N102" s="20">
        <v>38.560400000000001</v>
      </c>
      <c r="O102" s="20">
        <f t="shared" si="5"/>
        <v>33.548437499999999</v>
      </c>
      <c r="P102" s="7"/>
      <c r="Q102" s="13"/>
      <c r="R102" s="14"/>
      <c r="S102" s="14"/>
      <c r="T102" s="27"/>
      <c r="U102" s="28">
        <f t="shared" si="6"/>
        <v>2.5704074074074073</v>
      </c>
    </row>
    <row r="103" spans="2:21" x14ac:dyDescent="0.25">
      <c r="B103" s="6" t="s">
        <v>50</v>
      </c>
      <c r="C103" s="15">
        <v>2353.09</v>
      </c>
      <c r="D103" s="16">
        <v>34.350999999999999</v>
      </c>
      <c r="E103" s="16">
        <v>37.69</v>
      </c>
      <c r="F103" s="16">
        <v>39.384</v>
      </c>
      <c r="G103" s="16">
        <v>8.9700000000000006</v>
      </c>
      <c r="H103" s="16">
        <f t="shared" si="4"/>
        <v>35.397500000000001</v>
      </c>
      <c r="I103" s="5"/>
      <c r="J103" s="15">
        <v>2360.9648000000002</v>
      </c>
      <c r="K103" s="16">
        <v>34.794499999999999</v>
      </c>
      <c r="L103" s="16">
        <v>38.307400000000001</v>
      </c>
      <c r="M103" s="16">
        <v>40.5242</v>
      </c>
      <c r="N103" s="16">
        <v>27.116399999999999</v>
      </c>
      <c r="O103" s="16">
        <f t="shared" si="5"/>
        <v>35.949824999999997</v>
      </c>
      <c r="P103" s="7"/>
      <c r="Q103" s="8">
        <f>bdrate(C103:C106,D103:D106,J103:J106,K103:K106)</f>
        <v>-0.11634250204872831</v>
      </c>
      <c r="R103" s="8">
        <f>bdrate(C103:C106,E103:E106,J103:J106,L103:L106)</f>
        <v>-0.3745334297469014</v>
      </c>
      <c r="S103" s="8">
        <f>bdrate(C103:C106,F103:F106,J103:J106,M103:M106)</f>
        <v>-0.32100712119627606</v>
      </c>
      <c r="T103" s="25">
        <f>bdrate(C103:C106,H103:H106,J103:J106,O103:O106)</f>
        <v>-0.15863233384483166</v>
      </c>
      <c r="U103" s="28">
        <f t="shared" si="6"/>
        <v>2.023010033444816</v>
      </c>
    </row>
    <row r="104" spans="2:21" x14ac:dyDescent="0.25">
      <c r="B104" s="9"/>
      <c r="C104" s="17">
        <v>1567.3</v>
      </c>
      <c r="D104" s="18">
        <v>33.229999999999997</v>
      </c>
      <c r="E104" s="18">
        <v>37.192999999999998</v>
      </c>
      <c r="F104" s="18">
        <v>38.582999999999998</v>
      </c>
      <c r="G104" s="18">
        <v>9.9499999999999993</v>
      </c>
      <c r="H104" s="18">
        <f t="shared" si="4"/>
        <v>34.394499999999994</v>
      </c>
      <c r="I104" s="5"/>
      <c r="J104" s="17">
        <v>1580.3735999999999</v>
      </c>
      <c r="K104" s="18">
        <v>33.705500000000001</v>
      </c>
      <c r="L104" s="18">
        <v>37.862900000000003</v>
      </c>
      <c r="M104" s="18">
        <v>39.611800000000002</v>
      </c>
      <c r="N104" s="18">
        <v>32.829900000000002</v>
      </c>
      <c r="O104" s="18">
        <f t="shared" si="5"/>
        <v>34.963462499999999</v>
      </c>
      <c r="P104" s="7"/>
      <c r="Q104" s="10"/>
      <c r="R104" s="11"/>
      <c r="S104" s="11"/>
      <c r="T104" s="26"/>
      <c r="U104" s="28">
        <f t="shared" si="6"/>
        <v>2.2994874371859302</v>
      </c>
    </row>
    <row r="105" spans="2:21" x14ac:dyDescent="0.25">
      <c r="B105" s="9"/>
      <c r="C105" s="17">
        <v>966.4</v>
      </c>
      <c r="D105" s="18">
        <v>31.808</v>
      </c>
      <c r="E105" s="18">
        <v>36.576999999999998</v>
      </c>
      <c r="F105" s="18">
        <v>37.591999999999999</v>
      </c>
      <c r="G105" s="18">
        <v>11.27</v>
      </c>
      <c r="H105" s="18">
        <f t="shared" si="4"/>
        <v>33.127124999999999</v>
      </c>
      <c r="I105" s="5"/>
      <c r="J105" s="17">
        <v>980.35360000000003</v>
      </c>
      <c r="K105" s="18">
        <v>32.179900000000004</v>
      </c>
      <c r="L105" s="18">
        <v>37.2318</v>
      </c>
      <c r="M105" s="18">
        <v>38.436399999999999</v>
      </c>
      <c r="N105" s="18">
        <v>39.907400000000003</v>
      </c>
      <c r="O105" s="18">
        <f t="shared" si="5"/>
        <v>33.593450000000004</v>
      </c>
      <c r="P105" s="7"/>
      <c r="Q105" s="10"/>
      <c r="R105" s="11"/>
      <c r="S105" s="11"/>
      <c r="T105" s="26"/>
      <c r="U105" s="28">
        <f t="shared" si="6"/>
        <v>2.5410292812777286</v>
      </c>
    </row>
    <row r="106" spans="2:21" ht="16.5" thickBot="1" x14ac:dyDescent="0.3">
      <c r="B106" s="12"/>
      <c r="C106" s="19">
        <v>568.33000000000004</v>
      </c>
      <c r="D106" s="20">
        <v>30.04</v>
      </c>
      <c r="E106" s="20">
        <v>35.68</v>
      </c>
      <c r="F106" s="20">
        <v>36.219000000000001</v>
      </c>
      <c r="G106" s="20">
        <v>12.79</v>
      </c>
      <c r="H106" s="20">
        <f t="shared" si="4"/>
        <v>31.517375000000001</v>
      </c>
      <c r="I106" s="5"/>
      <c r="J106" s="19">
        <v>595.20479999999998</v>
      </c>
      <c r="K106" s="20">
        <v>30.5335</v>
      </c>
      <c r="L106" s="20">
        <v>36.425899999999999</v>
      </c>
      <c r="M106" s="20">
        <v>37.192100000000003</v>
      </c>
      <c r="N106" s="20">
        <v>50.377800000000001</v>
      </c>
      <c r="O106" s="20">
        <f t="shared" si="5"/>
        <v>32.102374999999995</v>
      </c>
      <c r="P106" s="7"/>
      <c r="Q106" s="13"/>
      <c r="R106" s="14"/>
      <c r="S106" s="14"/>
      <c r="T106" s="27"/>
      <c r="U106" s="28">
        <f t="shared" si="6"/>
        <v>2.9388428459734168</v>
      </c>
    </row>
    <row r="107" spans="2:21" x14ac:dyDescent="0.25">
      <c r="B107" s="6" t="s">
        <v>51</v>
      </c>
      <c r="C107" s="29">
        <v>2403.44</v>
      </c>
      <c r="D107" s="30">
        <v>34.590000000000003</v>
      </c>
      <c r="E107" s="30">
        <v>39.886000000000003</v>
      </c>
      <c r="F107" s="30">
        <v>39.488</v>
      </c>
      <c r="G107" s="16">
        <v>7.41</v>
      </c>
      <c r="H107" s="16">
        <f t="shared" si="4"/>
        <v>35.864249999999998</v>
      </c>
      <c r="I107" s="5"/>
      <c r="J107" s="29">
        <v>2410.6952000000001</v>
      </c>
      <c r="K107" s="30">
        <v>34.604999999999997</v>
      </c>
      <c r="L107" s="30">
        <v>40.459299999999999</v>
      </c>
      <c r="M107" s="30">
        <v>39.890300000000003</v>
      </c>
      <c r="N107" s="16">
        <v>22.442699999999999</v>
      </c>
      <c r="O107" s="16">
        <f t="shared" si="5"/>
        <v>35.997450000000001</v>
      </c>
      <c r="P107" s="7"/>
      <c r="Q107" s="8">
        <f>bdrate(C107:C110,D107:D110,J107:J110,K107:K110)</f>
        <v>-3.281088884419503E-2</v>
      </c>
      <c r="R107" s="8">
        <f>bdrate(C107:C110,E107:E110,J107:J110,L107:L110)</f>
        <v>-0.25282239528033945</v>
      </c>
      <c r="S107" s="8">
        <f>bdrate(C107:C110,F107:F110,J107:J110,M107:M110)</f>
        <v>-0.12998932450707035</v>
      </c>
      <c r="T107" s="25">
        <f>bdrate(C107:C110,H107:H110,J107:J110,O107:O110)</f>
        <v>-6.5474573077601295E-2</v>
      </c>
      <c r="U107" s="28">
        <f t="shared" si="6"/>
        <v>2.0287044534412955</v>
      </c>
    </row>
    <row r="108" spans="2:21" x14ac:dyDescent="0.25">
      <c r="B108" s="9"/>
      <c r="C108" s="31">
        <v>1594.93</v>
      </c>
      <c r="D108" s="32">
        <v>33.244999999999997</v>
      </c>
      <c r="E108" s="32">
        <v>39.069000000000003</v>
      </c>
      <c r="F108" s="32">
        <v>38.314999999999998</v>
      </c>
      <c r="G108" s="18">
        <v>8.2899999999999991</v>
      </c>
      <c r="H108" s="18">
        <f t="shared" si="4"/>
        <v>34.606749999999998</v>
      </c>
      <c r="I108" s="5"/>
      <c r="J108" s="31">
        <v>1605.9376</v>
      </c>
      <c r="K108" s="32">
        <v>33.335500000000003</v>
      </c>
      <c r="L108" s="32">
        <v>39.6843</v>
      </c>
      <c r="M108" s="32">
        <v>38.761299999999999</v>
      </c>
      <c r="N108" s="18">
        <v>27.197600000000001</v>
      </c>
      <c r="O108" s="18">
        <f t="shared" si="5"/>
        <v>34.807325000000006</v>
      </c>
      <c r="P108" s="7"/>
      <c r="Q108" s="10"/>
      <c r="R108" s="11"/>
      <c r="S108" s="11"/>
      <c r="T108" s="26"/>
      <c r="U108" s="28">
        <f t="shared" si="6"/>
        <v>2.2807720144752719</v>
      </c>
    </row>
    <row r="109" spans="2:21" x14ac:dyDescent="0.25">
      <c r="B109" s="9"/>
      <c r="C109" s="31">
        <v>993.76</v>
      </c>
      <c r="D109" s="32">
        <v>31.585999999999999</v>
      </c>
      <c r="E109" s="32">
        <v>38.070999999999998</v>
      </c>
      <c r="F109" s="32">
        <v>36.999000000000002</v>
      </c>
      <c r="G109" s="18">
        <v>9.27</v>
      </c>
      <c r="H109" s="18">
        <f t="shared" si="4"/>
        <v>33.073250000000002</v>
      </c>
      <c r="I109" s="5"/>
      <c r="J109" s="31">
        <v>989.07119999999998</v>
      </c>
      <c r="K109" s="32">
        <v>31.7117</v>
      </c>
      <c r="L109" s="32">
        <v>38.7027</v>
      </c>
      <c r="M109" s="32">
        <v>37.344799999999999</v>
      </c>
      <c r="N109" s="18">
        <v>33.077500000000001</v>
      </c>
      <c r="O109" s="18">
        <f t="shared" si="5"/>
        <v>33.2897125</v>
      </c>
      <c r="P109" s="7"/>
      <c r="Q109" s="10"/>
      <c r="R109" s="11"/>
      <c r="S109" s="11"/>
      <c r="T109" s="26"/>
      <c r="U109" s="28">
        <f t="shared" si="6"/>
        <v>2.568230852211435</v>
      </c>
    </row>
    <row r="110" spans="2:21" ht="16.5" thickBot="1" x14ac:dyDescent="0.3">
      <c r="B110" s="12"/>
      <c r="C110" s="33">
        <v>589.73</v>
      </c>
      <c r="D110" s="34">
        <v>29.7</v>
      </c>
      <c r="E110" s="34">
        <v>36.716999999999999</v>
      </c>
      <c r="F110" s="34">
        <v>35.180999999999997</v>
      </c>
      <c r="G110" s="20">
        <v>10.54</v>
      </c>
      <c r="H110" s="20">
        <f t="shared" si="4"/>
        <v>31.262249999999995</v>
      </c>
      <c r="I110" s="5"/>
      <c r="J110" s="33">
        <v>591.92240000000004</v>
      </c>
      <c r="K110" s="34">
        <v>29.953499999999998</v>
      </c>
      <c r="L110" s="34">
        <v>37.467199999999998</v>
      </c>
      <c r="M110" s="34">
        <v>35.816400000000002</v>
      </c>
      <c r="N110" s="20">
        <v>42.444800000000001</v>
      </c>
      <c r="O110" s="20">
        <f t="shared" si="5"/>
        <v>31.625574999999998</v>
      </c>
      <c r="P110" s="7"/>
      <c r="Q110" s="13"/>
      <c r="R110" s="14"/>
      <c r="S110" s="14"/>
      <c r="T110" s="27"/>
      <c r="U110" s="28">
        <f t="shared" si="6"/>
        <v>3.0270208728652754</v>
      </c>
    </row>
    <row r="111" spans="2:21" x14ac:dyDescent="0.25">
      <c r="B111" s="6" t="s">
        <v>52</v>
      </c>
      <c r="C111" s="15">
        <v>2348.37</v>
      </c>
      <c r="D111" s="16">
        <v>33.735999999999997</v>
      </c>
      <c r="E111" s="16">
        <v>39.271000000000001</v>
      </c>
      <c r="F111" s="16">
        <v>41.915999999999997</v>
      </c>
      <c r="G111" s="16">
        <v>11.04</v>
      </c>
      <c r="H111" s="16">
        <f t="shared" si="4"/>
        <v>35.450375000000001</v>
      </c>
      <c r="I111" s="5"/>
      <c r="J111" s="15">
        <v>2381.6543999999999</v>
      </c>
      <c r="K111" s="16">
        <v>33.921500000000002</v>
      </c>
      <c r="L111" s="16">
        <v>39.961399999999998</v>
      </c>
      <c r="M111" s="16">
        <v>42.450499999999998</v>
      </c>
      <c r="N111" s="16">
        <v>34.835099999999997</v>
      </c>
      <c r="O111" s="16">
        <f t="shared" si="5"/>
        <v>35.7426125</v>
      </c>
      <c r="P111" s="7"/>
      <c r="Q111" s="8">
        <f>bdrate(C111:C114,D111:D114,J111:J114,K111:K114)</f>
        <v>-0.11396345533125185</v>
      </c>
      <c r="R111" s="8">
        <f>bdrate(C111:C114,E111:E114,J111:J114,L111:L114)</f>
        <v>-0.2874897279454075</v>
      </c>
      <c r="S111" s="8">
        <f>bdrate(C111:C114,F111:F114,J111:J114,M111:M114)</f>
        <v>-0.18354047097274684</v>
      </c>
      <c r="T111" s="25">
        <f>bdrate(C111:C114,H111:H114,J111:J114,O111:O114)</f>
        <v>-0.13858759430993883</v>
      </c>
      <c r="U111" s="28">
        <f t="shared" si="6"/>
        <v>2.1553532608695654</v>
      </c>
    </row>
    <row r="112" spans="2:21" x14ac:dyDescent="0.25">
      <c r="B112" s="9"/>
      <c r="C112" s="17">
        <v>1544.07</v>
      </c>
      <c r="D112" s="18">
        <v>33.048999999999999</v>
      </c>
      <c r="E112" s="18">
        <v>38.86</v>
      </c>
      <c r="F112" s="18">
        <v>41.524000000000001</v>
      </c>
      <c r="G112" s="18">
        <v>11.96</v>
      </c>
      <c r="H112" s="18">
        <f t="shared" si="4"/>
        <v>34.83475</v>
      </c>
      <c r="I112" s="5"/>
      <c r="J112" s="17">
        <v>1596.3391999999999</v>
      </c>
      <c r="K112" s="18">
        <v>33.313899999999997</v>
      </c>
      <c r="L112" s="18">
        <v>39.479399999999998</v>
      </c>
      <c r="M112" s="18">
        <v>41.979300000000002</v>
      </c>
      <c r="N112" s="18">
        <v>42.844900000000003</v>
      </c>
      <c r="O112" s="18">
        <f t="shared" si="5"/>
        <v>35.167762500000002</v>
      </c>
      <c r="P112" s="7"/>
      <c r="Q112" s="10"/>
      <c r="R112" s="11"/>
      <c r="S112" s="11"/>
      <c r="T112" s="26"/>
      <c r="U112" s="28">
        <f t="shared" si="6"/>
        <v>2.5823494983277593</v>
      </c>
    </row>
    <row r="113" spans="1:21" x14ac:dyDescent="0.25">
      <c r="B113" s="9"/>
      <c r="C113" s="17">
        <v>929.93</v>
      </c>
      <c r="D113" s="18">
        <v>31.954000000000001</v>
      </c>
      <c r="E113" s="18">
        <v>38.268000000000001</v>
      </c>
      <c r="F113" s="18">
        <v>41.039000000000001</v>
      </c>
      <c r="G113" s="18">
        <v>13.27</v>
      </c>
      <c r="H113" s="18">
        <f t="shared" si="4"/>
        <v>33.878875000000001</v>
      </c>
      <c r="I113" s="5"/>
      <c r="J113" s="17">
        <v>988.48159999999996</v>
      </c>
      <c r="K113" s="18">
        <v>32.367600000000003</v>
      </c>
      <c r="L113" s="18">
        <v>38.720300000000002</v>
      </c>
      <c r="M113" s="18">
        <v>41.289200000000001</v>
      </c>
      <c r="N113" s="18">
        <v>52.507199999999997</v>
      </c>
      <c r="O113" s="18">
        <f t="shared" si="5"/>
        <v>34.276887500000001</v>
      </c>
      <c r="P113" s="7"/>
      <c r="Q113" s="10"/>
      <c r="R113" s="11"/>
      <c r="S113" s="11"/>
      <c r="T113" s="26"/>
      <c r="U113" s="28">
        <f t="shared" si="6"/>
        <v>2.9568349660889224</v>
      </c>
    </row>
    <row r="114" spans="1:21" ht="16.5" thickBot="1" x14ac:dyDescent="0.3">
      <c r="B114" s="12"/>
      <c r="C114" s="19">
        <v>487.88</v>
      </c>
      <c r="D114" s="20">
        <v>29.721</v>
      </c>
      <c r="E114" s="20">
        <v>37.283999999999999</v>
      </c>
      <c r="F114" s="20">
        <v>40.280999999999999</v>
      </c>
      <c r="G114" s="20">
        <v>14.46</v>
      </c>
      <c r="H114" s="20">
        <f t="shared" si="4"/>
        <v>31.986374999999999</v>
      </c>
      <c r="I114" s="5"/>
      <c r="J114" s="19">
        <v>578.49680000000001</v>
      </c>
      <c r="K114" s="20">
        <v>30.994499999999999</v>
      </c>
      <c r="L114" s="20">
        <v>38.017699999999998</v>
      </c>
      <c r="M114" s="20">
        <v>40.564799999999998</v>
      </c>
      <c r="N114" s="20">
        <v>63.337899999999998</v>
      </c>
      <c r="O114" s="20">
        <f t="shared" si="5"/>
        <v>33.068687499999996</v>
      </c>
      <c r="P114" s="7"/>
      <c r="Q114" s="13"/>
      <c r="R114" s="14"/>
      <c r="S114" s="14"/>
      <c r="T114" s="27"/>
      <c r="U114" s="28">
        <f t="shared" si="6"/>
        <v>3.38021438450899</v>
      </c>
    </row>
    <row r="115" spans="1:21" x14ac:dyDescent="0.25">
      <c r="A115" s="6" t="s">
        <v>39</v>
      </c>
      <c r="B115" s="6" t="s">
        <v>53</v>
      </c>
      <c r="C115" s="15">
        <v>1222.3900000000001</v>
      </c>
      <c r="D115" s="16">
        <v>35.64</v>
      </c>
      <c r="E115" s="16">
        <v>39.24</v>
      </c>
      <c r="F115" s="16">
        <v>39.338000000000001</v>
      </c>
      <c r="G115" s="16">
        <v>27.51</v>
      </c>
      <c r="H115" s="16">
        <f t="shared" si="4"/>
        <v>36.552250000000001</v>
      </c>
      <c r="I115" s="5"/>
      <c r="J115" s="15">
        <v>1221.192</v>
      </c>
      <c r="K115" s="16">
        <v>36.593499999999999</v>
      </c>
      <c r="L115" s="16">
        <v>40.222799999999999</v>
      </c>
      <c r="M115" s="16">
        <v>40.131599999999999</v>
      </c>
      <c r="N115" s="16">
        <v>60.871699999999997</v>
      </c>
      <c r="O115" s="16">
        <f t="shared" si="5"/>
        <v>37.489424999999997</v>
      </c>
      <c r="P115" s="7"/>
      <c r="Q115" s="8">
        <f>bdrate(C115:C118,D115:D118,J115:J118,K115:K118)</f>
        <v>-0.12979096394819278</v>
      </c>
      <c r="R115" s="8">
        <f>bdrate(C115:C118,E115:E118,J115:J118,L115:L118)</f>
        <v>-0.21407194029054877</v>
      </c>
      <c r="S115" s="8">
        <f>bdrate(C115:C118,F115:F118,J115:J118,M115:M118)</f>
        <v>-0.1089918836791125</v>
      </c>
      <c r="T115" s="25">
        <f>bdrate(C115:C118,H115:H118,J115:J118,O115:O118)</f>
        <v>-0.1364730687740493</v>
      </c>
      <c r="U115" s="28">
        <f t="shared" si="6"/>
        <v>1.2127117411850235</v>
      </c>
    </row>
    <row r="116" spans="1:21" x14ac:dyDescent="0.25">
      <c r="A116" s="9" t="s">
        <v>40</v>
      </c>
      <c r="B116" s="9"/>
      <c r="C116" s="17">
        <v>813.64</v>
      </c>
      <c r="D116" s="18">
        <v>34.134</v>
      </c>
      <c r="E116" s="18">
        <v>37.908999999999999</v>
      </c>
      <c r="F116" s="18">
        <v>37.975999999999999</v>
      </c>
      <c r="G116" s="18">
        <v>31.21</v>
      </c>
      <c r="H116" s="18">
        <f t="shared" si="4"/>
        <v>35.086124999999996</v>
      </c>
      <c r="I116" s="5"/>
      <c r="J116" s="17">
        <v>814.99760000000003</v>
      </c>
      <c r="K116" s="18">
        <v>34.8232</v>
      </c>
      <c r="L116" s="18">
        <v>38.780200000000001</v>
      </c>
      <c r="M116" s="18">
        <v>38.485700000000001</v>
      </c>
      <c r="N116" s="18">
        <v>72.642700000000005</v>
      </c>
      <c r="O116" s="18">
        <f t="shared" si="5"/>
        <v>35.775637500000002</v>
      </c>
      <c r="P116" s="7"/>
      <c r="Q116" s="10"/>
      <c r="R116" s="11"/>
      <c r="S116" s="11"/>
      <c r="T116" s="26"/>
      <c r="U116" s="28">
        <f t="shared" si="6"/>
        <v>1.3275456584428069</v>
      </c>
    </row>
    <row r="117" spans="1:21" x14ac:dyDescent="0.25">
      <c r="B117" s="9"/>
      <c r="C117" s="17">
        <v>507.45</v>
      </c>
      <c r="D117" s="18">
        <v>32.512999999999998</v>
      </c>
      <c r="E117" s="18">
        <v>36.658000000000001</v>
      </c>
      <c r="F117" s="18">
        <v>36.569000000000003</v>
      </c>
      <c r="G117" s="18">
        <v>36.01</v>
      </c>
      <c r="H117" s="18">
        <f t="shared" si="4"/>
        <v>33.538125000000001</v>
      </c>
      <c r="I117" s="5"/>
      <c r="J117" s="17">
        <v>504.63600000000002</v>
      </c>
      <c r="K117" s="18">
        <v>32.9223</v>
      </c>
      <c r="L117" s="18">
        <v>37.255899999999997</v>
      </c>
      <c r="M117" s="18">
        <v>36.811799999999998</v>
      </c>
      <c r="N117" s="18">
        <v>88.059200000000004</v>
      </c>
      <c r="O117" s="18">
        <f t="shared" si="5"/>
        <v>33.950187499999998</v>
      </c>
      <c r="P117" s="7"/>
      <c r="Q117" s="10"/>
      <c r="R117" s="11"/>
      <c r="S117" s="11"/>
      <c r="T117" s="26"/>
      <c r="U117" s="28">
        <f t="shared" si="6"/>
        <v>1.4454096084420998</v>
      </c>
    </row>
    <row r="118" spans="1:21" ht="16.5" thickBot="1" x14ac:dyDescent="0.3">
      <c r="B118" s="12"/>
      <c r="C118" s="19">
        <v>301.43</v>
      </c>
      <c r="D118" s="20">
        <v>30.751000000000001</v>
      </c>
      <c r="E118" s="20">
        <v>35.345999999999997</v>
      </c>
      <c r="F118" s="20">
        <v>34.884999999999998</v>
      </c>
      <c r="G118" s="20">
        <v>42.85</v>
      </c>
      <c r="H118" s="20">
        <f t="shared" si="4"/>
        <v>31.842124999999999</v>
      </c>
      <c r="I118" s="5"/>
      <c r="J118" s="19">
        <v>301.51920000000001</v>
      </c>
      <c r="K118" s="20">
        <v>30.968800000000002</v>
      </c>
      <c r="L118" s="20">
        <v>35.793799999999997</v>
      </c>
      <c r="M118" s="20">
        <v>35.182099999999998</v>
      </c>
      <c r="N118" s="20">
        <v>109.0275</v>
      </c>
      <c r="O118" s="20">
        <f t="shared" si="5"/>
        <v>32.098587500000001</v>
      </c>
      <c r="P118" s="7"/>
      <c r="Q118" s="13"/>
      <c r="R118" s="14"/>
      <c r="S118" s="14"/>
      <c r="T118" s="27"/>
      <c r="U118" s="28">
        <f t="shared" si="6"/>
        <v>1.5443990665110854</v>
      </c>
    </row>
    <row r="119" spans="1:21" x14ac:dyDescent="0.25">
      <c r="B119" s="6" t="s">
        <v>54</v>
      </c>
      <c r="C119" s="15">
        <v>1223.22</v>
      </c>
      <c r="D119" s="16">
        <v>35.71</v>
      </c>
      <c r="E119" s="16">
        <v>40.119</v>
      </c>
      <c r="F119" s="16">
        <v>41.042999999999999</v>
      </c>
      <c r="G119" s="16">
        <v>35.159999999999997</v>
      </c>
      <c r="H119" s="16">
        <f t="shared" si="4"/>
        <v>36.927749999999996</v>
      </c>
      <c r="I119" s="5"/>
      <c r="J119" s="15">
        <v>1173.5752</v>
      </c>
      <c r="K119" s="16">
        <v>35.953400000000002</v>
      </c>
      <c r="L119" s="16">
        <v>40.850200000000001</v>
      </c>
      <c r="M119" s="16">
        <v>41.684899999999999</v>
      </c>
      <c r="N119" s="16">
        <v>74.377099999999999</v>
      </c>
      <c r="O119" s="16">
        <f t="shared" si="5"/>
        <v>37.281937499999998</v>
      </c>
      <c r="P119" s="7"/>
      <c r="Q119" s="8">
        <f>bdrate(C119:C122,D119:D122,J119:J122,K119:K122)</f>
        <v>-0.12860095287044182</v>
      </c>
      <c r="R119" s="8">
        <f>bdrate(C119:C122,E119:E122,J119:J122,L119:L122)</f>
        <v>-0.31777853088059016</v>
      </c>
      <c r="S119" s="8">
        <f>bdrate(C119:C122,F119:F122,J119:J122,M119:M122)</f>
        <v>-0.26325059169347265</v>
      </c>
      <c r="T119" s="25">
        <f>bdrate(C119:C122,H119:H122,J119:J122,O119:O122)</f>
        <v>-0.16150601539429577</v>
      </c>
      <c r="U119" s="28">
        <f t="shared" si="6"/>
        <v>1.1153896473265075</v>
      </c>
    </row>
    <row r="120" spans="1:21" x14ac:dyDescent="0.25">
      <c r="B120" s="9"/>
      <c r="C120" s="17">
        <v>815.85</v>
      </c>
      <c r="D120" s="18">
        <v>34.076000000000001</v>
      </c>
      <c r="E120" s="18">
        <v>38.982999999999997</v>
      </c>
      <c r="F120" s="18">
        <v>39.801000000000002</v>
      </c>
      <c r="G120" s="18">
        <v>40.19</v>
      </c>
      <c r="H120" s="18">
        <f t="shared" si="4"/>
        <v>35.405000000000001</v>
      </c>
      <c r="I120" s="5"/>
      <c r="J120" s="17">
        <v>796.69439999999997</v>
      </c>
      <c r="K120" s="18">
        <v>34.465400000000002</v>
      </c>
      <c r="L120" s="18">
        <v>39.8476</v>
      </c>
      <c r="M120" s="18">
        <v>40.534100000000002</v>
      </c>
      <c r="N120" s="18">
        <v>89.445400000000006</v>
      </c>
      <c r="O120" s="18">
        <f t="shared" si="5"/>
        <v>35.896762500000001</v>
      </c>
      <c r="P120" s="7"/>
      <c r="Q120" s="10"/>
      <c r="R120" s="11"/>
      <c r="S120" s="11"/>
      <c r="T120" s="26"/>
      <c r="U120" s="28">
        <f t="shared" si="6"/>
        <v>1.2255635730281167</v>
      </c>
    </row>
    <row r="121" spans="1:21" x14ac:dyDescent="0.25">
      <c r="B121" s="9"/>
      <c r="C121" s="17">
        <v>507.41</v>
      </c>
      <c r="D121" s="18">
        <v>32.057000000000002</v>
      </c>
      <c r="E121" s="18">
        <v>37.628999999999998</v>
      </c>
      <c r="F121" s="18">
        <v>38.281999999999996</v>
      </c>
      <c r="G121" s="18">
        <v>45.95</v>
      </c>
      <c r="H121" s="18">
        <f t="shared" si="4"/>
        <v>33.531624999999998</v>
      </c>
      <c r="I121" s="5"/>
      <c r="J121" s="17">
        <v>514.75840000000005</v>
      </c>
      <c r="K121" s="18">
        <v>32.723799999999997</v>
      </c>
      <c r="L121" s="18">
        <v>38.756300000000003</v>
      </c>
      <c r="M121" s="18">
        <v>39.307600000000001</v>
      </c>
      <c r="N121" s="18">
        <v>106.83759999999999</v>
      </c>
      <c r="O121" s="18">
        <f t="shared" si="5"/>
        <v>34.3008375</v>
      </c>
      <c r="P121" s="7"/>
      <c r="Q121" s="10"/>
      <c r="R121" s="11"/>
      <c r="S121" s="11"/>
      <c r="T121" s="26"/>
      <c r="U121" s="28">
        <f t="shared" si="6"/>
        <v>1.3250837867247005</v>
      </c>
    </row>
    <row r="122" spans="1:21" ht="16.5" thickBot="1" x14ac:dyDescent="0.3">
      <c r="B122" s="12"/>
      <c r="C122" s="19">
        <v>301.17</v>
      </c>
      <c r="D122" s="20">
        <v>29.734999999999999</v>
      </c>
      <c r="E122" s="20">
        <v>36.085000000000001</v>
      </c>
      <c r="F122" s="20">
        <v>36.558999999999997</v>
      </c>
      <c r="G122" s="20">
        <v>53.5</v>
      </c>
      <c r="H122" s="20">
        <f t="shared" si="4"/>
        <v>31.38175</v>
      </c>
      <c r="I122" s="5"/>
      <c r="J122" s="19">
        <v>304.00400000000002</v>
      </c>
      <c r="K122" s="20">
        <v>30.6067</v>
      </c>
      <c r="L122" s="20">
        <v>37.481400000000001</v>
      </c>
      <c r="M122" s="20">
        <v>37.8919</v>
      </c>
      <c r="N122" s="20">
        <v>138.37639999999999</v>
      </c>
      <c r="O122" s="20">
        <f t="shared" si="5"/>
        <v>32.376687500000003</v>
      </c>
      <c r="P122" s="7"/>
      <c r="Q122" s="13"/>
      <c r="R122" s="14"/>
      <c r="S122" s="14"/>
      <c r="T122" s="27"/>
      <c r="U122" s="28">
        <f t="shared" si="6"/>
        <v>1.58647476635514</v>
      </c>
    </row>
    <row r="123" spans="1:21" x14ac:dyDescent="0.25">
      <c r="B123" s="6" t="s">
        <v>55</v>
      </c>
      <c r="C123" s="15">
        <v>1091.43</v>
      </c>
      <c r="D123" s="16">
        <v>30.268999999999998</v>
      </c>
      <c r="E123" s="16">
        <v>35.779000000000003</v>
      </c>
      <c r="F123" s="16">
        <v>36.549999999999997</v>
      </c>
      <c r="G123" s="16">
        <v>33.85</v>
      </c>
      <c r="H123" s="16">
        <f t="shared" si="4"/>
        <v>31.742874999999998</v>
      </c>
      <c r="I123" s="5"/>
      <c r="J123" s="15">
        <v>1145.2775999999999</v>
      </c>
      <c r="K123" s="16">
        <v>30.817</v>
      </c>
      <c r="L123" s="16">
        <v>36.667099999999998</v>
      </c>
      <c r="M123" s="16">
        <v>37.424999999999997</v>
      </c>
      <c r="N123" s="16">
        <v>76.487700000000004</v>
      </c>
      <c r="O123" s="16">
        <f t="shared" si="5"/>
        <v>32.3742625</v>
      </c>
      <c r="P123" s="7"/>
      <c r="Q123" s="8">
        <f>bdrate(C123:C126,D123:D126,J123:J126,K123:K126)</f>
        <v>-0.11587754022466679</v>
      </c>
      <c r="R123" s="8">
        <f>bdrate(C123:C126,E123:E126,J123:J126,L123:L126)</f>
        <v>-0.27516386412269334</v>
      </c>
      <c r="S123" s="8">
        <f>bdrate(C123:C126,F123:F126,J123:J126,M123:M126)</f>
        <v>-0.26097978541009337</v>
      </c>
      <c r="T123" s="25">
        <f>bdrate(C123:C126,H123:H126,J123:J126,O123:O126)</f>
        <v>-0.14283642751846837</v>
      </c>
      <c r="U123" s="28">
        <f t="shared" si="6"/>
        <v>1.2596070901033973</v>
      </c>
    </row>
    <row r="124" spans="1:21" x14ac:dyDescent="0.25">
      <c r="B124" s="9"/>
      <c r="C124" s="17">
        <v>726.88</v>
      </c>
      <c r="D124" s="18">
        <v>28.885999999999999</v>
      </c>
      <c r="E124" s="18">
        <v>35.018000000000001</v>
      </c>
      <c r="F124" s="18">
        <v>35.783000000000001</v>
      </c>
      <c r="G124" s="18">
        <v>38.520000000000003</v>
      </c>
      <c r="H124" s="18">
        <f t="shared" si="4"/>
        <v>30.514625000000002</v>
      </c>
      <c r="I124" s="5"/>
      <c r="J124" s="17">
        <v>763.43520000000001</v>
      </c>
      <c r="K124" s="18">
        <v>29.448599999999999</v>
      </c>
      <c r="L124" s="18">
        <v>35.7483</v>
      </c>
      <c r="M124" s="18">
        <v>36.515599999999999</v>
      </c>
      <c r="N124" s="18">
        <v>92.319100000000006</v>
      </c>
      <c r="O124" s="18">
        <f t="shared" si="5"/>
        <v>31.1194375</v>
      </c>
      <c r="P124" s="7"/>
      <c r="Q124" s="10"/>
      <c r="R124" s="11"/>
      <c r="S124" s="11"/>
      <c r="T124" s="26"/>
      <c r="U124" s="28">
        <f t="shared" si="6"/>
        <v>1.396653686396677</v>
      </c>
    </row>
    <row r="125" spans="1:21" x14ac:dyDescent="0.25">
      <c r="B125" s="9"/>
      <c r="C125" s="17">
        <v>451.01</v>
      </c>
      <c r="D125" s="18">
        <v>27.376999999999999</v>
      </c>
      <c r="E125" s="18">
        <v>34.218000000000004</v>
      </c>
      <c r="F125" s="18">
        <v>34.963999999999999</v>
      </c>
      <c r="G125" s="18">
        <v>43.85</v>
      </c>
      <c r="H125" s="18">
        <f t="shared" si="4"/>
        <v>29.180500000000002</v>
      </c>
      <c r="I125" s="5"/>
      <c r="J125" s="17">
        <v>480.52</v>
      </c>
      <c r="K125" s="18">
        <v>27.952400000000001</v>
      </c>
      <c r="L125" s="18">
        <v>34.873100000000001</v>
      </c>
      <c r="M125" s="18">
        <v>35.591000000000001</v>
      </c>
      <c r="N125" s="18">
        <v>114.05110000000001</v>
      </c>
      <c r="O125" s="18">
        <f t="shared" si="5"/>
        <v>29.772312500000002</v>
      </c>
      <c r="P125" s="7"/>
      <c r="Q125" s="10"/>
      <c r="R125" s="11"/>
      <c r="S125" s="11"/>
      <c r="T125" s="26"/>
      <c r="U125" s="28">
        <f t="shared" si="6"/>
        <v>1.6009372862029645</v>
      </c>
    </row>
    <row r="126" spans="1:21" ht="16.5" thickBot="1" x14ac:dyDescent="0.3">
      <c r="B126" s="12"/>
      <c r="C126" s="19">
        <v>257.27</v>
      </c>
      <c r="D126" s="20">
        <v>25.596</v>
      </c>
      <c r="E126" s="20">
        <v>33.109000000000002</v>
      </c>
      <c r="F126" s="20">
        <v>33.901000000000003</v>
      </c>
      <c r="G126" s="20">
        <v>52.28</v>
      </c>
      <c r="H126" s="20">
        <f t="shared" si="4"/>
        <v>27.573250000000002</v>
      </c>
      <c r="I126" s="5"/>
      <c r="J126" s="19">
        <v>288.75360000000001</v>
      </c>
      <c r="K126" s="20">
        <v>26.423200000000001</v>
      </c>
      <c r="L126" s="20">
        <v>33.952100000000002</v>
      </c>
      <c r="M126" s="20">
        <v>34.647399999999998</v>
      </c>
      <c r="N126" s="20">
        <v>147.01560000000001</v>
      </c>
      <c r="O126" s="20">
        <f t="shared" si="5"/>
        <v>28.3923375</v>
      </c>
      <c r="P126" s="7"/>
      <c r="Q126" s="13"/>
      <c r="R126" s="14"/>
      <c r="S126" s="14"/>
      <c r="T126" s="27"/>
      <c r="U126" s="28">
        <f t="shared" si="6"/>
        <v>1.8120811017597551</v>
      </c>
    </row>
    <row r="127" spans="1:21" x14ac:dyDescent="0.25">
      <c r="B127" s="6" t="s">
        <v>56</v>
      </c>
      <c r="C127" s="15">
        <v>1103.06</v>
      </c>
      <c r="D127" s="16">
        <v>33.302999999999997</v>
      </c>
      <c r="E127" s="16">
        <v>36.893999999999998</v>
      </c>
      <c r="F127" s="16">
        <v>38.61</v>
      </c>
      <c r="G127" s="16">
        <v>22.26</v>
      </c>
      <c r="H127" s="16">
        <f t="shared" si="4"/>
        <v>34.41525</v>
      </c>
      <c r="I127" s="5"/>
      <c r="J127" s="15">
        <v>1229.7736</v>
      </c>
      <c r="K127" s="16">
        <v>33.285299999999999</v>
      </c>
      <c r="L127" s="16">
        <v>37.276699999999998</v>
      </c>
      <c r="M127" s="16">
        <v>38.853400000000001</v>
      </c>
      <c r="N127" s="16">
        <v>46.889699999999998</v>
      </c>
      <c r="O127" s="16">
        <f t="shared" si="5"/>
        <v>34.480237500000001</v>
      </c>
      <c r="P127" s="7"/>
      <c r="Q127" s="8">
        <f>bdrate(C127:C130,D127:D130,J127:J130,K127:K130)</f>
        <v>0.11432976658162053</v>
      </c>
      <c r="R127" s="8">
        <f>bdrate(C127:C130,E127:E130,J127:J130,L127:L130)</f>
        <v>-8.5787380589852136E-2</v>
      </c>
      <c r="S127" s="8">
        <f>bdrate(C127:C130,F127:F130,J127:J130,M127:M130)</f>
        <v>-3.2145428259547915E-2</v>
      </c>
      <c r="T127" s="25">
        <f>bdrate(C127:C130,H127:H130,J127:J130,O127:O130)</f>
        <v>8.0722268212162662E-2</v>
      </c>
      <c r="U127" s="28">
        <f t="shared" si="6"/>
        <v>1.1064555256064688</v>
      </c>
    </row>
    <row r="128" spans="1:21" x14ac:dyDescent="0.25">
      <c r="B128" s="9"/>
      <c r="C128" s="17">
        <v>743.43</v>
      </c>
      <c r="D128" s="18">
        <v>31.832000000000001</v>
      </c>
      <c r="E128" s="18">
        <v>35.887999999999998</v>
      </c>
      <c r="F128" s="18">
        <v>37.600999999999999</v>
      </c>
      <c r="G128" s="18">
        <v>24.88</v>
      </c>
      <c r="H128" s="18">
        <f t="shared" si="4"/>
        <v>33.060124999999999</v>
      </c>
      <c r="I128" s="5"/>
      <c r="J128" s="17">
        <v>817.08799999999997</v>
      </c>
      <c r="K128" s="18">
        <v>31.742000000000001</v>
      </c>
      <c r="L128" s="18">
        <v>36.2819</v>
      </c>
      <c r="M128" s="18">
        <v>37.824800000000003</v>
      </c>
      <c r="N128" s="18">
        <v>56.200800000000001</v>
      </c>
      <c r="O128" s="18">
        <f t="shared" si="5"/>
        <v>33.069837499999998</v>
      </c>
      <c r="P128" s="7"/>
      <c r="Q128" s="10"/>
      <c r="R128" s="11"/>
      <c r="S128" s="11"/>
      <c r="T128" s="26"/>
      <c r="U128" s="28">
        <f t="shared" si="6"/>
        <v>1.2588745980707396</v>
      </c>
    </row>
    <row r="129" spans="1:21" x14ac:dyDescent="0.25">
      <c r="B129" s="9"/>
      <c r="C129" s="17">
        <v>473.65</v>
      </c>
      <c r="D129" s="18">
        <v>30.196999999999999</v>
      </c>
      <c r="E129" s="18">
        <v>34.890999999999998</v>
      </c>
      <c r="F129" s="18">
        <v>36.514000000000003</v>
      </c>
      <c r="G129" s="18">
        <v>28.32</v>
      </c>
      <c r="H129" s="18">
        <f t="shared" si="4"/>
        <v>31.573374999999999</v>
      </c>
      <c r="I129" s="5"/>
      <c r="J129" s="17">
        <v>510.43200000000002</v>
      </c>
      <c r="K129" s="18">
        <v>30.091200000000001</v>
      </c>
      <c r="L129" s="18">
        <v>35.268999999999998</v>
      </c>
      <c r="M129" s="18">
        <v>36.8095</v>
      </c>
      <c r="N129" s="18">
        <v>69.881200000000007</v>
      </c>
      <c r="O129" s="18">
        <f t="shared" si="5"/>
        <v>31.578212499999999</v>
      </c>
      <c r="P129" s="7"/>
      <c r="Q129" s="10"/>
      <c r="R129" s="11"/>
      <c r="S129" s="11"/>
      <c r="T129" s="26"/>
      <c r="U129" s="28">
        <f t="shared" si="6"/>
        <v>1.4675564971751414</v>
      </c>
    </row>
    <row r="130" spans="1:21" ht="16.5" thickBot="1" x14ac:dyDescent="0.3">
      <c r="B130" s="12"/>
      <c r="C130" s="19">
        <v>287.95999999999998</v>
      </c>
      <c r="D130" s="20">
        <v>28.535</v>
      </c>
      <c r="E130" s="20">
        <v>33.798000000000002</v>
      </c>
      <c r="F130" s="20">
        <v>35.295000000000002</v>
      </c>
      <c r="G130" s="20">
        <v>33.04</v>
      </c>
      <c r="H130" s="20">
        <f t="shared" si="4"/>
        <v>30.037875</v>
      </c>
      <c r="I130" s="5"/>
      <c r="J130" s="19">
        <v>305.36559999999997</v>
      </c>
      <c r="K130" s="20">
        <v>28.471699999999998</v>
      </c>
      <c r="L130" s="20">
        <v>34.221299999999999</v>
      </c>
      <c r="M130" s="20">
        <v>35.703299999999999</v>
      </c>
      <c r="N130" s="20">
        <v>89.874200000000002</v>
      </c>
      <c r="O130" s="20">
        <f t="shared" si="5"/>
        <v>30.094349999999999</v>
      </c>
      <c r="P130" s="7"/>
      <c r="Q130" s="13"/>
      <c r="R130" s="14"/>
      <c r="S130" s="14"/>
      <c r="T130" s="27"/>
      <c r="U130" s="28">
        <f t="shared" si="6"/>
        <v>1.7201634382566586</v>
      </c>
    </row>
    <row r="131" spans="1:21" x14ac:dyDescent="0.25">
      <c r="A131" s="6" t="s">
        <v>41</v>
      </c>
      <c r="B131" s="6" t="s">
        <v>57</v>
      </c>
      <c r="C131" s="15">
        <v>638.87</v>
      </c>
      <c r="D131" s="16">
        <v>35.585000000000001</v>
      </c>
      <c r="E131" s="16">
        <v>39.963999999999999</v>
      </c>
      <c r="F131" s="16">
        <v>38.682000000000002</v>
      </c>
      <c r="G131" s="16">
        <v>48.49</v>
      </c>
      <c r="H131" s="16">
        <f t="shared" si="4"/>
        <v>36.519500000000001</v>
      </c>
      <c r="I131" s="5"/>
      <c r="J131" s="15">
        <v>614.42960000000005</v>
      </c>
      <c r="K131" s="16">
        <v>35.3889</v>
      </c>
      <c r="L131" s="16">
        <v>40.2209</v>
      </c>
      <c r="M131" s="16">
        <v>38.684199999999997</v>
      </c>
      <c r="N131" s="16">
        <v>120.4819</v>
      </c>
      <c r="O131" s="16">
        <f t="shared" si="5"/>
        <v>36.404812499999998</v>
      </c>
      <c r="P131" s="7"/>
      <c r="Q131" s="8">
        <f>bdrate(C131:C134,D131:D134,J131:J134,K131:K134)</f>
        <v>2.2383791153457011E-2</v>
      </c>
      <c r="R131" s="8">
        <f>bdrate(C131:C134,E131:E134,J131:J134,L131:L134)</f>
        <v>-0.17431483897810696</v>
      </c>
      <c r="S131" s="8">
        <f>bdrate(C131:C134,F131:F134,J131:J134,M131:M134)</f>
        <v>-6.2021466058308161E-2</v>
      </c>
      <c r="T131" s="25">
        <f>bdrate(C131:C134,H131:H134,J131:J134,O131:O134)</f>
        <v>-6.4800706917218509E-3</v>
      </c>
      <c r="U131" s="28">
        <f t="shared" si="6"/>
        <v>1.4846751907609814</v>
      </c>
    </row>
    <row r="132" spans="1:21" x14ac:dyDescent="0.25">
      <c r="A132" s="9" t="s">
        <v>42</v>
      </c>
      <c r="B132" s="9"/>
      <c r="C132" s="17">
        <v>425.46</v>
      </c>
      <c r="D132" s="18">
        <v>33.722000000000001</v>
      </c>
      <c r="E132" s="18">
        <v>38.610999999999997</v>
      </c>
      <c r="F132" s="18">
        <v>37.180999999999997</v>
      </c>
      <c r="G132" s="18">
        <v>55.17</v>
      </c>
      <c r="H132" s="18">
        <f t="shared" si="4"/>
        <v>34.765499999999996</v>
      </c>
      <c r="I132" s="5"/>
      <c r="J132" s="17">
        <v>408.7792</v>
      </c>
      <c r="K132" s="18">
        <v>33.506799999999998</v>
      </c>
      <c r="L132" s="18">
        <v>38.955599999999997</v>
      </c>
      <c r="M132" s="18">
        <v>37.2087</v>
      </c>
      <c r="N132" s="18">
        <v>142.45009999999999</v>
      </c>
      <c r="O132" s="18">
        <f t="shared" si="5"/>
        <v>34.650637500000002</v>
      </c>
      <c r="P132" s="7"/>
      <c r="Q132" s="10"/>
      <c r="R132" s="11"/>
      <c r="S132" s="11"/>
      <c r="T132" s="26"/>
      <c r="U132" s="28">
        <f t="shared" si="6"/>
        <v>1.5820210259198837</v>
      </c>
    </row>
    <row r="133" spans="1:21" x14ac:dyDescent="0.25">
      <c r="B133" s="9"/>
      <c r="C133" s="17">
        <v>264.70999999999998</v>
      </c>
      <c r="D133" s="18">
        <v>31.739000000000001</v>
      </c>
      <c r="E133" s="18">
        <v>37.271999999999998</v>
      </c>
      <c r="F133" s="18">
        <v>35.590000000000003</v>
      </c>
      <c r="G133" s="18">
        <v>65.14</v>
      </c>
      <c r="H133" s="18">
        <f t="shared" si="4"/>
        <v>32.911999999999999</v>
      </c>
      <c r="I133" s="5"/>
      <c r="J133" s="17">
        <v>255.6576</v>
      </c>
      <c r="K133" s="18">
        <v>31.4864</v>
      </c>
      <c r="L133" s="18">
        <v>37.728400000000001</v>
      </c>
      <c r="M133" s="18">
        <v>35.660200000000003</v>
      </c>
      <c r="N133" s="18">
        <v>177.0538</v>
      </c>
      <c r="O133" s="18">
        <f t="shared" si="5"/>
        <v>32.788375000000002</v>
      </c>
      <c r="P133" s="7"/>
      <c r="Q133" s="10"/>
      <c r="R133" s="11"/>
      <c r="S133" s="11"/>
      <c r="T133" s="26"/>
      <c r="U133" s="28">
        <f t="shared" si="6"/>
        <v>1.7180503530856615</v>
      </c>
    </row>
    <row r="134" spans="1:21" ht="16.5" thickBot="1" x14ac:dyDescent="0.3">
      <c r="B134" s="12"/>
      <c r="C134" s="19">
        <v>126.64</v>
      </c>
      <c r="D134" s="20">
        <v>28.893999999999998</v>
      </c>
      <c r="E134" s="20">
        <v>35.253</v>
      </c>
      <c r="F134" s="20">
        <v>33.171999999999997</v>
      </c>
      <c r="G134" s="20">
        <v>84.79</v>
      </c>
      <c r="H134" s="20">
        <f t="shared" si="4"/>
        <v>30.223624999999995</v>
      </c>
      <c r="I134" s="5"/>
      <c r="J134" s="19">
        <v>122.08880000000001</v>
      </c>
      <c r="K134" s="20">
        <v>28.584700000000002</v>
      </c>
      <c r="L134" s="20">
        <v>35.892200000000003</v>
      </c>
      <c r="M134" s="20">
        <v>33.478499999999997</v>
      </c>
      <c r="N134" s="20">
        <v>254.4529</v>
      </c>
      <c r="O134" s="20">
        <f t="shared" si="5"/>
        <v>30.109862500000002</v>
      </c>
      <c r="P134" s="7"/>
      <c r="Q134" s="13"/>
      <c r="R134" s="14"/>
      <c r="S134" s="14"/>
      <c r="T134" s="27"/>
      <c r="U134" s="28">
        <f t="shared" si="6"/>
        <v>2.0009777096355696</v>
      </c>
    </row>
    <row r="135" spans="1:21" x14ac:dyDescent="0.25">
      <c r="B135" s="6" t="s">
        <v>58</v>
      </c>
      <c r="C135" s="15">
        <v>550.35</v>
      </c>
      <c r="D135" s="16">
        <v>33.33</v>
      </c>
      <c r="E135" s="16">
        <v>40.087000000000003</v>
      </c>
      <c r="F135" s="16">
        <v>40.911000000000001</v>
      </c>
      <c r="G135" s="16">
        <v>89.86</v>
      </c>
      <c r="H135" s="16">
        <f t="shared" si="4"/>
        <v>35.122250000000001</v>
      </c>
      <c r="I135" s="5"/>
      <c r="J135" s="15">
        <v>586.73519999999996</v>
      </c>
      <c r="K135" s="16">
        <v>34.302300000000002</v>
      </c>
      <c r="L135" s="16">
        <v>41.422699999999999</v>
      </c>
      <c r="M135" s="16">
        <v>42.299300000000002</v>
      </c>
      <c r="N135" s="16">
        <v>210.2313</v>
      </c>
      <c r="O135" s="16">
        <f t="shared" si="5"/>
        <v>36.191974999999999</v>
      </c>
      <c r="P135" s="7"/>
      <c r="Q135" s="8">
        <f>bdrate(C135:C138,D135:D138,J135:J138,K135:K138)</f>
        <v>-0.1949493072922166</v>
      </c>
      <c r="R135" s="8">
        <f>bdrate(C135:C138,E135:E138,J135:J138,L135:L138)</f>
        <v>-0.28719684088751096</v>
      </c>
      <c r="S135" s="8">
        <f>bdrate(C135:C138,F135:F138,J135:J138,M135:M138)</f>
        <v>-0.27560824938211514</v>
      </c>
      <c r="T135" s="25">
        <f>bdrate(C135:C138,H135:H138,J135:J138,O135:O138)</f>
        <v>-0.20976310527605535</v>
      </c>
      <c r="U135" s="28">
        <f t="shared" si="6"/>
        <v>1.3395426218562207</v>
      </c>
    </row>
    <row r="136" spans="1:21" x14ac:dyDescent="0.25">
      <c r="B136" s="9"/>
      <c r="C136" s="17">
        <v>362.39</v>
      </c>
      <c r="D136" s="18">
        <v>31.954999999999998</v>
      </c>
      <c r="E136" s="18">
        <v>39.384</v>
      </c>
      <c r="F136" s="18">
        <v>40.237000000000002</v>
      </c>
      <c r="G136" s="18">
        <v>102.02</v>
      </c>
      <c r="H136" s="18">
        <f t="shared" si="4"/>
        <v>33.918875</v>
      </c>
      <c r="I136" s="5"/>
      <c r="J136" s="17">
        <v>387.14640000000003</v>
      </c>
      <c r="K136" s="18">
        <v>32.942599999999999</v>
      </c>
      <c r="L136" s="18">
        <v>40.418799999999997</v>
      </c>
      <c r="M136" s="18">
        <v>41.209600000000002</v>
      </c>
      <c r="N136" s="18">
        <v>234.4666</v>
      </c>
      <c r="O136" s="18">
        <f t="shared" si="5"/>
        <v>34.910499999999999</v>
      </c>
      <c r="P136" s="7"/>
      <c r="Q136" s="10"/>
      <c r="R136" s="11"/>
      <c r="S136" s="11"/>
      <c r="T136" s="26"/>
      <c r="U136" s="28">
        <f t="shared" si="6"/>
        <v>1.2982415212703391</v>
      </c>
    </row>
    <row r="137" spans="1:21" x14ac:dyDescent="0.25">
      <c r="B137" s="9"/>
      <c r="C137" s="17">
        <v>224.72</v>
      </c>
      <c r="D137" s="18">
        <v>30.367999999999999</v>
      </c>
      <c r="E137" s="18">
        <v>38.712000000000003</v>
      </c>
      <c r="F137" s="18">
        <v>39.442</v>
      </c>
      <c r="G137" s="18">
        <v>116.91</v>
      </c>
      <c r="H137" s="18">
        <f t="shared" si="4"/>
        <v>32.545250000000003</v>
      </c>
      <c r="I137" s="5"/>
      <c r="J137" s="17">
        <v>233.8664</v>
      </c>
      <c r="K137" s="18">
        <v>31.2438</v>
      </c>
      <c r="L137" s="18">
        <v>39.314500000000002</v>
      </c>
      <c r="M137" s="18">
        <v>40.107700000000001</v>
      </c>
      <c r="N137" s="18">
        <v>331.49169999999998</v>
      </c>
      <c r="O137" s="18">
        <f t="shared" si="5"/>
        <v>33.360625000000006</v>
      </c>
      <c r="P137" s="7"/>
      <c r="Q137" s="10"/>
      <c r="R137" s="11"/>
      <c r="S137" s="11"/>
      <c r="T137" s="26"/>
      <c r="U137" s="28">
        <f t="shared" si="6"/>
        <v>1.835443503549739</v>
      </c>
    </row>
    <row r="138" spans="1:21" ht="16.5" thickBot="1" x14ac:dyDescent="0.3">
      <c r="B138" s="12"/>
      <c r="C138" s="19">
        <v>102.88</v>
      </c>
      <c r="D138" s="20">
        <v>27.536000000000001</v>
      </c>
      <c r="E138" s="20">
        <v>37.604999999999997</v>
      </c>
      <c r="F138" s="20">
        <v>38.229999999999997</v>
      </c>
      <c r="G138" s="20">
        <v>147.93</v>
      </c>
      <c r="H138" s="20">
        <f t="shared" si="4"/>
        <v>30.131374999999998</v>
      </c>
      <c r="I138" s="5"/>
      <c r="J138" s="19">
        <v>111.6168</v>
      </c>
      <c r="K138" s="20">
        <v>28.5747</v>
      </c>
      <c r="L138" s="20">
        <v>37.9818</v>
      </c>
      <c r="M138" s="20">
        <v>38.6218</v>
      </c>
      <c r="N138" s="20">
        <v>493.01560000000001</v>
      </c>
      <c r="O138" s="20">
        <f t="shared" si="5"/>
        <v>31.006474999999998</v>
      </c>
      <c r="P138" s="7"/>
      <c r="Q138" s="13"/>
      <c r="R138" s="14"/>
      <c r="S138" s="14"/>
      <c r="T138" s="27"/>
      <c r="U138" s="28">
        <f t="shared" si="6"/>
        <v>2.3327627932130062</v>
      </c>
    </row>
    <row r="139" spans="1:21" x14ac:dyDescent="0.25">
      <c r="B139" s="6" t="s">
        <v>59</v>
      </c>
      <c r="C139" s="29">
        <v>626.26</v>
      </c>
      <c r="D139" s="30">
        <v>33.548000000000002</v>
      </c>
      <c r="E139" s="30">
        <v>37.610999999999997</v>
      </c>
      <c r="F139" s="30">
        <v>38.189</v>
      </c>
      <c r="G139" s="16">
        <v>67.61</v>
      </c>
      <c r="H139" s="16">
        <f t="shared" si="4"/>
        <v>34.636000000000003</v>
      </c>
      <c r="I139" s="5"/>
      <c r="J139" s="29">
        <v>609.96079999999995</v>
      </c>
      <c r="K139" s="30">
        <v>33.808</v>
      </c>
      <c r="L139" s="30">
        <v>38.290500000000002</v>
      </c>
      <c r="M139" s="30">
        <v>39.051499999999997</v>
      </c>
      <c r="N139" s="16">
        <v>174.15530000000001</v>
      </c>
      <c r="O139" s="16">
        <f t="shared" si="5"/>
        <v>35.02375</v>
      </c>
      <c r="P139" s="7"/>
      <c r="Q139" s="8">
        <f>bdrate(C139:C142,D139:D142,J139:J142,K139:K142)</f>
        <v>-0.11337651283753025</v>
      </c>
      <c r="R139" s="8">
        <f>bdrate(C139:C142,E139:E142,J139:J142,L139:L142)</f>
        <v>-0.18129582443734416</v>
      </c>
      <c r="S139" s="8">
        <f>bdrate(C139:C142,F139:F142,J139:J142,M139:M142)</f>
        <v>-0.25333670193247448</v>
      </c>
      <c r="T139" s="25">
        <f>bdrate(C139:C142,H139:H142,J139:J142,O139:O142)</f>
        <v>-0.13426656493234979</v>
      </c>
      <c r="U139" s="28">
        <f t="shared" si="6"/>
        <v>1.5758807868658484</v>
      </c>
    </row>
    <row r="140" spans="1:21" x14ac:dyDescent="0.25">
      <c r="B140" s="9"/>
      <c r="C140" s="31">
        <v>416.94</v>
      </c>
      <c r="D140" s="32">
        <v>31.908000000000001</v>
      </c>
      <c r="E140" s="32">
        <v>36.552999999999997</v>
      </c>
      <c r="F140" s="32">
        <v>37.058</v>
      </c>
      <c r="G140" s="18">
        <v>78.17</v>
      </c>
      <c r="H140" s="18">
        <f t="shared" si="4"/>
        <v>33.132375000000003</v>
      </c>
      <c r="I140" s="5"/>
      <c r="J140" s="31">
        <v>403.82080000000002</v>
      </c>
      <c r="K140" s="32">
        <v>32.197299999999998</v>
      </c>
      <c r="L140" s="32">
        <v>36.990900000000003</v>
      </c>
      <c r="M140" s="32">
        <v>37.761400000000002</v>
      </c>
      <c r="N140" s="18">
        <v>209.46799999999999</v>
      </c>
      <c r="O140" s="18">
        <f t="shared" si="5"/>
        <v>33.492012500000001</v>
      </c>
      <c r="P140" s="7"/>
      <c r="Q140" s="10"/>
      <c r="R140" s="11"/>
      <c r="S140" s="11"/>
      <c r="T140" s="26"/>
      <c r="U140" s="28">
        <f t="shared" si="6"/>
        <v>1.6796469233721376</v>
      </c>
    </row>
    <row r="141" spans="1:21" x14ac:dyDescent="0.25">
      <c r="B141" s="9"/>
      <c r="C141" s="31">
        <v>260.33999999999997</v>
      </c>
      <c r="D141" s="32">
        <v>30.129000000000001</v>
      </c>
      <c r="E141" s="32">
        <v>35.442</v>
      </c>
      <c r="F141" s="32">
        <v>35.927999999999997</v>
      </c>
      <c r="G141" s="18">
        <v>91.31</v>
      </c>
      <c r="H141" s="18">
        <f t="shared" si="4"/>
        <v>31.518000000000001</v>
      </c>
      <c r="I141" s="5"/>
      <c r="J141" s="31">
        <v>252.14320000000001</v>
      </c>
      <c r="K141" s="32">
        <v>30.477399999999999</v>
      </c>
      <c r="L141" s="32">
        <v>35.841099999999997</v>
      </c>
      <c r="M141" s="32">
        <v>36.5443</v>
      </c>
      <c r="N141" s="18">
        <v>254.3235</v>
      </c>
      <c r="O141" s="18">
        <f t="shared" si="5"/>
        <v>31.906224999999996</v>
      </c>
      <c r="P141" s="7"/>
      <c r="Q141" s="10"/>
      <c r="R141" s="11"/>
      <c r="S141" s="11"/>
      <c r="T141" s="26"/>
      <c r="U141" s="28">
        <f t="shared" si="6"/>
        <v>1.7852754353301938</v>
      </c>
    </row>
    <row r="142" spans="1:21" ht="16.5" thickBot="1" x14ac:dyDescent="0.3">
      <c r="B142" s="12"/>
      <c r="C142" s="33">
        <v>122.14</v>
      </c>
      <c r="D142" s="34">
        <v>27.518999999999998</v>
      </c>
      <c r="E142" s="34">
        <v>33.679000000000002</v>
      </c>
      <c r="F142" s="34">
        <v>34.113999999999997</v>
      </c>
      <c r="G142" s="20">
        <v>117.43</v>
      </c>
      <c r="H142" s="20">
        <f t="shared" si="4"/>
        <v>29.113374999999998</v>
      </c>
      <c r="I142" s="5"/>
      <c r="J142" s="33">
        <v>117.9896</v>
      </c>
      <c r="K142" s="34">
        <v>27.855499999999999</v>
      </c>
      <c r="L142" s="34">
        <v>34.024500000000003</v>
      </c>
      <c r="M142" s="34">
        <v>34.756599999999999</v>
      </c>
      <c r="N142" s="20">
        <v>360.23050000000001</v>
      </c>
      <c r="O142" s="20">
        <f t="shared" si="5"/>
        <v>29.489262499999995</v>
      </c>
      <c r="P142" s="7"/>
      <c r="Q142" s="13"/>
      <c r="R142" s="14"/>
      <c r="S142" s="14"/>
      <c r="T142" s="27"/>
      <c r="U142" s="28">
        <f t="shared" si="6"/>
        <v>2.0676190070680405</v>
      </c>
    </row>
    <row r="143" spans="1:21" x14ac:dyDescent="0.25">
      <c r="B143" s="6" t="s">
        <v>60</v>
      </c>
      <c r="C143" s="15">
        <v>573.99</v>
      </c>
      <c r="D143" s="16">
        <v>35.048000000000002</v>
      </c>
      <c r="E143" s="16">
        <v>38.076999999999998</v>
      </c>
      <c r="F143" s="16">
        <v>39.305999999999997</v>
      </c>
      <c r="G143" s="16">
        <v>40.15</v>
      </c>
      <c r="H143" s="16">
        <f t="shared" si="4"/>
        <v>35.958874999999999</v>
      </c>
      <c r="I143" s="5"/>
      <c r="J143" s="15">
        <v>621.63520000000005</v>
      </c>
      <c r="K143" s="16">
        <v>35.113300000000002</v>
      </c>
      <c r="L143" s="16">
        <v>38.425699999999999</v>
      </c>
      <c r="M143" s="16">
        <v>39.499899999999997</v>
      </c>
      <c r="N143" s="16">
        <v>90.716700000000003</v>
      </c>
      <c r="O143" s="16">
        <f t="shared" si="5"/>
        <v>36.075675000000004</v>
      </c>
      <c r="P143" s="7"/>
      <c r="Q143" s="8">
        <f>bdrate(C143:C146,D143:D146,J143:J146,K143:K146)</f>
        <v>7.0916624977581444E-2</v>
      </c>
      <c r="R143" s="8">
        <f>bdrate(C143:C146,E143:E146,J143:J146,L143:L146)</f>
        <v>-4.7347606211520565E-2</v>
      </c>
      <c r="S143" s="8">
        <f>bdrate(C143:C146,F143:F146,J143:J146,M143:M146)</f>
        <v>-1.6760522703538561E-2</v>
      </c>
      <c r="T143" s="25">
        <f>bdrate(C143:C146,H143:H146,J143:J146,O143:O146)</f>
        <v>4.9666017078180857E-2</v>
      </c>
      <c r="U143" s="28">
        <f t="shared" si="6"/>
        <v>1.259444582814446</v>
      </c>
    </row>
    <row r="144" spans="1:21" x14ac:dyDescent="0.25">
      <c r="B144" s="9"/>
      <c r="C144" s="17">
        <v>385.33</v>
      </c>
      <c r="D144" s="18">
        <v>33.158999999999999</v>
      </c>
      <c r="E144" s="18">
        <v>36.816000000000003</v>
      </c>
      <c r="F144" s="18">
        <v>37.999000000000002</v>
      </c>
      <c r="G144" s="18">
        <v>46.12</v>
      </c>
      <c r="H144" s="18">
        <f t="shared" si="4"/>
        <v>34.221125000000001</v>
      </c>
      <c r="I144" s="5"/>
      <c r="J144" s="17">
        <v>412.28879999999998</v>
      </c>
      <c r="K144" s="18">
        <v>33.176099999999998</v>
      </c>
      <c r="L144" s="18">
        <v>37.099400000000003</v>
      </c>
      <c r="M144" s="18">
        <v>38.191600000000001</v>
      </c>
      <c r="N144" s="18">
        <v>108.6563</v>
      </c>
      <c r="O144" s="18">
        <f t="shared" si="5"/>
        <v>34.29345</v>
      </c>
      <c r="P144" s="7"/>
      <c r="Q144" s="10"/>
      <c r="R144" s="11"/>
      <c r="S144" s="11"/>
      <c r="T144" s="26"/>
      <c r="U144" s="28">
        <f t="shared" si="6"/>
        <v>1.3559475281873374</v>
      </c>
    </row>
    <row r="145" spans="1:21" x14ac:dyDescent="0.25">
      <c r="B145" s="9"/>
      <c r="C145" s="17">
        <v>242.21</v>
      </c>
      <c r="D145" s="18">
        <v>31.212</v>
      </c>
      <c r="E145" s="18">
        <v>35.427999999999997</v>
      </c>
      <c r="F145" s="18">
        <v>36.564</v>
      </c>
      <c r="G145" s="18">
        <v>54.32</v>
      </c>
      <c r="H145" s="18">
        <f t="shared" si="4"/>
        <v>32.408000000000001</v>
      </c>
      <c r="I145" s="5"/>
      <c r="J145" s="17">
        <v>256.52</v>
      </c>
      <c r="K145" s="18">
        <v>31.151599999999998</v>
      </c>
      <c r="L145" s="18">
        <v>35.699599999999997</v>
      </c>
      <c r="M145" s="18">
        <v>36.754300000000001</v>
      </c>
      <c r="N145" s="18">
        <v>136.4256</v>
      </c>
      <c r="O145" s="18">
        <f t="shared" si="5"/>
        <v>32.420437499999998</v>
      </c>
      <c r="P145" s="7"/>
      <c r="Q145" s="10"/>
      <c r="R145" s="11"/>
      <c r="S145" s="11"/>
      <c r="T145" s="26"/>
      <c r="U145" s="28">
        <f t="shared" si="6"/>
        <v>1.5115169366715759</v>
      </c>
    </row>
    <row r="146" spans="1:21" ht="16.5" thickBot="1" x14ac:dyDescent="0.3">
      <c r="B146" s="12"/>
      <c r="C146" s="19">
        <v>115.97</v>
      </c>
      <c r="D146" s="20">
        <v>28.518999999999998</v>
      </c>
      <c r="E146" s="20">
        <v>33.374000000000002</v>
      </c>
      <c r="F146" s="20">
        <v>34.433</v>
      </c>
      <c r="G146" s="20">
        <v>71.48</v>
      </c>
      <c r="H146" s="20">
        <f t="shared" si="4"/>
        <v>29.865124999999995</v>
      </c>
      <c r="I146" s="5"/>
      <c r="J146" s="19">
        <v>122.56480000000001</v>
      </c>
      <c r="K146" s="20">
        <v>28.478300000000001</v>
      </c>
      <c r="L146" s="20">
        <v>33.902099999999997</v>
      </c>
      <c r="M146" s="20">
        <v>34.9086</v>
      </c>
      <c r="N146" s="20">
        <v>196.20670000000001</v>
      </c>
      <c r="O146" s="20">
        <f t="shared" si="5"/>
        <v>29.960062499999999</v>
      </c>
      <c r="P146" s="7"/>
      <c r="Q146" s="13"/>
      <c r="R146" s="14"/>
      <c r="S146" s="14"/>
      <c r="T146" s="27"/>
      <c r="U146" s="28">
        <f t="shared" si="6"/>
        <v>1.7449174594292109</v>
      </c>
    </row>
    <row r="147" spans="1:21" x14ac:dyDescent="0.25">
      <c r="A147" s="6" t="s">
        <v>43</v>
      </c>
      <c r="B147" s="6" t="s">
        <v>61</v>
      </c>
      <c r="C147" s="15">
        <v>1379.82</v>
      </c>
      <c r="D147" s="16">
        <v>41.271000000000001</v>
      </c>
      <c r="E147" s="16">
        <v>45.256</v>
      </c>
      <c r="F147" s="16">
        <v>46.575000000000003</v>
      </c>
      <c r="G147" s="16">
        <v>27.05</v>
      </c>
      <c r="H147" s="16">
        <f t="shared" si="4"/>
        <v>42.432124999999999</v>
      </c>
      <c r="I147" s="5"/>
      <c r="J147" s="15">
        <v>1427.7896000000001</v>
      </c>
      <c r="K147" s="16">
        <v>41.732399999999998</v>
      </c>
      <c r="L147" s="16">
        <v>45.863999999999997</v>
      </c>
      <c r="M147" s="16">
        <v>47.042200000000001</v>
      </c>
      <c r="N147" s="16">
        <v>62.952500000000001</v>
      </c>
      <c r="O147" s="16">
        <f t="shared" si="5"/>
        <v>42.912574999999997</v>
      </c>
      <c r="P147" s="7"/>
      <c r="Q147" s="8">
        <f>bdrate(C147:C150,D147:D150,J147:J150,K147:K150)</f>
        <v>-5.2461942019775276E-2</v>
      </c>
      <c r="R147" s="8">
        <f>bdrate(C147:C150,E147:E150,J147:J150,L147:L150)</f>
        <v>-0.14251954147427193</v>
      </c>
      <c r="S147" s="8">
        <f>bdrate(C147:C150,F147:F150,J147:J150,M147:M150)</f>
        <v>-7.9950884075157047E-2</v>
      </c>
      <c r="T147" s="25">
        <f>bdrate(C147:C150,H147:H150,J147:J150,O147:O150)</f>
        <v>-6.4594531070493955E-2</v>
      </c>
      <c r="U147" s="28">
        <f t="shared" si="6"/>
        <v>1.327264325323475</v>
      </c>
    </row>
    <row r="148" spans="1:21" x14ac:dyDescent="0.25">
      <c r="A148" s="9" t="s">
        <v>44</v>
      </c>
      <c r="B148" s="9"/>
      <c r="C148" s="17">
        <v>909.43</v>
      </c>
      <c r="D148" s="18">
        <v>40.116</v>
      </c>
      <c r="E148" s="18">
        <v>44.185000000000002</v>
      </c>
      <c r="F148" s="18">
        <v>45.569000000000003</v>
      </c>
      <c r="G148" s="18">
        <v>30.87</v>
      </c>
      <c r="H148" s="18">
        <f t="shared" si="4"/>
        <v>41.306249999999999</v>
      </c>
      <c r="I148" s="5"/>
      <c r="J148" s="17">
        <v>945.06320000000005</v>
      </c>
      <c r="K148" s="18">
        <v>40.676699999999997</v>
      </c>
      <c r="L148" s="18">
        <v>44.919199999999996</v>
      </c>
      <c r="M148" s="18">
        <v>46.110799999999998</v>
      </c>
      <c r="N148" s="18">
        <v>76.452600000000004</v>
      </c>
      <c r="O148" s="18">
        <f t="shared" si="5"/>
        <v>41.886274999999998</v>
      </c>
      <c r="P148" s="7"/>
      <c r="Q148" s="10"/>
      <c r="R148" s="11"/>
      <c r="S148" s="11"/>
      <c r="T148" s="26"/>
      <c r="U148" s="28">
        <f t="shared" si="6"/>
        <v>1.4765986394557822</v>
      </c>
    </row>
    <row r="149" spans="1:21" x14ac:dyDescent="0.25">
      <c r="B149" s="9"/>
      <c r="C149" s="17">
        <v>539.5</v>
      </c>
      <c r="D149" s="18">
        <v>38.353999999999999</v>
      </c>
      <c r="E149" s="18">
        <v>42.762999999999998</v>
      </c>
      <c r="F149" s="18">
        <v>44.046999999999997</v>
      </c>
      <c r="G149" s="18">
        <v>33.82</v>
      </c>
      <c r="H149" s="18">
        <f t="shared" si="4"/>
        <v>39.616749999999996</v>
      </c>
      <c r="I149" s="5"/>
      <c r="J149" s="17">
        <v>561.14880000000005</v>
      </c>
      <c r="K149" s="18">
        <v>38.765099999999997</v>
      </c>
      <c r="L149" s="18">
        <v>43.37</v>
      </c>
      <c r="M149" s="18">
        <v>44.458199999999998</v>
      </c>
      <c r="N149" s="18">
        <v>96.400999999999996</v>
      </c>
      <c r="O149" s="18">
        <f t="shared" si="5"/>
        <v>40.052349999999997</v>
      </c>
      <c r="P149" s="7"/>
      <c r="Q149" s="10"/>
      <c r="R149" s="11"/>
      <c r="S149" s="11"/>
      <c r="T149" s="26"/>
      <c r="U149" s="28">
        <f t="shared" si="6"/>
        <v>1.8504139562389117</v>
      </c>
    </row>
    <row r="150" spans="1:21" ht="16.5" thickBot="1" x14ac:dyDescent="0.3">
      <c r="B150" s="12"/>
      <c r="C150" s="19">
        <v>259.39</v>
      </c>
      <c r="D150" s="20">
        <v>35.814999999999998</v>
      </c>
      <c r="E150" s="20">
        <v>41.325000000000003</v>
      </c>
      <c r="F150" s="20">
        <v>42.357999999999997</v>
      </c>
      <c r="G150" s="20">
        <v>38.31</v>
      </c>
      <c r="H150" s="20">
        <f t="shared" si="4"/>
        <v>37.321624999999997</v>
      </c>
      <c r="I150" s="5"/>
      <c r="J150" s="19">
        <v>278.45119999999997</v>
      </c>
      <c r="K150" s="20">
        <v>35.553899999999999</v>
      </c>
      <c r="L150" s="20">
        <v>41.2393</v>
      </c>
      <c r="M150" s="20">
        <v>42.198999999999998</v>
      </c>
      <c r="N150" s="20">
        <v>131.26230000000001</v>
      </c>
      <c r="O150" s="20">
        <f t="shared" si="5"/>
        <v>37.095212500000002</v>
      </c>
      <c r="P150" s="7"/>
      <c r="Q150" s="13"/>
      <c r="R150" s="14"/>
      <c r="S150" s="14"/>
      <c r="T150" s="27"/>
      <c r="U150" s="28">
        <f t="shared" si="6"/>
        <v>2.426319498825372</v>
      </c>
    </row>
    <row r="151" spans="1:21" x14ac:dyDescent="0.25">
      <c r="B151" s="6" t="s">
        <v>62</v>
      </c>
      <c r="C151" s="15">
        <v>1425.18</v>
      </c>
      <c r="D151" s="16">
        <v>42.654000000000003</v>
      </c>
      <c r="E151" s="16">
        <v>47.47</v>
      </c>
      <c r="F151" s="16">
        <v>48.131</v>
      </c>
      <c r="G151" s="16">
        <v>28.09</v>
      </c>
      <c r="H151" s="16">
        <f t="shared" si="4"/>
        <v>43.940624999999997</v>
      </c>
      <c r="I151" s="5"/>
      <c r="J151" s="15">
        <v>1478.7904000000001</v>
      </c>
      <c r="K151" s="16">
        <v>42.856699999999996</v>
      </c>
      <c r="L151" s="16">
        <v>48.038400000000003</v>
      </c>
      <c r="M151" s="16">
        <v>48.707299999999996</v>
      </c>
      <c r="N151" s="16">
        <v>84.901700000000005</v>
      </c>
      <c r="O151" s="16">
        <f t="shared" si="5"/>
        <v>44.235737499999999</v>
      </c>
      <c r="P151" s="7"/>
      <c r="Q151" s="8">
        <f>bdrate(C151:C154,D151:D154,J151:J154,K151:K154)</f>
        <v>-8.6787102668557714E-2</v>
      </c>
      <c r="R151" s="8">
        <f>bdrate(C151:C154,E151:E154,J151:J154,L151:L154)</f>
        <v>-0.23091398227321902</v>
      </c>
      <c r="S151" s="8">
        <f>bdrate(C151:C154,F151:F154,J151:J154,M151:M154)</f>
        <v>-0.17362448346152404</v>
      </c>
      <c r="T151" s="25">
        <f>bdrate(C151:C154,H151:H154,J151:J154,O151:O154)</f>
        <v>-0.11920815659167217</v>
      </c>
      <c r="U151" s="28">
        <f t="shared" ref="U151:U158" si="7">(N151-G151)/G151</f>
        <v>2.02248843004628</v>
      </c>
    </row>
    <row r="152" spans="1:21" x14ac:dyDescent="0.25">
      <c r="B152" s="9"/>
      <c r="C152" s="17">
        <v>938.37</v>
      </c>
      <c r="D152" s="18">
        <v>42.155000000000001</v>
      </c>
      <c r="E152" s="18">
        <v>46.875</v>
      </c>
      <c r="F152" s="18">
        <v>47.545999999999999</v>
      </c>
      <c r="G152" s="18">
        <v>30.84</v>
      </c>
      <c r="H152" s="18">
        <f t="shared" si="4"/>
        <v>43.418875</v>
      </c>
      <c r="I152" s="5"/>
      <c r="J152" s="17">
        <v>967.19759999999997</v>
      </c>
      <c r="K152" s="18">
        <v>42.414400000000001</v>
      </c>
      <c r="L152" s="18">
        <v>47.526800000000001</v>
      </c>
      <c r="M152" s="18">
        <v>48.171599999999998</v>
      </c>
      <c r="N152" s="18">
        <v>104.76690000000001</v>
      </c>
      <c r="O152" s="18">
        <f t="shared" si="5"/>
        <v>43.773099999999999</v>
      </c>
      <c r="P152" s="7"/>
      <c r="Q152" s="10"/>
      <c r="R152" s="11"/>
      <c r="S152" s="11"/>
      <c r="T152" s="26"/>
      <c r="U152" s="28">
        <f t="shared" si="7"/>
        <v>2.3971108949416342</v>
      </c>
    </row>
    <row r="153" spans="1:21" x14ac:dyDescent="0.25">
      <c r="B153" s="9"/>
      <c r="C153" s="17">
        <v>552.74</v>
      </c>
      <c r="D153" s="18">
        <v>41.316000000000003</v>
      </c>
      <c r="E153" s="18">
        <v>45.939</v>
      </c>
      <c r="F153" s="18">
        <v>46.673000000000002</v>
      </c>
      <c r="G153" s="18">
        <v>34.01</v>
      </c>
      <c r="H153" s="18">
        <f t="shared" si="4"/>
        <v>42.563500000000005</v>
      </c>
      <c r="I153" s="5"/>
      <c r="J153" s="17">
        <v>572.47360000000003</v>
      </c>
      <c r="K153" s="18">
        <v>41.601599999999998</v>
      </c>
      <c r="L153" s="18">
        <v>46.622</v>
      </c>
      <c r="M153" s="18">
        <v>47.185200000000002</v>
      </c>
      <c r="N153" s="18">
        <v>134.01830000000001</v>
      </c>
      <c r="O153" s="18">
        <f t="shared" si="5"/>
        <v>42.927100000000003</v>
      </c>
      <c r="P153" s="7"/>
      <c r="Q153" s="10"/>
      <c r="R153" s="11"/>
      <c r="S153" s="11"/>
      <c r="T153" s="26"/>
      <c r="U153" s="28">
        <f t="shared" si="7"/>
        <v>2.9405557189062046</v>
      </c>
    </row>
    <row r="154" spans="1:21" ht="16.5" thickBot="1" x14ac:dyDescent="0.3">
      <c r="B154" s="12"/>
      <c r="C154" s="19">
        <v>264.42</v>
      </c>
      <c r="D154" s="20">
        <v>39.58</v>
      </c>
      <c r="E154" s="20">
        <v>44.360999999999997</v>
      </c>
      <c r="F154" s="20">
        <v>44.976999999999997</v>
      </c>
      <c r="G154" s="20">
        <v>37.75</v>
      </c>
      <c r="H154" s="20">
        <f t="shared" si="4"/>
        <v>40.852249999999998</v>
      </c>
      <c r="I154" s="5"/>
      <c r="J154" s="19">
        <v>284.35520000000002</v>
      </c>
      <c r="K154" s="20">
        <v>39.691200000000002</v>
      </c>
      <c r="L154" s="20">
        <v>44.634399999999999</v>
      </c>
      <c r="M154" s="20">
        <v>45.165799999999997</v>
      </c>
      <c r="N154" s="20">
        <v>178.83760000000001</v>
      </c>
      <c r="O154" s="20">
        <f t="shared" si="5"/>
        <v>40.993425000000002</v>
      </c>
      <c r="P154" s="7"/>
      <c r="Q154" s="13"/>
      <c r="R154" s="14"/>
      <c r="S154" s="14"/>
      <c r="T154" s="27"/>
      <c r="U154" s="28">
        <f t="shared" si="7"/>
        <v>3.737419867549669</v>
      </c>
    </row>
    <row r="155" spans="1:21" x14ac:dyDescent="0.25">
      <c r="B155" s="6" t="s">
        <v>63</v>
      </c>
      <c r="C155" s="15">
        <v>1484.5</v>
      </c>
      <c r="D155" s="16">
        <v>42.518999999999998</v>
      </c>
      <c r="E155" s="16">
        <v>46.658999999999999</v>
      </c>
      <c r="F155" s="16">
        <v>47.603999999999999</v>
      </c>
      <c r="G155" s="16">
        <v>24.42</v>
      </c>
      <c r="H155" s="16">
        <f t="shared" si="4"/>
        <v>43.672124999999994</v>
      </c>
      <c r="I155" s="5"/>
      <c r="J155" s="15">
        <v>1511.3928000000001</v>
      </c>
      <c r="K155" s="16">
        <v>42.747799999999998</v>
      </c>
      <c r="L155" s="16">
        <v>47.099899999999998</v>
      </c>
      <c r="M155" s="16">
        <v>47.958599999999997</v>
      </c>
      <c r="N155" s="16">
        <v>76.736199999999997</v>
      </c>
      <c r="O155" s="16">
        <f t="shared" si="5"/>
        <v>43.9431625</v>
      </c>
      <c r="P155" s="7"/>
      <c r="Q155" s="8">
        <f>bdrate(C155:C158,D155:D158,J155:J158,K155:K158)</f>
        <v>-5.7071074481749084E-2</v>
      </c>
      <c r="R155" s="8">
        <f>bdrate(C155:C158,E155:E158,J155:J158,L155:L158)</f>
        <v>-0.15998776689685079</v>
      </c>
      <c r="S155" s="8">
        <f>bdrate(C155:C158,F155:F158,J155:J158,M155:M158)</f>
        <v>-8.9546970326374709E-2</v>
      </c>
      <c r="T155" s="25">
        <f>bdrate(C155:C158,H155:H158,J155:J158,O155:O158)</f>
        <v>-7.2368060711487492E-2</v>
      </c>
      <c r="U155" s="28">
        <f t="shared" si="7"/>
        <v>2.1423505323505321</v>
      </c>
    </row>
    <row r="156" spans="1:21" x14ac:dyDescent="0.25">
      <c r="B156" s="9"/>
      <c r="C156" s="17">
        <v>985.88</v>
      </c>
      <c r="D156" s="18">
        <v>41.76</v>
      </c>
      <c r="E156" s="18">
        <v>45.831000000000003</v>
      </c>
      <c r="F156" s="18">
        <v>46.79</v>
      </c>
      <c r="G156" s="18">
        <v>27.51</v>
      </c>
      <c r="H156" s="18">
        <f t="shared" si="4"/>
        <v>42.897625000000005</v>
      </c>
      <c r="I156" s="5"/>
      <c r="J156" s="17">
        <v>985.86239999999998</v>
      </c>
      <c r="K156" s="18">
        <v>41.9985</v>
      </c>
      <c r="L156" s="18">
        <v>46.358400000000003</v>
      </c>
      <c r="M156" s="18">
        <v>47.18</v>
      </c>
      <c r="N156" s="18">
        <v>96.370099999999994</v>
      </c>
      <c r="O156" s="18">
        <f t="shared" si="5"/>
        <v>43.191175000000001</v>
      </c>
      <c r="P156" s="7"/>
      <c r="Q156" s="10"/>
      <c r="R156" s="11"/>
      <c r="S156" s="11"/>
      <c r="T156" s="26"/>
      <c r="U156" s="28">
        <f t="shared" si="7"/>
        <v>2.503093420574336</v>
      </c>
    </row>
    <row r="157" spans="1:21" x14ac:dyDescent="0.25">
      <c r="B157" s="9"/>
      <c r="C157" s="17">
        <v>587.30999999999995</v>
      </c>
      <c r="D157" s="18">
        <v>40.445999999999998</v>
      </c>
      <c r="E157" s="18">
        <v>44.572000000000003</v>
      </c>
      <c r="F157" s="18">
        <v>45.572000000000003</v>
      </c>
      <c r="G157" s="18">
        <v>30.57</v>
      </c>
      <c r="H157" s="18">
        <f t="shared" si="4"/>
        <v>41.602499999999999</v>
      </c>
      <c r="I157" s="5"/>
      <c r="J157" s="17">
        <v>585.68560000000002</v>
      </c>
      <c r="K157" s="18">
        <v>40.635199999999998</v>
      </c>
      <c r="L157" s="18">
        <v>45.018599999999999</v>
      </c>
      <c r="M157" s="18">
        <v>45.758400000000002</v>
      </c>
      <c r="N157" s="18">
        <v>119.40300000000001</v>
      </c>
      <c r="O157" s="18">
        <f t="shared" si="5"/>
        <v>41.823524999999997</v>
      </c>
      <c r="P157" s="7"/>
      <c r="Q157" s="10"/>
      <c r="R157" s="11"/>
      <c r="S157" s="11"/>
      <c r="T157" s="26"/>
      <c r="U157" s="28">
        <f t="shared" si="7"/>
        <v>2.9058881256133464</v>
      </c>
    </row>
    <row r="158" spans="1:21" ht="16.5" thickBot="1" x14ac:dyDescent="0.3">
      <c r="B158" s="12"/>
      <c r="C158" s="19">
        <v>285.24</v>
      </c>
      <c r="D158" s="20">
        <v>38.247</v>
      </c>
      <c r="E158" s="20">
        <v>42.734999999999999</v>
      </c>
      <c r="F158" s="20">
        <v>43.771999999999998</v>
      </c>
      <c r="G158" s="20">
        <v>34.56</v>
      </c>
      <c r="H158" s="20">
        <f t="shared" si="4"/>
        <v>39.498624999999997</v>
      </c>
      <c r="I158" s="5"/>
      <c r="J158" s="19">
        <v>288.96319999999997</v>
      </c>
      <c r="K158" s="20">
        <v>38.1691</v>
      </c>
      <c r="L158" s="20">
        <v>42.972999999999999</v>
      </c>
      <c r="M158" s="20">
        <v>43.847499999999997</v>
      </c>
      <c r="N158" s="20">
        <v>158.2696</v>
      </c>
      <c r="O158" s="20">
        <f t="shared" si="5"/>
        <v>39.479387500000001</v>
      </c>
      <c r="P158" s="7"/>
      <c r="Q158" s="13"/>
      <c r="R158" s="14"/>
      <c r="S158" s="14"/>
      <c r="T158" s="27"/>
      <c r="U158" s="28">
        <f t="shared" si="7"/>
        <v>3.5795601851851848</v>
      </c>
    </row>
    <row r="159" spans="1:21" ht="16.5" thickBot="1" x14ac:dyDescent="0.3">
      <c r="B159" s="22" t="s">
        <v>22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1">
        <f>AVERAGE(Q87:Q158)</f>
        <v>-5.108656471485349E-2</v>
      </c>
      <c r="R159" s="21">
        <f>AVERAGE(R87:R158)</f>
        <v>-0.24681841232859719</v>
      </c>
      <c r="S159" s="21">
        <f>AVERAGE(S87:S158)</f>
        <v>-0.20287038389656273</v>
      </c>
      <c r="T159" s="21">
        <f>AVERAGE(T87:T158)</f>
        <v>-8.4564383506285853E-2</v>
      </c>
      <c r="U159" s="21">
        <f>AVERAGE(U87:U158)</f>
        <v>1.9778304885878093</v>
      </c>
    </row>
  </sheetData>
  <mergeCells count="12">
    <mergeCell ref="B83:B84"/>
    <mergeCell ref="C83:U84"/>
    <mergeCell ref="C85:H85"/>
    <mergeCell ref="J85:O85"/>
    <mergeCell ref="Q85:S85"/>
    <mergeCell ref="U85:U86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65" priority="321" operator="greaterThan">
      <formula>0.03</formula>
    </cfRule>
    <cfRule type="cellIs" dxfId="64" priority="322" stopIfTrue="1" operator="lessThan">
      <formula>-0.03</formula>
    </cfRule>
  </conditionalFormatting>
  <conditionalFormatting sqref="Q33:T36">
    <cfRule type="cellIs" dxfId="63" priority="319" operator="greaterThan">
      <formula>0.03</formula>
    </cfRule>
    <cfRule type="cellIs" dxfId="62" priority="320" stopIfTrue="1" operator="lessThan">
      <formula>-0.03</formula>
    </cfRule>
  </conditionalFormatting>
  <conditionalFormatting sqref="Q46:T48 Q62:T64">
    <cfRule type="cellIs" dxfId="61" priority="317" operator="greaterThan">
      <formula>0.03</formula>
    </cfRule>
    <cfRule type="cellIs" dxfId="60" priority="318" stopIfTrue="1" operator="lessThan">
      <formula>-0.03</formula>
    </cfRule>
  </conditionalFormatting>
  <conditionalFormatting sqref="Q50:T52 Q54:T56 Q58:T60">
    <cfRule type="cellIs" dxfId="59" priority="315" operator="greaterThan">
      <formula>0.03</formula>
    </cfRule>
    <cfRule type="cellIs" dxfId="58" priority="316" stopIfTrue="1" operator="lessThan">
      <formula>-0.03</formula>
    </cfRule>
  </conditionalFormatting>
  <conditionalFormatting sqref="Q70:T72 Q74:T76">
    <cfRule type="cellIs" dxfId="57" priority="313" operator="greaterThan">
      <formula>0.03</formula>
    </cfRule>
    <cfRule type="cellIs" dxfId="56" priority="314" stopIfTrue="1" operator="lessThan">
      <formula>-0.03</formula>
    </cfRule>
  </conditionalFormatting>
  <conditionalFormatting sqref="Q66:T68">
    <cfRule type="cellIs" dxfId="55" priority="311" operator="greaterThan">
      <formula>0.03</formula>
    </cfRule>
    <cfRule type="cellIs" dxfId="54" priority="312" stopIfTrue="1" operator="lessThan">
      <formula>-0.03</formula>
    </cfRule>
  </conditionalFormatting>
  <conditionalFormatting sqref="Q78:T80">
    <cfRule type="cellIs" dxfId="53" priority="309" operator="greaterThan">
      <formula>0.03</formula>
    </cfRule>
    <cfRule type="cellIs" dxfId="52" priority="310" stopIfTrue="1" operator="lessThan">
      <formula>-0.03</formula>
    </cfRule>
  </conditionalFormatting>
  <conditionalFormatting sqref="Q21:T28">
    <cfRule type="cellIs" dxfId="51" priority="291" operator="greaterThan">
      <formula>0.03</formula>
    </cfRule>
    <cfRule type="cellIs" dxfId="50" priority="292" stopIfTrue="1" operator="lessThan">
      <formula>-0.03</formula>
    </cfRule>
  </conditionalFormatting>
  <conditionalFormatting sqref="Q107:T110 Q115:T122 Q87:T98">
    <cfRule type="cellIs" dxfId="49" priority="287" operator="greaterThan">
      <formula>0.03</formula>
    </cfRule>
    <cfRule type="cellIs" dxfId="48" priority="288" stopIfTrue="1" operator="lessThan">
      <formula>-0.03</formula>
    </cfRule>
  </conditionalFormatting>
  <conditionalFormatting sqref="Q111:T114">
    <cfRule type="cellIs" dxfId="47" priority="285" operator="greaterThan">
      <formula>0.03</formula>
    </cfRule>
    <cfRule type="cellIs" dxfId="46" priority="286" stopIfTrue="1" operator="lessThan">
      <formula>-0.03</formula>
    </cfRule>
  </conditionalFormatting>
  <conditionalFormatting sqref="Q123:T126 Q139:T142">
    <cfRule type="cellIs" dxfId="45" priority="283" operator="greaterThan">
      <formula>0.03</formula>
    </cfRule>
    <cfRule type="cellIs" dxfId="44" priority="284" stopIfTrue="1" operator="lessThan">
      <formula>-0.03</formula>
    </cfRule>
  </conditionalFormatting>
  <conditionalFormatting sqref="Q127:T138">
    <cfRule type="cellIs" dxfId="43" priority="281" operator="greaterThan">
      <formula>0.03</formula>
    </cfRule>
    <cfRule type="cellIs" dxfId="42" priority="282" stopIfTrue="1" operator="lessThan">
      <formula>-0.03</formula>
    </cfRule>
  </conditionalFormatting>
  <conditionalFormatting sqref="Q147:T154">
    <cfRule type="cellIs" dxfId="41" priority="279" operator="greaterThan">
      <formula>0.03</formula>
    </cfRule>
    <cfRule type="cellIs" dxfId="40" priority="280" stopIfTrue="1" operator="lessThan">
      <formula>-0.03</formula>
    </cfRule>
  </conditionalFormatting>
  <conditionalFormatting sqref="Q143:T146">
    <cfRule type="cellIs" dxfId="39" priority="277" operator="greaterThan">
      <formula>0.03</formula>
    </cfRule>
    <cfRule type="cellIs" dxfId="38" priority="278" stopIfTrue="1" operator="lessThan">
      <formula>-0.03</formula>
    </cfRule>
  </conditionalFormatting>
  <conditionalFormatting sqref="Q155:T158">
    <cfRule type="cellIs" dxfId="37" priority="275" operator="greaterThan">
      <formula>0.03</formula>
    </cfRule>
    <cfRule type="cellIs" dxfId="36" priority="276" stopIfTrue="1" operator="lessThan">
      <formula>-0.03</formula>
    </cfRule>
  </conditionalFormatting>
  <conditionalFormatting sqref="Q99:T106">
    <cfRule type="cellIs" dxfId="35" priority="273" operator="greaterThan">
      <formula>0.03</formula>
    </cfRule>
    <cfRule type="cellIs" dxfId="34" priority="274" stopIfTrue="1" operator="lessThan">
      <formula>-0.03</formula>
    </cfRule>
  </conditionalFormatting>
  <conditionalFormatting sqref="Q45:T45">
    <cfRule type="cellIs" dxfId="33" priority="271" operator="greaterThan">
      <formula>0.03</formula>
    </cfRule>
    <cfRule type="cellIs" dxfId="32" priority="272" stopIfTrue="1" operator="lessThan">
      <formula>-0.03</formula>
    </cfRule>
  </conditionalFormatting>
  <conditionalFormatting sqref="Q49:T49">
    <cfRule type="cellIs" dxfId="31" priority="269" operator="greaterThan">
      <formula>0.03</formula>
    </cfRule>
    <cfRule type="cellIs" dxfId="30" priority="270" stopIfTrue="1" operator="lessThan">
      <formula>-0.03</formula>
    </cfRule>
  </conditionalFormatting>
  <conditionalFormatting sqref="Q53:T53">
    <cfRule type="cellIs" dxfId="29" priority="267" operator="greaterThan">
      <formula>0.03</formula>
    </cfRule>
    <cfRule type="cellIs" dxfId="28" priority="268" stopIfTrue="1" operator="lessThan">
      <formula>-0.03</formula>
    </cfRule>
  </conditionalFormatting>
  <conditionalFormatting sqref="Q57:T57">
    <cfRule type="cellIs" dxfId="27" priority="265" operator="greaterThan">
      <formula>0.03</formula>
    </cfRule>
    <cfRule type="cellIs" dxfId="26" priority="266" stopIfTrue="1" operator="lessThan">
      <formula>-0.03</formula>
    </cfRule>
  </conditionalFormatting>
  <conditionalFormatting sqref="Q61:T61">
    <cfRule type="cellIs" dxfId="25" priority="263" operator="greaterThan">
      <formula>0.03</formula>
    </cfRule>
    <cfRule type="cellIs" dxfId="24" priority="264" stopIfTrue="1" operator="lessThan">
      <formula>-0.03</formula>
    </cfRule>
  </conditionalFormatting>
  <conditionalFormatting sqref="Q65:T65">
    <cfRule type="cellIs" dxfId="23" priority="261" operator="greaterThan">
      <formula>0.03</formula>
    </cfRule>
    <cfRule type="cellIs" dxfId="22" priority="262" stopIfTrue="1" operator="lessThan">
      <formula>-0.03</formula>
    </cfRule>
  </conditionalFormatting>
  <conditionalFormatting sqref="Q69:T69">
    <cfRule type="cellIs" dxfId="21" priority="259" operator="greaterThan">
      <formula>0.03</formula>
    </cfRule>
    <cfRule type="cellIs" dxfId="20" priority="260" stopIfTrue="1" operator="lessThan">
      <formula>-0.03</formula>
    </cfRule>
  </conditionalFormatting>
  <conditionalFormatting sqref="Q73:T73">
    <cfRule type="cellIs" dxfId="19" priority="257" operator="greaterThan">
      <formula>0.03</formula>
    </cfRule>
    <cfRule type="cellIs" dxfId="18" priority="258" stopIfTrue="1" operator="lessThan">
      <formula>-0.03</formula>
    </cfRule>
  </conditionalFormatting>
  <conditionalFormatting sqref="Q77:T77">
    <cfRule type="cellIs" dxfId="17" priority="255" operator="greaterThan">
      <formula>0.03</formula>
    </cfRule>
    <cfRule type="cellIs" dxfId="16" priority="256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1"/>
  <sheetViews>
    <sheetView topLeftCell="A71" workbookViewId="0">
      <selection activeCell="A81" sqref="A81:XFD300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125</v>
      </c>
    </row>
    <row r="2" spans="1:21" x14ac:dyDescent="0.25">
      <c r="A2" t="s">
        <v>124</v>
      </c>
    </row>
    <row r="3" spans="1:21" x14ac:dyDescent="0.25">
      <c r="A3" t="s">
        <v>119</v>
      </c>
    </row>
    <row r="4" spans="1:21" x14ac:dyDescent="0.25">
      <c r="A4" t="s">
        <v>123</v>
      </c>
    </row>
    <row r="5" spans="1:21" s="35" customFormat="1" ht="15.75" customHeight="1" x14ac:dyDescent="0.25">
      <c r="B5" s="56" t="s">
        <v>29</v>
      </c>
      <c r="C5" s="58" t="s">
        <v>104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60"/>
    </row>
    <row r="6" spans="1:21" s="35" customFormat="1" x14ac:dyDescent="0.25">
      <c r="B6" s="57"/>
      <c r="C6" s="61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3"/>
    </row>
    <row r="7" spans="1:21" ht="16.5" customHeight="1" thickBot="1" x14ac:dyDescent="0.3">
      <c r="C7" s="64" t="s">
        <v>103</v>
      </c>
      <c r="D7" s="65"/>
      <c r="E7" s="65"/>
      <c r="F7" s="65"/>
      <c r="G7" s="65"/>
      <c r="H7" s="65"/>
      <c r="I7" s="5"/>
      <c r="J7" s="64" t="s">
        <v>95</v>
      </c>
      <c r="K7" s="65"/>
      <c r="L7" s="65"/>
      <c r="M7" s="65"/>
      <c r="N7" s="65"/>
      <c r="O7" s="65"/>
      <c r="Q7" s="64" t="s">
        <v>7</v>
      </c>
      <c r="R7" s="65"/>
      <c r="S7" s="66"/>
      <c r="T7" s="36"/>
      <c r="U7" s="67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67"/>
    </row>
    <row r="9" spans="1:21" x14ac:dyDescent="0.25">
      <c r="A9" s="6" t="s">
        <v>35</v>
      </c>
      <c r="B9" s="6" t="s">
        <v>46</v>
      </c>
      <c r="C9" s="15">
        <v>3532.19</v>
      </c>
      <c r="D9" s="16">
        <v>37.991999999999997</v>
      </c>
      <c r="E9" s="16">
        <v>39.168999999999997</v>
      </c>
      <c r="F9" s="16">
        <v>41.526000000000003</v>
      </c>
      <c r="G9" s="16">
        <v>0.96</v>
      </c>
      <c r="H9" s="16">
        <f t="shared" ref="H9:H80" si="0">(6*D9+E9+F9)/8</f>
        <v>38.580874999999999</v>
      </c>
      <c r="I9" s="5"/>
      <c r="J9" s="15">
        <v>3937.8447999999999</v>
      </c>
      <c r="K9" s="16">
        <v>38.7423</v>
      </c>
      <c r="L9" s="16">
        <v>40.080800000000004</v>
      </c>
      <c r="M9" s="16">
        <v>42.762300000000003</v>
      </c>
      <c r="N9" s="16">
        <v>1.3133999999999999</v>
      </c>
      <c r="O9" s="16">
        <f t="shared" ref="O9:O80" si="1">(6*K9+L9+M9)/8</f>
        <v>39.412112499999999</v>
      </c>
      <c r="P9" s="7"/>
      <c r="Q9" s="8">
        <f>bdrate(C9:C12,D9:D12,J9:J12,K9:K12)</f>
        <v>-1.6752906373195153E-2</v>
      </c>
      <c r="R9" s="8">
        <f>bdrate(C9:C12,E9:E12,J9:J12,L9:L12)</f>
        <v>-0.27859784760895712</v>
      </c>
      <c r="S9" s="8">
        <f>bdrate(C9:C12,F9:F12,J9:J12,M9:M12)</f>
        <v>-0.27975744731938268</v>
      </c>
      <c r="T9" s="25">
        <f>bdrate(C9:C12,H9:H12,J9:J12,O9:O12)</f>
        <v>-6.1896597840259138E-2</v>
      </c>
      <c r="U9" s="28">
        <f t="shared" ref="U9:U72" si="2">(N9-G9)/G9</f>
        <v>0.36812499999999992</v>
      </c>
    </row>
    <row r="10" spans="1:21" x14ac:dyDescent="0.25">
      <c r="A10" s="9" t="s">
        <v>36</v>
      </c>
      <c r="B10" s="9"/>
      <c r="C10" s="17">
        <v>2642.21</v>
      </c>
      <c r="D10" s="18">
        <v>37.152000000000001</v>
      </c>
      <c r="E10" s="18">
        <v>38.591000000000001</v>
      </c>
      <c r="F10" s="18">
        <v>40.938000000000002</v>
      </c>
      <c r="G10" s="18">
        <v>1.07</v>
      </c>
      <c r="H10" s="18">
        <f t="shared" si="0"/>
        <v>37.805124999999997</v>
      </c>
      <c r="I10" s="5"/>
      <c r="J10" s="17">
        <v>2887.1039999999998</v>
      </c>
      <c r="K10" s="18">
        <v>37.738</v>
      </c>
      <c r="L10" s="18">
        <v>39.509399999999999</v>
      </c>
      <c r="M10" s="18">
        <v>42.0413</v>
      </c>
      <c r="N10" s="18">
        <v>1.5349999999999999</v>
      </c>
      <c r="O10" s="18">
        <f t="shared" si="1"/>
        <v>38.4973375</v>
      </c>
      <c r="P10" s="7"/>
      <c r="Q10" s="10"/>
      <c r="R10" s="11"/>
      <c r="S10" s="11"/>
      <c r="T10" s="26"/>
      <c r="U10" s="28">
        <f t="shared" si="2"/>
        <v>0.43457943925233627</v>
      </c>
    </row>
    <row r="11" spans="1:21" x14ac:dyDescent="0.25">
      <c r="B11" s="9"/>
      <c r="C11" s="17">
        <v>1743.99</v>
      </c>
      <c r="D11" s="18">
        <v>35.93</v>
      </c>
      <c r="E11" s="18">
        <v>37.886000000000003</v>
      </c>
      <c r="F11" s="18">
        <v>40.223999999999997</v>
      </c>
      <c r="G11" s="18">
        <v>1.24</v>
      </c>
      <c r="H11" s="18">
        <f t="shared" si="0"/>
        <v>36.71125</v>
      </c>
      <c r="I11" s="5"/>
      <c r="J11" s="17">
        <v>1893.7904000000001</v>
      </c>
      <c r="K11" s="18">
        <v>36.299599999999998</v>
      </c>
      <c r="L11" s="18">
        <v>38.765599999999999</v>
      </c>
      <c r="M11" s="18">
        <v>41.178699999999999</v>
      </c>
      <c r="N11" s="18">
        <v>1.8877999999999999</v>
      </c>
      <c r="O11" s="18">
        <f t="shared" si="1"/>
        <v>37.217737499999998</v>
      </c>
      <c r="P11" s="7"/>
      <c r="Q11" s="10"/>
      <c r="R11" s="11"/>
      <c r="S11" s="11"/>
      <c r="T11" s="26"/>
      <c r="U11" s="28">
        <f t="shared" si="2"/>
        <v>0.5224193548387096</v>
      </c>
    </row>
    <row r="12" spans="1:21" ht="16.5" thickBot="1" x14ac:dyDescent="0.3">
      <c r="B12" s="12"/>
      <c r="C12" s="19">
        <v>837.51</v>
      </c>
      <c r="D12" s="20">
        <v>33.533999999999999</v>
      </c>
      <c r="E12" s="20">
        <v>37.093000000000004</v>
      </c>
      <c r="F12" s="20">
        <v>39.420999999999999</v>
      </c>
      <c r="G12" s="20">
        <v>1.61</v>
      </c>
      <c r="H12" s="20">
        <f t="shared" si="0"/>
        <v>34.714750000000002</v>
      </c>
      <c r="I12" s="5"/>
      <c r="J12" s="19">
        <v>908.80960000000005</v>
      </c>
      <c r="K12" s="20">
        <v>33.529899999999998</v>
      </c>
      <c r="L12" s="20">
        <v>37.147599999999997</v>
      </c>
      <c r="M12" s="20">
        <v>39.439500000000002</v>
      </c>
      <c r="N12" s="20">
        <v>2.7294999999999998</v>
      </c>
      <c r="O12" s="20">
        <f t="shared" si="1"/>
        <v>34.720812500000001</v>
      </c>
      <c r="P12" s="7"/>
      <c r="Q12" s="13"/>
      <c r="R12" s="14"/>
      <c r="S12" s="14"/>
      <c r="T12" s="27"/>
      <c r="U12" s="28">
        <f t="shared" si="2"/>
        <v>0.69534161490683211</v>
      </c>
    </row>
    <row r="13" spans="1:21" x14ac:dyDescent="0.25">
      <c r="B13" s="6" t="s">
        <v>47</v>
      </c>
      <c r="C13" s="15">
        <v>3989.1</v>
      </c>
      <c r="D13" s="16">
        <v>30.85</v>
      </c>
      <c r="E13" s="16">
        <v>38.502000000000002</v>
      </c>
      <c r="F13" s="16">
        <v>39.621000000000002</v>
      </c>
      <c r="G13" s="16">
        <v>0.75</v>
      </c>
      <c r="H13" s="16">
        <f t="shared" si="0"/>
        <v>32.902875000000002</v>
      </c>
      <c r="I13" s="5"/>
      <c r="J13" s="15">
        <v>4092.6095999999998</v>
      </c>
      <c r="K13" s="16">
        <v>30.3203</v>
      </c>
      <c r="L13" s="16">
        <v>40.346800000000002</v>
      </c>
      <c r="M13" s="16">
        <v>41.272199999999998</v>
      </c>
      <c r="N13" s="16">
        <v>0.94169999999999998</v>
      </c>
      <c r="O13" s="16">
        <f t="shared" si="1"/>
        <v>32.942599999999999</v>
      </c>
      <c r="P13" s="7"/>
      <c r="Q13" s="8">
        <f>bdrate(C13:C16,D13:D16,J13:J16,K13:K16)</f>
        <v>6.8816799509012538E-2</v>
      </c>
      <c r="R13" s="8">
        <f>bdrate(C13:C16,E13:E16,J13:J16,L13:L16)</f>
        <v>-0.49255799706777292</v>
      </c>
      <c r="S13" s="8">
        <f>bdrate(C13:C16,F13:F16,J13:J16,M13:M16)</f>
        <v>-0.48966220030115293</v>
      </c>
      <c r="T13" s="25">
        <f>bdrate(C13:C16,H13:H16,J13:J16,O13:O16)</f>
        <v>-3.1718263584038175E-2</v>
      </c>
      <c r="U13" s="28">
        <f t="shared" si="2"/>
        <v>0.25559999999999999</v>
      </c>
    </row>
    <row r="14" spans="1:21" x14ac:dyDescent="0.25">
      <c r="B14" s="9"/>
      <c r="C14" s="17">
        <v>3009.92</v>
      </c>
      <c r="D14" s="18">
        <v>29.492000000000001</v>
      </c>
      <c r="E14" s="18">
        <v>37.902000000000001</v>
      </c>
      <c r="F14" s="18">
        <v>39.103000000000002</v>
      </c>
      <c r="G14" s="18">
        <v>0.86</v>
      </c>
      <c r="H14" s="18">
        <f t="shared" si="0"/>
        <v>31.744624999999999</v>
      </c>
      <c r="I14" s="5"/>
      <c r="J14" s="17">
        <v>3042.9184</v>
      </c>
      <c r="K14" s="18">
        <v>28.99</v>
      </c>
      <c r="L14" s="18">
        <v>39.687899999999999</v>
      </c>
      <c r="M14" s="18">
        <v>40.700800000000001</v>
      </c>
      <c r="N14" s="18">
        <v>1.0786</v>
      </c>
      <c r="O14" s="18">
        <f t="shared" si="1"/>
        <v>31.791087500000003</v>
      </c>
      <c r="P14" s="7"/>
      <c r="Q14" s="10"/>
      <c r="R14" s="11"/>
      <c r="S14" s="11"/>
      <c r="T14" s="26"/>
      <c r="U14" s="28">
        <f t="shared" si="2"/>
        <v>0.25418604651162791</v>
      </c>
    </row>
    <row r="15" spans="1:21" x14ac:dyDescent="0.25">
      <c r="B15" s="9"/>
      <c r="C15" s="17">
        <v>1994.23</v>
      </c>
      <c r="D15" s="18">
        <v>27.544</v>
      </c>
      <c r="E15" s="18">
        <v>37.042000000000002</v>
      </c>
      <c r="F15" s="18">
        <v>38.39</v>
      </c>
      <c r="G15" s="18">
        <v>1.03</v>
      </c>
      <c r="H15" s="18">
        <f t="shared" si="0"/>
        <v>30.087000000000003</v>
      </c>
      <c r="I15" s="5"/>
      <c r="J15" s="17">
        <v>2022.768</v>
      </c>
      <c r="K15" s="18">
        <v>27.183900000000001</v>
      </c>
      <c r="L15" s="18">
        <v>38.722499999999997</v>
      </c>
      <c r="M15" s="18">
        <v>39.841799999999999</v>
      </c>
      <c r="N15" s="18">
        <v>1.302</v>
      </c>
      <c r="O15" s="18">
        <f t="shared" si="1"/>
        <v>30.208462500000003</v>
      </c>
      <c r="P15" s="7"/>
      <c r="Q15" s="10"/>
      <c r="R15" s="11"/>
      <c r="S15" s="11"/>
      <c r="T15" s="26"/>
      <c r="U15" s="28">
        <f t="shared" si="2"/>
        <v>0.26407766990291265</v>
      </c>
    </row>
    <row r="16" spans="1:21" ht="16.5" thickBot="1" x14ac:dyDescent="0.3">
      <c r="B16" s="12"/>
      <c r="C16" s="19">
        <v>1566.17</v>
      </c>
      <c r="D16" s="20">
        <v>25.492999999999999</v>
      </c>
      <c r="E16" s="20">
        <v>35.817999999999998</v>
      </c>
      <c r="F16" s="20">
        <v>37.203000000000003</v>
      </c>
      <c r="G16" s="20">
        <v>1.17</v>
      </c>
      <c r="H16" s="20">
        <f t="shared" si="0"/>
        <v>28.247375000000002</v>
      </c>
      <c r="I16" s="5"/>
      <c r="J16" s="19">
        <v>1310.8384000000001</v>
      </c>
      <c r="K16" s="20">
        <v>25.706800000000001</v>
      </c>
      <c r="L16" s="20">
        <v>37.392099999999999</v>
      </c>
      <c r="M16" s="20">
        <v>38.635899999999999</v>
      </c>
      <c r="N16" s="20">
        <v>1.4954000000000001</v>
      </c>
      <c r="O16" s="20">
        <f t="shared" si="1"/>
        <v>28.7836</v>
      </c>
      <c r="P16" s="7"/>
      <c r="Q16" s="13"/>
      <c r="R16" s="14"/>
      <c r="S16" s="14"/>
      <c r="T16" s="27"/>
      <c r="U16" s="28">
        <f t="shared" si="2"/>
        <v>0.27811965811965828</v>
      </c>
    </row>
    <row r="17" spans="1:21" x14ac:dyDescent="0.25">
      <c r="A17" s="6" t="s">
        <v>37</v>
      </c>
      <c r="B17" s="6" t="s">
        <v>48</v>
      </c>
      <c r="C17" s="15">
        <v>1974.33</v>
      </c>
      <c r="D17" s="16">
        <v>39.372999999999998</v>
      </c>
      <c r="E17" s="16">
        <v>41.615000000000002</v>
      </c>
      <c r="F17" s="16">
        <v>42.898000000000003</v>
      </c>
      <c r="G17" s="16">
        <v>1.35</v>
      </c>
      <c r="H17" s="16">
        <f t="shared" si="0"/>
        <v>40.093875000000004</v>
      </c>
      <c r="I17" s="5"/>
      <c r="J17" s="15">
        <v>2407.8519999999999</v>
      </c>
      <c r="K17" s="16">
        <v>39.756300000000003</v>
      </c>
      <c r="L17" s="16">
        <v>42.372199999999999</v>
      </c>
      <c r="M17" s="16">
        <v>43.964100000000002</v>
      </c>
      <c r="N17" s="16">
        <v>1.8070999999999999</v>
      </c>
      <c r="O17" s="16">
        <f t="shared" si="1"/>
        <v>40.6092625</v>
      </c>
      <c r="P17" s="7"/>
      <c r="Q17" s="8">
        <f>bdrate(C17:C20,D17:D20,J17:J20,K17:K20)</f>
        <v>2.9224001520260723E-2</v>
      </c>
      <c r="R17" s="8">
        <f>bdrate(C17:C20,E17:E20,J17:J20,L17:L20)</f>
        <v>-0.29092695112825895</v>
      </c>
      <c r="S17" s="8">
        <f>bdrate(C17:C20,F17:F20,J17:J20,M17:M20)</f>
        <v>-0.31661492336172059</v>
      </c>
      <c r="T17" s="25">
        <f>bdrate(C17:C20,H17:H20,J17:J20,O17:O20)</f>
        <v>-3.3135798395439564E-2</v>
      </c>
      <c r="U17" s="28">
        <f t="shared" si="2"/>
        <v>0.33859259259259245</v>
      </c>
    </row>
    <row r="18" spans="1:21" x14ac:dyDescent="0.25">
      <c r="A18" s="9" t="s">
        <v>38</v>
      </c>
      <c r="B18" s="9"/>
      <c r="C18" s="17">
        <v>1293.98</v>
      </c>
      <c r="D18" s="18">
        <v>38.048999999999999</v>
      </c>
      <c r="E18" s="18">
        <v>40.765999999999998</v>
      </c>
      <c r="F18" s="18">
        <v>41.978999999999999</v>
      </c>
      <c r="G18" s="18">
        <v>1.62</v>
      </c>
      <c r="H18" s="18">
        <f t="shared" si="0"/>
        <v>38.879874999999998</v>
      </c>
      <c r="I18" s="5"/>
      <c r="J18" s="17">
        <v>1578.1992</v>
      </c>
      <c r="K18" s="18">
        <v>38.547899999999998</v>
      </c>
      <c r="L18" s="18">
        <v>41.709899999999998</v>
      </c>
      <c r="M18" s="18">
        <v>43.134</v>
      </c>
      <c r="N18" s="18">
        <v>2.2368000000000001</v>
      </c>
      <c r="O18" s="18">
        <f t="shared" si="1"/>
        <v>39.516412500000001</v>
      </c>
      <c r="P18" s="7"/>
      <c r="Q18" s="10"/>
      <c r="R18" s="11"/>
      <c r="S18" s="11"/>
      <c r="T18" s="26"/>
      <c r="U18" s="28">
        <f t="shared" si="2"/>
        <v>0.38074074074074071</v>
      </c>
    </row>
    <row r="19" spans="1:21" x14ac:dyDescent="0.25">
      <c r="B19" s="9"/>
      <c r="C19" s="17">
        <v>800.88</v>
      </c>
      <c r="D19" s="18">
        <v>36.451000000000001</v>
      </c>
      <c r="E19" s="18">
        <v>39.835000000000001</v>
      </c>
      <c r="F19" s="18">
        <v>41.137</v>
      </c>
      <c r="G19" s="18">
        <v>1.94</v>
      </c>
      <c r="H19" s="18">
        <f t="shared" si="0"/>
        <v>37.45975</v>
      </c>
      <c r="I19" s="5"/>
      <c r="J19" s="17">
        <v>967.37599999999998</v>
      </c>
      <c r="K19" s="18">
        <v>36.999099999999999</v>
      </c>
      <c r="L19" s="18">
        <v>40.83</v>
      </c>
      <c r="M19" s="18">
        <v>42.124299999999998</v>
      </c>
      <c r="N19" s="18">
        <v>2.8104</v>
      </c>
      <c r="O19" s="18">
        <f t="shared" si="1"/>
        <v>38.118612499999998</v>
      </c>
      <c r="P19" s="7"/>
      <c r="Q19" s="10"/>
      <c r="R19" s="11"/>
      <c r="S19" s="11"/>
      <c r="T19" s="26"/>
      <c r="U19" s="28">
        <f t="shared" si="2"/>
        <v>0.44865979381443305</v>
      </c>
    </row>
    <row r="20" spans="1:21" ht="16.5" thickBot="1" x14ac:dyDescent="0.3">
      <c r="B20" s="12"/>
      <c r="C20" s="19">
        <v>476.76</v>
      </c>
      <c r="D20" s="20">
        <v>34.628</v>
      </c>
      <c r="E20" s="20">
        <v>38.909999999999997</v>
      </c>
      <c r="F20" s="20">
        <v>40.366999999999997</v>
      </c>
      <c r="G20" s="20">
        <v>2.31</v>
      </c>
      <c r="H20" s="20">
        <f t="shared" si="0"/>
        <v>35.880625000000002</v>
      </c>
      <c r="I20" s="5"/>
      <c r="J20" s="19">
        <v>552.76639999999998</v>
      </c>
      <c r="K20" s="20">
        <v>35.1569</v>
      </c>
      <c r="L20" s="20">
        <v>40.012900000000002</v>
      </c>
      <c r="M20" s="20">
        <v>41.293100000000003</v>
      </c>
      <c r="N20" s="20">
        <v>3.681</v>
      </c>
      <c r="O20" s="20">
        <f t="shared" si="1"/>
        <v>36.530924999999996</v>
      </c>
      <c r="P20" s="7"/>
      <c r="Q20" s="13"/>
      <c r="R20" s="14"/>
      <c r="S20" s="14"/>
      <c r="T20" s="27"/>
      <c r="U20" s="28">
        <f t="shared" si="2"/>
        <v>0.59350649350649354</v>
      </c>
    </row>
    <row r="21" spans="1:21" x14ac:dyDescent="0.25">
      <c r="B21" s="6" t="s">
        <v>49</v>
      </c>
      <c r="C21" s="15">
        <v>2227.42</v>
      </c>
      <c r="D21" s="16">
        <v>36.518999999999998</v>
      </c>
      <c r="E21" s="16">
        <v>39.585000000000001</v>
      </c>
      <c r="F21" s="16">
        <v>40.612000000000002</v>
      </c>
      <c r="G21" s="16">
        <v>1.46</v>
      </c>
      <c r="H21" s="16">
        <f t="shared" si="0"/>
        <v>37.413874999999997</v>
      </c>
      <c r="I21" s="5"/>
      <c r="J21" s="15">
        <v>2499.9672</v>
      </c>
      <c r="K21" s="16">
        <v>36.873600000000003</v>
      </c>
      <c r="L21" s="16">
        <v>40.645400000000002</v>
      </c>
      <c r="M21" s="16">
        <v>41.910600000000002</v>
      </c>
      <c r="N21" s="16">
        <v>2.0514999999999999</v>
      </c>
      <c r="O21" s="16">
        <f t="shared" si="1"/>
        <v>37.974699999999999</v>
      </c>
      <c r="P21" s="7"/>
      <c r="Q21" s="8">
        <f>bdrate(C21:C24,D21:D24,J21:J24,K21:K24)</f>
        <v>1.5236374781459672E-2</v>
      </c>
      <c r="R21" s="8">
        <f>bdrate(C21:C24,E21:E24,J21:J24,L21:L24)</f>
        <v>-0.33331214556918143</v>
      </c>
      <c r="S21" s="8">
        <f>bdrate(C21:C24,F21:F24,J21:J24,M21:M24)</f>
        <v>-0.37380890075939732</v>
      </c>
      <c r="T21" s="25">
        <f>bdrate(C21:C24,H21:H24,J21:J24,O21:O24)</f>
        <v>-5.8008745883347479E-2</v>
      </c>
      <c r="U21" s="28">
        <f t="shared" si="2"/>
        <v>0.40513698630136979</v>
      </c>
    </row>
    <row r="22" spans="1:21" x14ac:dyDescent="0.25">
      <c r="B22" s="9"/>
      <c r="C22" s="17">
        <v>1479.13</v>
      </c>
      <c r="D22" s="18">
        <v>35.226999999999997</v>
      </c>
      <c r="E22" s="18">
        <v>38.619999999999997</v>
      </c>
      <c r="F22" s="18">
        <v>39.79</v>
      </c>
      <c r="G22" s="18">
        <v>1.7</v>
      </c>
      <c r="H22" s="18">
        <f t="shared" si="0"/>
        <v>36.221499999999999</v>
      </c>
      <c r="I22" s="5"/>
      <c r="J22" s="17">
        <v>1647.876</v>
      </c>
      <c r="K22" s="18">
        <v>35.559600000000003</v>
      </c>
      <c r="L22" s="18">
        <v>39.738900000000001</v>
      </c>
      <c r="M22" s="18">
        <v>40.939700000000002</v>
      </c>
      <c r="N22" s="18">
        <v>2.4653999999999998</v>
      </c>
      <c r="O22" s="18">
        <f t="shared" si="1"/>
        <v>36.754525000000001</v>
      </c>
      <c r="P22" s="7"/>
      <c r="Q22" s="10"/>
      <c r="R22" s="11"/>
      <c r="S22" s="11"/>
      <c r="T22" s="26"/>
      <c r="U22" s="28">
        <f t="shared" si="2"/>
        <v>0.45023529411764701</v>
      </c>
    </row>
    <row r="23" spans="1:21" x14ac:dyDescent="0.25">
      <c r="B23" s="9"/>
      <c r="C23" s="17">
        <v>918.84</v>
      </c>
      <c r="D23" s="18">
        <v>33.761000000000003</v>
      </c>
      <c r="E23" s="18">
        <v>37.659999999999997</v>
      </c>
      <c r="F23" s="18">
        <v>39.073</v>
      </c>
      <c r="G23" s="18">
        <v>2</v>
      </c>
      <c r="H23" s="18">
        <f t="shared" si="0"/>
        <v>34.912375000000004</v>
      </c>
      <c r="I23" s="5"/>
      <c r="J23" s="17">
        <v>1017.9648</v>
      </c>
      <c r="K23" s="18">
        <v>34.010899999999999</v>
      </c>
      <c r="L23" s="18">
        <v>38.704599999999999</v>
      </c>
      <c r="M23" s="18">
        <v>39.967199999999998</v>
      </c>
      <c r="N23" s="18">
        <v>3.0718999999999999</v>
      </c>
      <c r="O23" s="18">
        <f t="shared" si="1"/>
        <v>35.342150000000004</v>
      </c>
      <c r="P23" s="7"/>
      <c r="Q23" s="10"/>
      <c r="R23" s="11"/>
      <c r="S23" s="11"/>
      <c r="T23" s="26"/>
      <c r="U23" s="28">
        <f t="shared" si="2"/>
        <v>0.53594999999999993</v>
      </c>
    </row>
    <row r="24" spans="1:21" ht="16.5" thickBot="1" x14ac:dyDescent="0.3">
      <c r="B24" s="12"/>
      <c r="C24" s="19">
        <v>544.15</v>
      </c>
      <c r="D24" s="20">
        <v>32.183</v>
      </c>
      <c r="E24" s="20">
        <v>36.765000000000001</v>
      </c>
      <c r="F24" s="20">
        <v>38.506</v>
      </c>
      <c r="G24" s="20">
        <v>2.37</v>
      </c>
      <c r="H24" s="20">
        <f t="shared" si="0"/>
        <v>33.546125000000004</v>
      </c>
      <c r="I24" s="5"/>
      <c r="J24" s="19">
        <v>592.32479999999998</v>
      </c>
      <c r="K24" s="20">
        <v>32.337499999999999</v>
      </c>
      <c r="L24" s="20">
        <v>37.587699999999998</v>
      </c>
      <c r="M24" s="20">
        <v>39.086599999999997</v>
      </c>
      <c r="N24" s="20">
        <v>3.9803999999999999</v>
      </c>
      <c r="O24" s="20">
        <f t="shared" si="1"/>
        <v>33.837412499999992</v>
      </c>
      <c r="P24" s="7"/>
      <c r="Q24" s="13"/>
      <c r="R24" s="14"/>
      <c r="S24" s="14"/>
      <c r="T24" s="27"/>
      <c r="U24" s="28">
        <f t="shared" si="2"/>
        <v>0.67949367088607582</v>
      </c>
    </row>
    <row r="25" spans="1:21" x14ac:dyDescent="0.25">
      <c r="B25" s="6" t="s">
        <v>50</v>
      </c>
      <c r="C25" s="15">
        <v>2358.75</v>
      </c>
      <c r="D25" s="16">
        <v>34.630000000000003</v>
      </c>
      <c r="E25" s="16">
        <v>37.878999999999998</v>
      </c>
      <c r="F25" s="16">
        <v>39.624000000000002</v>
      </c>
      <c r="G25" s="16">
        <v>1.87</v>
      </c>
      <c r="H25" s="16">
        <f t="shared" si="0"/>
        <v>35.660375000000002</v>
      </c>
      <c r="I25" s="5"/>
      <c r="J25" s="15">
        <v>2404.6511999999998</v>
      </c>
      <c r="K25" s="16">
        <v>35.221600000000002</v>
      </c>
      <c r="L25" s="16">
        <v>38.552799999999998</v>
      </c>
      <c r="M25" s="16">
        <v>40.9298</v>
      </c>
      <c r="N25" s="16">
        <v>2.8671000000000002</v>
      </c>
      <c r="O25" s="16">
        <f t="shared" si="1"/>
        <v>36.351525000000002</v>
      </c>
      <c r="P25" s="7"/>
      <c r="Q25" s="8">
        <f>bdrate(C25:C28,D25:D28,J25:J28,K25:K28)</f>
        <v>-0.11027265241446027</v>
      </c>
      <c r="R25" s="8">
        <f>bdrate(C25:C28,E25:E28,J25:J28,L25:L28)</f>
        <v>-0.31780208618376171</v>
      </c>
      <c r="S25" s="8">
        <f>bdrate(C25:C28,F25:F28,J25:J28,M25:M28)</f>
        <v>-0.29602113337119362</v>
      </c>
      <c r="T25" s="25">
        <f>bdrate(C25:C28,H25:H28,J25:J28,O25:O28)</f>
        <v>-0.14644019200016034</v>
      </c>
      <c r="U25" s="28">
        <f t="shared" si="2"/>
        <v>0.53320855614973262</v>
      </c>
    </row>
    <row r="26" spans="1:21" x14ac:dyDescent="0.25">
      <c r="B26" s="9"/>
      <c r="C26" s="17">
        <v>1565.8</v>
      </c>
      <c r="D26" s="18">
        <v>33.511000000000003</v>
      </c>
      <c r="E26" s="18">
        <v>37.402999999999999</v>
      </c>
      <c r="F26" s="18">
        <v>38.844999999999999</v>
      </c>
      <c r="G26" s="18">
        <v>2.1800000000000002</v>
      </c>
      <c r="H26" s="18">
        <f t="shared" si="0"/>
        <v>34.664250000000003</v>
      </c>
      <c r="I26" s="5"/>
      <c r="J26" s="17">
        <v>1599.6759999999999</v>
      </c>
      <c r="K26" s="18">
        <v>34.088299999999997</v>
      </c>
      <c r="L26" s="18">
        <v>38.096600000000002</v>
      </c>
      <c r="M26" s="18">
        <v>39.950099999999999</v>
      </c>
      <c r="N26" s="18">
        <v>3.4803000000000002</v>
      </c>
      <c r="O26" s="18">
        <f t="shared" si="1"/>
        <v>35.322062499999994</v>
      </c>
      <c r="P26" s="7"/>
      <c r="Q26" s="10"/>
      <c r="R26" s="11"/>
      <c r="S26" s="11"/>
      <c r="T26" s="26"/>
      <c r="U26" s="28">
        <f t="shared" si="2"/>
        <v>0.59646788990825683</v>
      </c>
    </row>
    <row r="27" spans="1:21" x14ac:dyDescent="0.25">
      <c r="B27" s="9"/>
      <c r="C27" s="17">
        <v>971.4</v>
      </c>
      <c r="D27" s="18">
        <v>32.145000000000003</v>
      </c>
      <c r="E27" s="18">
        <v>36.837000000000003</v>
      </c>
      <c r="F27" s="18">
        <v>37.944000000000003</v>
      </c>
      <c r="G27" s="18">
        <v>2.58</v>
      </c>
      <c r="H27" s="18">
        <f t="shared" si="0"/>
        <v>33.456375000000001</v>
      </c>
      <c r="I27" s="5"/>
      <c r="J27" s="17">
        <v>996.91840000000002</v>
      </c>
      <c r="K27" s="18">
        <v>32.512900000000002</v>
      </c>
      <c r="L27" s="18">
        <v>37.369900000000001</v>
      </c>
      <c r="M27" s="18">
        <v>38.705500000000001</v>
      </c>
      <c r="N27" s="18">
        <v>4.2694999999999999</v>
      </c>
      <c r="O27" s="18">
        <f t="shared" si="1"/>
        <v>33.894100000000002</v>
      </c>
      <c r="P27" s="7"/>
      <c r="Q27" s="10"/>
      <c r="R27" s="11"/>
      <c r="S27" s="11"/>
      <c r="T27" s="26"/>
      <c r="U27" s="28">
        <f t="shared" si="2"/>
        <v>0.65484496124031</v>
      </c>
    </row>
    <row r="28" spans="1:21" ht="16.5" thickBot="1" x14ac:dyDescent="0.3">
      <c r="B28" s="12"/>
      <c r="C28" s="19">
        <v>569.22</v>
      </c>
      <c r="D28" s="20">
        <v>30.477</v>
      </c>
      <c r="E28" s="20">
        <v>36.058999999999997</v>
      </c>
      <c r="F28" s="20">
        <v>36.762999999999998</v>
      </c>
      <c r="G28" s="20">
        <v>3.07</v>
      </c>
      <c r="H28" s="20">
        <f t="shared" si="0"/>
        <v>31.9605</v>
      </c>
      <c r="I28" s="5"/>
      <c r="J28" s="19">
        <v>584.38480000000004</v>
      </c>
      <c r="K28" s="20">
        <v>30.715599999999998</v>
      </c>
      <c r="L28" s="20">
        <v>36.481200000000001</v>
      </c>
      <c r="M28" s="20">
        <v>37.341299999999997</v>
      </c>
      <c r="N28" s="20">
        <v>5.5216000000000003</v>
      </c>
      <c r="O28" s="20">
        <f t="shared" si="1"/>
        <v>32.264512500000002</v>
      </c>
      <c r="P28" s="7"/>
      <c r="Q28" s="13"/>
      <c r="R28" s="14"/>
      <c r="S28" s="14"/>
      <c r="T28" s="27"/>
      <c r="U28" s="28">
        <f t="shared" si="2"/>
        <v>0.79856677524429986</v>
      </c>
    </row>
    <row r="29" spans="1:21" x14ac:dyDescent="0.25">
      <c r="B29" s="6" t="s">
        <v>51</v>
      </c>
      <c r="C29" s="29">
        <v>2418.54</v>
      </c>
      <c r="D29" s="30">
        <v>34.941000000000003</v>
      </c>
      <c r="E29" s="30">
        <v>40.186</v>
      </c>
      <c r="F29" s="30">
        <v>39.909999999999997</v>
      </c>
      <c r="G29" s="16">
        <v>1.62</v>
      </c>
      <c r="H29" s="16">
        <f t="shared" si="0"/>
        <v>36.217750000000002</v>
      </c>
      <c r="I29" s="5"/>
      <c r="J29" s="29">
        <v>2412.6464000000001</v>
      </c>
      <c r="K29" s="30">
        <v>34.960900000000002</v>
      </c>
      <c r="L29" s="30">
        <v>40.945799999999998</v>
      </c>
      <c r="M29" s="30">
        <v>40.484200000000001</v>
      </c>
      <c r="N29" s="16">
        <v>2.4148000000000001</v>
      </c>
      <c r="O29" s="16">
        <f t="shared" si="1"/>
        <v>36.399425000000001</v>
      </c>
      <c r="P29" s="7"/>
      <c r="Q29" s="8">
        <f>bdrate(C29:C32,D29:D32,J29:J32,K29:K32)</f>
        <v>-1.7020602274254726E-2</v>
      </c>
      <c r="R29" s="8">
        <f>bdrate(C29:C32,E29:E32,J29:J32,L29:L32)</f>
        <v>-0.27240738988665214</v>
      </c>
      <c r="S29" s="8">
        <f>bdrate(C29:C32,F29:F32,J29:J32,M29:M32)</f>
        <v>-0.10314201249221089</v>
      </c>
      <c r="T29" s="25">
        <f>bdrate(C29:C32,H29:H32,J29:J32,O29:O32)</f>
        <v>-5.2511482381418451E-2</v>
      </c>
      <c r="U29" s="28">
        <f t="shared" si="2"/>
        <v>0.49061728395061721</v>
      </c>
    </row>
    <row r="30" spans="1:21" x14ac:dyDescent="0.25">
      <c r="B30" s="9"/>
      <c r="C30" s="31">
        <v>1604.92</v>
      </c>
      <c r="D30" s="32">
        <v>33.634</v>
      </c>
      <c r="E30" s="32">
        <v>39.375999999999998</v>
      </c>
      <c r="F30" s="32">
        <v>38.813000000000002</v>
      </c>
      <c r="G30" s="18">
        <v>1.88</v>
      </c>
      <c r="H30" s="18">
        <f t="shared" si="0"/>
        <v>34.999124999999999</v>
      </c>
      <c r="I30" s="5"/>
      <c r="J30" s="31">
        <v>1606.9960000000001</v>
      </c>
      <c r="K30" s="32">
        <v>33.686300000000003</v>
      </c>
      <c r="L30" s="32">
        <v>40.112000000000002</v>
      </c>
      <c r="M30" s="32">
        <v>39.232900000000001</v>
      </c>
      <c r="N30" s="18">
        <v>2.8872</v>
      </c>
      <c r="O30" s="18">
        <f t="shared" si="1"/>
        <v>35.182837500000005</v>
      </c>
      <c r="P30" s="7"/>
      <c r="Q30" s="10"/>
      <c r="R30" s="11"/>
      <c r="S30" s="11"/>
      <c r="T30" s="26"/>
      <c r="U30" s="28">
        <f t="shared" si="2"/>
        <v>0.53574468085106386</v>
      </c>
    </row>
    <row r="31" spans="1:21" x14ac:dyDescent="0.25">
      <c r="B31" s="9"/>
      <c r="C31" s="31">
        <v>993.77</v>
      </c>
      <c r="D31" s="32">
        <v>32.01</v>
      </c>
      <c r="E31" s="32">
        <v>38.459000000000003</v>
      </c>
      <c r="F31" s="32">
        <v>37.536999999999999</v>
      </c>
      <c r="G31" s="18">
        <v>2.2200000000000002</v>
      </c>
      <c r="H31" s="18">
        <f t="shared" si="0"/>
        <v>33.506999999999998</v>
      </c>
      <c r="I31" s="5"/>
      <c r="J31" s="31">
        <v>1003.5088</v>
      </c>
      <c r="K31" s="32">
        <v>32.110300000000002</v>
      </c>
      <c r="L31" s="32">
        <v>39.1372</v>
      </c>
      <c r="M31" s="32">
        <v>37.801900000000003</v>
      </c>
      <c r="N31" s="18">
        <v>3.5371000000000001</v>
      </c>
      <c r="O31" s="18">
        <f t="shared" si="1"/>
        <v>33.700112500000003</v>
      </c>
      <c r="P31" s="7"/>
      <c r="Q31" s="10"/>
      <c r="R31" s="11"/>
      <c r="S31" s="11"/>
      <c r="T31" s="26"/>
      <c r="U31" s="28">
        <f t="shared" si="2"/>
        <v>0.59328828828828817</v>
      </c>
    </row>
    <row r="32" spans="1:21" ht="16.5" thickBot="1" x14ac:dyDescent="0.3">
      <c r="B32" s="12"/>
      <c r="C32" s="33">
        <v>593.44000000000005</v>
      </c>
      <c r="D32" s="34">
        <v>30.189</v>
      </c>
      <c r="E32" s="34">
        <v>37.222999999999999</v>
      </c>
      <c r="F32" s="34">
        <v>35.923000000000002</v>
      </c>
      <c r="G32" s="20">
        <v>2.59</v>
      </c>
      <c r="H32" s="20">
        <f t="shared" si="0"/>
        <v>31.785000000000004</v>
      </c>
      <c r="I32" s="5"/>
      <c r="J32" s="33">
        <v>598.73360000000002</v>
      </c>
      <c r="K32" s="34">
        <v>30.299600000000002</v>
      </c>
      <c r="L32" s="34">
        <v>37.834499999999998</v>
      </c>
      <c r="M32" s="34">
        <v>36.197600000000001</v>
      </c>
      <c r="N32" s="20">
        <v>4.6223000000000001</v>
      </c>
      <c r="O32" s="20">
        <f t="shared" si="1"/>
        <v>31.9787125</v>
      </c>
      <c r="P32" s="7"/>
      <c r="Q32" s="13"/>
      <c r="R32" s="14"/>
      <c r="S32" s="14"/>
      <c r="T32" s="27"/>
      <c r="U32" s="28">
        <f t="shared" si="2"/>
        <v>0.78467181467181479</v>
      </c>
    </row>
    <row r="33" spans="1:21" x14ac:dyDescent="0.25">
      <c r="B33" s="6" t="s">
        <v>52</v>
      </c>
      <c r="C33" s="15">
        <v>2308.34</v>
      </c>
      <c r="D33" s="16">
        <v>34</v>
      </c>
      <c r="E33" s="16">
        <v>39.575000000000003</v>
      </c>
      <c r="F33" s="16">
        <v>42.173999999999999</v>
      </c>
      <c r="G33" s="16">
        <v>2.16</v>
      </c>
      <c r="H33" s="16">
        <f t="shared" si="0"/>
        <v>35.718624999999996</v>
      </c>
      <c r="I33" s="5"/>
      <c r="J33" s="15">
        <v>2436.3847999999998</v>
      </c>
      <c r="K33" s="16">
        <v>34.175800000000002</v>
      </c>
      <c r="L33" s="16">
        <v>40.224699999999999</v>
      </c>
      <c r="M33" s="16">
        <v>42.692300000000003</v>
      </c>
      <c r="N33" s="16">
        <v>3.1785999999999999</v>
      </c>
      <c r="O33" s="16">
        <f t="shared" si="1"/>
        <v>35.996474999999997</v>
      </c>
      <c r="P33" s="7"/>
      <c r="Q33" s="8">
        <f>bdrate(C33:C36,D33:D36,J33:J36,K33:K36)</f>
        <v>-1.4325226547129088E-2</v>
      </c>
      <c r="R33" s="8">
        <f>bdrate(C33:C36,E33:E36,J33:J36,L33:L36)</f>
        <v>-0.19127795608975762</v>
      </c>
      <c r="S33" s="8">
        <f>bdrate(C33:C36,F33:F36,J33:J36,M33:M36)</f>
        <v>-6.5834785245689753E-2</v>
      </c>
      <c r="T33" s="25">
        <f>bdrate(C33:C36,H33:H36,J33:J36,O33:O36)</f>
        <v>-3.9271856541597261E-2</v>
      </c>
      <c r="U33" s="28">
        <f t="shared" si="2"/>
        <v>0.47157407407407392</v>
      </c>
    </row>
    <row r="34" spans="1:21" x14ac:dyDescent="0.25">
      <c r="B34" s="9"/>
      <c r="C34" s="17">
        <v>1515.34</v>
      </c>
      <c r="D34" s="18">
        <v>33.377000000000002</v>
      </c>
      <c r="E34" s="18">
        <v>39.164999999999999</v>
      </c>
      <c r="F34" s="18">
        <v>41.829000000000001</v>
      </c>
      <c r="G34" s="18">
        <v>2.4</v>
      </c>
      <c r="H34" s="18">
        <f t="shared" si="0"/>
        <v>35.156999999999996</v>
      </c>
      <c r="I34" s="5"/>
      <c r="J34" s="17">
        <v>1583.3520000000001</v>
      </c>
      <c r="K34" s="18">
        <v>33.506900000000002</v>
      </c>
      <c r="L34" s="18">
        <v>39.719900000000003</v>
      </c>
      <c r="M34" s="18">
        <v>42.255600000000001</v>
      </c>
      <c r="N34" s="18">
        <v>3.9297</v>
      </c>
      <c r="O34" s="18">
        <f t="shared" si="1"/>
        <v>35.377112500000003</v>
      </c>
      <c r="P34" s="7"/>
      <c r="Q34" s="10"/>
      <c r="R34" s="11"/>
      <c r="S34" s="11"/>
      <c r="T34" s="26"/>
      <c r="U34" s="28">
        <f t="shared" si="2"/>
        <v>0.63737500000000002</v>
      </c>
    </row>
    <row r="35" spans="1:21" x14ac:dyDescent="0.25">
      <c r="B35" s="9"/>
      <c r="C35" s="17">
        <v>916.27</v>
      </c>
      <c r="D35" s="18">
        <v>32.331000000000003</v>
      </c>
      <c r="E35" s="18">
        <v>38.619</v>
      </c>
      <c r="F35" s="18">
        <v>41.378999999999998</v>
      </c>
      <c r="G35" s="18">
        <v>2.73</v>
      </c>
      <c r="H35" s="18">
        <f t="shared" si="0"/>
        <v>34.248000000000005</v>
      </c>
      <c r="I35" s="5"/>
      <c r="J35" s="17">
        <v>984.52480000000003</v>
      </c>
      <c r="K35" s="18">
        <v>32.517299999999999</v>
      </c>
      <c r="L35" s="18">
        <v>38.916899999999998</v>
      </c>
      <c r="M35" s="18">
        <v>41.487299999999998</v>
      </c>
      <c r="N35" s="18">
        <v>5.2003000000000004</v>
      </c>
      <c r="O35" s="18">
        <f t="shared" si="1"/>
        <v>34.438499999999998</v>
      </c>
      <c r="P35" s="7"/>
      <c r="Q35" s="10"/>
      <c r="R35" s="11"/>
      <c r="S35" s="11"/>
      <c r="T35" s="26"/>
      <c r="U35" s="28">
        <f t="shared" si="2"/>
        <v>0.90487179487179503</v>
      </c>
    </row>
    <row r="36" spans="1:21" ht="16.5" thickBot="1" x14ac:dyDescent="0.3">
      <c r="B36" s="12"/>
      <c r="C36" s="19">
        <v>497.79</v>
      </c>
      <c r="D36" s="20">
        <v>30.329000000000001</v>
      </c>
      <c r="E36" s="20">
        <v>37.735999999999997</v>
      </c>
      <c r="F36" s="20">
        <v>40.725999999999999</v>
      </c>
      <c r="G36" s="20">
        <v>3.12</v>
      </c>
      <c r="H36" s="20">
        <f t="shared" si="0"/>
        <v>32.554499999999997</v>
      </c>
      <c r="I36" s="5"/>
      <c r="J36" s="19">
        <v>600.58960000000002</v>
      </c>
      <c r="K36" s="20">
        <v>31.071999999999999</v>
      </c>
      <c r="L36" s="20">
        <v>38.157299999999999</v>
      </c>
      <c r="M36" s="20">
        <v>40.738500000000002</v>
      </c>
      <c r="N36" s="20">
        <v>7.2744</v>
      </c>
      <c r="O36" s="20">
        <f t="shared" si="1"/>
        <v>33.165974999999996</v>
      </c>
      <c r="P36" s="7"/>
      <c r="Q36" s="13"/>
      <c r="R36" s="14"/>
      <c r="S36" s="14"/>
      <c r="T36" s="27"/>
      <c r="U36" s="28">
        <f t="shared" si="2"/>
        <v>1.3315384615384616</v>
      </c>
    </row>
    <row r="37" spans="1:21" x14ac:dyDescent="0.25">
      <c r="A37" s="6" t="s">
        <v>39</v>
      </c>
      <c r="B37" s="6" t="s">
        <v>53</v>
      </c>
      <c r="C37" s="15">
        <v>1220.53</v>
      </c>
      <c r="D37" s="16">
        <v>36.104999999999997</v>
      </c>
      <c r="E37" s="16">
        <v>39.64</v>
      </c>
      <c r="F37" s="16">
        <v>39.676000000000002</v>
      </c>
      <c r="G37" s="16">
        <v>5.01</v>
      </c>
      <c r="H37" s="16">
        <f t="shared" si="0"/>
        <v>36.993249999999996</v>
      </c>
      <c r="I37" s="5"/>
      <c r="J37" s="15">
        <v>1242.2927999999999</v>
      </c>
      <c r="K37" s="16">
        <v>36.895899999999997</v>
      </c>
      <c r="L37" s="16">
        <v>40.6404</v>
      </c>
      <c r="M37" s="16">
        <v>40.640799999999999</v>
      </c>
      <c r="N37" s="16">
        <v>6.4558</v>
      </c>
      <c r="O37" s="16">
        <f t="shared" si="1"/>
        <v>37.832075000000003</v>
      </c>
      <c r="P37" s="7"/>
      <c r="Q37" s="8">
        <f>bdrate(C37:C40,D37:D40,J37:J40,K37:K40)</f>
        <v>-6.9633908042101345E-2</v>
      </c>
      <c r="R37" s="8">
        <f>bdrate(C37:C40,E37:E40,J37:J40,L37:L40)</f>
        <v>-0.15856840907575231</v>
      </c>
      <c r="S37" s="8">
        <f>bdrate(C37:C40,F37:F40,J37:J40,M37:M40)</f>
        <v>-9.6876121192413067E-2</v>
      </c>
      <c r="T37" s="25">
        <f>bdrate(C37:C40,H37:H40,J37:J40,O37:O40)</f>
        <v>-8.244716355796522E-2</v>
      </c>
      <c r="U37" s="28">
        <f t="shared" si="2"/>
        <v>0.28858283433133736</v>
      </c>
    </row>
    <row r="38" spans="1:21" x14ac:dyDescent="0.25">
      <c r="A38" s="9" t="s">
        <v>40</v>
      </c>
      <c r="B38" s="9"/>
      <c r="C38" s="17">
        <v>814.48</v>
      </c>
      <c r="D38" s="18">
        <v>34.548000000000002</v>
      </c>
      <c r="E38" s="18">
        <v>38.292000000000002</v>
      </c>
      <c r="F38" s="18">
        <v>38.253999999999998</v>
      </c>
      <c r="G38" s="18">
        <v>5.99</v>
      </c>
      <c r="H38" s="18">
        <f t="shared" si="0"/>
        <v>35.47925</v>
      </c>
      <c r="I38" s="5"/>
      <c r="J38" s="17">
        <v>825.7056</v>
      </c>
      <c r="K38" s="18">
        <v>35.072899999999997</v>
      </c>
      <c r="L38" s="18">
        <v>39.146799999999999</v>
      </c>
      <c r="M38" s="18">
        <v>38.954700000000003</v>
      </c>
      <c r="N38" s="18">
        <v>7.6363000000000003</v>
      </c>
      <c r="O38" s="18">
        <f t="shared" si="1"/>
        <v>36.067362499999994</v>
      </c>
      <c r="P38" s="7"/>
      <c r="Q38" s="10"/>
      <c r="R38" s="11"/>
      <c r="S38" s="11"/>
      <c r="T38" s="26"/>
      <c r="U38" s="28">
        <f t="shared" si="2"/>
        <v>0.2748414023372287</v>
      </c>
    </row>
    <row r="39" spans="1:21" x14ac:dyDescent="0.25">
      <c r="B39" s="9"/>
      <c r="C39" s="17">
        <v>506.45</v>
      </c>
      <c r="D39" s="18">
        <v>32.889000000000003</v>
      </c>
      <c r="E39" s="18">
        <v>37.045999999999999</v>
      </c>
      <c r="F39" s="18">
        <v>36.902000000000001</v>
      </c>
      <c r="G39" s="18">
        <v>7.4</v>
      </c>
      <c r="H39" s="18">
        <f t="shared" si="0"/>
        <v>33.910249999999998</v>
      </c>
      <c r="I39" s="5"/>
      <c r="J39" s="17">
        <v>514.78160000000003</v>
      </c>
      <c r="K39" s="18">
        <v>33.133600000000001</v>
      </c>
      <c r="L39" s="18">
        <v>37.5334</v>
      </c>
      <c r="M39" s="18">
        <v>37.1569</v>
      </c>
      <c r="N39" s="18">
        <v>9.2408999999999999</v>
      </c>
      <c r="O39" s="18">
        <f t="shared" si="1"/>
        <v>34.186487499999998</v>
      </c>
      <c r="P39" s="7"/>
      <c r="Q39" s="10"/>
      <c r="R39" s="11"/>
      <c r="S39" s="11"/>
      <c r="T39" s="26"/>
      <c r="U39" s="28">
        <f t="shared" si="2"/>
        <v>0.24877027027027018</v>
      </c>
    </row>
    <row r="40" spans="1:21" ht="16.5" thickBot="1" x14ac:dyDescent="0.3">
      <c r="B40" s="12"/>
      <c r="C40" s="19">
        <v>301.31</v>
      </c>
      <c r="D40" s="20">
        <v>31.224</v>
      </c>
      <c r="E40" s="20">
        <v>35.863</v>
      </c>
      <c r="F40" s="20">
        <v>35.415999999999997</v>
      </c>
      <c r="G40" s="20">
        <v>9.52</v>
      </c>
      <c r="H40" s="20">
        <f t="shared" si="0"/>
        <v>32.327874999999999</v>
      </c>
      <c r="I40" s="5"/>
      <c r="J40" s="19">
        <v>309.38639999999998</v>
      </c>
      <c r="K40" s="20">
        <v>31.194099999999999</v>
      </c>
      <c r="L40" s="20">
        <v>35.896900000000002</v>
      </c>
      <c r="M40" s="20">
        <v>35.366799999999998</v>
      </c>
      <c r="N40" s="20">
        <v>11.666399999999999</v>
      </c>
      <c r="O40" s="20">
        <f t="shared" si="1"/>
        <v>32.303537500000004</v>
      </c>
      <c r="P40" s="7"/>
      <c r="Q40" s="13"/>
      <c r="R40" s="14"/>
      <c r="S40" s="14"/>
      <c r="T40" s="27"/>
      <c r="U40" s="28">
        <f t="shared" si="2"/>
        <v>0.22546218487394959</v>
      </c>
    </row>
    <row r="41" spans="1:21" x14ac:dyDescent="0.25">
      <c r="B41" s="6" t="s">
        <v>54</v>
      </c>
      <c r="C41" s="15">
        <v>1226.3499999999999</v>
      </c>
      <c r="D41" s="16">
        <v>36.125999999999998</v>
      </c>
      <c r="E41" s="16">
        <v>40.350999999999999</v>
      </c>
      <c r="F41" s="16">
        <v>41.293999999999997</v>
      </c>
      <c r="G41" s="16">
        <v>6.01</v>
      </c>
      <c r="H41" s="16">
        <f t="shared" si="0"/>
        <v>37.300124999999994</v>
      </c>
      <c r="I41" s="5"/>
      <c r="J41" s="15">
        <v>1253.6792</v>
      </c>
      <c r="K41" s="16">
        <v>36.573099999999997</v>
      </c>
      <c r="L41" s="16">
        <v>41.508400000000002</v>
      </c>
      <c r="M41" s="16">
        <v>42.517800000000001</v>
      </c>
      <c r="N41" s="16">
        <v>7.7398999999999996</v>
      </c>
      <c r="O41" s="16">
        <f t="shared" si="1"/>
        <v>37.933100000000003</v>
      </c>
      <c r="P41" s="7"/>
      <c r="Q41" s="8">
        <f>bdrate(C41:C44,D41:D44,J41:J44,K41:K44)</f>
        <v>-0.10429669041854717</v>
      </c>
      <c r="R41" s="8">
        <f>bdrate(C41:C44,E41:E44,J41:J44,L41:L44)</f>
        <v>-0.33270987898004656</v>
      </c>
      <c r="S41" s="8">
        <f>bdrate(C41:C44,F41:F44,J41:J44,M41:M44)</f>
        <v>-0.31042964661719064</v>
      </c>
      <c r="T41" s="25">
        <f>bdrate(C41:C44,H41:H44,J41:J44,O41:O44)</f>
        <v>-0.14964967626466952</v>
      </c>
      <c r="U41" s="28">
        <f t="shared" si="2"/>
        <v>0.28783693843594005</v>
      </c>
    </row>
    <row r="42" spans="1:21" x14ac:dyDescent="0.25">
      <c r="B42" s="9"/>
      <c r="C42" s="17">
        <v>817.74</v>
      </c>
      <c r="D42" s="18">
        <v>34.508000000000003</v>
      </c>
      <c r="E42" s="18">
        <v>39.231999999999999</v>
      </c>
      <c r="F42" s="18">
        <v>40.045000000000002</v>
      </c>
      <c r="G42" s="18">
        <v>7.14</v>
      </c>
      <c r="H42" s="18">
        <f t="shared" si="0"/>
        <v>35.790624999999999</v>
      </c>
      <c r="I42" s="5"/>
      <c r="J42" s="17">
        <v>835.16880000000003</v>
      </c>
      <c r="K42" s="18">
        <v>35.007300000000001</v>
      </c>
      <c r="L42" s="18">
        <v>40.379300000000001</v>
      </c>
      <c r="M42" s="18">
        <v>41.234099999999998</v>
      </c>
      <c r="N42" s="18">
        <v>9.2132000000000005</v>
      </c>
      <c r="O42" s="18">
        <f t="shared" si="1"/>
        <v>36.457149999999999</v>
      </c>
      <c r="P42" s="7"/>
      <c r="Q42" s="10"/>
      <c r="R42" s="11"/>
      <c r="S42" s="11"/>
      <c r="T42" s="26"/>
      <c r="U42" s="28">
        <f t="shared" si="2"/>
        <v>0.29036414565826341</v>
      </c>
    </row>
    <row r="43" spans="1:21" x14ac:dyDescent="0.25">
      <c r="B43" s="9"/>
      <c r="C43" s="17">
        <v>509</v>
      </c>
      <c r="D43" s="18">
        <v>32.515000000000001</v>
      </c>
      <c r="E43" s="18">
        <v>37.966999999999999</v>
      </c>
      <c r="F43" s="18">
        <v>38.630000000000003</v>
      </c>
      <c r="G43" s="18">
        <v>8.74</v>
      </c>
      <c r="H43" s="18">
        <f t="shared" si="0"/>
        <v>33.960875000000001</v>
      </c>
      <c r="I43" s="5"/>
      <c r="J43" s="17">
        <v>521.24080000000004</v>
      </c>
      <c r="K43" s="18">
        <v>33.083399999999997</v>
      </c>
      <c r="L43" s="18">
        <v>39.106699999999996</v>
      </c>
      <c r="M43" s="18">
        <v>39.805999999999997</v>
      </c>
      <c r="N43" s="18">
        <v>11.424899999999999</v>
      </c>
      <c r="O43" s="18">
        <f t="shared" si="1"/>
        <v>34.676637499999998</v>
      </c>
      <c r="P43" s="7"/>
      <c r="Q43" s="10"/>
      <c r="R43" s="11"/>
      <c r="S43" s="11"/>
      <c r="T43" s="26"/>
      <c r="U43" s="28">
        <f t="shared" si="2"/>
        <v>0.30719679633867264</v>
      </c>
    </row>
    <row r="44" spans="1:21" ht="16.5" thickBot="1" x14ac:dyDescent="0.3">
      <c r="B44" s="12"/>
      <c r="C44" s="19">
        <v>301.7</v>
      </c>
      <c r="D44" s="20">
        <v>30.213999999999999</v>
      </c>
      <c r="E44" s="20">
        <v>36.506</v>
      </c>
      <c r="F44" s="20">
        <v>36.99</v>
      </c>
      <c r="G44" s="20">
        <v>10.9</v>
      </c>
      <c r="H44" s="20">
        <f t="shared" si="0"/>
        <v>31.8475</v>
      </c>
      <c r="I44" s="5"/>
      <c r="J44" s="19">
        <v>311.78879999999998</v>
      </c>
      <c r="K44" s="20">
        <v>30.964500000000001</v>
      </c>
      <c r="L44" s="20">
        <v>37.778300000000002</v>
      </c>
      <c r="M44" s="20">
        <v>38.316099999999999</v>
      </c>
      <c r="N44" s="20">
        <v>14.468299999999999</v>
      </c>
      <c r="O44" s="20">
        <f t="shared" si="1"/>
        <v>32.735174999999998</v>
      </c>
      <c r="P44" s="7"/>
      <c r="Q44" s="13"/>
      <c r="R44" s="14"/>
      <c r="S44" s="14"/>
      <c r="T44" s="27"/>
      <c r="U44" s="28">
        <f t="shared" si="2"/>
        <v>0.32736697247706409</v>
      </c>
    </row>
    <row r="45" spans="1:21" x14ac:dyDescent="0.25">
      <c r="B45" s="6" t="s">
        <v>55</v>
      </c>
      <c r="C45" s="15">
        <v>1087.78</v>
      </c>
      <c r="D45" s="16">
        <v>30.64</v>
      </c>
      <c r="E45" s="16">
        <v>35.929000000000002</v>
      </c>
      <c r="F45" s="16">
        <v>36.741999999999997</v>
      </c>
      <c r="G45" s="16">
        <v>5.46</v>
      </c>
      <c r="H45" s="16">
        <f t="shared" si="0"/>
        <v>32.063875000000003</v>
      </c>
      <c r="I45" s="5"/>
      <c r="J45" s="15">
        <v>1234.44</v>
      </c>
      <c r="K45" s="16">
        <v>31.432099999999998</v>
      </c>
      <c r="L45" s="16">
        <v>37.341999999999999</v>
      </c>
      <c r="M45" s="16">
        <v>38.179400000000001</v>
      </c>
      <c r="N45" s="16">
        <v>8.0023999999999997</v>
      </c>
      <c r="O45" s="16">
        <f t="shared" si="1"/>
        <v>33.014249999999997</v>
      </c>
      <c r="P45" s="7"/>
      <c r="Q45" s="8">
        <f>bdrate(C45:C48,D45:D48,J45:J48,K45:K48)</f>
        <v>-0.10614632975443838</v>
      </c>
      <c r="R45" s="8">
        <f>bdrate(C45:C48,E45:E48,J45:J48,L45:L48)</f>
        <v>-0.33793012102753439</v>
      </c>
      <c r="S45" s="8">
        <f>bdrate(C45:C48,F45:F48,J45:J48,M45:M48)</f>
        <v>-0.30754468221267806</v>
      </c>
      <c r="T45" s="25">
        <f>bdrate(C45:C48,H45:H48,J45:J48,O45:O48)</f>
        <v>-0.14731809992315892</v>
      </c>
      <c r="U45" s="28">
        <f t="shared" si="2"/>
        <v>0.46564102564102561</v>
      </c>
    </row>
    <row r="46" spans="1:21" x14ac:dyDescent="0.25">
      <c r="B46" s="9"/>
      <c r="C46" s="17">
        <v>725.09</v>
      </c>
      <c r="D46" s="18">
        <v>29.219000000000001</v>
      </c>
      <c r="E46" s="18">
        <v>35.191000000000003</v>
      </c>
      <c r="F46" s="18">
        <v>35.978999999999999</v>
      </c>
      <c r="G46" s="18">
        <v>6.51</v>
      </c>
      <c r="H46" s="18">
        <f t="shared" si="0"/>
        <v>30.810500000000005</v>
      </c>
      <c r="I46" s="5"/>
      <c r="J46" s="17">
        <v>821.3288</v>
      </c>
      <c r="K46" s="18">
        <v>29.993400000000001</v>
      </c>
      <c r="L46" s="18">
        <v>36.304600000000001</v>
      </c>
      <c r="M46" s="18">
        <v>37.0839</v>
      </c>
      <c r="N46" s="18">
        <v>9.5442</v>
      </c>
      <c r="O46" s="18">
        <f t="shared" si="1"/>
        <v>31.668612499999998</v>
      </c>
      <c r="P46" s="7"/>
      <c r="Q46" s="10"/>
      <c r="R46" s="11"/>
      <c r="S46" s="11"/>
      <c r="T46" s="26"/>
      <c r="U46" s="28">
        <f t="shared" si="2"/>
        <v>0.46608294930875582</v>
      </c>
    </row>
    <row r="47" spans="1:21" x14ac:dyDescent="0.25">
      <c r="B47" s="9"/>
      <c r="C47" s="17">
        <v>449.72</v>
      </c>
      <c r="D47" s="18">
        <v>27.687000000000001</v>
      </c>
      <c r="E47" s="18">
        <v>34.36</v>
      </c>
      <c r="F47" s="18">
        <v>35.18</v>
      </c>
      <c r="G47" s="18">
        <v>8.07</v>
      </c>
      <c r="H47" s="18">
        <f t="shared" si="0"/>
        <v>29.457750000000004</v>
      </c>
      <c r="I47" s="5"/>
      <c r="J47" s="17">
        <v>511.48480000000001</v>
      </c>
      <c r="K47" s="18">
        <v>28.4633</v>
      </c>
      <c r="L47" s="18">
        <v>35.345399999999998</v>
      </c>
      <c r="M47" s="18">
        <v>36.092300000000002</v>
      </c>
      <c r="N47" s="18">
        <v>11.700799999999999</v>
      </c>
      <c r="O47" s="18">
        <f t="shared" si="1"/>
        <v>30.2771875</v>
      </c>
      <c r="P47" s="7"/>
      <c r="Q47" s="10"/>
      <c r="R47" s="11"/>
      <c r="S47" s="11"/>
      <c r="T47" s="26"/>
      <c r="U47" s="28">
        <f t="shared" si="2"/>
        <v>0.44991325898389078</v>
      </c>
    </row>
    <row r="48" spans="1:21" ht="16.5" thickBot="1" x14ac:dyDescent="0.3">
      <c r="B48" s="12"/>
      <c r="C48" s="19">
        <v>257.26</v>
      </c>
      <c r="D48" s="20">
        <v>25.95</v>
      </c>
      <c r="E48" s="20">
        <v>33.295000000000002</v>
      </c>
      <c r="F48" s="20">
        <v>34.122</v>
      </c>
      <c r="G48" s="20">
        <v>10.5</v>
      </c>
      <c r="H48" s="20">
        <f t="shared" si="0"/>
        <v>27.889625000000002</v>
      </c>
      <c r="I48" s="5"/>
      <c r="J48" s="19">
        <v>305.42880000000002</v>
      </c>
      <c r="K48" s="20">
        <v>26.867799999999999</v>
      </c>
      <c r="L48" s="20">
        <v>34.292099999999998</v>
      </c>
      <c r="M48" s="20">
        <v>34.936999999999998</v>
      </c>
      <c r="N48" s="20">
        <v>15.077</v>
      </c>
      <c r="O48" s="20">
        <f t="shared" si="1"/>
        <v>28.8044875</v>
      </c>
      <c r="P48" s="7"/>
      <c r="Q48" s="13"/>
      <c r="R48" s="14"/>
      <c r="S48" s="14"/>
      <c r="T48" s="27"/>
      <c r="U48" s="28">
        <f t="shared" si="2"/>
        <v>0.43590476190476191</v>
      </c>
    </row>
    <row r="49" spans="1:21" x14ac:dyDescent="0.25">
      <c r="B49" s="6" t="s">
        <v>56</v>
      </c>
      <c r="C49" s="15">
        <v>1094.44</v>
      </c>
      <c r="D49" s="16">
        <v>33.728999999999999</v>
      </c>
      <c r="E49" s="16">
        <v>37.164000000000001</v>
      </c>
      <c r="F49" s="16">
        <v>38.89</v>
      </c>
      <c r="G49" s="16">
        <v>3.79</v>
      </c>
      <c r="H49" s="16">
        <f t="shared" si="0"/>
        <v>34.8035</v>
      </c>
      <c r="I49" s="5"/>
      <c r="J49" s="15">
        <v>1230.068</v>
      </c>
      <c r="K49" s="16">
        <v>33.750399999999999</v>
      </c>
      <c r="L49" s="16">
        <v>37.8003</v>
      </c>
      <c r="M49" s="16">
        <v>39.465499999999999</v>
      </c>
      <c r="N49" s="16">
        <v>4.9051</v>
      </c>
      <c r="O49" s="16">
        <f t="shared" si="1"/>
        <v>34.971024999999997</v>
      </c>
      <c r="P49" s="7"/>
      <c r="Q49" s="8">
        <f>bdrate(C49:C52,D49:D52,J49:J52,K49:K52)</f>
        <v>0.11970082703272844</v>
      </c>
      <c r="R49" s="8">
        <f>bdrate(C49:C52,E49:E52,J49:J52,L49:L52)</f>
        <v>-0.11602184344699029</v>
      </c>
      <c r="S49" s="8">
        <f>bdrate(C49:C52,F49:F52,J49:J52,M49:M52)</f>
        <v>-0.10653633355169123</v>
      </c>
      <c r="T49" s="25">
        <f>bdrate(C49:C52,H49:H52,J49:J52,O49:O52)</f>
        <v>7.4770430549334188E-2</v>
      </c>
      <c r="U49" s="28">
        <f t="shared" si="2"/>
        <v>0.29422163588390499</v>
      </c>
    </row>
    <row r="50" spans="1:21" x14ac:dyDescent="0.25">
      <c r="B50" s="9"/>
      <c r="C50" s="17">
        <v>738.7</v>
      </c>
      <c r="D50" s="18">
        <v>32.252000000000002</v>
      </c>
      <c r="E50" s="18">
        <v>36.18</v>
      </c>
      <c r="F50" s="18">
        <v>37.902000000000001</v>
      </c>
      <c r="G50" s="18">
        <v>4.47</v>
      </c>
      <c r="H50" s="18">
        <f t="shared" si="0"/>
        <v>33.449249999999999</v>
      </c>
      <c r="I50" s="5"/>
      <c r="J50" s="17">
        <v>817.31600000000003</v>
      </c>
      <c r="K50" s="18">
        <v>32.180999999999997</v>
      </c>
      <c r="L50" s="18">
        <v>36.746600000000001</v>
      </c>
      <c r="M50" s="18">
        <v>38.438699999999997</v>
      </c>
      <c r="N50" s="18">
        <v>5.7606000000000002</v>
      </c>
      <c r="O50" s="18">
        <f t="shared" si="1"/>
        <v>33.5339125</v>
      </c>
      <c r="P50" s="7"/>
      <c r="Q50" s="10"/>
      <c r="R50" s="11"/>
      <c r="S50" s="11"/>
      <c r="T50" s="26"/>
      <c r="U50" s="28">
        <f t="shared" si="2"/>
        <v>0.28872483221476519</v>
      </c>
    </row>
    <row r="51" spans="1:21" x14ac:dyDescent="0.25">
      <c r="B51" s="9"/>
      <c r="C51" s="17">
        <v>470.27</v>
      </c>
      <c r="D51" s="18">
        <v>30.594999999999999</v>
      </c>
      <c r="E51" s="18">
        <v>35.223999999999997</v>
      </c>
      <c r="F51" s="18">
        <v>36.878</v>
      </c>
      <c r="G51" s="18">
        <v>5.43</v>
      </c>
      <c r="H51" s="18">
        <f t="shared" si="0"/>
        <v>31.958999999999996</v>
      </c>
      <c r="I51" s="5"/>
      <c r="J51" s="17">
        <v>508.98160000000001</v>
      </c>
      <c r="K51" s="18">
        <v>30.4712</v>
      </c>
      <c r="L51" s="18">
        <v>35.655799999999999</v>
      </c>
      <c r="M51" s="18">
        <v>37.311799999999998</v>
      </c>
      <c r="N51" s="18">
        <v>6.9496000000000002</v>
      </c>
      <c r="O51" s="18">
        <f t="shared" si="1"/>
        <v>31.974350000000001</v>
      </c>
      <c r="P51" s="7"/>
      <c r="Q51" s="10"/>
      <c r="R51" s="11"/>
      <c r="S51" s="11"/>
      <c r="T51" s="26"/>
      <c r="U51" s="28">
        <f t="shared" si="2"/>
        <v>0.27985267034990802</v>
      </c>
    </row>
    <row r="52" spans="1:21" ht="16.5" thickBot="1" x14ac:dyDescent="0.3">
      <c r="B52" s="12"/>
      <c r="C52" s="19">
        <v>286.58999999999997</v>
      </c>
      <c r="D52" s="20">
        <v>28.905000000000001</v>
      </c>
      <c r="E52" s="20">
        <v>34.207999999999998</v>
      </c>
      <c r="F52" s="20">
        <v>35.761000000000003</v>
      </c>
      <c r="G52" s="20">
        <v>6.81</v>
      </c>
      <c r="H52" s="20">
        <f t="shared" si="0"/>
        <v>30.424875</v>
      </c>
      <c r="I52" s="5"/>
      <c r="J52" s="19">
        <v>307.02159999999998</v>
      </c>
      <c r="K52" s="20">
        <v>28.843900000000001</v>
      </c>
      <c r="L52" s="20">
        <v>34.521700000000003</v>
      </c>
      <c r="M52" s="20">
        <v>36.138399999999997</v>
      </c>
      <c r="N52" s="20">
        <v>8.6698000000000004</v>
      </c>
      <c r="O52" s="20">
        <f t="shared" si="1"/>
        <v>30.4654375</v>
      </c>
      <c r="P52" s="7"/>
      <c r="Q52" s="13"/>
      <c r="R52" s="14"/>
      <c r="S52" s="14"/>
      <c r="T52" s="27"/>
      <c r="U52" s="28">
        <f t="shared" si="2"/>
        <v>0.2730983847283408</v>
      </c>
    </row>
    <row r="53" spans="1:21" x14ac:dyDescent="0.25">
      <c r="A53" s="6" t="s">
        <v>41</v>
      </c>
      <c r="B53" s="6" t="s">
        <v>57</v>
      </c>
      <c r="C53" s="15">
        <v>636.38</v>
      </c>
      <c r="D53" s="16">
        <v>36.130000000000003</v>
      </c>
      <c r="E53" s="16">
        <v>40.223999999999997</v>
      </c>
      <c r="F53" s="16">
        <v>39.015999999999998</v>
      </c>
      <c r="G53" s="16">
        <v>8.17</v>
      </c>
      <c r="H53" s="16">
        <f t="shared" si="0"/>
        <v>37.002500000000005</v>
      </c>
      <c r="I53" s="5"/>
      <c r="J53" s="15">
        <v>613.16</v>
      </c>
      <c r="K53" s="16">
        <v>35.8399</v>
      </c>
      <c r="L53" s="16">
        <v>40.819600000000001</v>
      </c>
      <c r="M53" s="16">
        <v>39.330100000000002</v>
      </c>
      <c r="N53" s="16">
        <v>14.7973</v>
      </c>
      <c r="O53" s="16">
        <f t="shared" si="1"/>
        <v>36.8986375</v>
      </c>
      <c r="P53" s="7"/>
      <c r="Q53" s="8">
        <f>bdrate(C53:C56,D53:D56,J53:J56,K53:K56)</f>
        <v>5.1414682266214928E-2</v>
      </c>
      <c r="R53" s="8">
        <f>bdrate(C53:C56,E53:E56,J53:J56,L53:L56)</f>
        <v>-0.21452841784458032</v>
      </c>
      <c r="S53" s="8">
        <f>bdrate(C53:C56,F53:F56,J53:J56,M53:M56)</f>
        <v>-9.4383147008400003E-2</v>
      </c>
      <c r="T53" s="25">
        <f>bdrate(C53:C56,H53:H56,J53:J56,O53:O56)</f>
        <v>7.7493146398599499E-3</v>
      </c>
      <c r="U53" s="28">
        <f t="shared" si="2"/>
        <v>0.81117503059975515</v>
      </c>
    </row>
    <row r="54" spans="1:21" x14ac:dyDescent="0.25">
      <c r="A54" s="9" t="s">
        <v>42</v>
      </c>
      <c r="B54" s="9"/>
      <c r="C54" s="17">
        <v>424.12</v>
      </c>
      <c r="D54" s="18">
        <v>34.231999999999999</v>
      </c>
      <c r="E54" s="18">
        <v>38.869999999999997</v>
      </c>
      <c r="F54" s="18">
        <v>37.512</v>
      </c>
      <c r="G54" s="18">
        <v>9.8000000000000007</v>
      </c>
      <c r="H54" s="18">
        <f t="shared" si="0"/>
        <v>35.22175</v>
      </c>
      <c r="I54" s="5"/>
      <c r="J54" s="17">
        <v>408.2688</v>
      </c>
      <c r="K54" s="18">
        <v>33.882599999999996</v>
      </c>
      <c r="L54" s="18">
        <v>39.527000000000001</v>
      </c>
      <c r="M54" s="18">
        <v>37.783900000000003</v>
      </c>
      <c r="N54" s="18">
        <v>17.185700000000001</v>
      </c>
      <c r="O54" s="18">
        <f t="shared" si="1"/>
        <v>35.075812499999998</v>
      </c>
      <c r="P54" s="7"/>
      <c r="Q54" s="10"/>
      <c r="R54" s="11"/>
      <c r="S54" s="11"/>
      <c r="T54" s="26"/>
      <c r="U54" s="28">
        <f t="shared" si="2"/>
        <v>0.75364285714285706</v>
      </c>
    </row>
    <row r="55" spans="1:21" x14ac:dyDescent="0.25">
      <c r="B55" s="9"/>
      <c r="C55" s="17">
        <v>265.16000000000003</v>
      </c>
      <c r="D55" s="18">
        <v>32.185000000000002</v>
      </c>
      <c r="E55" s="18">
        <v>37.537999999999997</v>
      </c>
      <c r="F55" s="18">
        <v>35.966000000000001</v>
      </c>
      <c r="G55" s="18">
        <v>12.25</v>
      </c>
      <c r="H55" s="18">
        <f t="shared" si="0"/>
        <v>33.326750000000004</v>
      </c>
      <c r="I55" s="5"/>
      <c r="J55" s="17">
        <v>255.10159999999999</v>
      </c>
      <c r="K55" s="18">
        <v>31.793700000000001</v>
      </c>
      <c r="L55" s="18">
        <v>38.112000000000002</v>
      </c>
      <c r="M55" s="18">
        <v>36.120600000000003</v>
      </c>
      <c r="N55" s="18">
        <v>20.3095</v>
      </c>
      <c r="O55" s="18">
        <f t="shared" si="1"/>
        <v>33.12435</v>
      </c>
      <c r="P55" s="7"/>
      <c r="Q55" s="10"/>
      <c r="R55" s="11"/>
      <c r="S55" s="11"/>
      <c r="T55" s="26"/>
      <c r="U55" s="28">
        <f t="shared" si="2"/>
        <v>0.65791836734693876</v>
      </c>
    </row>
    <row r="56" spans="1:21" ht="16.5" thickBot="1" x14ac:dyDescent="0.3">
      <c r="B56" s="12"/>
      <c r="C56" s="19">
        <v>125.99</v>
      </c>
      <c r="D56" s="20">
        <v>29.26</v>
      </c>
      <c r="E56" s="20">
        <v>35.537999999999997</v>
      </c>
      <c r="F56" s="20">
        <v>33.494</v>
      </c>
      <c r="G56" s="20">
        <v>17.71</v>
      </c>
      <c r="H56" s="20">
        <f t="shared" si="0"/>
        <v>30.574000000000002</v>
      </c>
      <c r="I56" s="5"/>
      <c r="J56" s="19">
        <v>121.9288</v>
      </c>
      <c r="K56" s="20">
        <v>28.838999999999999</v>
      </c>
      <c r="L56" s="20">
        <v>36.070799999999998</v>
      </c>
      <c r="M56" s="20">
        <v>33.729900000000001</v>
      </c>
      <c r="N56" s="20">
        <v>27.607500000000002</v>
      </c>
      <c r="O56" s="20">
        <f t="shared" si="1"/>
        <v>30.3543375</v>
      </c>
      <c r="P56" s="7"/>
      <c r="Q56" s="13"/>
      <c r="R56" s="14"/>
      <c r="S56" s="14"/>
      <c r="T56" s="27"/>
      <c r="U56" s="28">
        <f t="shared" si="2"/>
        <v>0.55886504799548276</v>
      </c>
    </row>
    <row r="57" spans="1:21" x14ac:dyDescent="0.25">
      <c r="B57" s="6" t="s">
        <v>58</v>
      </c>
      <c r="C57" s="15">
        <v>548.49</v>
      </c>
      <c r="D57" s="16">
        <v>33.677</v>
      </c>
      <c r="E57" s="16">
        <v>40.287999999999997</v>
      </c>
      <c r="F57" s="16">
        <v>41.142000000000003</v>
      </c>
      <c r="G57" s="16">
        <v>12.26</v>
      </c>
      <c r="H57" s="16">
        <f t="shared" si="0"/>
        <v>35.436500000000002</v>
      </c>
      <c r="I57" s="5"/>
      <c r="J57" s="15">
        <v>614.93920000000003</v>
      </c>
      <c r="K57" s="16">
        <v>34.829300000000003</v>
      </c>
      <c r="L57" s="16">
        <v>41.853400000000001</v>
      </c>
      <c r="M57" s="16">
        <v>42.831099999999999</v>
      </c>
      <c r="N57" s="16">
        <v>19.396100000000001</v>
      </c>
      <c r="O57" s="16">
        <f t="shared" si="1"/>
        <v>36.707537500000001</v>
      </c>
      <c r="P57" s="7"/>
      <c r="Q57" s="8">
        <f>bdrate(C57:C60,D57:D60,J57:J60,K57:K60)</f>
        <v>-0.15434044326902363</v>
      </c>
      <c r="R57" s="8">
        <f>bdrate(C57:C60,E57:E60,J57:J60,L57:L60)</f>
        <v>-0.38980980182230818</v>
      </c>
      <c r="S57" s="8">
        <f>bdrate(C57:C60,F57:F60,J57:J60,M57:M60)</f>
        <v>-0.32850831214287035</v>
      </c>
      <c r="T57" s="25">
        <f>bdrate(C57:C60,H57:H60,J57:J60,O57:O60)</f>
        <v>-0.18933419631178272</v>
      </c>
      <c r="U57" s="28">
        <f t="shared" si="2"/>
        <v>0.58206362153344215</v>
      </c>
    </row>
    <row r="58" spans="1:21" x14ac:dyDescent="0.25">
      <c r="B58" s="9"/>
      <c r="C58" s="17">
        <v>361.49</v>
      </c>
      <c r="D58" s="18">
        <v>32.313000000000002</v>
      </c>
      <c r="E58" s="18">
        <v>39.521999999999998</v>
      </c>
      <c r="F58" s="18">
        <v>40.432000000000002</v>
      </c>
      <c r="G58" s="18">
        <v>14.26</v>
      </c>
      <c r="H58" s="18">
        <f t="shared" si="0"/>
        <v>34.228999999999999</v>
      </c>
      <c r="I58" s="5"/>
      <c r="J58" s="17">
        <v>407.6232</v>
      </c>
      <c r="K58" s="18">
        <v>33.413400000000003</v>
      </c>
      <c r="L58" s="18">
        <v>40.841500000000003</v>
      </c>
      <c r="M58" s="18">
        <v>41.756500000000003</v>
      </c>
      <c r="N58" s="18">
        <v>24.311199999999999</v>
      </c>
      <c r="O58" s="18">
        <f t="shared" si="1"/>
        <v>35.384800000000006</v>
      </c>
      <c r="P58" s="7"/>
      <c r="Q58" s="10"/>
      <c r="R58" s="11"/>
      <c r="S58" s="11"/>
      <c r="T58" s="26"/>
      <c r="U58" s="28">
        <f t="shared" si="2"/>
        <v>0.70485273492286116</v>
      </c>
    </row>
    <row r="59" spans="1:21" x14ac:dyDescent="0.25">
      <c r="B59" s="9"/>
      <c r="C59" s="17">
        <v>224.32</v>
      </c>
      <c r="D59" s="18">
        <v>30.786999999999999</v>
      </c>
      <c r="E59" s="18">
        <v>38.825000000000003</v>
      </c>
      <c r="F59" s="18">
        <v>39.726999999999997</v>
      </c>
      <c r="G59" s="18">
        <v>16.86</v>
      </c>
      <c r="H59" s="18">
        <f t="shared" si="0"/>
        <v>32.909249999999993</v>
      </c>
      <c r="I59" s="5"/>
      <c r="J59" s="17">
        <v>253.71680000000001</v>
      </c>
      <c r="K59" s="18">
        <v>31.770199999999999</v>
      </c>
      <c r="L59" s="18">
        <v>39.900399999999998</v>
      </c>
      <c r="M59" s="18">
        <v>40.742800000000003</v>
      </c>
      <c r="N59" s="18">
        <v>31.5259</v>
      </c>
      <c r="O59" s="18">
        <f t="shared" si="1"/>
        <v>33.908049999999996</v>
      </c>
      <c r="P59" s="7"/>
      <c r="Q59" s="10"/>
      <c r="R59" s="11"/>
      <c r="S59" s="11"/>
      <c r="T59" s="26"/>
      <c r="U59" s="28">
        <f t="shared" si="2"/>
        <v>0.86986358244365369</v>
      </c>
    </row>
    <row r="60" spans="1:21" ht="16.5" thickBot="1" x14ac:dyDescent="0.3">
      <c r="B60" s="12"/>
      <c r="C60" s="19">
        <v>103.1</v>
      </c>
      <c r="D60" s="20">
        <v>28.018999999999998</v>
      </c>
      <c r="E60" s="20">
        <v>37.734999999999999</v>
      </c>
      <c r="F60" s="20">
        <v>38.478999999999999</v>
      </c>
      <c r="G60" s="20">
        <v>22.99</v>
      </c>
      <c r="H60" s="20">
        <f t="shared" si="0"/>
        <v>30.540999999999997</v>
      </c>
      <c r="I60" s="5"/>
      <c r="J60" s="19">
        <v>120.19280000000001</v>
      </c>
      <c r="K60" s="20">
        <v>29.0014</v>
      </c>
      <c r="L60" s="20">
        <v>38.407400000000003</v>
      </c>
      <c r="M60" s="20">
        <v>39.002899999999997</v>
      </c>
      <c r="N60" s="20">
        <v>48.0154</v>
      </c>
      <c r="O60" s="20">
        <f t="shared" si="1"/>
        <v>31.4273375</v>
      </c>
      <c r="P60" s="7"/>
      <c r="Q60" s="13"/>
      <c r="R60" s="14"/>
      <c r="S60" s="14"/>
      <c r="T60" s="27"/>
      <c r="U60" s="28">
        <f t="shared" si="2"/>
        <v>1.0885341452805568</v>
      </c>
    </row>
    <row r="61" spans="1:21" x14ac:dyDescent="0.25">
      <c r="B61" s="6" t="s">
        <v>59</v>
      </c>
      <c r="C61" s="29">
        <v>626.08000000000004</v>
      </c>
      <c r="D61" s="30">
        <v>34.002000000000002</v>
      </c>
      <c r="E61" s="30">
        <v>37.844999999999999</v>
      </c>
      <c r="F61" s="30">
        <v>38.417000000000002</v>
      </c>
      <c r="G61" s="16">
        <v>9.4</v>
      </c>
      <c r="H61" s="16">
        <f t="shared" si="0"/>
        <v>35.03425</v>
      </c>
      <c r="I61" s="5"/>
      <c r="J61" s="29">
        <v>638.8904</v>
      </c>
      <c r="K61" s="30">
        <v>34.383800000000001</v>
      </c>
      <c r="L61" s="30">
        <v>38.965499999999999</v>
      </c>
      <c r="M61" s="30">
        <v>39.868699999999997</v>
      </c>
      <c r="N61" s="16">
        <v>16.482099999999999</v>
      </c>
      <c r="O61" s="16">
        <f t="shared" si="1"/>
        <v>35.642125</v>
      </c>
      <c r="P61" s="7"/>
      <c r="Q61" s="8">
        <f>bdrate(C61:C64,D61:D64,J61:J64,K61:K64)</f>
        <v>-0.10339864082100902</v>
      </c>
      <c r="R61" s="8">
        <f>bdrate(C61:C64,E61:E64,J61:J64,L61:L64)</f>
        <v>-0.2766738263502817</v>
      </c>
      <c r="S61" s="8">
        <f>bdrate(C61:C64,F61:F64,J61:J64,M61:M64)</f>
        <v>-0.36695970571597247</v>
      </c>
      <c r="T61" s="25">
        <f>bdrate(C61:C64,H61:H64,J61:J64,O61:O64)</f>
        <v>-0.14969498468504427</v>
      </c>
      <c r="U61" s="28">
        <f t="shared" si="2"/>
        <v>0.75341489361702108</v>
      </c>
    </row>
    <row r="62" spans="1:21" x14ac:dyDescent="0.25">
      <c r="B62" s="9"/>
      <c r="C62" s="31">
        <v>416.66</v>
      </c>
      <c r="D62" s="32">
        <v>32.323</v>
      </c>
      <c r="E62" s="32">
        <v>36.709000000000003</v>
      </c>
      <c r="F62" s="32">
        <v>37.261000000000003</v>
      </c>
      <c r="G62" s="18">
        <v>11.09</v>
      </c>
      <c r="H62" s="18">
        <f t="shared" si="0"/>
        <v>33.488500000000002</v>
      </c>
      <c r="I62" s="5"/>
      <c r="J62" s="31">
        <v>428.2928</v>
      </c>
      <c r="K62" s="32">
        <v>32.769199999999998</v>
      </c>
      <c r="L62" s="32">
        <v>37.7027</v>
      </c>
      <c r="M62" s="32">
        <v>38.609099999999998</v>
      </c>
      <c r="N62" s="18">
        <v>19.748000000000001</v>
      </c>
      <c r="O62" s="18">
        <f t="shared" si="1"/>
        <v>34.115874999999996</v>
      </c>
      <c r="P62" s="7"/>
      <c r="Q62" s="10"/>
      <c r="R62" s="11"/>
      <c r="S62" s="11"/>
      <c r="T62" s="26"/>
      <c r="U62" s="28">
        <f t="shared" si="2"/>
        <v>0.78070333633904432</v>
      </c>
    </row>
    <row r="63" spans="1:21" x14ac:dyDescent="0.25">
      <c r="B63" s="9"/>
      <c r="C63" s="31">
        <v>259.58999999999997</v>
      </c>
      <c r="D63" s="32">
        <v>30.486999999999998</v>
      </c>
      <c r="E63" s="32">
        <v>35.579000000000001</v>
      </c>
      <c r="F63" s="32">
        <v>36.073999999999998</v>
      </c>
      <c r="G63" s="18">
        <v>13.62</v>
      </c>
      <c r="H63" s="18">
        <f t="shared" si="0"/>
        <v>31.821874999999999</v>
      </c>
      <c r="I63" s="5"/>
      <c r="J63" s="31">
        <v>264.67200000000003</v>
      </c>
      <c r="K63" s="32">
        <v>31.009499999999999</v>
      </c>
      <c r="L63" s="32">
        <v>36.430599999999998</v>
      </c>
      <c r="M63" s="32">
        <v>37.306800000000003</v>
      </c>
      <c r="N63" s="18">
        <v>24.922699999999999</v>
      </c>
      <c r="O63" s="18">
        <f t="shared" si="1"/>
        <v>32.474299999999999</v>
      </c>
      <c r="P63" s="7"/>
      <c r="Q63" s="10"/>
      <c r="R63" s="11"/>
      <c r="S63" s="11"/>
      <c r="T63" s="26"/>
      <c r="U63" s="28">
        <f t="shared" si="2"/>
        <v>0.82986049926578564</v>
      </c>
    </row>
    <row r="64" spans="1:21" ht="16.5" thickBot="1" x14ac:dyDescent="0.3">
      <c r="B64" s="12"/>
      <c r="C64" s="33">
        <v>122.24</v>
      </c>
      <c r="D64" s="34">
        <v>27.797000000000001</v>
      </c>
      <c r="E64" s="34">
        <v>33.841999999999999</v>
      </c>
      <c r="F64" s="34">
        <v>34.268999999999998</v>
      </c>
      <c r="G64" s="20">
        <v>19.13</v>
      </c>
      <c r="H64" s="20">
        <f t="shared" si="0"/>
        <v>29.361625000000004</v>
      </c>
      <c r="I64" s="5"/>
      <c r="J64" s="33">
        <v>124.3488</v>
      </c>
      <c r="K64" s="34">
        <v>28.312799999999999</v>
      </c>
      <c r="L64" s="34">
        <v>34.529200000000003</v>
      </c>
      <c r="M64" s="34">
        <v>35.338700000000003</v>
      </c>
      <c r="N64" s="20">
        <v>35.534100000000002</v>
      </c>
      <c r="O64" s="20">
        <f t="shared" si="1"/>
        <v>29.968087500000003</v>
      </c>
      <c r="P64" s="7"/>
      <c r="Q64" s="13"/>
      <c r="R64" s="14"/>
      <c r="S64" s="14"/>
      <c r="T64" s="27"/>
      <c r="U64" s="28">
        <f t="shared" si="2"/>
        <v>0.8575065342394147</v>
      </c>
    </row>
    <row r="65" spans="1:21" x14ac:dyDescent="0.25">
      <c r="B65" s="6" t="s">
        <v>60</v>
      </c>
      <c r="C65" s="15">
        <v>574.29999999999995</v>
      </c>
      <c r="D65" s="16">
        <v>35.637999999999998</v>
      </c>
      <c r="E65" s="16">
        <v>38.420999999999999</v>
      </c>
      <c r="F65" s="16">
        <v>39.625999999999998</v>
      </c>
      <c r="G65" s="16">
        <v>5.99</v>
      </c>
      <c r="H65" s="16">
        <f t="shared" si="0"/>
        <v>36.484374999999993</v>
      </c>
      <c r="I65" s="5"/>
      <c r="J65" s="15">
        <v>622.63599999999997</v>
      </c>
      <c r="K65" s="16">
        <v>35.7074</v>
      </c>
      <c r="L65" s="16">
        <v>39.0608</v>
      </c>
      <c r="M65" s="16">
        <v>40.218699999999998</v>
      </c>
      <c r="N65" s="16">
        <v>9.8768999999999991</v>
      </c>
      <c r="O65" s="16">
        <f t="shared" si="1"/>
        <v>36.690487499999996</v>
      </c>
      <c r="P65" s="7"/>
      <c r="Q65" s="8">
        <f>bdrate(C65:C68,D65:D68,J65:J68,K65:K68)</f>
        <v>8.9302756331365973E-2</v>
      </c>
      <c r="R65" s="8">
        <f>bdrate(C65:C68,E65:E68,J65:J68,L65:L68)</f>
        <v>-0.11761448372349659</v>
      </c>
      <c r="S65" s="8">
        <f>bdrate(C65:C68,F65:F68,J65:J68,M65:M68)</f>
        <v>-0.11337220882316645</v>
      </c>
      <c r="T65" s="25">
        <f>bdrate(C65:C68,H65:H68,J65:J68,O65:O68)</f>
        <v>4.7171620004758053E-2</v>
      </c>
      <c r="U65" s="28">
        <f t="shared" si="2"/>
        <v>0.64889816360600983</v>
      </c>
    </row>
    <row r="66" spans="1:21" x14ac:dyDescent="0.25">
      <c r="B66" s="9"/>
      <c r="C66" s="17">
        <v>385.11</v>
      </c>
      <c r="D66" s="18">
        <v>33.716999999999999</v>
      </c>
      <c r="E66" s="18">
        <v>37.103999999999999</v>
      </c>
      <c r="F66" s="18">
        <v>38.307000000000002</v>
      </c>
      <c r="G66" s="18">
        <v>7.17</v>
      </c>
      <c r="H66" s="18">
        <f t="shared" si="0"/>
        <v>34.714125000000003</v>
      </c>
      <c r="I66" s="5"/>
      <c r="J66" s="17">
        <v>416</v>
      </c>
      <c r="K66" s="18">
        <v>33.699100000000001</v>
      </c>
      <c r="L66" s="18">
        <v>37.758400000000002</v>
      </c>
      <c r="M66" s="18">
        <v>38.932000000000002</v>
      </c>
      <c r="N66" s="18">
        <v>11.654999999999999</v>
      </c>
      <c r="O66" s="18">
        <f t="shared" si="1"/>
        <v>34.860624999999999</v>
      </c>
      <c r="P66" s="7"/>
      <c r="Q66" s="10"/>
      <c r="R66" s="11"/>
      <c r="S66" s="11"/>
      <c r="T66" s="26"/>
      <c r="U66" s="28">
        <f t="shared" si="2"/>
        <v>0.62552301255230114</v>
      </c>
    </row>
    <row r="67" spans="1:21" x14ac:dyDescent="0.25">
      <c r="B67" s="9"/>
      <c r="C67" s="17">
        <v>241.79</v>
      </c>
      <c r="D67" s="18">
        <v>31.68</v>
      </c>
      <c r="E67" s="18">
        <v>35.69</v>
      </c>
      <c r="F67" s="18">
        <v>36.857999999999997</v>
      </c>
      <c r="G67" s="18">
        <v>8.93</v>
      </c>
      <c r="H67" s="18">
        <f t="shared" si="0"/>
        <v>32.828499999999998</v>
      </c>
      <c r="I67" s="5"/>
      <c r="J67" s="17">
        <v>258.95519999999999</v>
      </c>
      <c r="K67" s="18">
        <v>31.575700000000001</v>
      </c>
      <c r="L67" s="18">
        <v>36.242100000000001</v>
      </c>
      <c r="M67" s="18">
        <v>37.427</v>
      </c>
      <c r="N67" s="18">
        <v>14.1717</v>
      </c>
      <c r="O67" s="18">
        <f t="shared" si="1"/>
        <v>32.890412500000004</v>
      </c>
      <c r="P67" s="7"/>
      <c r="Q67" s="10"/>
      <c r="R67" s="11"/>
      <c r="S67" s="11"/>
      <c r="T67" s="26"/>
      <c r="U67" s="28">
        <f t="shared" si="2"/>
        <v>0.58697648376259803</v>
      </c>
    </row>
    <row r="68" spans="1:21" ht="16.5" thickBot="1" x14ac:dyDescent="0.3">
      <c r="B68" s="12"/>
      <c r="C68" s="19">
        <v>116.16</v>
      </c>
      <c r="D68" s="20">
        <v>28.908000000000001</v>
      </c>
      <c r="E68" s="20">
        <v>33.793999999999997</v>
      </c>
      <c r="F68" s="20">
        <v>34.795999999999999</v>
      </c>
      <c r="G68" s="20">
        <v>13.06</v>
      </c>
      <c r="H68" s="20">
        <f t="shared" si="0"/>
        <v>30.254750000000001</v>
      </c>
      <c r="I68" s="5"/>
      <c r="J68" s="19">
        <v>123.5168</v>
      </c>
      <c r="K68" s="20">
        <v>28.833600000000001</v>
      </c>
      <c r="L68" s="20">
        <v>34.278199999999998</v>
      </c>
      <c r="M68" s="20">
        <v>35.322400000000002</v>
      </c>
      <c r="N68" s="20">
        <v>19.406199999999998</v>
      </c>
      <c r="O68" s="20">
        <f t="shared" si="1"/>
        <v>30.325274999999998</v>
      </c>
      <c r="P68" s="7"/>
      <c r="Q68" s="13"/>
      <c r="R68" s="14"/>
      <c r="S68" s="14"/>
      <c r="T68" s="27"/>
      <c r="U68" s="28">
        <f t="shared" si="2"/>
        <v>0.48592649310872876</v>
      </c>
    </row>
    <row r="69" spans="1:21" x14ac:dyDescent="0.25">
      <c r="A69" s="6" t="s">
        <v>43</v>
      </c>
      <c r="B69" s="6" t="s">
        <v>61</v>
      </c>
      <c r="C69" s="15">
        <v>1374.38</v>
      </c>
      <c r="D69" s="16">
        <v>41.527000000000001</v>
      </c>
      <c r="E69" s="16">
        <v>45.572000000000003</v>
      </c>
      <c r="F69" s="16">
        <v>46.850999999999999</v>
      </c>
      <c r="G69" s="16">
        <v>5.08</v>
      </c>
      <c r="H69" s="16">
        <f t="shared" si="0"/>
        <v>42.698125000000005</v>
      </c>
      <c r="I69" s="5"/>
      <c r="J69" s="15">
        <v>1490.7911999999999</v>
      </c>
      <c r="K69" s="16">
        <v>42.034199999999998</v>
      </c>
      <c r="L69" s="16">
        <v>46.296999999999997</v>
      </c>
      <c r="M69" s="16">
        <v>47.571399999999997</v>
      </c>
      <c r="N69" s="16">
        <v>5.7271999999999998</v>
      </c>
      <c r="O69" s="16">
        <f t="shared" si="1"/>
        <v>43.2592</v>
      </c>
      <c r="P69" s="7"/>
      <c r="Q69" s="8">
        <f>bdrate(C69:C72,D69:D72,J69:J72,K69:K72)</f>
        <v>1.8195033658610971E-2</v>
      </c>
      <c r="R69" s="8">
        <f>bdrate(C69:C72,E69:E72,J69:J72,L69:L72)</f>
        <v>-9.9204757711130909E-2</v>
      </c>
      <c r="S69" s="8">
        <f>bdrate(C69:C72,F69:F72,J69:J72,M69:M72)</f>
        <v>-7.9502499397497206E-2</v>
      </c>
      <c r="T69" s="25">
        <f>bdrate(C69:C72,H69:H72,J69:J72,O69:O72)</f>
        <v>-5.1247849566993242E-3</v>
      </c>
      <c r="U69" s="28">
        <f t="shared" si="2"/>
        <v>0.12740157480314956</v>
      </c>
    </row>
    <row r="70" spans="1:21" x14ac:dyDescent="0.25">
      <c r="A70" s="9" t="s">
        <v>44</v>
      </c>
      <c r="B70" s="9"/>
      <c r="C70" s="17">
        <v>905.95</v>
      </c>
      <c r="D70" s="18">
        <v>40.484000000000002</v>
      </c>
      <c r="E70" s="18">
        <v>44.488999999999997</v>
      </c>
      <c r="F70" s="18">
        <v>45.844000000000001</v>
      </c>
      <c r="G70" s="18">
        <v>5.81</v>
      </c>
      <c r="H70" s="18">
        <f t="shared" si="0"/>
        <v>41.654624999999996</v>
      </c>
      <c r="I70" s="5"/>
      <c r="J70" s="17">
        <v>981.07360000000006</v>
      </c>
      <c r="K70" s="18">
        <v>40.908700000000003</v>
      </c>
      <c r="L70" s="18">
        <v>45.229900000000001</v>
      </c>
      <c r="M70" s="18">
        <v>46.487299999999998</v>
      </c>
      <c r="N70" s="18">
        <v>7.1395999999999997</v>
      </c>
      <c r="O70" s="18">
        <f t="shared" si="1"/>
        <v>42.146174999999999</v>
      </c>
      <c r="P70" s="7"/>
      <c r="Q70" s="10"/>
      <c r="R70" s="11"/>
      <c r="S70" s="11"/>
      <c r="T70" s="26"/>
      <c r="U70" s="28">
        <f t="shared" si="2"/>
        <v>0.22884681583476768</v>
      </c>
    </row>
    <row r="71" spans="1:21" x14ac:dyDescent="0.25">
      <c r="B71" s="9"/>
      <c r="C71" s="17">
        <v>538.41</v>
      </c>
      <c r="D71" s="18">
        <v>38.777000000000001</v>
      </c>
      <c r="E71" s="18">
        <v>43.152999999999999</v>
      </c>
      <c r="F71" s="18">
        <v>44.389000000000003</v>
      </c>
      <c r="G71" s="18">
        <v>6.84</v>
      </c>
      <c r="H71" s="18">
        <f t="shared" si="0"/>
        <v>40.025500000000001</v>
      </c>
      <c r="I71" s="5"/>
      <c r="J71" s="17">
        <v>567.33680000000004</v>
      </c>
      <c r="K71" s="18">
        <v>38.965000000000003</v>
      </c>
      <c r="L71" s="18">
        <v>43.653399999999998</v>
      </c>
      <c r="M71" s="18">
        <v>44.880299999999998</v>
      </c>
      <c r="N71" s="18">
        <v>9.6258999999999997</v>
      </c>
      <c r="O71" s="18">
        <f t="shared" si="1"/>
        <v>40.290462499999997</v>
      </c>
      <c r="P71" s="7"/>
      <c r="Q71" s="10"/>
      <c r="R71" s="11"/>
      <c r="S71" s="11"/>
      <c r="T71" s="26"/>
      <c r="U71" s="28">
        <f t="shared" si="2"/>
        <v>0.40729532163742688</v>
      </c>
    </row>
    <row r="72" spans="1:21" ht="16.5" thickBot="1" x14ac:dyDescent="0.3">
      <c r="B72" s="12"/>
      <c r="C72" s="19">
        <v>259.86</v>
      </c>
      <c r="D72" s="20">
        <v>36.314</v>
      </c>
      <c r="E72" s="20">
        <v>41.691000000000003</v>
      </c>
      <c r="F72" s="20">
        <v>42.691000000000003</v>
      </c>
      <c r="G72" s="20">
        <v>8.51</v>
      </c>
      <c r="H72" s="20">
        <f t="shared" si="0"/>
        <v>37.78325000000001</v>
      </c>
      <c r="I72" s="5"/>
      <c r="J72" s="19">
        <v>278.49360000000001</v>
      </c>
      <c r="K72" s="20">
        <v>35.608800000000002</v>
      </c>
      <c r="L72" s="20">
        <v>41.323500000000003</v>
      </c>
      <c r="M72" s="20">
        <v>42.341200000000001</v>
      </c>
      <c r="N72" s="20">
        <v>13.6715</v>
      </c>
      <c r="O72" s="20">
        <f t="shared" si="1"/>
        <v>37.164687499999999</v>
      </c>
      <c r="P72" s="7"/>
      <c r="Q72" s="13"/>
      <c r="R72" s="14"/>
      <c r="S72" s="14"/>
      <c r="T72" s="27"/>
      <c r="U72" s="28">
        <f t="shared" si="2"/>
        <v>0.60652173913043483</v>
      </c>
    </row>
    <row r="73" spans="1:21" x14ac:dyDescent="0.25">
      <c r="B73" s="6" t="s">
        <v>62</v>
      </c>
      <c r="C73" s="15">
        <v>1418.17</v>
      </c>
      <c r="D73" s="16">
        <v>42.743000000000002</v>
      </c>
      <c r="E73" s="16">
        <v>47.805</v>
      </c>
      <c r="F73" s="16">
        <v>48.384999999999998</v>
      </c>
      <c r="G73" s="16">
        <v>5.46</v>
      </c>
      <c r="H73" s="16">
        <f t="shared" si="0"/>
        <v>44.081000000000003</v>
      </c>
      <c r="I73" s="5"/>
      <c r="J73" s="15">
        <v>1494.0440000000001</v>
      </c>
      <c r="K73" s="16">
        <v>43.014400000000002</v>
      </c>
      <c r="L73" s="16">
        <v>48.267400000000002</v>
      </c>
      <c r="M73" s="16">
        <v>48.964399999999998</v>
      </c>
      <c r="N73" s="16">
        <v>7.1639999999999997</v>
      </c>
      <c r="O73" s="16">
        <f t="shared" si="1"/>
        <v>44.414775000000006</v>
      </c>
      <c r="P73" s="7"/>
      <c r="Q73" s="8">
        <f>bdrate(C73:C76,D73:D76,J73:J76,K73:K76)</f>
        <v>-2.5660272473033929E-2</v>
      </c>
      <c r="R73" s="8">
        <f>bdrate(C73:C76,E73:E76,J73:J76,L73:L76)</f>
        <v>-0.18827672415248642</v>
      </c>
      <c r="S73" s="8">
        <f>bdrate(C73:C76,F73:F76,J73:J76,M73:M76)</f>
        <v>-0.19482376069618901</v>
      </c>
      <c r="T73" s="25">
        <f>bdrate(C73:C76,H73:H76,J73:J76,O73:O76)</f>
        <v>-7.0027269092759248E-2</v>
      </c>
      <c r="U73" s="28">
        <f t="shared" ref="U73:U80" si="3">(N73-G73)/G73</f>
        <v>0.31208791208791203</v>
      </c>
    </row>
    <row r="74" spans="1:21" x14ac:dyDescent="0.25">
      <c r="B74" s="9"/>
      <c r="C74" s="17">
        <v>933.71</v>
      </c>
      <c r="D74" s="18">
        <v>42.295999999999999</v>
      </c>
      <c r="E74" s="18">
        <v>47.188000000000002</v>
      </c>
      <c r="F74" s="18">
        <v>47.811</v>
      </c>
      <c r="G74" s="18">
        <v>6.03</v>
      </c>
      <c r="H74" s="18">
        <f t="shared" si="0"/>
        <v>43.596874999999997</v>
      </c>
      <c r="I74" s="5"/>
      <c r="J74" s="17">
        <v>989.19280000000003</v>
      </c>
      <c r="K74" s="18">
        <v>42.532899999999998</v>
      </c>
      <c r="L74" s="18">
        <v>47.784199999999998</v>
      </c>
      <c r="M74" s="18">
        <v>48.460700000000003</v>
      </c>
      <c r="N74" s="18">
        <v>8.8638999999999992</v>
      </c>
      <c r="O74" s="18">
        <f t="shared" si="1"/>
        <v>43.930287499999991</v>
      </c>
      <c r="P74" s="7"/>
      <c r="Q74" s="10"/>
      <c r="R74" s="11"/>
      <c r="S74" s="11"/>
      <c r="T74" s="26"/>
      <c r="U74" s="28">
        <f t="shared" si="3"/>
        <v>0.46996683250414573</v>
      </c>
    </row>
    <row r="75" spans="1:21" x14ac:dyDescent="0.25">
      <c r="B75" s="9"/>
      <c r="C75" s="17">
        <v>550.41999999999996</v>
      </c>
      <c r="D75" s="18">
        <v>41.537999999999997</v>
      </c>
      <c r="E75" s="18">
        <v>46.332000000000001</v>
      </c>
      <c r="F75" s="18">
        <v>46.929000000000002</v>
      </c>
      <c r="G75" s="18">
        <v>6.8</v>
      </c>
      <c r="H75" s="18">
        <f t="shared" si="0"/>
        <v>42.811125000000004</v>
      </c>
      <c r="I75" s="5"/>
      <c r="J75" s="17">
        <v>585.03359999999998</v>
      </c>
      <c r="K75" s="18">
        <v>41.715000000000003</v>
      </c>
      <c r="L75" s="18">
        <v>46.8889</v>
      </c>
      <c r="M75" s="18">
        <v>47.5336</v>
      </c>
      <c r="N75" s="18">
        <v>11.7005</v>
      </c>
      <c r="O75" s="18">
        <f t="shared" si="1"/>
        <v>43.089062499999997</v>
      </c>
      <c r="P75" s="7"/>
      <c r="Q75" s="10"/>
      <c r="R75" s="11"/>
      <c r="S75" s="11"/>
      <c r="T75" s="26"/>
      <c r="U75" s="28">
        <f t="shared" si="3"/>
        <v>0.72066176470588239</v>
      </c>
    </row>
    <row r="76" spans="1:21" ht="16.5" thickBot="1" x14ac:dyDescent="0.3">
      <c r="B76" s="12"/>
      <c r="C76" s="19">
        <v>263.45</v>
      </c>
      <c r="D76" s="20">
        <v>39.932000000000002</v>
      </c>
      <c r="E76" s="20">
        <v>44.823</v>
      </c>
      <c r="F76" s="20">
        <v>45.396999999999998</v>
      </c>
      <c r="G76" s="20">
        <v>7.98</v>
      </c>
      <c r="H76" s="20">
        <f t="shared" si="0"/>
        <v>41.226500000000001</v>
      </c>
      <c r="I76" s="5"/>
      <c r="J76" s="19">
        <v>279.47199999999998</v>
      </c>
      <c r="K76" s="20">
        <v>39.840699999999998</v>
      </c>
      <c r="L76" s="20">
        <v>45.022799999999997</v>
      </c>
      <c r="M76" s="20">
        <v>45.571800000000003</v>
      </c>
      <c r="N76" s="20">
        <v>17.047899999999998</v>
      </c>
      <c r="O76" s="20">
        <f t="shared" si="1"/>
        <v>41.20485</v>
      </c>
      <c r="P76" s="7"/>
      <c r="Q76" s="13"/>
      <c r="R76" s="14"/>
      <c r="S76" s="14"/>
      <c r="T76" s="27"/>
      <c r="U76" s="28">
        <f t="shared" si="3"/>
        <v>1.1363283208020047</v>
      </c>
    </row>
    <row r="77" spans="1:21" x14ac:dyDescent="0.25">
      <c r="B77" s="6" t="s">
        <v>63</v>
      </c>
      <c r="C77" s="15">
        <v>1481.93</v>
      </c>
      <c r="D77" s="16">
        <v>42.686</v>
      </c>
      <c r="E77" s="16">
        <v>46.889000000000003</v>
      </c>
      <c r="F77" s="16">
        <v>47.774000000000001</v>
      </c>
      <c r="G77" s="16">
        <v>4.79</v>
      </c>
      <c r="H77" s="16">
        <f t="shared" si="0"/>
        <v>43.847375</v>
      </c>
      <c r="I77" s="5"/>
      <c r="J77" s="15">
        <v>1522.66</v>
      </c>
      <c r="K77" s="16">
        <v>42.971299999999999</v>
      </c>
      <c r="L77" s="16">
        <v>47.419199999999996</v>
      </c>
      <c r="M77" s="16">
        <v>48.343699999999998</v>
      </c>
      <c r="N77" s="16">
        <v>6.5637999999999996</v>
      </c>
      <c r="O77" s="16">
        <f t="shared" si="1"/>
        <v>44.198837500000003</v>
      </c>
      <c r="P77" s="7"/>
      <c r="Q77" s="8">
        <f>bdrate(C77:C80,D77:D80,J77:J80,K77:K80)</f>
        <v>-3.3847123569311854E-2</v>
      </c>
      <c r="R77" s="8">
        <f>bdrate(C77:C80,E77:E80,J77:J80,L77:L80)</f>
        <v>-0.17614621811492404</v>
      </c>
      <c r="S77" s="8">
        <f>bdrate(C77:C80,F77:F80,J77:J80,M77:M80)</f>
        <v>-0.15793362900073793</v>
      </c>
      <c r="T77" s="25">
        <f>bdrate(C77:C80,H77:H80,J77:J80,O77:O80)</f>
        <v>-6.6405645277756387E-2</v>
      </c>
      <c r="U77" s="28">
        <f t="shared" si="3"/>
        <v>0.37031315240083501</v>
      </c>
    </row>
    <row r="78" spans="1:21" x14ac:dyDescent="0.25">
      <c r="B78" s="9"/>
      <c r="C78" s="17">
        <v>983.91</v>
      </c>
      <c r="D78" s="18">
        <v>41.973999999999997</v>
      </c>
      <c r="E78" s="18">
        <v>46.09</v>
      </c>
      <c r="F78" s="18">
        <v>47.048999999999999</v>
      </c>
      <c r="G78" s="18">
        <v>5.42</v>
      </c>
      <c r="H78" s="18">
        <f t="shared" si="0"/>
        <v>43.122874999999993</v>
      </c>
      <c r="I78" s="5"/>
      <c r="J78" s="17">
        <v>1009.932</v>
      </c>
      <c r="K78" s="18">
        <v>42.190899999999999</v>
      </c>
      <c r="L78" s="18">
        <v>46.656199999999998</v>
      </c>
      <c r="M78" s="18">
        <v>47.554200000000002</v>
      </c>
      <c r="N78" s="18">
        <v>8.1338000000000008</v>
      </c>
      <c r="O78" s="18">
        <f t="shared" si="1"/>
        <v>43.419474999999998</v>
      </c>
      <c r="P78" s="7"/>
      <c r="Q78" s="10"/>
      <c r="R78" s="11"/>
      <c r="S78" s="11"/>
      <c r="T78" s="26"/>
      <c r="U78" s="28">
        <f t="shared" si="3"/>
        <v>0.50070110701107029</v>
      </c>
    </row>
    <row r="79" spans="1:21" x14ac:dyDescent="0.25">
      <c r="B79" s="9"/>
      <c r="C79" s="17">
        <v>587.27</v>
      </c>
      <c r="D79" s="18">
        <v>40.735999999999997</v>
      </c>
      <c r="E79" s="18">
        <v>44.835999999999999</v>
      </c>
      <c r="F79" s="18">
        <v>45.767000000000003</v>
      </c>
      <c r="G79" s="18">
        <v>6.22</v>
      </c>
      <c r="H79" s="18">
        <f t="shared" si="0"/>
        <v>41.877375000000001</v>
      </c>
      <c r="I79" s="5"/>
      <c r="J79" s="17">
        <v>590.18880000000001</v>
      </c>
      <c r="K79" s="18">
        <v>40.888800000000003</v>
      </c>
      <c r="L79" s="18">
        <v>45.414999999999999</v>
      </c>
      <c r="M79" s="18">
        <v>46.299399999999999</v>
      </c>
      <c r="N79" s="18">
        <v>10.421900000000001</v>
      </c>
      <c r="O79" s="18">
        <f t="shared" si="1"/>
        <v>42.130900000000004</v>
      </c>
      <c r="P79" s="7"/>
      <c r="Q79" s="10"/>
      <c r="R79" s="11"/>
      <c r="S79" s="11"/>
      <c r="T79" s="26"/>
      <c r="U79" s="28">
        <f t="shared" si="3"/>
        <v>0.67554662379421238</v>
      </c>
    </row>
    <row r="80" spans="1:21" ht="16.5" thickBot="1" x14ac:dyDescent="0.3">
      <c r="B80" s="12"/>
      <c r="C80" s="19">
        <v>286.16000000000003</v>
      </c>
      <c r="D80" s="20">
        <v>38.601999999999997</v>
      </c>
      <c r="E80" s="20">
        <v>43.143999999999998</v>
      </c>
      <c r="F80" s="20">
        <v>44.051000000000002</v>
      </c>
      <c r="G80" s="20">
        <v>7.48</v>
      </c>
      <c r="H80" s="20">
        <f t="shared" si="0"/>
        <v>39.850874999999995</v>
      </c>
      <c r="I80" s="5"/>
      <c r="J80" s="19">
        <v>287.096</v>
      </c>
      <c r="K80" s="20">
        <v>38.301099999999998</v>
      </c>
      <c r="L80" s="20">
        <v>43.250100000000003</v>
      </c>
      <c r="M80" s="20">
        <v>44.115400000000001</v>
      </c>
      <c r="N80" s="20">
        <v>15.319800000000001</v>
      </c>
      <c r="O80" s="20">
        <f t="shared" si="1"/>
        <v>39.6465125</v>
      </c>
      <c r="P80" s="7"/>
      <c r="Q80" s="13"/>
      <c r="R80" s="14"/>
      <c r="S80" s="14"/>
      <c r="T80" s="27"/>
      <c r="U80" s="28">
        <f t="shared" si="3"/>
        <v>1.0481016042780749</v>
      </c>
    </row>
    <row r="81" spans="2:21" ht="16.5" thickBot="1" x14ac:dyDescent="0.3">
      <c r="B81" s="22" t="s">
        <v>22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1">
        <f>AVERAGE(Q9:Q80)</f>
        <v>-2.0211351158713961E-2</v>
      </c>
      <c r="R81" s="21">
        <f>AVERAGE(R9:R80)</f>
        <v>-0.25468704754354854</v>
      </c>
      <c r="S81" s="21">
        <f>AVERAGE(S9:S80)</f>
        <v>-0.22676174717830858</v>
      </c>
      <c r="T81" s="21">
        <f>AVERAGE(T9:T80)</f>
        <v>-6.4071855083452436E-2</v>
      </c>
      <c r="U81" s="21">
        <f>AVERAGE(U9:U80)</f>
        <v>0.53667906351061945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5" priority="271" operator="greaterThan">
      <formula>0.03</formula>
    </cfRule>
    <cfRule type="cellIs" dxfId="14" priority="272" stopIfTrue="1" operator="lessThan">
      <formula>-0.03</formula>
    </cfRule>
  </conditionalFormatting>
  <conditionalFormatting sqref="Q33:T36">
    <cfRule type="cellIs" dxfId="13" priority="269" operator="greaterThan">
      <formula>0.03</formula>
    </cfRule>
    <cfRule type="cellIs" dxfId="12" priority="270" stopIfTrue="1" operator="lessThan">
      <formula>-0.03</formula>
    </cfRule>
  </conditionalFormatting>
  <conditionalFormatting sqref="Q45:T48 Q61:T64">
    <cfRule type="cellIs" dxfId="11" priority="267" operator="greaterThan">
      <formula>0.03</formula>
    </cfRule>
    <cfRule type="cellIs" dxfId="10" priority="268" stopIfTrue="1" operator="lessThan">
      <formula>-0.03</formula>
    </cfRule>
  </conditionalFormatting>
  <conditionalFormatting sqref="Q49:T60">
    <cfRule type="cellIs" dxfId="9" priority="265" operator="greaterThan">
      <formula>0.03</formula>
    </cfRule>
    <cfRule type="cellIs" dxfId="8" priority="266" stopIfTrue="1" operator="lessThan">
      <formula>-0.03</formula>
    </cfRule>
  </conditionalFormatting>
  <conditionalFormatting sqref="Q69:T76">
    <cfRule type="cellIs" dxfId="7" priority="263" operator="greaterThan">
      <formula>0.03</formula>
    </cfRule>
    <cfRule type="cellIs" dxfId="6" priority="264" stopIfTrue="1" operator="lessThan">
      <formula>-0.03</formula>
    </cfRule>
  </conditionalFormatting>
  <conditionalFormatting sqref="Q65:T68">
    <cfRule type="cellIs" dxfId="5" priority="261" operator="greaterThan">
      <formula>0.03</formula>
    </cfRule>
    <cfRule type="cellIs" dxfId="4" priority="262" stopIfTrue="1" operator="lessThan">
      <formula>-0.03</formula>
    </cfRule>
  </conditionalFormatting>
  <conditionalFormatting sqref="Q77:T80">
    <cfRule type="cellIs" dxfId="3" priority="259" operator="greaterThan">
      <formula>0.03</formula>
    </cfRule>
    <cfRule type="cellIs" dxfId="2" priority="260" stopIfTrue="1" operator="lessThan">
      <formula>-0.03</formula>
    </cfRule>
  </conditionalFormatting>
  <conditionalFormatting sqref="Q21:T28">
    <cfRule type="cellIs" dxfId="1" priority="257" operator="greaterThan">
      <formula>0.03</formula>
    </cfRule>
    <cfRule type="cellIs" dxfId="0" priority="258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Intra All-I</vt:lpstr>
      <vt:lpstr>Summary</vt:lpstr>
      <vt:lpstr>X264vsQY265_zerolaten_veryfast</vt:lpstr>
      <vt:lpstr>X264vsQY265_offline_veryfast</vt:lpstr>
      <vt:lpstr>X264vsQY265_offline_slow</vt:lpstr>
      <vt:lpstr>X264vsQY265_offline_placebo</vt:lpstr>
      <vt:lpstr>X265vsQY265_zerolaten_ultrafast</vt:lpstr>
      <vt:lpstr>X265vsQY265_offline_ultrafast</vt:lpstr>
      <vt:lpstr>X265vsQY265_offline_slow</vt:lpstr>
      <vt:lpstr>X265vsQY265_offline_veryslow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2016-11-09T10:32:00Z</dcterms:modified>
</cp:coreProperties>
</file>