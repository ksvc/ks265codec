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qianyi\ksc265codec\"/>
    </mc:Choice>
  </mc:AlternateContent>
  <bookViews>
    <workbookView xWindow="0" yWindow="0" windowWidth="28800" windowHeight="12450" tabRatio="813" firstSheet="1" activeTab="5"/>
  </bookViews>
  <sheets>
    <sheet name="Intra All-I" sheetId="69" state="hidden" r:id="rId1"/>
    <sheet name="Summary" sheetId="135" r:id="rId2"/>
    <sheet name="X264vsQY265_superfast" sheetId="140" r:id="rId3"/>
    <sheet name="X264vsQY265_veryfast" sheetId="112" r:id="rId4"/>
    <sheet name="X264vsQY265_fast" sheetId="141" r:id="rId5"/>
    <sheet name="X264vsQY265_medium" sheetId="119" r:id="rId6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O230" i="140" l="1"/>
  <c r="O229" i="140"/>
  <c r="O228" i="140"/>
  <c r="O227" i="140"/>
  <c r="O226" i="140"/>
  <c r="O225" i="140"/>
  <c r="O224" i="140"/>
  <c r="O223" i="140"/>
  <c r="O222" i="140"/>
  <c r="O221" i="140"/>
  <c r="O220" i="140"/>
  <c r="O219" i="140"/>
  <c r="O218" i="140"/>
  <c r="O217" i="140"/>
  <c r="O216" i="140"/>
  <c r="O215" i="140"/>
  <c r="O214" i="140"/>
  <c r="O213" i="140"/>
  <c r="O212" i="140"/>
  <c r="O211" i="140"/>
  <c r="O210" i="140"/>
  <c r="O209" i="140"/>
  <c r="O208" i="140"/>
  <c r="O207" i="140"/>
  <c r="O206" i="140"/>
  <c r="O205" i="140"/>
  <c r="O204" i="140"/>
  <c r="O203" i="140"/>
  <c r="O202" i="140"/>
  <c r="O201" i="140"/>
  <c r="O200" i="140"/>
  <c r="O199" i="140"/>
  <c r="O198" i="140"/>
  <c r="O197" i="140"/>
  <c r="O196" i="140"/>
  <c r="O195" i="140"/>
  <c r="O194" i="140"/>
  <c r="O193" i="140"/>
  <c r="O192" i="140"/>
  <c r="O191" i="140"/>
  <c r="O190" i="140"/>
  <c r="O189" i="140"/>
  <c r="O188" i="140"/>
  <c r="O187" i="140"/>
  <c r="O186" i="140"/>
  <c r="O185" i="140"/>
  <c r="O184" i="140"/>
  <c r="O183" i="140"/>
  <c r="O182" i="140"/>
  <c r="O181" i="140"/>
  <c r="O180" i="140"/>
  <c r="O179" i="140"/>
  <c r="O178" i="140"/>
  <c r="O177" i="140"/>
  <c r="O176" i="140"/>
  <c r="O175" i="140"/>
  <c r="O174" i="140"/>
  <c r="O173" i="140"/>
  <c r="O172" i="140"/>
  <c r="O171" i="140"/>
  <c r="O170" i="140"/>
  <c r="O169" i="140"/>
  <c r="O168" i="140"/>
  <c r="O167" i="140"/>
  <c r="O166" i="140"/>
  <c r="O165" i="140"/>
  <c r="O164" i="140"/>
  <c r="O163" i="140"/>
  <c r="O162" i="140"/>
  <c r="O161" i="140"/>
  <c r="O160" i="140"/>
  <c r="O159" i="140"/>
  <c r="O158" i="140"/>
  <c r="O157" i="140"/>
  <c r="O156" i="140"/>
  <c r="O155" i="140"/>
  <c r="O154" i="140"/>
  <c r="O153" i="140"/>
  <c r="O152" i="140"/>
  <c r="O151" i="140"/>
  <c r="O150" i="140"/>
  <c r="O149" i="140"/>
  <c r="O148" i="140"/>
  <c r="O147" i="140"/>
  <c r="O146" i="140"/>
  <c r="O145" i="140"/>
  <c r="O144" i="140"/>
  <c r="O143" i="140"/>
  <c r="O142" i="140"/>
  <c r="O141" i="140"/>
  <c r="O140" i="140"/>
  <c r="O139" i="140"/>
  <c r="O138" i="140"/>
  <c r="O137" i="140"/>
  <c r="O136" i="140"/>
  <c r="O135" i="140"/>
  <c r="O134" i="140"/>
  <c r="O133" i="140"/>
  <c r="O132" i="140"/>
  <c r="O131" i="140"/>
  <c r="O130" i="140"/>
  <c r="O129" i="140"/>
  <c r="O128" i="140"/>
  <c r="O127" i="140"/>
  <c r="O126" i="140"/>
  <c r="O125" i="140"/>
  <c r="O124" i="140"/>
  <c r="O123" i="140"/>
  <c r="O116" i="140"/>
  <c r="O115" i="140"/>
  <c r="O114" i="140"/>
  <c r="O113" i="140"/>
  <c r="O112" i="140"/>
  <c r="O111" i="140"/>
  <c r="O110" i="140"/>
  <c r="O109" i="140"/>
  <c r="O108" i="140"/>
  <c r="O107" i="140"/>
  <c r="O106" i="140"/>
  <c r="O105" i="140"/>
  <c r="O104" i="140"/>
  <c r="O103" i="140"/>
  <c r="O102" i="140"/>
  <c r="O101" i="140"/>
  <c r="O100" i="140"/>
  <c r="O99" i="140"/>
  <c r="O98" i="140"/>
  <c r="O97" i="140"/>
  <c r="O96" i="140"/>
  <c r="O95" i="140"/>
  <c r="O94" i="140"/>
  <c r="O93" i="140"/>
  <c r="O92" i="140"/>
  <c r="O91" i="140"/>
  <c r="O90" i="140"/>
  <c r="O89" i="140"/>
  <c r="O88" i="140"/>
  <c r="O87" i="140"/>
  <c r="O86" i="140"/>
  <c r="O85" i="140"/>
  <c r="O84" i="140"/>
  <c r="O83" i="140"/>
  <c r="O82" i="140"/>
  <c r="O81" i="140"/>
  <c r="O80" i="140"/>
  <c r="O79" i="140"/>
  <c r="O78" i="140"/>
  <c r="O77" i="140"/>
  <c r="O76" i="140"/>
  <c r="O75" i="140"/>
  <c r="O74" i="140"/>
  <c r="O73" i="140"/>
  <c r="O72" i="140"/>
  <c r="O71" i="140"/>
  <c r="O70" i="140"/>
  <c r="O69" i="140"/>
  <c r="O68" i="140"/>
  <c r="O67" i="140"/>
  <c r="O66" i="140"/>
  <c r="O65" i="140"/>
  <c r="O64" i="140"/>
  <c r="O63" i="140"/>
  <c r="O62" i="140"/>
  <c r="O61" i="140"/>
  <c r="O60" i="140"/>
  <c r="O59" i="140"/>
  <c r="O58" i="140"/>
  <c r="O57" i="140"/>
  <c r="O56" i="140"/>
  <c r="O55" i="140"/>
  <c r="O54" i="140"/>
  <c r="O53" i="140"/>
  <c r="O52" i="140"/>
  <c r="O51" i="140"/>
  <c r="O50" i="140"/>
  <c r="O49" i="140"/>
  <c r="O48" i="140"/>
  <c r="O47" i="140"/>
  <c r="O46" i="140"/>
  <c r="O45" i="140"/>
  <c r="O44" i="140"/>
  <c r="O43" i="140"/>
  <c r="O42" i="140"/>
  <c r="O41" i="140"/>
  <c r="O40" i="140"/>
  <c r="O39" i="140"/>
  <c r="O38" i="140"/>
  <c r="O37" i="140"/>
  <c r="O36" i="140"/>
  <c r="O35" i="140"/>
  <c r="O34" i="140"/>
  <c r="O33" i="140"/>
  <c r="O32" i="140"/>
  <c r="O31" i="140"/>
  <c r="O30" i="140"/>
  <c r="O29" i="140"/>
  <c r="O28" i="140"/>
  <c r="O27" i="140"/>
  <c r="O26" i="140"/>
  <c r="O25" i="140"/>
  <c r="O24" i="140"/>
  <c r="O23" i="140"/>
  <c r="O22" i="140"/>
  <c r="O21" i="140"/>
  <c r="O20" i="140"/>
  <c r="O19" i="140"/>
  <c r="O18" i="140"/>
  <c r="O17" i="140"/>
  <c r="O16" i="140"/>
  <c r="O15" i="140"/>
  <c r="O14" i="140"/>
  <c r="O13" i="140"/>
  <c r="O12" i="140"/>
  <c r="O11" i="140"/>
  <c r="O10" i="140"/>
  <c r="O9" i="140"/>
  <c r="V230" i="119"/>
  <c r="V229" i="119"/>
  <c r="V228" i="119"/>
  <c r="V227" i="119"/>
  <c r="V226" i="119"/>
  <c r="V225" i="119"/>
  <c r="V224" i="119"/>
  <c r="V223" i="119"/>
  <c r="V222" i="119"/>
  <c r="V221" i="119"/>
  <c r="V220" i="119"/>
  <c r="V219" i="119"/>
  <c r="V218" i="119"/>
  <c r="V217" i="119"/>
  <c r="V216" i="119"/>
  <c r="V215" i="119"/>
  <c r="V214" i="119"/>
  <c r="V213" i="119"/>
  <c r="V212" i="119"/>
  <c r="V211" i="119"/>
  <c r="V210" i="119"/>
  <c r="V209" i="119"/>
  <c r="V208" i="119"/>
  <c r="V207" i="119"/>
  <c r="V206" i="119"/>
  <c r="V205" i="119"/>
  <c r="V204" i="119"/>
  <c r="V203" i="119"/>
  <c r="V202" i="119"/>
  <c r="V201" i="119"/>
  <c r="V200" i="119"/>
  <c r="V199" i="119"/>
  <c r="V198" i="119"/>
  <c r="V197" i="119"/>
  <c r="V196" i="119"/>
  <c r="V195" i="119"/>
  <c r="V194" i="119"/>
  <c r="V193" i="119"/>
  <c r="V192" i="119"/>
  <c r="V191" i="119"/>
  <c r="V190" i="119"/>
  <c r="V189" i="119"/>
  <c r="V188" i="119"/>
  <c r="V187" i="119"/>
  <c r="V186" i="119"/>
  <c r="V185" i="119"/>
  <c r="V184" i="119"/>
  <c r="V183" i="119"/>
  <c r="V182" i="119"/>
  <c r="V181" i="119"/>
  <c r="V180" i="119"/>
  <c r="V179" i="119"/>
  <c r="V178" i="119"/>
  <c r="V177" i="119"/>
  <c r="V176" i="119"/>
  <c r="V175" i="119"/>
  <c r="V174" i="119"/>
  <c r="V173" i="119"/>
  <c r="V172" i="119"/>
  <c r="V171" i="119"/>
  <c r="V170" i="119"/>
  <c r="V169" i="119"/>
  <c r="V168" i="119"/>
  <c r="V167" i="119"/>
  <c r="V166" i="119"/>
  <c r="V165" i="119"/>
  <c r="V164" i="119"/>
  <c r="V163" i="119"/>
  <c r="V162" i="119"/>
  <c r="V161" i="119"/>
  <c r="V160" i="119"/>
  <c r="V159" i="119"/>
  <c r="V158" i="119"/>
  <c r="V157" i="119"/>
  <c r="V156" i="119"/>
  <c r="V155" i="119"/>
  <c r="V154" i="119"/>
  <c r="V153" i="119"/>
  <c r="V152" i="119"/>
  <c r="V151" i="119"/>
  <c r="V150" i="119"/>
  <c r="V149" i="119"/>
  <c r="V148" i="119"/>
  <c r="V147" i="119"/>
  <c r="V146" i="119"/>
  <c r="V145" i="119"/>
  <c r="V144" i="119"/>
  <c r="V143" i="119"/>
  <c r="V142" i="119"/>
  <c r="V141" i="119"/>
  <c r="V140" i="119"/>
  <c r="V139" i="119"/>
  <c r="V138" i="119"/>
  <c r="V137" i="119"/>
  <c r="V136" i="119"/>
  <c r="V135" i="119"/>
  <c r="V134" i="119"/>
  <c r="V133" i="119"/>
  <c r="V132" i="119"/>
  <c r="V131" i="119"/>
  <c r="V130" i="119"/>
  <c r="V129" i="119"/>
  <c r="V128" i="119"/>
  <c r="V127" i="119"/>
  <c r="V126" i="119"/>
  <c r="V125" i="119"/>
  <c r="V124" i="119"/>
  <c r="V123" i="119"/>
  <c r="V116" i="119"/>
  <c r="V115" i="119"/>
  <c r="V114" i="119"/>
  <c r="V113" i="119"/>
  <c r="V112" i="119"/>
  <c r="V111" i="119"/>
  <c r="V110" i="119"/>
  <c r="V109" i="119"/>
  <c r="V108" i="119"/>
  <c r="V107" i="119"/>
  <c r="V106" i="119"/>
  <c r="V105" i="119"/>
  <c r="V104" i="119"/>
  <c r="V103" i="119"/>
  <c r="V102" i="119"/>
  <c r="V101" i="119"/>
  <c r="V100" i="119"/>
  <c r="V99" i="119"/>
  <c r="V98" i="119"/>
  <c r="V97" i="119"/>
  <c r="V96" i="119"/>
  <c r="V95" i="119"/>
  <c r="V94" i="119"/>
  <c r="V93" i="119"/>
  <c r="V92" i="119"/>
  <c r="V91" i="119"/>
  <c r="V90" i="119"/>
  <c r="V89" i="119"/>
  <c r="V88" i="119"/>
  <c r="V87" i="119"/>
  <c r="V86" i="119"/>
  <c r="V85" i="119"/>
  <c r="V84" i="119"/>
  <c r="V83" i="119"/>
  <c r="V82" i="119"/>
  <c r="V81" i="119"/>
  <c r="V80" i="119"/>
  <c r="V79" i="119"/>
  <c r="V78" i="119"/>
  <c r="V77" i="119"/>
  <c r="V76" i="119"/>
  <c r="V75" i="119"/>
  <c r="V74" i="119"/>
  <c r="V73" i="119"/>
  <c r="V72" i="119"/>
  <c r="V71" i="119"/>
  <c r="V70" i="119"/>
  <c r="V69" i="119"/>
  <c r="V68" i="119"/>
  <c r="V67" i="119"/>
  <c r="V66" i="119"/>
  <c r="V65" i="119"/>
  <c r="V64" i="119"/>
  <c r="V63" i="119"/>
  <c r="V62" i="119"/>
  <c r="V61" i="119"/>
  <c r="V60" i="119"/>
  <c r="V59" i="119"/>
  <c r="V58" i="119"/>
  <c r="V57" i="119"/>
  <c r="V56" i="119"/>
  <c r="V55" i="119"/>
  <c r="V54" i="119"/>
  <c r="V53" i="119"/>
  <c r="V52" i="119"/>
  <c r="V51" i="119"/>
  <c r="V50" i="119"/>
  <c r="V49" i="119"/>
  <c r="V48" i="119"/>
  <c r="V47" i="119"/>
  <c r="V46" i="119"/>
  <c r="V45" i="119"/>
  <c r="V44" i="119"/>
  <c r="V43" i="119"/>
  <c r="V42" i="119"/>
  <c r="V41" i="119"/>
  <c r="V40" i="119"/>
  <c r="V39" i="119"/>
  <c r="V38" i="119"/>
  <c r="V37" i="119"/>
  <c r="V36" i="119"/>
  <c r="V35" i="119"/>
  <c r="V34" i="119"/>
  <c r="V33" i="119"/>
  <c r="V32" i="119"/>
  <c r="V31" i="119"/>
  <c r="V30" i="119"/>
  <c r="V29" i="119"/>
  <c r="V28" i="119"/>
  <c r="V27" i="119"/>
  <c r="V26" i="119"/>
  <c r="V25" i="119"/>
  <c r="V24" i="119"/>
  <c r="V23" i="119"/>
  <c r="V22" i="119"/>
  <c r="V21" i="119"/>
  <c r="V20" i="119"/>
  <c r="V19" i="119"/>
  <c r="V18" i="119"/>
  <c r="V17" i="119"/>
  <c r="V16" i="119"/>
  <c r="V15" i="119"/>
  <c r="V14" i="119"/>
  <c r="V13" i="119"/>
  <c r="V12" i="119"/>
  <c r="V11" i="119"/>
  <c r="V10" i="119"/>
  <c r="V9" i="119"/>
  <c r="V230" i="141"/>
  <c r="V229" i="141"/>
  <c r="V228" i="141"/>
  <c r="V227" i="141"/>
  <c r="V226" i="141"/>
  <c r="V225" i="141"/>
  <c r="V224" i="141"/>
  <c r="V223" i="141"/>
  <c r="V222" i="141"/>
  <c r="V221" i="141"/>
  <c r="V220" i="141"/>
  <c r="V219" i="141"/>
  <c r="V218" i="141"/>
  <c r="V217" i="141"/>
  <c r="V216" i="141"/>
  <c r="V215" i="141"/>
  <c r="V214" i="141"/>
  <c r="V213" i="141"/>
  <c r="V212" i="141"/>
  <c r="V211" i="141"/>
  <c r="V210" i="141"/>
  <c r="V209" i="141"/>
  <c r="V208" i="141"/>
  <c r="V207" i="141"/>
  <c r="V206" i="141"/>
  <c r="V205" i="141"/>
  <c r="V204" i="141"/>
  <c r="V203" i="141"/>
  <c r="V202" i="141"/>
  <c r="V201" i="141"/>
  <c r="V200" i="141"/>
  <c r="V199" i="141"/>
  <c r="V198" i="141"/>
  <c r="V197" i="141"/>
  <c r="V196" i="141"/>
  <c r="V195" i="141"/>
  <c r="V194" i="141"/>
  <c r="V193" i="141"/>
  <c r="V192" i="141"/>
  <c r="V191" i="141"/>
  <c r="V190" i="141"/>
  <c r="V189" i="141"/>
  <c r="V188" i="141"/>
  <c r="V187" i="141"/>
  <c r="V186" i="141"/>
  <c r="V185" i="141"/>
  <c r="V184" i="141"/>
  <c r="V183" i="141"/>
  <c r="V182" i="141"/>
  <c r="V181" i="141"/>
  <c r="V180" i="141"/>
  <c r="V179" i="141"/>
  <c r="V178" i="141"/>
  <c r="V177" i="141"/>
  <c r="V176" i="141"/>
  <c r="V175" i="141"/>
  <c r="V174" i="141"/>
  <c r="V173" i="141"/>
  <c r="V172" i="141"/>
  <c r="V171" i="141"/>
  <c r="V170" i="141"/>
  <c r="V169" i="141"/>
  <c r="V168" i="141"/>
  <c r="V167" i="141"/>
  <c r="V166" i="141"/>
  <c r="V165" i="141"/>
  <c r="V164" i="141"/>
  <c r="V163" i="141"/>
  <c r="V162" i="141"/>
  <c r="V161" i="141"/>
  <c r="V160" i="141"/>
  <c r="V159" i="141"/>
  <c r="V158" i="141"/>
  <c r="V157" i="141"/>
  <c r="V156" i="141"/>
  <c r="V155" i="141"/>
  <c r="V154" i="141"/>
  <c r="V153" i="141"/>
  <c r="V152" i="141"/>
  <c r="V151" i="141"/>
  <c r="V150" i="141"/>
  <c r="V149" i="141"/>
  <c r="V148" i="141"/>
  <c r="V147" i="141"/>
  <c r="V146" i="141"/>
  <c r="V145" i="141"/>
  <c r="V144" i="141"/>
  <c r="V143" i="141"/>
  <c r="V142" i="141"/>
  <c r="V141" i="141"/>
  <c r="V140" i="141"/>
  <c r="V139" i="141"/>
  <c r="V138" i="141"/>
  <c r="V137" i="141"/>
  <c r="V136" i="141"/>
  <c r="V135" i="141"/>
  <c r="V134" i="141"/>
  <c r="V133" i="141"/>
  <c r="V132" i="141"/>
  <c r="V131" i="141"/>
  <c r="V130" i="141"/>
  <c r="V129" i="141"/>
  <c r="V128" i="141"/>
  <c r="V127" i="141"/>
  <c r="V126" i="141"/>
  <c r="V125" i="141"/>
  <c r="V124" i="141"/>
  <c r="V123" i="141"/>
  <c r="V116" i="141"/>
  <c r="V115" i="141"/>
  <c r="V114" i="141"/>
  <c r="V113" i="141"/>
  <c r="V112" i="141"/>
  <c r="V111" i="141"/>
  <c r="V110" i="141"/>
  <c r="V109" i="141"/>
  <c r="V108" i="141"/>
  <c r="V107" i="141"/>
  <c r="V106" i="141"/>
  <c r="V105" i="141"/>
  <c r="V104" i="141"/>
  <c r="V103" i="141"/>
  <c r="V102" i="141"/>
  <c r="V101" i="141"/>
  <c r="V100" i="141"/>
  <c r="V99" i="141"/>
  <c r="V98" i="141"/>
  <c r="V97" i="141"/>
  <c r="V96" i="141"/>
  <c r="V95" i="141"/>
  <c r="V94" i="141"/>
  <c r="V93" i="141"/>
  <c r="V92" i="141"/>
  <c r="V91" i="141"/>
  <c r="V90" i="141"/>
  <c r="V89" i="141"/>
  <c r="V88" i="141"/>
  <c r="V87" i="141"/>
  <c r="V86" i="141"/>
  <c r="V85" i="141"/>
  <c r="V84" i="141"/>
  <c r="V83" i="141"/>
  <c r="V82" i="141"/>
  <c r="V81" i="141"/>
  <c r="V80" i="141"/>
  <c r="V79" i="141"/>
  <c r="V78" i="141"/>
  <c r="V77" i="141"/>
  <c r="V76" i="141"/>
  <c r="V75" i="141"/>
  <c r="V74" i="141"/>
  <c r="V73" i="141"/>
  <c r="V72" i="141"/>
  <c r="V71" i="141"/>
  <c r="V70" i="141"/>
  <c r="V69" i="141"/>
  <c r="V68" i="141"/>
  <c r="V67" i="141"/>
  <c r="V66" i="141"/>
  <c r="V65" i="141"/>
  <c r="V64" i="141"/>
  <c r="V63" i="141"/>
  <c r="V62" i="141"/>
  <c r="V61" i="141"/>
  <c r="V60" i="141"/>
  <c r="V59" i="141"/>
  <c r="V58" i="141"/>
  <c r="V57" i="141"/>
  <c r="V56" i="141"/>
  <c r="V55" i="141"/>
  <c r="V54" i="141"/>
  <c r="V53" i="141"/>
  <c r="V52" i="141"/>
  <c r="V51" i="141"/>
  <c r="V50" i="141"/>
  <c r="V49" i="141"/>
  <c r="V48" i="141"/>
  <c r="V47" i="141"/>
  <c r="V46" i="141"/>
  <c r="V45" i="141"/>
  <c r="V44" i="141"/>
  <c r="V43" i="141"/>
  <c r="V42" i="141"/>
  <c r="V41" i="141"/>
  <c r="V40" i="141"/>
  <c r="V39" i="141"/>
  <c r="V38" i="141"/>
  <c r="V37" i="141"/>
  <c r="V36" i="141"/>
  <c r="V35" i="141"/>
  <c r="V34" i="141"/>
  <c r="V33" i="141"/>
  <c r="V32" i="141"/>
  <c r="V31" i="141"/>
  <c r="V30" i="141"/>
  <c r="V29" i="141"/>
  <c r="V28" i="141"/>
  <c r="V27" i="141"/>
  <c r="V26" i="141"/>
  <c r="V25" i="141"/>
  <c r="V24" i="141"/>
  <c r="V23" i="141"/>
  <c r="V22" i="141"/>
  <c r="V21" i="141"/>
  <c r="V20" i="141"/>
  <c r="V19" i="141"/>
  <c r="V18" i="141"/>
  <c r="V17" i="141"/>
  <c r="V16" i="141"/>
  <c r="V15" i="141"/>
  <c r="V14" i="141"/>
  <c r="V13" i="141"/>
  <c r="V12" i="141"/>
  <c r="V11" i="141"/>
  <c r="V10" i="141"/>
  <c r="V9" i="141"/>
  <c r="V230" i="112"/>
  <c r="V229" i="112"/>
  <c r="V228" i="112"/>
  <c r="V227" i="112"/>
  <c r="V226" i="112"/>
  <c r="V225" i="112"/>
  <c r="V224" i="112"/>
  <c r="V223" i="112"/>
  <c r="V222" i="112"/>
  <c r="V221" i="112"/>
  <c r="V220" i="112"/>
  <c r="V219" i="112"/>
  <c r="V218" i="112"/>
  <c r="V217" i="112"/>
  <c r="V216" i="112"/>
  <c r="V215" i="112"/>
  <c r="V214" i="112"/>
  <c r="V213" i="112"/>
  <c r="V212" i="112"/>
  <c r="V211" i="112"/>
  <c r="V210" i="112"/>
  <c r="V209" i="112"/>
  <c r="V208" i="112"/>
  <c r="V207" i="112"/>
  <c r="V206" i="112"/>
  <c r="V205" i="112"/>
  <c r="V204" i="112"/>
  <c r="V203" i="112"/>
  <c r="V202" i="112"/>
  <c r="V201" i="112"/>
  <c r="V200" i="112"/>
  <c r="V199" i="112"/>
  <c r="V198" i="112"/>
  <c r="V197" i="112"/>
  <c r="V196" i="112"/>
  <c r="V195" i="112"/>
  <c r="V194" i="112"/>
  <c r="V193" i="112"/>
  <c r="V192" i="112"/>
  <c r="V191" i="112"/>
  <c r="V190" i="112"/>
  <c r="V189" i="112"/>
  <c r="V188" i="112"/>
  <c r="V187" i="112"/>
  <c r="V186" i="112"/>
  <c r="V185" i="112"/>
  <c r="V184" i="112"/>
  <c r="V183" i="112"/>
  <c r="V182" i="112"/>
  <c r="V181" i="112"/>
  <c r="V180" i="112"/>
  <c r="V179" i="112"/>
  <c r="V178" i="112"/>
  <c r="V177" i="112"/>
  <c r="V176" i="112"/>
  <c r="V175" i="112"/>
  <c r="V174" i="112"/>
  <c r="V173" i="112"/>
  <c r="V172" i="112"/>
  <c r="V171" i="112"/>
  <c r="V170" i="112"/>
  <c r="V169" i="112"/>
  <c r="V168" i="112"/>
  <c r="V167" i="112"/>
  <c r="V166" i="112"/>
  <c r="V165" i="112"/>
  <c r="V164" i="112"/>
  <c r="V163" i="112"/>
  <c r="V162" i="112"/>
  <c r="V161" i="112"/>
  <c r="V160" i="112"/>
  <c r="V159" i="112"/>
  <c r="V158" i="112"/>
  <c r="V157" i="112"/>
  <c r="V156" i="112"/>
  <c r="V155" i="112"/>
  <c r="V154" i="112"/>
  <c r="V153" i="112"/>
  <c r="V152" i="112"/>
  <c r="V151" i="112"/>
  <c r="V150" i="112"/>
  <c r="V149" i="112"/>
  <c r="V148" i="112"/>
  <c r="V147" i="112"/>
  <c r="V146" i="112"/>
  <c r="V145" i="112"/>
  <c r="V144" i="112"/>
  <c r="V143" i="112"/>
  <c r="V142" i="112"/>
  <c r="V141" i="112"/>
  <c r="V140" i="112"/>
  <c r="V139" i="112"/>
  <c r="V138" i="112"/>
  <c r="V137" i="112"/>
  <c r="V136" i="112"/>
  <c r="V135" i="112"/>
  <c r="V134" i="112"/>
  <c r="V133" i="112"/>
  <c r="V132" i="112"/>
  <c r="V131" i="112"/>
  <c r="V130" i="112"/>
  <c r="V129" i="112"/>
  <c r="V128" i="112"/>
  <c r="V127" i="112"/>
  <c r="V126" i="112"/>
  <c r="V125" i="112"/>
  <c r="V124" i="112"/>
  <c r="V123" i="112"/>
  <c r="V116" i="112"/>
  <c r="V115" i="112"/>
  <c r="V114" i="112"/>
  <c r="V113" i="112"/>
  <c r="V112" i="112"/>
  <c r="V111" i="112"/>
  <c r="V110" i="112"/>
  <c r="V109" i="112"/>
  <c r="V108" i="112"/>
  <c r="V107" i="112"/>
  <c r="V106" i="112"/>
  <c r="V105" i="112"/>
  <c r="V104" i="112"/>
  <c r="V103" i="112"/>
  <c r="V102" i="112"/>
  <c r="V101" i="112"/>
  <c r="V100" i="112"/>
  <c r="V99" i="112"/>
  <c r="V98" i="112"/>
  <c r="V97" i="112"/>
  <c r="V96" i="112"/>
  <c r="V95" i="112"/>
  <c r="V94" i="112"/>
  <c r="V93" i="112"/>
  <c r="V92" i="112"/>
  <c r="V91" i="112"/>
  <c r="V90" i="112"/>
  <c r="V89" i="112"/>
  <c r="V88" i="112"/>
  <c r="V87" i="112"/>
  <c r="V86" i="112"/>
  <c r="V85" i="112"/>
  <c r="V84" i="112"/>
  <c r="V83" i="112"/>
  <c r="V82" i="112"/>
  <c r="V81" i="112"/>
  <c r="V80" i="112"/>
  <c r="V79" i="112"/>
  <c r="V78" i="112"/>
  <c r="V77" i="112"/>
  <c r="V76" i="112"/>
  <c r="V75" i="112"/>
  <c r="V74" i="112"/>
  <c r="V73" i="112"/>
  <c r="V72" i="112"/>
  <c r="V71" i="112"/>
  <c r="V70" i="112"/>
  <c r="V69" i="112"/>
  <c r="V68" i="112"/>
  <c r="V67" i="112"/>
  <c r="V66" i="112"/>
  <c r="V65" i="112"/>
  <c r="V64" i="112"/>
  <c r="V63" i="112"/>
  <c r="V62" i="112"/>
  <c r="V61" i="112"/>
  <c r="V60" i="112"/>
  <c r="V59" i="112"/>
  <c r="V58" i="112"/>
  <c r="V57" i="112"/>
  <c r="V56" i="112"/>
  <c r="V55" i="112"/>
  <c r="V54" i="112"/>
  <c r="V53" i="112"/>
  <c r="V52" i="112"/>
  <c r="V51" i="112"/>
  <c r="V50" i="112"/>
  <c r="V49" i="112"/>
  <c r="V48" i="112"/>
  <c r="V47" i="112"/>
  <c r="V46" i="112"/>
  <c r="V45" i="112"/>
  <c r="V44" i="112"/>
  <c r="V43" i="112"/>
  <c r="V42" i="112"/>
  <c r="V41" i="112"/>
  <c r="V40" i="112"/>
  <c r="V39" i="112"/>
  <c r="V38" i="112"/>
  <c r="V37" i="112"/>
  <c r="V36" i="112"/>
  <c r="V35" i="112"/>
  <c r="V34" i="112"/>
  <c r="V33" i="112"/>
  <c r="V32" i="112"/>
  <c r="V31" i="112"/>
  <c r="V30" i="112"/>
  <c r="V29" i="112"/>
  <c r="V28" i="112"/>
  <c r="V27" i="112"/>
  <c r="V26" i="112"/>
  <c r="V25" i="112"/>
  <c r="V24" i="112"/>
  <c r="V23" i="112"/>
  <c r="V22" i="112"/>
  <c r="V21" i="112"/>
  <c r="V20" i="112"/>
  <c r="V19" i="112"/>
  <c r="V18" i="112"/>
  <c r="V17" i="112"/>
  <c r="V16" i="112"/>
  <c r="V15" i="112"/>
  <c r="V14" i="112"/>
  <c r="V13" i="112"/>
  <c r="V12" i="112"/>
  <c r="V11" i="112"/>
  <c r="V10" i="112"/>
  <c r="V9" i="112"/>
  <c r="V230" i="140"/>
  <c r="V229" i="140"/>
  <c r="V228" i="140"/>
  <c r="V227" i="140"/>
  <c r="V226" i="140"/>
  <c r="V225" i="140"/>
  <c r="V224" i="140"/>
  <c r="V223" i="140"/>
  <c r="V222" i="140"/>
  <c r="V221" i="140"/>
  <c r="V220" i="140"/>
  <c r="V219" i="140"/>
  <c r="V218" i="140"/>
  <c r="V217" i="140"/>
  <c r="V216" i="140"/>
  <c r="V215" i="140"/>
  <c r="V214" i="140"/>
  <c r="V213" i="140"/>
  <c r="V212" i="140"/>
  <c r="V211" i="140"/>
  <c r="V210" i="140"/>
  <c r="V209" i="140"/>
  <c r="V208" i="140"/>
  <c r="V207" i="140"/>
  <c r="V206" i="140"/>
  <c r="V205" i="140"/>
  <c r="V204" i="140"/>
  <c r="V203" i="140"/>
  <c r="V202" i="140"/>
  <c r="V201" i="140"/>
  <c r="V200" i="140"/>
  <c r="V199" i="140"/>
  <c r="V198" i="140"/>
  <c r="V197" i="140"/>
  <c r="V196" i="140"/>
  <c r="V195" i="140"/>
  <c r="V194" i="140"/>
  <c r="V193" i="140"/>
  <c r="V192" i="140"/>
  <c r="V191" i="140"/>
  <c r="V190" i="140"/>
  <c r="V189" i="140"/>
  <c r="V188" i="140"/>
  <c r="V187" i="140"/>
  <c r="V186" i="140"/>
  <c r="V185" i="140"/>
  <c r="V184" i="140"/>
  <c r="V183" i="140"/>
  <c r="V182" i="140"/>
  <c r="V181" i="140"/>
  <c r="V180" i="140"/>
  <c r="V179" i="140"/>
  <c r="V178" i="140"/>
  <c r="V177" i="140"/>
  <c r="V176" i="140"/>
  <c r="V175" i="140"/>
  <c r="V174" i="140"/>
  <c r="V173" i="140"/>
  <c r="V172" i="140"/>
  <c r="V171" i="140"/>
  <c r="V170" i="140"/>
  <c r="V169" i="140"/>
  <c r="V168" i="140"/>
  <c r="V167" i="140"/>
  <c r="V166" i="140"/>
  <c r="V165" i="140"/>
  <c r="V164" i="140"/>
  <c r="V163" i="140"/>
  <c r="V162" i="140"/>
  <c r="V161" i="140"/>
  <c r="V160" i="140"/>
  <c r="V159" i="140"/>
  <c r="V158" i="140"/>
  <c r="V157" i="140"/>
  <c r="V156" i="140"/>
  <c r="V155" i="140"/>
  <c r="V154" i="140"/>
  <c r="V153" i="140"/>
  <c r="V152" i="140"/>
  <c r="V151" i="140"/>
  <c r="V150" i="140"/>
  <c r="V149" i="140"/>
  <c r="V148" i="140"/>
  <c r="V147" i="140"/>
  <c r="V146" i="140"/>
  <c r="V145" i="140"/>
  <c r="V144" i="140"/>
  <c r="V143" i="140"/>
  <c r="V142" i="140"/>
  <c r="V141" i="140"/>
  <c r="V140" i="140"/>
  <c r="V139" i="140"/>
  <c r="V138" i="140"/>
  <c r="V137" i="140"/>
  <c r="V136" i="140"/>
  <c r="V135" i="140"/>
  <c r="V134" i="140"/>
  <c r="V133" i="140"/>
  <c r="V132" i="140"/>
  <c r="V131" i="140"/>
  <c r="V130" i="140"/>
  <c r="V129" i="140"/>
  <c r="V128" i="140"/>
  <c r="V127" i="140"/>
  <c r="V126" i="140"/>
  <c r="V125" i="140"/>
  <c r="V124" i="140"/>
  <c r="V123" i="140"/>
  <c r="V116" i="140"/>
  <c r="V115" i="140"/>
  <c r="V114" i="140"/>
  <c r="V113" i="140"/>
  <c r="V112" i="140"/>
  <c r="V111" i="140"/>
  <c r="V110" i="140"/>
  <c r="V109" i="140"/>
  <c r="V108" i="140"/>
  <c r="V107" i="140"/>
  <c r="V106" i="140"/>
  <c r="V105" i="140"/>
  <c r="V104" i="140"/>
  <c r="V103" i="140"/>
  <c r="V102" i="140"/>
  <c r="V101" i="140"/>
  <c r="V100" i="140"/>
  <c r="V99" i="140"/>
  <c r="V98" i="140"/>
  <c r="V97" i="140"/>
  <c r="V96" i="140"/>
  <c r="V95" i="140"/>
  <c r="V94" i="140"/>
  <c r="V93" i="140"/>
  <c r="V92" i="140"/>
  <c r="V91" i="140"/>
  <c r="V90" i="140"/>
  <c r="V89" i="140"/>
  <c r="V88" i="140"/>
  <c r="V87" i="140"/>
  <c r="V86" i="140"/>
  <c r="V85" i="140"/>
  <c r="V84" i="140"/>
  <c r="V83" i="140"/>
  <c r="V82" i="140"/>
  <c r="V81" i="140"/>
  <c r="V80" i="140"/>
  <c r="V79" i="140"/>
  <c r="V78" i="140"/>
  <c r="V77" i="140"/>
  <c r="V76" i="140"/>
  <c r="V75" i="140"/>
  <c r="V74" i="140"/>
  <c r="V73" i="140"/>
  <c r="V72" i="140"/>
  <c r="V71" i="140"/>
  <c r="V70" i="140"/>
  <c r="V69" i="140"/>
  <c r="V68" i="140"/>
  <c r="V67" i="140"/>
  <c r="V66" i="140"/>
  <c r="V65" i="140"/>
  <c r="V64" i="140"/>
  <c r="V63" i="140"/>
  <c r="V62" i="140"/>
  <c r="V61" i="140"/>
  <c r="V60" i="140"/>
  <c r="V59" i="140"/>
  <c r="V58" i="140"/>
  <c r="V57" i="140"/>
  <c r="V56" i="140"/>
  <c r="V55" i="140"/>
  <c r="V54" i="140"/>
  <c r="V53" i="140"/>
  <c r="V52" i="140"/>
  <c r="V51" i="140"/>
  <c r="V50" i="140"/>
  <c r="V49" i="140"/>
  <c r="V48" i="140"/>
  <c r="V47" i="140"/>
  <c r="V46" i="140"/>
  <c r="V45" i="140"/>
  <c r="V44" i="140"/>
  <c r="V43" i="140"/>
  <c r="V42" i="140"/>
  <c r="V41" i="140"/>
  <c r="V40" i="140"/>
  <c r="V39" i="140"/>
  <c r="V38" i="140"/>
  <c r="V37" i="140"/>
  <c r="V36" i="140"/>
  <c r="V35" i="140"/>
  <c r="V34" i="140"/>
  <c r="V33" i="140"/>
  <c r="V32" i="140"/>
  <c r="V31" i="140"/>
  <c r="V30" i="140"/>
  <c r="V29" i="140"/>
  <c r="V28" i="140"/>
  <c r="V27" i="140"/>
  <c r="V26" i="140"/>
  <c r="V25" i="140"/>
  <c r="V24" i="140"/>
  <c r="V23" i="140"/>
  <c r="V22" i="140"/>
  <c r="V21" i="140"/>
  <c r="V20" i="140"/>
  <c r="V19" i="140"/>
  <c r="V18" i="140"/>
  <c r="V17" i="140"/>
  <c r="V16" i="140"/>
  <c r="V15" i="140"/>
  <c r="V14" i="140"/>
  <c r="V13" i="140"/>
  <c r="V12" i="140"/>
  <c r="V11" i="140"/>
  <c r="V10" i="140"/>
  <c r="V9" i="140"/>
  <c r="W123" i="119"/>
  <c r="W124" i="119"/>
  <c r="W125" i="119"/>
  <c r="W126" i="119"/>
  <c r="W127" i="119"/>
  <c r="W128" i="119"/>
  <c r="W129" i="119"/>
  <c r="W130" i="119"/>
  <c r="W131" i="119"/>
  <c r="W132" i="119"/>
  <c r="W133" i="119"/>
  <c r="W134" i="119"/>
  <c r="W135" i="119"/>
  <c r="W136" i="119"/>
  <c r="W137" i="119"/>
  <c r="W138" i="119"/>
  <c r="W139" i="119"/>
  <c r="W140" i="119"/>
  <c r="W141" i="119"/>
  <c r="W142" i="119"/>
  <c r="W143" i="119"/>
  <c r="W144" i="119"/>
  <c r="W145" i="119"/>
  <c r="W146" i="119"/>
  <c r="W147" i="119"/>
  <c r="W148" i="119"/>
  <c r="W149" i="119"/>
  <c r="W150" i="119"/>
  <c r="W151" i="119"/>
  <c r="W152" i="119"/>
  <c r="W153" i="119"/>
  <c r="W154" i="119"/>
  <c r="W155" i="119"/>
  <c r="W156" i="119"/>
  <c r="W157" i="119"/>
  <c r="W158" i="119"/>
  <c r="W159" i="119"/>
  <c r="W160" i="119"/>
  <c r="W161" i="119"/>
  <c r="W162" i="119"/>
  <c r="W163" i="119"/>
  <c r="W164" i="119"/>
  <c r="W165" i="119"/>
  <c r="W166" i="119"/>
  <c r="W167" i="119"/>
  <c r="W168" i="119"/>
  <c r="W169" i="119"/>
  <c r="W170" i="119"/>
  <c r="W171" i="119"/>
  <c r="W172" i="119"/>
  <c r="W173" i="119"/>
  <c r="W174" i="119"/>
  <c r="W175" i="119"/>
  <c r="W176" i="119"/>
  <c r="W177" i="119"/>
  <c r="W178" i="119"/>
  <c r="W179" i="119"/>
  <c r="W180" i="119"/>
  <c r="W181" i="119"/>
  <c r="W182" i="119"/>
  <c r="W183" i="119"/>
  <c r="W184" i="119"/>
  <c r="W185" i="119"/>
  <c r="W186" i="119"/>
  <c r="W187" i="119"/>
  <c r="W188" i="119"/>
  <c r="W189" i="119"/>
  <c r="W190" i="119"/>
  <c r="W191" i="119"/>
  <c r="W192" i="119"/>
  <c r="W193" i="119"/>
  <c r="W194" i="119"/>
  <c r="W195" i="119"/>
  <c r="W196" i="119"/>
  <c r="W197" i="119"/>
  <c r="W198" i="119"/>
  <c r="W199" i="119"/>
  <c r="W200" i="119"/>
  <c r="W201" i="119"/>
  <c r="W202" i="119"/>
  <c r="W203" i="119"/>
  <c r="W204" i="119"/>
  <c r="W205" i="119"/>
  <c r="W206" i="119"/>
  <c r="W207" i="119"/>
  <c r="W208" i="119"/>
  <c r="W209" i="119"/>
  <c r="W210" i="119"/>
  <c r="W211" i="119"/>
  <c r="W212" i="119"/>
  <c r="W213" i="119"/>
  <c r="W214" i="119"/>
  <c r="W215" i="119"/>
  <c r="W216" i="119"/>
  <c r="W217" i="119"/>
  <c r="W218" i="119"/>
  <c r="W219" i="119"/>
  <c r="W220" i="119"/>
  <c r="W221" i="119"/>
  <c r="W222" i="119"/>
  <c r="W223" i="119"/>
  <c r="W224" i="119"/>
  <c r="W225" i="119"/>
  <c r="W226" i="119"/>
  <c r="W227" i="119"/>
  <c r="W228" i="119"/>
  <c r="W229" i="119"/>
  <c r="W230" i="119"/>
  <c r="W231" i="119"/>
  <c r="I56" i="135"/>
  <c r="I51" i="135"/>
  <c r="I53" i="135"/>
  <c r="I54" i="135"/>
  <c r="I55" i="135"/>
  <c r="I52" i="135"/>
  <c r="W9" i="119"/>
  <c r="W10" i="119"/>
  <c r="W11" i="119"/>
  <c r="W12" i="119"/>
  <c r="W13" i="119"/>
  <c r="W14" i="119"/>
  <c r="W15" i="119"/>
  <c r="W16" i="119"/>
  <c r="W17" i="119"/>
  <c r="W18" i="119"/>
  <c r="W19" i="119"/>
  <c r="W20" i="119"/>
  <c r="W21" i="119"/>
  <c r="W22" i="119"/>
  <c r="W23" i="119"/>
  <c r="W24" i="119"/>
  <c r="W25" i="119"/>
  <c r="W26" i="119"/>
  <c r="W27" i="119"/>
  <c r="W28" i="119"/>
  <c r="W29" i="119"/>
  <c r="W30" i="119"/>
  <c r="W31" i="119"/>
  <c r="W32" i="119"/>
  <c r="W33" i="119"/>
  <c r="W34" i="119"/>
  <c r="W35" i="119"/>
  <c r="W36" i="119"/>
  <c r="W37" i="119"/>
  <c r="W38" i="119"/>
  <c r="W39" i="119"/>
  <c r="W40" i="119"/>
  <c r="W41" i="119"/>
  <c r="W42" i="119"/>
  <c r="W43" i="119"/>
  <c r="W44" i="119"/>
  <c r="W45" i="119"/>
  <c r="W46" i="119"/>
  <c r="W47" i="119"/>
  <c r="W48" i="119"/>
  <c r="W49" i="119"/>
  <c r="W50" i="119"/>
  <c r="W51" i="119"/>
  <c r="W52" i="119"/>
  <c r="W53" i="119"/>
  <c r="W54" i="119"/>
  <c r="W55" i="119"/>
  <c r="W56" i="119"/>
  <c r="W57" i="119"/>
  <c r="W58" i="119"/>
  <c r="W59" i="119"/>
  <c r="W60" i="119"/>
  <c r="W61" i="119"/>
  <c r="W62" i="119"/>
  <c r="W63" i="119"/>
  <c r="W64" i="119"/>
  <c r="W65" i="119"/>
  <c r="W66" i="119"/>
  <c r="W67" i="119"/>
  <c r="W68" i="119"/>
  <c r="W69" i="119"/>
  <c r="W70" i="119"/>
  <c r="W71" i="119"/>
  <c r="W72" i="119"/>
  <c r="W73" i="119"/>
  <c r="W74" i="119"/>
  <c r="W75" i="119"/>
  <c r="W76" i="119"/>
  <c r="W77" i="119"/>
  <c r="W78" i="119"/>
  <c r="W79" i="119"/>
  <c r="W80" i="119"/>
  <c r="W81" i="119"/>
  <c r="W82" i="119"/>
  <c r="W83" i="119"/>
  <c r="W84" i="119"/>
  <c r="W85" i="119"/>
  <c r="W86" i="119"/>
  <c r="W87" i="119"/>
  <c r="W88" i="119"/>
  <c r="W89" i="119"/>
  <c r="W90" i="119"/>
  <c r="W91" i="119"/>
  <c r="W92" i="119"/>
  <c r="W93" i="119"/>
  <c r="W94" i="119"/>
  <c r="W95" i="119"/>
  <c r="W96" i="119"/>
  <c r="W97" i="119"/>
  <c r="W98" i="119"/>
  <c r="W99" i="119"/>
  <c r="W100" i="119"/>
  <c r="W101" i="119"/>
  <c r="W102" i="119"/>
  <c r="W103" i="119"/>
  <c r="W104" i="119"/>
  <c r="W105" i="119"/>
  <c r="W106" i="119"/>
  <c r="W107" i="119"/>
  <c r="W108" i="119"/>
  <c r="W109" i="119"/>
  <c r="W110" i="119"/>
  <c r="W111" i="119"/>
  <c r="W112" i="119"/>
  <c r="W113" i="119"/>
  <c r="W114" i="119"/>
  <c r="W115" i="119"/>
  <c r="W116" i="119"/>
  <c r="W117" i="119"/>
  <c r="I50" i="135"/>
  <c r="I45" i="135"/>
  <c r="I46" i="135"/>
  <c r="I47" i="135"/>
  <c r="I49" i="135"/>
  <c r="I48" i="135"/>
  <c r="W123" i="141"/>
  <c r="W124" i="141"/>
  <c r="W125" i="141"/>
  <c r="W126" i="141"/>
  <c r="W127" i="141"/>
  <c r="W128" i="141"/>
  <c r="W129" i="141"/>
  <c r="W130" i="141"/>
  <c r="W131" i="141"/>
  <c r="W132" i="141"/>
  <c r="W133" i="141"/>
  <c r="W134" i="141"/>
  <c r="W135" i="141"/>
  <c r="W136" i="141"/>
  <c r="W137" i="141"/>
  <c r="W138" i="141"/>
  <c r="W139" i="141"/>
  <c r="W140" i="141"/>
  <c r="W141" i="141"/>
  <c r="W142" i="141"/>
  <c r="W143" i="141"/>
  <c r="W144" i="141"/>
  <c r="W145" i="141"/>
  <c r="W146" i="141"/>
  <c r="W147" i="141"/>
  <c r="W148" i="141"/>
  <c r="W149" i="141"/>
  <c r="W150" i="141"/>
  <c r="W151" i="141"/>
  <c r="W152" i="141"/>
  <c r="W153" i="141"/>
  <c r="W154" i="141"/>
  <c r="W155" i="141"/>
  <c r="W156" i="141"/>
  <c r="W157" i="141"/>
  <c r="W158" i="141"/>
  <c r="W159" i="141"/>
  <c r="W160" i="141"/>
  <c r="W161" i="141"/>
  <c r="W162" i="141"/>
  <c r="W163" i="141"/>
  <c r="W164" i="141"/>
  <c r="W165" i="141"/>
  <c r="W166" i="141"/>
  <c r="W167" i="141"/>
  <c r="W168" i="141"/>
  <c r="W169" i="141"/>
  <c r="W170" i="141"/>
  <c r="W171" i="141"/>
  <c r="W172" i="141"/>
  <c r="W173" i="141"/>
  <c r="W174" i="141"/>
  <c r="W175" i="141"/>
  <c r="W176" i="141"/>
  <c r="W177" i="141"/>
  <c r="W178" i="141"/>
  <c r="W179" i="141"/>
  <c r="W180" i="141"/>
  <c r="W181" i="141"/>
  <c r="W182" i="141"/>
  <c r="W183" i="141"/>
  <c r="W184" i="141"/>
  <c r="W185" i="141"/>
  <c r="W186" i="141"/>
  <c r="W187" i="141"/>
  <c r="W188" i="141"/>
  <c r="W189" i="141"/>
  <c r="W190" i="141"/>
  <c r="W191" i="141"/>
  <c r="W192" i="141"/>
  <c r="W193" i="141"/>
  <c r="W194" i="141"/>
  <c r="W195" i="141"/>
  <c r="W196" i="141"/>
  <c r="W197" i="141"/>
  <c r="W198" i="141"/>
  <c r="W199" i="141"/>
  <c r="W200" i="141"/>
  <c r="W201" i="141"/>
  <c r="W202" i="141"/>
  <c r="W203" i="141"/>
  <c r="W204" i="141"/>
  <c r="W205" i="141"/>
  <c r="W206" i="141"/>
  <c r="W207" i="141"/>
  <c r="W208" i="141"/>
  <c r="W209" i="141"/>
  <c r="W210" i="141"/>
  <c r="W211" i="141"/>
  <c r="W212" i="141"/>
  <c r="W213" i="141"/>
  <c r="W214" i="141"/>
  <c r="W215" i="141"/>
  <c r="W216" i="141"/>
  <c r="W217" i="141"/>
  <c r="W218" i="141"/>
  <c r="W219" i="141"/>
  <c r="W220" i="141"/>
  <c r="W221" i="141"/>
  <c r="W222" i="141"/>
  <c r="W223" i="141"/>
  <c r="W224" i="141"/>
  <c r="W225" i="141"/>
  <c r="W226" i="141"/>
  <c r="W227" i="141"/>
  <c r="W228" i="141"/>
  <c r="W229" i="141"/>
  <c r="W230" i="141"/>
  <c r="W231" i="141"/>
  <c r="I42" i="135"/>
  <c r="I37" i="135"/>
  <c r="I39" i="135"/>
  <c r="I40" i="135"/>
  <c r="I41" i="135"/>
  <c r="I38" i="135"/>
  <c r="W9" i="141"/>
  <c r="W10" i="141"/>
  <c r="W11" i="141"/>
  <c r="W12" i="141"/>
  <c r="W13" i="141"/>
  <c r="W14" i="141"/>
  <c r="W15" i="141"/>
  <c r="W16" i="141"/>
  <c r="W17" i="141"/>
  <c r="W18" i="141"/>
  <c r="W19" i="141"/>
  <c r="W20" i="141"/>
  <c r="W21" i="141"/>
  <c r="W22" i="141"/>
  <c r="W23" i="141"/>
  <c r="W24" i="141"/>
  <c r="W25" i="141"/>
  <c r="W26" i="141"/>
  <c r="W27" i="141"/>
  <c r="W28" i="141"/>
  <c r="W29" i="141"/>
  <c r="W30" i="141"/>
  <c r="W31" i="141"/>
  <c r="W32" i="141"/>
  <c r="W33" i="141"/>
  <c r="W34" i="141"/>
  <c r="W35" i="141"/>
  <c r="W36" i="141"/>
  <c r="W37" i="141"/>
  <c r="W38" i="141"/>
  <c r="W39" i="141"/>
  <c r="W40" i="141"/>
  <c r="W41" i="141"/>
  <c r="W42" i="141"/>
  <c r="W43" i="141"/>
  <c r="W44" i="141"/>
  <c r="W45" i="141"/>
  <c r="W46" i="141"/>
  <c r="W47" i="141"/>
  <c r="W48" i="141"/>
  <c r="W49" i="141"/>
  <c r="W50" i="141"/>
  <c r="W51" i="141"/>
  <c r="W52" i="141"/>
  <c r="W53" i="141"/>
  <c r="W54" i="141"/>
  <c r="W55" i="141"/>
  <c r="W56" i="141"/>
  <c r="W57" i="141"/>
  <c r="W58" i="141"/>
  <c r="W59" i="141"/>
  <c r="W60" i="141"/>
  <c r="W61" i="141"/>
  <c r="W62" i="141"/>
  <c r="W63" i="141"/>
  <c r="W64" i="141"/>
  <c r="W65" i="141"/>
  <c r="W66" i="141"/>
  <c r="W67" i="141"/>
  <c r="W68" i="141"/>
  <c r="W69" i="141"/>
  <c r="W70" i="141"/>
  <c r="W71" i="141"/>
  <c r="W72" i="141"/>
  <c r="W73" i="141"/>
  <c r="W74" i="141"/>
  <c r="W75" i="141"/>
  <c r="W76" i="141"/>
  <c r="W77" i="141"/>
  <c r="W78" i="141"/>
  <c r="W79" i="141"/>
  <c r="W80" i="141"/>
  <c r="W81" i="141"/>
  <c r="W82" i="141"/>
  <c r="W83" i="141"/>
  <c r="W84" i="141"/>
  <c r="W85" i="141"/>
  <c r="W86" i="141"/>
  <c r="W87" i="141"/>
  <c r="W88" i="141"/>
  <c r="W89" i="141"/>
  <c r="W90" i="141"/>
  <c r="W91" i="141"/>
  <c r="W92" i="141"/>
  <c r="W93" i="141"/>
  <c r="W94" i="141"/>
  <c r="W95" i="141"/>
  <c r="W96" i="141"/>
  <c r="W97" i="141"/>
  <c r="W98" i="141"/>
  <c r="W99" i="141"/>
  <c r="W100" i="141"/>
  <c r="W101" i="141"/>
  <c r="W102" i="141"/>
  <c r="W103" i="141"/>
  <c r="W104" i="141"/>
  <c r="W105" i="141"/>
  <c r="W106" i="141"/>
  <c r="W107" i="141"/>
  <c r="W108" i="141"/>
  <c r="W109" i="141"/>
  <c r="W110" i="141"/>
  <c r="W111" i="141"/>
  <c r="W112" i="141"/>
  <c r="W113" i="141"/>
  <c r="W114" i="141"/>
  <c r="W115" i="141"/>
  <c r="W116" i="141"/>
  <c r="W117" i="141"/>
  <c r="I36" i="135"/>
  <c r="I31" i="135"/>
  <c r="I32" i="135"/>
  <c r="I33" i="135"/>
  <c r="I35" i="135"/>
  <c r="I34" i="135"/>
  <c r="W123" i="112"/>
  <c r="W124" i="112"/>
  <c r="W125" i="112"/>
  <c r="W126" i="112"/>
  <c r="W127" i="112"/>
  <c r="W128" i="112"/>
  <c r="W129" i="112"/>
  <c r="W130" i="112"/>
  <c r="W131" i="112"/>
  <c r="W132" i="112"/>
  <c r="W133" i="112"/>
  <c r="W134" i="112"/>
  <c r="W135" i="112"/>
  <c r="W136" i="112"/>
  <c r="W137" i="112"/>
  <c r="W138" i="112"/>
  <c r="W139" i="112"/>
  <c r="W140" i="112"/>
  <c r="W141" i="112"/>
  <c r="W142" i="112"/>
  <c r="W143" i="112"/>
  <c r="W144" i="112"/>
  <c r="W145" i="112"/>
  <c r="W146" i="112"/>
  <c r="W147" i="112"/>
  <c r="W148" i="112"/>
  <c r="W149" i="112"/>
  <c r="W150" i="112"/>
  <c r="W151" i="112"/>
  <c r="W152" i="112"/>
  <c r="W153" i="112"/>
  <c r="W154" i="112"/>
  <c r="W155" i="112"/>
  <c r="W156" i="112"/>
  <c r="W157" i="112"/>
  <c r="W158" i="112"/>
  <c r="W159" i="112"/>
  <c r="W160" i="112"/>
  <c r="W161" i="112"/>
  <c r="W162" i="112"/>
  <c r="W163" i="112"/>
  <c r="W164" i="112"/>
  <c r="W165" i="112"/>
  <c r="W166" i="112"/>
  <c r="W167" i="112"/>
  <c r="W168" i="112"/>
  <c r="W169" i="112"/>
  <c r="W170" i="112"/>
  <c r="W171" i="112"/>
  <c r="W172" i="112"/>
  <c r="W173" i="112"/>
  <c r="W174" i="112"/>
  <c r="W175" i="112"/>
  <c r="W176" i="112"/>
  <c r="W177" i="112"/>
  <c r="W178" i="112"/>
  <c r="W179" i="112"/>
  <c r="W180" i="112"/>
  <c r="W181" i="112"/>
  <c r="W182" i="112"/>
  <c r="W183" i="112"/>
  <c r="W184" i="112"/>
  <c r="W185" i="112"/>
  <c r="W186" i="112"/>
  <c r="W187" i="112"/>
  <c r="W188" i="112"/>
  <c r="W189" i="112"/>
  <c r="W190" i="112"/>
  <c r="W191" i="112"/>
  <c r="W192" i="112"/>
  <c r="W193" i="112"/>
  <c r="W194" i="112"/>
  <c r="W195" i="112"/>
  <c r="W196" i="112"/>
  <c r="W197" i="112"/>
  <c r="W198" i="112"/>
  <c r="W199" i="112"/>
  <c r="W200" i="112"/>
  <c r="W201" i="112"/>
  <c r="W202" i="112"/>
  <c r="W203" i="112"/>
  <c r="W204" i="112"/>
  <c r="W205" i="112"/>
  <c r="W206" i="112"/>
  <c r="W207" i="112"/>
  <c r="W208" i="112"/>
  <c r="W209" i="112"/>
  <c r="W210" i="112"/>
  <c r="W211" i="112"/>
  <c r="W212" i="112"/>
  <c r="W213" i="112"/>
  <c r="W214" i="112"/>
  <c r="W215" i="112"/>
  <c r="W216" i="112"/>
  <c r="W217" i="112"/>
  <c r="W218" i="112"/>
  <c r="W219" i="112"/>
  <c r="W220" i="112"/>
  <c r="W221" i="112"/>
  <c r="W222" i="112"/>
  <c r="W223" i="112"/>
  <c r="W224" i="112"/>
  <c r="W225" i="112"/>
  <c r="W226" i="112"/>
  <c r="W227" i="112"/>
  <c r="W228" i="112"/>
  <c r="W229" i="112"/>
  <c r="W230" i="112"/>
  <c r="W231" i="112"/>
  <c r="I28" i="135"/>
  <c r="I23" i="135"/>
  <c r="I25" i="135"/>
  <c r="I26" i="135"/>
  <c r="I27" i="135"/>
  <c r="I24" i="135"/>
  <c r="W9" i="112"/>
  <c r="W10" i="112"/>
  <c r="W11" i="112"/>
  <c r="W12" i="112"/>
  <c r="W13" i="112"/>
  <c r="W14" i="112"/>
  <c r="W15" i="112"/>
  <c r="W16" i="112"/>
  <c r="W17" i="112"/>
  <c r="W18" i="112"/>
  <c r="W19" i="112"/>
  <c r="W20" i="112"/>
  <c r="W21" i="112"/>
  <c r="W22" i="112"/>
  <c r="W23" i="112"/>
  <c r="W24" i="112"/>
  <c r="W25" i="112"/>
  <c r="W26" i="112"/>
  <c r="W27" i="112"/>
  <c r="W28" i="112"/>
  <c r="W29" i="112"/>
  <c r="W30" i="112"/>
  <c r="W31" i="112"/>
  <c r="W32" i="112"/>
  <c r="W33" i="112"/>
  <c r="W34" i="112"/>
  <c r="W35" i="112"/>
  <c r="W36" i="112"/>
  <c r="W37" i="112"/>
  <c r="W38" i="112"/>
  <c r="W39" i="112"/>
  <c r="W40" i="112"/>
  <c r="W41" i="112"/>
  <c r="W42" i="112"/>
  <c r="W43" i="112"/>
  <c r="W44" i="112"/>
  <c r="W45" i="112"/>
  <c r="W46" i="112"/>
  <c r="W47" i="112"/>
  <c r="W48" i="112"/>
  <c r="W49" i="112"/>
  <c r="W50" i="112"/>
  <c r="W51" i="112"/>
  <c r="W52" i="112"/>
  <c r="W53" i="112"/>
  <c r="W54" i="112"/>
  <c r="W55" i="112"/>
  <c r="W56" i="112"/>
  <c r="W57" i="112"/>
  <c r="W58" i="112"/>
  <c r="W59" i="112"/>
  <c r="W60" i="112"/>
  <c r="I19" i="135"/>
  <c r="W61" i="112"/>
  <c r="W62" i="112"/>
  <c r="W63" i="112"/>
  <c r="W64" i="112"/>
  <c r="W65" i="112"/>
  <c r="W66" i="112"/>
  <c r="W67" i="112"/>
  <c r="W68" i="112"/>
  <c r="W69" i="112"/>
  <c r="W70" i="112"/>
  <c r="W71" i="112"/>
  <c r="W72" i="112"/>
  <c r="W73" i="112"/>
  <c r="W74" i="112"/>
  <c r="W75" i="112"/>
  <c r="W76" i="112"/>
  <c r="W77" i="112"/>
  <c r="W78" i="112"/>
  <c r="W79" i="112"/>
  <c r="W80" i="112"/>
  <c r="W81" i="112"/>
  <c r="W82" i="112"/>
  <c r="W83" i="112"/>
  <c r="W84" i="112"/>
  <c r="W85" i="112"/>
  <c r="W86" i="112"/>
  <c r="W87" i="112"/>
  <c r="W88" i="112"/>
  <c r="W89" i="112"/>
  <c r="W90" i="112"/>
  <c r="W91" i="112"/>
  <c r="W92" i="112"/>
  <c r="W93" i="112"/>
  <c r="W94" i="112"/>
  <c r="W95" i="112"/>
  <c r="W96" i="112"/>
  <c r="W97" i="112"/>
  <c r="W98" i="112"/>
  <c r="W99" i="112"/>
  <c r="W100" i="112"/>
  <c r="W101" i="112"/>
  <c r="W102" i="112"/>
  <c r="W103" i="112"/>
  <c r="W104" i="112"/>
  <c r="W105" i="112"/>
  <c r="W106" i="112"/>
  <c r="W107" i="112"/>
  <c r="W108" i="112"/>
  <c r="W109" i="112"/>
  <c r="W110" i="112"/>
  <c r="W111" i="112"/>
  <c r="W112" i="112"/>
  <c r="W113" i="112"/>
  <c r="W114" i="112"/>
  <c r="W115" i="112"/>
  <c r="W116" i="112"/>
  <c r="W117" i="112"/>
  <c r="I22" i="135"/>
  <c r="I21" i="135"/>
  <c r="I20" i="135"/>
  <c r="I18" i="135"/>
  <c r="I17" i="135"/>
  <c r="W123" i="140"/>
  <c r="W124" i="140"/>
  <c r="W125" i="140"/>
  <c r="W126" i="140"/>
  <c r="W127" i="140"/>
  <c r="W128" i="140"/>
  <c r="W129" i="140"/>
  <c r="W130" i="140"/>
  <c r="W131" i="140"/>
  <c r="W132" i="140"/>
  <c r="W133" i="140"/>
  <c r="W134" i="140"/>
  <c r="W135" i="140"/>
  <c r="W136" i="140"/>
  <c r="W137" i="140"/>
  <c r="W138" i="140"/>
  <c r="W139" i="140"/>
  <c r="W140" i="140"/>
  <c r="W141" i="140"/>
  <c r="W142" i="140"/>
  <c r="W143" i="140"/>
  <c r="W144" i="140"/>
  <c r="W145" i="140"/>
  <c r="W146" i="140"/>
  <c r="W147" i="140"/>
  <c r="W148" i="140"/>
  <c r="W149" i="140"/>
  <c r="W150" i="140"/>
  <c r="W151" i="140"/>
  <c r="W152" i="140"/>
  <c r="W153" i="140"/>
  <c r="W154" i="140"/>
  <c r="W155" i="140"/>
  <c r="W156" i="140"/>
  <c r="W157" i="140"/>
  <c r="W158" i="140"/>
  <c r="W159" i="140"/>
  <c r="W160" i="140"/>
  <c r="W161" i="140"/>
  <c r="W162" i="140"/>
  <c r="W163" i="140"/>
  <c r="W164" i="140"/>
  <c r="W165" i="140"/>
  <c r="W166" i="140"/>
  <c r="W167" i="140"/>
  <c r="W168" i="140"/>
  <c r="W169" i="140"/>
  <c r="W170" i="140"/>
  <c r="W171" i="140"/>
  <c r="W172" i="140"/>
  <c r="W173" i="140"/>
  <c r="W174" i="140"/>
  <c r="W175" i="140"/>
  <c r="W176" i="140"/>
  <c r="W177" i="140"/>
  <c r="W178" i="140"/>
  <c r="W179" i="140"/>
  <c r="W180" i="140"/>
  <c r="W181" i="140"/>
  <c r="W182" i="140"/>
  <c r="W183" i="140"/>
  <c r="W184" i="140"/>
  <c r="W185" i="140"/>
  <c r="W186" i="140"/>
  <c r="W187" i="140"/>
  <c r="W188" i="140"/>
  <c r="W189" i="140"/>
  <c r="W190" i="140"/>
  <c r="W191" i="140"/>
  <c r="W192" i="140"/>
  <c r="W193" i="140"/>
  <c r="W194" i="140"/>
  <c r="W195" i="140"/>
  <c r="W196" i="140"/>
  <c r="W197" i="140"/>
  <c r="W198" i="140"/>
  <c r="W199" i="140"/>
  <c r="W200" i="140"/>
  <c r="W201" i="140"/>
  <c r="W202" i="140"/>
  <c r="W203" i="140"/>
  <c r="W204" i="140"/>
  <c r="W205" i="140"/>
  <c r="W206" i="140"/>
  <c r="W207" i="140"/>
  <c r="W208" i="140"/>
  <c r="W209" i="140"/>
  <c r="W210" i="140"/>
  <c r="W211" i="140"/>
  <c r="W212" i="140"/>
  <c r="W213" i="140"/>
  <c r="W214" i="140"/>
  <c r="W215" i="140"/>
  <c r="W216" i="140"/>
  <c r="W217" i="140"/>
  <c r="W218" i="140"/>
  <c r="W219" i="140"/>
  <c r="W220" i="140"/>
  <c r="W221" i="140"/>
  <c r="W222" i="140"/>
  <c r="W223" i="140"/>
  <c r="W224" i="140"/>
  <c r="W225" i="140"/>
  <c r="W226" i="140"/>
  <c r="W227" i="140"/>
  <c r="W228" i="140"/>
  <c r="W229" i="140"/>
  <c r="W230" i="140"/>
  <c r="W231" i="140"/>
  <c r="I14" i="135"/>
  <c r="I9" i="135"/>
  <c r="I11" i="135"/>
  <c r="I12" i="135"/>
  <c r="I13" i="135"/>
  <c r="I10" i="135"/>
  <c r="W9" i="140"/>
  <c r="W10" i="140"/>
  <c r="W11" i="140"/>
  <c r="W12" i="140"/>
  <c r="W13" i="140"/>
  <c r="W14" i="140"/>
  <c r="W15" i="140"/>
  <c r="W16" i="140"/>
  <c r="W17" i="140"/>
  <c r="W18" i="140"/>
  <c r="W19" i="140"/>
  <c r="W20" i="140"/>
  <c r="W21" i="140"/>
  <c r="W22" i="140"/>
  <c r="W23" i="140"/>
  <c r="W24" i="140"/>
  <c r="W25" i="140"/>
  <c r="W26" i="140"/>
  <c r="W27" i="140"/>
  <c r="W28" i="140"/>
  <c r="W29" i="140"/>
  <c r="W30" i="140"/>
  <c r="W31" i="140"/>
  <c r="W32" i="140"/>
  <c r="W33" i="140"/>
  <c r="W34" i="140"/>
  <c r="W35" i="140"/>
  <c r="W36" i="140"/>
  <c r="W37" i="140"/>
  <c r="W38" i="140"/>
  <c r="W39" i="140"/>
  <c r="W40" i="140"/>
  <c r="W41" i="140"/>
  <c r="W42" i="140"/>
  <c r="W43" i="140"/>
  <c r="W44" i="140"/>
  <c r="W45" i="140"/>
  <c r="W46" i="140"/>
  <c r="W47" i="140"/>
  <c r="W48" i="140"/>
  <c r="W49" i="140"/>
  <c r="W50" i="140"/>
  <c r="W51" i="140"/>
  <c r="W52" i="140"/>
  <c r="W53" i="140"/>
  <c r="W54" i="140"/>
  <c r="W55" i="140"/>
  <c r="W56" i="140"/>
  <c r="W57" i="140"/>
  <c r="W58" i="140"/>
  <c r="W59" i="140"/>
  <c r="W60" i="140"/>
  <c r="W61" i="140"/>
  <c r="W62" i="140"/>
  <c r="W63" i="140"/>
  <c r="W64" i="140"/>
  <c r="W65" i="140"/>
  <c r="W66" i="140"/>
  <c r="W67" i="140"/>
  <c r="W68" i="140"/>
  <c r="W69" i="140"/>
  <c r="W70" i="140"/>
  <c r="W71" i="140"/>
  <c r="W72" i="140"/>
  <c r="W73" i="140"/>
  <c r="W74" i="140"/>
  <c r="W75" i="140"/>
  <c r="W76" i="140"/>
  <c r="W77" i="140"/>
  <c r="W78" i="140"/>
  <c r="W79" i="140"/>
  <c r="W80" i="140"/>
  <c r="W81" i="140"/>
  <c r="W82" i="140"/>
  <c r="W83" i="140"/>
  <c r="W84" i="140"/>
  <c r="W85" i="140"/>
  <c r="W86" i="140"/>
  <c r="W87" i="140"/>
  <c r="W88" i="140"/>
  <c r="W89" i="140"/>
  <c r="W90" i="140"/>
  <c r="W91" i="140"/>
  <c r="W92" i="140"/>
  <c r="W93" i="140"/>
  <c r="W94" i="140"/>
  <c r="W95" i="140"/>
  <c r="W96" i="140"/>
  <c r="W97" i="140"/>
  <c r="W98" i="140"/>
  <c r="W99" i="140"/>
  <c r="W100" i="140"/>
  <c r="W101" i="140"/>
  <c r="W102" i="140"/>
  <c r="W103" i="140"/>
  <c r="W104" i="140"/>
  <c r="W105" i="140"/>
  <c r="W106" i="140"/>
  <c r="W107" i="140"/>
  <c r="W108" i="140"/>
  <c r="W109" i="140"/>
  <c r="W110" i="140"/>
  <c r="W111" i="140"/>
  <c r="W112" i="140"/>
  <c r="W113" i="140"/>
  <c r="W114" i="140"/>
  <c r="W115" i="140"/>
  <c r="W116" i="140"/>
  <c r="W117" i="140"/>
  <c r="I8" i="135"/>
  <c r="I3" i="135"/>
  <c r="I4" i="135"/>
  <c r="I5" i="135"/>
  <c r="I7" i="135"/>
  <c r="I6" i="135"/>
  <c r="V231" i="119"/>
  <c r="H56" i="135"/>
  <c r="H55" i="135"/>
  <c r="H54" i="135"/>
  <c r="H53" i="135"/>
  <c r="H52" i="135"/>
  <c r="H51" i="135"/>
  <c r="V117" i="119"/>
  <c r="H50" i="135"/>
  <c r="H49" i="135"/>
  <c r="H48" i="135"/>
  <c r="H47" i="135"/>
  <c r="H46" i="135"/>
  <c r="H45" i="135"/>
  <c r="V231" i="141"/>
  <c r="H42" i="135"/>
  <c r="H41" i="135"/>
  <c r="H40" i="135"/>
  <c r="H39" i="135"/>
  <c r="H38" i="135"/>
  <c r="H37" i="135"/>
  <c r="V117" i="141"/>
  <c r="H36" i="135"/>
  <c r="H35" i="135"/>
  <c r="H34" i="135"/>
  <c r="H33" i="135"/>
  <c r="H32" i="135"/>
  <c r="H31" i="135"/>
  <c r="V231" i="112"/>
  <c r="H28" i="135"/>
  <c r="H27" i="135"/>
  <c r="H26" i="135"/>
  <c r="H25" i="135"/>
  <c r="H24" i="135"/>
  <c r="H23" i="135"/>
  <c r="V117" i="112"/>
  <c r="H22" i="135"/>
  <c r="H21" i="135"/>
  <c r="H20" i="135"/>
  <c r="H19" i="135"/>
  <c r="H18" i="135"/>
  <c r="H17" i="135"/>
  <c r="V231" i="140"/>
  <c r="H14" i="135"/>
  <c r="H13" i="135"/>
  <c r="H12" i="135"/>
  <c r="H11" i="135"/>
  <c r="H10" i="135"/>
  <c r="H9" i="135"/>
  <c r="V117" i="140"/>
  <c r="H8" i="135"/>
  <c r="H7" i="135"/>
  <c r="H6" i="135"/>
  <c r="H5" i="135"/>
  <c r="H4" i="135"/>
  <c r="H3" i="135"/>
  <c r="U187" i="141"/>
  <c r="U188" i="141"/>
  <c r="U189" i="141"/>
  <c r="U190" i="141"/>
  <c r="U191" i="141"/>
  <c r="U192" i="141"/>
  <c r="U193" i="141"/>
  <c r="U194" i="141"/>
  <c r="U195" i="141"/>
  <c r="U196" i="141"/>
  <c r="U197" i="141"/>
  <c r="U198" i="141"/>
  <c r="U199" i="141"/>
  <c r="U200" i="141"/>
  <c r="U201" i="141"/>
  <c r="U202" i="141"/>
  <c r="U203" i="141"/>
  <c r="U204" i="141"/>
  <c r="U205" i="141"/>
  <c r="U206" i="141"/>
  <c r="U207" i="141"/>
  <c r="U208" i="141"/>
  <c r="U209" i="141"/>
  <c r="U210" i="141"/>
  <c r="U211" i="141"/>
  <c r="U212" i="141"/>
  <c r="U213" i="141"/>
  <c r="U214" i="141"/>
  <c r="U215" i="141"/>
  <c r="U216" i="141"/>
  <c r="U217" i="141"/>
  <c r="U218" i="141"/>
  <c r="U219" i="141"/>
  <c r="U220" i="141"/>
  <c r="U221" i="141"/>
  <c r="U222" i="141"/>
  <c r="U223" i="141"/>
  <c r="U224" i="141"/>
  <c r="U225" i="141"/>
  <c r="U226" i="141"/>
  <c r="U227" i="141"/>
  <c r="U228" i="141"/>
  <c r="U229" i="141"/>
  <c r="U230" i="141"/>
  <c r="G41" i="135"/>
  <c r="O187" i="141"/>
  <c r="O188" i="141"/>
  <c r="O189" i="141"/>
  <c r="O190" i="141"/>
  <c r="H187" i="141"/>
  <c r="H188" i="141"/>
  <c r="H189" i="141"/>
  <c r="H190" i="141"/>
  <c r="O191" i="141"/>
  <c r="O192" i="141"/>
  <c r="O193" i="141"/>
  <c r="O194" i="141"/>
  <c r="H191" i="141"/>
  <c r="H192" i="141"/>
  <c r="H193" i="141"/>
  <c r="H194" i="141"/>
  <c r="O195" i="141"/>
  <c r="O196" i="141"/>
  <c r="O197" i="141"/>
  <c r="O198" i="141"/>
  <c r="H195" i="141"/>
  <c r="H196" i="141"/>
  <c r="H197" i="141"/>
  <c r="H198" i="141"/>
  <c r="O199" i="141"/>
  <c r="O200" i="141"/>
  <c r="O201" i="141"/>
  <c r="O202" i="141"/>
  <c r="H199" i="141"/>
  <c r="H200" i="141"/>
  <c r="H201" i="141"/>
  <c r="H202" i="141"/>
  <c r="O203" i="141"/>
  <c r="O204" i="141"/>
  <c r="O205" i="141"/>
  <c r="O206" i="141"/>
  <c r="H203" i="141"/>
  <c r="H204" i="141"/>
  <c r="H205" i="141"/>
  <c r="H206" i="141"/>
  <c r="O207" i="141"/>
  <c r="O208" i="141"/>
  <c r="O209" i="141"/>
  <c r="O210" i="141"/>
  <c r="H207" i="141"/>
  <c r="H208" i="141"/>
  <c r="H209" i="141"/>
  <c r="H210" i="141"/>
  <c r="O211" i="141"/>
  <c r="O212" i="141"/>
  <c r="O213" i="141"/>
  <c r="O214" i="141"/>
  <c r="H211" i="141"/>
  <c r="H212" i="141"/>
  <c r="H213" i="141"/>
  <c r="H214" i="141"/>
  <c r="O215" i="141"/>
  <c r="O216" i="141"/>
  <c r="O217" i="141"/>
  <c r="O218" i="141"/>
  <c r="H215" i="141"/>
  <c r="H216" i="141"/>
  <c r="H217" i="141"/>
  <c r="H218" i="141"/>
  <c r="O219" i="141"/>
  <c r="O220" i="141"/>
  <c r="O221" i="141"/>
  <c r="O222" i="141"/>
  <c r="H219" i="141"/>
  <c r="H220" i="141"/>
  <c r="H221" i="141"/>
  <c r="H222" i="141"/>
  <c r="O223" i="141"/>
  <c r="O224" i="141"/>
  <c r="O225" i="141"/>
  <c r="O226" i="141"/>
  <c r="H223" i="141"/>
  <c r="H224" i="141"/>
  <c r="H225" i="141"/>
  <c r="H226" i="141"/>
  <c r="O227" i="141"/>
  <c r="O228" i="141"/>
  <c r="O229" i="141"/>
  <c r="O230" i="141"/>
  <c r="H227" i="141"/>
  <c r="H228" i="141"/>
  <c r="H229" i="141"/>
  <c r="H230" i="141"/>
  <c r="U187" i="119"/>
  <c r="U188" i="119"/>
  <c r="U189" i="119"/>
  <c r="U190" i="119"/>
  <c r="U191" i="119"/>
  <c r="U192" i="119"/>
  <c r="U193" i="119"/>
  <c r="U194" i="119"/>
  <c r="U195" i="119"/>
  <c r="U196" i="119"/>
  <c r="U197" i="119"/>
  <c r="U198" i="119"/>
  <c r="U199" i="119"/>
  <c r="U200" i="119"/>
  <c r="U201" i="119"/>
  <c r="U202" i="119"/>
  <c r="U203" i="119"/>
  <c r="U204" i="119"/>
  <c r="U205" i="119"/>
  <c r="U206" i="119"/>
  <c r="U207" i="119"/>
  <c r="U208" i="119"/>
  <c r="U209" i="119"/>
  <c r="U210" i="119"/>
  <c r="U211" i="119"/>
  <c r="U212" i="119"/>
  <c r="U213" i="119"/>
  <c r="U214" i="119"/>
  <c r="U215" i="119"/>
  <c r="U216" i="119"/>
  <c r="U217" i="119"/>
  <c r="U218" i="119"/>
  <c r="U219" i="119"/>
  <c r="U220" i="119"/>
  <c r="U221" i="119"/>
  <c r="U222" i="119"/>
  <c r="U223" i="119"/>
  <c r="U224" i="119"/>
  <c r="U225" i="119"/>
  <c r="U226" i="119"/>
  <c r="U227" i="119"/>
  <c r="U228" i="119"/>
  <c r="U229" i="119"/>
  <c r="U230" i="119"/>
  <c r="G55" i="135"/>
  <c r="O187" i="119"/>
  <c r="O188" i="119"/>
  <c r="O189" i="119"/>
  <c r="O190" i="119"/>
  <c r="H187" i="119"/>
  <c r="H188" i="119"/>
  <c r="H189" i="119"/>
  <c r="H190" i="119"/>
  <c r="O191" i="119"/>
  <c r="O192" i="119"/>
  <c r="O193" i="119"/>
  <c r="O194" i="119"/>
  <c r="H191" i="119"/>
  <c r="H192" i="119"/>
  <c r="H193" i="119"/>
  <c r="H194" i="119"/>
  <c r="O195" i="119"/>
  <c r="O196" i="119"/>
  <c r="O197" i="119"/>
  <c r="O198" i="119"/>
  <c r="H195" i="119"/>
  <c r="H196" i="119"/>
  <c r="H197" i="119"/>
  <c r="H198" i="119"/>
  <c r="O199" i="119"/>
  <c r="O200" i="119"/>
  <c r="O201" i="119"/>
  <c r="O202" i="119"/>
  <c r="H199" i="119"/>
  <c r="H200" i="119"/>
  <c r="H201" i="119"/>
  <c r="H202" i="119"/>
  <c r="O203" i="119"/>
  <c r="O204" i="119"/>
  <c r="O205" i="119"/>
  <c r="O206" i="119"/>
  <c r="H203" i="119"/>
  <c r="H204" i="119"/>
  <c r="H205" i="119"/>
  <c r="H206" i="119"/>
  <c r="O207" i="119"/>
  <c r="O208" i="119"/>
  <c r="O209" i="119"/>
  <c r="O210" i="119"/>
  <c r="H207" i="119"/>
  <c r="H208" i="119"/>
  <c r="H209" i="119"/>
  <c r="H210" i="119"/>
  <c r="O211" i="119"/>
  <c r="O212" i="119"/>
  <c r="O213" i="119"/>
  <c r="O214" i="119"/>
  <c r="H211" i="119"/>
  <c r="H212" i="119"/>
  <c r="H213" i="119"/>
  <c r="H214" i="119"/>
  <c r="O215" i="119"/>
  <c r="O216" i="119"/>
  <c r="O217" i="119"/>
  <c r="O218" i="119"/>
  <c r="H215" i="119"/>
  <c r="H216" i="119"/>
  <c r="H217" i="119"/>
  <c r="H218" i="119"/>
  <c r="O219" i="119"/>
  <c r="O220" i="119"/>
  <c r="O221" i="119"/>
  <c r="O222" i="119"/>
  <c r="H219" i="119"/>
  <c r="H220" i="119"/>
  <c r="H221" i="119"/>
  <c r="H222" i="119"/>
  <c r="O223" i="119"/>
  <c r="O224" i="119"/>
  <c r="O225" i="119"/>
  <c r="O226" i="119"/>
  <c r="H223" i="119"/>
  <c r="H224" i="119"/>
  <c r="H225" i="119"/>
  <c r="H226" i="119"/>
  <c r="O227" i="119"/>
  <c r="O228" i="119"/>
  <c r="O229" i="119"/>
  <c r="O230" i="119"/>
  <c r="H227" i="119"/>
  <c r="H228" i="119"/>
  <c r="H229" i="119"/>
  <c r="H230" i="119"/>
  <c r="U73" i="119"/>
  <c r="U74" i="119"/>
  <c r="U75" i="119"/>
  <c r="U76" i="119"/>
  <c r="U77" i="119"/>
  <c r="U78" i="119"/>
  <c r="U79" i="119"/>
  <c r="U80" i="119"/>
  <c r="U81" i="119"/>
  <c r="U82" i="119"/>
  <c r="U83" i="119"/>
  <c r="U84" i="119"/>
  <c r="U85" i="119"/>
  <c r="U86" i="119"/>
  <c r="U87" i="119"/>
  <c r="U88" i="119"/>
  <c r="U89" i="119"/>
  <c r="U90" i="119"/>
  <c r="U91" i="119"/>
  <c r="U92" i="119"/>
  <c r="U93" i="119"/>
  <c r="U94" i="119"/>
  <c r="U95" i="119"/>
  <c r="U96" i="119"/>
  <c r="U97" i="119"/>
  <c r="U98" i="119"/>
  <c r="U99" i="119"/>
  <c r="U100" i="119"/>
  <c r="U101" i="119"/>
  <c r="U102" i="119"/>
  <c r="U103" i="119"/>
  <c r="U104" i="119"/>
  <c r="U105" i="119"/>
  <c r="U106" i="119"/>
  <c r="U107" i="119"/>
  <c r="U108" i="119"/>
  <c r="U109" i="119"/>
  <c r="U110" i="119"/>
  <c r="U111" i="119"/>
  <c r="U112" i="119"/>
  <c r="U113" i="119"/>
  <c r="U114" i="119"/>
  <c r="U115" i="119"/>
  <c r="U116" i="119"/>
  <c r="G49" i="135"/>
  <c r="O73" i="119"/>
  <c r="O74" i="119"/>
  <c r="O75" i="119"/>
  <c r="O76" i="119"/>
  <c r="H73" i="119"/>
  <c r="H74" i="119"/>
  <c r="H75" i="119"/>
  <c r="H76" i="119"/>
  <c r="O77" i="119"/>
  <c r="O78" i="119"/>
  <c r="O79" i="119"/>
  <c r="O80" i="119"/>
  <c r="H77" i="119"/>
  <c r="H78" i="119"/>
  <c r="H79" i="119"/>
  <c r="H80" i="119"/>
  <c r="O81" i="119"/>
  <c r="O82" i="119"/>
  <c r="O83" i="119"/>
  <c r="O84" i="119"/>
  <c r="H81" i="119"/>
  <c r="H82" i="119"/>
  <c r="H83" i="119"/>
  <c r="H84" i="119"/>
  <c r="O85" i="119"/>
  <c r="O86" i="119"/>
  <c r="O87" i="119"/>
  <c r="O88" i="119"/>
  <c r="H85" i="119"/>
  <c r="H86" i="119"/>
  <c r="H87" i="119"/>
  <c r="H88" i="119"/>
  <c r="O89" i="119"/>
  <c r="O90" i="119"/>
  <c r="O91" i="119"/>
  <c r="O92" i="119"/>
  <c r="H89" i="119"/>
  <c r="H90" i="119"/>
  <c r="H91" i="119"/>
  <c r="H92" i="119"/>
  <c r="O93" i="119"/>
  <c r="O94" i="119"/>
  <c r="O95" i="119"/>
  <c r="O96" i="119"/>
  <c r="H93" i="119"/>
  <c r="H94" i="119"/>
  <c r="H95" i="119"/>
  <c r="H96" i="119"/>
  <c r="O97" i="119"/>
  <c r="O98" i="119"/>
  <c r="O99" i="119"/>
  <c r="O100" i="119"/>
  <c r="H97" i="119"/>
  <c r="H98" i="119"/>
  <c r="H99" i="119"/>
  <c r="H100" i="119"/>
  <c r="O101" i="119"/>
  <c r="O102" i="119"/>
  <c r="O103" i="119"/>
  <c r="O104" i="119"/>
  <c r="H101" i="119"/>
  <c r="H102" i="119"/>
  <c r="H103" i="119"/>
  <c r="H104" i="119"/>
  <c r="O105" i="119"/>
  <c r="O106" i="119"/>
  <c r="O107" i="119"/>
  <c r="O108" i="119"/>
  <c r="H105" i="119"/>
  <c r="H106" i="119"/>
  <c r="H107" i="119"/>
  <c r="H108" i="119"/>
  <c r="O109" i="119"/>
  <c r="O110" i="119"/>
  <c r="O111" i="119"/>
  <c r="O112" i="119"/>
  <c r="H109" i="119"/>
  <c r="H110" i="119"/>
  <c r="H111" i="119"/>
  <c r="H112" i="119"/>
  <c r="O113" i="119"/>
  <c r="O114" i="119"/>
  <c r="O115" i="119"/>
  <c r="O116" i="119"/>
  <c r="H113" i="119"/>
  <c r="H114" i="119"/>
  <c r="H115" i="119"/>
  <c r="H116" i="119"/>
  <c r="U73" i="141"/>
  <c r="U74" i="141"/>
  <c r="U75" i="141"/>
  <c r="U76" i="141"/>
  <c r="U77" i="141"/>
  <c r="U78" i="141"/>
  <c r="U79" i="141"/>
  <c r="U80" i="141"/>
  <c r="U81" i="141"/>
  <c r="U82" i="141"/>
  <c r="U83" i="141"/>
  <c r="U84" i="141"/>
  <c r="U85" i="141"/>
  <c r="U86" i="141"/>
  <c r="U87" i="141"/>
  <c r="U88" i="141"/>
  <c r="U89" i="141"/>
  <c r="U90" i="141"/>
  <c r="U91" i="141"/>
  <c r="U92" i="141"/>
  <c r="U93" i="141"/>
  <c r="U94" i="141"/>
  <c r="U95" i="141"/>
  <c r="U96" i="141"/>
  <c r="U97" i="141"/>
  <c r="U98" i="141"/>
  <c r="U99" i="141"/>
  <c r="U100" i="141"/>
  <c r="U101" i="141"/>
  <c r="U102" i="141"/>
  <c r="U103" i="141"/>
  <c r="U104" i="141"/>
  <c r="U105" i="141"/>
  <c r="U106" i="141"/>
  <c r="U107" i="141"/>
  <c r="U108" i="141"/>
  <c r="U109" i="141"/>
  <c r="U110" i="141"/>
  <c r="U111" i="141"/>
  <c r="U112" i="141"/>
  <c r="U113" i="141"/>
  <c r="U114" i="141"/>
  <c r="U115" i="141"/>
  <c r="U116" i="141"/>
  <c r="G35" i="135"/>
  <c r="O73" i="141"/>
  <c r="O74" i="141"/>
  <c r="O75" i="141"/>
  <c r="O76" i="141"/>
  <c r="H73" i="141"/>
  <c r="H74" i="141"/>
  <c r="H75" i="141"/>
  <c r="H76" i="141"/>
  <c r="O77" i="141"/>
  <c r="O78" i="141"/>
  <c r="O79" i="141"/>
  <c r="O80" i="141"/>
  <c r="H77" i="141"/>
  <c r="H78" i="141"/>
  <c r="H79" i="141"/>
  <c r="H80" i="141"/>
  <c r="O81" i="141"/>
  <c r="O82" i="141"/>
  <c r="O83" i="141"/>
  <c r="O84" i="141"/>
  <c r="H81" i="141"/>
  <c r="H82" i="141"/>
  <c r="H83" i="141"/>
  <c r="H84" i="141"/>
  <c r="O85" i="141"/>
  <c r="O86" i="141"/>
  <c r="O87" i="141"/>
  <c r="O88" i="141"/>
  <c r="H85" i="141"/>
  <c r="H86" i="141"/>
  <c r="H87" i="141"/>
  <c r="H88" i="141"/>
  <c r="O89" i="141"/>
  <c r="O90" i="141"/>
  <c r="O91" i="141"/>
  <c r="O92" i="141"/>
  <c r="H89" i="141"/>
  <c r="H90" i="141"/>
  <c r="H91" i="141"/>
  <c r="H92" i="141"/>
  <c r="O93" i="141"/>
  <c r="O94" i="141"/>
  <c r="O95" i="141"/>
  <c r="O96" i="141"/>
  <c r="H93" i="141"/>
  <c r="H94" i="141"/>
  <c r="H95" i="141"/>
  <c r="H96" i="141"/>
  <c r="O97" i="141"/>
  <c r="O98" i="141"/>
  <c r="O99" i="141"/>
  <c r="O100" i="141"/>
  <c r="H97" i="141"/>
  <c r="H98" i="141"/>
  <c r="H99" i="141"/>
  <c r="H100" i="141"/>
  <c r="O101" i="141"/>
  <c r="O102" i="141"/>
  <c r="O103" i="141"/>
  <c r="O104" i="141"/>
  <c r="H101" i="141"/>
  <c r="H102" i="141"/>
  <c r="H103" i="141"/>
  <c r="H104" i="141"/>
  <c r="O105" i="141"/>
  <c r="O106" i="141"/>
  <c r="O107" i="141"/>
  <c r="O108" i="141"/>
  <c r="H105" i="141"/>
  <c r="H106" i="141"/>
  <c r="H107" i="141"/>
  <c r="H108" i="141"/>
  <c r="O109" i="141"/>
  <c r="O110" i="141"/>
  <c r="O111" i="141"/>
  <c r="O112" i="141"/>
  <c r="H109" i="141"/>
  <c r="H110" i="141"/>
  <c r="H111" i="141"/>
  <c r="H112" i="141"/>
  <c r="O113" i="141"/>
  <c r="O114" i="141"/>
  <c r="O115" i="141"/>
  <c r="O116" i="141"/>
  <c r="H113" i="141"/>
  <c r="H114" i="141"/>
  <c r="H115" i="141"/>
  <c r="H116" i="141"/>
  <c r="U187" i="112"/>
  <c r="U188" i="112"/>
  <c r="U189" i="112"/>
  <c r="U190" i="112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G27" i="135"/>
  <c r="O187" i="112"/>
  <c r="O188" i="112"/>
  <c r="O189" i="112"/>
  <c r="O190" i="112"/>
  <c r="H187" i="112"/>
  <c r="H188" i="112"/>
  <c r="H189" i="112"/>
  <c r="H190" i="112"/>
  <c r="O191" i="112"/>
  <c r="O192" i="112"/>
  <c r="O193" i="112"/>
  <c r="O194" i="112"/>
  <c r="H191" i="112"/>
  <c r="H192" i="112"/>
  <c r="H193" i="112"/>
  <c r="H194" i="112"/>
  <c r="O195" i="112"/>
  <c r="O196" i="112"/>
  <c r="O197" i="112"/>
  <c r="O198" i="112"/>
  <c r="H195" i="112"/>
  <c r="H196" i="112"/>
  <c r="H197" i="112"/>
  <c r="H198" i="112"/>
  <c r="O199" i="112"/>
  <c r="O200" i="112"/>
  <c r="O201" i="112"/>
  <c r="O202" i="112"/>
  <c r="H199" i="112"/>
  <c r="H200" i="112"/>
  <c r="H201" i="112"/>
  <c r="H202" i="112"/>
  <c r="O203" i="112"/>
  <c r="O204" i="112"/>
  <c r="O205" i="112"/>
  <c r="O206" i="112"/>
  <c r="H203" i="112"/>
  <c r="H204" i="112"/>
  <c r="H205" i="112"/>
  <c r="H206" i="112"/>
  <c r="O207" i="112"/>
  <c r="O208" i="112"/>
  <c r="O209" i="112"/>
  <c r="O210" i="112"/>
  <c r="H207" i="112"/>
  <c r="H208" i="112"/>
  <c r="H209" i="112"/>
  <c r="H210" i="112"/>
  <c r="O211" i="112"/>
  <c r="O212" i="112"/>
  <c r="O213" i="112"/>
  <c r="O214" i="112"/>
  <c r="H211" i="112"/>
  <c r="H212" i="112"/>
  <c r="H213" i="112"/>
  <c r="H214" i="112"/>
  <c r="O215" i="112"/>
  <c r="O216" i="112"/>
  <c r="O217" i="112"/>
  <c r="O218" i="112"/>
  <c r="H215" i="112"/>
  <c r="H216" i="112"/>
  <c r="H217" i="112"/>
  <c r="H218" i="112"/>
  <c r="O219" i="112"/>
  <c r="O220" i="112"/>
  <c r="O221" i="112"/>
  <c r="O222" i="112"/>
  <c r="H219" i="112"/>
  <c r="H220" i="112"/>
  <c r="H221" i="112"/>
  <c r="H222" i="112"/>
  <c r="O223" i="112"/>
  <c r="O224" i="112"/>
  <c r="O225" i="112"/>
  <c r="O226" i="112"/>
  <c r="H223" i="112"/>
  <c r="H224" i="112"/>
  <c r="H225" i="112"/>
  <c r="H226" i="112"/>
  <c r="O227" i="112"/>
  <c r="O228" i="112"/>
  <c r="O229" i="112"/>
  <c r="O230" i="112"/>
  <c r="H227" i="112"/>
  <c r="H228" i="112"/>
  <c r="H229" i="112"/>
  <c r="H230" i="112"/>
  <c r="U73" i="112"/>
  <c r="U74" i="112"/>
  <c r="U75" i="112"/>
  <c r="U76" i="112"/>
  <c r="U77" i="112"/>
  <c r="U78" i="112"/>
  <c r="U79" i="112"/>
  <c r="U80" i="112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G21" i="135"/>
  <c r="O73" i="112"/>
  <c r="O74" i="112"/>
  <c r="O75" i="112"/>
  <c r="O76" i="112"/>
  <c r="H73" i="112"/>
  <c r="H74" i="112"/>
  <c r="H75" i="112"/>
  <c r="H76" i="112"/>
  <c r="O77" i="112"/>
  <c r="O78" i="112"/>
  <c r="O79" i="112"/>
  <c r="O80" i="112"/>
  <c r="H77" i="112"/>
  <c r="H78" i="112"/>
  <c r="H79" i="112"/>
  <c r="H80" i="112"/>
  <c r="O81" i="112"/>
  <c r="O82" i="112"/>
  <c r="O83" i="112"/>
  <c r="O84" i="112"/>
  <c r="H81" i="112"/>
  <c r="H82" i="112"/>
  <c r="H83" i="112"/>
  <c r="H84" i="112"/>
  <c r="O85" i="112"/>
  <c r="O86" i="112"/>
  <c r="O87" i="112"/>
  <c r="O88" i="112"/>
  <c r="H85" i="112"/>
  <c r="H86" i="112"/>
  <c r="H87" i="112"/>
  <c r="H88" i="112"/>
  <c r="O89" i="112"/>
  <c r="O90" i="112"/>
  <c r="O91" i="112"/>
  <c r="O92" i="112"/>
  <c r="H89" i="112"/>
  <c r="H90" i="112"/>
  <c r="H91" i="112"/>
  <c r="H92" i="112"/>
  <c r="O93" i="112"/>
  <c r="O94" i="112"/>
  <c r="O95" i="112"/>
  <c r="O96" i="112"/>
  <c r="H93" i="112"/>
  <c r="H94" i="112"/>
  <c r="H95" i="112"/>
  <c r="H96" i="112"/>
  <c r="O97" i="112"/>
  <c r="O98" i="112"/>
  <c r="O99" i="112"/>
  <c r="O100" i="112"/>
  <c r="H97" i="112"/>
  <c r="H98" i="112"/>
  <c r="H99" i="112"/>
  <c r="H100" i="112"/>
  <c r="O101" i="112"/>
  <c r="O102" i="112"/>
  <c r="O103" i="112"/>
  <c r="O104" i="112"/>
  <c r="H101" i="112"/>
  <c r="H102" i="112"/>
  <c r="H103" i="112"/>
  <c r="H104" i="112"/>
  <c r="O105" i="112"/>
  <c r="O106" i="112"/>
  <c r="O107" i="112"/>
  <c r="O108" i="112"/>
  <c r="H105" i="112"/>
  <c r="H106" i="112"/>
  <c r="H107" i="112"/>
  <c r="H108" i="112"/>
  <c r="O109" i="112"/>
  <c r="O110" i="112"/>
  <c r="O111" i="112"/>
  <c r="O112" i="112"/>
  <c r="H109" i="112"/>
  <c r="H110" i="112"/>
  <c r="H111" i="112"/>
  <c r="H112" i="112"/>
  <c r="O113" i="112"/>
  <c r="O114" i="112"/>
  <c r="O115" i="112"/>
  <c r="O116" i="112"/>
  <c r="H113" i="112"/>
  <c r="H114" i="112"/>
  <c r="H115" i="112"/>
  <c r="H116" i="112"/>
  <c r="U187" i="140"/>
  <c r="U188" i="140"/>
  <c r="U189" i="140"/>
  <c r="U190" i="140"/>
  <c r="U191" i="140"/>
  <c r="U192" i="140"/>
  <c r="U193" i="140"/>
  <c r="U194" i="140"/>
  <c r="U195" i="140"/>
  <c r="U196" i="140"/>
  <c r="U197" i="140"/>
  <c r="U198" i="140"/>
  <c r="U199" i="140"/>
  <c r="U200" i="140"/>
  <c r="U201" i="140"/>
  <c r="U202" i="140"/>
  <c r="U203" i="140"/>
  <c r="U204" i="140"/>
  <c r="U205" i="140"/>
  <c r="U206" i="140"/>
  <c r="U207" i="140"/>
  <c r="U208" i="140"/>
  <c r="U209" i="140"/>
  <c r="U210" i="140"/>
  <c r="U211" i="140"/>
  <c r="U212" i="140"/>
  <c r="U213" i="140"/>
  <c r="U214" i="140"/>
  <c r="U215" i="140"/>
  <c r="U216" i="140"/>
  <c r="U217" i="140"/>
  <c r="U218" i="140"/>
  <c r="U219" i="140"/>
  <c r="U220" i="140"/>
  <c r="U221" i="140"/>
  <c r="U222" i="140"/>
  <c r="U223" i="140"/>
  <c r="U224" i="140"/>
  <c r="U225" i="140"/>
  <c r="U226" i="140"/>
  <c r="U227" i="140"/>
  <c r="U228" i="140"/>
  <c r="U229" i="140"/>
  <c r="U230" i="140"/>
  <c r="G13" i="135"/>
  <c r="H187" i="140"/>
  <c r="H188" i="140"/>
  <c r="H189" i="140"/>
  <c r="H190" i="140"/>
  <c r="H191" i="140"/>
  <c r="H192" i="140"/>
  <c r="H193" i="140"/>
  <c r="H194" i="140"/>
  <c r="H195" i="140"/>
  <c r="H196" i="140"/>
  <c r="H197" i="140"/>
  <c r="H198" i="140"/>
  <c r="H199" i="140"/>
  <c r="H200" i="140"/>
  <c r="H201" i="140"/>
  <c r="H202" i="140"/>
  <c r="H203" i="140"/>
  <c r="H204" i="140"/>
  <c r="H205" i="140"/>
  <c r="H206" i="140"/>
  <c r="H207" i="140"/>
  <c r="H208" i="140"/>
  <c r="H209" i="140"/>
  <c r="H210" i="140"/>
  <c r="H211" i="140"/>
  <c r="H212" i="140"/>
  <c r="H213" i="140"/>
  <c r="H214" i="140"/>
  <c r="H215" i="140"/>
  <c r="H216" i="140"/>
  <c r="H217" i="140"/>
  <c r="H218" i="140"/>
  <c r="H219" i="140"/>
  <c r="H220" i="140"/>
  <c r="H221" i="140"/>
  <c r="H222" i="140"/>
  <c r="H223" i="140"/>
  <c r="H224" i="140"/>
  <c r="H225" i="140"/>
  <c r="H226" i="140"/>
  <c r="H227" i="140"/>
  <c r="H228" i="140"/>
  <c r="H229" i="140"/>
  <c r="H230" i="140"/>
  <c r="U73" i="140"/>
  <c r="U74" i="140"/>
  <c r="U75" i="140"/>
  <c r="U76" i="140"/>
  <c r="U77" i="140"/>
  <c r="U78" i="140"/>
  <c r="U79" i="140"/>
  <c r="U80" i="140"/>
  <c r="U81" i="140"/>
  <c r="U82" i="140"/>
  <c r="U83" i="140"/>
  <c r="U84" i="140"/>
  <c r="U85" i="140"/>
  <c r="U86" i="140"/>
  <c r="U87" i="140"/>
  <c r="U88" i="140"/>
  <c r="U89" i="140"/>
  <c r="U90" i="140"/>
  <c r="U91" i="140"/>
  <c r="U92" i="140"/>
  <c r="U93" i="140"/>
  <c r="U94" i="140"/>
  <c r="U95" i="140"/>
  <c r="U96" i="140"/>
  <c r="U97" i="140"/>
  <c r="U98" i="140"/>
  <c r="U99" i="140"/>
  <c r="U100" i="140"/>
  <c r="U101" i="140"/>
  <c r="U102" i="140"/>
  <c r="U103" i="140"/>
  <c r="U104" i="140"/>
  <c r="U105" i="140"/>
  <c r="U106" i="140"/>
  <c r="U107" i="140"/>
  <c r="U108" i="140"/>
  <c r="U109" i="140"/>
  <c r="U110" i="140"/>
  <c r="U111" i="140"/>
  <c r="U112" i="140"/>
  <c r="U113" i="140"/>
  <c r="U114" i="140"/>
  <c r="U115" i="140"/>
  <c r="U116" i="140"/>
  <c r="G7" i="135"/>
  <c r="H73" i="140"/>
  <c r="H74" i="140"/>
  <c r="H75" i="140"/>
  <c r="H76" i="140"/>
  <c r="H77" i="140"/>
  <c r="H78" i="140"/>
  <c r="H79" i="140"/>
  <c r="H80" i="140"/>
  <c r="H81" i="140"/>
  <c r="H82" i="140"/>
  <c r="H83" i="140"/>
  <c r="H84" i="140"/>
  <c r="H85" i="140"/>
  <c r="H86" i="140"/>
  <c r="H87" i="140"/>
  <c r="H88" i="140"/>
  <c r="H89" i="140"/>
  <c r="H90" i="140"/>
  <c r="H91" i="140"/>
  <c r="H92" i="140"/>
  <c r="H93" i="140"/>
  <c r="H94" i="140"/>
  <c r="H95" i="140"/>
  <c r="H96" i="140"/>
  <c r="H97" i="140"/>
  <c r="H98" i="140"/>
  <c r="H99" i="140"/>
  <c r="H100" i="140"/>
  <c r="H101" i="140"/>
  <c r="H102" i="140"/>
  <c r="H103" i="140"/>
  <c r="H104" i="140"/>
  <c r="H105" i="140"/>
  <c r="H106" i="140"/>
  <c r="H107" i="140"/>
  <c r="H108" i="140"/>
  <c r="H109" i="140"/>
  <c r="H110" i="140"/>
  <c r="H111" i="140"/>
  <c r="H112" i="140"/>
  <c r="H113" i="140"/>
  <c r="H114" i="140"/>
  <c r="H115" i="140"/>
  <c r="H116" i="140"/>
  <c r="U123" i="141"/>
  <c r="U124" i="141"/>
  <c r="U125" i="141"/>
  <c r="U126" i="141"/>
  <c r="U127" i="141"/>
  <c r="U128" i="141"/>
  <c r="U129" i="141"/>
  <c r="U130" i="141"/>
  <c r="U131" i="141"/>
  <c r="U132" i="141"/>
  <c r="U133" i="141"/>
  <c r="U134" i="141"/>
  <c r="U135" i="141"/>
  <c r="U136" i="141"/>
  <c r="U137" i="141"/>
  <c r="U138" i="141"/>
  <c r="U139" i="141"/>
  <c r="U140" i="141"/>
  <c r="U141" i="141"/>
  <c r="U142" i="141"/>
  <c r="U143" i="141"/>
  <c r="U144" i="141"/>
  <c r="U145" i="141"/>
  <c r="U146" i="141"/>
  <c r="U147" i="141"/>
  <c r="U148" i="141"/>
  <c r="U149" i="141"/>
  <c r="U150" i="141"/>
  <c r="U151" i="141"/>
  <c r="U152" i="141"/>
  <c r="U153" i="141"/>
  <c r="U154" i="141"/>
  <c r="U155" i="141"/>
  <c r="U156" i="141"/>
  <c r="U157" i="141"/>
  <c r="U158" i="141"/>
  <c r="U159" i="141"/>
  <c r="U160" i="141"/>
  <c r="U161" i="141"/>
  <c r="U162" i="141"/>
  <c r="U163" i="141"/>
  <c r="U164" i="141"/>
  <c r="U165" i="141"/>
  <c r="U166" i="141"/>
  <c r="U167" i="141"/>
  <c r="U168" i="141"/>
  <c r="U169" i="141"/>
  <c r="U170" i="141"/>
  <c r="U171" i="141"/>
  <c r="U172" i="141"/>
  <c r="U173" i="141"/>
  <c r="U174" i="141"/>
  <c r="U175" i="141"/>
  <c r="U176" i="141"/>
  <c r="U177" i="141"/>
  <c r="U178" i="141"/>
  <c r="U179" i="141"/>
  <c r="U180" i="141"/>
  <c r="U181" i="141"/>
  <c r="U182" i="141"/>
  <c r="U183" i="141"/>
  <c r="U184" i="141"/>
  <c r="U185" i="141"/>
  <c r="U186" i="141"/>
  <c r="U231" i="141"/>
  <c r="G42" i="135"/>
  <c r="G37" i="135"/>
  <c r="G38" i="135"/>
  <c r="G40" i="135"/>
  <c r="G39" i="135"/>
  <c r="U9" i="141"/>
  <c r="U10" i="141"/>
  <c r="U11" i="141"/>
  <c r="U12" i="141"/>
  <c r="U13" i="141"/>
  <c r="U14" i="141"/>
  <c r="U15" i="141"/>
  <c r="U16" i="141"/>
  <c r="U17" i="141"/>
  <c r="U18" i="141"/>
  <c r="U19" i="141"/>
  <c r="U20" i="141"/>
  <c r="U21" i="141"/>
  <c r="U22" i="141"/>
  <c r="U23" i="141"/>
  <c r="U24" i="141"/>
  <c r="U25" i="141"/>
  <c r="U26" i="141"/>
  <c r="U27" i="141"/>
  <c r="U28" i="141"/>
  <c r="U29" i="141"/>
  <c r="U30" i="141"/>
  <c r="U31" i="141"/>
  <c r="U32" i="141"/>
  <c r="U33" i="141"/>
  <c r="U34" i="141"/>
  <c r="U35" i="141"/>
  <c r="U36" i="141"/>
  <c r="U37" i="141"/>
  <c r="U38" i="141"/>
  <c r="U39" i="141"/>
  <c r="U40" i="141"/>
  <c r="U41" i="141"/>
  <c r="U42" i="141"/>
  <c r="U43" i="141"/>
  <c r="U44" i="141"/>
  <c r="U45" i="141"/>
  <c r="U46" i="141"/>
  <c r="U47" i="141"/>
  <c r="U48" i="141"/>
  <c r="U49" i="141"/>
  <c r="U50" i="141"/>
  <c r="U51" i="141"/>
  <c r="U52" i="141"/>
  <c r="U53" i="141"/>
  <c r="U54" i="141"/>
  <c r="U55" i="141"/>
  <c r="U56" i="141"/>
  <c r="U57" i="141"/>
  <c r="U58" i="141"/>
  <c r="U59" i="141"/>
  <c r="U60" i="141"/>
  <c r="U61" i="141"/>
  <c r="U62" i="141"/>
  <c r="U63" i="141"/>
  <c r="U64" i="141"/>
  <c r="U65" i="141"/>
  <c r="U66" i="141"/>
  <c r="U67" i="141"/>
  <c r="U68" i="141"/>
  <c r="U69" i="141"/>
  <c r="U70" i="141"/>
  <c r="U71" i="141"/>
  <c r="U72" i="141"/>
  <c r="U117" i="141"/>
  <c r="G36" i="135"/>
  <c r="G31" i="135"/>
  <c r="G33" i="135"/>
  <c r="G34" i="135"/>
  <c r="G32" i="135"/>
  <c r="H123" i="141"/>
  <c r="H124" i="141"/>
  <c r="H125" i="141"/>
  <c r="H126" i="141"/>
  <c r="O123" i="141"/>
  <c r="O124" i="141"/>
  <c r="O125" i="141"/>
  <c r="O126" i="141"/>
  <c r="H127" i="141"/>
  <c r="H128" i="141"/>
  <c r="H129" i="141"/>
  <c r="H130" i="141"/>
  <c r="O127" i="141"/>
  <c r="O128" i="141"/>
  <c r="O129" i="141"/>
  <c r="O130" i="141"/>
  <c r="H131" i="141"/>
  <c r="H132" i="141"/>
  <c r="H133" i="141"/>
  <c r="H134" i="141"/>
  <c r="O131" i="141"/>
  <c r="O132" i="141"/>
  <c r="O133" i="141"/>
  <c r="O134" i="141"/>
  <c r="H135" i="141"/>
  <c r="H136" i="141"/>
  <c r="H137" i="141"/>
  <c r="H138" i="141"/>
  <c r="O135" i="141"/>
  <c r="O136" i="141"/>
  <c r="O137" i="141"/>
  <c r="O138" i="141"/>
  <c r="H139" i="141"/>
  <c r="H140" i="141"/>
  <c r="H141" i="141"/>
  <c r="H142" i="141"/>
  <c r="O139" i="141"/>
  <c r="O140" i="141"/>
  <c r="O141" i="141"/>
  <c r="O142" i="141"/>
  <c r="H143" i="141"/>
  <c r="H144" i="141"/>
  <c r="H145" i="141"/>
  <c r="H146" i="141"/>
  <c r="O143" i="141"/>
  <c r="O144" i="141"/>
  <c r="O145" i="141"/>
  <c r="O146" i="141"/>
  <c r="H147" i="141"/>
  <c r="H148" i="141"/>
  <c r="H149" i="141"/>
  <c r="H150" i="141"/>
  <c r="O147" i="141"/>
  <c r="O148" i="141"/>
  <c r="O149" i="141"/>
  <c r="O150" i="141"/>
  <c r="H151" i="141"/>
  <c r="H152" i="141"/>
  <c r="H153" i="141"/>
  <c r="H154" i="141"/>
  <c r="O151" i="141"/>
  <c r="O152" i="141"/>
  <c r="O153" i="141"/>
  <c r="O154" i="141"/>
  <c r="H155" i="141"/>
  <c r="H156" i="141"/>
  <c r="H157" i="141"/>
  <c r="H158" i="141"/>
  <c r="O155" i="141"/>
  <c r="O156" i="141"/>
  <c r="O157" i="141"/>
  <c r="O158" i="141"/>
  <c r="H159" i="141"/>
  <c r="H160" i="141"/>
  <c r="H161" i="141"/>
  <c r="H162" i="141"/>
  <c r="O159" i="141"/>
  <c r="O160" i="141"/>
  <c r="O161" i="141"/>
  <c r="O162" i="141"/>
  <c r="H163" i="141"/>
  <c r="H164" i="141"/>
  <c r="H165" i="141"/>
  <c r="H166" i="141"/>
  <c r="O163" i="141"/>
  <c r="O164" i="141"/>
  <c r="O165" i="141"/>
  <c r="O166" i="141"/>
  <c r="H167" i="141"/>
  <c r="H168" i="141"/>
  <c r="H169" i="141"/>
  <c r="H170" i="141"/>
  <c r="O167" i="141"/>
  <c r="O168" i="141"/>
  <c r="O169" i="141"/>
  <c r="O170" i="141"/>
  <c r="H171" i="141"/>
  <c r="H172" i="141"/>
  <c r="H173" i="141"/>
  <c r="H174" i="141"/>
  <c r="O171" i="141"/>
  <c r="O172" i="141"/>
  <c r="O173" i="141"/>
  <c r="O174" i="141"/>
  <c r="H175" i="141"/>
  <c r="H176" i="141"/>
  <c r="H177" i="141"/>
  <c r="H178" i="141"/>
  <c r="O175" i="141"/>
  <c r="O176" i="141"/>
  <c r="O177" i="141"/>
  <c r="O178" i="141"/>
  <c r="H179" i="141"/>
  <c r="H180" i="141"/>
  <c r="H181" i="141"/>
  <c r="H182" i="141"/>
  <c r="O179" i="141"/>
  <c r="O180" i="141"/>
  <c r="O181" i="141"/>
  <c r="O182" i="141"/>
  <c r="H183" i="141"/>
  <c r="H184" i="141"/>
  <c r="H185" i="141"/>
  <c r="H186" i="141"/>
  <c r="O183" i="141"/>
  <c r="O184" i="141"/>
  <c r="O185" i="141"/>
  <c r="O186" i="141"/>
  <c r="H9" i="141"/>
  <c r="H10" i="141"/>
  <c r="H11" i="141"/>
  <c r="H12" i="141"/>
  <c r="O9" i="141"/>
  <c r="O10" i="141"/>
  <c r="O11" i="141"/>
  <c r="O12" i="141"/>
  <c r="H13" i="141"/>
  <c r="H14" i="141"/>
  <c r="H15" i="141"/>
  <c r="H16" i="141"/>
  <c r="O13" i="141"/>
  <c r="O14" i="141"/>
  <c r="O15" i="141"/>
  <c r="O16" i="141"/>
  <c r="H17" i="141"/>
  <c r="H18" i="141"/>
  <c r="H19" i="141"/>
  <c r="H20" i="141"/>
  <c r="O17" i="141"/>
  <c r="O18" i="141"/>
  <c r="O19" i="141"/>
  <c r="O20" i="141"/>
  <c r="H21" i="141"/>
  <c r="H22" i="141"/>
  <c r="H23" i="141"/>
  <c r="H24" i="141"/>
  <c r="O21" i="141"/>
  <c r="O22" i="141"/>
  <c r="O23" i="141"/>
  <c r="O24" i="141"/>
  <c r="H25" i="141"/>
  <c r="H26" i="141"/>
  <c r="H27" i="141"/>
  <c r="H28" i="141"/>
  <c r="O25" i="141"/>
  <c r="O26" i="141"/>
  <c r="O27" i="141"/>
  <c r="O28" i="141"/>
  <c r="H29" i="141"/>
  <c r="H30" i="141"/>
  <c r="H31" i="141"/>
  <c r="H32" i="141"/>
  <c r="O29" i="141"/>
  <c r="O30" i="141"/>
  <c r="O31" i="141"/>
  <c r="O32" i="141"/>
  <c r="H33" i="141"/>
  <c r="H34" i="141"/>
  <c r="H35" i="141"/>
  <c r="H36" i="141"/>
  <c r="O33" i="141"/>
  <c r="O34" i="141"/>
  <c r="O35" i="141"/>
  <c r="O36" i="141"/>
  <c r="H37" i="141"/>
  <c r="H38" i="141"/>
  <c r="H39" i="141"/>
  <c r="H40" i="141"/>
  <c r="O37" i="141"/>
  <c r="O38" i="141"/>
  <c r="O39" i="141"/>
  <c r="O40" i="141"/>
  <c r="H41" i="141"/>
  <c r="H42" i="141"/>
  <c r="H43" i="141"/>
  <c r="H44" i="141"/>
  <c r="O41" i="141"/>
  <c r="O42" i="141"/>
  <c r="O43" i="141"/>
  <c r="O44" i="141"/>
  <c r="H45" i="141"/>
  <c r="H46" i="141"/>
  <c r="H47" i="141"/>
  <c r="H48" i="141"/>
  <c r="O45" i="141"/>
  <c r="O46" i="141"/>
  <c r="O47" i="141"/>
  <c r="O48" i="141"/>
  <c r="H49" i="141"/>
  <c r="H50" i="141"/>
  <c r="H51" i="141"/>
  <c r="H52" i="141"/>
  <c r="O49" i="141"/>
  <c r="O50" i="141"/>
  <c r="O51" i="141"/>
  <c r="O52" i="141"/>
  <c r="H53" i="141"/>
  <c r="H54" i="141"/>
  <c r="H55" i="141"/>
  <c r="H56" i="141"/>
  <c r="O53" i="141"/>
  <c r="O54" i="141"/>
  <c r="O55" i="141"/>
  <c r="O56" i="141"/>
  <c r="H57" i="141"/>
  <c r="H58" i="141"/>
  <c r="H59" i="141"/>
  <c r="H60" i="141"/>
  <c r="O57" i="141"/>
  <c r="O58" i="141"/>
  <c r="O59" i="141"/>
  <c r="O60" i="141"/>
  <c r="H61" i="141"/>
  <c r="H62" i="141"/>
  <c r="H63" i="141"/>
  <c r="H64" i="141"/>
  <c r="O61" i="141"/>
  <c r="O62" i="141"/>
  <c r="O63" i="141"/>
  <c r="O64" i="141"/>
  <c r="H65" i="141"/>
  <c r="H66" i="141"/>
  <c r="H67" i="141"/>
  <c r="H68" i="141"/>
  <c r="O65" i="141"/>
  <c r="O66" i="141"/>
  <c r="O67" i="141"/>
  <c r="O68" i="141"/>
  <c r="H69" i="141"/>
  <c r="H70" i="141"/>
  <c r="H71" i="141"/>
  <c r="H72" i="141"/>
  <c r="O69" i="141"/>
  <c r="O70" i="141"/>
  <c r="O71" i="141"/>
  <c r="O72" i="141"/>
  <c r="U123" i="140"/>
  <c r="U124" i="140"/>
  <c r="U125" i="140"/>
  <c r="U126" i="140"/>
  <c r="U127" i="140"/>
  <c r="U128" i="140"/>
  <c r="U129" i="140"/>
  <c r="U130" i="140"/>
  <c r="U131" i="140"/>
  <c r="U132" i="140"/>
  <c r="U133" i="140"/>
  <c r="U134" i="140"/>
  <c r="U135" i="140"/>
  <c r="U136" i="140"/>
  <c r="U137" i="140"/>
  <c r="U138" i="140"/>
  <c r="U139" i="140"/>
  <c r="U140" i="140"/>
  <c r="U141" i="140"/>
  <c r="U142" i="140"/>
  <c r="U143" i="140"/>
  <c r="U144" i="140"/>
  <c r="U145" i="140"/>
  <c r="U146" i="140"/>
  <c r="U147" i="140"/>
  <c r="U148" i="140"/>
  <c r="U149" i="140"/>
  <c r="U150" i="140"/>
  <c r="U151" i="140"/>
  <c r="U152" i="140"/>
  <c r="U153" i="140"/>
  <c r="U154" i="140"/>
  <c r="U155" i="140"/>
  <c r="U156" i="140"/>
  <c r="U157" i="140"/>
  <c r="U158" i="140"/>
  <c r="U159" i="140"/>
  <c r="U160" i="140"/>
  <c r="U161" i="140"/>
  <c r="U162" i="140"/>
  <c r="U163" i="140"/>
  <c r="U164" i="140"/>
  <c r="U165" i="140"/>
  <c r="U166" i="140"/>
  <c r="U167" i="140"/>
  <c r="U168" i="140"/>
  <c r="U169" i="140"/>
  <c r="U170" i="140"/>
  <c r="U171" i="140"/>
  <c r="U172" i="140"/>
  <c r="U173" i="140"/>
  <c r="U174" i="140"/>
  <c r="U175" i="140"/>
  <c r="U176" i="140"/>
  <c r="U177" i="140"/>
  <c r="U178" i="140"/>
  <c r="U179" i="140"/>
  <c r="U180" i="140"/>
  <c r="U181" i="140"/>
  <c r="U182" i="140"/>
  <c r="U183" i="140"/>
  <c r="U184" i="140"/>
  <c r="U185" i="140"/>
  <c r="U186" i="140"/>
  <c r="U231" i="140"/>
  <c r="G14" i="135"/>
  <c r="G9" i="135"/>
  <c r="G11" i="135"/>
  <c r="G12" i="135"/>
  <c r="G10" i="135"/>
  <c r="U9" i="140"/>
  <c r="U10" i="140"/>
  <c r="U11" i="140"/>
  <c r="U12" i="140"/>
  <c r="U13" i="140"/>
  <c r="U14" i="140"/>
  <c r="U15" i="140"/>
  <c r="U16" i="140"/>
  <c r="U17" i="140"/>
  <c r="U18" i="140"/>
  <c r="U19" i="140"/>
  <c r="U20" i="140"/>
  <c r="U21" i="140"/>
  <c r="U22" i="140"/>
  <c r="U23" i="140"/>
  <c r="U24" i="140"/>
  <c r="U25" i="140"/>
  <c r="U26" i="140"/>
  <c r="U27" i="140"/>
  <c r="U28" i="140"/>
  <c r="U29" i="140"/>
  <c r="U30" i="140"/>
  <c r="U31" i="140"/>
  <c r="U32" i="140"/>
  <c r="U33" i="140"/>
  <c r="U34" i="140"/>
  <c r="U35" i="140"/>
  <c r="U36" i="140"/>
  <c r="U37" i="140"/>
  <c r="U38" i="140"/>
  <c r="U39" i="140"/>
  <c r="U40" i="140"/>
  <c r="U41" i="140"/>
  <c r="U42" i="140"/>
  <c r="U43" i="140"/>
  <c r="U44" i="140"/>
  <c r="U45" i="140"/>
  <c r="U46" i="140"/>
  <c r="U47" i="140"/>
  <c r="U48" i="140"/>
  <c r="U49" i="140"/>
  <c r="U50" i="140"/>
  <c r="U51" i="140"/>
  <c r="U52" i="140"/>
  <c r="U53" i="140"/>
  <c r="U54" i="140"/>
  <c r="U55" i="140"/>
  <c r="U56" i="140"/>
  <c r="U57" i="140"/>
  <c r="U58" i="140"/>
  <c r="U59" i="140"/>
  <c r="U60" i="140"/>
  <c r="U61" i="140"/>
  <c r="U62" i="140"/>
  <c r="U63" i="140"/>
  <c r="U64" i="140"/>
  <c r="U65" i="140"/>
  <c r="U66" i="140"/>
  <c r="U67" i="140"/>
  <c r="U68" i="140"/>
  <c r="U69" i="140"/>
  <c r="U70" i="140"/>
  <c r="U71" i="140"/>
  <c r="U72" i="140"/>
  <c r="U117" i="140"/>
  <c r="G8" i="135"/>
  <c r="G3" i="135"/>
  <c r="G4" i="135"/>
  <c r="G6" i="135"/>
  <c r="G5" i="135"/>
  <c r="H123" i="140"/>
  <c r="H124" i="140"/>
  <c r="H125" i="140"/>
  <c r="H126" i="140"/>
  <c r="H127" i="140"/>
  <c r="H128" i="140"/>
  <c r="H129" i="140"/>
  <c r="H130" i="140"/>
  <c r="H131" i="140"/>
  <c r="H132" i="140"/>
  <c r="H133" i="140"/>
  <c r="H134" i="140"/>
  <c r="H135" i="140"/>
  <c r="H136" i="140"/>
  <c r="H137" i="140"/>
  <c r="H138" i="140"/>
  <c r="H139" i="140"/>
  <c r="H140" i="140"/>
  <c r="H141" i="140"/>
  <c r="H142" i="140"/>
  <c r="H143" i="140"/>
  <c r="H144" i="140"/>
  <c r="H145" i="140"/>
  <c r="H146" i="140"/>
  <c r="H147" i="140"/>
  <c r="H148" i="140"/>
  <c r="H149" i="140"/>
  <c r="H150" i="140"/>
  <c r="H151" i="140"/>
  <c r="H152" i="140"/>
  <c r="H153" i="140"/>
  <c r="H154" i="140"/>
  <c r="H155" i="140"/>
  <c r="H156" i="140"/>
  <c r="H157" i="140"/>
  <c r="H158" i="140"/>
  <c r="H159" i="140"/>
  <c r="H160" i="140"/>
  <c r="H161" i="140"/>
  <c r="H162" i="140"/>
  <c r="H163" i="140"/>
  <c r="H164" i="140"/>
  <c r="H165" i="140"/>
  <c r="H166" i="140"/>
  <c r="H167" i="140"/>
  <c r="H168" i="140"/>
  <c r="H169" i="140"/>
  <c r="H170" i="140"/>
  <c r="H171" i="140"/>
  <c r="H172" i="140"/>
  <c r="H173" i="140"/>
  <c r="H174" i="140"/>
  <c r="H175" i="140"/>
  <c r="H176" i="140"/>
  <c r="H177" i="140"/>
  <c r="H178" i="140"/>
  <c r="H179" i="140"/>
  <c r="H180" i="140"/>
  <c r="H181" i="140"/>
  <c r="H182" i="140"/>
  <c r="H183" i="140"/>
  <c r="H184" i="140"/>
  <c r="H185" i="140"/>
  <c r="H186" i="140"/>
  <c r="H9" i="140"/>
  <c r="H10" i="140"/>
  <c r="H11" i="140"/>
  <c r="H12" i="140"/>
  <c r="H13" i="140"/>
  <c r="H14" i="140"/>
  <c r="H15" i="140"/>
  <c r="H16" i="140"/>
  <c r="H17" i="140"/>
  <c r="H18" i="140"/>
  <c r="H19" i="140"/>
  <c r="H20" i="140"/>
  <c r="H21" i="140"/>
  <c r="H22" i="140"/>
  <c r="H23" i="140"/>
  <c r="H24" i="140"/>
  <c r="H25" i="140"/>
  <c r="H26" i="140"/>
  <c r="H27" i="140"/>
  <c r="H28" i="140"/>
  <c r="H29" i="140"/>
  <c r="H30" i="140"/>
  <c r="H31" i="140"/>
  <c r="H32" i="140"/>
  <c r="H33" i="140"/>
  <c r="H34" i="140"/>
  <c r="H35" i="140"/>
  <c r="H36" i="140"/>
  <c r="H37" i="140"/>
  <c r="H38" i="140"/>
  <c r="H39" i="140"/>
  <c r="H40" i="140"/>
  <c r="H41" i="140"/>
  <c r="H42" i="140"/>
  <c r="H43" i="140"/>
  <c r="H44" i="140"/>
  <c r="H45" i="140"/>
  <c r="H46" i="140"/>
  <c r="H47" i="140"/>
  <c r="H48" i="140"/>
  <c r="H49" i="140"/>
  <c r="H50" i="140"/>
  <c r="H51" i="140"/>
  <c r="H52" i="140"/>
  <c r="H53" i="140"/>
  <c r="H54" i="140"/>
  <c r="H55" i="140"/>
  <c r="H56" i="140"/>
  <c r="H57" i="140"/>
  <c r="H58" i="140"/>
  <c r="H59" i="140"/>
  <c r="H60" i="140"/>
  <c r="H61" i="140"/>
  <c r="H62" i="140"/>
  <c r="H63" i="140"/>
  <c r="H64" i="140"/>
  <c r="H65" i="140"/>
  <c r="H66" i="140"/>
  <c r="H67" i="140"/>
  <c r="H68" i="140"/>
  <c r="H69" i="140"/>
  <c r="H70" i="140"/>
  <c r="H71" i="140"/>
  <c r="H72" i="140"/>
  <c r="U9" i="119"/>
  <c r="U10" i="119"/>
  <c r="U11" i="119"/>
  <c r="U12" i="119"/>
  <c r="U13" i="119"/>
  <c r="U14" i="119"/>
  <c r="U15" i="119"/>
  <c r="U16" i="119"/>
  <c r="U17" i="119"/>
  <c r="U18" i="119"/>
  <c r="U19" i="119"/>
  <c r="U20" i="119"/>
  <c r="U21" i="119"/>
  <c r="U22" i="119"/>
  <c r="U23" i="119"/>
  <c r="U24" i="119"/>
  <c r="U25" i="119"/>
  <c r="U26" i="119"/>
  <c r="U27" i="119"/>
  <c r="U28" i="119"/>
  <c r="U29" i="119"/>
  <c r="U30" i="119"/>
  <c r="U31" i="119"/>
  <c r="U32" i="119"/>
  <c r="U33" i="119"/>
  <c r="U34" i="119"/>
  <c r="U35" i="119"/>
  <c r="U36" i="119"/>
  <c r="U37" i="119"/>
  <c r="U38" i="119"/>
  <c r="U39" i="119"/>
  <c r="U40" i="119"/>
  <c r="U41" i="119"/>
  <c r="U42" i="119"/>
  <c r="U43" i="119"/>
  <c r="U44" i="119"/>
  <c r="U45" i="119"/>
  <c r="U46" i="119"/>
  <c r="U47" i="119"/>
  <c r="U48" i="119"/>
  <c r="U49" i="119"/>
  <c r="U50" i="119"/>
  <c r="U51" i="119"/>
  <c r="U52" i="119"/>
  <c r="U53" i="119"/>
  <c r="U54" i="119"/>
  <c r="U55" i="119"/>
  <c r="U56" i="119"/>
  <c r="U57" i="119"/>
  <c r="U58" i="119"/>
  <c r="U59" i="119"/>
  <c r="U60" i="119"/>
  <c r="U61" i="119"/>
  <c r="U62" i="119"/>
  <c r="U63" i="119"/>
  <c r="U64" i="119"/>
  <c r="U65" i="119"/>
  <c r="U66" i="119"/>
  <c r="U67" i="119"/>
  <c r="U68" i="119"/>
  <c r="U69" i="119"/>
  <c r="U70" i="119"/>
  <c r="U71" i="119"/>
  <c r="U72" i="119"/>
  <c r="U117" i="119"/>
  <c r="G50" i="135"/>
  <c r="O9" i="119"/>
  <c r="O10" i="119"/>
  <c r="O11" i="119"/>
  <c r="O12" i="119"/>
  <c r="H9" i="119"/>
  <c r="H10" i="119"/>
  <c r="H11" i="119"/>
  <c r="H12" i="119"/>
  <c r="O13" i="119"/>
  <c r="O14" i="119"/>
  <c r="O15" i="119"/>
  <c r="O16" i="119"/>
  <c r="H13" i="119"/>
  <c r="H14" i="119"/>
  <c r="H15" i="119"/>
  <c r="H16" i="119"/>
  <c r="O17" i="119"/>
  <c r="O18" i="119"/>
  <c r="O19" i="119"/>
  <c r="O20" i="119"/>
  <c r="H17" i="119"/>
  <c r="H18" i="119"/>
  <c r="H19" i="119"/>
  <c r="H20" i="119"/>
  <c r="O21" i="119"/>
  <c r="O22" i="119"/>
  <c r="O23" i="119"/>
  <c r="O24" i="119"/>
  <c r="H21" i="119"/>
  <c r="H22" i="119"/>
  <c r="H23" i="119"/>
  <c r="H24" i="119"/>
  <c r="O25" i="119"/>
  <c r="O26" i="119"/>
  <c r="O27" i="119"/>
  <c r="O28" i="119"/>
  <c r="H25" i="119"/>
  <c r="H26" i="119"/>
  <c r="H27" i="119"/>
  <c r="H28" i="119"/>
  <c r="G45" i="135"/>
  <c r="O29" i="119"/>
  <c r="O30" i="119"/>
  <c r="O31" i="119"/>
  <c r="O32" i="119"/>
  <c r="H29" i="119"/>
  <c r="H30" i="119"/>
  <c r="H31" i="119"/>
  <c r="H32" i="119"/>
  <c r="O33" i="119"/>
  <c r="O34" i="119"/>
  <c r="O35" i="119"/>
  <c r="O36" i="119"/>
  <c r="H33" i="119"/>
  <c r="H34" i="119"/>
  <c r="H35" i="119"/>
  <c r="H36" i="119"/>
  <c r="O37" i="119"/>
  <c r="O38" i="119"/>
  <c r="O39" i="119"/>
  <c r="O40" i="119"/>
  <c r="H37" i="119"/>
  <c r="H38" i="119"/>
  <c r="H39" i="119"/>
  <c r="H40" i="119"/>
  <c r="O41" i="119"/>
  <c r="O42" i="119"/>
  <c r="O43" i="119"/>
  <c r="O44" i="119"/>
  <c r="H41" i="119"/>
  <c r="H42" i="119"/>
  <c r="H43" i="119"/>
  <c r="H44" i="119"/>
  <c r="G46" i="135"/>
  <c r="O45" i="119"/>
  <c r="O46" i="119"/>
  <c r="O47" i="119"/>
  <c r="O48" i="119"/>
  <c r="H45" i="119"/>
  <c r="H46" i="119"/>
  <c r="H47" i="119"/>
  <c r="H48" i="119"/>
  <c r="O49" i="119"/>
  <c r="O50" i="119"/>
  <c r="O51" i="119"/>
  <c r="O52" i="119"/>
  <c r="H49" i="119"/>
  <c r="H50" i="119"/>
  <c r="H51" i="119"/>
  <c r="H52" i="119"/>
  <c r="O53" i="119"/>
  <c r="O54" i="119"/>
  <c r="O55" i="119"/>
  <c r="O56" i="119"/>
  <c r="H53" i="119"/>
  <c r="H54" i="119"/>
  <c r="H55" i="119"/>
  <c r="H56" i="119"/>
  <c r="O57" i="119"/>
  <c r="O58" i="119"/>
  <c r="O59" i="119"/>
  <c r="O60" i="119"/>
  <c r="H57" i="119"/>
  <c r="H58" i="119"/>
  <c r="H59" i="119"/>
  <c r="H60" i="119"/>
  <c r="G47" i="135"/>
  <c r="O61" i="119"/>
  <c r="O62" i="119"/>
  <c r="O63" i="119"/>
  <c r="O64" i="119"/>
  <c r="H61" i="119"/>
  <c r="H62" i="119"/>
  <c r="H63" i="119"/>
  <c r="H64" i="119"/>
  <c r="O65" i="119"/>
  <c r="O66" i="119"/>
  <c r="O67" i="119"/>
  <c r="O68" i="119"/>
  <c r="H65" i="119"/>
  <c r="H66" i="119"/>
  <c r="H67" i="119"/>
  <c r="H68" i="119"/>
  <c r="O69" i="119"/>
  <c r="O70" i="119"/>
  <c r="O71" i="119"/>
  <c r="O72" i="119"/>
  <c r="H69" i="119"/>
  <c r="H70" i="119"/>
  <c r="H71" i="119"/>
  <c r="H72" i="119"/>
  <c r="G48" i="135"/>
  <c r="U123" i="119"/>
  <c r="U124" i="119"/>
  <c r="U125" i="119"/>
  <c r="U126" i="119"/>
  <c r="U127" i="119"/>
  <c r="U128" i="119"/>
  <c r="U129" i="119"/>
  <c r="U130" i="119"/>
  <c r="U131" i="119"/>
  <c r="U132" i="119"/>
  <c r="U133" i="119"/>
  <c r="U134" i="119"/>
  <c r="U135" i="119"/>
  <c r="U136" i="119"/>
  <c r="U137" i="119"/>
  <c r="U138" i="119"/>
  <c r="U139" i="119"/>
  <c r="U140" i="119"/>
  <c r="U141" i="119"/>
  <c r="U142" i="119"/>
  <c r="U143" i="119"/>
  <c r="U144" i="119"/>
  <c r="U145" i="119"/>
  <c r="U146" i="119"/>
  <c r="U147" i="119"/>
  <c r="U148" i="119"/>
  <c r="U149" i="119"/>
  <c r="U150" i="119"/>
  <c r="U151" i="119"/>
  <c r="U152" i="119"/>
  <c r="U153" i="119"/>
  <c r="U154" i="119"/>
  <c r="U155" i="119"/>
  <c r="U156" i="119"/>
  <c r="U157" i="119"/>
  <c r="U158" i="119"/>
  <c r="U159" i="119"/>
  <c r="U160" i="119"/>
  <c r="U161" i="119"/>
  <c r="U162" i="119"/>
  <c r="U163" i="119"/>
  <c r="U164" i="119"/>
  <c r="U165" i="119"/>
  <c r="U166" i="119"/>
  <c r="U167" i="119"/>
  <c r="U168" i="119"/>
  <c r="U169" i="119"/>
  <c r="U170" i="119"/>
  <c r="U171" i="119"/>
  <c r="U172" i="119"/>
  <c r="U173" i="119"/>
  <c r="U174" i="119"/>
  <c r="U175" i="119"/>
  <c r="U176" i="119"/>
  <c r="U177" i="119"/>
  <c r="U178" i="119"/>
  <c r="U179" i="119"/>
  <c r="U180" i="119"/>
  <c r="U181" i="119"/>
  <c r="U182" i="119"/>
  <c r="U183" i="119"/>
  <c r="U184" i="119"/>
  <c r="U185" i="119"/>
  <c r="U186" i="119"/>
  <c r="U231" i="119"/>
  <c r="G56" i="135"/>
  <c r="O123" i="119"/>
  <c r="O124" i="119"/>
  <c r="O125" i="119"/>
  <c r="O126" i="119"/>
  <c r="H123" i="119"/>
  <c r="H124" i="119"/>
  <c r="H125" i="119"/>
  <c r="H126" i="119"/>
  <c r="O127" i="119"/>
  <c r="O128" i="119"/>
  <c r="O129" i="119"/>
  <c r="O130" i="119"/>
  <c r="H127" i="119"/>
  <c r="H128" i="119"/>
  <c r="H129" i="119"/>
  <c r="H130" i="119"/>
  <c r="O131" i="119"/>
  <c r="O132" i="119"/>
  <c r="O133" i="119"/>
  <c r="O134" i="119"/>
  <c r="H131" i="119"/>
  <c r="H132" i="119"/>
  <c r="H133" i="119"/>
  <c r="H134" i="119"/>
  <c r="O135" i="119"/>
  <c r="O136" i="119"/>
  <c r="O137" i="119"/>
  <c r="O138" i="119"/>
  <c r="H135" i="119"/>
  <c r="H136" i="119"/>
  <c r="H137" i="119"/>
  <c r="H138" i="119"/>
  <c r="O139" i="119"/>
  <c r="O140" i="119"/>
  <c r="O141" i="119"/>
  <c r="O142" i="119"/>
  <c r="H139" i="119"/>
  <c r="H140" i="119"/>
  <c r="H141" i="119"/>
  <c r="H142" i="119"/>
  <c r="G51" i="135"/>
  <c r="O143" i="119"/>
  <c r="O144" i="119"/>
  <c r="O145" i="119"/>
  <c r="O146" i="119"/>
  <c r="H143" i="119"/>
  <c r="H144" i="119"/>
  <c r="H145" i="119"/>
  <c r="H146" i="119"/>
  <c r="O147" i="119"/>
  <c r="O148" i="119"/>
  <c r="O149" i="119"/>
  <c r="O150" i="119"/>
  <c r="H147" i="119"/>
  <c r="H148" i="119"/>
  <c r="H149" i="119"/>
  <c r="H150" i="119"/>
  <c r="O151" i="119"/>
  <c r="O152" i="119"/>
  <c r="O153" i="119"/>
  <c r="O154" i="119"/>
  <c r="H151" i="119"/>
  <c r="H152" i="119"/>
  <c r="H153" i="119"/>
  <c r="H154" i="119"/>
  <c r="O155" i="119"/>
  <c r="O156" i="119"/>
  <c r="O157" i="119"/>
  <c r="O158" i="119"/>
  <c r="H155" i="119"/>
  <c r="H156" i="119"/>
  <c r="H157" i="119"/>
  <c r="H158" i="119"/>
  <c r="G52" i="135"/>
  <c r="O159" i="119"/>
  <c r="O160" i="119"/>
  <c r="O161" i="119"/>
  <c r="O162" i="119"/>
  <c r="H159" i="119"/>
  <c r="H160" i="119"/>
  <c r="H161" i="119"/>
  <c r="H162" i="119"/>
  <c r="O163" i="119"/>
  <c r="O164" i="119"/>
  <c r="O165" i="119"/>
  <c r="O166" i="119"/>
  <c r="H163" i="119"/>
  <c r="H164" i="119"/>
  <c r="H165" i="119"/>
  <c r="H166" i="119"/>
  <c r="O167" i="119"/>
  <c r="O168" i="119"/>
  <c r="O169" i="119"/>
  <c r="O170" i="119"/>
  <c r="H167" i="119"/>
  <c r="H168" i="119"/>
  <c r="H169" i="119"/>
  <c r="H170" i="119"/>
  <c r="O171" i="119"/>
  <c r="O172" i="119"/>
  <c r="O173" i="119"/>
  <c r="O174" i="119"/>
  <c r="H171" i="119"/>
  <c r="H172" i="119"/>
  <c r="H173" i="119"/>
  <c r="H174" i="119"/>
  <c r="G53" i="135"/>
  <c r="O175" i="119"/>
  <c r="O176" i="119"/>
  <c r="O177" i="119"/>
  <c r="O178" i="119"/>
  <c r="H175" i="119"/>
  <c r="H176" i="119"/>
  <c r="H177" i="119"/>
  <c r="H178" i="119"/>
  <c r="O179" i="119"/>
  <c r="O180" i="119"/>
  <c r="O181" i="119"/>
  <c r="O182" i="119"/>
  <c r="H179" i="119"/>
  <c r="H180" i="119"/>
  <c r="H181" i="119"/>
  <c r="H182" i="119"/>
  <c r="O183" i="119"/>
  <c r="O184" i="119"/>
  <c r="O185" i="119"/>
  <c r="O186" i="119"/>
  <c r="H183" i="119"/>
  <c r="H184" i="119"/>
  <c r="H185" i="119"/>
  <c r="H186" i="119"/>
  <c r="G54" i="135"/>
  <c r="O9" i="112"/>
  <c r="O10" i="112"/>
  <c r="O11" i="112"/>
  <c r="O12" i="112"/>
  <c r="H9" i="112"/>
  <c r="H10" i="112"/>
  <c r="H11" i="112"/>
  <c r="H12" i="112"/>
  <c r="O13" i="112"/>
  <c r="O14" i="112"/>
  <c r="O15" i="112"/>
  <c r="O16" i="112"/>
  <c r="H13" i="112"/>
  <c r="H14" i="112"/>
  <c r="H15" i="112"/>
  <c r="H16" i="112"/>
  <c r="O17" i="112"/>
  <c r="O18" i="112"/>
  <c r="O19" i="112"/>
  <c r="O20" i="112"/>
  <c r="H17" i="112"/>
  <c r="H18" i="112"/>
  <c r="H19" i="112"/>
  <c r="H20" i="112"/>
  <c r="O21" i="112"/>
  <c r="O22" i="112"/>
  <c r="O23" i="112"/>
  <c r="O24" i="112"/>
  <c r="H21" i="112"/>
  <c r="H22" i="112"/>
  <c r="H23" i="112"/>
  <c r="H24" i="112"/>
  <c r="O25" i="112"/>
  <c r="O26" i="112"/>
  <c r="O27" i="112"/>
  <c r="O28" i="112"/>
  <c r="H25" i="112"/>
  <c r="H26" i="112"/>
  <c r="H27" i="112"/>
  <c r="H28" i="112"/>
  <c r="U9" i="112"/>
  <c r="U10" i="112"/>
  <c r="U11" i="112"/>
  <c r="U12" i="112"/>
  <c r="U13" i="112"/>
  <c r="U14" i="112"/>
  <c r="U15" i="112"/>
  <c r="U16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G17" i="135"/>
  <c r="O29" i="112"/>
  <c r="O30" i="112"/>
  <c r="O31" i="112"/>
  <c r="O32" i="112"/>
  <c r="H29" i="112"/>
  <c r="H30" i="112"/>
  <c r="H31" i="112"/>
  <c r="H32" i="112"/>
  <c r="O33" i="112"/>
  <c r="O34" i="112"/>
  <c r="O35" i="112"/>
  <c r="O36" i="112"/>
  <c r="H33" i="112"/>
  <c r="H34" i="112"/>
  <c r="H35" i="112"/>
  <c r="H36" i="112"/>
  <c r="O37" i="112"/>
  <c r="O38" i="112"/>
  <c r="O39" i="112"/>
  <c r="O40" i="112"/>
  <c r="H37" i="112"/>
  <c r="H38" i="112"/>
  <c r="H39" i="112"/>
  <c r="H40" i="112"/>
  <c r="O41" i="112"/>
  <c r="O42" i="112"/>
  <c r="O43" i="112"/>
  <c r="O44" i="112"/>
  <c r="H41" i="112"/>
  <c r="H42" i="112"/>
  <c r="H43" i="112"/>
  <c r="H44" i="112"/>
  <c r="U29" i="112"/>
  <c r="U30" i="112"/>
  <c r="U31" i="112"/>
  <c r="U32" i="112"/>
  <c r="U33" i="112"/>
  <c r="U34" i="112"/>
  <c r="U35" i="112"/>
  <c r="U36" i="112"/>
  <c r="U37" i="112"/>
  <c r="U38" i="112"/>
  <c r="U39" i="112"/>
  <c r="U40" i="112"/>
  <c r="U41" i="112"/>
  <c r="U42" i="112"/>
  <c r="U43" i="112"/>
  <c r="U44" i="112"/>
  <c r="G18" i="135"/>
  <c r="O45" i="112"/>
  <c r="O46" i="112"/>
  <c r="O47" i="112"/>
  <c r="O48" i="112"/>
  <c r="H45" i="112"/>
  <c r="H46" i="112"/>
  <c r="H47" i="112"/>
  <c r="H48" i="112"/>
  <c r="O49" i="112"/>
  <c r="O50" i="112"/>
  <c r="O51" i="112"/>
  <c r="O52" i="112"/>
  <c r="H49" i="112"/>
  <c r="H50" i="112"/>
  <c r="H51" i="112"/>
  <c r="H52" i="112"/>
  <c r="O53" i="112"/>
  <c r="O54" i="112"/>
  <c r="O55" i="112"/>
  <c r="O56" i="112"/>
  <c r="H53" i="112"/>
  <c r="H54" i="112"/>
  <c r="H55" i="112"/>
  <c r="H56" i="112"/>
  <c r="O57" i="112"/>
  <c r="O58" i="112"/>
  <c r="O59" i="112"/>
  <c r="O60" i="112"/>
  <c r="H57" i="112"/>
  <c r="H58" i="112"/>
  <c r="H59" i="112"/>
  <c r="H60" i="112"/>
  <c r="U45" i="112"/>
  <c r="U46" i="112"/>
  <c r="U47" i="112"/>
  <c r="U48" i="112"/>
  <c r="U49" i="112"/>
  <c r="U50" i="112"/>
  <c r="U51" i="112"/>
  <c r="U52" i="112"/>
  <c r="U53" i="112"/>
  <c r="U54" i="112"/>
  <c r="U55" i="112"/>
  <c r="U56" i="112"/>
  <c r="U57" i="112"/>
  <c r="U58" i="112"/>
  <c r="U59" i="112"/>
  <c r="U60" i="112"/>
  <c r="G19" i="135"/>
  <c r="O61" i="112"/>
  <c r="O62" i="112"/>
  <c r="O63" i="112"/>
  <c r="O64" i="112"/>
  <c r="H61" i="112"/>
  <c r="H62" i="112"/>
  <c r="H63" i="112"/>
  <c r="H64" i="112"/>
  <c r="O65" i="112"/>
  <c r="O66" i="112"/>
  <c r="O67" i="112"/>
  <c r="O68" i="112"/>
  <c r="H65" i="112"/>
  <c r="H66" i="112"/>
  <c r="H67" i="112"/>
  <c r="H68" i="112"/>
  <c r="O69" i="112"/>
  <c r="O70" i="112"/>
  <c r="O71" i="112"/>
  <c r="O72" i="112"/>
  <c r="H69" i="112"/>
  <c r="H70" i="112"/>
  <c r="H71" i="112"/>
  <c r="H72" i="112"/>
  <c r="U61" i="112"/>
  <c r="U62" i="112"/>
  <c r="U63" i="112"/>
  <c r="U64" i="112"/>
  <c r="U65" i="112"/>
  <c r="U66" i="112"/>
  <c r="U67" i="112"/>
  <c r="U68" i="112"/>
  <c r="U69" i="112"/>
  <c r="U70" i="112"/>
  <c r="U71" i="112"/>
  <c r="U72" i="112"/>
  <c r="G20" i="135"/>
  <c r="U117" i="112"/>
  <c r="G22" i="135"/>
  <c r="U123" i="112"/>
  <c r="U124" i="112"/>
  <c r="U125" i="112"/>
  <c r="U126" i="112"/>
  <c r="U127" i="112"/>
  <c r="U128" i="112"/>
  <c r="U129" i="112"/>
  <c r="U130" i="112"/>
  <c r="U131" i="112"/>
  <c r="U132" i="112"/>
  <c r="U133" i="112"/>
  <c r="U134" i="112"/>
  <c r="U135" i="112"/>
  <c r="U136" i="112"/>
  <c r="U137" i="112"/>
  <c r="U138" i="112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231" i="112"/>
  <c r="G28" i="135"/>
  <c r="O123" i="112"/>
  <c r="O124" i="112"/>
  <c r="O125" i="112"/>
  <c r="O126" i="112"/>
  <c r="H123" i="112"/>
  <c r="H124" i="112"/>
  <c r="H125" i="112"/>
  <c r="H126" i="112"/>
  <c r="O127" i="112"/>
  <c r="O128" i="112"/>
  <c r="O129" i="112"/>
  <c r="O130" i="112"/>
  <c r="H127" i="112"/>
  <c r="H128" i="112"/>
  <c r="H129" i="112"/>
  <c r="H130" i="112"/>
  <c r="O131" i="112"/>
  <c r="O132" i="112"/>
  <c r="O133" i="112"/>
  <c r="O134" i="112"/>
  <c r="H131" i="112"/>
  <c r="H132" i="112"/>
  <c r="H133" i="112"/>
  <c r="H134" i="112"/>
  <c r="O135" i="112"/>
  <c r="O136" i="112"/>
  <c r="O137" i="112"/>
  <c r="O138" i="112"/>
  <c r="H135" i="112"/>
  <c r="H136" i="112"/>
  <c r="H137" i="112"/>
  <c r="H138" i="112"/>
  <c r="O139" i="112"/>
  <c r="O140" i="112"/>
  <c r="O141" i="112"/>
  <c r="O142" i="112"/>
  <c r="H139" i="112"/>
  <c r="H140" i="112"/>
  <c r="H141" i="112"/>
  <c r="H142" i="112"/>
  <c r="G23" i="135"/>
  <c r="O143" i="112"/>
  <c r="O144" i="112"/>
  <c r="O145" i="112"/>
  <c r="O146" i="112"/>
  <c r="H143" i="112"/>
  <c r="H144" i="112"/>
  <c r="H145" i="112"/>
  <c r="H146" i="112"/>
  <c r="O147" i="112"/>
  <c r="O148" i="112"/>
  <c r="O149" i="112"/>
  <c r="O150" i="112"/>
  <c r="H147" i="112"/>
  <c r="H148" i="112"/>
  <c r="H149" i="112"/>
  <c r="H150" i="112"/>
  <c r="O151" i="112"/>
  <c r="O152" i="112"/>
  <c r="O153" i="112"/>
  <c r="O154" i="112"/>
  <c r="H151" i="112"/>
  <c r="H152" i="112"/>
  <c r="H153" i="112"/>
  <c r="H154" i="112"/>
  <c r="O155" i="112"/>
  <c r="O156" i="112"/>
  <c r="O157" i="112"/>
  <c r="O158" i="112"/>
  <c r="H155" i="112"/>
  <c r="H156" i="112"/>
  <c r="H157" i="112"/>
  <c r="H158" i="112"/>
  <c r="G24" i="135"/>
  <c r="O159" i="112"/>
  <c r="O160" i="112"/>
  <c r="O161" i="112"/>
  <c r="O162" i="112"/>
  <c r="H159" i="112"/>
  <c r="H160" i="112"/>
  <c r="H161" i="112"/>
  <c r="H162" i="112"/>
  <c r="O163" i="112"/>
  <c r="O164" i="112"/>
  <c r="O165" i="112"/>
  <c r="O166" i="112"/>
  <c r="H163" i="112"/>
  <c r="H164" i="112"/>
  <c r="H165" i="112"/>
  <c r="H166" i="112"/>
  <c r="O167" i="112"/>
  <c r="O168" i="112"/>
  <c r="O169" i="112"/>
  <c r="O170" i="112"/>
  <c r="H167" i="112"/>
  <c r="H168" i="112"/>
  <c r="H169" i="112"/>
  <c r="H170" i="112"/>
  <c r="O171" i="112"/>
  <c r="O172" i="112"/>
  <c r="O173" i="112"/>
  <c r="O174" i="112"/>
  <c r="H171" i="112"/>
  <c r="H172" i="112"/>
  <c r="H173" i="112"/>
  <c r="H174" i="112"/>
  <c r="G25" i="135"/>
  <c r="O175" i="112"/>
  <c r="O176" i="112"/>
  <c r="O177" i="112"/>
  <c r="O178" i="112"/>
  <c r="H175" i="112"/>
  <c r="H176" i="112"/>
  <c r="H177" i="112"/>
  <c r="H178" i="112"/>
  <c r="O179" i="112"/>
  <c r="O180" i="112"/>
  <c r="O181" i="112"/>
  <c r="O182" i="112"/>
  <c r="H179" i="112"/>
  <c r="H180" i="112"/>
  <c r="H181" i="112"/>
  <c r="H182" i="112"/>
  <c r="O183" i="112"/>
  <c r="O184" i="112"/>
  <c r="O185" i="112"/>
  <c r="O186" i="112"/>
  <c r="H183" i="112"/>
  <c r="H184" i="112"/>
  <c r="H185" i="112"/>
  <c r="H186" i="112"/>
  <c r="G26" i="135"/>
  <c r="T177" i="69"/>
  <c r="N177" i="69"/>
  <c r="G177" i="69"/>
  <c r="T176" i="69"/>
  <c r="N176" i="69"/>
  <c r="G176" i="69"/>
  <c r="T175" i="69"/>
  <c r="N175" i="69"/>
  <c r="G175" i="69"/>
  <c r="T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T90" i="69"/>
  <c r="N5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T44" i="69"/>
  <c r="T227" i="141"/>
  <c r="R195" i="141"/>
  <c r="Q211" i="141"/>
  <c r="T219" i="119"/>
  <c r="R187" i="119"/>
  <c r="Q203" i="119"/>
  <c r="T105" i="119"/>
  <c r="R73" i="119"/>
  <c r="Q89" i="119"/>
  <c r="T113" i="141"/>
  <c r="R81" i="141"/>
  <c r="Q97" i="141"/>
  <c r="T223" i="112"/>
  <c r="R191" i="112"/>
  <c r="Q207" i="112"/>
  <c r="T109" i="112"/>
  <c r="R77" i="112"/>
  <c r="Q93" i="112"/>
  <c r="T227" i="140"/>
  <c r="R195" i="140"/>
  <c r="Q211" i="140"/>
  <c r="T215" i="141"/>
  <c r="R215" i="141"/>
  <c r="T207" i="119"/>
  <c r="S223" i="119"/>
  <c r="Q191" i="119"/>
  <c r="T93" i="119"/>
  <c r="S109" i="119"/>
  <c r="Q77" i="119"/>
  <c r="T101" i="141"/>
  <c r="R101" i="141"/>
  <c r="T211" i="112"/>
  <c r="S227" i="112"/>
  <c r="Q195" i="112"/>
  <c r="T97" i="112"/>
  <c r="S113" i="112"/>
  <c r="Q81" i="112"/>
  <c r="T215" i="140"/>
  <c r="R215" i="140"/>
  <c r="T195" i="141"/>
  <c r="S211" i="141"/>
  <c r="R227" i="141"/>
  <c r="T187" i="119"/>
  <c r="S203" i="119"/>
  <c r="R219" i="119"/>
  <c r="T73" i="119"/>
  <c r="S89" i="119"/>
  <c r="R105" i="119"/>
  <c r="T81" i="141"/>
  <c r="S97" i="141"/>
  <c r="R113" i="141"/>
  <c r="T191" i="112"/>
  <c r="S207" i="112"/>
  <c r="R223" i="112"/>
  <c r="T77" i="112"/>
  <c r="S93" i="112"/>
  <c r="R109" i="112"/>
  <c r="T195" i="140"/>
  <c r="S211" i="140"/>
  <c r="R227" i="140"/>
  <c r="S215" i="141"/>
  <c r="Q215" i="141"/>
  <c r="S191" i="119"/>
  <c r="R207" i="119"/>
  <c r="Q223" i="119"/>
  <c r="S77" i="119"/>
  <c r="R93" i="119"/>
  <c r="Q109" i="119"/>
  <c r="S101" i="141"/>
  <c r="Q101" i="141"/>
  <c r="S195" i="112"/>
  <c r="R211" i="112"/>
  <c r="Q227" i="112"/>
  <c r="S81" i="112"/>
  <c r="R97" i="112"/>
  <c r="Q113" i="112"/>
  <c r="S215" i="140"/>
  <c r="Q215" i="140"/>
  <c r="T211" i="141"/>
  <c r="S227" i="141"/>
  <c r="Q195" i="141"/>
  <c r="T203" i="119"/>
  <c r="S219" i="119"/>
  <c r="Q187" i="119"/>
  <c r="T89" i="119"/>
  <c r="S105" i="119"/>
  <c r="Q73" i="119"/>
  <c r="T97" i="141"/>
  <c r="S113" i="141"/>
  <c r="Q81" i="141"/>
  <c r="T207" i="112"/>
  <c r="S223" i="112"/>
  <c r="Q191" i="112"/>
  <c r="T93" i="112"/>
  <c r="S109" i="112"/>
  <c r="Q77" i="112"/>
  <c r="T211" i="140"/>
  <c r="S227" i="140"/>
  <c r="Q195" i="140"/>
  <c r="T199" i="141"/>
  <c r="R199" i="141"/>
  <c r="T191" i="119"/>
  <c r="S207" i="119"/>
  <c r="R223" i="119"/>
  <c r="T77" i="119"/>
  <c r="S93" i="119"/>
  <c r="R109" i="119"/>
  <c r="T85" i="141"/>
  <c r="R85" i="141"/>
  <c r="T195" i="112"/>
  <c r="S211" i="112"/>
  <c r="R227" i="112"/>
  <c r="T81" i="112"/>
  <c r="S97" i="112"/>
  <c r="R113" i="112"/>
  <c r="T199" i="140"/>
  <c r="R199" i="140"/>
  <c r="S195" i="141"/>
  <c r="Q219" i="119"/>
  <c r="R89" i="119"/>
  <c r="S81" i="141"/>
  <c r="Q223" i="112"/>
  <c r="Q199" i="141"/>
  <c r="T223" i="119"/>
  <c r="R77" i="119"/>
  <c r="Q211" i="112"/>
  <c r="S191" i="141"/>
  <c r="R207" i="141"/>
  <c r="Q223" i="141"/>
  <c r="S215" i="119"/>
  <c r="Q215" i="119"/>
  <c r="S101" i="119"/>
  <c r="Q101" i="119"/>
  <c r="S77" i="141"/>
  <c r="R93" i="141"/>
  <c r="Q109" i="141"/>
  <c r="S187" i="112"/>
  <c r="R203" i="112"/>
  <c r="Q219" i="112"/>
  <c r="S73" i="112"/>
  <c r="R89" i="112"/>
  <c r="Q105" i="112"/>
  <c r="S191" i="140"/>
  <c r="R207" i="140"/>
  <c r="Q223" i="140"/>
  <c r="S187" i="141"/>
  <c r="T97" i="119"/>
  <c r="Q105" i="141"/>
  <c r="R199" i="112"/>
  <c r="Q101" i="112"/>
  <c r="R203" i="140"/>
  <c r="T109" i="140"/>
  <c r="R77" i="140"/>
  <c r="Q93" i="140"/>
  <c r="T187" i="141"/>
  <c r="T113" i="119"/>
  <c r="R105" i="141"/>
  <c r="S199" i="112"/>
  <c r="R101" i="112"/>
  <c r="S203" i="140"/>
  <c r="T113" i="140"/>
  <c r="R81" i="140"/>
  <c r="Q97" i="140"/>
  <c r="T219" i="141"/>
  <c r="T81" i="119"/>
  <c r="Q89" i="141"/>
  <c r="T215" i="112"/>
  <c r="Q85" i="112"/>
  <c r="R187" i="140"/>
  <c r="T105" i="140"/>
  <c r="R73" i="140"/>
  <c r="Q89" i="140"/>
  <c r="S81" i="119"/>
  <c r="Q101" i="140"/>
  <c r="Q227" i="141"/>
  <c r="S187" i="119"/>
  <c r="Q113" i="141"/>
  <c r="S191" i="112"/>
  <c r="R93" i="112"/>
  <c r="R211" i="140"/>
  <c r="Q207" i="119"/>
  <c r="Q85" i="141"/>
  <c r="T227" i="112"/>
  <c r="R81" i="112"/>
  <c r="S199" i="140"/>
  <c r="T207" i="141"/>
  <c r="S223" i="141"/>
  <c r="Q191" i="141"/>
  <c r="T215" i="119"/>
  <c r="R215" i="119"/>
  <c r="T101" i="119"/>
  <c r="R101" i="119"/>
  <c r="T93" i="141"/>
  <c r="S109" i="141"/>
  <c r="Q77" i="141"/>
  <c r="T203" i="112"/>
  <c r="S219" i="112"/>
  <c r="Q187" i="112"/>
  <c r="T89" i="112"/>
  <c r="S105" i="112"/>
  <c r="Q73" i="112"/>
  <c r="T207" i="140"/>
  <c r="S223" i="140"/>
  <c r="Q191" i="140"/>
  <c r="Q219" i="141"/>
  <c r="S227" i="119"/>
  <c r="Q81" i="119"/>
  <c r="S73" i="141"/>
  <c r="T77" i="140"/>
  <c r="S93" i="140"/>
  <c r="R109" i="140"/>
  <c r="R219" i="141"/>
  <c r="R195" i="119"/>
  <c r="Q97" i="119"/>
  <c r="T73" i="141"/>
  <c r="T81" i="140"/>
  <c r="S97" i="140"/>
  <c r="R113" i="140"/>
  <c r="Q203" i="141"/>
  <c r="S211" i="119"/>
  <c r="R113" i="119"/>
  <c r="T105" i="141"/>
  <c r="T73" i="140"/>
  <c r="S89" i="140"/>
  <c r="R105" i="140"/>
  <c r="Q227" i="119"/>
  <c r="T89" i="141"/>
  <c r="R203" i="119"/>
  <c r="S73" i="119"/>
  <c r="R207" i="112"/>
  <c r="Q109" i="112"/>
  <c r="Q227" i="140"/>
  <c r="S199" i="141"/>
  <c r="T109" i="119"/>
  <c r="R195" i="112"/>
  <c r="Q97" i="112"/>
  <c r="Q199" i="140"/>
  <c r="T223" i="141"/>
  <c r="R191" i="141"/>
  <c r="Q207" i="141"/>
  <c r="S199" i="119"/>
  <c r="Q199" i="119"/>
  <c r="S85" i="119"/>
  <c r="Q85" i="119"/>
  <c r="T109" i="141"/>
  <c r="R77" i="141"/>
  <c r="Q93" i="141"/>
  <c r="T219" i="112"/>
  <c r="R187" i="112"/>
  <c r="Q203" i="112"/>
  <c r="T105" i="112"/>
  <c r="R73" i="112"/>
  <c r="Q89" i="112"/>
  <c r="T223" i="140"/>
  <c r="R191" i="140"/>
  <c r="Q207" i="140"/>
  <c r="Q195" i="119"/>
  <c r="R89" i="141"/>
  <c r="R85" i="112"/>
  <c r="S187" i="140"/>
  <c r="T93" i="140"/>
  <c r="S109" i="140"/>
  <c r="Q77" i="140"/>
  <c r="Q211" i="119"/>
  <c r="S89" i="141"/>
  <c r="S85" i="112"/>
  <c r="T187" i="140"/>
  <c r="T97" i="140"/>
  <c r="S113" i="140"/>
  <c r="Q81" i="140"/>
  <c r="R227" i="119"/>
  <c r="R73" i="141"/>
  <c r="T101" i="112"/>
  <c r="T219" i="140"/>
  <c r="T89" i="140"/>
  <c r="S105" i="140"/>
  <c r="Q73" i="140"/>
  <c r="R85" i="140"/>
  <c r="Q105" i="119"/>
  <c r="T191" i="141"/>
  <c r="R109" i="141"/>
  <c r="T73" i="112"/>
  <c r="T191" i="140"/>
  <c r="Q109" i="140"/>
  <c r="T227" i="119"/>
  <c r="Q113" i="140"/>
  <c r="Q199" i="112"/>
  <c r="T139" i="141"/>
  <c r="T57" i="141"/>
  <c r="S139" i="141"/>
  <c r="S57" i="141"/>
  <c r="R139" i="141"/>
  <c r="R57" i="141"/>
  <c r="T131" i="140"/>
  <c r="T49" i="140"/>
  <c r="S131" i="140"/>
  <c r="S49" i="140"/>
  <c r="R131" i="140"/>
  <c r="R49" i="140"/>
  <c r="Q131" i="140"/>
  <c r="Q175" i="141"/>
  <c r="Q33" i="141"/>
  <c r="Q13" i="140"/>
  <c r="T159" i="141"/>
  <c r="T29" i="141"/>
  <c r="S127" i="141"/>
  <c r="S61" i="141"/>
  <c r="R159" i="141"/>
  <c r="R29" i="141"/>
  <c r="T183" i="140"/>
  <c r="T37" i="140"/>
  <c r="S183" i="140"/>
  <c r="S37" i="140"/>
  <c r="R183" i="140"/>
  <c r="R37" i="140"/>
  <c r="Q183" i="140"/>
  <c r="Q147" i="141"/>
  <c r="Q69" i="141"/>
  <c r="Q33" i="140"/>
  <c r="S219" i="141"/>
  <c r="Q93" i="119"/>
  <c r="R223" i="141"/>
  <c r="T199" i="119"/>
  <c r="R85" i="119"/>
  <c r="T77" i="141"/>
  <c r="S203" i="112"/>
  <c r="R105" i="112"/>
  <c r="R223" i="140"/>
  <c r="R203" i="141"/>
  <c r="S113" i="119"/>
  <c r="Q219" i="140"/>
  <c r="S77" i="140"/>
  <c r="R215" i="112"/>
  <c r="S81" i="140"/>
  <c r="T195" i="119"/>
  <c r="R89" i="140"/>
  <c r="T171" i="141"/>
  <c r="T25" i="141"/>
  <c r="S171" i="141"/>
  <c r="S25" i="141"/>
  <c r="R171" i="141"/>
  <c r="R25" i="141"/>
  <c r="T163" i="140"/>
  <c r="T17" i="140"/>
  <c r="S163" i="140"/>
  <c r="S17" i="140"/>
  <c r="R163" i="140"/>
  <c r="R17" i="140"/>
  <c r="Q163" i="140"/>
  <c r="Q143" i="141"/>
  <c r="Q65" i="141"/>
  <c r="Q45" i="140"/>
  <c r="T203" i="140"/>
  <c r="S85" i="140"/>
  <c r="T127" i="141"/>
  <c r="T61" i="141"/>
  <c r="S159" i="141"/>
  <c r="S29" i="141"/>
  <c r="R127" i="141"/>
  <c r="R61" i="141"/>
  <c r="T151" i="140"/>
  <c r="T69" i="140"/>
  <c r="S151" i="140"/>
  <c r="S69" i="140"/>
  <c r="R151" i="140"/>
  <c r="R69" i="140"/>
  <c r="Q151" i="140"/>
  <c r="Q179" i="141"/>
  <c r="Q37" i="141"/>
  <c r="Q65" i="140"/>
  <c r="R211" i="119"/>
  <c r="Q85" i="140"/>
  <c r="R211" i="141"/>
  <c r="S195" i="140"/>
  <c r="R191" i="119"/>
  <c r="S85" i="141"/>
  <c r="T113" i="112"/>
  <c r="R199" i="119"/>
  <c r="S93" i="141"/>
  <c r="R219" i="112"/>
  <c r="T211" i="119"/>
  <c r="R93" i="140"/>
  <c r="S203" i="141"/>
  <c r="R81" i="119"/>
  <c r="R219" i="140"/>
  <c r="R97" i="140"/>
  <c r="Q105" i="140"/>
  <c r="Q187" i="141"/>
  <c r="T123" i="141"/>
  <c r="T41" i="141"/>
  <c r="S123" i="141"/>
  <c r="S41" i="141"/>
  <c r="R123" i="141"/>
  <c r="R41" i="141"/>
  <c r="T179" i="140"/>
  <c r="T33" i="140"/>
  <c r="S179" i="140"/>
  <c r="S33" i="140"/>
  <c r="R179" i="140"/>
  <c r="R33" i="140"/>
  <c r="Q179" i="140"/>
  <c r="Q159" i="141"/>
  <c r="Q17" i="141"/>
  <c r="Q61" i="140"/>
  <c r="S105" i="141"/>
  <c r="T199" i="112"/>
  <c r="T85" i="112"/>
  <c r="R101" i="140"/>
  <c r="T143" i="141"/>
  <c r="T13" i="141"/>
  <c r="S175" i="141"/>
  <c r="S45" i="141"/>
  <c r="R143" i="141"/>
  <c r="R13" i="141"/>
  <c r="T167" i="140"/>
  <c r="T21" i="140"/>
  <c r="S167" i="140"/>
  <c r="S21" i="140"/>
  <c r="R167" i="140"/>
  <c r="R21" i="140"/>
  <c r="Q167" i="140"/>
  <c r="Q131" i="141"/>
  <c r="Q53" i="141"/>
  <c r="Q17" i="140"/>
  <c r="R97" i="141"/>
  <c r="S207" i="141"/>
  <c r="T85" i="119"/>
  <c r="S207" i="140"/>
  <c r="Q215" i="112"/>
  <c r="Q203" i="140"/>
  <c r="S155" i="141"/>
  <c r="R147" i="140"/>
  <c r="Q29" i="140"/>
  <c r="T45" i="141"/>
  <c r="S13" i="141"/>
  <c r="S135" i="140"/>
  <c r="R53" i="140"/>
  <c r="T151" i="141"/>
  <c r="T69" i="141"/>
  <c r="S151" i="141"/>
  <c r="S69" i="141"/>
  <c r="R151" i="141"/>
  <c r="R69" i="141"/>
  <c r="T159" i="140"/>
  <c r="T29" i="140"/>
  <c r="S127" i="140"/>
  <c r="S61" i="140"/>
  <c r="R159" i="140"/>
  <c r="R29" i="140"/>
  <c r="Q127" i="140"/>
  <c r="Q171" i="141"/>
  <c r="Q29" i="141"/>
  <c r="Q9" i="140"/>
  <c r="Q113" i="119"/>
  <c r="S215" i="112"/>
  <c r="T33" i="141"/>
  <c r="S33" i="141"/>
  <c r="R33" i="141"/>
  <c r="S123" i="140"/>
  <c r="Q123" i="140"/>
  <c r="Q37" i="140"/>
  <c r="S9" i="119"/>
  <c r="S37" i="119"/>
  <c r="T49" i="119"/>
  <c r="S135" i="119"/>
  <c r="T143" i="119"/>
  <c r="R183" i="119"/>
  <c r="R25" i="112"/>
  <c r="R33" i="112"/>
  <c r="S45" i="112"/>
  <c r="T65" i="112"/>
  <c r="S127" i="112"/>
  <c r="S97" i="119"/>
  <c r="S73" i="140"/>
  <c r="T9" i="141"/>
  <c r="R155" i="141"/>
  <c r="T65" i="140"/>
  <c r="Q147" i="140"/>
  <c r="R45" i="141"/>
  <c r="R135" i="140"/>
  <c r="Q163" i="141"/>
  <c r="T167" i="141"/>
  <c r="T21" i="141"/>
  <c r="S167" i="141"/>
  <c r="S21" i="141"/>
  <c r="R167" i="141"/>
  <c r="R21" i="141"/>
  <c r="T175" i="140"/>
  <c r="T45" i="140"/>
  <c r="S143" i="140"/>
  <c r="S13" i="140"/>
  <c r="R175" i="140"/>
  <c r="R45" i="140"/>
  <c r="Q143" i="140"/>
  <c r="Q123" i="141"/>
  <c r="Q45" i="141"/>
  <c r="Q25" i="140"/>
  <c r="Q73" i="141"/>
  <c r="T203" i="141"/>
  <c r="T85" i="140"/>
  <c r="T9" i="140"/>
  <c r="R9" i="140"/>
  <c r="Q9" i="141"/>
  <c r="S25" i="119"/>
  <c r="T33" i="119"/>
  <c r="T127" i="119"/>
  <c r="R167" i="119"/>
  <c r="S183" i="119"/>
  <c r="S17" i="112"/>
  <c r="S29" i="112"/>
  <c r="T57" i="112"/>
  <c r="T187" i="112"/>
  <c r="R187" i="141"/>
  <c r="T155" i="141"/>
  <c r="R9" i="141"/>
  <c r="S147" i="140"/>
  <c r="R65" i="140"/>
  <c r="Q127" i="141"/>
  <c r="R175" i="141"/>
  <c r="T135" i="140"/>
  <c r="S53" i="140"/>
  <c r="Q21" i="141"/>
  <c r="T101" i="140"/>
  <c r="T135" i="141"/>
  <c r="T53" i="141"/>
  <c r="S135" i="141"/>
  <c r="S53" i="141"/>
  <c r="R135" i="141"/>
  <c r="R53" i="141"/>
  <c r="T143" i="140"/>
  <c r="T13" i="140"/>
  <c r="S175" i="140"/>
  <c r="S45" i="140"/>
  <c r="R143" i="140"/>
  <c r="R13" i="140"/>
  <c r="Q175" i="140"/>
  <c r="Q155" i="141"/>
  <c r="Q13" i="141"/>
  <c r="Q57" i="140"/>
  <c r="S9" i="140"/>
  <c r="Q151" i="141"/>
  <c r="R17" i="119"/>
  <c r="R41" i="119"/>
  <c r="S53" i="119"/>
  <c r="R127" i="119"/>
  <c r="S147" i="119"/>
  <c r="T159" i="119"/>
  <c r="R9" i="112"/>
  <c r="T25" i="112"/>
  <c r="R49" i="112"/>
  <c r="S65" i="112"/>
  <c r="R135" i="112"/>
  <c r="Q49" i="141"/>
  <c r="T175" i="141"/>
  <c r="T53" i="140"/>
  <c r="T183" i="141"/>
  <c r="R37" i="141"/>
  <c r="Q159" i="140"/>
  <c r="S219" i="140"/>
  <c r="S195" i="119"/>
  <c r="S147" i="141"/>
  <c r="R151" i="119"/>
  <c r="T41" i="112"/>
  <c r="R143" i="112"/>
  <c r="S171" i="112"/>
  <c r="T175" i="112"/>
  <c r="S25" i="140"/>
  <c r="Q167" i="141"/>
  <c r="T21" i="119"/>
  <c r="R45" i="119"/>
  <c r="S61" i="119"/>
  <c r="S123" i="119"/>
  <c r="S151" i="119"/>
  <c r="T163" i="119"/>
  <c r="S21" i="112"/>
  <c r="T29" i="112"/>
  <c r="R69" i="112"/>
  <c r="R139" i="112"/>
  <c r="R147" i="112"/>
  <c r="S159" i="112"/>
  <c r="T179" i="112"/>
  <c r="T179" i="141"/>
  <c r="R179" i="141"/>
  <c r="Q183" i="141"/>
  <c r="R25" i="119"/>
  <c r="R33" i="119"/>
  <c r="S45" i="119"/>
  <c r="T65" i="119"/>
  <c r="S127" i="119"/>
  <c r="T151" i="119"/>
  <c r="R175" i="119"/>
  <c r="R17" i="112"/>
  <c r="R41" i="112"/>
  <c r="S53" i="112"/>
  <c r="R127" i="112"/>
  <c r="S147" i="112"/>
  <c r="T159" i="112"/>
  <c r="T131" i="141"/>
  <c r="R131" i="141"/>
  <c r="T57" i="140"/>
  <c r="S57" i="140"/>
  <c r="R57" i="140"/>
  <c r="Q135" i="141"/>
  <c r="T13" i="119"/>
  <c r="R53" i="119"/>
  <c r="S69" i="119"/>
  <c r="S131" i="119"/>
  <c r="S143" i="119"/>
  <c r="T171" i="119"/>
  <c r="T21" i="112"/>
  <c r="R45" i="112"/>
  <c r="S61" i="112"/>
  <c r="S123" i="112"/>
  <c r="S151" i="112"/>
  <c r="T163" i="112"/>
  <c r="Q167" i="119"/>
  <c r="Q21" i="119"/>
  <c r="Q167" i="112"/>
  <c r="Q21" i="112"/>
  <c r="R150" i="69"/>
  <c r="P138" i="69"/>
  <c r="Q102" i="69"/>
  <c r="P114" i="69"/>
  <c r="P122" i="69"/>
  <c r="R66" i="69"/>
  <c r="S74" i="69"/>
  <c r="P4" i="69"/>
  <c r="Q40" i="69"/>
  <c r="R20" i="69"/>
  <c r="Q123" i="119"/>
  <c r="Q41" i="119"/>
  <c r="Q123" i="112"/>
  <c r="Q41" i="112"/>
  <c r="R142" i="69"/>
  <c r="S150" i="69"/>
  <c r="R118" i="69"/>
  <c r="Q98" i="69"/>
  <c r="Q86" i="69"/>
  <c r="S62" i="69"/>
  <c r="S54" i="69"/>
  <c r="S32" i="69"/>
  <c r="R12" i="69"/>
  <c r="S36" i="69"/>
  <c r="Q159" i="119"/>
  <c r="Q29" i="119"/>
  <c r="Q127" i="112"/>
  <c r="Q61" i="112"/>
  <c r="R174" i="69"/>
  <c r="S158" i="69"/>
  <c r="R154" i="69"/>
  <c r="S102" i="69"/>
  <c r="S126" i="69"/>
  <c r="P86" i="69"/>
  <c r="Q58" i="69"/>
  <c r="Q78" i="69"/>
  <c r="Q20" i="69"/>
  <c r="R16" i="69"/>
  <c r="S9" i="141"/>
  <c r="S65" i="140"/>
  <c r="R97" i="119"/>
  <c r="S143" i="141"/>
  <c r="Q49" i="140"/>
  <c r="Q187" i="140"/>
  <c r="S183" i="141"/>
  <c r="T61" i="140"/>
  <c r="S29" i="140"/>
  <c r="Q61" i="141"/>
  <c r="S101" i="112"/>
  <c r="R147" i="141"/>
  <c r="R123" i="140"/>
  <c r="T17" i="119"/>
  <c r="S163" i="119"/>
  <c r="R65" i="112"/>
  <c r="S155" i="112"/>
  <c r="T167" i="112"/>
  <c r="T49" i="141"/>
  <c r="S49" i="141"/>
  <c r="R49" i="141"/>
  <c r="S139" i="140"/>
  <c r="Q139" i="140"/>
  <c r="Q53" i="140"/>
  <c r="R29" i="119"/>
  <c r="S57" i="119"/>
  <c r="T61" i="119"/>
  <c r="S139" i="119"/>
  <c r="T147" i="119"/>
  <c r="T13" i="112"/>
  <c r="R53" i="112"/>
  <c r="S69" i="112"/>
  <c r="S131" i="112"/>
  <c r="S143" i="112"/>
  <c r="T171" i="112"/>
  <c r="S65" i="141"/>
  <c r="T155" i="140"/>
  <c r="S155" i="140"/>
  <c r="R155" i="140"/>
  <c r="Q155" i="140"/>
  <c r="Q69" i="140"/>
  <c r="S17" i="119"/>
  <c r="S29" i="119"/>
  <c r="T57" i="119"/>
  <c r="T135" i="119"/>
  <c r="R159" i="119"/>
  <c r="S175" i="119"/>
  <c r="S9" i="112"/>
  <c r="S37" i="112"/>
  <c r="T49" i="112"/>
  <c r="S135" i="112"/>
  <c r="T143" i="112"/>
  <c r="R183" i="112"/>
  <c r="S17" i="141"/>
  <c r="Q21" i="140"/>
  <c r="R37" i="119"/>
  <c r="S49" i="119"/>
  <c r="T69" i="119"/>
  <c r="T123" i="119"/>
  <c r="T155" i="119"/>
  <c r="R179" i="119"/>
  <c r="R29" i="112"/>
  <c r="S57" i="112"/>
  <c r="T61" i="112"/>
  <c r="S139" i="112"/>
  <c r="T147" i="112"/>
  <c r="Q183" i="119"/>
  <c r="Q37" i="119"/>
  <c r="Q183" i="112"/>
  <c r="Q37" i="112"/>
  <c r="Q174" i="69"/>
  <c r="R146" i="69"/>
  <c r="Q158" i="69"/>
  <c r="R102" i="69"/>
  <c r="P118" i="69"/>
  <c r="R86" i="69"/>
  <c r="P62" i="69"/>
  <c r="S86" i="69"/>
  <c r="S8" i="69"/>
  <c r="R28" i="69"/>
  <c r="Q139" i="119"/>
  <c r="Q57" i="119"/>
  <c r="Q139" i="112"/>
  <c r="Q57" i="112"/>
  <c r="Q138" i="69"/>
  <c r="S154" i="69"/>
  <c r="R158" i="69"/>
  <c r="Q126" i="69"/>
  <c r="P102" i="69"/>
  <c r="S70" i="69"/>
  <c r="Q54" i="69"/>
  <c r="P82" i="69"/>
  <c r="Q4" i="69"/>
  <c r="Q16" i="69"/>
  <c r="Q175" i="119"/>
  <c r="Q45" i="119"/>
  <c r="Q143" i="112"/>
  <c r="Q13" i="112"/>
  <c r="Q162" i="69"/>
  <c r="Q170" i="69"/>
  <c r="R162" i="69"/>
  <c r="S110" i="69"/>
  <c r="R106" i="69"/>
  <c r="S78" i="69"/>
  <c r="P50" i="69"/>
  <c r="Q62" i="69"/>
  <c r="P20" i="69"/>
  <c r="Q8" i="69"/>
  <c r="T37" i="141"/>
  <c r="R183" i="141"/>
  <c r="T127" i="140"/>
  <c r="R61" i="140"/>
  <c r="Q139" i="141"/>
  <c r="S101" i="140"/>
  <c r="T123" i="140"/>
  <c r="R57" i="119"/>
  <c r="T183" i="119"/>
  <c r="T151" i="112"/>
  <c r="R175" i="112"/>
  <c r="T25" i="140"/>
  <c r="R25" i="140"/>
  <c r="Q25" i="141"/>
  <c r="R21" i="119"/>
  <c r="S41" i="119"/>
  <c r="T53" i="119"/>
  <c r="T131" i="119"/>
  <c r="R171" i="119"/>
  <c r="R37" i="112"/>
  <c r="S49" i="112"/>
  <c r="T69" i="112"/>
  <c r="T123" i="112"/>
  <c r="T155" i="112"/>
  <c r="R179" i="112"/>
  <c r="S179" i="141"/>
  <c r="Q41" i="141"/>
  <c r="T9" i="119"/>
  <c r="T41" i="119"/>
  <c r="R65" i="119"/>
  <c r="R143" i="119"/>
  <c r="S171" i="119"/>
  <c r="T175" i="119"/>
  <c r="S25" i="112"/>
  <c r="T33" i="112"/>
  <c r="T127" i="112"/>
  <c r="R167" i="112"/>
  <c r="S183" i="112"/>
  <c r="S131" i="141"/>
  <c r="T171" i="140"/>
  <c r="S171" i="140"/>
  <c r="R171" i="140"/>
  <c r="Q171" i="140"/>
  <c r="R13" i="119"/>
  <c r="S33" i="119"/>
  <c r="T45" i="119"/>
  <c r="R123" i="119"/>
  <c r="T139" i="119"/>
  <c r="R163" i="119"/>
  <c r="S179" i="119"/>
  <c r="R21" i="112"/>
  <c r="S41" i="112"/>
  <c r="T53" i="112"/>
  <c r="T131" i="112"/>
  <c r="R171" i="112"/>
  <c r="Q135" i="119"/>
  <c r="Q53" i="119"/>
  <c r="Q135" i="112"/>
  <c r="Q53" i="112"/>
  <c r="P146" i="69"/>
  <c r="R138" i="69"/>
  <c r="S142" i="69"/>
  <c r="P98" i="69"/>
  <c r="P126" i="69"/>
  <c r="R78" i="69"/>
  <c r="S66" i="69"/>
  <c r="P78" i="69"/>
  <c r="S16" i="69"/>
  <c r="S24" i="69"/>
  <c r="Q155" i="119"/>
  <c r="Q9" i="119"/>
  <c r="Q155" i="112"/>
  <c r="Q9" i="112"/>
  <c r="S146" i="69"/>
  <c r="R166" i="69"/>
  <c r="S138" i="69"/>
  <c r="R94" i="69"/>
  <c r="Q122" i="69"/>
  <c r="Q74" i="69"/>
  <c r="R58" i="69"/>
  <c r="S50" i="69"/>
  <c r="R24" i="69"/>
  <c r="P12" i="69"/>
  <c r="Q127" i="119"/>
  <c r="Q61" i="119"/>
  <c r="Q159" i="112"/>
  <c r="Q29" i="112"/>
  <c r="P154" i="69"/>
  <c r="Q166" i="69"/>
  <c r="R130" i="69"/>
  <c r="Q114" i="69"/>
  <c r="R122" i="69"/>
  <c r="Q50" i="69"/>
  <c r="P70" i="69"/>
  <c r="Q12" i="69"/>
  <c r="S28" i="69"/>
  <c r="Q28" i="69"/>
  <c r="S77" i="112"/>
  <c r="S89" i="112"/>
  <c r="T147" i="140"/>
  <c r="Q135" i="140"/>
  <c r="S37" i="141"/>
  <c r="S159" i="140"/>
  <c r="R127" i="140"/>
  <c r="Q41" i="140"/>
  <c r="T147" i="141"/>
  <c r="T9" i="112"/>
  <c r="T135" i="112"/>
  <c r="R159" i="112"/>
  <c r="S175" i="112"/>
  <c r="T163" i="141"/>
  <c r="S163" i="141"/>
  <c r="R163" i="141"/>
  <c r="T139" i="140"/>
  <c r="R139" i="140"/>
  <c r="S13" i="119"/>
  <c r="T37" i="119"/>
  <c r="R61" i="119"/>
  <c r="R131" i="119"/>
  <c r="R155" i="119"/>
  <c r="S167" i="119"/>
  <c r="R13" i="112"/>
  <c r="S33" i="112"/>
  <c r="T45" i="112"/>
  <c r="R123" i="112"/>
  <c r="T139" i="112"/>
  <c r="R163" i="112"/>
  <c r="S179" i="112"/>
  <c r="T65" i="141"/>
  <c r="R65" i="141"/>
  <c r="T41" i="140"/>
  <c r="S41" i="140"/>
  <c r="R41" i="140"/>
  <c r="R9" i="119"/>
  <c r="T25" i="119"/>
  <c r="R49" i="119"/>
  <c r="S65" i="119"/>
  <c r="R135" i="119"/>
  <c r="S155" i="119"/>
  <c r="T167" i="119"/>
  <c r="T17" i="112"/>
  <c r="R57" i="112"/>
  <c r="R151" i="112"/>
  <c r="S163" i="112"/>
  <c r="T183" i="112"/>
  <c r="T17" i="141"/>
  <c r="R17" i="141"/>
  <c r="Q57" i="141"/>
  <c r="S21" i="119"/>
  <c r="T29" i="119"/>
  <c r="R69" i="119"/>
  <c r="R139" i="119"/>
  <c r="R147" i="119"/>
  <c r="S159" i="119"/>
  <c r="T179" i="119"/>
  <c r="S13" i="112"/>
  <c r="T37" i="112"/>
  <c r="R61" i="112"/>
  <c r="R131" i="112"/>
  <c r="R155" i="112"/>
  <c r="S167" i="112"/>
  <c r="Q151" i="119"/>
  <c r="Q69" i="119"/>
  <c r="Q151" i="112"/>
  <c r="Q69" i="112"/>
  <c r="Q142" i="69"/>
  <c r="P158" i="69"/>
  <c r="P130" i="69"/>
  <c r="R98" i="69"/>
  <c r="P106" i="69"/>
  <c r="Q82" i="69"/>
  <c r="R70" i="69"/>
  <c r="Q32" i="69"/>
  <c r="S4" i="69"/>
  <c r="P32" i="69"/>
  <c r="Q171" i="119"/>
  <c r="Q25" i="119"/>
  <c r="Q171" i="112"/>
  <c r="Q25" i="112"/>
  <c r="P142" i="69"/>
  <c r="R170" i="69"/>
  <c r="Q110" i="69"/>
  <c r="P110" i="69"/>
  <c r="Q94" i="69"/>
  <c r="Q70" i="69"/>
  <c r="Q66" i="69"/>
  <c r="S40" i="69"/>
  <c r="P40" i="69"/>
  <c r="R4" i="69"/>
  <c r="Q143" i="119"/>
  <c r="Q13" i="119"/>
  <c r="Q175" i="112"/>
  <c r="Q45" i="112"/>
  <c r="Q150" i="69"/>
  <c r="S174" i="69"/>
  <c r="R126" i="69"/>
  <c r="R110" i="69"/>
  <c r="Q118" i="69"/>
  <c r="P66" i="69"/>
  <c r="P54" i="69"/>
  <c r="P16" i="69"/>
  <c r="P28" i="69"/>
  <c r="R40" i="69"/>
  <c r="Q179" i="119"/>
  <c r="Q33" i="119"/>
  <c r="Q179" i="112"/>
  <c r="Q33" i="112"/>
  <c r="Q154" i="69"/>
  <c r="P150" i="69"/>
  <c r="P162" i="69"/>
  <c r="Q106" i="69"/>
  <c r="R114" i="69"/>
  <c r="S58" i="69"/>
  <c r="R62" i="69"/>
  <c r="R50" i="69"/>
  <c r="R8" i="69"/>
  <c r="P8" i="69"/>
  <c r="Q131" i="119"/>
  <c r="Q49" i="119"/>
  <c r="Q131" i="112"/>
  <c r="Q49" i="112"/>
  <c r="Q146" i="69"/>
  <c r="S162" i="69"/>
  <c r="Q130" i="69"/>
  <c r="S122" i="69"/>
  <c r="S98" i="69"/>
  <c r="P74" i="69"/>
  <c r="R54" i="69"/>
  <c r="S20" i="69"/>
  <c r="P36" i="69"/>
  <c r="R36" i="69"/>
  <c r="Q147" i="119"/>
  <c r="Q65" i="119"/>
  <c r="Q147" i="112"/>
  <c r="Q65" i="112"/>
  <c r="S166" i="69"/>
  <c r="S170" i="69"/>
  <c r="S114" i="69"/>
  <c r="S130" i="69"/>
  <c r="P94" i="69"/>
  <c r="R82" i="69"/>
  <c r="S82" i="69"/>
  <c r="Q36" i="69"/>
  <c r="R32" i="69"/>
  <c r="S12" i="69"/>
  <c r="Q163" i="119"/>
  <c r="Q17" i="119"/>
  <c r="Q163" i="112"/>
  <c r="Q17" i="112"/>
  <c r="P174" i="69"/>
  <c r="P170" i="69"/>
  <c r="P166" i="69"/>
  <c r="S118" i="69"/>
  <c r="S106" i="69"/>
  <c r="S94" i="69"/>
  <c r="R74" i="69"/>
  <c r="P58" i="69"/>
  <c r="P24" i="69"/>
  <c r="Q24" i="69"/>
  <c r="S134" i="69"/>
  <c r="P134" i="69"/>
  <c r="Q117" i="112"/>
  <c r="C22" i="135"/>
  <c r="Q117" i="119"/>
  <c r="C50" i="135"/>
  <c r="R90" i="69"/>
  <c r="Q231" i="112"/>
  <c r="C28" i="135"/>
  <c r="Q231" i="119"/>
  <c r="C56" i="135"/>
  <c r="C19" i="135"/>
  <c r="C26" i="135"/>
  <c r="C52" i="135"/>
  <c r="R44" i="69"/>
  <c r="Q134" i="69"/>
  <c r="S44" i="69"/>
  <c r="D20" i="135"/>
  <c r="E53" i="135"/>
  <c r="F46" i="135"/>
  <c r="D45" i="135"/>
  <c r="R231" i="141"/>
  <c r="D42" i="135"/>
  <c r="T231" i="141"/>
  <c r="F42" i="135"/>
  <c r="D23" i="135"/>
  <c r="F19" i="135"/>
  <c r="D48" i="135"/>
  <c r="E26" i="135"/>
  <c r="D25" i="135"/>
  <c r="F17" i="135"/>
  <c r="E11" i="135"/>
  <c r="Q90" i="69"/>
  <c r="C18" i="135"/>
  <c r="C25" i="135"/>
  <c r="C48" i="135"/>
  <c r="S90" i="69"/>
  <c r="R134" i="69"/>
  <c r="S178" i="69"/>
  <c r="C17" i="135"/>
  <c r="C45" i="135"/>
  <c r="R178" i="69"/>
  <c r="D51" i="135"/>
  <c r="F47" i="135"/>
  <c r="S231" i="112"/>
  <c r="E28" i="135"/>
  <c r="R117" i="112"/>
  <c r="D22" i="135"/>
  <c r="F54" i="135"/>
  <c r="D52" i="135"/>
  <c r="F45" i="135"/>
  <c r="T117" i="119"/>
  <c r="F50" i="135"/>
  <c r="R117" i="141"/>
  <c r="D36" i="135"/>
  <c r="T117" i="141"/>
  <c r="F36" i="135"/>
  <c r="F23" i="135"/>
  <c r="T231" i="112"/>
  <c r="F28" i="135"/>
  <c r="D26" i="135"/>
  <c r="T117" i="112"/>
  <c r="F22" i="135"/>
  <c r="F9" i="135"/>
  <c r="D6" i="135"/>
  <c r="R117" i="140"/>
  <c r="D8" i="135"/>
  <c r="P90" i="69"/>
  <c r="C24" i="135"/>
  <c r="C47" i="135"/>
  <c r="C54" i="135"/>
  <c r="Q44" i="69"/>
  <c r="Q178" i="69"/>
  <c r="R231" i="112"/>
  <c r="D28" i="135"/>
  <c r="F20" i="135"/>
  <c r="D18" i="135"/>
  <c r="F51" i="135"/>
  <c r="T231" i="119"/>
  <c r="F56" i="135"/>
  <c r="F24" i="135"/>
  <c r="E17" i="135"/>
  <c r="E54" i="135"/>
  <c r="D53" i="135"/>
  <c r="E46" i="135"/>
  <c r="S231" i="141"/>
  <c r="E42" i="135"/>
  <c r="E24" i="135"/>
  <c r="S117" i="112"/>
  <c r="E22" i="135"/>
  <c r="R231" i="119"/>
  <c r="D56" i="135"/>
  <c r="F48" i="135"/>
  <c r="D46" i="135"/>
  <c r="D9" i="135"/>
  <c r="C34" i="135"/>
  <c r="E4" i="135"/>
  <c r="F6" i="135"/>
  <c r="C13" i="135"/>
  <c r="E38" i="135"/>
  <c r="E31" i="135"/>
  <c r="C20" i="135"/>
  <c r="C46" i="135"/>
  <c r="C53" i="135"/>
  <c r="C23" i="135"/>
  <c r="C51" i="135"/>
  <c r="P44" i="69"/>
  <c r="P178" i="69"/>
  <c r="E23" i="135"/>
  <c r="E20" i="135"/>
  <c r="D19" i="135"/>
  <c r="E52" i="135"/>
  <c r="S117" i="119"/>
  <c r="E50" i="135"/>
  <c r="F25" i="135"/>
  <c r="D54" i="135"/>
  <c r="E47" i="135"/>
  <c r="S117" i="141"/>
  <c r="E36" i="135"/>
  <c r="E25" i="135"/>
  <c r="F18" i="135"/>
  <c r="E51" i="135"/>
  <c r="E48" i="135"/>
  <c r="D47" i="135"/>
  <c r="F26" i="135"/>
  <c r="D24" i="135"/>
  <c r="C11" i="135"/>
  <c r="F40" i="135"/>
  <c r="D17" i="135"/>
  <c r="F53" i="135"/>
  <c r="E3" i="135"/>
  <c r="C12" i="135"/>
  <c r="D10" i="135"/>
  <c r="E5" i="135"/>
  <c r="E12" i="135"/>
  <c r="F10" i="135"/>
  <c r="D40" i="135"/>
  <c r="D31" i="135"/>
  <c r="D41" i="135"/>
  <c r="F27" i="135"/>
  <c r="E18" i="135"/>
  <c r="S231" i="119"/>
  <c r="E56" i="135"/>
  <c r="R117" i="119"/>
  <c r="D50" i="135"/>
  <c r="C31" i="135"/>
  <c r="D3" i="135"/>
  <c r="F3" i="135"/>
  <c r="C35" i="135"/>
  <c r="C33" i="135"/>
  <c r="C37" i="135"/>
  <c r="C10" i="135"/>
  <c r="D5" i="135"/>
  <c r="D12" i="135"/>
  <c r="E10" i="135"/>
  <c r="F5" i="135"/>
  <c r="F12" i="135"/>
  <c r="D33" i="135"/>
  <c r="S117" i="140"/>
  <c r="E8" i="135"/>
  <c r="F31" i="135"/>
  <c r="E7" i="135"/>
  <c r="E19" i="135"/>
  <c r="F52" i="135"/>
  <c r="E45" i="135"/>
  <c r="C9" i="135"/>
  <c r="E9" i="135"/>
  <c r="C3" i="135"/>
  <c r="C32" i="135"/>
  <c r="D4" i="135"/>
  <c r="D11" i="135"/>
  <c r="E6" i="135"/>
  <c r="F4" i="135"/>
  <c r="F11" i="135"/>
  <c r="F33" i="135"/>
  <c r="C4" i="135"/>
  <c r="T117" i="140"/>
  <c r="F8" i="135"/>
  <c r="D38" i="135"/>
  <c r="E33" i="135"/>
  <c r="E40" i="135"/>
  <c r="F38" i="135"/>
  <c r="C6" i="135"/>
  <c r="C39" i="135"/>
  <c r="Q231" i="140"/>
  <c r="C14" i="135"/>
  <c r="R231" i="140"/>
  <c r="D14" i="135"/>
  <c r="S231" i="140"/>
  <c r="E14" i="135"/>
  <c r="T231" i="140"/>
  <c r="F14" i="135"/>
  <c r="D37" i="135"/>
  <c r="E37" i="135"/>
  <c r="F37" i="135"/>
  <c r="C41" i="135"/>
  <c r="Q117" i="140"/>
  <c r="C8" i="135"/>
  <c r="Q231" i="141"/>
  <c r="C42" i="135"/>
  <c r="D34" i="135"/>
  <c r="E32" i="135"/>
  <c r="E39" i="135"/>
  <c r="F34" i="135"/>
  <c r="C5" i="135"/>
  <c r="Q117" i="141"/>
  <c r="C36" i="135"/>
  <c r="C38" i="135"/>
  <c r="D32" i="135"/>
  <c r="D39" i="135"/>
  <c r="E34" i="135"/>
  <c r="F32" i="135"/>
  <c r="F39" i="135"/>
  <c r="C40" i="135"/>
  <c r="F21" i="135"/>
  <c r="C7" i="135"/>
  <c r="D35" i="135"/>
  <c r="F13" i="135"/>
  <c r="E13" i="135"/>
  <c r="D21" i="135"/>
  <c r="D27" i="135"/>
  <c r="E49" i="135"/>
  <c r="F7" i="135"/>
  <c r="F35" i="135"/>
  <c r="E35" i="135"/>
  <c r="C21" i="135"/>
  <c r="C27" i="135"/>
  <c r="E55" i="135"/>
  <c r="D7" i="135"/>
  <c r="D13" i="135"/>
  <c r="F41" i="135"/>
  <c r="E41" i="135"/>
  <c r="E21" i="135"/>
  <c r="E27" i="135"/>
  <c r="C49" i="135"/>
  <c r="C55" i="135"/>
  <c r="F49" i="135"/>
  <c r="F55" i="135"/>
  <c r="D49" i="135"/>
  <c r="D55" i="135"/>
</calcChain>
</file>

<file path=xl/sharedStrings.xml><?xml version="1.0" encoding="utf-8"?>
<sst xmlns="http://schemas.openxmlformats.org/spreadsheetml/2006/main" count="741" uniqueCount="130">
  <si>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</si>
  <si>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</si>
  <si>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</si>
  <si>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</si>
  <si>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</si>
  <si>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</si>
  <si>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</si>
  <si>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</si>
  <si>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</si>
  <si>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</si>
  <si>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</si>
  <si>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</si>
  <si>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</si>
  <si>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</si>
  <si>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</si>
  <si>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</si>
  <si>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</si>
  <si>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</si>
  <si>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</si>
  <si>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</si>
  <si>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</si>
  <si>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</si>
  <si>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</si>
  <si>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</si>
  <si>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</si>
  <si>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</si>
  <si>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</si>
  <si>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</si>
  <si>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</si>
  <si>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</si>
  <si>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</si>
  <si>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</si>
  <si>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</si>
  <si>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</si>
  <si>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</si>
  <si>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</si>
  <si>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</si>
  <si>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</si>
  <si>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</si>
  <si>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</si>
  <si>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</si>
  <si>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</si>
  <si>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</si>
  <si>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</si>
  <si>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</si>
  <si>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</si>
  <si>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</si>
  <si>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</si>
  <si>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</si>
  <si>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</si>
  <si>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</si>
  <si>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</si>
  <si>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</si>
  <si>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</si>
  <si>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</si>
  <si>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</si>
  <si>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</si>
  <si>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</si>
  <si>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</si>
  <si>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</si>
  <si>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</si>
  <si>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</si>
  <si>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x264 medium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</si>
  <si>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</si>
  <si>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</si>
  <si>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</si>
  <si>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</si>
  <si>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</si>
  <si>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</si>
  <si>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</si>
  <si>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Average</t>
  </si>
  <si>
    <t xml:space="preserve">x264 superfast threads 1 </t>
  </si>
  <si>
    <t xml:space="preserve">x264 fast threads 1 </t>
  </si>
  <si>
    <t>x264 medium threads 0</t>
  </si>
  <si>
    <t>x264 fast threads 0</t>
  </si>
  <si>
    <t>x264 veryfast threads 0</t>
  </si>
  <si>
    <t>x264 superfast threads 0</t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</si>
  <si>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</si>
  <si>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</si>
  <si>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</si>
  <si>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Show</t>
    <phoneticPr fontId="5" type="noConversion"/>
  </si>
  <si>
    <t>IMG_1290_1280x720_15</t>
  </si>
  <si>
    <t>IMG_1307_1280x720_15</t>
  </si>
  <si>
    <t>IMG_1308_1280x720_15</t>
  </si>
  <si>
    <t>IMG_1309_1280x720_15</t>
  </si>
  <si>
    <t>IMG_1310_1280x720_15</t>
  </si>
  <si>
    <t>IOS_iphone_6s_1280x720_15</t>
  </si>
  <si>
    <t>VID20160731175035_1280x720_15</t>
  </si>
  <si>
    <t>VID20160731175540_1280x720_15</t>
  </si>
  <si>
    <t>VID20160731182915_1280x720_15</t>
  </si>
  <si>
    <t>VID20160801104514_1280x720_15</t>
  </si>
  <si>
    <t>vivo1_1280x720_15</t>
  </si>
  <si>
    <t>目标码率误差</t>
    <phoneticPr fontId="5" type="noConversion"/>
  </si>
  <si>
    <t>qy265cbr</t>
    <phoneticPr fontId="5" type="noConversion"/>
  </si>
  <si>
    <t>anchor</t>
    <phoneticPr fontId="5" type="noConversion"/>
  </si>
  <si>
    <t>目标码率误差</t>
    <phoneticPr fontId="5" type="noConversion"/>
  </si>
  <si>
    <t>qy265cbr</t>
    <phoneticPr fontId="5" type="noConversion"/>
  </si>
  <si>
    <t>anchor</t>
    <phoneticPr fontId="5" type="noConversion"/>
  </si>
  <si>
    <t>btr-diff q265</t>
  </si>
  <si>
    <t>btr-diff x264</t>
  </si>
  <si>
    <t>x264</t>
  </si>
  <si>
    <t>264anchor</t>
    <phoneticPr fontId="5" type="noConversion"/>
  </si>
  <si>
    <t xml:space="preserve">q265 medium v2.6.1.3 threads 1 </t>
  </si>
  <si>
    <t>q265 medium v2.6.1.3 threads 0</t>
  </si>
  <si>
    <t xml:space="preserve">q265 fast v2.6.1.3 threads 1 </t>
  </si>
  <si>
    <t>q265 fast v2.6.1.3 threads 0</t>
  </si>
  <si>
    <t xml:space="preserve">q265 veryfast v2.6.1.3 threads 1 </t>
  </si>
  <si>
    <t>q265 veryfast v2.6.1.3 threads 0</t>
  </si>
  <si>
    <t xml:space="preserve">q265 ultrafast v2.6.1.3 threads 1 </t>
  </si>
  <si>
    <t>q265 ultrafast v2.6.1.3 threads 0</t>
  </si>
  <si>
    <t>./x264 -o out.264 BQSquare_416x240_60.yuv --input-res 416x240 --preset superfast --fps [framerate] --profile high --aq-mode 0 --no-psy  --psnr  --bitrate [btrNumber]  --keyint [keyint] --frames 1000000</t>
  </si>
  <si>
    <t>./x264 -o out.264 BQSquare_416x240_60.yuv --input-res 416x240 --preset veryfast --fps [framerate] --profile high --aq-mode 0 --no-psy  --psnr  --bitrate [btrNumber]  --keyint [keyint] --frames 1000000</t>
  </si>
  <si>
    <t>./x264 -o out.264 BQSquare_416x240_60.yuv --input-res 416x240 --preset fast --fps [framerate] --profile high --aq-mode 0 --no-psy  --psnr  --bitrate [btrNumber]  --keyint [keyint] --frames 1000000</t>
  </si>
  <si>
    <t>./x264 -o out.264 BQSquare_416x240_60.yuv --input-res 416x240 --preset medium --fps [framerate] --profile high --aq-mode 0 --no-psy  --psnr  --bitrate [btrNumber]  --keyint [keyint] --frames 1000000</t>
  </si>
  <si>
    <t>./appencoder -b out.265 -i BQSquare_416x240_60.yuv -preset medium -tune default -latency  offline -threads 1 -wpp 0 -psnr 2 -rc 1 -br [btrNumber] -frms 1000000 -iper [iPer]</t>
  </si>
  <si>
    <t>./appencoder -b out.265 -i BQSquare_416x240_60.yuv -preset fast -tune default -latency  offline -threads 1 -wpp 0 -psnr 2 -rc 1 -br [btrNumber] -frms 1000000 -iper [iPer]</t>
  </si>
  <si>
    <t>./appencoder -b out.265 -i BQSquare_416x240_60.yuv -preset veryfast -tune default -latency  offline -threads 1 -wpp 0 -psnr 2 -rc 1 -br [btrNumber] -frms 1000000 -iper [iPer]</t>
  </si>
  <si>
    <t>本测试为X264与QY265v2.6.1.3版本离线编码对比测试，测试设备为ipad mini2（ios8.4操作系统，appleA7双核1.3GHZ处理器，1G系统内存，16GB存储容量），采取cbr模式编码、superfast档次、单线程模式编码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</si>
  <si>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mini2（ios8.4操作系统，appleA7双核1.3GHZ处理器，1G系统内存，16GB存储容量），采取cbr模式编码、superfast档次、满线程模式编码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</si>
  <si>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mini2（ios8.4操作系统，appleA7双核1.3GHZ处理器，1G系统内存，16GB存储容量），采取cbr模式编码、veryfast档次、单线程模式编码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</si>
  <si>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mini2（ios8.4操作系统，appleA7双核1.3GHZ处理器，1G系统内存，16GB存储容量），采取cbr模式编码、veryfast档次、满线程模式编码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</si>
  <si>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mini2（ios8.4操作系统，appleA7双核1.3GHZ处理器，1G系统内存，16GB存储容量），采取cbr模式编码、fast档次、单线程模式编码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</si>
  <si>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mini2（ios8.4操作系统，appleA7双核1.3GHZ处理器，1G系统内存，16GB存储容量），采取cbr模式编码、fast档次、满线程模式编码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</si>
  <si>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mini2（ios8.4操作系统，appleA7双核1.3GHZ处理器，1G系统内存，16GB存储容量），采取cbr模式编码、medium档次、单线程模式编码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</si>
  <si>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mini2（ios8.4操作系统，appleA7双核1.3GHZ处理器，1G系统内存，16GB存储容量），采取cbr模式编码、medium档次、满线程模式编码</t>
    <phoneticPr fontId="5" type="noConversion"/>
  </si>
  <si>
    <t>./appencoder -b out.265 -i BQSquare_416x240_60.yuv -preset ultrafast -tune default -latency  offline -threads 1 -wpp 0 -psnr 2 -rc 1 -br [btrNumber] -frms 1000000 -iper [iPer]</t>
    <phoneticPr fontId="5" type="noConversion"/>
  </si>
  <si>
    <t>X264 superfast vsQY265_ultrafast</t>
    <phoneticPr fontId="5" type="noConversion"/>
  </si>
  <si>
    <t>X264vsQY265_veryfast</t>
    <phoneticPr fontId="5" type="noConversion"/>
  </si>
  <si>
    <t>X264vsQY265_fast</t>
    <phoneticPr fontId="5" type="noConversion"/>
  </si>
  <si>
    <t>X264vsQY265_medium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</si>
</sst>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%"/>
    <numFmt numFmtId="178" formatCode="0.00_);[Red]\(0.00\)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79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8" fontId="2" fillId="0" borderId="6" xfId="0" applyNumberFormat="1" applyFont="1" applyBorder="1"/>
    <xf numFmtId="178" fontId="2" fillId="2" borderId="5" xfId="0" applyNumberFormat="1" applyFont="1" applyFill="1" applyBorder="1" applyAlignment="1"/>
    <xf numFmtId="178" fontId="2" fillId="0" borderId="0" xfId="0" applyNumberFormat="1" applyFont="1"/>
    <xf numFmtId="178" fontId="0" fillId="0" borderId="0" xfId="0" applyNumberFormat="1"/>
    <xf numFmtId="178" fontId="2" fillId="0" borderId="7" xfId="0" applyNumberFormat="1" applyFont="1" applyBorder="1"/>
    <xf numFmtId="178" fontId="2" fillId="2" borderId="0" xfId="0" applyNumberFormat="1" applyFont="1" applyFill="1" applyBorder="1" applyAlignment="1"/>
    <xf numFmtId="178" fontId="2" fillId="0" borderId="9" xfId="0" applyNumberFormat="1" applyFont="1" applyBorder="1"/>
    <xf numFmtId="178" fontId="2" fillId="2" borderId="11" xfId="0" applyNumberFormat="1" applyFont="1" applyFill="1" applyBorder="1" applyAlignment="1"/>
    <xf numFmtId="0" fontId="0" fillId="3" borderId="25" xfId="0" applyFill="1" applyBorder="1"/>
    <xf numFmtId="177" fontId="2" fillId="0" borderId="8" xfId="0" applyNumberFormat="1" applyFont="1" applyBorder="1"/>
    <xf numFmtId="177" fontId="2" fillId="0" borderId="0" xfId="0" applyNumberFormat="1" applyFont="1" applyBorder="1"/>
    <xf numFmtId="177" fontId="2" fillId="0" borderId="14" xfId="0" applyNumberFormat="1" applyFont="1" applyBorder="1"/>
    <xf numFmtId="177" fontId="2" fillId="0" borderId="10" xfId="0" applyNumberFormat="1" applyFont="1" applyBorder="1"/>
    <xf numFmtId="177" fontId="2" fillId="0" borderId="11" xfId="0" applyNumberFormat="1" applyFont="1" applyBorder="1"/>
    <xf numFmtId="177" fontId="2" fillId="0" borderId="15" xfId="0" applyNumberFormat="1" applyFont="1" applyBorder="1"/>
    <xf numFmtId="10" fontId="2" fillId="0" borderId="16" xfId="0" applyNumberFormat="1" applyFont="1" applyFill="1" applyBorder="1" applyAlignment="1">
      <alignment horizontal="center"/>
    </xf>
    <xf numFmtId="0" fontId="0" fillId="0" borderId="16" xfId="0" applyBorder="1"/>
    <xf numFmtId="10" fontId="0" fillId="0" borderId="16" xfId="0" applyNumberFormat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0" fontId="9" fillId="0" borderId="16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20" xfId="0" applyFont="1" applyBorder="1" applyAlignment="1">
      <alignment horizont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538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58" t="s">
        <v>23</v>
      </c>
      <c r="C2" s="59"/>
      <c r="D2" s="59"/>
      <c r="E2" s="59"/>
      <c r="F2" s="59"/>
      <c r="G2" s="59"/>
      <c r="H2" s="5"/>
      <c r="I2" s="58" t="s">
        <v>24</v>
      </c>
      <c r="J2" s="59"/>
      <c r="K2" s="59"/>
      <c r="L2" s="59"/>
      <c r="M2" s="59"/>
      <c r="N2" s="59"/>
      <c r="P2" s="58" t="s">
        <v>7</v>
      </c>
      <c r="Q2" s="59"/>
      <c r="R2" s="60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58" t="s">
        <v>24</v>
      </c>
      <c r="C48" s="59"/>
      <c r="D48" s="59"/>
      <c r="E48" s="59"/>
      <c r="F48" s="59"/>
      <c r="G48" s="59"/>
      <c r="H48" s="5"/>
      <c r="I48" s="58" t="s">
        <v>26</v>
      </c>
      <c r="J48" s="59"/>
      <c r="K48" s="59"/>
      <c r="L48" s="59"/>
      <c r="M48" s="59"/>
      <c r="N48" s="59"/>
      <c r="P48" s="58" t="s">
        <v>7</v>
      </c>
      <c r="Q48" s="59"/>
      <c r="R48" s="60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58" t="s">
        <v>24</v>
      </c>
      <c r="C92" s="59"/>
      <c r="D92" s="59"/>
      <c r="E92" s="59"/>
      <c r="F92" s="59"/>
      <c r="G92" s="59"/>
      <c r="H92" s="5"/>
      <c r="I92" s="58" t="s">
        <v>27</v>
      </c>
      <c r="J92" s="59"/>
      <c r="K92" s="59"/>
      <c r="L92" s="59"/>
      <c r="M92" s="59"/>
      <c r="N92" s="59"/>
      <c r="P92" s="58" t="s">
        <v>7</v>
      </c>
      <c r="Q92" s="59"/>
      <c r="R92" s="60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58" t="s">
        <v>24</v>
      </c>
      <c r="C136" s="59"/>
      <c r="D136" s="59"/>
      <c r="E136" s="59"/>
      <c r="F136" s="59"/>
      <c r="G136" s="59"/>
      <c r="H136" s="5"/>
      <c r="I136" s="58" t="s">
        <v>28</v>
      </c>
      <c r="J136" s="59"/>
      <c r="K136" s="59"/>
      <c r="L136" s="59"/>
      <c r="M136" s="59"/>
      <c r="N136" s="59"/>
      <c r="P136" s="58" t="s">
        <v>7</v>
      </c>
      <c r="Q136" s="59"/>
      <c r="R136" s="60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537" priority="21" operator="greaterThan">
      <formula>0.03</formula>
    </cfRule>
    <cfRule type="cellIs" dxfId="536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6"/>
  <sheetViews>
    <sheetView topLeftCell="A46" zoomScale="85" zoomScaleNormal="85" workbookViewId="0">
      <selection activeCell="E46" sqref="E46"/>
    </sheetView>
  </sheetViews>
  <sheetFormatPr defaultRowHeight="15.75" x14ac:dyDescent="0.25"/>
  <cols>
    <col min="1" max="1" width="11" bestFit="1" customWidth="1"/>
    <col min="2" max="2" width="12.125" bestFit="1" customWidth="1"/>
    <col min="3" max="3" width="10.25" bestFit="1" customWidth="1"/>
    <col min="4" max="4" width="10.625" bestFit="1" customWidth="1"/>
    <col min="5" max="5" width="10.375" bestFit="1" customWidth="1"/>
    <col min="6" max="6" width="13.125" bestFit="1" customWidth="1"/>
    <col min="7" max="7" width="9.625" bestFit="1" customWidth="1"/>
    <col min="8" max="8" width="12" bestFit="1" customWidth="1"/>
    <col min="9" max="9" width="12.125" bestFit="1" customWidth="1"/>
  </cols>
  <sheetData>
    <row r="1" spans="1:9" ht="16.5" thickBot="1" x14ac:dyDescent="0.3">
      <c r="A1" s="63" t="s">
        <v>126</v>
      </c>
      <c r="B1" s="64"/>
      <c r="C1" s="64"/>
      <c r="D1" s="64"/>
      <c r="E1" s="64"/>
      <c r="F1" s="64"/>
      <c r="G1" s="64"/>
      <c r="H1" s="64"/>
      <c r="I1" s="65"/>
    </row>
    <row r="2" spans="1:9" ht="16.5" thickBot="1" x14ac:dyDescent="0.3">
      <c r="A2" s="37" t="s">
        <v>68</v>
      </c>
      <c r="B2" s="37" t="s">
        <v>67</v>
      </c>
      <c r="C2" s="37" t="s">
        <v>63</v>
      </c>
      <c r="D2" s="37" t="s">
        <v>64</v>
      </c>
      <c r="E2" s="37" t="s">
        <v>65</v>
      </c>
      <c r="F2" s="37" t="s">
        <v>66</v>
      </c>
      <c r="G2" s="37" t="s">
        <v>69</v>
      </c>
      <c r="H2" s="37" t="s">
        <v>99</v>
      </c>
      <c r="I2" s="37" t="s">
        <v>98</v>
      </c>
    </row>
    <row r="3" spans="1:9" ht="16.5" thickBot="1" x14ac:dyDescent="0.3">
      <c r="A3" s="61"/>
      <c r="B3" s="37" t="s">
        <v>35</v>
      </c>
      <c r="C3" s="38">
        <f>AVERAGE(X264vsQY265_superfast!Q9:Q28)</f>
        <v>-0.52157288091819198</v>
      </c>
      <c r="D3" s="38">
        <f>AVERAGE(X264vsQY265_superfast!R9:R28)</f>
        <v>-0.55985201208459823</v>
      </c>
      <c r="E3" s="38">
        <f>AVERAGE(X264vsQY265_superfast!S9:S28)</f>
        <v>-0.5742461869654325</v>
      </c>
      <c r="F3" s="38">
        <f>AVERAGE(X264vsQY265_superfast!T9:T28)</f>
        <v>-0.53013559615689521</v>
      </c>
      <c r="G3" s="39">
        <f>AVERAGE(X264vsQY265_superfast!U9:U28)</f>
        <v>6.0041143384589228E-3</v>
      </c>
      <c r="H3" s="39">
        <f>AVERAGE(X264vsQY265_superfast!V9:V28)</f>
        <v>4.0351583333333316E-2</v>
      </c>
      <c r="I3" s="39">
        <f>AVERAGE(X264vsQY265_superfast!W9:W28)</f>
        <v>1.5353815000000003E-2</v>
      </c>
    </row>
    <row r="4" spans="1:9" ht="16.5" thickBot="1" x14ac:dyDescent="0.3">
      <c r="A4" s="61"/>
      <c r="B4" s="37" t="s">
        <v>37</v>
      </c>
      <c r="C4" s="38">
        <f>AVERAGE(X264vsQY265_superfast!Q29:Q44)</f>
        <v>-0.42816486802718523</v>
      </c>
      <c r="D4" s="38">
        <f>AVERAGE(X264vsQY265_superfast!R29:R44)</f>
        <v>-0.51401047750777851</v>
      </c>
      <c r="E4" s="38">
        <f>AVERAGE(X264vsQY265_superfast!S29:S44)</f>
        <v>-0.49274754107386476</v>
      </c>
      <c r="F4" s="38">
        <f>AVERAGE(X264vsQY265_superfast!T29:T44)</f>
        <v>-0.44172048029137179</v>
      </c>
      <c r="G4" s="39">
        <f>AVERAGE(X264vsQY265_superfast!U29:U44)</f>
        <v>-0.37748608449648396</v>
      </c>
      <c r="H4" s="39">
        <f>AVERAGE(X264vsQY265_superfast!V29:V44)</f>
        <v>2.6431649348635233E-2</v>
      </c>
      <c r="I4" s="39">
        <f>AVERAGE(X264vsQY265_superfast!W29:W44)</f>
        <v>2.1772620833333322E-2</v>
      </c>
    </row>
    <row r="5" spans="1:9" ht="16.5" thickBot="1" x14ac:dyDescent="0.3">
      <c r="A5" s="61"/>
      <c r="B5" s="37" t="s">
        <v>39</v>
      </c>
      <c r="C5" s="38">
        <f>AVERAGE(X264vsQY265_superfast!Q45:Q60)</f>
        <v>-0.34944683894430784</v>
      </c>
      <c r="D5" s="38">
        <f>AVERAGE(X264vsQY265_superfast!R45:R60)</f>
        <v>-0.52370544606780323</v>
      </c>
      <c r="E5" s="38">
        <f>AVERAGE(X264vsQY265_superfast!S45:S60)</f>
        <v>-0.52622360964819359</v>
      </c>
      <c r="F5" s="38">
        <f>AVERAGE(X264vsQY265_superfast!T45:T60)</f>
        <v>-0.38105504951148145</v>
      </c>
      <c r="G5" s="39">
        <f>AVERAGE(X264vsQY265_superfast!U45:U60)</f>
        <v>-0.19639327914055366</v>
      </c>
      <c r="H5" s="39">
        <f>AVERAGE(X264vsQY265_superfast!V45:V60)</f>
        <v>3.7081770833333333E-2</v>
      </c>
      <c r="I5" s="39">
        <f>AVERAGE(X264vsQY265_superfast!W45:W60)</f>
        <v>2.7742241666666695E-2</v>
      </c>
    </row>
    <row r="6" spans="1:9" ht="16.5" thickBot="1" x14ac:dyDescent="0.3">
      <c r="A6" s="61"/>
      <c r="B6" s="37" t="s">
        <v>41</v>
      </c>
      <c r="C6" s="38">
        <f>AVERAGE(X264vsQY265_superfast!Q61:Q72)</f>
        <v>-0.49376533999061351</v>
      </c>
      <c r="D6" s="38">
        <f>AVERAGE(X264vsQY265_superfast!R61:R72)</f>
        <v>-0.64135168955720845</v>
      </c>
      <c r="E6" s="38">
        <f>AVERAGE(X264vsQY265_superfast!S61:S72)</f>
        <v>-0.64632133874855435</v>
      </c>
      <c r="F6" s="38">
        <f>AVERAGE(X264vsQY265_superfast!T61:T72)</f>
        <v>-0.53096469522620815</v>
      </c>
      <c r="G6" s="39">
        <f>AVERAGE(X264vsQY265_superfast!U61:U72)</f>
        <v>0.57853784432814914</v>
      </c>
      <c r="H6" s="39">
        <f>AVERAGE(X264vsQY265_superfast!V61:V72)</f>
        <v>5.8822508169934638E-2</v>
      </c>
      <c r="I6" s="39">
        <f>AVERAGE(X264vsQY265_superfast!W61:W72)</f>
        <v>2.1081466666666659E-2</v>
      </c>
    </row>
    <row r="7" spans="1:9" ht="16.5" thickBot="1" x14ac:dyDescent="0.3">
      <c r="A7" s="61"/>
      <c r="B7" s="48" t="s">
        <v>80</v>
      </c>
      <c r="C7" s="38">
        <f>AVERAGE(X264vsQY265_superfast!Q73:Q116)</f>
        <v>-0.38535848731388112</v>
      </c>
      <c r="D7" s="38">
        <f>AVERAGE(X264vsQY265_superfast!R73:R116)</f>
        <v>-0.40546858209393088</v>
      </c>
      <c r="E7" s="38">
        <f>AVERAGE(X264vsQY265_superfast!S73:S116)</f>
        <v>-0.43679768201344199</v>
      </c>
      <c r="F7" s="38">
        <f>AVERAGE(X264vsQY265_superfast!T73:T116)</f>
        <v>-0.39235248501592684</v>
      </c>
      <c r="G7" s="39">
        <f>AVERAGE(X264vsQY265_superfast!U73:U116)</f>
        <v>0.20270381042892083</v>
      </c>
      <c r="H7" s="39">
        <f>AVERAGE(X264vsQY265_superfast!V73:V116)</f>
        <v>1.1823712121212127E-2</v>
      </c>
      <c r="I7" s="39">
        <f>AVERAGE(X264vsQY265_superfast!W73:W116)</f>
        <v>1.759958257575758E-2</v>
      </c>
    </row>
    <row r="8" spans="1:9" ht="16.5" thickBot="1" x14ac:dyDescent="0.3">
      <c r="A8" s="62"/>
      <c r="B8" s="37" t="s">
        <v>70</v>
      </c>
      <c r="C8" s="38">
        <f>X264vsQY265_superfast!Q117</f>
        <v>-0.4236500227000542</v>
      </c>
      <c r="D8" s="38">
        <f>X264vsQY265_superfast!R117</f>
        <v>-0.49386419357148814</v>
      </c>
      <c r="E8" s="38">
        <f>X264vsQY265_superfast!S117</f>
        <v>-0.50706866874477485</v>
      </c>
      <c r="F8" s="38">
        <f>X264vsQY265_superfast!T117</f>
        <v>-0.43890931558702634</v>
      </c>
      <c r="G8" s="39">
        <f>X264vsQY265_superfast!U117</f>
        <v>6.2957724623952604E-2</v>
      </c>
      <c r="H8" s="39">
        <f>X264vsQY265_superfast!V117</f>
        <v>2.8234813156951047E-2</v>
      </c>
      <c r="I8" s="39">
        <f>X264vsQY265_superfast!W117</f>
        <v>1.9691419753086421E-2</v>
      </c>
    </row>
    <row r="9" spans="1:9" ht="16.5" thickBot="1" x14ac:dyDescent="0.3">
      <c r="A9" s="61"/>
      <c r="B9" s="37" t="s">
        <v>35</v>
      </c>
      <c r="C9" s="38">
        <f>AVERAGE(X264vsQY265_superfast!Q123:Q142)</f>
        <v>-0.50994789674407226</v>
      </c>
      <c r="D9" s="38">
        <f>AVERAGE(X264vsQY265_superfast!R123:R142)</f>
        <v>-0.55279370172057196</v>
      </c>
      <c r="E9" s="38">
        <f>AVERAGE(X264vsQY265_superfast!S123:S142)</f>
        <v>-0.56838907993956822</v>
      </c>
      <c r="F9" s="38">
        <f>AVERAGE(X264vsQY265_superfast!T123:T142)</f>
        <v>-0.5194859919677377</v>
      </c>
      <c r="G9" s="39">
        <f>AVERAGE(X264vsQY265_superfast!U123:U142)</f>
        <v>6.2611026831794578E-2</v>
      </c>
      <c r="H9" s="39">
        <f>AVERAGE(X264vsQY265_superfast!V123:V142)</f>
        <v>4.3472847222222229E-2</v>
      </c>
      <c r="I9" s="39">
        <f>AVERAGE(X264vsQY265_superfast!W123:W142)</f>
        <v>1.2811469999999983E-2</v>
      </c>
    </row>
    <row r="10" spans="1:9" ht="16.5" thickBot="1" x14ac:dyDescent="0.3">
      <c r="A10" s="61"/>
      <c r="B10" s="37" t="s">
        <v>37</v>
      </c>
      <c r="C10" s="38">
        <f>AVERAGE(X264vsQY265_superfast!Q143:Q158)</f>
        <v>-0.41363581480520117</v>
      </c>
      <c r="D10" s="38">
        <f>AVERAGE(X264vsQY265_superfast!R143:R158)</f>
        <v>-0.50281111187099992</v>
      </c>
      <c r="E10" s="38">
        <f>AVERAGE(X264vsQY265_superfast!S143:S158)</f>
        <v>-0.47492286937529971</v>
      </c>
      <c r="F10" s="38">
        <f>AVERAGE(X264vsQY265_superfast!T143:T158)</f>
        <v>-0.42735910998221904</v>
      </c>
      <c r="G10" s="39">
        <f>AVERAGE(X264vsQY265_superfast!U143:U158)</f>
        <v>-0.307051422106351</v>
      </c>
      <c r="H10" s="39">
        <f>AVERAGE(X264vsQY265_superfast!V143:V158)</f>
        <v>2.7071807611071724E-2</v>
      </c>
      <c r="I10" s="39">
        <f>AVERAGE(X264vsQY265_superfast!W143:W158)</f>
        <v>1.3270183333333326E-2</v>
      </c>
    </row>
    <row r="11" spans="1:9" ht="16.5" thickBot="1" x14ac:dyDescent="0.3">
      <c r="A11" s="61"/>
      <c r="B11" s="37" t="s">
        <v>39</v>
      </c>
      <c r="C11" s="38">
        <f>AVERAGE(X264vsQY265_superfast!Q159:Q174)</f>
        <v>-0.33884656574516681</v>
      </c>
      <c r="D11" s="38">
        <f>AVERAGE(X264vsQY265_superfast!R159:R174)</f>
        <v>-0.50946891926102111</v>
      </c>
      <c r="E11" s="38">
        <f>AVERAGE(X264vsQY265_superfast!S159:S174)</f>
        <v>-0.51127614185410908</v>
      </c>
      <c r="F11" s="38">
        <f>AVERAGE(X264vsQY265_superfast!T159:T174)</f>
        <v>-0.37007272724972667</v>
      </c>
      <c r="G11" s="39">
        <f>AVERAGE(X264vsQY265_superfast!U159:U174)</f>
        <v>-0.21084227288814075</v>
      </c>
      <c r="H11" s="39">
        <f>AVERAGE(X264vsQY265_superfast!V159:V174)</f>
        <v>3.6659010416666679E-2</v>
      </c>
      <c r="I11" s="39">
        <f>AVERAGE(X264vsQY265_superfast!W159:W174)</f>
        <v>1.7875224999999981E-2</v>
      </c>
    </row>
    <row r="12" spans="1:9" ht="16.5" thickBot="1" x14ac:dyDescent="0.3">
      <c r="A12" s="61"/>
      <c r="B12" s="37" t="s">
        <v>41</v>
      </c>
      <c r="C12" s="38">
        <f>AVERAGE(X264vsQY265_superfast!Q175:Q186)</f>
        <v>-0.48337182712111354</v>
      </c>
      <c r="D12" s="38">
        <f>AVERAGE(X264vsQY265_superfast!R175:R186)</f>
        <v>-0.63455492511944522</v>
      </c>
      <c r="E12" s="38">
        <f>AVERAGE(X264vsQY265_superfast!S175:S186)</f>
        <v>-0.63586709390271023</v>
      </c>
      <c r="F12" s="38">
        <f>AVERAGE(X264vsQY265_superfast!T175:T186)</f>
        <v>-0.52076274227850361</v>
      </c>
      <c r="G12" s="39">
        <f>AVERAGE(X264vsQY265_superfast!U175:U186)</f>
        <v>0.28528580070618448</v>
      </c>
      <c r="H12" s="39">
        <f>AVERAGE(X264vsQY265_superfast!V175:V186)</f>
        <v>6.1719683706816054E-2</v>
      </c>
      <c r="I12" s="39">
        <f>AVERAGE(X264vsQY265_superfast!W175:W186)</f>
        <v>2.0687533333333324E-2</v>
      </c>
    </row>
    <row r="13" spans="1:9" ht="16.5" thickBot="1" x14ac:dyDescent="0.3">
      <c r="A13" s="61"/>
      <c r="B13" s="48" t="s">
        <v>80</v>
      </c>
      <c r="C13" s="38">
        <f>AVERAGE(X264vsQY265_superfast!Q187:Q230)</f>
        <v>-0.37387955092981856</v>
      </c>
      <c r="D13" s="38">
        <f>AVERAGE(X264vsQY265_superfast!R187:R230)</f>
        <v>-0.39694868189732163</v>
      </c>
      <c r="E13" s="38">
        <f>AVERAGE(X264vsQY265_superfast!S187:S230)</f>
        <v>-0.42807088817276351</v>
      </c>
      <c r="F13" s="38">
        <f>AVERAGE(X264vsQY265_superfast!T187:T230)</f>
        <v>-0.38140279331220123</v>
      </c>
      <c r="G13" s="39">
        <f>AVERAGE(X264vsQY265_superfast!U187:U230)</f>
        <v>9.5672463066695426E-2</v>
      </c>
      <c r="H13" s="39">
        <f>AVERAGE(X264vsQY265_superfast!V187:V230)</f>
        <v>1.1825681818181817E-2</v>
      </c>
      <c r="I13" s="39">
        <f>AVERAGE(X264vsQY265_superfast!W187:W230)</f>
        <v>1.6744475000000005E-2</v>
      </c>
    </row>
    <row r="14" spans="1:9" ht="15.75" customHeight="1" thickBot="1" x14ac:dyDescent="0.3">
      <c r="A14" s="62"/>
      <c r="B14" s="37" t="s">
        <v>70</v>
      </c>
      <c r="C14" s="38">
        <f>X264vsQY265_superfast!Q231</f>
        <v>-0.41194294620419186</v>
      </c>
      <c r="D14" s="38">
        <f>X264vsQY265_superfast!R231</f>
        <v>-0.4845625521985118</v>
      </c>
      <c r="E14" s="38">
        <f>X264vsQY265_superfast!S231</f>
        <v>-0.49641194430459273</v>
      </c>
      <c r="F14" s="38">
        <f>X264vsQY265_superfast!T231</f>
        <v>-0.42758800970504424</v>
      </c>
      <c r="G14" s="39">
        <f>X264vsQY265_superfast!U231</f>
        <v>5.5457351864151858E-3</v>
      </c>
      <c r="H14" s="39">
        <f>X264vsQY265_superfast!V231</f>
        <v>2.9167742938611577E-2</v>
      </c>
      <c r="I14" s="39">
        <f>X264vsQY265_superfast!W231</f>
        <v>1.6107066975308643E-2</v>
      </c>
    </row>
    <row r="15" spans="1:9" ht="16.5" thickBot="1" x14ac:dyDescent="0.3">
      <c r="A15" s="63" t="s">
        <v>127</v>
      </c>
      <c r="B15" s="64"/>
      <c r="C15" s="64"/>
      <c r="D15" s="64"/>
      <c r="E15" s="64"/>
      <c r="F15" s="64"/>
      <c r="G15" s="64"/>
      <c r="H15" s="64"/>
      <c r="I15" s="65"/>
    </row>
    <row r="16" spans="1:9" ht="16.5" thickBot="1" x14ac:dyDescent="0.3">
      <c r="A16" s="37" t="s">
        <v>68</v>
      </c>
      <c r="B16" s="37" t="s">
        <v>67</v>
      </c>
      <c r="C16" s="37" t="s">
        <v>63</v>
      </c>
      <c r="D16" s="37" t="s">
        <v>64</v>
      </c>
      <c r="E16" s="37" t="s">
        <v>65</v>
      </c>
      <c r="F16" s="37" t="s">
        <v>66</v>
      </c>
      <c r="G16" s="37" t="s">
        <v>69</v>
      </c>
      <c r="H16" s="37" t="s">
        <v>99</v>
      </c>
      <c r="I16" s="37" t="s">
        <v>98</v>
      </c>
    </row>
    <row r="17" spans="1:9" ht="16.5" thickBot="1" x14ac:dyDescent="0.3">
      <c r="A17" s="61"/>
      <c r="B17" s="37" t="s">
        <v>35</v>
      </c>
      <c r="C17" s="38">
        <f>AVERAGE(X264vsQY265_veryfast!Q9:Q28)</f>
        <v>-0.51155413084079604</v>
      </c>
      <c r="D17" s="38">
        <f>AVERAGE(X264vsQY265_veryfast!R9:R28)</f>
        <v>-0.55658971900604171</v>
      </c>
      <c r="E17" s="38">
        <f>AVERAGE(X264vsQY265_veryfast!S9:S28)</f>
        <v>-0.56451864802136476</v>
      </c>
      <c r="F17" s="38">
        <f>AVERAGE(X264vsQY265_veryfast!T9:T28)</f>
        <v>-0.52007973770924354</v>
      </c>
      <c r="G17" s="39">
        <f>AVERAGE(X264vsQY265_veryfast!U9:U28)</f>
        <v>-0.11778268833049846</v>
      </c>
      <c r="H17" s="39">
        <f>AVERAGE(X264vsQY265_veryfast!V9:V28)</f>
        <v>5.513747222222224E-2</v>
      </c>
      <c r="I17" s="39">
        <f>AVERAGE(X264vsQY265_veryfast!W9:W28)</f>
        <v>1.592578666666666E-2</v>
      </c>
    </row>
    <row r="18" spans="1:9" ht="16.5" thickBot="1" x14ac:dyDescent="0.3">
      <c r="A18" s="61"/>
      <c r="B18" s="37" t="s">
        <v>37</v>
      </c>
      <c r="C18" s="38">
        <f>AVERAGE(X264vsQY265_veryfast!Q29:Q44)</f>
        <v>-0.38372566097657618</v>
      </c>
      <c r="D18" s="38">
        <f>AVERAGE(X264vsQY265_veryfast!R29:R44)</f>
        <v>-0.49993098367373168</v>
      </c>
      <c r="E18" s="38">
        <f>AVERAGE(X264vsQY265_veryfast!S29:S44)</f>
        <v>-0.49467139250899017</v>
      </c>
      <c r="F18" s="38">
        <f>AVERAGE(X264vsQY265_veryfast!T29:T44)</f>
        <v>-0.40429182381799761</v>
      </c>
      <c r="G18" s="39">
        <f>AVERAGE(X264vsQY265_veryfast!U29:U44)</f>
        <v>-0.39623848283964686</v>
      </c>
      <c r="H18" s="39">
        <f>AVERAGE(X264vsQY265_veryfast!V29:V44)</f>
        <v>3.8486154806215304E-2</v>
      </c>
      <c r="I18" s="39">
        <f>AVERAGE(X264vsQY265_veryfast!W29:W44)</f>
        <v>2.1015725000000027E-2</v>
      </c>
    </row>
    <row r="19" spans="1:9" ht="15.75" customHeight="1" thickBot="1" x14ac:dyDescent="0.3">
      <c r="A19" s="61"/>
      <c r="B19" s="37" t="s">
        <v>39</v>
      </c>
      <c r="C19" s="38">
        <f>AVERAGE(X264vsQY265_veryfast!Q45:Q60)</f>
        <v>-0.31599899558623823</v>
      </c>
      <c r="D19" s="38">
        <f>AVERAGE(X264vsQY265_veryfast!R45:R60)</f>
        <v>-0.5178810250607806</v>
      </c>
      <c r="E19" s="38">
        <f>AVERAGE(X264vsQY265_veryfast!S45:S60)</f>
        <v>-0.50922107856350318</v>
      </c>
      <c r="F19" s="38">
        <f>AVERAGE(X264vsQY265_veryfast!T45:T60)</f>
        <v>-0.35186336448808653</v>
      </c>
      <c r="G19" s="39">
        <f>AVERAGE(X264vsQY265_veryfast!U45:U60)</f>
        <v>-0.16411834671712197</v>
      </c>
      <c r="H19" s="39">
        <f>AVERAGE(X264vsQY265_veryfast!V45:V60)</f>
        <v>5.6951822916666679E-2</v>
      </c>
      <c r="I19" s="39">
        <f>AVERAGE(X264vsQY265_veryfast!W45:W60)</f>
        <v>2.6180683333333316E-2</v>
      </c>
    </row>
    <row r="20" spans="1:9" ht="16.5" thickBot="1" x14ac:dyDescent="0.3">
      <c r="A20" s="61"/>
      <c r="B20" s="37" t="s">
        <v>41</v>
      </c>
      <c r="C20" s="38">
        <f>AVERAGE(X264vsQY265_veryfast!Q61:Q72)</f>
        <v>-0.48070021104462651</v>
      </c>
      <c r="D20" s="38">
        <f>AVERAGE(X264vsQY265_veryfast!R61:R72)</f>
        <v>-0.61778944664836866</v>
      </c>
      <c r="E20" s="38">
        <f>AVERAGE(X264vsQY265_veryfast!S61:S72)</f>
        <v>-0.64276536676808982</v>
      </c>
      <c r="F20" s="38">
        <f>AVERAGE(X264vsQY265_veryfast!T61:T72)</f>
        <v>-0.51856389217436749</v>
      </c>
      <c r="G20" s="39">
        <f>AVERAGE(X264vsQY265_veryfast!U61:U72)</f>
        <v>0.50246316783209022</v>
      </c>
      <c r="H20" s="39">
        <f>AVERAGE(X264vsQY265_veryfast!V61:V72)</f>
        <v>8.1053658963585448E-2</v>
      </c>
      <c r="I20" s="39">
        <f>AVERAGE(X264vsQY265_veryfast!W61:W72)</f>
        <v>2.7922488888888888E-2</v>
      </c>
    </row>
    <row r="21" spans="1:9" ht="15.75" customHeight="1" thickBot="1" x14ac:dyDescent="0.3">
      <c r="A21" s="61"/>
      <c r="B21" s="48" t="s">
        <v>80</v>
      </c>
      <c r="C21" s="38">
        <f>AVERAGE(X264vsQY265_veryfast!Q73:Q116)</f>
        <v>-0.40599153832518892</v>
      </c>
      <c r="D21" s="38">
        <f>AVERAGE(X264vsQY265_veryfast!R73:R116)</f>
        <v>-0.42952926498251165</v>
      </c>
      <c r="E21" s="38">
        <f>AVERAGE(X264vsQY265_veryfast!S73:S116)</f>
        <v>-0.4424289901354444</v>
      </c>
      <c r="F21" s="38">
        <f>AVERAGE(X264vsQY265_veryfast!T73:T116)</f>
        <v>-0.41137858196075089</v>
      </c>
      <c r="G21" s="39">
        <f>AVERAGE(X264vsQY265_veryfast!U73:U116)</f>
        <v>0.14994935847995933</v>
      </c>
      <c r="H21" s="39">
        <f>AVERAGE(X264vsQY265_veryfast!V73:V116)</f>
        <v>1.885333333333333E-2</v>
      </c>
      <c r="I21" s="39">
        <f>AVERAGE(X264vsQY265_veryfast!W73:W116)</f>
        <v>1.8204512878787878E-2</v>
      </c>
    </row>
    <row r="22" spans="1:9" ht="16.5" thickBot="1" x14ac:dyDescent="0.3">
      <c r="A22" s="62"/>
      <c r="B22" s="37" t="s">
        <v>70</v>
      </c>
      <c r="C22" s="38">
        <f>X264vsQY265_veryfast!Q117</f>
        <v>-0.4172102531543036</v>
      </c>
      <c r="D22" s="38">
        <f>X264vsQY265_veryfast!R117</f>
        <v>-0.49749581054522207</v>
      </c>
      <c r="E22" s="38">
        <f>X264vsQY265_veryfast!S117</f>
        <v>-0.50493252282188728</v>
      </c>
      <c r="F22" s="38">
        <f>X264vsQY265_veryfast!T117</f>
        <v>-0.43355094518007092</v>
      </c>
      <c r="G22" s="39">
        <f>X264vsQY265_veryfast!U117</f>
        <v>1.2092284699861308E-2</v>
      </c>
      <c r="H22" s="39">
        <f>X264vsQY265_veryfast!V117</f>
        <v>4.1036552428150422E-2</v>
      </c>
      <c r="I22" s="39">
        <f>X264vsQY265_veryfast!W117</f>
        <v>2.04604324074074E-2</v>
      </c>
    </row>
    <row r="23" spans="1:9" ht="16.5" thickBot="1" x14ac:dyDescent="0.3">
      <c r="A23" s="61"/>
      <c r="B23" s="37" t="s">
        <v>35</v>
      </c>
      <c r="C23" s="38">
        <f>AVERAGE(X264vsQY265_veryfast!Q123:Q142)</f>
        <v>-0.49986721102837856</v>
      </c>
      <c r="D23" s="38">
        <f>AVERAGE(X264vsQY265_veryfast!R123:R142)</f>
        <v>-0.54681011563048176</v>
      </c>
      <c r="E23" s="38">
        <f>AVERAGE(X264vsQY265_veryfast!S123:S142)</f>
        <v>-0.55260393486430515</v>
      </c>
      <c r="F23" s="38">
        <f>AVERAGE(X264vsQY265_veryfast!T123:T142)</f>
        <v>-0.50851801242789452</v>
      </c>
      <c r="G23" s="39">
        <f>AVERAGE(X264vsQY265_veryfast!U123:U142)</f>
        <v>0.10659206938888455</v>
      </c>
      <c r="H23" s="39">
        <f>AVERAGE(X264vsQY265_veryfast!V123:V142)</f>
        <v>5.9895236111111104E-2</v>
      </c>
      <c r="I23" s="39">
        <f>AVERAGE(X264vsQY265_veryfast!W123:W142)</f>
        <v>1.5236124999999984E-2</v>
      </c>
    </row>
    <row r="24" spans="1:9" ht="16.5" thickBot="1" x14ac:dyDescent="0.3">
      <c r="A24" s="61"/>
      <c r="B24" s="37" t="s">
        <v>37</v>
      </c>
      <c r="C24" s="38">
        <f>AVERAGE(X264vsQY265_veryfast!Q143:Q158)</f>
        <v>-0.37015899483418163</v>
      </c>
      <c r="D24" s="38">
        <f>AVERAGE(X264vsQY265_veryfast!R143:R158)</f>
        <v>-0.4859999339627562</v>
      </c>
      <c r="E24" s="38">
        <f>AVERAGE(X264vsQY265_veryfast!S143:S158)</f>
        <v>-0.47477367228498535</v>
      </c>
      <c r="F24" s="38">
        <f>AVERAGE(X264vsQY265_veryfast!T143:T158)</f>
        <v>-0.3903271167266783</v>
      </c>
      <c r="G24" s="39">
        <f>AVERAGE(X264vsQY265_veryfast!U143:U158)</f>
        <v>-0.27347921570301742</v>
      </c>
      <c r="H24" s="39">
        <f>AVERAGE(X264vsQY265_veryfast!V143:V158)</f>
        <v>3.9241216914805623E-2</v>
      </c>
      <c r="I24" s="39">
        <f>AVERAGE(X264vsQY265_veryfast!W143:W158)</f>
        <v>1.1101166666666672E-2</v>
      </c>
    </row>
    <row r="25" spans="1:9" ht="16.5" thickBot="1" x14ac:dyDescent="0.3">
      <c r="A25" s="61"/>
      <c r="B25" s="37" t="s">
        <v>39</v>
      </c>
      <c r="C25" s="38">
        <f>AVERAGE(X264vsQY265_veryfast!Q159:Q174)</f>
        <v>-0.304030233158186</v>
      </c>
      <c r="D25" s="38">
        <f>AVERAGE(X264vsQY265_veryfast!R159:R174)</f>
        <v>-0.50127259877739505</v>
      </c>
      <c r="E25" s="38">
        <f>AVERAGE(X264vsQY265_veryfast!S159:S174)</f>
        <v>-0.49853516981786639</v>
      </c>
      <c r="F25" s="38">
        <f>AVERAGE(X264vsQY265_veryfast!T159:T174)</f>
        <v>-0.33951638849680066</v>
      </c>
      <c r="G25" s="39">
        <f>AVERAGE(X264vsQY265_veryfast!U159:U174)</f>
        <v>-0.12357284396882297</v>
      </c>
      <c r="H25" s="39">
        <f>AVERAGE(X264vsQY265_veryfast!V159:V174)</f>
        <v>5.7533281249999992E-2</v>
      </c>
      <c r="I25" s="39">
        <f>AVERAGE(X264vsQY265_veryfast!W159:W174)</f>
        <v>1.9202324999999989E-2</v>
      </c>
    </row>
    <row r="26" spans="1:9" ht="16.5" thickBot="1" x14ac:dyDescent="0.3">
      <c r="A26" s="61"/>
      <c r="B26" s="37" t="s">
        <v>41</v>
      </c>
      <c r="C26" s="38">
        <f>AVERAGE(X264vsQY265_veryfast!Q175:Q186)</f>
        <v>-0.46005024547183898</v>
      </c>
      <c r="D26" s="38">
        <f>AVERAGE(X264vsQY265_veryfast!R175:R186)</f>
        <v>-0.59897349512140663</v>
      </c>
      <c r="E26" s="38">
        <f>AVERAGE(X264vsQY265_veryfast!S175:S186)</f>
        <v>-0.62057184316240632</v>
      </c>
      <c r="F26" s="38">
        <f>AVERAGE(X264vsQY265_veryfast!T175:T186)</f>
        <v>-0.49718443604112722</v>
      </c>
      <c r="G26" s="39">
        <f>AVERAGE(X264vsQY265_veryfast!U175:U186)</f>
        <v>0.81904121435515131</v>
      </c>
      <c r="H26" s="39">
        <f>AVERAGE(X264vsQY265_veryfast!V175:V186)</f>
        <v>8.5971673669467785E-2</v>
      </c>
      <c r="I26" s="39">
        <f>AVERAGE(X264vsQY265_veryfast!W175:W186)</f>
        <v>2.6610422222222232E-2</v>
      </c>
    </row>
    <row r="27" spans="1:9" ht="16.5" thickBot="1" x14ac:dyDescent="0.3">
      <c r="A27" s="61"/>
      <c r="B27" s="48" t="s">
        <v>80</v>
      </c>
      <c r="C27" s="38">
        <f>AVERAGE(X264vsQY265_veryfast!Q187:Q230)</f>
        <v>-0.39905720206156958</v>
      </c>
      <c r="D27" s="38">
        <f>AVERAGE(X264vsQY265_veryfast!R187:R230)</f>
        <v>-0.42205140203728919</v>
      </c>
      <c r="E27" s="38">
        <f>AVERAGE(X264vsQY265_veryfast!S187:S230)</f>
        <v>-0.43644303353597391</v>
      </c>
      <c r="F27" s="38">
        <f>AVERAGE(X264vsQY265_veryfast!T187:T230)</f>
        <v>-0.40452408468657047</v>
      </c>
      <c r="G27" s="39">
        <f>AVERAGE(X264vsQY265_veryfast!U187:U230)</f>
        <v>0.16684489568588867</v>
      </c>
      <c r="H27" s="39">
        <f>AVERAGE(X264vsQY265_veryfast!V187:V230)</f>
        <v>1.9279242424242431E-2</v>
      </c>
      <c r="I27" s="39">
        <f>AVERAGE(X264vsQY265_veryfast!W187:W230)</f>
        <v>1.7166233333333336E-2</v>
      </c>
    </row>
    <row r="28" spans="1:9" ht="15.75" customHeight="1" thickBot="1" x14ac:dyDescent="0.3">
      <c r="A28" s="62"/>
      <c r="B28" s="37" t="s">
        <v>70</v>
      </c>
      <c r="C28" s="38">
        <f>X264vsQY265_veryfast!Q231</f>
        <v>-0.40614344171126465</v>
      </c>
      <c r="D28" s="38">
        <f>X264vsQY265_veryfast!R231</f>
        <v>-0.48602320803286719</v>
      </c>
      <c r="E28" s="38">
        <f>X264vsQY265_veryfast!S231</f>
        <v>-0.49329051633762461</v>
      </c>
      <c r="F28" s="38">
        <f>X264vsQY265_veryfast!T231</f>
        <v>-0.42234378972996461</v>
      </c>
      <c r="G28" s="39">
        <f>X264vsQY265_veryfast!U231</f>
        <v>0.11989517051360332</v>
      </c>
      <c r="H28" s="39">
        <f>X264vsQY265_veryfast!V231</f>
        <v>4.2835587440364767E-2</v>
      </c>
      <c r="I28" s="39">
        <f>X264vsQY265_veryfast!W231</f>
        <v>1.7261275000000006E-2</v>
      </c>
    </row>
    <row r="29" spans="1:9" ht="16.5" thickBot="1" x14ac:dyDescent="0.3">
      <c r="A29" s="63" t="s">
        <v>128</v>
      </c>
      <c r="B29" s="64"/>
      <c r="C29" s="64"/>
      <c r="D29" s="64"/>
      <c r="E29" s="64"/>
      <c r="F29" s="64"/>
      <c r="G29" s="64"/>
      <c r="H29" s="64"/>
      <c r="I29" s="65"/>
    </row>
    <row r="30" spans="1:9" ht="16.5" thickBot="1" x14ac:dyDescent="0.3">
      <c r="A30" s="37" t="s">
        <v>68</v>
      </c>
      <c r="B30" s="37" t="s">
        <v>67</v>
      </c>
      <c r="C30" s="37" t="s">
        <v>63</v>
      </c>
      <c r="D30" s="37" t="s">
        <v>64</v>
      </c>
      <c r="E30" s="37" t="s">
        <v>65</v>
      </c>
      <c r="F30" s="37" t="s">
        <v>66</v>
      </c>
      <c r="G30" s="37" t="s">
        <v>69</v>
      </c>
      <c r="H30" s="37" t="s">
        <v>99</v>
      </c>
      <c r="I30" s="37" t="s">
        <v>98</v>
      </c>
    </row>
    <row r="31" spans="1:9" ht="16.5" thickBot="1" x14ac:dyDescent="0.3">
      <c r="A31" s="61"/>
      <c r="B31" s="37" t="s">
        <v>35</v>
      </c>
      <c r="C31" s="38">
        <f>AVERAGE(X264vsQY265_fast!Q9:Q28)</f>
        <v>-0.45123734138950711</v>
      </c>
      <c r="D31" s="38">
        <f>AVERAGE(X264vsQY265_fast!R9:R28)</f>
        <v>-0.63862426739857192</v>
      </c>
      <c r="E31" s="38">
        <f>AVERAGE(X264vsQY265_fast!S9:S28)</f>
        <v>-0.63552432156356553</v>
      </c>
      <c r="F31" s="38">
        <f>AVERAGE(X264vsQY265_fast!T9:T28)</f>
        <v>-0.48323763941543285</v>
      </c>
      <c r="G31" s="39">
        <f>AVERAGE(X264vsQY265_fast!U9:U28)</f>
        <v>-0.17456850918960914</v>
      </c>
      <c r="H31" s="39">
        <f>AVERAGE(X264vsQY265_fast!V9:V28)</f>
        <v>6.0606388888888876E-2</v>
      </c>
      <c r="I31" s="39">
        <f>AVERAGE(X264vsQY265_fast!W9:W28)</f>
        <v>1.7607409999999997E-2</v>
      </c>
    </row>
    <row r="32" spans="1:9" ht="16.5" thickBot="1" x14ac:dyDescent="0.3">
      <c r="A32" s="61"/>
      <c r="B32" s="37" t="s">
        <v>37</v>
      </c>
      <c r="C32" s="38">
        <f>AVERAGE(X264vsQY265_fast!Q29:Q44)</f>
        <v>-0.31821506075921313</v>
      </c>
      <c r="D32" s="38">
        <f>AVERAGE(X264vsQY265_fast!R29:R44)</f>
        <v>-0.56632757904653108</v>
      </c>
      <c r="E32" s="38">
        <f>AVERAGE(X264vsQY265_fast!S29:S44)</f>
        <v>-0.556132710394458</v>
      </c>
      <c r="F32" s="38">
        <f>AVERAGE(X264vsQY265_fast!T29:T44)</f>
        <v>-0.36208003384783582</v>
      </c>
      <c r="G32" s="39">
        <f>AVERAGE(X264vsQY265_fast!U29:U44)</f>
        <v>-0.51705002344951245</v>
      </c>
      <c r="H32" s="39">
        <f>AVERAGE(X264vsQY265_fast!V29:V44)</f>
        <v>3.7823730318740402E-2</v>
      </c>
      <c r="I32" s="39">
        <f>AVERAGE(X264vsQY265_fast!W29:W44)</f>
        <v>2.481775416666664E-2</v>
      </c>
    </row>
    <row r="33" spans="1:9" ht="15.75" customHeight="1" thickBot="1" x14ac:dyDescent="0.3">
      <c r="A33" s="61"/>
      <c r="B33" s="37" t="s">
        <v>39</v>
      </c>
      <c r="C33" s="38">
        <f>AVERAGE(X264vsQY265_fast!Q45:Q60)</f>
        <v>-0.23454854271735273</v>
      </c>
      <c r="D33" s="38">
        <f>AVERAGE(X264vsQY265_fast!R45:R60)</f>
        <v>-0.57344053164770636</v>
      </c>
      <c r="E33" s="38">
        <f>AVERAGE(X264vsQY265_fast!S45:S60)</f>
        <v>-0.56722065009237033</v>
      </c>
      <c r="F33" s="38">
        <f>AVERAGE(X264vsQY265_fast!T45:T60)</f>
        <v>-0.29980037358914258</v>
      </c>
      <c r="G33" s="39">
        <f>AVERAGE(X264vsQY265_fast!U45:U60)</f>
        <v>-0.22816965780871698</v>
      </c>
      <c r="H33" s="39">
        <f>AVERAGE(X264vsQY265_fast!V45:V60)</f>
        <v>5.9328593750000005E-2</v>
      </c>
      <c r="I33" s="39">
        <f>AVERAGE(X264vsQY265_fast!W45:W60)</f>
        <v>2.5105683333333326E-2</v>
      </c>
    </row>
    <row r="34" spans="1:9" ht="16.5" thickBot="1" x14ac:dyDescent="0.3">
      <c r="A34" s="61"/>
      <c r="B34" s="37" t="s">
        <v>41</v>
      </c>
      <c r="C34" s="38">
        <f>AVERAGE(X264vsQY265_fast!Q61:Q72)</f>
        <v>-0.43620527216313287</v>
      </c>
      <c r="D34" s="38">
        <f>AVERAGE(X264vsQY265_fast!R61:R72)</f>
        <v>-0.66592568674750929</v>
      </c>
      <c r="E34" s="38">
        <f>AVERAGE(X264vsQY265_fast!S61:S72)</f>
        <v>-0.68496919165640202</v>
      </c>
      <c r="F34" s="38">
        <f>AVERAGE(X264vsQY265_fast!T61:T72)</f>
        <v>-0.50379143850795893</v>
      </c>
      <c r="G34" s="39">
        <f>AVERAGE(X264vsQY265_fast!U61:U72)</f>
        <v>0.57755788532441155</v>
      </c>
      <c r="H34" s="39">
        <f>AVERAGE(X264vsQY265_fast!V61:V72)</f>
        <v>8.397523342670403E-2</v>
      </c>
      <c r="I34" s="39">
        <f>AVERAGE(X264vsQY265_fast!W61:W72)</f>
        <v>2.6517644444444457E-2</v>
      </c>
    </row>
    <row r="35" spans="1:9" ht="15.75" customHeight="1" thickBot="1" x14ac:dyDescent="0.3">
      <c r="A35" s="61"/>
      <c r="B35" s="48" t="s">
        <v>80</v>
      </c>
      <c r="C35" s="38">
        <f>AVERAGE(X264vsQY265_fast!Q73:Q116)</f>
        <v>-0.29115762540891227</v>
      </c>
      <c r="D35" s="38">
        <f>AVERAGE(X264vsQY265_fast!R73:R116)</f>
        <v>-0.46387247910756579</v>
      </c>
      <c r="E35" s="38">
        <f>AVERAGE(X264vsQY265_fast!S73:S116)</f>
        <v>-0.47409107446711496</v>
      </c>
      <c r="F35" s="38">
        <f>AVERAGE(X264vsQY265_fast!T73:T116)</f>
        <v>-0.32929019831798845</v>
      </c>
      <c r="G35" s="39">
        <f>AVERAGE(X264vsQY265_fast!U73:U116)</f>
        <v>0.30807022997352862</v>
      </c>
      <c r="H35" s="39">
        <f>AVERAGE(X264vsQY265_fast!V73:V116)</f>
        <v>1.8499469696969695E-2</v>
      </c>
      <c r="I35" s="39">
        <f>AVERAGE(X264vsQY265_fast!W73:W116)</f>
        <v>1.5950566666666669E-2</v>
      </c>
    </row>
    <row r="36" spans="1:9" ht="16.5" thickBot="1" x14ac:dyDescent="0.3">
      <c r="A36" s="62"/>
      <c r="B36" s="37" t="s">
        <v>70</v>
      </c>
      <c r="C36" s="38">
        <f>X264vsQY265_fast!Q117</f>
        <v>-0.33254040062374951</v>
      </c>
      <c r="D36" s="38">
        <f>X264vsQY265_fast!R117</f>
        <v>-0.55009511519242826</v>
      </c>
      <c r="E36" s="38">
        <f>X264vsQY265_fast!S117</f>
        <v>-0.55336831273602261</v>
      </c>
      <c r="F36" s="38">
        <f>X264vsQY265_fast!T117</f>
        <v>-0.37767690088321576</v>
      </c>
      <c r="G36" s="39">
        <f>X264vsQY265_fast!U117</f>
        <v>4.6952774618558742E-2</v>
      </c>
      <c r="H36" s="39">
        <f>X264vsQY265_fast!V117</f>
        <v>4.2483744728377223E-2</v>
      </c>
      <c r="I36" s="39">
        <f>X264vsQY265_fast!W117</f>
        <v>2.0101480246913578E-2</v>
      </c>
    </row>
    <row r="37" spans="1:9" ht="16.5" thickBot="1" x14ac:dyDescent="0.3">
      <c r="A37" s="61"/>
      <c r="B37" s="37" t="s">
        <v>35</v>
      </c>
      <c r="C37" s="38">
        <f>AVERAGE(X264vsQY265_fast!Q123:Q142)</f>
        <v>-0.44313176252841124</v>
      </c>
      <c r="D37" s="38">
        <f>AVERAGE(X264vsQY265_fast!R123:R142)</f>
        <v>-0.63045363900692208</v>
      </c>
      <c r="E37" s="38">
        <f>AVERAGE(X264vsQY265_fast!S123:S142)</f>
        <v>-0.62803570533314335</v>
      </c>
      <c r="F37" s="38">
        <f>AVERAGE(X264vsQY265_fast!T123:T142)</f>
        <v>-0.47514370465848488</v>
      </c>
      <c r="G37" s="39">
        <f>AVERAGE(X264vsQY265_fast!U123:U142)</f>
        <v>0.25525505202341014</v>
      </c>
      <c r="H37" s="39">
        <f>AVERAGE(X264vsQY265_fast!V123:V142)</f>
        <v>6.4856069444444456E-2</v>
      </c>
      <c r="I37" s="39">
        <f>AVERAGE(X264vsQY265_fast!W123:W142)</f>
        <v>1.5287726666666676E-2</v>
      </c>
    </row>
    <row r="38" spans="1:9" ht="16.5" thickBot="1" x14ac:dyDescent="0.3">
      <c r="A38" s="61"/>
      <c r="B38" s="37" t="s">
        <v>37</v>
      </c>
      <c r="C38" s="38">
        <f>AVERAGE(X264vsQY265_fast!Q143:Q158)</f>
        <v>-0.30810998980939014</v>
      </c>
      <c r="D38" s="38">
        <f>AVERAGE(X264vsQY265_fast!R143:R158)</f>
        <v>-0.56047927154513477</v>
      </c>
      <c r="E38" s="38">
        <f>AVERAGE(X264vsQY265_fast!S143:S158)</f>
        <v>-0.54641634649676318</v>
      </c>
      <c r="F38" s="38">
        <f>AVERAGE(X264vsQY265_fast!T143:T158)</f>
        <v>-0.35250793413111564</v>
      </c>
      <c r="G38" s="39">
        <f>AVERAGE(X264vsQY265_fast!U143:U158)</f>
        <v>-0.18954729775963519</v>
      </c>
      <c r="H38" s="39">
        <f>AVERAGE(X264vsQY265_fast!V143:V158)</f>
        <v>3.959036227549332E-2</v>
      </c>
      <c r="I38" s="39">
        <f>AVERAGE(X264vsQY265_fast!W143:W158)</f>
        <v>1.1603441666666684E-2</v>
      </c>
    </row>
    <row r="39" spans="1:9" ht="16.5" thickBot="1" x14ac:dyDescent="0.3">
      <c r="A39" s="61"/>
      <c r="B39" s="37" t="s">
        <v>39</v>
      </c>
      <c r="C39" s="38">
        <f>AVERAGE(X264vsQY265_fast!Q159:Q174)</f>
        <v>-0.22370437022591047</v>
      </c>
      <c r="D39" s="38">
        <f>AVERAGE(X264vsQY265_fast!R159:R174)</f>
        <v>-0.56572175668163149</v>
      </c>
      <c r="E39" s="38">
        <f>AVERAGE(X264vsQY265_fast!S159:S174)</f>
        <v>-0.55967102664958768</v>
      </c>
      <c r="F39" s="38">
        <f>AVERAGE(X264vsQY265_fast!T159:T174)</f>
        <v>-0.28949812087789184</v>
      </c>
      <c r="G39" s="39">
        <f>AVERAGE(X264vsQY265_fast!U159:U174)</f>
        <v>-0.17621806605718324</v>
      </c>
      <c r="H39" s="39">
        <f>AVERAGE(X264vsQY265_fast!V159:V174)</f>
        <v>5.9892656250000002E-2</v>
      </c>
      <c r="I39" s="39">
        <f>AVERAGE(X264vsQY265_fast!W159:W174)</f>
        <v>1.2595058333333341E-2</v>
      </c>
    </row>
    <row r="40" spans="1:9" ht="16.5" thickBot="1" x14ac:dyDescent="0.3">
      <c r="A40" s="61"/>
      <c r="B40" s="37" t="s">
        <v>41</v>
      </c>
      <c r="C40" s="38">
        <f>AVERAGE(X264vsQY265_fast!Q175:Q186)</f>
        <v>-0.41824062550759039</v>
      </c>
      <c r="D40" s="38">
        <f>AVERAGE(X264vsQY265_fast!R175:R186)</f>
        <v>-0.64661259428960571</v>
      </c>
      <c r="E40" s="38">
        <f>AVERAGE(X264vsQY265_fast!S175:S186)</f>
        <v>-0.66427555771857316</v>
      </c>
      <c r="F40" s="38">
        <f>AVERAGE(X264vsQY265_fast!T175:T186)</f>
        <v>-0.48369117045901211</v>
      </c>
      <c r="G40" s="39">
        <f>AVERAGE(X264vsQY265_fast!U175:U186)</f>
        <v>0.56548909254760893</v>
      </c>
      <c r="H40" s="39">
        <f>AVERAGE(X264vsQY265_fast!V175:V186)</f>
        <v>8.8189454948646107E-2</v>
      </c>
      <c r="I40" s="39">
        <f>AVERAGE(X264vsQY265_fast!W175:W186)</f>
        <v>2.5913777777777782E-2</v>
      </c>
    </row>
    <row r="41" spans="1:9" ht="16.5" thickBot="1" x14ac:dyDescent="0.3">
      <c r="A41" s="61"/>
      <c r="B41" s="48" t="s">
        <v>80</v>
      </c>
      <c r="C41" s="38">
        <f>AVERAGE(X264vsQY265_fast!Q187:Q230)</f>
        <v>-0.28351706055268494</v>
      </c>
      <c r="D41" s="38">
        <f>AVERAGE(X264vsQY265_fast!R187:R230)</f>
        <v>-0.45696926567678914</v>
      </c>
      <c r="E41" s="38">
        <f>AVERAGE(X264vsQY265_fast!S187:S230)</f>
        <v>-0.46882317215755626</v>
      </c>
      <c r="F41" s="38">
        <f>AVERAGE(X264vsQY265_fast!T187:T230)</f>
        <v>-0.32194152421835587</v>
      </c>
      <c r="G41" s="39">
        <f>AVERAGE(X264vsQY265_fast!U187:U230)</f>
        <v>0.29026950077688052</v>
      </c>
      <c r="H41" s="39">
        <f>AVERAGE(X264vsQY265_fast!V187:V230)</f>
        <v>1.8904166666666673E-2</v>
      </c>
      <c r="I41" s="39">
        <f>AVERAGE(X264vsQY265_fast!W187:W230)</f>
        <v>1.5277822727272737E-2</v>
      </c>
    </row>
    <row r="42" spans="1:9" ht="16.5" thickBot="1" x14ac:dyDescent="0.3">
      <c r="A42" s="62"/>
      <c r="B42" s="37" t="s">
        <v>70</v>
      </c>
      <c r="C42" s="38">
        <f>X264vsQY265_fast!Q231</f>
        <v>-0.32282688131057646</v>
      </c>
      <c r="D42" s="38">
        <f>X264vsQY265_fast!R231</f>
        <v>-0.54161377826871016</v>
      </c>
      <c r="E42" s="38">
        <f>X264vsQY265_fast!S231</f>
        <v>-0.54497813281999841</v>
      </c>
      <c r="F42" s="38">
        <f>X264vsQY265_fast!T231</f>
        <v>-0.36800640818916319</v>
      </c>
      <c r="G42" s="39">
        <f>X264vsQY265_fast!U231</f>
        <v>0.17417205892734408</v>
      </c>
      <c r="H42" s="39">
        <f>X264vsQY265_fast!V231</f>
        <v>4.424913405568396E-2</v>
      </c>
      <c r="I42" s="39">
        <f>X264vsQY265_fast!W231</f>
        <v>1.5519630246913592E-2</v>
      </c>
    </row>
    <row r="43" spans="1:9" ht="16.5" thickBot="1" x14ac:dyDescent="0.3">
      <c r="A43" s="63" t="s">
        <v>129</v>
      </c>
      <c r="B43" s="64"/>
      <c r="C43" s="64"/>
      <c r="D43" s="64"/>
      <c r="E43" s="64"/>
      <c r="F43" s="64"/>
      <c r="G43" s="64"/>
      <c r="H43" s="64"/>
      <c r="I43" s="65"/>
    </row>
    <row r="44" spans="1:9" ht="16.5" thickBot="1" x14ac:dyDescent="0.3">
      <c r="A44" s="37" t="s">
        <v>68</v>
      </c>
      <c r="B44" s="37" t="s">
        <v>67</v>
      </c>
      <c r="C44" s="37" t="s">
        <v>63</v>
      </c>
      <c r="D44" s="37" t="s">
        <v>64</v>
      </c>
      <c r="E44" s="37" t="s">
        <v>65</v>
      </c>
      <c r="F44" s="37" t="s">
        <v>66</v>
      </c>
      <c r="G44" s="37" t="s">
        <v>69</v>
      </c>
      <c r="H44" s="37" t="s">
        <v>99</v>
      </c>
      <c r="I44" s="37" t="s">
        <v>98</v>
      </c>
    </row>
    <row r="45" spans="1:9" ht="16.5" thickBot="1" x14ac:dyDescent="0.3">
      <c r="A45" s="61"/>
      <c r="B45" s="37" t="s">
        <v>35</v>
      </c>
      <c r="C45" s="38">
        <f>AVERAGE(X264vsQY265_medium!Q9:Q28)</f>
        <v>-0.42756594644653134</v>
      </c>
      <c r="D45" s="38">
        <f>AVERAGE(X264vsQY265_medium!R9:R28)</f>
        <v>-0.60974082115376738</v>
      </c>
      <c r="E45" s="38">
        <f>AVERAGE(X264vsQY265_medium!S9:S28)</f>
        <v>-0.60949916533209358</v>
      </c>
      <c r="F45" s="38">
        <f>AVERAGE(X264vsQY265_medium!T9:T28)</f>
        <v>-0.45888728392560807</v>
      </c>
      <c r="G45" s="39">
        <f>AVERAGE(X264vsQY265_medium!U9:U28)</f>
        <v>0.16027470923404835</v>
      </c>
      <c r="H45" s="39">
        <f>AVERAGE(X264vsQY265_medium!V9:V28)</f>
        <v>5.2723874999999996E-2</v>
      </c>
      <c r="I45" s="39">
        <f>AVERAGE(X264vsQY265_medium!W9:W28)</f>
        <v>1.8668598333333328E-2</v>
      </c>
    </row>
    <row r="46" spans="1:9" ht="16.5" thickBot="1" x14ac:dyDescent="0.3">
      <c r="A46" s="61"/>
      <c r="B46" s="37" t="s">
        <v>37</v>
      </c>
      <c r="C46" s="38">
        <f>AVERAGE(X264vsQY265_medium!Q29:Q44)</f>
        <v>-0.28997638121950137</v>
      </c>
      <c r="D46" s="38">
        <f>AVERAGE(X264vsQY265_medium!R29:R44)</f>
        <v>-0.53469350715200381</v>
      </c>
      <c r="E46" s="38">
        <f>AVERAGE(X264vsQY265_medium!S29:S44)</f>
        <v>-0.52665481398449332</v>
      </c>
      <c r="F46" s="38">
        <f>AVERAGE(X264vsQY265_medium!T29:T44)</f>
        <v>-0.33420083801121514</v>
      </c>
      <c r="G46" s="39">
        <f>AVERAGE(X264vsQY265_medium!U29:U44)</f>
        <v>-0.19014617885232887</v>
      </c>
      <c r="H46" s="39">
        <f>AVERAGE(X264vsQY265_medium!V29:V44)</f>
        <v>3.6976688046496516E-2</v>
      </c>
      <c r="I46" s="39">
        <f>AVERAGE(X264vsQY265_medium!W29:W44)</f>
        <v>2.412081666666667E-2</v>
      </c>
    </row>
    <row r="47" spans="1:9" ht="16.5" thickBot="1" x14ac:dyDescent="0.3">
      <c r="A47" s="61"/>
      <c r="B47" s="37" t="s">
        <v>39</v>
      </c>
      <c r="C47" s="38">
        <f>AVERAGE(X264vsQY265_medium!Q45:Q60)</f>
        <v>-0.21123741877836857</v>
      </c>
      <c r="D47" s="38">
        <f>AVERAGE(X264vsQY265_medium!R45:R60)</f>
        <v>-0.54591154138117959</v>
      </c>
      <c r="E47" s="38">
        <f>AVERAGE(X264vsQY265_medium!S45:S60)</f>
        <v>-0.5429365874065557</v>
      </c>
      <c r="F47" s="38">
        <f>AVERAGE(X264vsQY265_medium!T45:T60)</f>
        <v>-0.2762726487552869</v>
      </c>
      <c r="G47" s="39">
        <f>AVERAGE(X264vsQY265_medium!U45:U60)</f>
        <v>-0.15536553629333102</v>
      </c>
      <c r="H47" s="39">
        <f>AVERAGE(X264vsQY265_medium!V45:V60)</f>
        <v>5.5261874999999988E-2</v>
      </c>
      <c r="I47" s="39">
        <f>AVERAGE(X264vsQY265_medium!W45:W60)</f>
        <v>2.5653816666666662E-2</v>
      </c>
    </row>
    <row r="48" spans="1:9" ht="16.5" thickBot="1" x14ac:dyDescent="0.3">
      <c r="A48" s="61"/>
      <c r="B48" s="37" t="s">
        <v>41</v>
      </c>
      <c r="C48" s="38">
        <f>AVERAGE(X264vsQY265_medium!Q61:Q72)</f>
        <v>-0.44116291200257746</v>
      </c>
      <c r="D48" s="38">
        <f>AVERAGE(X264vsQY265_medium!R61:R72)</f>
        <v>-0.66443959452659873</v>
      </c>
      <c r="E48" s="38">
        <f>AVERAGE(X264vsQY265_medium!S61:S72)</f>
        <v>-0.68966058809738595</v>
      </c>
      <c r="F48" s="38">
        <f>AVERAGE(X264vsQY265_medium!T61:T72)</f>
        <v>-0.50921594318400387</v>
      </c>
      <c r="G48" s="39">
        <f>AVERAGE(X264vsQY265_medium!U61:U72)</f>
        <v>0.37010759334229304</v>
      </c>
      <c r="H48" s="39">
        <f>AVERAGE(X264vsQY265_medium!V61:V72)</f>
        <v>8.589104808590102E-2</v>
      </c>
      <c r="I48" s="39">
        <f>AVERAGE(X264vsQY265_medium!W61:W72)</f>
        <v>2.4628822222222263E-2</v>
      </c>
    </row>
    <row r="49" spans="1:9" ht="16.5" thickBot="1" x14ac:dyDescent="0.3">
      <c r="A49" s="61"/>
      <c r="B49" s="48" t="s">
        <v>80</v>
      </c>
      <c r="C49" s="38">
        <f>AVERAGE(X264vsQY265_medium!Q73:Q116)</f>
        <v>-0.27512444440971479</v>
      </c>
      <c r="D49" s="38">
        <f>AVERAGE(X264vsQY265_medium!R73:R116)</f>
        <v>-0.45545192858781308</v>
      </c>
      <c r="E49" s="38">
        <f>AVERAGE(X264vsQY265_medium!S73:S116)</f>
        <v>-0.46406306166943084</v>
      </c>
      <c r="F49" s="38">
        <f>AVERAGE(X264vsQY265_medium!T73:T116)</f>
        <v>-0.3140247966087264</v>
      </c>
      <c r="G49" s="39">
        <f>AVERAGE(X264vsQY265_medium!U73:U116)</f>
        <v>0.12585999504915499</v>
      </c>
      <c r="H49" s="39">
        <f>AVERAGE(X264vsQY265_medium!V73:V116)</f>
        <v>1.7067196969696965E-2</v>
      </c>
      <c r="I49" s="39">
        <f>AVERAGE(X264vsQY265_medium!W73:W116)</f>
        <v>1.5503916666666657E-2</v>
      </c>
    </row>
    <row r="50" spans="1:9" ht="16.5" thickBot="1" x14ac:dyDescent="0.3">
      <c r="A50" s="62"/>
      <c r="B50" s="37" t="s">
        <v>70</v>
      </c>
      <c r="C50" s="38">
        <f>X264vsQY265_medium!Q117</f>
        <v>-0.31453861321254561</v>
      </c>
      <c r="D50" s="38">
        <f>X264vsQY265_medium!R117</f>
        <v>-0.53238571473878915</v>
      </c>
      <c r="E50" s="38">
        <f>X264vsQY265_medium!S117</f>
        <v>-0.5370198842548356</v>
      </c>
      <c r="F50" s="38">
        <f>X264vsQY265_medium!T117</f>
        <v>-0.35993522070155742</v>
      </c>
      <c r="G50" s="39">
        <f>X264vsQY265_medium!U117</f>
        <v>7.0892941153895772E-2</v>
      </c>
      <c r="H50" s="39">
        <f>X264vsQY265_medium!V117</f>
        <v>3.9925405115198348E-2</v>
      </c>
      <c r="I50" s="39">
        <f>X264vsQY265_medium!W117</f>
        <v>1.9884113888888888E-2</v>
      </c>
    </row>
    <row r="51" spans="1:9" ht="16.5" thickBot="1" x14ac:dyDescent="0.3">
      <c r="A51" s="61"/>
      <c r="B51" s="37" t="s">
        <v>35</v>
      </c>
      <c r="C51" s="38">
        <f>AVERAGE(X264vsQY265_medium!Q123:Q142)</f>
        <v>-0.41462907844172392</v>
      </c>
      <c r="D51" s="38">
        <f>AVERAGE(X264vsQY265_medium!R123:R142)</f>
        <v>-0.60014109711318009</v>
      </c>
      <c r="E51" s="38">
        <f>AVERAGE(X264vsQY265_medium!S123:S142)</f>
        <v>-0.59861980280627614</v>
      </c>
      <c r="F51" s="38">
        <f>AVERAGE(X264vsQY265_medium!T123:T142)</f>
        <v>-0.4460860232813525</v>
      </c>
      <c r="G51" s="39">
        <f>AVERAGE(X264vsQY265_medium!U123:U142)</f>
        <v>0.15709231233103987</v>
      </c>
      <c r="H51" s="39">
        <f>AVERAGE(X264vsQY265_medium!V123:V142)</f>
        <v>5.7290555555555553E-2</v>
      </c>
      <c r="I51" s="39">
        <f>AVERAGE(X264vsQY265_medium!W123:W142)</f>
        <v>1.8061451666666655E-2</v>
      </c>
    </row>
    <row r="52" spans="1:9" ht="16.5" thickBot="1" x14ac:dyDescent="0.3">
      <c r="A52" s="61"/>
      <c r="B52" s="37" t="s">
        <v>37</v>
      </c>
      <c r="C52" s="38">
        <f>AVERAGE(X264vsQY265_medium!Q143:Q158)</f>
        <v>-0.27928698017627163</v>
      </c>
      <c r="D52" s="38">
        <f>AVERAGE(X264vsQY265_medium!R143:R158)</f>
        <v>-0.52718959904352336</v>
      </c>
      <c r="E52" s="38">
        <f>AVERAGE(X264vsQY265_medium!S143:S158)</f>
        <v>-0.51962211450740114</v>
      </c>
      <c r="F52" s="38">
        <f>AVERAGE(X264vsQY265_medium!T143:T158)</f>
        <v>-0.32449237161834943</v>
      </c>
      <c r="G52" s="39">
        <f>AVERAGE(X264vsQY265_medium!U143:U158)</f>
        <v>-0.14036877701535289</v>
      </c>
      <c r="H52" s="39">
        <f>AVERAGE(X264vsQY265_medium!V143:V158)</f>
        <v>3.7399188932707071E-2</v>
      </c>
      <c r="I52" s="39">
        <f>AVERAGE(X264vsQY265_medium!W143:W158)</f>
        <v>1.1867654166666661E-2</v>
      </c>
    </row>
    <row r="53" spans="1:9" ht="16.5" thickBot="1" x14ac:dyDescent="0.3">
      <c r="A53" s="61"/>
      <c r="B53" s="37" t="s">
        <v>39</v>
      </c>
      <c r="C53" s="38">
        <f>AVERAGE(X264vsQY265_medium!Q159:Q174)</f>
        <v>-0.1968516076323418</v>
      </c>
      <c r="D53" s="38">
        <f>AVERAGE(X264vsQY265_medium!R159:R174)</f>
        <v>-0.53376250440145057</v>
      </c>
      <c r="E53" s="38">
        <f>AVERAGE(X264vsQY265_medium!S159:S174)</f>
        <v>-0.53478132526111144</v>
      </c>
      <c r="F53" s="38">
        <f>AVERAGE(X264vsQY265_medium!T159:T174)</f>
        <v>-0.26336025508989813</v>
      </c>
      <c r="G53" s="39">
        <f>AVERAGE(X264vsQY265_medium!U159:U174)</f>
        <v>-9.425340651203995E-2</v>
      </c>
      <c r="H53" s="39">
        <f>AVERAGE(X264vsQY265_medium!V159:V174)</f>
        <v>5.6219166666666688E-2</v>
      </c>
      <c r="I53" s="39">
        <f>AVERAGE(X264vsQY265_medium!W159:W174)</f>
        <v>1.3943499999999987E-2</v>
      </c>
    </row>
    <row r="54" spans="1:9" ht="16.5" thickBot="1" x14ac:dyDescent="0.3">
      <c r="A54" s="61"/>
      <c r="B54" s="37" t="s">
        <v>41</v>
      </c>
      <c r="C54" s="38">
        <f>AVERAGE(X264vsQY265_medium!Q175:Q186)</f>
        <v>-0.42414357267340624</v>
      </c>
      <c r="D54" s="38">
        <f>AVERAGE(X264vsQY265_medium!R175:R186)</f>
        <v>-0.6539509677510712</v>
      </c>
      <c r="E54" s="38">
        <f>AVERAGE(X264vsQY265_medium!S175:S186)</f>
        <v>-0.67301306647414094</v>
      </c>
      <c r="F54" s="38">
        <f>AVERAGE(X264vsQY265_medium!T175:T186)</f>
        <v>-0.49168924665173314</v>
      </c>
      <c r="G54" s="39">
        <f>AVERAGE(X264vsQY265_medium!U175:U186)</f>
        <v>0.37883378454053562</v>
      </c>
      <c r="H54" s="39">
        <f>AVERAGE(X264vsQY265_medium!V175:V186)</f>
        <v>9.0465015172735766E-2</v>
      </c>
      <c r="I54" s="39">
        <f>AVERAGE(X264vsQY265_medium!W175:W186)</f>
        <v>2.7027622222222217E-2</v>
      </c>
    </row>
    <row r="55" spans="1:9" ht="16.5" thickBot="1" x14ac:dyDescent="0.3">
      <c r="A55" s="61"/>
      <c r="B55" s="48" t="s">
        <v>80</v>
      </c>
      <c r="C55" s="38">
        <f>AVERAGE(X264vsQY265_medium!Q187:Q230)</f>
        <v>-0.26615434966966078</v>
      </c>
      <c r="D55" s="38">
        <f>AVERAGE(X264vsQY265_medium!R187:R230)</f>
        <v>-0.44796876838037902</v>
      </c>
      <c r="E55" s="38">
        <f>AVERAGE(X264vsQY265_medium!S187:S230)</f>
        <v>-0.45743014658155495</v>
      </c>
      <c r="F55" s="38">
        <f>AVERAGE(X264vsQY265_medium!T187:T230)</f>
        <v>-0.30571521777479121</v>
      </c>
      <c r="G55" s="39">
        <f>AVERAGE(X264vsQY265_medium!U187:U230)</f>
        <v>0.14054256468795071</v>
      </c>
      <c r="H55" s="39">
        <f>AVERAGE(X264vsQY265_medium!V187:V230)</f>
        <v>1.7554621212121205E-2</v>
      </c>
      <c r="I55" s="39">
        <f>AVERAGE(X264vsQY265_medium!W187:W230)</f>
        <v>1.4716628787878782E-2</v>
      </c>
    </row>
    <row r="56" spans="1:9" ht="16.5" thickBot="1" x14ac:dyDescent="0.3">
      <c r="A56" s="62"/>
      <c r="B56" s="37" t="s">
        <v>70</v>
      </c>
      <c r="C56" s="38">
        <f>X264vsQY265_medium!Q231</f>
        <v>-0.30288252991961334</v>
      </c>
      <c r="D56" s="38">
        <f>X264vsQY265_medium!R231</f>
        <v>-0.52348234276974726</v>
      </c>
      <c r="E56" s="38">
        <f>X264vsQY265_medium!S231</f>
        <v>-0.52820309573796143</v>
      </c>
      <c r="F56" s="38">
        <f>X264vsQY265_medium!T231</f>
        <v>-0.34888058365620939</v>
      </c>
      <c r="G56" s="39">
        <f>X264vsQY265_medium!U231</f>
        <v>9.368305158276638E-2</v>
      </c>
      <c r="H56" s="39">
        <f>X264vsQY265_medium!V231</f>
        <v>4.1682299223215313E-2</v>
      </c>
      <c r="I56" s="39">
        <f>X264vsQY265_medium!W231</f>
        <v>1.6167320679012345E-2</v>
      </c>
    </row>
  </sheetData>
  <mergeCells count="12">
    <mergeCell ref="A45:A50"/>
    <mergeCell ref="A51:A56"/>
    <mergeCell ref="A1:I1"/>
    <mergeCell ref="A15:I15"/>
    <mergeCell ref="A43:I43"/>
    <mergeCell ref="A31:A36"/>
    <mergeCell ref="A17:A22"/>
    <mergeCell ref="A23:A28"/>
    <mergeCell ref="A3:A8"/>
    <mergeCell ref="A9:A14"/>
    <mergeCell ref="A37:A42"/>
    <mergeCell ref="A29:I29"/>
  </mergeCells>
  <phoneticPr fontId="5" type="noConversion"/>
  <conditionalFormatting sqref="C22:F22">
    <cfRule type="cellIs" dxfId="535" priority="9129" operator="greaterThan">
      <formula>0.03</formula>
    </cfRule>
    <cfRule type="cellIs" dxfId="534" priority="9130" stopIfTrue="1" operator="lessThan">
      <formula>-0.03</formula>
    </cfRule>
  </conditionalFormatting>
  <conditionalFormatting sqref="C17:F20">
    <cfRule type="cellIs" dxfId="533" priority="9127" operator="greaterThan">
      <formula>0.03</formula>
    </cfRule>
    <cfRule type="cellIs" dxfId="532" priority="9128" stopIfTrue="1" operator="lessThan">
      <formula>-0.03</formula>
    </cfRule>
  </conditionalFormatting>
  <conditionalFormatting sqref="C28:F28">
    <cfRule type="cellIs" dxfId="531" priority="9117" operator="greaterThan">
      <formula>0.03</formula>
    </cfRule>
    <cfRule type="cellIs" dxfId="530" priority="9118" stopIfTrue="1" operator="lessThan">
      <formula>-0.03</formula>
    </cfRule>
  </conditionalFormatting>
  <conditionalFormatting sqref="C23:F26">
    <cfRule type="cellIs" dxfId="529" priority="9115" operator="greaterThan">
      <formula>0.03</formula>
    </cfRule>
    <cfRule type="cellIs" dxfId="528" priority="9116" stopIfTrue="1" operator="lessThan">
      <formula>-0.03</formula>
    </cfRule>
  </conditionalFormatting>
  <conditionalFormatting sqref="C50:F50">
    <cfRule type="cellIs" dxfId="527" priority="9111" operator="greaterThan">
      <formula>0.03</formula>
    </cfRule>
    <cfRule type="cellIs" dxfId="526" priority="9112" stopIfTrue="1" operator="lessThan">
      <formula>-0.03</formula>
    </cfRule>
  </conditionalFormatting>
  <conditionalFormatting sqref="C45:F48">
    <cfRule type="cellIs" dxfId="525" priority="9109" operator="greaterThan">
      <formula>0.03</formula>
    </cfRule>
    <cfRule type="cellIs" dxfId="524" priority="9110" stopIfTrue="1" operator="lessThan">
      <formula>-0.03</formula>
    </cfRule>
  </conditionalFormatting>
  <conditionalFormatting sqref="C56:F56">
    <cfRule type="cellIs" dxfId="523" priority="9099" operator="greaterThan">
      <formula>0.03</formula>
    </cfRule>
    <cfRule type="cellIs" dxfId="522" priority="9100" stopIfTrue="1" operator="lessThan">
      <formula>-0.03</formula>
    </cfRule>
  </conditionalFormatting>
  <conditionalFormatting sqref="C51:F54">
    <cfRule type="cellIs" dxfId="521" priority="9097" operator="greaterThan">
      <formula>0.03</formula>
    </cfRule>
    <cfRule type="cellIs" dxfId="520" priority="9098" stopIfTrue="1" operator="lessThan">
      <formula>-0.03</formula>
    </cfRule>
  </conditionalFormatting>
  <conditionalFormatting sqref="C9:C12">
    <cfRule type="cellIs" dxfId="519" priority="8683" operator="greaterThan">
      <formula>0.03</formula>
    </cfRule>
    <cfRule type="cellIs" dxfId="518" priority="8684" stopIfTrue="1" operator="lessThan">
      <formula>-0.03</formula>
    </cfRule>
  </conditionalFormatting>
  <conditionalFormatting sqref="C8">
    <cfRule type="cellIs" dxfId="517" priority="8697" operator="greaterThan">
      <formula>0.03</formula>
    </cfRule>
    <cfRule type="cellIs" dxfId="516" priority="8698" stopIfTrue="1" operator="lessThan">
      <formula>-0.03</formula>
    </cfRule>
  </conditionalFormatting>
  <conditionalFormatting sqref="C3:C6">
    <cfRule type="cellIs" dxfId="515" priority="8695" operator="greaterThan">
      <formula>0.03</formula>
    </cfRule>
    <cfRule type="cellIs" dxfId="514" priority="8696" stopIfTrue="1" operator="lessThan">
      <formula>-0.03</formula>
    </cfRule>
  </conditionalFormatting>
  <conditionalFormatting sqref="C14">
    <cfRule type="cellIs" dxfId="513" priority="8685" operator="greaterThan">
      <formula>0.03</formula>
    </cfRule>
    <cfRule type="cellIs" dxfId="512" priority="8686" stopIfTrue="1" operator="lessThan">
      <formula>-0.03</formula>
    </cfRule>
  </conditionalFormatting>
  <conditionalFormatting sqref="C37:C40">
    <cfRule type="cellIs" dxfId="511" priority="8665" operator="greaterThan">
      <formula>0.03</formula>
    </cfRule>
    <cfRule type="cellIs" dxfId="510" priority="8666" stopIfTrue="1" operator="lessThan">
      <formula>-0.03</formula>
    </cfRule>
  </conditionalFormatting>
  <conditionalFormatting sqref="C36">
    <cfRule type="cellIs" dxfId="509" priority="8679" operator="greaterThan">
      <formula>0.03</formula>
    </cfRule>
    <cfRule type="cellIs" dxfId="508" priority="8680" stopIfTrue="1" operator="lessThan">
      <formula>-0.03</formula>
    </cfRule>
  </conditionalFormatting>
  <conditionalFormatting sqref="C31:C34">
    <cfRule type="cellIs" dxfId="507" priority="8677" operator="greaterThan">
      <formula>0.03</formula>
    </cfRule>
    <cfRule type="cellIs" dxfId="506" priority="8678" stopIfTrue="1" operator="lessThan">
      <formula>-0.03</formula>
    </cfRule>
  </conditionalFormatting>
  <conditionalFormatting sqref="C42">
    <cfRule type="cellIs" dxfId="505" priority="8667" operator="greaterThan">
      <formula>0.03</formula>
    </cfRule>
    <cfRule type="cellIs" dxfId="504" priority="8668" stopIfTrue="1" operator="lessThan">
      <formula>-0.03</formula>
    </cfRule>
  </conditionalFormatting>
  <conditionalFormatting sqref="D9:D12">
    <cfRule type="cellIs" dxfId="503" priority="8431" operator="greaterThan">
      <formula>0.03</formula>
    </cfRule>
    <cfRule type="cellIs" dxfId="502" priority="8432" stopIfTrue="1" operator="lessThan">
      <formula>-0.03</formula>
    </cfRule>
  </conditionalFormatting>
  <conditionalFormatting sqref="D8">
    <cfRule type="cellIs" dxfId="501" priority="8445" operator="greaterThan">
      <formula>0.03</formula>
    </cfRule>
    <cfRule type="cellIs" dxfId="500" priority="8446" stopIfTrue="1" operator="lessThan">
      <formula>-0.03</formula>
    </cfRule>
  </conditionalFormatting>
  <conditionalFormatting sqref="D3:D6">
    <cfRule type="cellIs" dxfId="499" priority="8443" operator="greaterThan">
      <formula>0.03</formula>
    </cfRule>
    <cfRule type="cellIs" dxfId="498" priority="8444" stopIfTrue="1" operator="lessThan">
      <formula>-0.03</formula>
    </cfRule>
  </conditionalFormatting>
  <conditionalFormatting sqref="D14">
    <cfRule type="cellIs" dxfId="497" priority="8433" operator="greaterThan">
      <formula>0.03</formula>
    </cfRule>
    <cfRule type="cellIs" dxfId="496" priority="8434" stopIfTrue="1" operator="lessThan">
      <formula>-0.03</formula>
    </cfRule>
  </conditionalFormatting>
  <conditionalFormatting sqref="E9:E12">
    <cfRule type="cellIs" dxfId="495" priority="8413" operator="greaterThan">
      <formula>0.03</formula>
    </cfRule>
    <cfRule type="cellIs" dxfId="494" priority="8414" stopIfTrue="1" operator="lessThan">
      <formula>-0.03</formula>
    </cfRule>
  </conditionalFormatting>
  <conditionalFormatting sqref="E8">
    <cfRule type="cellIs" dxfId="493" priority="8427" operator="greaterThan">
      <formula>0.03</formula>
    </cfRule>
    <cfRule type="cellIs" dxfId="492" priority="8428" stopIfTrue="1" operator="lessThan">
      <formula>-0.03</formula>
    </cfRule>
  </conditionalFormatting>
  <conditionalFormatting sqref="E3:E6">
    <cfRule type="cellIs" dxfId="491" priority="8425" operator="greaterThan">
      <formula>0.03</formula>
    </cfRule>
    <cfRule type="cellIs" dxfId="490" priority="8426" stopIfTrue="1" operator="lessThan">
      <formula>-0.03</formula>
    </cfRule>
  </conditionalFormatting>
  <conditionalFormatting sqref="E14">
    <cfRule type="cellIs" dxfId="489" priority="8415" operator="greaterThan">
      <formula>0.03</formula>
    </cfRule>
    <cfRule type="cellIs" dxfId="488" priority="8416" stopIfTrue="1" operator="lessThan">
      <formula>-0.03</formula>
    </cfRule>
  </conditionalFormatting>
  <conditionalFormatting sqref="F9:F12">
    <cfRule type="cellIs" dxfId="487" priority="8395" operator="greaterThan">
      <formula>0.03</formula>
    </cfRule>
    <cfRule type="cellIs" dxfId="486" priority="8396" stopIfTrue="1" operator="lessThan">
      <formula>-0.03</formula>
    </cfRule>
  </conditionalFormatting>
  <conditionalFormatting sqref="F8">
    <cfRule type="cellIs" dxfId="485" priority="8409" operator="greaterThan">
      <formula>0.03</formula>
    </cfRule>
    <cfRule type="cellIs" dxfId="484" priority="8410" stopIfTrue="1" operator="lessThan">
      <formula>-0.03</formula>
    </cfRule>
  </conditionalFormatting>
  <conditionalFormatting sqref="F3:F6">
    <cfRule type="cellIs" dxfId="483" priority="8407" operator="greaterThan">
      <formula>0.03</formula>
    </cfRule>
    <cfRule type="cellIs" dxfId="482" priority="8408" stopIfTrue="1" operator="lessThan">
      <formula>-0.03</formula>
    </cfRule>
  </conditionalFormatting>
  <conditionalFormatting sqref="F14">
    <cfRule type="cellIs" dxfId="481" priority="8397" operator="greaterThan">
      <formula>0.03</formula>
    </cfRule>
    <cfRule type="cellIs" dxfId="480" priority="8398" stopIfTrue="1" operator="lessThan">
      <formula>-0.03</formula>
    </cfRule>
  </conditionalFormatting>
  <conditionalFormatting sqref="D37:D40">
    <cfRule type="cellIs" dxfId="479" priority="8377" operator="greaterThan">
      <formula>0.03</formula>
    </cfRule>
    <cfRule type="cellIs" dxfId="478" priority="8378" stopIfTrue="1" operator="lessThan">
      <formula>-0.03</formula>
    </cfRule>
  </conditionalFormatting>
  <conditionalFormatting sqref="D36">
    <cfRule type="cellIs" dxfId="477" priority="8391" operator="greaterThan">
      <formula>0.03</formula>
    </cfRule>
    <cfRule type="cellIs" dxfId="476" priority="8392" stopIfTrue="1" operator="lessThan">
      <formula>-0.03</formula>
    </cfRule>
  </conditionalFormatting>
  <conditionalFormatting sqref="D31:D34">
    <cfRule type="cellIs" dxfId="475" priority="8389" operator="greaterThan">
      <formula>0.03</formula>
    </cfRule>
    <cfRule type="cellIs" dxfId="474" priority="8390" stopIfTrue="1" operator="lessThan">
      <formula>-0.03</formula>
    </cfRule>
  </conditionalFormatting>
  <conditionalFormatting sqref="D42">
    <cfRule type="cellIs" dxfId="473" priority="8379" operator="greaterThan">
      <formula>0.03</formula>
    </cfRule>
    <cfRule type="cellIs" dxfId="472" priority="8380" stopIfTrue="1" operator="lessThan">
      <formula>-0.03</formula>
    </cfRule>
  </conditionalFormatting>
  <conditionalFormatting sqref="E37:E40">
    <cfRule type="cellIs" dxfId="471" priority="8359" operator="greaterThan">
      <formula>0.03</formula>
    </cfRule>
    <cfRule type="cellIs" dxfId="470" priority="8360" stopIfTrue="1" operator="lessThan">
      <formula>-0.03</formula>
    </cfRule>
  </conditionalFormatting>
  <conditionalFormatting sqref="E36">
    <cfRule type="cellIs" dxfId="469" priority="8373" operator="greaterThan">
      <formula>0.03</formula>
    </cfRule>
    <cfRule type="cellIs" dxfId="468" priority="8374" stopIfTrue="1" operator="lessThan">
      <formula>-0.03</formula>
    </cfRule>
  </conditionalFormatting>
  <conditionalFormatting sqref="E31:E34">
    <cfRule type="cellIs" dxfId="467" priority="8371" operator="greaterThan">
      <formula>0.03</formula>
    </cfRule>
    <cfRule type="cellIs" dxfId="466" priority="8372" stopIfTrue="1" operator="lessThan">
      <formula>-0.03</formula>
    </cfRule>
  </conditionalFormatting>
  <conditionalFormatting sqref="E42">
    <cfRule type="cellIs" dxfId="465" priority="8361" operator="greaterThan">
      <formula>0.03</formula>
    </cfRule>
    <cfRule type="cellIs" dxfId="464" priority="8362" stopIfTrue="1" operator="lessThan">
      <formula>-0.03</formula>
    </cfRule>
  </conditionalFormatting>
  <conditionalFormatting sqref="F37:F40">
    <cfRule type="cellIs" dxfId="463" priority="8341" operator="greaterThan">
      <formula>0.03</formula>
    </cfRule>
    <cfRule type="cellIs" dxfId="462" priority="8342" stopIfTrue="1" operator="lessThan">
      <formula>-0.03</formula>
    </cfRule>
  </conditionalFormatting>
  <conditionalFormatting sqref="F36">
    <cfRule type="cellIs" dxfId="461" priority="8355" operator="greaterThan">
      <formula>0.03</formula>
    </cfRule>
    <cfRule type="cellIs" dxfId="460" priority="8356" stopIfTrue="1" operator="lessThan">
      <formula>-0.03</formula>
    </cfRule>
  </conditionalFormatting>
  <conditionalFormatting sqref="F31:F34">
    <cfRule type="cellIs" dxfId="459" priority="8353" operator="greaterThan">
      <formula>0.03</formula>
    </cfRule>
    <cfRule type="cellIs" dxfId="458" priority="8354" stopIfTrue="1" operator="lessThan">
      <formula>-0.03</formula>
    </cfRule>
  </conditionalFormatting>
  <conditionalFormatting sqref="F42">
    <cfRule type="cellIs" dxfId="457" priority="8343" operator="greaterThan">
      <formula>0.03</formula>
    </cfRule>
    <cfRule type="cellIs" dxfId="456" priority="8344" stopIfTrue="1" operator="lessThan">
      <formula>-0.03</formula>
    </cfRule>
  </conditionalFormatting>
  <conditionalFormatting sqref="C7">
    <cfRule type="cellIs" dxfId="455" priority="4853" operator="greaterThan">
      <formula>0.03</formula>
    </cfRule>
    <cfRule type="cellIs" dxfId="454" priority="4854" stopIfTrue="1" operator="lessThan">
      <formula>-0.03</formula>
    </cfRule>
  </conditionalFormatting>
  <conditionalFormatting sqref="D7">
    <cfRule type="cellIs" dxfId="453" priority="4851" operator="greaterThan">
      <formula>0.03</formula>
    </cfRule>
    <cfRule type="cellIs" dxfId="452" priority="4852" stopIfTrue="1" operator="lessThan">
      <formula>-0.03</formula>
    </cfRule>
  </conditionalFormatting>
  <conditionalFormatting sqref="E7">
    <cfRule type="cellIs" dxfId="451" priority="4849" operator="greaterThan">
      <formula>0.03</formula>
    </cfRule>
    <cfRule type="cellIs" dxfId="450" priority="4850" stopIfTrue="1" operator="lessThan">
      <formula>-0.03</formula>
    </cfRule>
  </conditionalFormatting>
  <conditionalFormatting sqref="F7">
    <cfRule type="cellIs" dxfId="449" priority="4847" operator="greaterThan">
      <formula>0.03</formula>
    </cfRule>
    <cfRule type="cellIs" dxfId="448" priority="4848" stopIfTrue="1" operator="lessThan">
      <formula>-0.03</formula>
    </cfRule>
  </conditionalFormatting>
  <conditionalFormatting sqref="C13">
    <cfRule type="cellIs" dxfId="447" priority="4805" operator="greaterThan">
      <formula>0.03</formula>
    </cfRule>
    <cfRule type="cellIs" dxfId="446" priority="4806" stopIfTrue="1" operator="lessThan">
      <formula>-0.03</formula>
    </cfRule>
  </conditionalFormatting>
  <conditionalFormatting sqref="D13">
    <cfRule type="cellIs" dxfId="445" priority="4803" operator="greaterThan">
      <formula>0.03</formula>
    </cfRule>
    <cfRule type="cellIs" dxfId="444" priority="4804" stopIfTrue="1" operator="lessThan">
      <formula>-0.03</formula>
    </cfRule>
  </conditionalFormatting>
  <conditionalFormatting sqref="E13">
    <cfRule type="cellIs" dxfId="443" priority="4801" operator="greaterThan">
      <formula>0.03</formula>
    </cfRule>
    <cfRule type="cellIs" dxfId="442" priority="4802" stopIfTrue="1" operator="lessThan">
      <formula>-0.03</formula>
    </cfRule>
  </conditionalFormatting>
  <conditionalFormatting sqref="F13">
    <cfRule type="cellIs" dxfId="441" priority="4799" operator="greaterThan">
      <formula>0.03</formula>
    </cfRule>
    <cfRule type="cellIs" dxfId="440" priority="4800" stopIfTrue="1" operator="lessThan">
      <formula>-0.03</formula>
    </cfRule>
  </conditionalFormatting>
  <conditionalFormatting sqref="C21">
    <cfRule type="cellIs" dxfId="439" priority="4757" operator="greaterThan">
      <formula>0.03</formula>
    </cfRule>
    <cfRule type="cellIs" dxfId="438" priority="4758" stopIfTrue="1" operator="lessThan">
      <formula>-0.03</formula>
    </cfRule>
  </conditionalFormatting>
  <conditionalFormatting sqref="D21">
    <cfRule type="cellIs" dxfId="437" priority="4755" operator="greaterThan">
      <formula>0.03</formula>
    </cfRule>
    <cfRule type="cellIs" dxfId="436" priority="4756" stopIfTrue="1" operator="lessThan">
      <formula>-0.03</formula>
    </cfRule>
  </conditionalFormatting>
  <conditionalFormatting sqref="E21">
    <cfRule type="cellIs" dxfId="435" priority="4753" operator="greaterThan">
      <formula>0.03</formula>
    </cfRule>
    <cfRule type="cellIs" dxfId="434" priority="4754" stopIfTrue="1" operator="lessThan">
      <formula>-0.03</formula>
    </cfRule>
  </conditionalFormatting>
  <conditionalFormatting sqref="F21">
    <cfRule type="cellIs" dxfId="433" priority="4751" operator="greaterThan">
      <formula>0.03</formula>
    </cfRule>
    <cfRule type="cellIs" dxfId="432" priority="4752" stopIfTrue="1" operator="lessThan">
      <formula>-0.03</formula>
    </cfRule>
  </conditionalFormatting>
  <conditionalFormatting sqref="C27">
    <cfRule type="cellIs" dxfId="431" priority="4709" operator="greaterThan">
      <formula>0.03</formula>
    </cfRule>
    <cfRule type="cellIs" dxfId="430" priority="4710" stopIfTrue="1" operator="lessThan">
      <formula>-0.03</formula>
    </cfRule>
  </conditionalFormatting>
  <conditionalFormatting sqref="D27">
    <cfRule type="cellIs" dxfId="429" priority="4707" operator="greaterThan">
      <formula>0.03</formula>
    </cfRule>
    <cfRule type="cellIs" dxfId="428" priority="4708" stopIfTrue="1" operator="lessThan">
      <formula>-0.03</formula>
    </cfRule>
  </conditionalFormatting>
  <conditionalFormatting sqref="E27">
    <cfRule type="cellIs" dxfId="427" priority="4705" operator="greaterThan">
      <formula>0.03</formula>
    </cfRule>
    <cfRule type="cellIs" dxfId="426" priority="4706" stopIfTrue="1" operator="lessThan">
      <formula>-0.03</formula>
    </cfRule>
  </conditionalFormatting>
  <conditionalFormatting sqref="F27">
    <cfRule type="cellIs" dxfId="425" priority="4703" operator="greaterThan">
      <formula>0.03</formula>
    </cfRule>
    <cfRule type="cellIs" dxfId="424" priority="4704" stopIfTrue="1" operator="lessThan">
      <formula>-0.03</formula>
    </cfRule>
  </conditionalFormatting>
  <conditionalFormatting sqref="C35">
    <cfRule type="cellIs" dxfId="423" priority="4661" operator="greaterThan">
      <formula>0.03</formula>
    </cfRule>
    <cfRule type="cellIs" dxfId="422" priority="4662" stopIfTrue="1" operator="lessThan">
      <formula>-0.03</formula>
    </cfRule>
  </conditionalFormatting>
  <conditionalFormatting sqref="D35">
    <cfRule type="cellIs" dxfId="421" priority="4659" operator="greaterThan">
      <formula>0.03</formula>
    </cfRule>
    <cfRule type="cellIs" dxfId="420" priority="4660" stopIfTrue="1" operator="lessThan">
      <formula>-0.03</formula>
    </cfRule>
  </conditionalFormatting>
  <conditionalFormatting sqref="E35">
    <cfRule type="cellIs" dxfId="419" priority="4657" operator="greaterThan">
      <formula>0.03</formula>
    </cfRule>
    <cfRule type="cellIs" dxfId="418" priority="4658" stopIfTrue="1" operator="lessThan">
      <formula>-0.03</formula>
    </cfRule>
  </conditionalFormatting>
  <conditionalFormatting sqref="F35">
    <cfRule type="cellIs" dxfId="417" priority="4655" operator="greaterThan">
      <formula>0.03</formula>
    </cfRule>
    <cfRule type="cellIs" dxfId="416" priority="4656" stopIfTrue="1" operator="lessThan">
      <formula>-0.03</formula>
    </cfRule>
  </conditionalFormatting>
  <conditionalFormatting sqref="C41">
    <cfRule type="cellIs" dxfId="415" priority="4613" operator="greaterThan">
      <formula>0.03</formula>
    </cfRule>
    <cfRule type="cellIs" dxfId="414" priority="4614" stopIfTrue="1" operator="lessThan">
      <formula>-0.03</formula>
    </cfRule>
  </conditionalFormatting>
  <conditionalFormatting sqref="D41">
    <cfRule type="cellIs" dxfId="413" priority="4611" operator="greaterThan">
      <formula>0.03</formula>
    </cfRule>
    <cfRule type="cellIs" dxfId="412" priority="4612" stopIfTrue="1" operator="lessThan">
      <formula>-0.03</formula>
    </cfRule>
  </conditionalFormatting>
  <conditionalFormatting sqref="E41">
    <cfRule type="cellIs" dxfId="411" priority="4609" operator="greaterThan">
      <formula>0.03</formula>
    </cfRule>
    <cfRule type="cellIs" dxfId="410" priority="4610" stopIfTrue="1" operator="lessThan">
      <formula>-0.03</formula>
    </cfRule>
  </conditionalFormatting>
  <conditionalFormatting sqref="F41">
    <cfRule type="cellIs" dxfId="409" priority="4607" operator="greaterThan">
      <formula>0.03</formula>
    </cfRule>
    <cfRule type="cellIs" dxfId="408" priority="4608" stopIfTrue="1" operator="lessThan">
      <formula>-0.03</formula>
    </cfRule>
  </conditionalFormatting>
  <conditionalFormatting sqref="C49">
    <cfRule type="cellIs" dxfId="407" priority="4565" operator="greaterThan">
      <formula>0.03</formula>
    </cfRule>
    <cfRule type="cellIs" dxfId="406" priority="4566" stopIfTrue="1" operator="lessThan">
      <formula>-0.03</formula>
    </cfRule>
  </conditionalFormatting>
  <conditionalFormatting sqref="D49">
    <cfRule type="cellIs" dxfId="405" priority="4563" operator="greaterThan">
      <formula>0.03</formula>
    </cfRule>
    <cfRule type="cellIs" dxfId="404" priority="4564" stopIfTrue="1" operator="lessThan">
      <formula>-0.03</formula>
    </cfRule>
  </conditionalFormatting>
  <conditionalFormatting sqref="E49">
    <cfRule type="cellIs" dxfId="403" priority="4561" operator="greaterThan">
      <formula>0.03</formula>
    </cfRule>
    <cfRule type="cellIs" dxfId="402" priority="4562" stopIfTrue="1" operator="lessThan">
      <formula>-0.03</formula>
    </cfRule>
  </conditionalFormatting>
  <conditionalFormatting sqref="F49">
    <cfRule type="cellIs" dxfId="401" priority="4559" operator="greaterThan">
      <formula>0.03</formula>
    </cfRule>
    <cfRule type="cellIs" dxfId="400" priority="4560" stopIfTrue="1" operator="lessThan">
      <formula>-0.03</formula>
    </cfRule>
  </conditionalFormatting>
  <conditionalFormatting sqref="C55">
    <cfRule type="cellIs" dxfId="399" priority="4517" operator="greaterThan">
      <formula>0.03</formula>
    </cfRule>
    <cfRule type="cellIs" dxfId="398" priority="4518" stopIfTrue="1" operator="lessThan">
      <formula>-0.03</formula>
    </cfRule>
  </conditionalFormatting>
  <conditionalFormatting sqref="D55">
    <cfRule type="cellIs" dxfId="397" priority="4515" operator="greaterThan">
      <formula>0.03</formula>
    </cfRule>
    <cfRule type="cellIs" dxfId="396" priority="4516" stopIfTrue="1" operator="lessThan">
      <formula>-0.03</formula>
    </cfRule>
  </conditionalFormatting>
  <conditionalFormatting sqref="E55">
    <cfRule type="cellIs" dxfId="395" priority="4513" operator="greaterThan">
      <formula>0.03</formula>
    </cfRule>
    <cfRule type="cellIs" dxfId="394" priority="4514" stopIfTrue="1" operator="lessThan">
      <formula>-0.03</formula>
    </cfRule>
  </conditionalFormatting>
  <conditionalFormatting sqref="F55">
    <cfRule type="cellIs" dxfId="393" priority="4511" operator="greaterThan">
      <formula>0.03</formula>
    </cfRule>
    <cfRule type="cellIs" dxfId="392" priority="451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31"/>
  <sheetViews>
    <sheetView workbookViewId="0">
      <selection activeCell="J1" sqref="J1:O1048576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110</v>
      </c>
    </row>
    <row r="2" spans="1:25" x14ac:dyDescent="0.25">
      <c r="A2" t="s">
        <v>77</v>
      </c>
    </row>
    <row r="3" spans="1:25" x14ac:dyDescent="0.25">
      <c r="A3" t="s">
        <v>125</v>
      </c>
    </row>
    <row r="4" spans="1:25" x14ac:dyDescent="0.25">
      <c r="A4" t="s">
        <v>78</v>
      </c>
    </row>
    <row r="5" spans="1:25" s="35" customFormat="1" ht="15.75" customHeight="1" x14ac:dyDescent="0.25">
      <c r="B5" s="73" t="s">
        <v>29</v>
      </c>
      <c r="C5" s="67" t="s">
        <v>117</v>
      </c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9"/>
    </row>
    <row r="6" spans="1:25" s="35" customFormat="1" x14ac:dyDescent="0.25">
      <c r="B6" s="74"/>
      <c r="C6" s="70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2"/>
    </row>
    <row r="7" spans="1:25" ht="16.5" customHeight="1" thickBot="1" x14ac:dyDescent="0.3">
      <c r="C7" s="75" t="s">
        <v>71</v>
      </c>
      <c r="D7" s="76"/>
      <c r="E7" s="76"/>
      <c r="F7" s="76"/>
      <c r="G7" s="76"/>
      <c r="H7" s="76"/>
      <c r="I7" s="5"/>
      <c r="J7" s="75" t="s">
        <v>108</v>
      </c>
      <c r="K7" s="76"/>
      <c r="L7" s="76"/>
      <c r="M7" s="76"/>
      <c r="N7" s="76"/>
      <c r="O7" s="76"/>
      <c r="Q7" s="75" t="s">
        <v>7</v>
      </c>
      <c r="R7" s="76"/>
      <c r="S7" s="77"/>
      <c r="T7" s="36"/>
      <c r="U7" s="78" t="s">
        <v>43</v>
      </c>
      <c r="V7" s="66" t="s">
        <v>92</v>
      </c>
      <c r="W7" s="66"/>
      <c r="X7" s="66"/>
      <c r="Y7" s="66"/>
    </row>
    <row r="8" spans="1:25" ht="16.5" thickBot="1" x14ac:dyDescent="0.3">
      <c r="C8" s="2" t="s">
        <v>60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60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8"/>
      <c r="V8" s="55" t="s">
        <v>100</v>
      </c>
      <c r="W8" s="55" t="s">
        <v>93</v>
      </c>
      <c r="X8" s="56" t="s">
        <v>101</v>
      </c>
      <c r="Y8" s="56" t="s">
        <v>94</v>
      </c>
    </row>
    <row r="9" spans="1:25" x14ac:dyDescent="0.25">
      <c r="A9" s="6" t="s">
        <v>35</v>
      </c>
      <c r="B9" s="6" t="s">
        <v>44</v>
      </c>
      <c r="C9" s="15">
        <v>3276.56</v>
      </c>
      <c r="D9" s="16">
        <v>38.258000000000003</v>
      </c>
      <c r="E9" s="16">
        <v>41.417000000000002</v>
      </c>
      <c r="F9" s="16">
        <v>42.37</v>
      </c>
      <c r="G9" s="16">
        <v>8.7100000000000009</v>
      </c>
      <c r="H9" s="16">
        <f t="shared" ref="H9:H72" si="0">(6*D9+E9+F9)/8</f>
        <v>39.166875000000005</v>
      </c>
      <c r="I9" s="5"/>
      <c r="J9" s="15">
        <v>2378.6455999999998</v>
      </c>
      <c r="K9" s="16">
        <v>38.851700000000001</v>
      </c>
      <c r="L9" s="16">
        <v>41.783200000000001</v>
      </c>
      <c r="M9" s="16">
        <v>43.1113</v>
      </c>
      <c r="N9" s="16">
        <v>7.5034999999999998</v>
      </c>
      <c r="O9" s="16">
        <f t="shared" ref="O9:O72" si="1">(6*K9+L9+M9)/8</f>
        <v>39.750587500000009</v>
      </c>
      <c r="P9" s="7"/>
      <c r="Q9" s="8">
        <f>bdrate(C9:C12,D9:D12,J9:J12,K9:K12)</f>
        <v>-0.44015513730974332</v>
      </c>
      <c r="R9" s="8">
        <f>bdrate(C9:C12,E9:E12,J9:J12,L9:L12)</f>
        <v>-0.39617914729376502</v>
      </c>
      <c r="S9" s="8">
        <f>bdrate(C9:C12,F9:F12,J9:J12,M9:M12)</f>
        <v>-0.49681136023394445</v>
      </c>
      <c r="T9" s="25">
        <f>bdrate(C9:C12,H9:H12,J9:J12,O9:O12)</f>
        <v>-0.44169023023856324</v>
      </c>
      <c r="U9" s="28">
        <f t="shared" ref="U9:U64" si="2">(N9-G9)/G9</f>
        <v>-0.13851894374282445</v>
      </c>
      <c r="V9" s="57">
        <f t="shared" ref="V9:V65" si="3">ABS(C9-X9)/X9</f>
        <v>8.9844444444444463E-2</v>
      </c>
      <c r="W9" s="57">
        <f t="shared" ref="W9:W64" si="4">ABS(J9-Y9)/Y9</f>
        <v>8.8976666666667377E-3</v>
      </c>
      <c r="X9" s="56">
        <v>3600</v>
      </c>
      <c r="Y9" s="56">
        <v>2400</v>
      </c>
    </row>
    <row r="10" spans="1:25" x14ac:dyDescent="0.25">
      <c r="A10" s="9" t="s">
        <v>36</v>
      </c>
      <c r="B10" s="9"/>
      <c r="C10" s="17">
        <v>2155.06</v>
      </c>
      <c r="D10" s="18">
        <v>36.78</v>
      </c>
      <c r="E10" s="18">
        <v>40.816000000000003</v>
      </c>
      <c r="F10" s="18">
        <v>41.744999999999997</v>
      </c>
      <c r="G10" s="18">
        <v>9.3000000000000007</v>
      </c>
      <c r="H10" s="18">
        <f t="shared" si="0"/>
        <v>37.905124999999998</v>
      </c>
      <c r="I10" s="5"/>
      <c r="J10" s="17">
        <v>1580.7888</v>
      </c>
      <c r="K10" s="18">
        <v>37.573099999999997</v>
      </c>
      <c r="L10" s="18">
        <v>41.116</v>
      </c>
      <c r="M10" s="18">
        <v>42.330100000000002</v>
      </c>
      <c r="N10" s="18">
        <v>8.3956999999999997</v>
      </c>
      <c r="O10" s="18">
        <f t="shared" si="1"/>
        <v>38.610587500000001</v>
      </c>
      <c r="P10" s="7"/>
      <c r="Q10" s="10"/>
      <c r="R10" s="11"/>
      <c r="S10" s="11"/>
      <c r="T10" s="26"/>
      <c r="U10" s="28">
        <f t="shared" si="2"/>
        <v>-9.7236559139785045E-2</v>
      </c>
      <c r="V10" s="57">
        <f t="shared" si="3"/>
        <v>0.10205833333333336</v>
      </c>
      <c r="W10" s="57">
        <f t="shared" si="4"/>
        <v>1.2006999999999976E-2</v>
      </c>
      <c r="X10" s="56">
        <v>2400</v>
      </c>
      <c r="Y10" s="56">
        <v>1600</v>
      </c>
    </row>
    <row r="11" spans="1:25" x14ac:dyDescent="0.25">
      <c r="B11" s="9"/>
      <c r="C11" s="17">
        <v>1325.37</v>
      </c>
      <c r="D11" s="18">
        <v>34.921999999999997</v>
      </c>
      <c r="E11" s="18">
        <v>40.054000000000002</v>
      </c>
      <c r="F11" s="18">
        <v>40.904000000000003</v>
      </c>
      <c r="G11" s="18">
        <v>10.130000000000001</v>
      </c>
      <c r="H11" s="18">
        <f t="shared" si="0"/>
        <v>36.311250000000001</v>
      </c>
      <c r="I11" s="5"/>
      <c r="J11" s="17">
        <v>968.92</v>
      </c>
      <c r="K11" s="18">
        <v>35.973999999999997</v>
      </c>
      <c r="L11" s="18">
        <v>40.326599999999999</v>
      </c>
      <c r="M11" s="18">
        <v>41.5</v>
      </c>
      <c r="N11" s="18">
        <v>9.7189999999999994</v>
      </c>
      <c r="O11" s="18">
        <f t="shared" si="1"/>
        <v>37.208824999999997</v>
      </c>
      <c r="P11" s="7"/>
      <c r="Q11" s="10"/>
      <c r="R11" s="11"/>
      <c r="S11" s="11"/>
      <c r="T11" s="26"/>
      <c r="U11" s="28">
        <f t="shared" si="2"/>
        <v>-4.0572556762092926E-2</v>
      </c>
      <c r="V11" s="57">
        <f t="shared" si="3"/>
        <v>0.11642000000000008</v>
      </c>
      <c r="W11" s="57">
        <f t="shared" si="4"/>
        <v>3.1080000000000042E-2</v>
      </c>
      <c r="X11" s="56">
        <v>1500</v>
      </c>
      <c r="Y11" s="56">
        <v>1000</v>
      </c>
    </row>
    <row r="12" spans="1:25" ht="16.5" thickBot="1" x14ac:dyDescent="0.3">
      <c r="B12" s="12"/>
      <c r="C12" s="19">
        <v>782.82</v>
      </c>
      <c r="D12" s="20">
        <v>32.719000000000001</v>
      </c>
      <c r="E12" s="20">
        <v>39.216000000000001</v>
      </c>
      <c r="F12" s="20">
        <v>40.197000000000003</v>
      </c>
      <c r="G12" s="20">
        <v>10.9</v>
      </c>
      <c r="H12" s="20">
        <f t="shared" si="0"/>
        <v>34.465875000000004</v>
      </c>
      <c r="I12" s="5"/>
      <c r="J12" s="19">
        <v>556.524</v>
      </c>
      <c r="K12" s="20">
        <v>34.091999999999999</v>
      </c>
      <c r="L12" s="20">
        <v>39.536999999999999</v>
      </c>
      <c r="M12" s="20">
        <v>40.772599999999997</v>
      </c>
      <c r="N12" s="20">
        <v>11.6874</v>
      </c>
      <c r="O12" s="20">
        <f t="shared" si="1"/>
        <v>35.607700000000001</v>
      </c>
      <c r="P12" s="7"/>
      <c r="Q12" s="13"/>
      <c r="R12" s="14"/>
      <c r="S12" s="14"/>
      <c r="T12" s="27"/>
      <c r="U12" s="28">
        <f t="shared" si="2"/>
        <v>7.2238532110091735E-2</v>
      </c>
      <c r="V12" s="57">
        <f t="shared" si="3"/>
        <v>0.13019999999999995</v>
      </c>
      <c r="W12" s="57">
        <f t="shared" si="4"/>
        <v>7.2459999999999997E-2</v>
      </c>
      <c r="X12" s="56">
        <v>900</v>
      </c>
      <c r="Y12" s="56">
        <v>600</v>
      </c>
    </row>
    <row r="13" spans="1:25" x14ac:dyDescent="0.25">
      <c r="B13" s="6" t="s">
        <v>45</v>
      </c>
      <c r="C13" s="15">
        <v>3532.9</v>
      </c>
      <c r="D13" s="16">
        <v>35.198999999999998</v>
      </c>
      <c r="E13" s="16">
        <v>38.506999999999998</v>
      </c>
      <c r="F13" s="16">
        <v>39.712000000000003</v>
      </c>
      <c r="G13" s="16">
        <v>9.32</v>
      </c>
      <c r="H13" s="16">
        <f t="shared" si="0"/>
        <v>36.176625000000001</v>
      </c>
      <c r="I13" s="5"/>
      <c r="J13" s="15">
        <v>2440.9607999999998</v>
      </c>
      <c r="K13" s="16">
        <v>35.613900000000001</v>
      </c>
      <c r="L13" s="16">
        <v>39.7104</v>
      </c>
      <c r="M13" s="16">
        <v>40.9253</v>
      </c>
      <c r="N13" s="16">
        <v>6.6052</v>
      </c>
      <c r="O13" s="16">
        <f t="shared" si="1"/>
        <v>36.789887499999999</v>
      </c>
      <c r="P13" s="7"/>
      <c r="Q13" s="8">
        <f>bdrate(C13:C16,D13:D16,J13:J16,K13:K16)</f>
        <v>-0.43569195409759609</v>
      </c>
      <c r="R13" s="8">
        <f>bdrate(C13:C16,E13:E16,J13:J16,L13:L16)</f>
        <v>-0.59272562600868484</v>
      </c>
      <c r="S13" s="8">
        <f>bdrate(C13:C16,F13:F16,J13:J16,M13:M16)</f>
        <v>-0.60214152202699478</v>
      </c>
      <c r="T13" s="25">
        <f>bdrate(C13:C16,H13:H16,J13:J16,O13:O16)</f>
        <v>-0.46269308333093817</v>
      </c>
      <c r="U13" s="28">
        <f t="shared" si="2"/>
        <v>-0.29128755364806869</v>
      </c>
      <c r="V13" s="57">
        <f t="shared" si="3"/>
        <v>1.8638888888888865E-2</v>
      </c>
      <c r="W13" s="57">
        <f t="shared" si="4"/>
        <v>1.7066999999999933E-2</v>
      </c>
      <c r="X13" s="56">
        <v>3600</v>
      </c>
      <c r="Y13" s="56">
        <v>2400</v>
      </c>
    </row>
    <row r="14" spans="1:25" x14ac:dyDescent="0.25">
      <c r="B14" s="9"/>
      <c r="C14" s="17">
        <v>2335.65</v>
      </c>
      <c r="D14" s="18">
        <v>33.817</v>
      </c>
      <c r="E14" s="18">
        <v>37.963999999999999</v>
      </c>
      <c r="F14" s="18">
        <v>39.304000000000002</v>
      </c>
      <c r="G14" s="18">
        <v>10.23</v>
      </c>
      <c r="H14" s="18">
        <f t="shared" si="0"/>
        <v>35.021249999999995</v>
      </c>
      <c r="I14" s="5"/>
      <c r="J14" s="17">
        <v>1627.7424000000001</v>
      </c>
      <c r="K14" s="18">
        <v>34.365099999999998</v>
      </c>
      <c r="L14" s="18">
        <v>38.999099999999999</v>
      </c>
      <c r="M14" s="18">
        <v>40.240099999999998</v>
      </c>
      <c r="N14" s="18">
        <v>7.7297000000000002</v>
      </c>
      <c r="O14" s="18">
        <f t="shared" si="1"/>
        <v>35.678725</v>
      </c>
      <c r="P14" s="7"/>
      <c r="Q14" s="10"/>
      <c r="R14" s="11"/>
      <c r="S14" s="11"/>
      <c r="T14" s="26"/>
      <c r="U14" s="28">
        <f t="shared" si="2"/>
        <v>-0.24440860215053764</v>
      </c>
      <c r="V14" s="57">
        <f t="shared" si="3"/>
        <v>2.6812499999999961E-2</v>
      </c>
      <c r="W14" s="57">
        <f t="shared" si="4"/>
        <v>1.7339000000000056E-2</v>
      </c>
      <c r="X14" s="56">
        <v>2400</v>
      </c>
      <c r="Y14" s="56">
        <v>1600</v>
      </c>
    </row>
    <row r="15" spans="1:25" x14ac:dyDescent="0.25">
      <c r="B15" s="9"/>
      <c r="C15" s="17">
        <v>1455.48</v>
      </c>
      <c r="D15" s="18">
        <v>32.097000000000001</v>
      </c>
      <c r="E15" s="18">
        <v>37.311999999999998</v>
      </c>
      <c r="F15" s="18">
        <v>38.746000000000002</v>
      </c>
      <c r="G15" s="18">
        <v>10.78</v>
      </c>
      <c r="H15" s="18">
        <f t="shared" si="0"/>
        <v>33.58</v>
      </c>
      <c r="I15" s="5"/>
      <c r="J15" s="17">
        <v>1024.6768</v>
      </c>
      <c r="K15" s="18">
        <v>32.923299999999998</v>
      </c>
      <c r="L15" s="18">
        <v>38.117400000000004</v>
      </c>
      <c r="M15" s="18">
        <v>39.445799999999998</v>
      </c>
      <c r="N15" s="18">
        <v>9.3178999999999998</v>
      </c>
      <c r="O15" s="18">
        <f t="shared" si="1"/>
        <v>34.387875000000001</v>
      </c>
      <c r="P15" s="7"/>
      <c r="Q15" s="10"/>
      <c r="R15" s="11"/>
      <c r="S15" s="11"/>
      <c r="T15" s="26"/>
      <c r="U15" s="28">
        <f t="shared" si="2"/>
        <v>-0.13563079777365489</v>
      </c>
      <c r="V15" s="57">
        <f t="shared" si="3"/>
        <v>2.9679999999999988E-2</v>
      </c>
      <c r="W15" s="57">
        <f t="shared" si="4"/>
        <v>2.4676799999999957E-2</v>
      </c>
      <c r="X15" s="56">
        <v>1500</v>
      </c>
      <c r="Y15" s="56">
        <v>1000</v>
      </c>
    </row>
    <row r="16" spans="1:25" ht="16.5" thickBot="1" x14ac:dyDescent="0.3">
      <c r="B16" s="12"/>
      <c r="C16" s="19">
        <v>869.47</v>
      </c>
      <c r="D16" s="20">
        <v>30.303999999999998</v>
      </c>
      <c r="E16" s="20">
        <v>36.701000000000001</v>
      </c>
      <c r="F16" s="20">
        <v>38.225000000000001</v>
      </c>
      <c r="G16" s="20">
        <v>11.5</v>
      </c>
      <c r="H16" s="20">
        <f t="shared" si="0"/>
        <v>32.09375</v>
      </c>
      <c r="I16" s="5"/>
      <c r="J16" s="19">
        <v>581.25040000000001</v>
      </c>
      <c r="K16" s="20">
        <v>31.226900000000001</v>
      </c>
      <c r="L16" s="20">
        <v>37.152099999999997</v>
      </c>
      <c r="M16" s="20">
        <v>38.671399999999998</v>
      </c>
      <c r="N16" s="20">
        <v>11.585800000000001</v>
      </c>
      <c r="O16" s="20">
        <f t="shared" si="1"/>
        <v>32.898112499999996</v>
      </c>
      <c r="P16" s="7"/>
      <c r="Q16" s="13"/>
      <c r="R16" s="14"/>
      <c r="S16" s="14"/>
      <c r="T16" s="27"/>
      <c r="U16" s="28">
        <f t="shared" si="2"/>
        <v>7.4608695652174581E-3</v>
      </c>
      <c r="V16" s="57">
        <f t="shared" si="3"/>
        <v>3.3922222222222194E-2</v>
      </c>
      <c r="W16" s="57">
        <f t="shared" si="4"/>
        <v>3.124933333333331E-2</v>
      </c>
      <c r="X16" s="56">
        <v>900</v>
      </c>
      <c r="Y16" s="56">
        <v>600</v>
      </c>
    </row>
    <row r="17" spans="1:25" x14ac:dyDescent="0.25">
      <c r="B17" s="6" t="s">
        <v>46</v>
      </c>
      <c r="C17" s="15">
        <v>3630</v>
      </c>
      <c r="D17" s="16">
        <v>32.826999999999998</v>
      </c>
      <c r="E17" s="16">
        <v>37.274999999999999</v>
      </c>
      <c r="F17" s="16">
        <v>38.470999999999997</v>
      </c>
      <c r="G17" s="16">
        <v>10.59</v>
      </c>
      <c r="H17" s="16">
        <f t="shared" si="0"/>
        <v>34.088499999999996</v>
      </c>
      <c r="I17" s="5"/>
      <c r="J17" s="15">
        <v>2411.1424000000002</v>
      </c>
      <c r="K17" s="16">
        <v>33.667499999999997</v>
      </c>
      <c r="L17" s="16">
        <v>38.056800000000003</v>
      </c>
      <c r="M17" s="16">
        <v>39.915700000000001</v>
      </c>
      <c r="N17" s="16">
        <v>9.7993000000000006</v>
      </c>
      <c r="O17" s="16">
        <f t="shared" si="1"/>
        <v>34.997187500000003</v>
      </c>
      <c r="P17" s="7"/>
      <c r="Q17" s="8">
        <f>bdrate(C17:C20,D17:D20,J17:J20,K17:K20)</f>
        <v>-0.52684886428727984</v>
      </c>
      <c r="R17" s="8">
        <f>bdrate(C17:C20,E17:E20,J17:J20,L17:L20)</f>
        <v>-0.61994428930218792</v>
      </c>
      <c r="S17" s="8">
        <f>bdrate(C17:C20,F17:F20,J17:J20,M17:M20)</f>
        <v>-0.63854580294529373</v>
      </c>
      <c r="T17" s="25">
        <f>bdrate(C17:C20,H17:H20,J17:J20,O17:O20)</f>
        <v>-0.54350290314760974</v>
      </c>
      <c r="U17" s="28">
        <f t="shared" si="2"/>
        <v>-7.466477809254006E-2</v>
      </c>
      <c r="V17" s="57">
        <f t="shared" si="3"/>
        <v>8.3333333333333332E-3</v>
      </c>
      <c r="W17" s="57">
        <f t="shared" si="4"/>
        <v>4.6426666666667419E-3</v>
      </c>
      <c r="X17" s="56">
        <v>3600</v>
      </c>
      <c r="Y17" s="56">
        <v>2400</v>
      </c>
    </row>
    <row r="18" spans="1:25" x14ac:dyDescent="0.25">
      <c r="B18" s="9"/>
      <c r="C18" s="17">
        <v>2395.36</v>
      </c>
      <c r="D18" s="18">
        <v>31.271000000000001</v>
      </c>
      <c r="E18" s="18">
        <v>36.822000000000003</v>
      </c>
      <c r="F18" s="18">
        <v>37.671999999999997</v>
      </c>
      <c r="G18" s="18">
        <v>11.03</v>
      </c>
      <c r="H18" s="18">
        <f t="shared" si="0"/>
        <v>32.765000000000001</v>
      </c>
      <c r="I18" s="5"/>
      <c r="J18" s="17">
        <v>1604.9136000000001</v>
      </c>
      <c r="K18" s="18">
        <v>32.433</v>
      </c>
      <c r="L18" s="18">
        <v>37.577500000000001</v>
      </c>
      <c r="M18" s="18">
        <v>39.082099999999997</v>
      </c>
      <c r="N18" s="18">
        <v>11.605499999999999</v>
      </c>
      <c r="O18" s="18">
        <f t="shared" si="1"/>
        <v>33.907200000000003</v>
      </c>
      <c r="P18" s="7"/>
      <c r="Q18" s="10"/>
      <c r="R18" s="11"/>
      <c r="S18" s="11"/>
      <c r="T18" s="26"/>
      <c r="U18" s="28">
        <f t="shared" si="2"/>
        <v>5.2175883952855842E-2</v>
      </c>
      <c r="V18" s="57">
        <f t="shared" si="3"/>
        <v>1.9333333333332802E-3</v>
      </c>
      <c r="W18" s="57">
        <f t="shared" si="4"/>
        <v>3.0710000000000546E-3</v>
      </c>
      <c r="X18" s="56">
        <v>2400</v>
      </c>
      <c r="Y18" s="56">
        <v>1600</v>
      </c>
    </row>
    <row r="19" spans="1:25" x14ac:dyDescent="0.25">
      <c r="B19" s="9"/>
      <c r="C19" s="17">
        <v>1497.7</v>
      </c>
      <c r="D19" s="18">
        <v>29.405000000000001</v>
      </c>
      <c r="E19" s="18">
        <v>36.168999999999997</v>
      </c>
      <c r="F19" s="18">
        <v>36.712000000000003</v>
      </c>
      <c r="G19" s="18">
        <v>11.55</v>
      </c>
      <c r="H19" s="18">
        <f t="shared" si="0"/>
        <v>31.163874999999997</v>
      </c>
      <c r="I19" s="5"/>
      <c r="J19" s="17">
        <v>1006.5648</v>
      </c>
      <c r="K19" s="18">
        <v>30.774999999999999</v>
      </c>
      <c r="L19" s="18">
        <v>36.9223</v>
      </c>
      <c r="M19" s="18">
        <v>37.969200000000001</v>
      </c>
      <c r="N19" s="18">
        <v>13.967700000000001</v>
      </c>
      <c r="O19" s="18">
        <f t="shared" si="1"/>
        <v>32.442687499999998</v>
      </c>
      <c r="P19" s="7"/>
      <c r="Q19" s="10"/>
      <c r="R19" s="11"/>
      <c r="S19" s="11"/>
      <c r="T19" s="26"/>
      <c r="U19" s="28">
        <f t="shared" si="2"/>
        <v>0.2093246753246753</v>
      </c>
      <c r="V19" s="57">
        <f t="shared" si="3"/>
        <v>1.533333333333303E-3</v>
      </c>
      <c r="W19" s="57">
        <f t="shared" si="4"/>
        <v>6.5647999999999913E-3</v>
      </c>
      <c r="X19" s="56">
        <v>1500</v>
      </c>
      <c r="Y19" s="56">
        <v>1000</v>
      </c>
    </row>
    <row r="20" spans="1:25" ht="16.5" thickBot="1" x14ac:dyDescent="0.3">
      <c r="B20" s="12"/>
      <c r="C20" s="19">
        <v>885.76</v>
      </c>
      <c r="D20" s="20">
        <v>27.234999999999999</v>
      </c>
      <c r="E20" s="20">
        <v>35.738</v>
      </c>
      <c r="F20" s="20">
        <v>35.895000000000003</v>
      </c>
      <c r="G20" s="20">
        <v>12.09</v>
      </c>
      <c r="H20" s="20">
        <f t="shared" si="0"/>
        <v>29.380375000000001</v>
      </c>
      <c r="I20" s="5"/>
      <c r="J20" s="19">
        <v>601.10239999999999</v>
      </c>
      <c r="K20" s="20">
        <v>29.105399999999999</v>
      </c>
      <c r="L20" s="20">
        <v>36.246099999999998</v>
      </c>
      <c r="M20" s="20">
        <v>36.895699999999998</v>
      </c>
      <c r="N20" s="20">
        <v>16.689499999999999</v>
      </c>
      <c r="O20" s="20">
        <f t="shared" si="1"/>
        <v>30.971774999999997</v>
      </c>
      <c r="P20" s="7"/>
      <c r="Q20" s="13"/>
      <c r="R20" s="14"/>
      <c r="S20" s="14"/>
      <c r="T20" s="27"/>
      <c r="U20" s="28">
        <f t="shared" si="2"/>
        <v>0.38043837882547554</v>
      </c>
      <c r="V20" s="57">
        <f t="shared" si="3"/>
        <v>1.5822222222222234E-2</v>
      </c>
      <c r="W20" s="57">
        <f t="shared" si="4"/>
        <v>1.8373333333333145E-3</v>
      </c>
      <c r="X20" s="56">
        <v>900</v>
      </c>
      <c r="Y20" s="56">
        <v>600</v>
      </c>
    </row>
    <row r="21" spans="1:25" x14ac:dyDescent="0.25">
      <c r="B21" s="6" t="s">
        <v>47</v>
      </c>
      <c r="C21" s="29">
        <v>3628.03</v>
      </c>
      <c r="D21" s="30">
        <v>32.780999999999999</v>
      </c>
      <c r="E21" s="30">
        <v>39.356999999999999</v>
      </c>
      <c r="F21" s="30">
        <v>38.944000000000003</v>
      </c>
      <c r="G21" s="16">
        <v>9.66</v>
      </c>
      <c r="H21" s="16">
        <f t="shared" si="0"/>
        <v>34.373374999999996</v>
      </c>
      <c r="I21" s="5"/>
      <c r="J21" s="29">
        <v>2416.748</v>
      </c>
      <c r="K21" s="30">
        <v>33.669899999999998</v>
      </c>
      <c r="L21" s="30">
        <v>40.044600000000003</v>
      </c>
      <c r="M21" s="30">
        <v>39.617899999999999</v>
      </c>
      <c r="N21" s="16">
        <v>7.9686000000000003</v>
      </c>
      <c r="O21" s="16">
        <f t="shared" si="1"/>
        <v>35.210237499999998</v>
      </c>
      <c r="P21" s="7"/>
      <c r="Q21" s="8">
        <f>bdrate(C21:C24,D21:D24,J21:J24,K21:K24)</f>
        <v>-0.55226043569376726</v>
      </c>
      <c r="R21" s="8">
        <f>bdrate(C21:C24,E21:E24,J21:J24,L21:L24)</f>
        <v>-0.49356366062301438</v>
      </c>
      <c r="S21" s="8">
        <f>bdrate(C21:C24,F21:F24,J21:J24,M21:M24)</f>
        <v>-0.42376687995906048</v>
      </c>
      <c r="T21" s="25">
        <f>bdrate(C21:C24,H21:H24,J21:J24,O21:O24)</f>
        <v>-0.54351459708223715</v>
      </c>
      <c r="U21" s="28">
        <f t="shared" si="2"/>
        <v>-0.17509316770186334</v>
      </c>
      <c r="V21" s="57">
        <f t="shared" si="3"/>
        <v>7.7861111111111663E-3</v>
      </c>
      <c r="W21" s="57">
        <f t="shared" si="4"/>
        <v>6.9783333333333529E-3</v>
      </c>
      <c r="X21" s="56">
        <v>3600</v>
      </c>
      <c r="Y21" s="56">
        <v>2400</v>
      </c>
    </row>
    <row r="22" spans="1:25" x14ac:dyDescent="0.25">
      <c r="B22" s="9"/>
      <c r="C22" s="31">
        <v>2390.11</v>
      </c>
      <c r="D22" s="32">
        <v>30.84</v>
      </c>
      <c r="E22" s="32">
        <v>38.497999999999998</v>
      </c>
      <c r="F22" s="32">
        <v>38.046999999999997</v>
      </c>
      <c r="G22" s="18">
        <v>10.17</v>
      </c>
      <c r="H22" s="18">
        <f t="shared" si="0"/>
        <v>32.698124999999997</v>
      </c>
      <c r="I22" s="5"/>
      <c r="J22" s="31">
        <v>1610.1472000000001</v>
      </c>
      <c r="K22" s="32">
        <v>32.257599999999996</v>
      </c>
      <c r="L22" s="32">
        <v>39.247199999999999</v>
      </c>
      <c r="M22" s="32">
        <v>38.624600000000001</v>
      </c>
      <c r="N22" s="18">
        <v>9.3551000000000002</v>
      </c>
      <c r="O22" s="18">
        <f t="shared" si="1"/>
        <v>33.927174999999998</v>
      </c>
      <c r="P22" s="7"/>
      <c r="Q22" s="10"/>
      <c r="R22" s="11"/>
      <c r="S22" s="11"/>
      <c r="T22" s="26"/>
      <c r="U22" s="28">
        <f t="shared" si="2"/>
        <v>-8.012782694198621E-2</v>
      </c>
      <c r="V22" s="57">
        <f t="shared" si="3"/>
        <v>4.1208333333332802E-3</v>
      </c>
      <c r="W22" s="57">
        <f t="shared" si="4"/>
        <v>6.3420000000000698E-3</v>
      </c>
      <c r="X22" s="56">
        <v>2400</v>
      </c>
      <c r="Y22" s="56">
        <v>1600</v>
      </c>
    </row>
    <row r="23" spans="1:25" x14ac:dyDescent="0.25">
      <c r="B23" s="9"/>
      <c r="C23" s="31">
        <v>1479.91</v>
      </c>
      <c r="D23" s="32">
        <v>28.134</v>
      </c>
      <c r="E23" s="32">
        <v>37.512999999999998</v>
      </c>
      <c r="F23" s="32">
        <v>36.979999999999997</v>
      </c>
      <c r="G23" s="18">
        <v>10.76</v>
      </c>
      <c r="H23" s="18">
        <f t="shared" si="0"/>
        <v>30.412125</v>
      </c>
      <c r="I23" s="5"/>
      <c r="J23" s="31">
        <v>1001.5536</v>
      </c>
      <c r="K23" s="32">
        <v>30.5016</v>
      </c>
      <c r="L23" s="32">
        <v>38.185699999999997</v>
      </c>
      <c r="M23" s="32">
        <v>37.331099999999999</v>
      </c>
      <c r="N23" s="18">
        <v>11.2745</v>
      </c>
      <c r="O23" s="18">
        <f t="shared" si="1"/>
        <v>32.315800000000003</v>
      </c>
      <c r="P23" s="7"/>
      <c r="Q23" s="10"/>
      <c r="R23" s="11"/>
      <c r="S23" s="11"/>
      <c r="T23" s="26"/>
      <c r="U23" s="28">
        <f t="shared" si="2"/>
        <v>4.7815985130111524E-2</v>
      </c>
      <c r="V23" s="57">
        <f t="shared" si="3"/>
        <v>1.3393333333333278E-2</v>
      </c>
      <c r="W23" s="57">
        <f t="shared" si="4"/>
        <v>1.5535999999999604E-3</v>
      </c>
      <c r="X23" s="56">
        <v>1500</v>
      </c>
      <c r="Y23" s="56">
        <v>1000</v>
      </c>
    </row>
    <row r="24" spans="1:25" ht="16.5" thickBot="1" x14ac:dyDescent="0.3">
      <c r="B24" s="12"/>
      <c r="C24" s="33">
        <v>856.26</v>
      </c>
      <c r="D24" s="34">
        <v>24.34</v>
      </c>
      <c r="E24" s="34">
        <v>35.74</v>
      </c>
      <c r="F24" s="34">
        <v>35.058999999999997</v>
      </c>
      <c r="G24" s="20">
        <v>11.23</v>
      </c>
      <c r="H24" s="20">
        <f t="shared" si="0"/>
        <v>27.104875</v>
      </c>
      <c r="I24" s="5"/>
      <c r="J24" s="33">
        <v>593.6</v>
      </c>
      <c r="K24" s="34">
        <v>28.5901</v>
      </c>
      <c r="L24" s="34">
        <v>36.565300000000001</v>
      </c>
      <c r="M24" s="34">
        <v>35.563299999999998</v>
      </c>
      <c r="N24" s="20">
        <v>13.742699999999999</v>
      </c>
      <c r="O24" s="20">
        <f t="shared" si="1"/>
        <v>30.458649999999999</v>
      </c>
      <c r="P24" s="7"/>
      <c r="Q24" s="13"/>
      <c r="R24" s="14"/>
      <c r="S24" s="14"/>
      <c r="T24" s="27"/>
      <c r="U24" s="28">
        <f t="shared" si="2"/>
        <v>0.22374888691006223</v>
      </c>
      <c r="V24" s="57">
        <f t="shared" si="3"/>
        <v>4.8600000000000011E-2</v>
      </c>
      <c r="W24" s="57">
        <f t="shared" si="4"/>
        <v>1.0666666666666628E-2</v>
      </c>
      <c r="X24" s="56">
        <v>900</v>
      </c>
      <c r="Y24" s="56">
        <v>600</v>
      </c>
    </row>
    <row r="25" spans="1:25" x14ac:dyDescent="0.25">
      <c r="B25" s="6" t="s">
        <v>48</v>
      </c>
      <c r="C25" s="15">
        <v>3549.42</v>
      </c>
      <c r="D25" s="16">
        <v>32.027999999999999</v>
      </c>
      <c r="E25" s="16">
        <v>38.468000000000004</v>
      </c>
      <c r="F25" s="16">
        <v>41.011000000000003</v>
      </c>
      <c r="G25" s="16">
        <v>10.99</v>
      </c>
      <c r="H25" s="16">
        <f t="shared" si="0"/>
        <v>33.955875000000006</v>
      </c>
      <c r="I25" s="5"/>
      <c r="J25" s="15">
        <v>2420.8247999999999</v>
      </c>
      <c r="K25" s="16">
        <v>33.302799999999998</v>
      </c>
      <c r="L25" s="16">
        <v>39.715699999999998</v>
      </c>
      <c r="M25" s="16">
        <v>42.215200000000003</v>
      </c>
      <c r="N25" s="16">
        <v>10.463900000000001</v>
      </c>
      <c r="O25" s="16">
        <f t="shared" si="1"/>
        <v>35.218462500000001</v>
      </c>
      <c r="P25" s="7"/>
      <c r="Q25" s="8">
        <f>bdrate(C25:C28,D25:D28,J25:J28,K25:K28)</f>
        <v>-0.6529080132025733</v>
      </c>
      <c r="R25" s="8">
        <f>bdrate(C25:C28,E25:E28,J25:J28,L25:L28)</f>
        <v>-0.69684733719533865</v>
      </c>
      <c r="S25" s="8">
        <f>bdrate(C25:C28,F25:F28,J25:J28,M25:M28)</f>
        <v>-0.70996536966186907</v>
      </c>
      <c r="T25" s="25">
        <f>bdrate(C25:C28,H25:H28,J25:J28,O25:O28)</f>
        <v>-0.65927716698512773</v>
      </c>
      <c r="U25" s="28">
        <f t="shared" si="2"/>
        <v>-4.7870791628753372E-2</v>
      </c>
      <c r="V25" s="57">
        <f t="shared" si="3"/>
        <v>1.4049999999999979E-2</v>
      </c>
      <c r="W25" s="57">
        <f t="shared" si="4"/>
        <v>8.6769999999999452E-3</v>
      </c>
      <c r="X25" s="56">
        <v>3600</v>
      </c>
      <c r="Y25" s="56">
        <v>2400</v>
      </c>
    </row>
    <row r="26" spans="1:25" x14ac:dyDescent="0.25">
      <c r="B26" s="9"/>
      <c r="C26" s="17">
        <v>2332.58</v>
      </c>
      <c r="D26" s="18">
        <v>30.788</v>
      </c>
      <c r="E26" s="18">
        <v>38.11</v>
      </c>
      <c r="F26" s="18">
        <v>40.601999999999997</v>
      </c>
      <c r="G26" s="18">
        <v>11.41</v>
      </c>
      <c r="H26" s="18">
        <f t="shared" si="0"/>
        <v>32.93</v>
      </c>
      <c r="I26" s="5"/>
      <c r="J26" s="17">
        <v>1619.7832000000001</v>
      </c>
      <c r="K26" s="18">
        <v>32.5807</v>
      </c>
      <c r="L26" s="18">
        <v>39.214500000000001</v>
      </c>
      <c r="M26" s="18">
        <v>41.7761</v>
      </c>
      <c r="N26" s="18">
        <v>11.789199999999999</v>
      </c>
      <c r="O26" s="18">
        <f t="shared" si="1"/>
        <v>34.559349999999995</v>
      </c>
      <c r="P26" s="7"/>
      <c r="Q26" s="10"/>
      <c r="R26" s="11"/>
      <c r="S26" s="11"/>
      <c r="T26" s="26"/>
      <c r="U26" s="28">
        <f t="shared" si="2"/>
        <v>3.3234005258545057E-2</v>
      </c>
      <c r="V26" s="57">
        <f t="shared" si="3"/>
        <v>2.8091666666666695E-2</v>
      </c>
      <c r="W26" s="57">
        <f t="shared" si="4"/>
        <v>1.2364500000000049E-2</v>
      </c>
      <c r="X26" s="56">
        <v>2400</v>
      </c>
      <c r="Y26" s="56">
        <v>1600</v>
      </c>
    </row>
    <row r="27" spans="1:25" x14ac:dyDescent="0.25">
      <c r="B27" s="9"/>
      <c r="C27" s="17">
        <v>1441.93</v>
      </c>
      <c r="D27" s="18">
        <v>29.167000000000002</v>
      </c>
      <c r="E27" s="18">
        <v>37.606999999999999</v>
      </c>
      <c r="F27" s="18">
        <v>39.906999999999996</v>
      </c>
      <c r="G27" s="18">
        <v>11.89</v>
      </c>
      <c r="H27" s="18">
        <f t="shared" si="0"/>
        <v>31.564500000000002</v>
      </c>
      <c r="I27" s="5"/>
      <c r="J27" s="17">
        <v>1026.0696</v>
      </c>
      <c r="K27" s="18">
        <v>31.459199999999999</v>
      </c>
      <c r="L27" s="18">
        <v>38.521999999999998</v>
      </c>
      <c r="M27" s="18">
        <v>41.053800000000003</v>
      </c>
      <c r="N27" s="18">
        <v>13.6159</v>
      </c>
      <c r="O27" s="18">
        <f t="shared" si="1"/>
        <v>33.541375000000002</v>
      </c>
      <c r="P27" s="7"/>
      <c r="Q27" s="10"/>
      <c r="R27" s="11"/>
      <c r="S27" s="11"/>
      <c r="T27" s="26"/>
      <c r="U27" s="28">
        <f t="shared" si="2"/>
        <v>0.14515559293523964</v>
      </c>
      <c r="V27" s="57">
        <f t="shared" si="3"/>
        <v>3.8713333333333294E-2</v>
      </c>
      <c r="W27" s="57">
        <f t="shared" si="4"/>
        <v>2.6069600000000036E-2</v>
      </c>
      <c r="X27" s="56">
        <v>1500</v>
      </c>
      <c r="Y27" s="56">
        <v>1000</v>
      </c>
    </row>
    <row r="28" spans="1:25" ht="16.5" thickBot="1" x14ac:dyDescent="0.3">
      <c r="B28" s="12"/>
      <c r="C28" s="19">
        <v>830.63</v>
      </c>
      <c r="D28" s="20">
        <v>26.943999999999999</v>
      </c>
      <c r="E28" s="20">
        <v>37.003</v>
      </c>
      <c r="F28" s="20">
        <v>39.225000000000001</v>
      </c>
      <c r="G28" s="20">
        <v>12.33</v>
      </c>
      <c r="H28" s="20">
        <f t="shared" si="0"/>
        <v>29.736499999999996</v>
      </c>
      <c r="I28" s="5"/>
      <c r="J28" s="19">
        <v>602.11919999999998</v>
      </c>
      <c r="K28" s="20">
        <v>29.9175</v>
      </c>
      <c r="L28" s="20">
        <v>37.909599999999998</v>
      </c>
      <c r="M28" s="20">
        <v>40.487400000000001</v>
      </c>
      <c r="N28" s="20">
        <v>15.7072</v>
      </c>
      <c r="O28" s="20">
        <f t="shared" si="1"/>
        <v>32.237749999999998</v>
      </c>
      <c r="P28" s="7"/>
      <c r="Q28" s="13"/>
      <c r="R28" s="14"/>
      <c r="S28" s="14"/>
      <c r="T28" s="27"/>
      <c r="U28" s="28">
        <f t="shared" si="2"/>
        <v>0.27390105433901057</v>
      </c>
      <c r="V28" s="57">
        <f t="shared" si="3"/>
        <v>7.7077777777777787E-2</v>
      </c>
      <c r="W28" s="57">
        <f t="shared" si="4"/>
        <v>3.5319999999999631E-3</v>
      </c>
      <c r="X28" s="56">
        <v>900</v>
      </c>
      <c r="Y28" s="56">
        <v>600</v>
      </c>
    </row>
    <row r="29" spans="1:25" x14ac:dyDescent="0.25">
      <c r="A29" s="6" t="s">
        <v>37</v>
      </c>
      <c r="B29" s="6" t="s">
        <v>49</v>
      </c>
      <c r="C29" s="15">
        <v>1581.9</v>
      </c>
      <c r="D29" s="16">
        <v>33.185000000000002</v>
      </c>
      <c r="E29" s="16">
        <v>36.718000000000004</v>
      </c>
      <c r="F29" s="16">
        <v>36.595999999999997</v>
      </c>
      <c r="G29" s="16">
        <v>54.07</v>
      </c>
      <c r="H29" s="16">
        <f t="shared" si="0"/>
        <v>34.053000000000004</v>
      </c>
      <c r="I29" s="5"/>
      <c r="J29" s="15">
        <v>1215.0519999999999</v>
      </c>
      <c r="K29" s="16">
        <v>34.3932</v>
      </c>
      <c r="L29" s="16">
        <v>38.5595</v>
      </c>
      <c r="M29" s="16">
        <v>38.331400000000002</v>
      </c>
      <c r="N29" s="16">
        <v>30.759799999999998</v>
      </c>
      <c r="O29" s="16">
        <f t="shared" si="1"/>
        <v>35.406262499999997</v>
      </c>
      <c r="P29" s="7"/>
      <c r="Q29" s="8">
        <f>bdrate(C29:C32,D29:D32,J29:J32,K29:K32)</f>
        <v>-0.44785913010479284</v>
      </c>
      <c r="R29" s="8">
        <f>bdrate(C29:C32,E29:E32,J29:J32,L29:L32)</f>
        <v>-0.56246185954384154</v>
      </c>
      <c r="S29" s="8">
        <f>bdrate(C29:C32,F29:F32,J29:J32,M29:M32)</f>
        <v>-0.5274039087298783</v>
      </c>
      <c r="T29" s="25">
        <f>bdrate(C29:C32,H29:H32,J29:J32,O29:O32)</f>
        <v>-0.46657393872667086</v>
      </c>
      <c r="U29" s="28">
        <f t="shared" si="2"/>
        <v>-0.43111152210098025</v>
      </c>
      <c r="V29" s="57">
        <f t="shared" si="3"/>
        <v>2.0580645161290382E-2</v>
      </c>
      <c r="W29" s="57">
        <f t="shared" si="4"/>
        <v>1.2543333333333255E-2</v>
      </c>
      <c r="X29" s="56">
        <v>1550</v>
      </c>
      <c r="Y29" s="56">
        <v>1200</v>
      </c>
    </row>
    <row r="30" spans="1:25" x14ac:dyDescent="0.25">
      <c r="A30" s="9" t="s">
        <v>38</v>
      </c>
      <c r="B30" s="9"/>
      <c r="C30" s="17">
        <v>1067.48</v>
      </c>
      <c r="D30" s="18">
        <v>31.661999999999999</v>
      </c>
      <c r="E30" s="18">
        <v>35.921999999999997</v>
      </c>
      <c r="F30" s="18">
        <v>35.637</v>
      </c>
      <c r="G30" s="18">
        <v>57.04</v>
      </c>
      <c r="H30" s="18">
        <f t="shared" si="0"/>
        <v>32.691374999999994</v>
      </c>
      <c r="I30" s="5"/>
      <c r="J30" s="17">
        <v>809.54319999999996</v>
      </c>
      <c r="K30" s="18">
        <v>32.8504</v>
      </c>
      <c r="L30" s="18">
        <v>37.420099999999998</v>
      </c>
      <c r="M30" s="18">
        <v>37.098199999999999</v>
      </c>
      <c r="N30" s="18">
        <v>35.688800000000001</v>
      </c>
      <c r="O30" s="18">
        <f t="shared" si="1"/>
        <v>33.9525875</v>
      </c>
      <c r="P30" s="7"/>
      <c r="Q30" s="10"/>
      <c r="R30" s="11"/>
      <c r="S30" s="11"/>
      <c r="T30" s="26"/>
      <c r="U30" s="28">
        <f t="shared" si="2"/>
        <v>-0.37431977559607293</v>
      </c>
      <c r="V30" s="57">
        <f t="shared" si="3"/>
        <v>1.6647619047619064E-2</v>
      </c>
      <c r="W30" s="57">
        <f t="shared" si="4"/>
        <v>1.1928999999999945E-2</v>
      </c>
      <c r="X30" s="56">
        <v>1050</v>
      </c>
      <c r="Y30" s="56">
        <v>800</v>
      </c>
    </row>
    <row r="31" spans="1:25" x14ac:dyDescent="0.25">
      <c r="B31" s="9"/>
      <c r="C31" s="17">
        <v>661.47</v>
      </c>
      <c r="D31" s="18">
        <v>29.765000000000001</v>
      </c>
      <c r="E31" s="18">
        <v>35.04</v>
      </c>
      <c r="F31" s="18">
        <v>34.621000000000002</v>
      </c>
      <c r="G31" s="18">
        <v>61.6</v>
      </c>
      <c r="H31" s="18">
        <f t="shared" si="0"/>
        <v>31.031375000000001</v>
      </c>
      <c r="I31" s="5"/>
      <c r="J31" s="17">
        <v>506.25119999999998</v>
      </c>
      <c r="K31" s="18">
        <v>31.067299999999999</v>
      </c>
      <c r="L31" s="18">
        <v>36.166800000000002</v>
      </c>
      <c r="M31" s="18">
        <v>35.733600000000003</v>
      </c>
      <c r="N31" s="18">
        <v>45.232500000000002</v>
      </c>
      <c r="O31" s="18">
        <f t="shared" si="1"/>
        <v>32.288024999999998</v>
      </c>
      <c r="P31" s="7"/>
      <c r="Q31" s="10"/>
      <c r="R31" s="11"/>
      <c r="S31" s="11"/>
      <c r="T31" s="26"/>
      <c r="U31" s="28">
        <f t="shared" si="2"/>
        <v>-0.26570616883116882</v>
      </c>
      <c r="V31" s="57">
        <f t="shared" si="3"/>
        <v>1.7646153846153888E-2</v>
      </c>
      <c r="W31" s="57">
        <f t="shared" si="4"/>
        <v>1.2502399999999966E-2</v>
      </c>
      <c r="X31" s="56">
        <v>650</v>
      </c>
      <c r="Y31" s="56">
        <v>500</v>
      </c>
    </row>
    <row r="32" spans="1:25" ht="16.5" thickBot="1" x14ac:dyDescent="0.3">
      <c r="B32" s="12"/>
      <c r="C32" s="19">
        <v>404.02</v>
      </c>
      <c r="D32" s="20">
        <v>27.521999999999998</v>
      </c>
      <c r="E32" s="20">
        <v>34.317999999999998</v>
      </c>
      <c r="F32" s="20">
        <v>33.844999999999999</v>
      </c>
      <c r="G32" s="20">
        <v>69.19</v>
      </c>
      <c r="H32" s="20">
        <f t="shared" si="0"/>
        <v>29.161874999999998</v>
      </c>
      <c r="I32" s="5"/>
      <c r="J32" s="19">
        <v>304.04079999999999</v>
      </c>
      <c r="K32" s="20">
        <v>29.081099999999999</v>
      </c>
      <c r="L32" s="20">
        <v>34.914400000000001</v>
      </c>
      <c r="M32" s="20">
        <v>34.294499999999999</v>
      </c>
      <c r="N32" s="20">
        <v>56.047499999999999</v>
      </c>
      <c r="O32" s="20">
        <f t="shared" si="1"/>
        <v>30.461937500000001</v>
      </c>
      <c r="P32" s="7"/>
      <c r="Q32" s="13"/>
      <c r="R32" s="14"/>
      <c r="S32" s="14"/>
      <c r="T32" s="27"/>
      <c r="U32" s="28">
        <f t="shared" si="2"/>
        <v>-0.18994796935973404</v>
      </c>
      <c r="V32" s="57">
        <f t="shared" si="3"/>
        <v>1.0049999999999955E-2</v>
      </c>
      <c r="W32" s="57">
        <f t="shared" si="4"/>
        <v>1.34693333333333E-2</v>
      </c>
      <c r="X32" s="56">
        <v>400</v>
      </c>
      <c r="Y32" s="56">
        <v>300</v>
      </c>
    </row>
    <row r="33" spans="1:25" x14ac:dyDescent="0.25">
      <c r="B33" s="6" t="s">
        <v>50</v>
      </c>
      <c r="C33" s="15">
        <v>1574.29</v>
      </c>
      <c r="D33" s="16">
        <v>33.619</v>
      </c>
      <c r="E33" s="16">
        <v>38.848999999999997</v>
      </c>
      <c r="F33" s="16">
        <v>39.613</v>
      </c>
      <c r="G33" s="16">
        <v>54.72</v>
      </c>
      <c r="H33" s="16">
        <f t="shared" si="0"/>
        <v>35.021999999999998</v>
      </c>
      <c r="I33" s="5"/>
      <c r="J33" s="15">
        <v>1245.9967999999999</v>
      </c>
      <c r="K33" s="16">
        <v>34.789700000000003</v>
      </c>
      <c r="L33" s="16">
        <v>40.262799999999999</v>
      </c>
      <c r="M33" s="16">
        <v>41.143099999999997</v>
      </c>
      <c r="N33" s="16">
        <v>30.1356</v>
      </c>
      <c r="O33" s="16">
        <f t="shared" si="1"/>
        <v>36.268012499999998</v>
      </c>
      <c r="P33" s="7"/>
      <c r="Q33" s="8">
        <f>bdrate(C33:C36,D33:D36,J33:J36,K33:K36)</f>
        <v>-0.45485880762321929</v>
      </c>
      <c r="R33" s="8">
        <f>bdrate(C33:C36,E33:E36,J33:J36,L33:L36)</f>
        <v>-0.53878394686956232</v>
      </c>
      <c r="S33" s="8">
        <f>bdrate(C33:C36,F33:F36,J33:J36,M33:M36)</f>
        <v>-0.50436380992152907</v>
      </c>
      <c r="T33" s="25">
        <f>bdrate(C33:C36,H33:H36,J33:J36,O33:O36)</f>
        <v>-0.46655690994889187</v>
      </c>
      <c r="U33" s="28">
        <f t="shared" si="2"/>
        <v>-0.44927631578947369</v>
      </c>
      <c r="V33" s="57">
        <f t="shared" si="3"/>
        <v>1.5670967741935462E-2</v>
      </c>
      <c r="W33" s="57">
        <f t="shared" si="4"/>
        <v>3.8330666666666575E-2</v>
      </c>
      <c r="X33" s="56">
        <v>1550</v>
      </c>
      <c r="Y33" s="56">
        <v>1200</v>
      </c>
    </row>
    <row r="34" spans="1:25" x14ac:dyDescent="0.25">
      <c r="B34" s="9"/>
      <c r="C34" s="17">
        <v>1067.71</v>
      </c>
      <c r="D34" s="18">
        <v>31.875</v>
      </c>
      <c r="E34" s="18">
        <v>38.112000000000002</v>
      </c>
      <c r="F34" s="18">
        <v>38.845999999999997</v>
      </c>
      <c r="G34" s="18">
        <v>57.83</v>
      </c>
      <c r="H34" s="18">
        <f t="shared" si="0"/>
        <v>33.525999999999996</v>
      </c>
      <c r="I34" s="5"/>
      <c r="J34" s="17">
        <v>829.59439999999995</v>
      </c>
      <c r="K34" s="18">
        <v>33.244700000000002</v>
      </c>
      <c r="L34" s="18">
        <v>39.3277</v>
      </c>
      <c r="M34" s="18">
        <v>40.066800000000001</v>
      </c>
      <c r="N34" s="18">
        <v>32.911000000000001</v>
      </c>
      <c r="O34" s="18">
        <f t="shared" si="1"/>
        <v>34.857837500000002</v>
      </c>
      <c r="P34" s="7"/>
      <c r="Q34" s="10"/>
      <c r="R34" s="11"/>
      <c r="S34" s="11"/>
      <c r="T34" s="26"/>
      <c r="U34" s="28">
        <f t="shared" si="2"/>
        <v>-0.43090091647933593</v>
      </c>
      <c r="V34" s="57">
        <f t="shared" si="3"/>
        <v>1.68666666666667E-2</v>
      </c>
      <c r="W34" s="57">
        <f t="shared" si="4"/>
        <v>3.6992999999999936E-2</v>
      </c>
      <c r="X34" s="56">
        <v>1050</v>
      </c>
      <c r="Y34" s="56">
        <v>800</v>
      </c>
    </row>
    <row r="35" spans="1:25" x14ac:dyDescent="0.25">
      <c r="B35" s="9"/>
      <c r="C35" s="17">
        <v>662</v>
      </c>
      <c r="D35" s="18">
        <v>29.692</v>
      </c>
      <c r="E35" s="18">
        <v>37.295999999999999</v>
      </c>
      <c r="F35" s="18">
        <v>37.953000000000003</v>
      </c>
      <c r="G35" s="18">
        <v>60.04</v>
      </c>
      <c r="H35" s="18">
        <f t="shared" si="0"/>
        <v>31.675124999999998</v>
      </c>
      <c r="I35" s="5"/>
      <c r="J35" s="17">
        <v>518.47040000000004</v>
      </c>
      <c r="K35" s="18">
        <v>31.360600000000002</v>
      </c>
      <c r="L35" s="18">
        <v>38.253799999999998</v>
      </c>
      <c r="M35" s="18">
        <v>38.868699999999997</v>
      </c>
      <c r="N35" s="18">
        <v>43.525599999999997</v>
      </c>
      <c r="O35" s="18">
        <f t="shared" si="1"/>
        <v>33.160762499999997</v>
      </c>
      <c r="P35" s="7"/>
      <c r="Q35" s="10"/>
      <c r="R35" s="11"/>
      <c r="S35" s="11"/>
      <c r="T35" s="26"/>
      <c r="U35" s="28">
        <f t="shared" si="2"/>
        <v>-0.27505662891405736</v>
      </c>
      <c r="V35" s="57">
        <f t="shared" si="3"/>
        <v>1.8461538461538463E-2</v>
      </c>
      <c r="W35" s="57">
        <f t="shared" si="4"/>
        <v>3.6940800000000079E-2</v>
      </c>
      <c r="X35" s="56">
        <v>650</v>
      </c>
      <c r="Y35" s="56">
        <v>500</v>
      </c>
    </row>
    <row r="36" spans="1:25" ht="16.5" thickBot="1" x14ac:dyDescent="0.3">
      <c r="B36" s="12"/>
      <c r="C36" s="19">
        <v>408.5</v>
      </c>
      <c r="D36" s="20">
        <v>27.317</v>
      </c>
      <c r="E36" s="20">
        <v>36.515999999999998</v>
      </c>
      <c r="F36" s="20">
        <v>37.119</v>
      </c>
      <c r="G36" s="20">
        <v>64.14</v>
      </c>
      <c r="H36" s="20">
        <f t="shared" si="0"/>
        <v>29.692124999999997</v>
      </c>
      <c r="I36" s="5"/>
      <c r="J36" s="19">
        <v>311.06400000000002</v>
      </c>
      <c r="K36" s="20">
        <v>29.2958</v>
      </c>
      <c r="L36" s="20">
        <v>37.182099999999998</v>
      </c>
      <c r="M36" s="20">
        <v>37.630699999999997</v>
      </c>
      <c r="N36" s="20">
        <v>55.710299999999997</v>
      </c>
      <c r="O36" s="20">
        <f t="shared" si="1"/>
        <v>31.323449999999998</v>
      </c>
      <c r="P36" s="7"/>
      <c r="Q36" s="13"/>
      <c r="R36" s="14"/>
      <c r="S36" s="14"/>
      <c r="T36" s="27"/>
      <c r="U36" s="28">
        <f t="shared" si="2"/>
        <v>-0.13142656688493926</v>
      </c>
      <c r="V36" s="57">
        <f t="shared" si="3"/>
        <v>2.1250000000000002E-2</v>
      </c>
      <c r="W36" s="57">
        <f t="shared" si="4"/>
        <v>3.6880000000000072E-2</v>
      </c>
      <c r="X36" s="56">
        <v>400</v>
      </c>
      <c r="Y36" s="56">
        <v>300</v>
      </c>
    </row>
    <row r="37" spans="1:25" x14ac:dyDescent="0.25">
      <c r="B37" s="6" t="s">
        <v>51</v>
      </c>
      <c r="C37" s="15">
        <v>1472.22</v>
      </c>
      <c r="D37" s="16">
        <v>28.132999999999999</v>
      </c>
      <c r="E37" s="16">
        <v>34.817</v>
      </c>
      <c r="F37" s="16">
        <v>35.503999999999998</v>
      </c>
      <c r="G37" s="16">
        <v>55.85</v>
      </c>
      <c r="H37" s="16">
        <f t="shared" si="0"/>
        <v>29.889875</v>
      </c>
      <c r="I37" s="5"/>
      <c r="J37" s="15">
        <v>1227.0912000000001</v>
      </c>
      <c r="K37" s="16">
        <v>29.864599999999999</v>
      </c>
      <c r="L37" s="16">
        <v>36.450600000000001</v>
      </c>
      <c r="M37" s="16">
        <v>37.2453</v>
      </c>
      <c r="N37" s="16">
        <v>26.0227</v>
      </c>
      <c r="O37" s="16">
        <f t="shared" si="1"/>
        <v>31.610437500000003</v>
      </c>
      <c r="P37" s="7"/>
      <c r="Q37" s="8">
        <f>bdrate(C37:C40,D37:D40,J37:J40,K37:K40)</f>
        <v>-0.52942567881834168</v>
      </c>
      <c r="R37" s="8">
        <f>bdrate(C37:C40,E37:E40,J37:J40,L37:L40)</f>
        <v>-0.63595265658229461</v>
      </c>
      <c r="S37" s="8">
        <f>bdrate(C37:C40,F37:F40,J37:J40,M37:M40)</f>
        <v>-0.63196469135867306</v>
      </c>
      <c r="T37" s="25">
        <f>bdrate(C37:C40,H37:H40,J37:J40,O37:O40)</f>
        <v>-0.5458030375131504</v>
      </c>
      <c r="U37" s="28">
        <f t="shared" si="2"/>
        <v>-0.53406087735004482</v>
      </c>
      <c r="V37" s="57">
        <f t="shared" si="3"/>
        <v>5.0180645161290303E-2</v>
      </c>
      <c r="W37" s="57">
        <f t="shared" si="4"/>
        <v>2.2576000000000061E-2</v>
      </c>
      <c r="X37" s="56">
        <v>1550</v>
      </c>
      <c r="Y37" s="56">
        <v>1200</v>
      </c>
    </row>
    <row r="38" spans="1:25" x14ac:dyDescent="0.25">
      <c r="B38" s="9"/>
      <c r="C38" s="17">
        <v>998.08</v>
      </c>
      <c r="D38" s="18">
        <v>26.803999999999998</v>
      </c>
      <c r="E38" s="18">
        <v>34.36</v>
      </c>
      <c r="F38" s="18">
        <v>35.063000000000002</v>
      </c>
      <c r="G38" s="18">
        <v>59.31</v>
      </c>
      <c r="H38" s="18">
        <f t="shared" si="0"/>
        <v>28.780874999999995</v>
      </c>
      <c r="I38" s="5"/>
      <c r="J38" s="17">
        <v>817.25599999999997</v>
      </c>
      <c r="K38" s="18">
        <v>28.526199999999999</v>
      </c>
      <c r="L38" s="18">
        <v>35.677999999999997</v>
      </c>
      <c r="M38" s="18">
        <v>36.435299999999998</v>
      </c>
      <c r="N38" s="18">
        <v>30.778700000000001</v>
      </c>
      <c r="O38" s="18">
        <f t="shared" si="1"/>
        <v>30.408812499999996</v>
      </c>
      <c r="P38" s="7"/>
      <c r="Q38" s="10"/>
      <c r="R38" s="11"/>
      <c r="S38" s="11"/>
      <c r="T38" s="26"/>
      <c r="U38" s="28">
        <f t="shared" si="2"/>
        <v>-0.48105378519642555</v>
      </c>
      <c r="V38" s="57">
        <f t="shared" si="3"/>
        <v>4.9447619047619011E-2</v>
      </c>
      <c r="W38" s="57">
        <f t="shared" si="4"/>
        <v>2.1569999999999964E-2</v>
      </c>
      <c r="X38" s="56">
        <v>1050</v>
      </c>
      <c r="Y38" s="56">
        <v>800</v>
      </c>
    </row>
    <row r="39" spans="1:25" x14ac:dyDescent="0.25">
      <c r="B39" s="9"/>
      <c r="C39" s="17">
        <v>616.04</v>
      </c>
      <c r="D39" s="18">
        <v>25.314</v>
      </c>
      <c r="E39" s="18">
        <v>33.924999999999997</v>
      </c>
      <c r="F39" s="18">
        <v>34.648000000000003</v>
      </c>
      <c r="G39" s="18">
        <v>63.29</v>
      </c>
      <c r="H39" s="18">
        <f t="shared" si="0"/>
        <v>27.557125000000003</v>
      </c>
      <c r="I39" s="5"/>
      <c r="J39" s="17">
        <v>516.16800000000001</v>
      </c>
      <c r="K39" s="18">
        <v>27.099900000000002</v>
      </c>
      <c r="L39" s="18">
        <v>34.890700000000002</v>
      </c>
      <c r="M39" s="18">
        <v>35.606499999999997</v>
      </c>
      <c r="N39" s="18">
        <v>39.513199999999998</v>
      </c>
      <c r="O39" s="18">
        <f t="shared" si="1"/>
        <v>29.137075000000003</v>
      </c>
      <c r="P39" s="7"/>
      <c r="Q39" s="10"/>
      <c r="R39" s="11"/>
      <c r="S39" s="11"/>
      <c r="T39" s="26"/>
      <c r="U39" s="28">
        <f t="shared" si="2"/>
        <v>-0.3756802022436404</v>
      </c>
      <c r="V39" s="57">
        <f t="shared" si="3"/>
        <v>5.22461538461539E-2</v>
      </c>
      <c r="W39" s="57">
        <f t="shared" si="4"/>
        <v>3.2336000000000011E-2</v>
      </c>
      <c r="X39" s="56">
        <v>650</v>
      </c>
      <c r="Y39" s="56">
        <v>500</v>
      </c>
    </row>
    <row r="40" spans="1:25" ht="16.5" thickBot="1" x14ac:dyDescent="0.3">
      <c r="B40" s="12"/>
      <c r="C40" s="19">
        <v>380.96</v>
      </c>
      <c r="D40" s="20">
        <v>23.939</v>
      </c>
      <c r="E40" s="20">
        <v>33.581000000000003</v>
      </c>
      <c r="F40" s="20">
        <v>34.265999999999998</v>
      </c>
      <c r="G40" s="20">
        <v>67.06</v>
      </c>
      <c r="H40" s="20">
        <f t="shared" si="0"/>
        <v>26.435125000000003</v>
      </c>
      <c r="I40" s="5"/>
      <c r="J40" s="19">
        <v>310.024</v>
      </c>
      <c r="K40" s="20">
        <v>25.610600000000002</v>
      </c>
      <c r="L40" s="20">
        <v>34.0901</v>
      </c>
      <c r="M40" s="20">
        <v>34.770400000000002</v>
      </c>
      <c r="N40" s="20">
        <v>48.459000000000003</v>
      </c>
      <c r="O40" s="20">
        <f t="shared" si="1"/>
        <v>27.815512500000001</v>
      </c>
      <c r="P40" s="7"/>
      <c r="Q40" s="13"/>
      <c r="R40" s="14"/>
      <c r="S40" s="14"/>
      <c r="T40" s="27"/>
      <c r="U40" s="28">
        <f t="shared" si="2"/>
        <v>-0.2773784670444378</v>
      </c>
      <c r="V40" s="57">
        <f t="shared" si="3"/>
        <v>4.7600000000000052E-2</v>
      </c>
      <c r="W40" s="57">
        <f t="shared" si="4"/>
        <v>3.3413333333333337E-2</v>
      </c>
      <c r="X40" s="56">
        <v>400</v>
      </c>
      <c r="Y40" s="56">
        <v>300</v>
      </c>
    </row>
    <row r="41" spans="1:25" x14ac:dyDescent="0.25">
      <c r="B41" s="6" t="s">
        <v>52</v>
      </c>
      <c r="C41" s="15">
        <v>1485.42</v>
      </c>
      <c r="D41" s="16">
        <v>31.794</v>
      </c>
      <c r="E41" s="16">
        <v>36.061999999999998</v>
      </c>
      <c r="F41" s="16">
        <v>37.667999999999999</v>
      </c>
      <c r="G41" s="16">
        <v>42.47</v>
      </c>
      <c r="H41" s="16">
        <f t="shared" si="0"/>
        <v>33.061750000000004</v>
      </c>
      <c r="I41" s="5"/>
      <c r="J41" s="15">
        <v>1211.1135999999999</v>
      </c>
      <c r="K41" s="16">
        <v>31.896000000000001</v>
      </c>
      <c r="L41" s="16">
        <v>36.606499999999997</v>
      </c>
      <c r="M41" s="16">
        <v>38.1843</v>
      </c>
      <c r="N41" s="16">
        <v>19.267800000000001</v>
      </c>
      <c r="O41" s="16">
        <f t="shared" si="1"/>
        <v>33.270850000000003</v>
      </c>
      <c r="P41" s="7"/>
      <c r="Q41" s="8">
        <f>bdrate(C41:C44,D41:D44,J41:J44,K41:K44)</f>
        <v>-0.2805158555623869</v>
      </c>
      <c r="R41" s="8">
        <f>bdrate(C41:C44,E41:E44,J41:J44,L41:L44)</f>
        <v>-0.31884344703541556</v>
      </c>
      <c r="S41" s="8">
        <f>bdrate(C41:C44,F41:F44,J41:J44,M41:M44)</f>
        <v>-0.3072577542853786</v>
      </c>
      <c r="T41" s="25">
        <f>bdrate(C41:C44,H41:H44,J41:J44,O41:O44)</f>
        <v>-0.28794803497677401</v>
      </c>
      <c r="U41" s="28">
        <f t="shared" si="2"/>
        <v>-0.54631975512126207</v>
      </c>
      <c r="V41" s="57">
        <f t="shared" si="3"/>
        <v>4.1664516129032214E-2</v>
      </c>
      <c r="W41" s="57">
        <f t="shared" si="4"/>
        <v>9.2613333333332552E-3</v>
      </c>
      <c r="X41" s="56">
        <v>1550</v>
      </c>
      <c r="Y41" s="56">
        <v>1200</v>
      </c>
    </row>
    <row r="42" spans="1:25" x14ac:dyDescent="0.25">
      <c r="B42" s="9"/>
      <c r="C42" s="17">
        <v>1018.88</v>
      </c>
      <c r="D42" s="18">
        <v>30.215</v>
      </c>
      <c r="E42" s="18">
        <v>35.393000000000001</v>
      </c>
      <c r="F42" s="18">
        <v>36.972999999999999</v>
      </c>
      <c r="G42" s="18">
        <v>47.6</v>
      </c>
      <c r="H42" s="18">
        <f t="shared" si="0"/>
        <v>31.707000000000001</v>
      </c>
      <c r="I42" s="5"/>
      <c r="J42" s="17">
        <v>808.97680000000003</v>
      </c>
      <c r="K42" s="18">
        <v>30.4499</v>
      </c>
      <c r="L42" s="18">
        <v>35.772100000000002</v>
      </c>
      <c r="M42" s="18">
        <v>37.329000000000001</v>
      </c>
      <c r="N42" s="18">
        <v>22.8415</v>
      </c>
      <c r="O42" s="18">
        <f t="shared" si="1"/>
        <v>31.9750625</v>
      </c>
      <c r="P42" s="7"/>
      <c r="Q42" s="10"/>
      <c r="R42" s="11"/>
      <c r="S42" s="11"/>
      <c r="T42" s="26"/>
      <c r="U42" s="28">
        <f t="shared" si="2"/>
        <v>-0.52013655462184871</v>
      </c>
      <c r="V42" s="57">
        <f t="shared" si="3"/>
        <v>2.9638095238095241E-2</v>
      </c>
      <c r="W42" s="57">
        <f t="shared" si="4"/>
        <v>1.1221000000000031E-2</v>
      </c>
      <c r="X42" s="56">
        <v>1050</v>
      </c>
      <c r="Y42" s="56">
        <v>800</v>
      </c>
    </row>
    <row r="43" spans="1:25" x14ac:dyDescent="0.25">
      <c r="B43" s="9"/>
      <c r="C43" s="17">
        <v>642.83000000000004</v>
      </c>
      <c r="D43" s="18">
        <v>28.395</v>
      </c>
      <c r="E43" s="18">
        <v>34.668999999999997</v>
      </c>
      <c r="F43" s="18">
        <v>36.185000000000002</v>
      </c>
      <c r="G43" s="18">
        <v>51.4</v>
      </c>
      <c r="H43" s="18">
        <f t="shared" si="0"/>
        <v>30.152999999999999</v>
      </c>
      <c r="I43" s="5"/>
      <c r="J43" s="17">
        <v>504.98320000000001</v>
      </c>
      <c r="K43" s="18">
        <v>28.828600000000002</v>
      </c>
      <c r="L43" s="18">
        <v>34.881900000000002</v>
      </c>
      <c r="M43" s="18">
        <v>36.389800000000001</v>
      </c>
      <c r="N43" s="18">
        <v>29.075399999999998</v>
      </c>
      <c r="O43" s="18">
        <f t="shared" si="1"/>
        <v>30.530412500000004</v>
      </c>
      <c r="P43" s="7"/>
      <c r="Q43" s="10"/>
      <c r="R43" s="11"/>
      <c r="S43" s="11"/>
      <c r="T43" s="26"/>
      <c r="U43" s="28">
        <f t="shared" si="2"/>
        <v>-0.43433073929961091</v>
      </c>
      <c r="V43" s="57">
        <f t="shared" si="3"/>
        <v>1.1030769230769167E-2</v>
      </c>
      <c r="W43" s="57">
        <f t="shared" si="4"/>
        <v>9.9664000000000211E-3</v>
      </c>
      <c r="X43" s="56">
        <v>650</v>
      </c>
      <c r="Y43" s="56">
        <v>500</v>
      </c>
    </row>
    <row r="44" spans="1:25" ht="16.5" thickBot="1" x14ac:dyDescent="0.3">
      <c r="B44" s="12"/>
      <c r="C44" s="19">
        <v>401.57</v>
      </c>
      <c r="D44" s="20">
        <v>26.652000000000001</v>
      </c>
      <c r="E44" s="20">
        <v>33.942</v>
      </c>
      <c r="F44" s="20">
        <v>35.362000000000002</v>
      </c>
      <c r="G44" s="20">
        <v>55.55</v>
      </c>
      <c r="H44" s="20">
        <f t="shared" si="0"/>
        <v>28.652000000000001</v>
      </c>
      <c r="I44" s="5"/>
      <c r="J44" s="19">
        <v>302.52879999999999</v>
      </c>
      <c r="K44" s="20">
        <v>27.237200000000001</v>
      </c>
      <c r="L44" s="20">
        <v>33.927999999999997</v>
      </c>
      <c r="M44" s="20">
        <v>35.338099999999997</v>
      </c>
      <c r="N44" s="20">
        <v>37.603400000000001</v>
      </c>
      <c r="O44" s="20">
        <f t="shared" si="1"/>
        <v>29.0861625</v>
      </c>
      <c r="P44" s="7"/>
      <c r="Q44" s="13"/>
      <c r="R44" s="14"/>
      <c r="S44" s="14"/>
      <c r="T44" s="27"/>
      <c r="U44" s="28">
        <f t="shared" si="2"/>
        <v>-0.32307110711071102</v>
      </c>
      <c r="V44" s="57">
        <f t="shared" si="3"/>
        <v>3.9249999999999832E-3</v>
      </c>
      <c r="W44" s="57">
        <f t="shared" si="4"/>
        <v>8.4293333333332991E-3</v>
      </c>
      <c r="X44" s="56">
        <v>400</v>
      </c>
      <c r="Y44" s="56">
        <v>300</v>
      </c>
    </row>
    <row r="45" spans="1:25" x14ac:dyDescent="0.25">
      <c r="A45" s="6" t="s">
        <v>39</v>
      </c>
      <c r="B45" s="6" t="s">
        <v>53</v>
      </c>
      <c r="C45" s="15">
        <v>836.11</v>
      </c>
      <c r="D45" s="16">
        <v>33.872999999999998</v>
      </c>
      <c r="E45" s="16">
        <v>38.365000000000002</v>
      </c>
      <c r="F45" s="16">
        <v>37.24</v>
      </c>
      <c r="G45" s="16">
        <v>121.03</v>
      </c>
      <c r="H45" s="16">
        <f t="shared" si="0"/>
        <v>34.855375000000002</v>
      </c>
      <c r="I45" s="5"/>
      <c r="J45" s="15">
        <v>609.75440000000003</v>
      </c>
      <c r="K45" s="16">
        <v>33.698599999999999</v>
      </c>
      <c r="L45" s="16">
        <v>39.193600000000004</v>
      </c>
      <c r="M45" s="16">
        <v>37.653799999999997</v>
      </c>
      <c r="N45" s="16">
        <v>87.001900000000006</v>
      </c>
      <c r="O45" s="16">
        <f t="shared" si="1"/>
        <v>34.879874999999998</v>
      </c>
      <c r="P45" s="7"/>
      <c r="Q45" s="8">
        <f>bdrate(C45:C48,D45:D48,J45:J48,K45:K48)</f>
        <v>-0.27916460495325035</v>
      </c>
      <c r="R45" s="8">
        <f>bdrate(C45:C48,E45:E48,J45:J48,L45:L48)</f>
        <v>-0.42009130946025219</v>
      </c>
      <c r="S45" s="8">
        <f>bdrate(C45:C48,F45:F48,J45:J48,M45:M48)</f>
        <v>-0.31464150090128606</v>
      </c>
      <c r="T45" s="25">
        <f>bdrate(C45:C48,H45:H48,J45:J48,O45:O48)</f>
        <v>-0.29421302639621505</v>
      </c>
      <c r="U45" s="28">
        <f t="shared" si="2"/>
        <v>-0.28115425927456</v>
      </c>
      <c r="V45" s="57">
        <f t="shared" si="3"/>
        <v>4.5137500000000018E-2</v>
      </c>
      <c r="W45" s="57">
        <f t="shared" si="4"/>
        <v>1.6257333333333387E-2</v>
      </c>
      <c r="X45" s="56">
        <v>800</v>
      </c>
      <c r="Y45" s="56">
        <v>600</v>
      </c>
    </row>
    <row r="46" spans="1:25" x14ac:dyDescent="0.25">
      <c r="A46" s="9" t="s">
        <v>40</v>
      </c>
      <c r="B46" s="9"/>
      <c r="C46" s="17">
        <v>523.86</v>
      </c>
      <c r="D46" s="18">
        <v>31.736999999999998</v>
      </c>
      <c r="E46" s="18">
        <v>37.316000000000003</v>
      </c>
      <c r="F46" s="18">
        <v>35.982999999999997</v>
      </c>
      <c r="G46" s="18">
        <v>133.13</v>
      </c>
      <c r="H46" s="18">
        <f t="shared" si="0"/>
        <v>32.965125</v>
      </c>
      <c r="I46" s="5"/>
      <c r="J46" s="17">
        <v>405.24799999999999</v>
      </c>
      <c r="K46" s="18">
        <v>31.922899999999998</v>
      </c>
      <c r="L46" s="18">
        <v>38.098399999999998</v>
      </c>
      <c r="M46" s="18">
        <v>36.424500000000002</v>
      </c>
      <c r="N46" s="18">
        <v>102.3541</v>
      </c>
      <c r="O46" s="18">
        <f t="shared" si="1"/>
        <v>33.257537499999998</v>
      </c>
      <c r="P46" s="7"/>
      <c r="Q46" s="10"/>
      <c r="R46" s="11"/>
      <c r="S46" s="11"/>
      <c r="T46" s="26"/>
      <c r="U46" s="28">
        <f t="shared" si="2"/>
        <v>-0.23117178697513704</v>
      </c>
      <c r="V46" s="57">
        <f t="shared" si="3"/>
        <v>4.7720000000000026E-2</v>
      </c>
      <c r="W46" s="57">
        <f t="shared" si="4"/>
        <v>1.3119999999999975E-2</v>
      </c>
      <c r="X46" s="56">
        <v>500</v>
      </c>
      <c r="Y46" s="56">
        <v>400</v>
      </c>
    </row>
    <row r="47" spans="1:25" x14ac:dyDescent="0.25">
      <c r="B47" s="9"/>
      <c r="C47" s="17">
        <v>315.99</v>
      </c>
      <c r="D47" s="18">
        <v>29.574999999999999</v>
      </c>
      <c r="E47" s="18">
        <v>36.331000000000003</v>
      </c>
      <c r="F47" s="18">
        <v>34.825000000000003</v>
      </c>
      <c r="G47" s="18">
        <v>144.16999999999999</v>
      </c>
      <c r="H47" s="18">
        <f t="shared" si="0"/>
        <v>31.075749999999999</v>
      </c>
      <c r="I47" s="5"/>
      <c r="J47" s="17">
        <v>254.47919999999999</v>
      </c>
      <c r="K47" s="18">
        <v>30.016999999999999</v>
      </c>
      <c r="L47" s="18">
        <v>36.991599999999998</v>
      </c>
      <c r="M47" s="18">
        <v>35.229500000000002</v>
      </c>
      <c r="N47" s="18">
        <v>126.2307</v>
      </c>
      <c r="O47" s="18">
        <f t="shared" si="1"/>
        <v>31.540387500000001</v>
      </c>
      <c r="P47" s="7"/>
      <c r="Q47" s="10"/>
      <c r="R47" s="11"/>
      <c r="S47" s="11"/>
      <c r="T47" s="26"/>
      <c r="U47" s="28">
        <f t="shared" si="2"/>
        <v>-0.12443157383644302</v>
      </c>
      <c r="V47" s="57">
        <f t="shared" si="3"/>
        <v>5.3300000000000028E-2</v>
      </c>
      <c r="W47" s="57">
        <f t="shared" si="4"/>
        <v>1.7916799999999965E-2</v>
      </c>
      <c r="X47" s="56">
        <v>300</v>
      </c>
      <c r="Y47" s="56">
        <v>250</v>
      </c>
    </row>
    <row r="48" spans="1:25" ht="16.5" thickBot="1" x14ac:dyDescent="0.3">
      <c r="B48" s="12"/>
      <c r="C48" s="19">
        <v>161.63999999999999</v>
      </c>
      <c r="D48" s="20">
        <v>26.762</v>
      </c>
      <c r="E48" s="20">
        <v>35.323</v>
      </c>
      <c r="F48" s="20">
        <v>33.607999999999997</v>
      </c>
      <c r="G48" s="20">
        <v>162.88</v>
      </c>
      <c r="H48" s="20">
        <f t="shared" si="0"/>
        <v>28.687875000000002</v>
      </c>
      <c r="I48" s="5"/>
      <c r="J48" s="19">
        <v>122.66240000000001</v>
      </c>
      <c r="K48" s="20">
        <v>27.404800000000002</v>
      </c>
      <c r="L48" s="20">
        <v>35.478400000000001</v>
      </c>
      <c r="M48" s="20">
        <v>33.373699999999999</v>
      </c>
      <c r="N48" s="20">
        <v>172.05779999999999</v>
      </c>
      <c r="O48" s="20">
        <f t="shared" si="1"/>
        <v>29.160112500000004</v>
      </c>
      <c r="P48" s="7"/>
      <c r="Q48" s="13"/>
      <c r="R48" s="14"/>
      <c r="S48" s="14"/>
      <c r="T48" s="27"/>
      <c r="U48" s="28">
        <f t="shared" si="2"/>
        <v>5.6347003929273026E-2</v>
      </c>
      <c r="V48" s="57">
        <f t="shared" si="3"/>
        <v>7.7599999999999905E-2</v>
      </c>
      <c r="W48" s="57">
        <f t="shared" si="4"/>
        <v>2.2186666666666709E-2</v>
      </c>
      <c r="X48" s="56">
        <v>150</v>
      </c>
      <c r="Y48" s="56">
        <v>120</v>
      </c>
    </row>
    <row r="49" spans="1:25" x14ac:dyDescent="0.25">
      <c r="B49" s="6" t="s">
        <v>54</v>
      </c>
      <c r="C49" s="15">
        <v>777.61</v>
      </c>
      <c r="D49" s="16">
        <v>30.890999999999998</v>
      </c>
      <c r="E49" s="16">
        <v>38.764000000000003</v>
      </c>
      <c r="F49" s="16">
        <v>39.228000000000002</v>
      </c>
      <c r="G49" s="16">
        <v>143.49</v>
      </c>
      <c r="H49" s="16">
        <f t="shared" si="0"/>
        <v>32.917250000000003</v>
      </c>
      <c r="I49" s="5"/>
      <c r="J49" s="15">
        <v>605.15440000000001</v>
      </c>
      <c r="K49" s="16">
        <v>33.139000000000003</v>
      </c>
      <c r="L49" s="16">
        <v>41.059699999999999</v>
      </c>
      <c r="M49" s="16">
        <v>41.896000000000001</v>
      </c>
      <c r="N49" s="16">
        <v>91.421599999999998</v>
      </c>
      <c r="O49" s="16">
        <f t="shared" si="1"/>
        <v>35.223712499999998</v>
      </c>
      <c r="P49" s="7"/>
      <c r="Q49" s="8">
        <f>bdrate(C49:C52,D49:D52,J49:J52,K49:K52)</f>
        <v>-0.60831512581402336</v>
      </c>
      <c r="R49" s="8">
        <f>bdrate(C49:C52,E49:E52,J49:J52,L49:L52)</f>
        <v>-0.71598382072449418</v>
      </c>
      <c r="S49" s="8">
        <f>bdrate(C49:C52,F49:F52,J49:J52,M49:M52)</f>
        <v>-0.79185917591760246</v>
      </c>
      <c r="T49" s="25">
        <f>bdrate(C49:C52,H49:H52,J49:J52,O49:O52)</f>
        <v>-0.63093737402931316</v>
      </c>
      <c r="U49" s="28">
        <f t="shared" si="2"/>
        <v>-0.36287128022858739</v>
      </c>
      <c r="V49" s="57">
        <f t="shared" si="3"/>
        <v>2.7987499999999985E-2</v>
      </c>
      <c r="W49" s="57">
        <f t="shared" si="4"/>
        <v>8.5906666666666822E-3</v>
      </c>
      <c r="X49" s="56">
        <v>800</v>
      </c>
      <c r="Y49" s="56">
        <v>600</v>
      </c>
    </row>
    <row r="50" spans="1:25" x14ac:dyDescent="0.25">
      <c r="B50" s="9"/>
      <c r="C50" s="17">
        <v>481.44</v>
      </c>
      <c r="D50" s="18">
        <v>29.321999999999999</v>
      </c>
      <c r="E50" s="18">
        <v>38.304000000000002</v>
      </c>
      <c r="F50" s="18">
        <v>38.570999999999998</v>
      </c>
      <c r="G50" s="18">
        <v>162.88999999999999</v>
      </c>
      <c r="H50" s="18">
        <f t="shared" si="0"/>
        <v>31.600874999999998</v>
      </c>
      <c r="I50" s="5"/>
      <c r="J50" s="17">
        <v>402.29520000000002</v>
      </c>
      <c r="K50" s="18">
        <v>31.8567</v>
      </c>
      <c r="L50" s="18">
        <v>40.203000000000003</v>
      </c>
      <c r="M50" s="18">
        <v>41.047699999999999</v>
      </c>
      <c r="N50" s="18">
        <v>109.87</v>
      </c>
      <c r="O50" s="18">
        <f t="shared" si="1"/>
        <v>34.048862499999998</v>
      </c>
      <c r="P50" s="7"/>
      <c r="Q50" s="10"/>
      <c r="R50" s="11"/>
      <c r="S50" s="11"/>
      <c r="T50" s="26"/>
      <c r="U50" s="28">
        <f t="shared" si="2"/>
        <v>-0.3254957333169623</v>
      </c>
      <c r="V50" s="57">
        <f t="shared" si="3"/>
        <v>3.7120000000000007E-2</v>
      </c>
      <c r="W50" s="57">
        <f t="shared" si="4"/>
        <v>5.7380000000000564E-3</v>
      </c>
      <c r="X50" s="56">
        <v>500</v>
      </c>
      <c r="Y50" s="56">
        <v>400</v>
      </c>
    </row>
    <row r="51" spans="1:25" x14ac:dyDescent="0.25">
      <c r="B51" s="9"/>
      <c r="C51" s="17">
        <v>287.33</v>
      </c>
      <c r="D51" s="18">
        <v>27.670999999999999</v>
      </c>
      <c r="E51" s="18">
        <v>37.893999999999998</v>
      </c>
      <c r="F51" s="18">
        <v>38.106999999999999</v>
      </c>
      <c r="G51" s="18">
        <v>179.65</v>
      </c>
      <c r="H51" s="18">
        <f t="shared" si="0"/>
        <v>30.253375000000002</v>
      </c>
      <c r="I51" s="5"/>
      <c r="J51" s="17">
        <v>252.9624</v>
      </c>
      <c r="K51" s="18">
        <v>30.3263</v>
      </c>
      <c r="L51" s="18">
        <v>39.292900000000003</v>
      </c>
      <c r="M51" s="18">
        <v>40.036299999999997</v>
      </c>
      <c r="N51" s="18">
        <v>138.5361</v>
      </c>
      <c r="O51" s="18">
        <f t="shared" si="1"/>
        <v>32.660874999999997</v>
      </c>
      <c r="P51" s="7"/>
      <c r="Q51" s="10"/>
      <c r="R51" s="11"/>
      <c r="S51" s="11"/>
      <c r="T51" s="26"/>
      <c r="U51" s="28">
        <f t="shared" si="2"/>
        <v>-0.22885555246312272</v>
      </c>
      <c r="V51" s="57">
        <f t="shared" si="3"/>
        <v>4.2233333333333387E-2</v>
      </c>
      <c r="W51" s="57">
        <f t="shared" si="4"/>
        <v>1.1849600000000009E-2</v>
      </c>
      <c r="X51" s="56">
        <v>300</v>
      </c>
      <c r="Y51" s="56">
        <v>250</v>
      </c>
    </row>
    <row r="52" spans="1:25" ht="16.5" thickBot="1" x14ac:dyDescent="0.3">
      <c r="B52" s="12"/>
      <c r="C52" s="19">
        <v>141.84</v>
      </c>
      <c r="D52" s="20">
        <v>25.536000000000001</v>
      </c>
      <c r="E52" s="20">
        <v>37.317999999999998</v>
      </c>
      <c r="F52" s="20">
        <v>37.478999999999999</v>
      </c>
      <c r="G52" s="20">
        <v>200.63</v>
      </c>
      <c r="H52" s="20">
        <f t="shared" si="0"/>
        <v>28.501624999999997</v>
      </c>
      <c r="I52" s="5"/>
      <c r="J52" s="19">
        <v>121.2008</v>
      </c>
      <c r="K52" s="20">
        <v>27.802499999999998</v>
      </c>
      <c r="L52" s="20">
        <v>38.044699999999999</v>
      </c>
      <c r="M52" s="20">
        <v>38.767200000000003</v>
      </c>
      <c r="N52" s="20">
        <v>184.61539999999999</v>
      </c>
      <c r="O52" s="20">
        <f t="shared" si="1"/>
        <v>30.453362500000001</v>
      </c>
      <c r="P52" s="7"/>
      <c r="Q52" s="13"/>
      <c r="R52" s="14"/>
      <c r="S52" s="14"/>
      <c r="T52" s="27"/>
      <c r="U52" s="28">
        <f t="shared" si="2"/>
        <v>-7.9821562079449737E-2</v>
      </c>
      <c r="V52" s="57">
        <f t="shared" si="3"/>
        <v>5.4399999999999976E-2</v>
      </c>
      <c r="W52" s="57">
        <f t="shared" si="4"/>
        <v>1.0006666666666674E-2</v>
      </c>
      <c r="X52" s="56">
        <v>150</v>
      </c>
      <c r="Y52" s="56">
        <v>120</v>
      </c>
    </row>
    <row r="53" spans="1:25" x14ac:dyDescent="0.25">
      <c r="B53" s="6" t="s">
        <v>55</v>
      </c>
      <c r="C53" s="29">
        <v>845.46</v>
      </c>
      <c r="D53" s="30">
        <v>32.122999999999998</v>
      </c>
      <c r="E53" s="30">
        <v>36.021999999999998</v>
      </c>
      <c r="F53" s="30">
        <v>36.445</v>
      </c>
      <c r="G53" s="16">
        <v>134.12</v>
      </c>
      <c r="H53" s="16">
        <f t="shared" si="0"/>
        <v>33.150624999999998</v>
      </c>
      <c r="I53" s="5"/>
      <c r="J53" s="29">
        <v>639.81920000000002</v>
      </c>
      <c r="K53" s="30">
        <v>32.631999999999998</v>
      </c>
      <c r="L53" s="30">
        <v>37.812800000000003</v>
      </c>
      <c r="M53" s="30">
        <v>38.575800000000001</v>
      </c>
      <c r="N53" s="16">
        <v>87.183999999999997</v>
      </c>
      <c r="O53" s="16">
        <f t="shared" si="1"/>
        <v>34.022574999999996</v>
      </c>
      <c r="P53" s="7"/>
      <c r="Q53" s="8">
        <f>bdrate(C53:C56,D53:D56,J53:J56,K53:K56)</f>
        <v>-0.376740827727988</v>
      </c>
      <c r="R53" s="8">
        <f>bdrate(C53:C56,E53:E56,J53:J56,L53:L56)</f>
        <v>-0.63215229162293096</v>
      </c>
      <c r="S53" s="8">
        <f>bdrate(C53:C56,F53:F56,J53:J56,M53:M56)</f>
        <v>-0.6780337361323383</v>
      </c>
      <c r="T53" s="25">
        <f>bdrate(C53:C56,H53:H56,J53:J56,O53:O56)</f>
        <v>-0.43296342476003047</v>
      </c>
      <c r="U53" s="28">
        <f t="shared" si="2"/>
        <v>-0.3499552639427379</v>
      </c>
      <c r="V53" s="57">
        <f t="shared" si="3"/>
        <v>5.6825000000000042E-2</v>
      </c>
      <c r="W53" s="57">
        <f t="shared" si="4"/>
        <v>6.6365333333333373E-2</v>
      </c>
      <c r="X53" s="56">
        <v>800</v>
      </c>
      <c r="Y53" s="56">
        <v>600</v>
      </c>
    </row>
    <row r="54" spans="1:25" x14ac:dyDescent="0.25">
      <c r="B54" s="9"/>
      <c r="C54" s="31">
        <v>526.86</v>
      </c>
      <c r="D54" s="32">
        <v>30.239000000000001</v>
      </c>
      <c r="E54" s="32">
        <v>35.055</v>
      </c>
      <c r="F54" s="32">
        <v>35.503999999999998</v>
      </c>
      <c r="G54" s="18">
        <v>151.88999999999999</v>
      </c>
      <c r="H54" s="18">
        <f t="shared" si="0"/>
        <v>31.499124999999999</v>
      </c>
      <c r="I54" s="5"/>
      <c r="J54" s="31">
        <v>426.76960000000003</v>
      </c>
      <c r="K54" s="32">
        <v>31.1297</v>
      </c>
      <c r="L54" s="32">
        <v>36.865000000000002</v>
      </c>
      <c r="M54" s="32">
        <v>37.6203</v>
      </c>
      <c r="N54" s="18">
        <v>102.90179999999999</v>
      </c>
      <c r="O54" s="18">
        <f t="shared" si="1"/>
        <v>32.657937500000003</v>
      </c>
      <c r="P54" s="7"/>
      <c r="Q54" s="10"/>
      <c r="R54" s="11"/>
      <c r="S54" s="11"/>
      <c r="T54" s="26"/>
      <c r="U54" s="28">
        <f t="shared" si="2"/>
        <v>-0.3225241951412206</v>
      </c>
      <c r="V54" s="57">
        <f t="shared" si="3"/>
        <v>5.3720000000000025E-2</v>
      </c>
      <c r="W54" s="57">
        <f t="shared" si="4"/>
        <v>6.6924000000000067E-2</v>
      </c>
      <c r="X54" s="56">
        <v>500</v>
      </c>
      <c r="Y54" s="56">
        <v>400</v>
      </c>
    </row>
    <row r="55" spans="1:25" x14ac:dyDescent="0.25">
      <c r="B55" s="9"/>
      <c r="C55" s="31">
        <v>313.75</v>
      </c>
      <c r="D55" s="32">
        <v>28.367000000000001</v>
      </c>
      <c r="E55" s="32">
        <v>34.234000000000002</v>
      </c>
      <c r="F55" s="32">
        <v>34.715000000000003</v>
      </c>
      <c r="G55" s="18">
        <v>165.62</v>
      </c>
      <c r="H55" s="18">
        <f t="shared" si="0"/>
        <v>29.893875000000001</v>
      </c>
      <c r="I55" s="5"/>
      <c r="J55" s="31">
        <v>266.45600000000002</v>
      </c>
      <c r="K55" s="32">
        <v>29.479099999999999</v>
      </c>
      <c r="L55" s="32">
        <v>35.772599999999997</v>
      </c>
      <c r="M55" s="32">
        <v>36.460900000000002</v>
      </c>
      <c r="N55" s="18">
        <v>133.26230000000001</v>
      </c>
      <c r="O55" s="18">
        <f t="shared" si="1"/>
        <v>31.138512500000001</v>
      </c>
      <c r="P55" s="7"/>
      <c r="Q55" s="10"/>
      <c r="R55" s="11"/>
      <c r="S55" s="11"/>
      <c r="T55" s="26"/>
      <c r="U55" s="28">
        <f t="shared" si="2"/>
        <v>-0.19537314334017628</v>
      </c>
      <c r="V55" s="57">
        <f t="shared" si="3"/>
        <v>4.583333333333333E-2</v>
      </c>
      <c r="W55" s="57">
        <f t="shared" si="4"/>
        <v>6.5824000000000063E-2</v>
      </c>
      <c r="X55" s="56">
        <v>300</v>
      </c>
      <c r="Y55" s="56">
        <v>250</v>
      </c>
    </row>
    <row r="56" spans="1:25" ht="16.5" thickBot="1" x14ac:dyDescent="0.3">
      <c r="B56" s="12"/>
      <c r="C56" s="33">
        <v>154.41</v>
      </c>
      <c r="D56" s="34">
        <v>26.15</v>
      </c>
      <c r="E56" s="34">
        <v>33.451999999999998</v>
      </c>
      <c r="F56" s="34">
        <v>33.999000000000002</v>
      </c>
      <c r="G56" s="20">
        <v>185.3</v>
      </c>
      <c r="H56" s="20">
        <f t="shared" si="0"/>
        <v>28.043874999999996</v>
      </c>
      <c r="I56" s="5"/>
      <c r="J56" s="33">
        <v>129.25040000000001</v>
      </c>
      <c r="K56" s="34">
        <v>27.177</v>
      </c>
      <c r="L56" s="34">
        <v>34.228099999999998</v>
      </c>
      <c r="M56" s="34">
        <v>34.956600000000002</v>
      </c>
      <c r="N56" s="20">
        <v>184.77459999999999</v>
      </c>
      <c r="O56" s="20">
        <f t="shared" si="1"/>
        <v>29.030837500000001</v>
      </c>
      <c r="P56" s="7"/>
      <c r="Q56" s="13"/>
      <c r="R56" s="14"/>
      <c r="S56" s="14"/>
      <c r="T56" s="27"/>
      <c r="U56" s="28">
        <f t="shared" si="2"/>
        <v>-2.8354020507286503E-3</v>
      </c>
      <c r="V56" s="57">
        <f t="shared" si="3"/>
        <v>2.9399999999999978E-2</v>
      </c>
      <c r="W56" s="57">
        <f t="shared" si="4"/>
        <v>7.7086666666666775E-2</v>
      </c>
      <c r="X56" s="56">
        <v>150</v>
      </c>
      <c r="Y56" s="56">
        <v>120</v>
      </c>
    </row>
    <row r="57" spans="1:25" x14ac:dyDescent="0.25">
      <c r="B57" s="6" t="s">
        <v>56</v>
      </c>
      <c r="C57" s="15">
        <v>793.58</v>
      </c>
      <c r="D57" s="16">
        <v>33.671999999999997</v>
      </c>
      <c r="E57" s="16">
        <v>36.642000000000003</v>
      </c>
      <c r="F57" s="16">
        <v>37.695999999999998</v>
      </c>
      <c r="G57" s="16">
        <v>93.67</v>
      </c>
      <c r="H57" s="16">
        <f t="shared" si="0"/>
        <v>34.546250000000001</v>
      </c>
      <c r="I57" s="5"/>
      <c r="J57" s="15">
        <v>608.27520000000004</v>
      </c>
      <c r="K57" s="16">
        <v>32.9011</v>
      </c>
      <c r="L57" s="16">
        <v>37.129600000000003</v>
      </c>
      <c r="M57" s="16">
        <v>38.226599999999998</v>
      </c>
      <c r="N57" s="16">
        <v>67.430899999999994</v>
      </c>
      <c r="O57" s="16">
        <f t="shared" si="1"/>
        <v>34.095350000000003</v>
      </c>
      <c r="P57" s="7"/>
      <c r="Q57" s="8">
        <f>bdrate(C57:C60,D57:D60,J57:J60,K57:K60)</f>
        <v>-0.13356679728196963</v>
      </c>
      <c r="R57" s="8">
        <f>bdrate(C57:C60,E57:E60,J57:J60,L57:L60)</f>
        <v>-0.32659436246353546</v>
      </c>
      <c r="S57" s="8">
        <f>bdrate(C57:C60,F57:F60,J57:J60,M57:M60)</f>
        <v>-0.32036002564154764</v>
      </c>
      <c r="T57" s="25">
        <f>bdrate(C57:C60,H57:H60,J57:J60,O57:O60)</f>
        <v>-0.16610637286036711</v>
      </c>
      <c r="U57" s="28">
        <f t="shared" si="2"/>
        <v>-0.28012277143162173</v>
      </c>
      <c r="V57" s="57">
        <f t="shared" si="3"/>
        <v>8.0249999999999488E-3</v>
      </c>
      <c r="W57" s="57">
        <f t="shared" si="4"/>
        <v>1.3792000000000068E-2</v>
      </c>
      <c r="X57" s="56">
        <v>800</v>
      </c>
      <c r="Y57" s="56">
        <v>600</v>
      </c>
    </row>
    <row r="58" spans="1:25" x14ac:dyDescent="0.25">
      <c r="B58" s="9"/>
      <c r="C58" s="17">
        <v>498.68</v>
      </c>
      <c r="D58" s="18">
        <v>31.556999999999999</v>
      </c>
      <c r="E58" s="18">
        <v>35.462000000000003</v>
      </c>
      <c r="F58" s="18">
        <v>36.518000000000001</v>
      </c>
      <c r="G58" s="18">
        <v>107.78</v>
      </c>
      <c r="H58" s="18">
        <f t="shared" si="0"/>
        <v>32.66525</v>
      </c>
      <c r="I58" s="5"/>
      <c r="J58" s="17">
        <v>405.63839999999999</v>
      </c>
      <c r="K58" s="18">
        <v>31.141200000000001</v>
      </c>
      <c r="L58" s="18">
        <v>36.031700000000001</v>
      </c>
      <c r="M58" s="18">
        <v>37.122399999999999</v>
      </c>
      <c r="N58" s="18">
        <v>81.322900000000004</v>
      </c>
      <c r="O58" s="18">
        <f t="shared" si="1"/>
        <v>32.500162500000002</v>
      </c>
      <c r="P58" s="7"/>
      <c r="Q58" s="10"/>
      <c r="R58" s="11"/>
      <c r="S58" s="11"/>
      <c r="T58" s="26"/>
      <c r="U58" s="28">
        <f t="shared" si="2"/>
        <v>-0.24547318611987379</v>
      </c>
      <c r="V58" s="57">
        <f t="shared" si="3"/>
        <v>2.6399999999999865E-3</v>
      </c>
      <c r="W58" s="57">
        <f t="shared" si="4"/>
        <v>1.4095999999999975E-2</v>
      </c>
      <c r="X58" s="56">
        <v>500</v>
      </c>
      <c r="Y58" s="56">
        <v>400</v>
      </c>
    </row>
    <row r="59" spans="1:25" x14ac:dyDescent="0.25">
      <c r="B59" s="9"/>
      <c r="C59" s="17">
        <v>301.79000000000002</v>
      </c>
      <c r="D59" s="18">
        <v>29.541</v>
      </c>
      <c r="E59" s="18">
        <v>34.518000000000001</v>
      </c>
      <c r="F59" s="18">
        <v>35.567</v>
      </c>
      <c r="G59" s="18">
        <v>120.19</v>
      </c>
      <c r="H59" s="18">
        <f t="shared" si="0"/>
        <v>30.916375000000002</v>
      </c>
      <c r="I59" s="5"/>
      <c r="J59" s="17">
        <v>253.4872</v>
      </c>
      <c r="K59" s="18">
        <v>29.413599999999999</v>
      </c>
      <c r="L59" s="18">
        <v>34.923499999999997</v>
      </c>
      <c r="M59" s="18">
        <v>35.959499999999998</v>
      </c>
      <c r="N59" s="18">
        <v>100.1669</v>
      </c>
      <c r="O59" s="18">
        <f t="shared" si="1"/>
        <v>30.920574999999996</v>
      </c>
      <c r="P59" s="7"/>
      <c r="Q59" s="10"/>
      <c r="R59" s="11"/>
      <c r="S59" s="11"/>
      <c r="T59" s="26"/>
      <c r="U59" s="28">
        <f t="shared" si="2"/>
        <v>-0.16659539063150011</v>
      </c>
      <c r="V59" s="57">
        <f t="shared" si="3"/>
        <v>5.9666666666667346E-3</v>
      </c>
      <c r="W59" s="57">
        <f t="shared" si="4"/>
        <v>1.3948800000000006E-2</v>
      </c>
      <c r="X59" s="56">
        <v>300</v>
      </c>
      <c r="Y59" s="56">
        <v>250</v>
      </c>
    </row>
    <row r="60" spans="1:25" ht="16.5" thickBot="1" x14ac:dyDescent="0.3">
      <c r="B60" s="12"/>
      <c r="C60" s="19">
        <v>150.81</v>
      </c>
      <c r="D60" s="20">
        <v>26.946999999999999</v>
      </c>
      <c r="E60" s="20">
        <v>33.363999999999997</v>
      </c>
      <c r="F60" s="20">
        <v>34.377000000000002</v>
      </c>
      <c r="G60" s="20">
        <v>138.84</v>
      </c>
      <c r="H60" s="20">
        <f t="shared" si="0"/>
        <v>28.677875</v>
      </c>
      <c r="I60" s="5"/>
      <c r="J60" s="19">
        <v>122.4208</v>
      </c>
      <c r="K60" s="20">
        <v>27.101800000000001</v>
      </c>
      <c r="L60" s="20">
        <v>33.486699999999999</v>
      </c>
      <c r="M60" s="20">
        <v>34.440399999999997</v>
      </c>
      <c r="N60" s="20">
        <v>138.56809999999999</v>
      </c>
      <c r="O60" s="20">
        <f t="shared" si="1"/>
        <v>28.817237500000005</v>
      </c>
      <c r="P60" s="7"/>
      <c r="Q60" s="13"/>
      <c r="R60" s="14"/>
      <c r="S60" s="14"/>
      <c r="T60" s="27"/>
      <c r="U60" s="28">
        <f t="shared" si="2"/>
        <v>-1.958369346009914E-3</v>
      </c>
      <c r="V60" s="57">
        <f t="shared" si="3"/>
        <v>5.400000000000015E-3</v>
      </c>
      <c r="W60" s="57">
        <f t="shared" si="4"/>
        <v>2.0173333333333331E-2</v>
      </c>
      <c r="X60" s="56">
        <v>150</v>
      </c>
      <c r="Y60" s="56">
        <v>120</v>
      </c>
    </row>
    <row r="61" spans="1:25" x14ac:dyDescent="0.25">
      <c r="A61" s="6" t="s">
        <v>41</v>
      </c>
      <c r="B61" s="6" t="s">
        <v>57</v>
      </c>
      <c r="C61" s="15">
        <v>1967.03</v>
      </c>
      <c r="D61" s="16">
        <v>40.259</v>
      </c>
      <c r="E61" s="16">
        <v>44.09</v>
      </c>
      <c r="F61" s="16">
        <v>45.188000000000002</v>
      </c>
      <c r="G61" s="16">
        <v>20.71</v>
      </c>
      <c r="H61" s="16">
        <f t="shared" si="0"/>
        <v>41.353999999999999</v>
      </c>
      <c r="I61" s="5"/>
      <c r="J61" s="15">
        <v>1499.96</v>
      </c>
      <c r="K61" s="16">
        <v>41.071800000000003</v>
      </c>
      <c r="L61" s="16">
        <v>45.643799999999999</v>
      </c>
      <c r="M61" s="16">
        <v>46.804000000000002</v>
      </c>
      <c r="N61" s="16">
        <v>28.076699999999999</v>
      </c>
      <c r="O61" s="16">
        <f t="shared" si="1"/>
        <v>42.359825000000001</v>
      </c>
      <c r="P61" s="7"/>
      <c r="Q61" s="8">
        <f>bdrate(C61:C64,D61:D64,J61:J64,K61:K64)</f>
        <v>-0.46453176213146141</v>
      </c>
      <c r="R61" s="8">
        <f>bdrate(C61:C64,E61:E64,J61:J64,L61:L64)</f>
        <v>-0.58319903209444779</v>
      </c>
      <c r="S61" s="8">
        <f>bdrate(C61:C64,F61:F64,J61:J64,M61:M64)</f>
        <v>-0.57693839113043066</v>
      </c>
      <c r="T61" s="25">
        <f>bdrate(C61:C64,H61:H64,J61:J64,O61:O64)</f>
        <v>-0.48704630588249709</v>
      </c>
      <c r="U61" s="28">
        <f t="shared" si="2"/>
        <v>0.3557073877353934</v>
      </c>
      <c r="V61" s="57">
        <f t="shared" si="3"/>
        <v>6.3319047619047636E-2</v>
      </c>
      <c r="W61" s="57">
        <f t="shared" si="4"/>
        <v>2.6666666666642414E-5</v>
      </c>
      <c r="X61" s="56">
        <v>2100</v>
      </c>
      <c r="Y61" s="56">
        <v>1500</v>
      </c>
    </row>
    <row r="62" spans="1:25" x14ac:dyDescent="0.25">
      <c r="A62" s="9" t="s">
        <v>42</v>
      </c>
      <c r="B62" s="9"/>
      <c r="C62" s="17">
        <v>1290.1099999999999</v>
      </c>
      <c r="D62" s="18">
        <v>38.718000000000004</v>
      </c>
      <c r="E62" s="18">
        <v>42.957000000000001</v>
      </c>
      <c r="F62" s="18">
        <v>44.115000000000002</v>
      </c>
      <c r="G62" s="18">
        <v>21.87</v>
      </c>
      <c r="H62" s="18">
        <f t="shared" si="0"/>
        <v>39.922500000000007</v>
      </c>
      <c r="I62" s="5"/>
      <c r="J62" s="17">
        <v>991.16880000000003</v>
      </c>
      <c r="K62" s="18">
        <v>39.879100000000001</v>
      </c>
      <c r="L62" s="18">
        <v>44.646099999999997</v>
      </c>
      <c r="M62" s="18">
        <v>45.7639</v>
      </c>
      <c r="N62" s="18">
        <v>30.307600000000001</v>
      </c>
      <c r="O62" s="18">
        <f t="shared" si="1"/>
        <v>41.210574999999999</v>
      </c>
      <c r="P62" s="7"/>
      <c r="Q62" s="10"/>
      <c r="R62" s="11"/>
      <c r="S62" s="11"/>
      <c r="T62" s="26"/>
      <c r="U62" s="28">
        <f t="shared" si="2"/>
        <v>0.38580704160951074</v>
      </c>
      <c r="V62" s="57">
        <f t="shared" si="3"/>
        <v>7.8492857142857211E-2</v>
      </c>
      <c r="W62" s="57">
        <f t="shared" si="4"/>
        <v>8.8311999999999679E-3</v>
      </c>
      <c r="X62" s="56">
        <v>1400</v>
      </c>
      <c r="Y62" s="56">
        <v>1000</v>
      </c>
    </row>
    <row r="63" spans="1:25" x14ac:dyDescent="0.25">
      <c r="B63" s="9"/>
      <c r="C63" s="17">
        <v>768.94</v>
      </c>
      <c r="D63" s="18">
        <v>36.369999999999997</v>
      </c>
      <c r="E63" s="18">
        <v>41.731000000000002</v>
      </c>
      <c r="F63" s="18">
        <v>42.762</v>
      </c>
      <c r="G63" s="18">
        <v>22.98</v>
      </c>
      <c r="H63" s="18">
        <f t="shared" si="0"/>
        <v>37.839124999999996</v>
      </c>
      <c r="I63" s="5"/>
      <c r="J63" s="17">
        <v>581.19920000000002</v>
      </c>
      <c r="K63" s="18">
        <v>37.924100000000003</v>
      </c>
      <c r="L63" s="18">
        <v>43.203899999999997</v>
      </c>
      <c r="M63" s="18">
        <v>44.297600000000003</v>
      </c>
      <c r="N63" s="18">
        <v>37.704999999999998</v>
      </c>
      <c r="O63" s="18">
        <f t="shared" si="1"/>
        <v>39.380762499999996</v>
      </c>
      <c r="P63" s="7"/>
      <c r="Q63" s="10"/>
      <c r="R63" s="11"/>
      <c r="S63" s="11"/>
      <c r="T63" s="26"/>
      <c r="U63" s="28">
        <f t="shared" si="2"/>
        <v>0.64077458659704079</v>
      </c>
      <c r="V63" s="57">
        <f t="shared" si="3"/>
        <v>9.5364705882352879E-2</v>
      </c>
      <c r="W63" s="57">
        <f t="shared" si="4"/>
        <v>3.1334666666666636E-2</v>
      </c>
      <c r="X63" s="56">
        <v>850</v>
      </c>
      <c r="Y63" s="56">
        <v>600</v>
      </c>
    </row>
    <row r="64" spans="1:25" ht="16.5" thickBot="1" x14ac:dyDescent="0.3">
      <c r="B64" s="12"/>
      <c r="C64" s="19">
        <v>352.28</v>
      </c>
      <c r="D64" s="20">
        <v>32.453000000000003</v>
      </c>
      <c r="E64" s="20">
        <v>39.738</v>
      </c>
      <c r="F64" s="20">
        <v>40.53</v>
      </c>
      <c r="G64" s="20">
        <v>24.01</v>
      </c>
      <c r="H64" s="20">
        <f t="shared" si="0"/>
        <v>34.373249999999999</v>
      </c>
      <c r="I64" s="5"/>
      <c r="J64" s="19">
        <v>284.02159999999998</v>
      </c>
      <c r="K64" s="20">
        <v>34.824199999999998</v>
      </c>
      <c r="L64" s="20">
        <v>41.341000000000001</v>
      </c>
      <c r="M64" s="20">
        <v>42.3416</v>
      </c>
      <c r="N64" s="20">
        <v>46.678100000000001</v>
      </c>
      <c r="O64" s="20">
        <f t="shared" si="1"/>
        <v>36.578474999999997</v>
      </c>
      <c r="P64" s="7"/>
      <c r="Q64" s="13"/>
      <c r="R64" s="14"/>
      <c r="S64" s="14"/>
      <c r="T64" s="27"/>
      <c r="U64" s="28">
        <f t="shared" si="2"/>
        <v>0.94411078717201158</v>
      </c>
      <c r="V64" s="57">
        <f t="shared" si="3"/>
        <v>0.11930000000000007</v>
      </c>
      <c r="W64" s="57">
        <f t="shared" si="4"/>
        <v>5.3261333333333404E-2</v>
      </c>
      <c r="X64" s="56">
        <v>400</v>
      </c>
      <c r="Y64" s="56">
        <v>300</v>
      </c>
    </row>
    <row r="65" spans="1:25" x14ac:dyDescent="0.25">
      <c r="B65" s="6" t="s">
        <v>58</v>
      </c>
      <c r="C65" s="15">
        <v>2030.49</v>
      </c>
      <c r="D65" s="16">
        <v>41.9</v>
      </c>
      <c r="E65" s="16">
        <v>46.420999999999999</v>
      </c>
      <c r="F65" s="16">
        <v>46.835999999999999</v>
      </c>
      <c r="G65" s="16">
        <v>20.09</v>
      </c>
      <c r="H65" s="16">
        <f t="shared" si="0"/>
        <v>43.082124999999998</v>
      </c>
      <c r="I65" s="5"/>
      <c r="J65" s="15">
        <v>1490.6304</v>
      </c>
      <c r="K65" s="16">
        <v>42.428100000000001</v>
      </c>
      <c r="L65" s="16">
        <v>47.681600000000003</v>
      </c>
      <c r="M65" s="16">
        <v>48.383000000000003</v>
      </c>
      <c r="N65" s="16">
        <v>30.726700000000001</v>
      </c>
      <c r="O65" s="16">
        <f t="shared" si="1"/>
        <v>43.829149999999998</v>
      </c>
      <c r="P65" s="7"/>
      <c r="Q65" s="8">
        <f>bdrate(C65:C68,D65:D68,J65:J68,K65:K68)</f>
        <v>-0.50802124144834049</v>
      </c>
      <c r="R65" s="8">
        <f>bdrate(C65:C68,E65:E68,J65:J68,L65:L68)</f>
        <v>-0.69138268811314718</v>
      </c>
      <c r="S65" s="8">
        <f>bdrate(C65:C68,F65:F68,J65:J68,M65:M68)</f>
        <v>-0.71964962431077262</v>
      </c>
      <c r="T65" s="25">
        <f>bdrate(C65:C68,H65:H68,J65:J68,O65:O68)</f>
        <v>-0.56428747694857484</v>
      </c>
      <c r="U65" s="28">
        <f t="shared" ref="U65:U72" si="5">(N65-G65)/G65</f>
        <v>0.52945246391239431</v>
      </c>
      <c r="V65" s="57">
        <f t="shared" si="3"/>
        <v>3.3099999999999997E-2</v>
      </c>
      <c r="W65" s="57">
        <f t="shared" ref="W65:W72" si="6">ABS(J65-Y65)/Y65</f>
        <v>6.246399999999994E-3</v>
      </c>
      <c r="X65" s="56">
        <v>2100</v>
      </c>
      <c r="Y65" s="56">
        <v>1500</v>
      </c>
    </row>
    <row r="66" spans="1:25" x14ac:dyDescent="0.25">
      <c r="B66" s="9"/>
      <c r="C66" s="17">
        <v>1333.84</v>
      </c>
      <c r="D66" s="18">
        <v>41.140999999999998</v>
      </c>
      <c r="E66" s="18">
        <v>45.6</v>
      </c>
      <c r="F66" s="18">
        <v>46.018000000000001</v>
      </c>
      <c r="G66" s="18">
        <v>20.66</v>
      </c>
      <c r="H66" s="18">
        <f t="shared" si="0"/>
        <v>42.308000000000007</v>
      </c>
      <c r="I66" s="5"/>
      <c r="J66" s="17">
        <v>981.64239999999995</v>
      </c>
      <c r="K66" s="18">
        <v>41.8521</v>
      </c>
      <c r="L66" s="18">
        <v>47.228999999999999</v>
      </c>
      <c r="M66" s="18">
        <v>47.886200000000002</v>
      </c>
      <c r="N66" s="18">
        <v>34.054099999999998</v>
      </c>
      <c r="O66" s="18">
        <f t="shared" si="1"/>
        <v>43.278475</v>
      </c>
      <c r="P66" s="7"/>
      <c r="Q66" s="10"/>
      <c r="R66" s="11"/>
      <c r="S66" s="11"/>
      <c r="T66" s="26"/>
      <c r="U66" s="28">
        <f t="shared" si="5"/>
        <v>0.64831074540174238</v>
      </c>
      <c r="V66" s="57">
        <f t="shared" ref="V66:V72" si="7">ABS(C66-X66)/X66</f>
        <v>4.7257142857142914E-2</v>
      </c>
      <c r="W66" s="57">
        <f t="shared" si="6"/>
        <v>1.8357600000000047E-2</v>
      </c>
      <c r="X66" s="56">
        <v>1400</v>
      </c>
      <c r="Y66" s="56">
        <v>1000</v>
      </c>
    </row>
    <row r="67" spans="1:25" x14ac:dyDescent="0.25">
      <c r="B67" s="9"/>
      <c r="C67" s="17">
        <v>790.73</v>
      </c>
      <c r="D67" s="18">
        <v>39.890999999999998</v>
      </c>
      <c r="E67" s="18">
        <v>44.41</v>
      </c>
      <c r="F67" s="18">
        <v>44.881999999999998</v>
      </c>
      <c r="G67" s="18">
        <v>22.5</v>
      </c>
      <c r="H67" s="18">
        <f t="shared" si="0"/>
        <v>41.079749999999997</v>
      </c>
      <c r="I67" s="5"/>
      <c r="J67" s="17">
        <v>582.62159999999994</v>
      </c>
      <c r="K67" s="18">
        <v>40.865099999999998</v>
      </c>
      <c r="L67" s="18">
        <v>46.36</v>
      </c>
      <c r="M67" s="18">
        <v>46.9925</v>
      </c>
      <c r="N67" s="18">
        <v>34.114199999999997</v>
      </c>
      <c r="O67" s="18">
        <f t="shared" si="1"/>
        <v>42.317887499999998</v>
      </c>
      <c r="P67" s="7"/>
      <c r="Q67" s="10"/>
      <c r="R67" s="11"/>
      <c r="S67" s="11"/>
      <c r="T67" s="26"/>
      <c r="U67" s="28">
        <f t="shared" si="5"/>
        <v>0.51618666666666657</v>
      </c>
      <c r="V67" s="57">
        <f t="shared" si="7"/>
        <v>6.9729411764705859E-2</v>
      </c>
      <c r="W67" s="57">
        <f t="shared" si="6"/>
        <v>2.8964000000000094E-2</v>
      </c>
      <c r="X67" s="56">
        <v>850</v>
      </c>
      <c r="Y67" s="56">
        <v>600</v>
      </c>
    </row>
    <row r="68" spans="1:25" ht="16.5" thickBot="1" x14ac:dyDescent="0.3">
      <c r="B68" s="12"/>
      <c r="C68" s="19">
        <v>349.39</v>
      </c>
      <c r="D68" s="20">
        <v>37.097999999999999</v>
      </c>
      <c r="E68" s="20">
        <v>42.344000000000001</v>
      </c>
      <c r="F68" s="20">
        <v>43.203000000000003</v>
      </c>
      <c r="G68" s="20">
        <v>23.59</v>
      </c>
      <c r="H68" s="20">
        <f t="shared" si="0"/>
        <v>38.516874999999999</v>
      </c>
      <c r="I68" s="5"/>
      <c r="J68" s="19">
        <v>285.01760000000002</v>
      </c>
      <c r="K68" s="20">
        <v>39.013199999999998</v>
      </c>
      <c r="L68" s="20">
        <v>44.616900000000001</v>
      </c>
      <c r="M68" s="20">
        <v>45.267099999999999</v>
      </c>
      <c r="N68" s="20">
        <v>48.254800000000003</v>
      </c>
      <c r="O68" s="20">
        <f t="shared" si="1"/>
        <v>40.495400000000004</v>
      </c>
      <c r="P68" s="7"/>
      <c r="Q68" s="13"/>
      <c r="R68" s="14"/>
      <c r="S68" s="14"/>
      <c r="T68" s="27"/>
      <c r="U68" s="28">
        <f t="shared" si="5"/>
        <v>1.0455616786774058</v>
      </c>
      <c r="V68" s="57">
        <f t="shared" si="7"/>
        <v>0.12652500000000003</v>
      </c>
      <c r="W68" s="57">
        <f t="shared" si="6"/>
        <v>4.9941333333333282E-2</v>
      </c>
      <c r="X68" s="56">
        <v>400</v>
      </c>
      <c r="Y68" s="56">
        <v>300</v>
      </c>
    </row>
    <row r="69" spans="1:25" x14ac:dyDescent="0.25">
      <c r="B69" s="6" t="s">
        <v>59</v>
      </c>
      <c r="C69" s="15">
        <v>2118.4499999999998</v>
      </c>
      <c r="D69" s="16">
        <v>41.587000000000003</v>
      </c>
      <c r="E69" s="16">
        <v>45.225000000000001</v>
      </c>
      <c r="F69" s="16">
        <v>45.984000000000002</v>
      </c>
      <c r="G69" s="16">
        <v>19.54</v>
      </c>
      <c r="H69" s="16">
        <f t="shared" si="0"/>
        <v>42.591374999999999</v>
      </c>
      <c r="I69" s="5"/>
      <c r="J69" s="15">
        <v>1544.4631999999999</v>
      </c>
      <c r="K69" s="16">
        <v>42.272599999999997</v>
      </c>
      <c r="L69" s="16">
        <v>46.754100000000001</v>
      </c>
      <c r="M69" s="16">
        <v>47.5929</v>
      </c>
      <c r="N69" s="16">
        <v>25.5776</v>
      </c>
      <c r="O69" s="16">
        <f t="shared" si="1"/>
        <v>43.497824999999999</v>
      </c>
      <c r="P69" s="7"/>
      <c r="Q69" s="8">
        <f>bdrate(C69:C72,D69:D72,J69:J72,K69:K72)</f>
        <v>-0.50874301639203856</v>
      </c>
      <c r="R69" s="8">
        <f>bdrate(C69:C72,E69:E72,J69:J72,L69:L72)</f>
        <v>-0.64947334846403049</v>
      </c>
      <c r="S69" s="8">
        <f>bdrate(C69:C72,F69:F72,J69:J72,M69:M72)</f>
        <v>-0.64237600080445967</v>
      </c>
      <c r="T69" s="25">
        <f>bdrate(C69:C72,H69:H72,J69:J72,O69:O72)</f>
        <v>-0.54156030284755241</v>
      </c>
      <c r="U69" s="28">
        <f t="shared" si="5"/>
        <v>0.30898669396110551</v>
      </c>
      <c r="V69" s="57">
        <f t="shared" si="7"/>
        <v>8.7857142857141989E-3</v>
      </c>
      <c r="W69" s="57">
        <f t="shared" si="6"/>
        <v>2.9642133333333275E-2</v>
      </c>
      <c r="X69" s="56">
        <v>2100</v>
      </c>
      <c r="Y69" s="56">
        <v>1500</v>
      </c>
    </row>
    <row r="70" spans="1:25" x14ac:dyDescent="0.25">
      <c r="B70" s="9"/>
      <c r="C70" s="17">
        <v>1399.4</v>
      </c>
      <c r="D70" s="18">
        <v>40.418999999999997</v>
      </c>
      <c r="E70" s="18">
        <v>44.158000000000001</v>
      </c>
      <c r="F70" s="18">
        <v>44.994</v>
      </c>
      <c r="G70" s="18">
        <v>20.8</v>
      </c>
      <c r="H70" s="18">
        <f t="shared" si="0"/>
        <v>41.458249999999992</v>
      </c>
      <c r="I70" s="5"/>
      <c r="J70" s="17">
        <v>1016.3696</v>
      </c>
      <c r="K70" s="18">
        <v>41.402000000000001</v>
      </c>
      <c r="L70" s="18">
        <v>45.979500000000002</v>
      </c>
      <c r="M70" s="18">
        <v>46.781599999999997</v>
      </c>
      <c r="N70" s="18">
        <v>28.264600000000002</v>
      </c>
      <c r="O70" s="18">
        <f t="shared" si="1"/>
        <v>42.646637499999997</v>
      </c>
      <c r="P70" s="7"/>
      <c r="Q70" s="10"/>
      <c r="R70" s="11"/>
      <c r="S70" s="11"/>
      <c r="T70" s="26"/>
      <c r="U70" s="28">
        <f t="shared" si="5"/>
        <v>0.358875</v>
      </c>
      <c r="V70" s="57">
        <f t="shared" si="7"/>
        <v>4.2857142857136361E-4</v>
      </c>
      <c r="W70" s="57">
        <f t="shared" si="6"/>
        <v>1.6369599999999991E-2</v>
      </c>
      <c r="X70" s="56">
        <v>1400</v>
      </c>
      <c r="Y70" s="56">
        <v>1000</v>
      </c>
    </row>
    <row r="71" spans="1:25" x14ac:dyDescent="0.25">
      <c r="B71" s="9"/>
      <c r="C71" s="17">
        <v>835.62</v>
      </c>
      <c r="D71" s="18">
        <v>38.542000000000002</v>
      </c>
      <c r="E71" s="18">
        <v>42.710999999999999</v>
      </c>
      <c r="F71" s="18">
        <v>43.595999999999997</v>
      </c>
      <c r="G71" s="18">
        <v>21.84</v>
      </c>
      <c r="H71" s="18">
        <f t="shared" si="0"/>
        <v>39.694875000000003</v>
      </c>
      <c r="I71" s="5"/>
      <c r="J71" s="17">
        <v>605.55999999999995</v>
      </c>
      <c r="K71" s="18">
        <v>39.968000000000004</v>
      </c>
      <c r="L71" s="18">
        <v>44.7254</v>
      </c>
      <c r="M71" s="18">
        <v>45.520099999999999</v>
      </c>
      <c r="N71" s="18">
        <v>31.284199999999998</v>
      </c>
      <c r="O71" s="18">
        <f t="shared" si="1"/>
        <v>41.256687500000005</v>
      </c>
      <c r="P71" s="7"/>
      <c r="Q71" s="10"/>
      <c r="R71" s="11"/>
      <c r="S71" s="11"/>
      <c r="T71" s="26"/>
      <c r="U71" s="28">
        <f t="shared" si="5"/>
        <v>0.43242673992673986</v>
      </c>
      <c r="V71" s="57">
        <f t="shared" si="7"/>
        <v>1.6917647058823523E-2</v>
      </c>
      <c r="W71" s="57">
        <f t="shared" si="6"/>
        <v>9.2666666666665759E-3</v>
      </c>
      <c r="X71" s="56">
        <v>850</v>
      </c>
      <c r="Y71" s="56">
        <v>600</v>
      </c>
    </row>
    <row r="72" spans="1:25" ht="16.5" thickBot="1" x14ac:dyDescent="0.3">
      <c r="B72" s="12"/>
      <c r="C72" s="19">
        <v>381.34</v>
      </c>
      <c r="D72" s="20">
        <v>35.109000000000002</v>
      </c>
      <c r="E72" s="20">
        <v>40.634999999999998</v>
      </c>
      <c r="F72" s="20">
        <v>41.521999999999998</v>
      </c>
      <c r="G72" s="20">
        <v>23.04</v>
      </c>
      <c r="H72" s="20">
        <f t="shared" si="0"/>
        <v>36.601374999999997</v>
      </c>
      <c r="I72" s="5"/>
      <c r="J72" s="19">
        <v>299.7792</v>
      </c>
      <c r="K72" s="20">
        <v>37.339500000000001</v>
      </c>
      <c r="L72" s="20">
        <v>42.7151</v>
      </c>
      <c r="M72" s="20">
        <v>43.481400000000001</v>
      </c>
      <c r="N72" s="20">
        <v>40.924900000000001</v>
      </c>
      <c r="O72" s="20">
        <f t="shared" si="1"/>
        <v>38.779187499999999</v>
      </c>
      <c r="P72" s="7"/>
      <c r="Q72" s="13"/>
      <c r="R72" s="14"/>
      <c r="S72" s="14"/>
      <c r="T72" s="27"/>
      <c r="U72" s="28">
        <f t="shared" si="5"/>
        <v>0.77625434027777784</v>
      </c>
      <c r="V72" s="57">
        <f t="shared" si="7"/>
        <v>4.6650000000000059E-2</v>
      </c>
      <c r="W72" s="57">
        <f t="shared" si="6"/>
        <v>7.3599999999999003E-4</v>
      </c>
      <c r="X72" s="56">
        <v>400</v>
      </c>
      <c r="Y72" s="56">
        <v>300</v>
      </c>
    </row>
    <row r="73" spans="1:25" x14ac:dyDescent="0.25">
      <c r="A73" s="6" t="s">
        <v>80</v>
      </c>
      <c r="B73" s="6" t="s">
        <v>81</v>
      </c>
      <c r="C73" s="15">
        <v>1521.5</v>
      </c>
      <c r="D73" s="16">
        <v>39.348999999999997</v>
      </c>
      <c r="E73" s="16">
        <v>46.040999999999997</v>
      </c>
      <c r="F73" s="16">
        <v>44.63</v>
      </c>
      <c r="G73" s="16">
        <v>11.36</v>
      </c>
      <c r="H73" s="16">
        <f t="shared" ref="H73:H95" si="8">(6*D73+E73+F73)/8</f>
        <v>40.845624999999998</v>
      </c>
      <c r="I73" s="5"/>
      <c r="J73" s="15">
        <v>1002.3319</v>
      </c>
      <c r="K73" s="16">
        <v>38.768599999999999</v>
      </c>
      <c r="L73" s="16">
        <v>45.685099999999998</v>
      </c>
      <c r="M73" s="16">
        <v>44.316899999999997</v>
      </c>
      <c r="N73" s="16">
        <v>12.4191</v>
      </c>
      <c r="O73" s="16">
        <f t="shared" ref="O73:O116" si="9">(6*K73+L73+M73)/8</f>
        <v>40.326699999999995</v>
      </c>
      <c r="P73" s="7"/>
      <c r="Q73" s="8">
        <f>bdrate(C73:C76,D73:D76,J73:J76,K73:K76)</f>
        <v>-0.36671135985755721</v>
      </c>
      <c r="R73" s="8">
        <f>bdrate(C73:C76,E73:E76,J73:J76,L73:L76)</f>
        <v>-0.33728056785641691</v>
      </c>
      <c r="S73" s="8">
        <f>bdrate(C73:C76,F73:F76,J73:J76,M73:M76)</f>
        <v>-0.330603721393114</v>
      </c>
      <c r="T73" s="25">
        <f>bdrate(C73:C76,H73:H76,J73:J76,O73:O76)</f>
        <v>-0.36218877321401655</v>
      </c>
      <c r="U73" s="28">
        <f t="shared" ref="U73:U95" si="10">(N73-G73)/G73</f>
        <v>9.3230633802816973E-2</v>
      </c>
      <c r="V73" s="57">
        <f t="shared" ref="V73:V116" si="11">ABS(C73-X73)/X73</f>
        <v>1.4333333333333333E-2</v>
      </c>
      <c r="W73" s="57">
        <f t="shared" ref="W73:W116" si="12">ABS(J73-Y73)/Y73</f>
        <v>2.3319000000000187E-3</v>
      </c>
      <c r="X73" s="56">
        <v>1500</v>
      </c>
      <c r="Y73" s="56">
        <v>1000</v>
      </c>
    </row>
    <row r="74" spans="1:25" x14ac:dyDescent="0.25">
      <c r="A74" s="9"/>
      <c r="B74" s="9"/>
      <c r="C74" s="17">
        <v>1016.16</v>
      </c>
      <c r="D74" s="18">
        <v>37.473999999999997</v>
      </c>
      <c r="E74" s="18">
        <v>44.924999999999997</v>
      </c>
      <c r="F74" s="18">
        <v>43.478000000000002</v>
      </c>
      <c r="G74" s="18">
        <v>12.39</v>
      </c>
      <c r="H74" s="18">
        <f t="shared" si="8"/>
        <v>39.155875000000002</v>
      </c>
      <c r="I74" s="5"/>
      <c r="J74" s="17">
        <v>599.4941</v>
      </c>
      <c r="K74" s="18">
        <v>36.756399999999999</v>
      </c>
      <c r="L74" s="18">
        <v>44.463000000000001</v>
      </c>
      <c r="M74" s="18">
        <v>43.0443</v>
      </c>
      <c r="N74" s="18">
        <v>14.7415</v>
      </c>
      <c r="O74" s="18">
        <f t="shared" si="9"/>
        <v>38.505712500000001</v>
      </c>
      <c r="P74" s="7"/>
      <c r="Q74" s="10"/>
      <c r="R74" s="11"/>
      <c r="S74" s="11"/>
      <c r="T74" s="26"/>
      <c r="U74" s="28">
        <f t="shared" si="10"/>
        <v>0.18979015334947535</v>
      </c>
      <c r="V74" s="57">
        <f t="shared" si="11"/>
        <v>1.615999999999997E-2</v>
      </c>
      <c r="W74" s="57">
        <f t="shared" si="12"/>
        <v>8.4316666666666156E-4</v>
      </c>
      <c r="X74" s="56">
        <v>1000</v>
      </c>
      <c r="Y74" s="56">
        <v>600</v>
      </c>
    </row>
    <row r="75" spans="1:25" x14ac:dyDescent="0.25">
      <c r="B75" s="9"/>
      <c r="C75" s="17">
        <v>610.52</v>
      </c>
      <c r="D75" s="18">
        <v>34.866</v>
      </c>
      <c r="E75" s="18">
        <v>43.357999999999997</v>
      </c>
      <c r="F75" s="18">
        <v>41.942</v>
      </c>
      <c r="G75" s="18">
        <v>13.63</v>
      </c>
      <c r="H75" s="18">
        <f t="shared" si="8"/>
        <v>36.811999999999998</v>
      </c>
      <c r="I75" s="5"/>
      <c r="J75" s="17">
        <v>296.98759999999999</v>
      </c>
      <c r="K75" s="18">
        <v>33.828800000000001</v>
      </c>
      <c r="L75" s="18">
        <v>42.538499999999999</v>
      </c>
      <c r="M75" s="18">
        <v>41.077399999999997</v>
      </c>
      <c r="N75" s="18">
        <v>19.604900000000001</v>
      </c>
      <c r="O75" s="18">
        <f t="shared" si="9"/>
        <v>35.823587500000002</v>
      </c>
      <c r="P75" s="7"/>
      <c r="Q75" s="10"/>
      <c r="R75" s="11"/>
      <c r="S75" s="11"/>
      <c r="T75" s="26"/>
      <c r="U75" s="28">
        <f t="shared" si="10"/>
        <v>0.43836390315480556</v>
      </c>
      <c r="V75" s="57">
        <f t="shared" si="11"/>
        <v>1.7533333333333304E-2</v>
      </c>
      <c r="W75" s="57">
        <f t="shared" si="12"/>
        <v>1.004133333333338E-2</v>
      </c>
      <c r="X75" s="56">
        <v>600</v>
      </c>
      <c r="Y75" s="56">
        <v>300</v>
      </c>
    </row>
    <row r="76" spans="1:25" ht="16.5" thickBot="1" x14ac:dyDescent="0.3">
      <c r="B76" s="12"/>
      <c r="C76" s="19">
        <v>304.77</v>
      </c>
      <c r="D76" s="20">
        <v>30.616</v>
      </c>
      <c r="E76" s="20">
        <v>41.134</v>
      </c>
      <c r="F76" s="20">
        <v>39.813000000000002</v>
      </c>
      <c r="G76" s="20">
        <v>15.34</v>
      </c>
      <c r="H76" s="20">
        <f t="shared" si="8"/>
        <v>33.080374999999997</v>
      </c>
      <c r="I76" s="5"/>
      <c r="J76" s="19">
        <v>197.31129999999999</v>
      </c>
      <c r="K76" s="20">
        <v>31.9331</v>
      </c>
      <c r="L76" s="20">
        <v>41.275799999999997</v>
      </c>
      <c r="M76" s="20">
        <v>39.779600000000002</v>
      </c>
      <c r="N76" s="20">
        <v>22.193200000000001</v>
      </c>
      <c r="O76" s="20">
        <f t="shared" si="9"/>
        <v>34.08175</v>
      </c>
      <c r="P76" s="7"/>
      <c r="Q76" s="13"/>
      <c r="R76" s="14"/>
      <c r="S76" s="14"/>
      <c r="T76" s="27"/>
      <c r="U76" s="28">
        <f t="shared" si="10"/>
        <v>0.44675358539765325</v>
      </c>
      <c r="V76" s="57">
        <f t="shared" si="11"/>
        <v>1.5899999999999938E-2</v>
      </c>
      <c r="W76" s="57">
        <f t="shared" si="12"/>
        <v>1.3443500000000058E-2</v>
      </c>
      <c r="X76" s="56">
        <v>300</v>
      </c>
      <c r="Y76" s="56">
        <v>200</v>
      </c>
    </row>
    <row r="77" spans="1:25" x14ac:dyDescent="0.25">
      <c r="B77" s="6" t="s">
        <v>82</v>
      </c>
      <c r="C77" s="29">
        <v>1486.57</v>
      </c>
      <c r="D77" s="30">
        <v>40.802</v>
      </c>
      <c r="E77" s="30">
        <v>46.600999999999999</v>
      </c>
      <c r="F77" s="30">
        <v>46.155000000000001</v>
      </c>
      <c r="G77" s="16">
        <v>12.14</v>
      </c>
      <c r="H77" s="16">
        <f t="shared" si="8"/>
        <v>42.195999999999998</v>
      </c>
      <c r="I77" s="5"/>
      <c r="J77" s="29">
        <v>1005.1199</v>
      </c>
      <c r="K77" s="30">
        <v>40.152799999999999</v>
      </c>
      <c r="L77" s="30">
        <v>46.159199999999998</v>
      </c>
      <c r="M77" s="30">
        <v>45.948999999999998</v>
      </c>
      <c r="N77" s="16">
        <v>13.5342</v>
      </c>
      <c r="O77" s="16">
        <f t="shared" si="9"/>
        <v>41.628125000000004</v>
      </c>
      <c r="P77" s="7"/>
      <c r="Q77" s="8">
        <f>bdrate(C77:C80,D77:D80,J77:J80,K77:K80)</f>
        <v>-0.35532352362923758</v>
      </c>
      <c r="R77" s="8">
        <f>bdrate(C77:C80,E77:E80,J77:J80,L77:L80)</f>
        <v>-0.32722735635659395</v>
      </c>
      <c r="S77" s="8">
        <f>bdrate(C77:C80,F77:F80,J77:J80,M77:M80)</f>
        <v>-0.37408291310914477</v>
      </c>
      <c r="T77" s="25">
        <f>bdrate(C77:C80,H77:H80,J77:J80,O77:O80)</f>
        <v>-0.35502158793056593</v>
      </c>
      <c r="U77" s="28">
        <f t="shared" si="10"/>
        <v>0.1148434925864909</v>
      </c>
      <c r="V77" s="57">
        <f t="shared" si="11"/>
        <v>8.9533333333333756E-3</v>
      </c>
      <c r="W77" s="57">
        <f t="shared" si="12"/>
        <v>5.1199000000000296E-3</v>
      </c>
      <c r="X77" s="56">
        <v>1500</v>
      </c>
      <c r="Y77" s="56">
        <v>1000</v>
      </c>
    </row>
    <row r="78" spans="1:25" x14ac:dyDescent="0.25">
      <c r="B78" s="9"/>
      <c r="C78" s="31">
        <v>988.45</v>
      </c>
      <c r="D78" s="32">
        <v>38.96</v>
      </c>
      <c r="E78" s="32">
        <v>45.542000000000002</v>
      </c>
      <c r="F78" s="32">
        <v>45.122</v>
      </c>
      <c r="G78" s="18">
        <v>13.15</v>
      </c>
      <c r="H78" s="18">
        <f t="shared" si="8"/>
        <v>40.553000000000004</v>
      </c>
      <c r="I78" s="5"/>
      <c r="J78" s="31">
        <v>603.43780000000004</v>
      </c>
      <c r="K78" s="32">
        <v>38.334000000000003</v>
      </c>
      <c r="L78" s="32">
        <v>45.145899999999997</v>
      </c>
      <c r="M78" s="32">
        <v>44.948300000000003</v>
      </c>
      <c r="N78" s="18">
        <v>15.672800000000001</v>
      </c>
      <c r="O78" s="18">
        <f t="shared" si="9"/>
        <v>40.012275000000002</v>
      </c>
      <c r="P78" s="7"/>
      <c r="Q78" s="10"/>
      <c r="R78" s="11"/>
      <c r="S78" s="11"/>
      <c r="T78" s="26"/>
      <c r="U78" s="28">
        <f t="shared" si="10"/>
        <v>0.19184790874524715</v>
      </c>
      <c r="V78" s="57">
        <f t="shared" si="11"/>
        <v>1.1549999999999954E-2</v>
      </c>
      <c r="W78" s="57">
        <f t="shared" si="12"/>
        <v>5.7296666666667309E-3</v>
      </c>
      <c r="X78" s="56">
        <v>1000</v>
      </c>
      <c r="Y78" s="56">
        <v>600</v>
      </c>
    </row>
    <row r="79" spans="1:25" x14ac:dyDescent="0.25">
      <c r="B79" s="9"/>
      <c r="C79" s="31">
        <v>590.29</v>
      </c>
      <c r="D79" s="32">
        <v>36.533999999999999</v>
      </c>
      <c r="E79" s="32">
        <v>44.155000000000001</v>
      </c>
      <c r="F79" s="32">
        <v>43.734999999999999</v>
      </c>
      <c r="G79" s="18">
        <v>14.38</v>
      </c>
      <c r="H79" s="18">
        <f t="shared" si="8"/>
        <v>38.386750000000006</v>
      </c>
      <c r="I79" s="5"/>
      <c r="J79" s="31">
        <v>300.84190000000001</v>
      </c>
      <c r="K79" s="32">
        <v>35.811500000000002</v>
      </c>
      <c r="L79" s="32">
        <v>43.571300000000001</v>
      </c>
      <c r="M79" s="32">
        <v>43.3078</v>
      </c>
      <c r="N79" s="18">
        <v>20.318100000000001</v>
      </c>
      <c r="O79" s="18">
        <f t="shared" si="9"/>
        <v>37.718512500000003</v>
      </c>
      <c r="P79" s="7"/>
      <c r="Q79" s="10"/>
      <c r="R79" s="11"/>
      <c r="S79" s="11"/>
      <c r="T79" s="26"/>
      <c r="U79" s="28">
        <f t="shared" si="10"/>
        <v>0.41294158553546595</v>
      </c>
      <c r="V79" s="57">
        <f t="shared" si="11"/>
        <v>1.6183333333333393E-2</v>
      </c>
      <c r="W79" s="57">
        <f t="shared" si="12"/>
        <v>2.8063333333333655E-3</v>
      </c>
      <c r="X79" s="56">
        <v>600</v>
      </c>
      <c r="Y79" s="56">
        <v>300</v>
      </c>
    </row>
    <row r="80" spans="1:25" ht="16.5" thickBot="1" x14ac:dyDescent="0.3">
      <c r="B80" s="12"/>
      <c r="C80" s="33">
        <v>294.12</v>
      </c>
      <c r="D80" s="34">
        <v>32.67</v>
      </c>
      <c r="E80" s="34">
        <v>42.201999999999998</v>
      </c>
      <c r="F80" s="34">
        <v>41.738</v>
      </c>
      <c r="G80" s="20">
        <v>15.98</v>
      </c>
      <c r="H80" s="20">
        <f t="shared" si="8"/>
        <v>34.995000000000005</v>
      </c>
      <c r="I80" s="5"/>
      <c r="J80" s="33">
        <v>199.86170000000001</v>
      </c>
      <c r="K80" s="34">
        <v>34.202100000000002</v>
      </c>
      <c r="L80" s="34">
        <v>42.553400000000003</v>
      </c>
      <c r="M80" s="34">
        <v>42.287500000000001</v>
      </c>
      <c r="N80" s="20">
        <v>23.9772</v>
      </c>
      <c r="O80" s="20">
        <f t="shared" si="9"/>
        <v>36.256687500000005</v>
      </c>
      <c r="P80" s="7"/>
      <c r="Q80" s="13"/>
      <c r="R80" s="14"/>
      <c r="S80" s="14"/>
      <c r="T80" s="27"/>
      <c r="U80" s="28">
        <f t="shared" si="10"/>
        <v>0.50045056320400494</v>
      </c>
      <c r="V80" s="57">
        <f t="shared" si="11"/>
        <v>1.9599999999999985E-2</v>
      </c>
      <c r="W80" s="57">
        <f t="shared" si="12"/>
        <v>6.9149999999993381E-4</v>
      </c>
      <c r="X80" s="56">
        <v>300</v>
      </c>
      <c r="Y80" s="56">
        <v>200</v>
      </c>
    </row>
    <row r="81" spans="2:25" x14ac:dyDescent="0.25">
      <c r="B81" s="6" t="s">
        <v>83</v>
      </c>
      <c r="C81" s="15">
        <v>1519.51</v>
      </c>
      <c r="D81" s="16">
        <v>37.308999999999997</v>
      </c>
      <c r="E81" s="16">
        <v>45.987000000000002</v>
      </c>
      <c r="F81" s="16">
        <v>44.19</v>
      </c>
      <c r="G81" s="16">
        <v>12.35</v>
      </c>
      <c r="H81" s="16">
        <f t="shared" si="8"/>
        <v>39.253875000000001</v>
      </c>
      <c r="I81" s="5"/>
      <c r="J81" s="15">
        <v>1004.3526000000001</v>
      </c>
      <c r="K81" s="16">
        <v>36.900500000000001</v>
      </c>
      <c r="L81" s="16">
        <v>45.908200000000001</v>
      </c>
      <c r="M81" s="16">
        <v>44.264200000000002</v>
      </c>
      <c r="N81" s="16">
        <v>11.8781</v>
      </c>
      <c r="O81" s="16">
        <f t="shared" si="9"/>
        <v>38.946925000000007</v>
      </c>
      <c r="P81" s="7"/>
      <c r="Q81" s="8">
        <f>bdrate(C81:C84,D81:D84,J81:J84,K81:K84)</f>
        <v>-0.37573891660812198</v>
      </c>
      <c r="R81" s="8">
        <f>bdrate(C81:C84,E81:E84,J81:J84,L81:L84)</f>
        <v>-0.3612454014816201</v>
      </c>
      <c r="S81" s="8">
        <f>bdrate(C81:C84,F81:F84,J81:J84,M81:M84)</f>
        <v>-0.40091022794677511</v>
      </c>
      <c r="T81" s="25">
        <f>bdrate(C81:C84,H81:H84,J81:J84,O81:O84)</f>
        <v>-0.37673191830257269</v>
      </c>
      <c r="U81" s="28">
        <f t="shared" si="10"/>
        <v>-3.8210526315789459E-2</v>
      </c>
      <c r="V81" s="57">
        <f t="shared" si="11"/>
        <v>1.3006666666666661E-2</v>
      </c>
      <c r="W81" s="57">
        <f t="shared" si="12"/>
        <v>4.3526000000000519E-3</v>
      </c>
      <c r="X81" s="56">
        <v>1500</v>
      </c>
      <c r="Y81" s="56">
        <v>1000</v>
      </c>
    </row>
    <row r="82" spans="2:25" x14ac:dyDescent="0.25">
      <c r="B82" s="9"/>
      <c r="C82" s="17">
        <v>1014.69</v>
      </c>
      <c r="D82" s="18">
        <v>35.613999999999997</v>
      </c>
      <c r="E82" s="18">
        <v>45.014000000000003</v>
      </c>
      <c r="F82" s="18">
        <v>43.140999999999998</v>
      </c>
      <c r="G82" s="18">
        <v>13.31</v>
      </c>
      <c r="H82" s="18">
        <f t="shared" si="8"/>
        <v>37.729875</v>
      </c>
      <c r="I82" s="5"/>
      <c r="J82" s="17">
        <v>600.6825</v>
      </c>
      <c r="K82" s="18">
        <v>35.101799999999997</v>
      </c>
      <c r="L82" s="18">
        <v>44.795200000000001</v>
      </c>
      <c r="M82" s="18">
        <v>43.106299999999997</v>
      </c>
      <c r="N82" s="18">
        <v>14.5467</v>
      </c>
      <c r="O82" s="18">
        <f t="shared" si="9"/>
        <v>37.314037499999998</v>
      </c>
      <c r="P82" s="7"/>
      <c r="Q82" s="10"/>
      <c r="R82" s="11"/>
      <c r="S82" s="11"/>
      <c r="T82" s="26"/>
      <c r="U82" s="28">
        <f t="shared" si="10"/>
        <v>9.2915101427498051E-2</v>
      </c>
      <c r="V82" s="57">
        <f t="shared" si="11"/>
        <v>1.4690000000000054E-2</v>
      </c>
      <c r="W82" s="57">
        <f t="shared" si="12"/>
        <v>1.1375000000000076E-3</v>
      </c>
      <c r="X82" s="56">
        <v>1000</v>
      </c>
      <c r="Y82" s="56">
        <v>600</v>
      </c>
    </row>
    <row r="83" spans="2:25" x14ac:dyDescent="0.25">
      <c r="B83" s="9"/>
      <c r="C83" s="17">
        <v>608.51</v>
      </c>
      <c r="D83" s="18">
        <v>33.343000000000004</v>
      </c>
      <c r="E83" s="18">
        <v>43.753</v>
      </c>
      <c r="F83" s="18">
        <v>41.843000000000004</v>
      </c>
      <c r="G83" s="18">
        <v>14.52</v>
      </c>
      <c r="H83" s="18">
        <f t="shared" si="8"/>
        <v>35.706750000000007</v>
      </c>
      <c r="I83" s="5"/>
      <c r="J83" s="17">
        <v>298.05459999999999</v>
      </c>
      <c r="K83" s="18">
        <v>32.528100000000002</v>
      </c>
      <c r="L83" s="18">
        <v>43.095399999999998</v>
      </c>
      <c r="M83" s="18">
        <v>41.333100000000002</v>
      </c>
      <c r="N83" s="18">
        <v>18.952000000000002</v>
      </c>
      <c r="O83" s="18">
        <f t="shared" si="9"/>
        <v>34.949637500000001</v>
      </c>
      <c r="P83" s="7"/>
      <c r="Q83" s="10"/>
      <c r="R83" s="11"/>
      <c r="S83" s="11"/>
      <c r="T83" s="26"/>
      <c r="U83" s="28">
        <f t="shared" si="10"/>
        <v>0.30523415977961449</v>
      </c>
      <c r="V83" s="57">
        <f t="shared" si="11"/>
        <v>1.4183333333333319E-2</v>
      </c>
      <c r="W83" s="57">
        <f t="shared" si="12"/>
        <v>6.484666666666688E-3</v>
      </c>
      <c r="X83" s="56">
        <v>600</v>
      </c>
      <c r="Y83" s="56">
        <v>300</v>
      </c>
    </row>
    <row r="84" spans="2:25" ht="16.5" thickBot="1" x14ac:dyDescent="0.3">
      <c r="B84" s="12"/>
      <c r="C84" s="19">
        <v>303.58</v>
      </c>
      <c r="D84" s="20">
        <v>29.734999999999999</v>
      </c>
      <c r="E84" s="20">
        <v>41.829000000000001</v>
      </c>
      <c r="F84" s="20">
        <v>39.956000000000003</v>
      </c>
      <c r="G84" s="20">
        <v>16.11</v>
      </c>
      <c r="H84" s="20">
        <f t="shared" si="8"/>
        <v>32.524374999999999</v>
      </c>
      <c r="I84" s="5"/>
      <c r="J84" s="19">
        <v>197.8357</v>
      </c>
      <c r="K84" s="20">
        <v>30.9177</v>
      </c>
      <c r="L84" s="20">
        <v>42.165700000000001</v>
      </c>
      <c r="M84" s="20">
        <v>40.3245</v>
      </c>
      <c r="N84" s="20">
        <v>23.170400000000001</v>
      </c>
      <c r="O84" s="20">
        <f t="shared" si="9"/>
        <v>33.499549999999999</v>
      </c>
      <c r="P84" s="7"/>
      <c r="Q84" s="13"/>
      <c r="R84" s="14"/>
      <c r="S84" s="14"/>
      <c r="T84" s="27"/>
      <c r="U84" s="28">
        <f t="shared" si="10"/>
        <v>0.43826194909993804</v>
      </c>
      <c r="V84" s="57">
        <f t="shared" si="11"/>
        <v>1.193333333333328E-2</v>
      </c>
      <c r="W84" s="57">
        <f t="shared" si="12"/>
        <v>1.0821499999999986E-2</v>
      </c>
      <c r="X84" s="56">
        <v>300</v>
      </c>
      <c r="Y84" s="56">
        <v>200</v>
      </c>
    </row>
    <row r="85" spans="2:25" x14ac:dyDescent="0.25">
      <c r="B85" s="6" t="s">
        <v>84</v>
      </c>
      <c r="C85" s="15">
        <v>1496.69</v>
      </c>
      <c r="D85" s="16">
        <v>36.31</v>
      </c>
      <c r="E85" s="16">
        <v>45.935000000000002</v>
      </c>
      <c r="F85" s="16">
        <v>44.107999999999997</v>
      </c>
      <c r="G85" s="16">
        <v>12</v>
      </c>
      <c r="H85" s="16">
        <f t="shared" si="8"/>
        <v>38.487875000000003</v>
      </c>
      <c r="I85" s="5"/>
      <c r="J85" s="15">
        <v>1001.2465999999999</v>
      </c>
      <c r="K85" s="16">
        <v>35.798499999999997</v>
      </c>
      <c r="L85" s="16">
        <v>45.727200000000003</v>
      </c>
      <c r="M85" s="16">
        <v>44.182099999999998</v>
      </c>
      <c r="N85" s="16">
        <v>12.2136</v>
      </c>
      <c r="O85" s="16">
        <f t="shared" si="9"/>
        <v>38.087537499999996</v>
      </c>
      <c r="P85" s="7"/>
      <c r="Q85" s="8">
        <f>bdrate(C85:C88,D85:D88,J85:J88,K85:K88)</f>
        <v>-0.35457300041226969</v>
      </c>
      <c r="R85" s="8">
        <f>bdrate(C85:C88,E85:E88,J85:J88,L85:L88)</f>
        <v>-0.32723964587614618</v>
      </c>
      <c r="S85" s="8">
        <f>bdrate(C85:C88,F85:F88,J85:J88,M85:M88)</f>
        <v>-0.40404656875815759</v>
      </c>
      <c r="T85" s="25">
        <f>bdrate(C85:C88,H85:H88,J85:J88,O85:O88)</f>
        <v>-0.35654457514131188</v>
      </c>
      <c r="U85" s="28">
        <f t="shared" si="10"/>
        <v>1.7799999999999965E-2</v>
      </c>
      <c r="V85" s="57">
        <f t="shared" si="11"/>
        <v>2.2066666666666302E-3</v>
      </c>
      <c r="W85" s="57">
        <f t="shared" si="12"/>
        <v>1.2465999999999439E-3</v>
      </c>
      <c r="X85" s="56">
        <v>1500</v>
      </c>
      <c r="Y85" s="56">
        <v>1000</v>
      </c>
    </row>
    <row r="86" spans="2:25" x14ac:dyDescent="0.25">
      <c r="B86" s="9"/>
      <c r="C86" s="17">
        <v>996.55</v>
      </c>
      <c r="D86" s="18">
        <v>34.643000000000001</v>
      </c>
      <c r="E86" s="18">
        <v>44.918999999999997</v>
      </c>
      <c r="F86" s="18">
        <v>43.012999999999998</v>
      </c>
      <c r="G86" s="18">
        <v>12.97</v>
      </c>
      <c r="H86" s="18">
        <f t="shared" si="8"/>
        <v>36.973749999999995</v>
      </c>
      <c r="I86" s="5"/>
      <c r="J86" s="17">
        <v>599.83460000000002</v>
      </c>
      <c r="K86" s="18">
        <v>34.040199999999999</v>
      </c>
      <c r="L86" s="18">
        <v>44.599800000000002</v>
      </c>
      <c r="M86" s="18">
        <v>43.05</v>
      </c>
      <c r="N86" s="18">
        <v>14.601800000000001</v>
      </c>
      <c r="O86" s="18">
        <f t="shared" si="9"/>
        <v>36.486375000000002</v>
      </c>
      <c r="P86" s="7"/>
      <c r="Q86" s="10"/>
      <c r="R86" s="11"/>
      <c r="S86" s="11"/>
      <c r="T86" s="26"/>
      <c r="U86" s="28">
        <f t="shared" si="10"/>
        <v>0.12581341557440248</v>
      </c>
      <c r="V86" s="57">
        <f t="shared" si="11"/>
        <v>3.4500000000000455E-3</v>
      </c>
      <c r="W86" s="57">
        <f t="shared" si="12"/>
        <v>2.7566666666662814E-4</v>
      </c>
      <c r="X86" s="56">
        <v>1000</v>
      </c>
      <c r="Y86" s="56">
        <v>600</v>
      </c>
    </row>
    <row r="87" spans="2:25" x14ac:dyDescent="0.25">
      <c r="B87" s="9"/>
      <c r="C87" s="17">
        <v>597.4</v>
      </c>
      <c r="D87" s="18">
        <v>32.417000000000002</v>
      </c>
      <c r="E87" s="18">
        <v>43.694000000000003</v>
      </c>
      <c r="F87" s="18">
        <v>41.786999999999999</v>
      </c>
      <c r="G87" s="18">
        <v>14.2</v>
      </c>
      <c r="H87" s="18">
        <f t="shared" si="8"/>
        <v>34.997875000000001</v>
      </c>
      <c r="I87" s="5"/>
      <c r="J87" s="17">
        <v>297.94060000000002</v>
      </c>
      <c r="K87" s="18">
        <v>31.5839</v>
      </c>
      <c r="L87" s="18">
        <v>42.997700000000002</v>
      </c>
      <c r="M87" s="18">
        <v>41.349800000000002</v>
      </c>
      <c r="N87" s="18">
        <v>19.238600000000002</v>
      </c>
      <c r="O87" s="18">
        <f t="shared" si="9"/>
        <v>34.231362500000003</v>
      </c>
      <c r="P87" s="7"/>
      <c r="Q87" s="10"/>
      <c r="R87" s="11"/>
      <c r="S87" s="11"/>
      <c r="T87" s="26"/>
      <c r="U87" s="28">
        <f t="shared" si="10"/>
        <v>0.35483098591549317</v>
      </c>
      <c r="V87" s="57">
        <f t="shared" si="11"/>
        <v>4.3333333333333713E-3</v>
      </c>
      <c r="W87" s="57">
        <f t="shared" si="12"/>
        <v>6.8646666666666075E-3</v>
      </c>
      <c r="X87" s="56">
        <v>600</v>
      </c>
      <c r="Y87" s="56">
        <v>300</v>
      </c>
    </row>
    <row r="88" spans="2:25" ht="16.5" thickBot="1" x14ac:dyDescent="0.3">
      <c r="B88" s="12"/>
      <c r="C88" s="19">
        <v>298.64</v>
      </c>
      <c r="D88" s="20">
        <v>28.91</v>
      </c>
      <c r="E88" s="20">
        <v>41.85</v>
      </c>
      <c r="F88" s="20">
        <v>39.969000000000001</v>
      </c>
      <c r="G88" s="20">
        <v>15.86</v>
      </c>
      <c r="H88" s="20">
        <f t="shared" si="8"/>
        <v>31.909875</v>
      </c>
      <c r="I88" s="5"/>
      <c r="J88" s="19">
        <v>197.37909999999999</v>
      </c>
      <c r="K88" s="20">
        <v>30.0365</v>
      </c>
      <c r="L88" s="20">
        <v>42.148499999999999</v>
      </c>
      <c r="M88" s="20">
        <v>40.435400000000001</v>
      </c>
      <c r="N88" s="20">
        <v>23.983000000000001</v>
      </c>
      <c r="O88" s="20">
        <f t="shared" si="9"/>
        <v>32.850362500000003</v>
      </c>
      <c r="P88" s="7"/>
      <c r="Q88" s="13"/>
      <c r="R88" s="14"/>
      <c r="S88" s="14"/>
      <c r="T88" s="27"/>
      <c r="U88" s="28">
        <f t="shared" si="10"/>
        <v>0.51216897856242127</v>
      </c>
      <c r="V88" s="57">
        <f t="shared" si="11"/>
        <v>4.5333333333333788E-3</v>
      </c>
      <c r="W88" s="57">
        <f t="shared" si="12"/>
        <v>1.3104500000000029E-2</v>
      </c>
      <c r="X88" s="56">
        <v>300</v>
      </c>
      <c r="Y88" s="56">
        <v>200</v>
      </c>
    </row>
    <row r="89" spans="2:25" x14ac:dyDescent="0.25">
      <c r="B89" s="6" t="s">
        <v>85</v>
      </c>
      <c r="C89" s="15">
        <v>1511.91</v>
      </c>
      <c r="D89" s="16">
        <v>41.594999999999999</v>
      </c>
      <c r="E89" s="16">
        <v>48.527999999999999</v>
      </c>
      <c r="F89" s="16">
        <v>47.673999999999999</v>
      </c>
      <c r="G89" s="16">
        <v>13.41</v>
      </c>
      <c r="H89" s="16">
        <f t="shared" si="8"/>
        <v>43.221499999999999</v>
      </c>
      <c r="I89" s="5"/>
      <c r="J89" s="15">
        <v>1006.473</v>
      </c>
      <c r="K89" s="16">
        <v>40.9758</v>
      </c>
      <c r="L89" s="16">
        <v>48.052700000000002</v>
      </c>
      <c r="M89" s="16">
        <v>47.563000000000002</v>
      </c>
      <c r="N89" s="16">
        <v>13.4979</v>
      </c>
      <c r="O89" s="16">
        <f t="shared" si="9"/>
        <v>42.683812500000002</v>
      </c>
      <c r="P89" s="7"/>
      <c r="Q89" s="8">
        <f>bdrate(C89:C92,D89:D92,J89:J92,K89:K92)</f>
        <v>-0.35483528751555948</v>
      </c>
      <c r="R89" s="8">
        <f>bdrate(C89:C92,E89:E92,J89:J92,L89:L92)</f>
        <v>-0.33958211368772317</v>
      </c>
      <c r="S89" s="8">
        <f>bdrate(C89:C92,F89:F92,J89:J92,M89:M92)</f>
        <v>-0.45123522792847659</v>
      </c>
      <c r="T89" s="25">
        <f>bdrate(C89:C92,H89:H92,J89:J92,O89:O92)</f>
        <v>-0.36310724184013599</v>
      </c>
      <c r="U89" s="28">
        <f t="shared" si="10"/>
        <v>6.5548098434004042E-3</v>
      </c>
      <c r="V89" s="57">
        <f t="shared" si="11"/>
        <v>7.9400000000000547E-3</v>
      </c>
      <c r="W89" s="57">
        <f t="shared" si="12"/>
        <v>6.4729999999999562E-3</v>
      </c>
      <c r="X89" s="56">
        <v>1500</v>
      </c>
      <c r="Y89" s="56">
        <v>1000</v>
      </c>
    </row>
    <row r="90" spans="2:25" x14ac:dyDescent="0.25">
      <c r="B90" s="9"/>
      <c r="C90" s="17">
        <v>1007.32</v>
      </c>
      <c r="D90" s="18">
        <v>40.204000000000001</v>
      </c>
      <c r="E90" s="18">
        <v>47.637</v>
      </c>
      <c r="F90" s="18">
        <v>46.655000000000001</v>
      </c>
      <c r="G90" s="18">
        <v>14.64</v>
      </c>
      <c r="H90" s="18">
        <f t="shared" si="8"/>
        <v>41.939499999999995</v>
      </c>
      <c r="I90" s="5"/>
      <c r="J90" s="17">
        <v>602.35680000000002</v>
      </c>
      <c r="K90" s="18">
        <v>39.643000000000001</v>
      </c>
      <c r="L90" s="18">
        <v>47.356099999999998</v>
      </c>
      <c r="M90" s="18">
        <v>46.819000000000003</v>
      </c>
      <c r="N90" s="18">
        <v>15.6968</v>
      </c>
      <c r="O90" s="18">
        <f t="shared" si="9"/>
        <v>41.504137500000006</v>
      </c>
      <c r="P90" s="7"/>
      <c r="Q90" s="10"/>
      <c r="R90" s="11"/>
      <c r="S90" s="11"/>
      <c r="T90" s="26"/>
      <c r="U90" s="28">
        <f t="shared" si="10"/>
        <v>7.2185792349726705E-2</v>
      </c>
      <c r="V90" s="57">
        <f t="shared" si="11"/>
        <v>7.3200000000000504E-3</v>
      </c>
      <c r="W90" s="57">
        <f t="shared" si="12"/>
        <v>3.9280000000000348E-3</v>
      </c>
      <c r="X90" s="56">
        <v>1000</v>
      </c>
      <c r="Y90" s="56">
        <v>600</v>
      </c>
    </row>
    <row r="91" spans="2:25" x14ac:dyDescent="0.25">
      <c r="B91" s="9"/>
      <c r="C91" s="17">
        <v>603.64</v>
      </c>
      <c r="D91" s="18">
        <v>38.436999999999998</v>
      </c>
      <c r="E91" s="18">
        <v>46.625</v>
      </c>
      <c r="F91" s="18">
        <v>45.646999999999998</v>
      </c>
      <c r="G91" s="18">
        <v>16.04</v>
      </c>
      <c r="H91" s="18">
        <f t="shared" si="8"/>
        <v>40.361749999999994</v>
      </c>
      <c r="I91" s="5"/>
      <c r="J91" s="17">
        <v>296.76029999999997</v>
      </c>
      <c r="K91" s="18">
        <v>37.7241</v>
      </c>
      <c r="L91" s="18">
        <v>46.043399999999998</v>
      </c>
      <c r="M91" s="18">
        <v>45.5047</v>
      </c>
      <c r="N91" s="18">
        <v>20.994800000000001</v>
      </c>
      <c r="O91" s="18">
        <f t="shared" si="9"/>
        <v>39.736587500000006</v>
      </c>
      <c r="P91" s="7"/>
      <c r="Q91" s="10"/>
      <c r="R91" s="11"/>
      <c r="S91" s="11"/>
      <c r="T91" s="26"/>
      <c r="U91" s="28">
        <f t="shared" si="10"/>
        <v>0.30890274314214478</v>
      </c>
      <c r="V91" s="57">
        <f t="shared" si="11"/>
        <v>6.0666666666666438E-3</v>
      </c>
      <c r="W91" s="57">
        <f t="shared" si="12"/>
        <v>1.0799000000000092E-2</v>
      </c>
      <c r="X91" s="56">
        <v>600</v>
      </c>
      <c r="Y91" s="56">
        <v>300</v>
      </c>
    </row>
    <row r="92" spans="2:25" ht="16.5" thickBot="1" x14ac:dyDescent="0.3">
      <c r="B92" s="12"/>
      <c r="C92" s="19">
        <v>301.98</v>
      </c>
      <c r="D92" s="20">
        <v>35.35</v>
      </c>
      <c r="E92" s="20">
        <v>44.813000000000002</v>
      </c>
      <c r="F92" s="20">
        <v>44.045999999999999</v>
      </c>
      <c r="G92" s="20">
        <v>17.649999999999999</v>
      </c>
      <c r="H92" s="20">
        <f t="shared" si="8"/>
        <v>37.619875</v>
      </c>
      <c r="I92" s="5"/>
      <c r="J92" s="19">
        <v>192.62039999999999</v>
      </c>
      <c r="K92" s="20">
        <v>36.409599999999998</v>
      </c>
      <c r="L92" s="20">
        <v>45.037799999999997</v>
      </c>
      <c r="M92" s="20">
        <v>44.464500000000001</v>
      </c>
      <c r="N92" s="20">
        <v>23.7468</v>
      </c>
      <c r="O92" s="20">
        <f t="shared" si="9"/>
        <v>38.494987499999993</v>
      </c>
      <c r="P92" s="7"/>
      <c r="Q92" s="13"/>
      <c r="R92" s="14"/>
      <c r="S92" s="14"/>
      <c r="T92" s="27"/>
      <c r="U92" s="28">
        <f t="shared" si="10"/>
        <v>0.34542776203966019</v>
      </c>
      <c r="V92" s="57">
        <f t="shared" si="11"/>
        <v>6.6000000000000607E-3</v>
      </c>
      <c r="W92" s="57">
        <f t="shared" si="12"/>
        <v>3.6898000000000056E-2</v>
      </c>
      <c r="X92" s="56">
        <v>300</v>
      </c>
      <c r="Y92" s="56">
        <v>200</v>
      </c>
    </row>
    <row r="93" spans="2:25" x14ac:dyDescent="0.25">
      <c r="B93" s="6" t="s">
        <v>86</v>
      </c>
      <c r="C93" s="15">
        <v>1503.84</v>
      </c>
      <c r="D93" s="16">
        <v>41.737000000000002</v>
      </c>
      <c r="E93" s="16">
        <v>49.392000000000003</v>
      </c>
      <c r="F93" s="16">
        <v>49.238999999999997</v>
      </c>
      <c r="G93" s="16">
        <v>13.51</v>
      </c>
      <c r="H93" s="16">
        <f t="shared" si="8"/>
        <v>43.631625</v>
      </c>
      <c r="I93" s="5"/>
      <c r="J93" s="15">
        <v>1006.8681</v>
      </c>
      <c r="K93" s="16">
        <v>41.636099999999999</v>
      </c>
      <c r="L93" s="16">
        <v>49.2393</v>
      </c>
      <c r="M93" s="16">
        <v>49.001600000000003</v>
      </c>
      <c r="N93" s="16">
        <v>13.950799999999999</v>
      </c>
      <c r="O93" s="16">
        <f t="shared" si="9"/>
        <v>43.507187500000001</v>
      </c>
      <c r="P93" s="7"/>
      <c r="Q93" s="8">
        <f>bdrate(C93:C96,D93:D96,J93:J96,K93:K96)</f>
        <v>-0.43883610648264881</v>
      </c>
      <c r="R93" s="8">
        <f>bdrate(C93:C96,E93:E96,J93:J96,L93:L96)</f>
        <v>-0.43853696490531902</v>
      </c>
      <c r="S93" s="8">
        <f>bdrate(C93:C96,F93:F96,J93:J96,M93:M96)</f>
        <v>-0.43721160906745804</v>
      </c>
      <c r="T93" s="25">
        <f>bdrate(C93:C96,H93:H96,J93:J96,O93:O96)</f>
        <v>-0.43842801567679957</v>
      </c>
      <c r="U93" s="28">
        <f t="shared" si="10"/>
        <v>3.2627683197631339E-2</v>
      </c>
      <c r="V93" s="57">
        <f t="shared" si="11"/>
        <v>2.5599999999999456E-3</v>
      </c>
      <c r="W93" s="57">
        <f t="shared" si="12"/>
        <v>6.8681000000000271E-3</v>
      </c>
      <c r="X93" s="56">
        <v>1500</v>
      </c>
      <c r="Y93" s="56">
        <v>1000</v>
      </c>
    </row>
    <row r="94" spans="2:25" x14ac:dyDescent="0.25">
      <c r="B94" s="9"/>
      <c r="C94" s="17">
        <v>995.53</v>
      </c>
      <c r="D94" s="18">
        <v>40.792999999999999</v>
      </c>
      <c r="E94" s="18">
        <v>48.857999999999997</v>
      </c>
      <c r="F94" s="18">
        <v>48.738</v>
      </c>
      <c r="G94" s="18">
        <v>14.72</v>
      </c>
      <c r="H94" s="18">
        <f t="shared" si="8"/>
        <v>42.794249999999998</v>
      </c>
      <c r="I94" s="5"/>
      <c r="J94" s="17">
        <v>592.20489999999995</v>
      </c>
      <c r="K94" s="18">
        <v>40.721499999999999</v>
      </c>
      <c r="L94" s="18">
        <v>48.799199999999999</v>
      </c>
      <c r="M94" s="18">
        <v>48.631799999999998</v>
      </c>
      <c r="N94" s="18">
        <v>17.102399999999999</v>
      </c>
      <c r="O94" s="18">
        <f t="shared" si="9"/>
        <v>42.72</v>
      </c>
      <c r="P94" s="7"/>
      <c r="Q94" s="10"/>
      <c r="R94" s="11"/>
      <c r="S94" s="11"/>
      <c r="T94" s="26"/>
      <c r="U94" s="28">
        <f t="shared" si="10"/>
        <v>0.16184782608695644</v>
      </c>
      <c r="V94" s="57">
        <f t="shared" si="11"/>
        <v>4.4700000000000269E-3</v>
      </c>
      <c r="W94" s="57">
        <f t="shared" si="12"/>
        <v>1.2991833333333412E-2</v>
      </c>
      <c r="X94" s="56">
        <v>1000</v>
      </c>
      <c r="Y94" s="56">
        <v>600</v>
      </c>
    </row>
    <row r="95" spans="2:25" x14ac:dyDescent="0.25">
      <c r="B95" s="9"/>
      <c r="C95" s="17">
        <v>595.04</v>
      </c>
      <c r="D95" s="18">
        <v>39.561999999999998</v>
      </c>
      <c r="E95" s="18">
        <v>48.039000000000001</v>
      </c>
      <c r="F95" s="18">
        <v>48.006999999999998</v>
      </c>
      <c r="G95" s="18">
        <v>16.32</v>
      </c>
      <c r="H95" s="18">
        <f t="shared" si="8"/>
        <v>41.677250000000001</v>
      </c>
      <c r="I95" s="5"/>
      <c r="J95" s="17">
        <v>283.21940000000001</v>
      </c>
      <c r="K95" s="18">
        <v>39.369500000000002</v>
      </c>
      <c r="L95" s="18">
        <v>47.878</v>
      </c>
      <c r="M95" s="18">
        <v>47.897599999999997</v>
      </c>
      <c r="N95" s="18">
        <v>23.687000000000001</v>
      </c>
      <c r="O95" s="18">
        <f t="shared" si="9"/>
        <v>41.499075000000005</v>
      </c>
      <c r="P95" s="7"/>
      <c r="Q95" s="10"/>
      <c r="R95" s="11"/>
      <c r="S95" s="11"/>
      <c r="T95" s="26"/>
      <c r="U95" s="28">
        <f t="shared" si="10"/>
        <v>0.45140931372549026</v>
      </c>
      <c r="V95" s="57">
        <f t="shared" si="11"/>
        <v>8.2666666666667277E-3</v>
      </c>
      <c r="W95" s="57">
        <f t="shared" si="12"/>
        <v>5.5935333333333309E-2</v>
      </c>
      <c r="X95" s="56">
        <v>600</v>
      </c>
      <c r="Y95" s="56">
        <v>300</v>
      </c>
    </row>
    <row r="96" spans="2:25" ht="16.5" thickBot="1" x14ac:dyDescent="0.3">
      <c r="B96" s="12"/>
      <c r="C96" s="19">
        <v>294.45999999999998</v>
      </c>
      <c r="D96" s="20">
        <v>37.567999999999998</v>
      </c>
      <c r="E96" s="20">
        <v>46.633000000000003</v>
      </c>
      <c r="F96" s="20">
        <v>46.77</v>
      </c>
      <c r="G96" s="20">
        <v>17.93</v>
      </c>
      <c r="H96" s="20">
        <f t="shared" ref="H96:H116" si="13">(6*D96+E96+F96)/8</f>
        <v>39.851374999999997</v>
      </c>
      <c r="I96" s="5"/>
      <c r="J96" s="19">
        <v>180.45230000000001</v>
      </c>
      <c r="K96" s="20">
        <v>38.382899999999999</v>
      </c>
      <c r="L96" s="20">
        <v>47.0625</v>
      </c>
      <c r="M96" s="20">
        <v>47.192799999999998</v>
      </c>
      <c r="N96" s="20">
        <v>25.9389</v>
      </c>
      <c r="O96" s="20">
        <f t="shared" si="9"/>
        <v>40.569087499999995</v>
      </c>
      <c r="P96" s="7"/>
      <c r="Q96" s="13"/>
      <c r="R96" s="14"/>
      <c r="S96" s="14"/>
      <c r="T96" s="27"/>
      <c r="U96" s="28">
        <f t="shared" ref="U96:U116" si="14">(N96-G96)/G96</f>
        <v>0.44667596207473514</v>
      </c>
      <c r="V96" s="57">
        <f t="shared" si="11"/>
        <v>1.8466666666666735E-2</v>
      </c>
      <c r="W96" s="57">
        <f t="shared" si="12"/>
        <v>9.7738499999999964E-2</v>
      </c>
      <c r="X96" s="56">
        <v>300</v>
      </c>
      <c r="Y96" s="56">
        <v>200</v>
      </c>
    </row>
    <row r="97" spans="2:25" x14ac:dyDescent="0.25">
      <c r="B97" s="6" t="s">
        <v>87</v>
      </c>
      <c r="C97" s="15">
        <v>1506.04</v>
      </c>
      <c r="D97" s="16">
        <v>43.134999999999998</v>
      </c>
      <c r="E97" s="16">
        <v>51.231000000000002</v>
      </c>
      <c r="F97" s="16">
        <v>51.031999999999996</v>
      </c>
      <c r="G97" s="16">
        <v>13.05</v>
      </c>
      <c r="H97" s="16">
        <f t="shared" si="13"/>
        <v>45.134124999999997</v>
      </c>
      <c r="I97" s="5"/>
      <c r="J97" s="15">
        <v>1001.1153</v>
      </c>
      <c r="K97" s="16">
        <v>42.628</v>
      </c>
      <c r="L97" s="16">
        <v>50.7316</v>
      </c>
      <c r="M97" s="16">
        <v>50.506</v>
      </c>
      <c r="N97" s="16">
        <v>12.3286</v>
      </c>
      <c r="O97" s="16">
        <f t="shared" si="9"/>
        <v>44.625699999999995</v>
      </c>
      <c r="P97" s="7"/>
      <c r="Q97" s="8">
        <f>bdrate(C97:C100,D97:D100,J97:J100,K97:K100)</f>
        <v>-0.36203303956558619</v>
      </c>
      <c r="R97" s="8">
        <f>bdrate(C97:C100,E97:E100,J97:J100,L97:L100)</f>
        <v>-0.44386614349357489</v>
      </c>
      <c r="S97" s="8">
        <f>bdrate(C97:C100,F97:F100,J97:J100,M97:M100)</f>
        <v>-0.43695536432658377</v>
      </c>
      <c r="T97" s="25">
        <f>bdrate(C97:C100,H97:H100,J97:J100,O97:O100)</f>
        <v>-0.37624110079872497</v>
      </c>
      <c r="U97" s="28">
        <f t="shared" si="14"/>
        <v>-5.5279693486590106E-2</v>
      </c>
      <c r="V97" s="57">
        <f t="shared" si="11"/>
        <v>4.0266666666666428E-3</v>
      </c>
      <c r="W97" s="57">
        <f t="shared" si="12"/>
        <v>1.1153000000000475E-3</v>
      </c>
      <c r="X97" s="56">
        <v>1500</v>
      </c>
      <c r="Y97" s="56">
        <v>1000</v>
      </c>
    </row>
    <row r="98" spans="2:25" x14ac:dyDescent="0.25">
      <c r="B98" s="9"/>
      <c r="C98" s="17">
        <v>987.77</v>
      </c>
      <c r="D98" s="18">
        <v>42.113</v>
      </c>
      <c r="E98" s="18">
        <v>50.558</v>
      </c>
      <c r="F98" s="18">
        <v>50.289000000000001</v>
      </c>
      <c r="G98" s="18">
        <v>14.57</v>
      </c>
      <c r="H98" s="18">
        <f t="shared" si="13"/>
        <v>44.190624999999997</v>
      </c>
      <c r="I98" s="5"/>
      <c r="J98" s="17">
        <v>600.4271</v>
      </c>
      <c r="K98" s="18">
        <v>41.681600000000003</v>
      </c>
      <c r="L98" s="18">
        <v>50.3705</v>
      </c>
      <c r="M98" s="18">
        <v>50.1282</v>
      </c>
      <c r="N98" s="18">
        <v>14.909599999999999</v>
      </c>
      <c r="O98" s="18">
        <f t="shared" si="9"/>
        <v>43.8235375</v>
      </c>
      <c r="P98" s="7"/>
      <c r="Q98" s="10"/>
      <c r="R98" s="11"/>
      <c r="S98" s="11"/>
      <c r="T98" s="26"/>
      <c r="U98" s="28">
        <f t="shared" si="14"/>
        <v>2.3308167467398697E-2</v>
      </c>
      <c r="V98" s="57">
        <f t="shared" si="11"/>
        <v>1.2230000000000019E-2</v>
      </c>
      <c r="W98" s="57">
        <f t="shared" si="12"/>
        <v>7.1183333333332637E-4</v>
      </c>
      <c r="X98" s="56">
        <v>1000</v>
      </c>
      <c r="Y98" s="56">
        <v>600</v>
      </c>
    </row>
    <row r="99" spans="2:25" x14ac:dyDescent="0.25">
      <c r="B99" s="9"/>
      <c r="C99" s="17">
        <v>588.14</v>
      </c>
      <c r="D99" s="18">
        <v>40.765000000000001</v>
      </c>
      <c r="E99" s="18">
        <v>49.601999999999997</v>
      </c>
      <c r="F99" s="18">
        <v>49.332000000000001</v>
      </c>
      <c r="G99" s="18">
        <v>16.36</v>
      </c>
      <c r="H99" s="18">
        <f t="shared" si="13"/>
        <v>42.9405</v>
      </c>
      <c r="I99" s="5"/>
      <c r="J99" s="17">
        <v>293.28399999999999</v>
      </c>
      <c r="K99" s="18">
        <v>40.460900000000002</v>
      </c>
      <c r="L99" s="18">
        <v>49.624099999999999</v>
      </c>
      <c r="M99" s="18">
        <v>49.314500000000002</v>
      </c>
      <c r="N99" s="18">
        <v>19.555599999999998</v>
      </c>
      <c r="O99" s="18">
        <f t="shared" si="9"/>
        <v>42.713000000000001</v>
      </c>
      <c r="P99" s="7"/>
      <c r="Q99" s="10"/>
      <c r="R99" s="11"/>
      <c r="S99" s="11"/>
      <c r="T99" s="26"/>
      <c r="U99" s="28">
        <f t="shared" si="14"/>
        <v>0.1953300733496332</v>
      </c>
      <c r="V99" s="57">
        <f t="shared" si="11"/>
        <v>1.9766666666666689E-2</v>
      </c>
      <c r="W99" s="57">
        <f t="shared" si="12"/>
        <v>2.2386666666666694E-2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289.02999999999997</v>
      </c>
      <c r="D100" s="20">
        <v>38.616999999999997</v>
      </c>
      <c r="E100" s="20">
        <v>48.13</v>
      </c>
      <c r="F100" s="20">
        <v>47.914000000000001</v>
      </c>
      <c r="G100" s="20">
        <v>18.07</v>
      </c>
      <c r="H100" s="20">
        <f t="shared" si="13"/>
        <v>40.968249999999998</v>
      </c>
      <c r="I100" s="5"/>
      <c r="J100" s="19">
        <v>189.03659999999999</v>
      </c>
      <c r="K100" s="20">
        <v>39.648699999999998</v>
      </c>
      <c r="L100" s="20">
        <v>48.820900000000002</v>
      </c>
      <c r="M100" s="20">
        <v>48.560099999999998</v>
      </c>
      <c r="N100" s="20">
        <v>23.933299999999999</v>
      </c>
      <c r="O100" s="20">
        <f t="shared" si="9"/>
        <v>41.909149999999997</v>
      </c>
      <c r="P100" s="7"/>
      <c r="Q100" s="13"/>
      <c r="R100" s="14"/>
      <c r="S100" s="14"/>
      <c r="T100" s="27"/>
      <c r="U100" s="28">
        <f t="shared" si="14"/>
        <v>0.32447703375760922</v>
      </c>
      <c r="V100" s="57">
        <f t="shared" si="11"/>
        <v>3.6566666666666754E-2</v>
      </c>
      <c r="W100" s="57">
        <f t="shared" si="12"/>
        <v>5.4817000000000032E-2</v>
      </c>
      <c r="X100" s="56">
        <v>300</v>
      </c>
      <c r="Y100" s="56">
        <v>200</v>
      </c>
    </row>
    <row r="101" spans="2:25" x14ac:dyDescent="0.25">
      <c r="B101" s="6" t="s">
        <v>88</v>
      </c>
      <c r="C101" s="15">
        <v>1502.12</v>
      </c>
      <c r="D101" s="16">
        <v>43.262</v>
      </c>
      <c r="E101" s="16">
        <v>51.610999999999997</v>
      </c>
      <c r="F101" s="16">
        <v>51.615000000000002</v>
      </c>
      <c r="G101" s="16">
        <v>14.46</v>
      </c>
      <c r="H101" s="16">
        <f t="shared" si="13"/>
        <v>45.34975</v>
      </c>
      <c r="I101" s="5"/>
      <c r="J101" s="15">
        <v>1002.0278</v>
      </c>
      <c r="K101" s="16">
        <v>42.7881</v>
      </c>
      <c r="L101" s="16">
        <v>51.230899999999998</v>
      </c>
      <c r="M101" s="16">
        <v>51.234000000000002</v>
      </c>
      <c r="N101" s="16">
        <v>16.771999999999998</v>
      </c>
      <c r="O101" s="16">
        <f t="shared" si="9"/>
        <v>44.899187500000004</v>
      </c>
      <c r="P101" s="7"/>
      <c r="Q101" s="8">
        <f>bdrate(C101:C104,D101:D104,J101:J104,K101:K104)</f>
        <v>-0.36114254891814845</v>
      </c>
      <c r="R101" s="8">
        <f>bdrate(C101:C104,E101:E104,J101:J104,L101:L104)</f>
        <v>-0.40768020747530309</v>
      </c>
      <c r="S101" s="8">
        <f>bdrate(C101:C104,F101:F104,J101:J104,M101:M104)</f>
        <v>-0.42961309546134374</v>
      </c>
      <c r="T101" s="25">
        <f>bdrate(C101:C104,H101:H104,J101:J104,O101:O104)</f>
        <v>-0.37192906324488695</v>
      </c>
      <c r="U101" s="28">
        <f t="shared" si="14"/>
        <v>0.15988934993084353</v>
      </c>
      <c r="V101" s="57">
        <f t="shared" si="11"/>
        <v>1.4133333333332606E-3</v>
      </c>
      <c r="W101" s="57">
        <f t="shared" si="12"/>
        <v>2.0277999999999564E-3</v>
      </c>
      <c r="X101" s="56">
        <v>1500</v>
      </c>
      <c r="Y101" s="56">
        <v>1000</v>
      </c>
    </row>
    <row r="102" spans="2:25" x14ac:dyDescent="0.25">
      <c r="B102" s="9"/>
      <c r="C102" s="17">
        <v>997.12</v>
      </c>
      <c r="D102" s="18">
        <v>41.844000000000001</v>
      </c>
      <c r="E102" s="18">
        <v>50.773000000000003</v>
      </c>
      <c r="F102" s="18">
        <v>50.780999999999999</v>
      </c>
      <c r="G102" s="18">
        <v>15.88</v>
      </c>
      <c r="H102" s="18">
        <f t="shared" si="13"/>
        <v>44.077250000000006</v>
      </c>
      <c r="I102" s="5"/>
      <c r="J102" s="17">
        <v>602.71730000000002</v>
      </c>
      <c r="K102" s="18">
        <v>41.368899999999996</v>
      </c>
      <c r="L102" s="18">
        <v>50.520699999999998</v>
      </c>
      <c r="M102" s="18">
        <v>50.602699999999999</v>
      </c>
      <c r="N102" s="18">
        <v>19.6279</v>
      </c>
      <c r="O102" s="18">
        <f t="shared" si="9"/>
        <v>43.667099999999991</v>
      </c>
      <c r="P102" s="7"/>
      <c r="Q102" s="10"/>
      <c r="R102" s="11"/>
      <c r="S102" s="11"/>
      <c r="T102" s="26"/>
      <c r="U102" s="28">
        <f t="shared" si="14"/>
        <v>0.23601385390428209</v>
      </c>
      <c r="V102" s="57">
        <f t="shared" si="11"/>
        <v>2.8799999999999954E-3</v>
      </c>
      <c r="W102" s="57">
        <f t="shared" si="12"/>
        <v>4.5288333333333717E-3</v>
      </c>
      <c r="X102" s="56">
        <v>1000</v>
      </c>
      <c r="Y102" s="56">
        <v>600</v>
      </c>
    </row>
    <row r="103" spans="2:25" x14ac:dyDescent="0.25">
      <c r="B103" s="9"/>
      <c r="C103" s="17">
        <v>594.19000000000005</v>
      </c>
      <c r="D103" s="18">
        <v>39.981999999999999</v>
      </c>
      <c r="E103" s="18">
        <v>49.408000000000001</v>
      </c>
      <c r="F103" s="18">
        <v>49.350999999999999</v>
      </c>
      <c r="G103" s="18">
        <v>17.190000000000001</v>
      </c>
      <c r="H103" s="18">
        <f t="shared" si="13"/>
        <v>42.331375000000001</v>
      </c>
      <c r="I103" s="5"/>
      <c r="J103" s="17">
        <v>299.47680000000003</v>
      </c>
      <c r="K103" s="18">
        <v>39.408299999999997</v>
      </c>
      <c r="L103" s="18">
        <v>49.249600000000001</v>
      </c>
      <c r="M103" s="18">
        <v>49.303699999999999</v>
      </c>
      <c r="N103" s="18">
        <v>24.276700000000002</v>
      </c>
      <c r="O103" s="18">
        <f t="shared" si="9"/>
        <v>41.875387499999995</v>
      </c>
      <c r="P103" s="7"/>
      <c r="Q103" s="10"/>
      <c r="R103" s="11"/>
      <c r="S103" s="11"/>
      <c r="T103" s="26"/>
      <c r="U103" s="28">
        <f t="shared" si="14"/>
        <v>0.41225712623618382</v>
      </c>
      <c r="V103" s="57">
        <f t="shared" si="11"/>
        <v>9.6833333333332418E-3</v>
      </c>
      <c r="W103" s="57">
        <f t="shared" si="12"/>
        <v>1.7439999999999145E-3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294.45</v>
      </c>
      <c r="D104" s="20">
        <v>37.079000000000001</v>
      </c>
      <c r="E104" s="20">
        <v>47.384</v>
      </c>
      <c r="F104" s="20">
        <v>47.503</v>
      </c>
      <c r="G104" s="20">
        <v>18.86</v>
      </c>
      <c r="H104" s="20">
        <f t="shared" si="13"/>
        <v>39.670124999999999</v>
      </c>
      <c r="I104" s="5"/>
      <c r="J104" s="19">
        <v>195.2936</v>
      </c>
      <c r="K104" s="20">
        <v>38.168599999999998</v>
      </c>
      <c r="L104" s="20">
        <v>48.041800000000002</v>
      </c>
      <c r="M104" s="20">
        <v>48.248199999999997</v>
      </c>
      <c r="N104" s="20">
        <v>27.854099999999999</v>
      </c>
      <c r="O104" s="20">
        <f t="shared" si="9"/>
        <v>40.662700000000001</v>
      </c>
      <c r="P104" s="7"/>
      <c r="Q104" s="13"/>
      <c r="R104" s="14"/>
      <c r="S104" s="14"/>
      <c r="T104" s="27"/>
      <c r="U104" s="28">
        <f t="shared" si="14"/>
        <v>0.47688759278897136</v>
      </c>
      <c r="V104" s="57">
        <f t="shared" si="11"/>
        <v>1.8500000000000037E-2</v>
      </c>
      <c r="W104" s="57">
        <f t="shared" si="12"/>
        <v>2.3532000000000011E-2</v>
      </c>
      <c r="X104" s="56">
        <v>300</v>
      </c>
      <c r="Y104" s="56">
        <v>200</v>
      </c>
    </row>
    <row r="105" spans="2:25" x14ac:dyDescent="0.25">
      <c r="B105" s="6" t="s">
        <v>89</v>
      </c>
      <c r="C105" s="15">
        <v>1514.81</v>
      </c>
      <c r="D105" s="16">
        <v>41.698</v>
      </c>
      <c r="E105" s="16">
        <v>49.396999999999998</v>
      </c>
      <c r="F105" s="16">
        <v>50.098999999999997</v>
      </c>
      <c r="G105" s="16">
        <v>14.5</v>
      </c>
      <c r="H105" s="16">
        <f t="shared" si="13"/>
        <v>43.710499999999996</v>
      </c>
      <c r="I105" s="5"/>
      <c r="J105" s="15">
        <v>1003.1856</v>
      </c>
      <c r="K105" s="16">
        <v>41.523600000000002</v>
      </c>
      <c r="L105" s="16">
        <v>49.328699999999998</v>
      </c>
      <c r="M105" s="16">
        <v>50.1616</v>
      </c>
      <c r="N105" s="16">
        <v>12.3619</v>
      </c>
      <c r="O105" s="16">
        <f t="shared" si="9"/>
        <v>43.578987500000004</v>
      </c>
      <c r="P105" s="7"/>
      <c r="Q105" s="8">
        <f>bdrate(C105:C108,D105:D108,J105:J108,K105:K108)</f>
        <v>-0.45856315112892876</v>
      </c>
      <c r="R105" s="8">
        <f>bdrate(C105:C108,E105:E108,J105:J108,L105:L108)</f>
        <v>-0.47976926179550783</v>
      </c>
      <c r="S105" s="8">
        <f>bdrate(C105:C108,F105:F108,J105:J108,M105:M108)</f>
        <v>-0.51196709925659412</v>
      </c>
      <c r="T105" s="25">
        <f>bdrate(C105:C108,H105:H108,J105:J108,O105:O108)</f>
        <v>-0.4667119993064387</v>
      </c>
      <c r="U105" s="28">
        <f t="shared" si="14"/>
        <v>-0.14745517241379308</v>
      </c>
      <c r="V105" s="57">
        <f t="shared" si="11"/>
        <v>9.8733333333332965E-3</v>
      </c>
      <c r="W105" s="57">
        <f t="shared" si="12"/>
        <v>3.1856000000000224E-3</v>
      </c>
      <c r="X105" s="56">
        <v>1500</v>
      </c>
      <c r="Y105" s="56">
        <v>1000</v>
      </c>
    </row>
    <row r="106" spans="2:25" x14ac:dyDescent="0.25">
      <c r="B106" s="9"/>
      <c r="C106" s="17">
        <v>1010.54</v>
      </c>
      <c r="D106" s="18">
        <v>40.591000000000001</v>
      </c>
      <c r="E106" s="18">
        <v>48.720999999999997</v>
      </c>
      <c r="F106" s="18">
        <v>49.484999999999999</v>
      </c>
      <c r="G106" s="18">
        <v>15.9</v>
      </c>
      <c r="H106" s="18">
        <f t="shared" si="13"/>
        <v>42.719000000000001</v>
      </c>
      <c r="I106" s="5"/>
      <c r="J106" s="17">
        <v>600.4828</v>
      </c>
      <c r="K106" s="18">
        <v>40.544499999999999</v>
      </c>
      <c r="L106" s="18">
        <v>48.817900000000002</v>
      </c>
      <c r="M106" s="18">
        <v>49.682099999999998</v>
      </c>
      <c r="N106" s="18">
        <v>15.487399999999999</v>
      </c>
      <c r="O106" s="18">
        <f t="shared" si="9"/>
        <v>42.720874999999999</v>
      </c>
      <c r="P106" s="7"/>
      <c r="Q106" s="10"/>
      <c r="R106" s="11"/>
      <c r="S106" s="11"/>
      <c r="T106" s="26"/>
      <c r="U106" s="28">
        <f t="shared" si="14"/>
        <v>-2.5949685534591271E-2</v>
      </c>
      <c r="V106" s="57">
        <f t="shared" si="11"/>
        <v>1.0539999999999964E-2</v>
      </c>
      <c r="W106" s="57">
        <f t="shared" si="12"/>
        <v>8.0466666666666241E-4</v>
      </c>
      <c r="X106" s="56">
        <v>1000</v>
      </c>
      <c r="Y106" s="56">
        <v>600</v>
      </c>
    </row>
    <row r="107" spans="2:25" x14ac:dyDescent="0.25">
      <c r="B107" s="9"/>
      <c r="C107" s="17">
        <v>606.32000000000005</v>
      </c>
      <c r="D107" s="18">
        <v>39.185000000000002</v>
      </c>
      <c r="E107" s="18">
        <v>47.622</v>
      </c>
      <c r="F107" s="18">
        <v>48.35</v>
      </c>
      <c r="G107" s="18">
        <v>17.48</v>
      </c>
      <c r="H107" s="18">
        <f t="shared" si="13"/>
        <v>41.385250000000006</v>
      </c>
      <c r="I107" s="5"/>
      <c r="J107" s="17">
        <v>287.06630000000001</v>
      </c>
      <c r="K107" s="18">
        <v>39.144100000000002</v>
      </c>
      <c r="L107" s="18">
        <v>47.581000000000003</v>
      </c>
      <c r="M107" s="18">
        <v>48.423499999999997</v>
      </c>
      <c r="N107" s="18">
        <v>21.0154</v>
      </c>
      <c r="O107" s="18">
        <f t="shared" si="9"/>
        <v>41.3586375</v>
      </c>
      <c r="P107" s="7"/>
      <c r="Q107" s="10"/>
      <c r="R107" s="11"/>
      <c r="S107" s="11"/>
      <c r="T107" s="26"/>
      <c r="U107" s="28">
        <f t="shared" si="14"/>
        <v>0.20225400457665899</v>
      </c>
      <c r="V107" s="57">
        <f t="shared" si="11"/>
        <v>1.0533333333333417E-2</v>
      </c>
      <c r="W107" s="57">
        <f t="shared" si="12"/>
        <v>4.3112333333333294E-2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302.56</v>
      </c>
      <c r="D108" s="20">
        <v>37.052</v>
      </c>
      <c r="E108" s="20">
        <v>46.16</v>
      </c>
      <c r="F108" s="20">
        <v>46.933</v>
      </c>
      <c r="G108" s="20">
        <v>19.059999999999999</v>
      </c>
      <c r="H108" s="20">
        <f t="shared" si="13"/>
        <v>39.425624999999997</v>
      </c>
      <c r="I108" s="5"/>
      <c r="J108" s="19">
        <v>186.7867</v>
      </c>
      <c r="K108" s="20">
        <v>38.149099999999997</v>
      </c>
      <c r="L108" s="20">
        <v>46.585900000000002</v>
      </c>
      <c r="M108" s="20">
        <v>47.446399999999997</v>
      </c>
      <c r="N108" s="20">
        <v>23.0791</v>
      </c>
      <c r="O108" s="20">
        <f t="shared" si="9"/>
        <v>40.365862499999992</v>
      </c>
      <c r="P108" s="7"/>
      <c r="Q108" s="13"/>
      <c r="R108" s="14"/>
      <c r="S108" s="14"/>
      <c r="T108" s="27"/>
      <c r="U108" s="28">
        <f t="shared" si="14"/>
        <v>0.21086568730325297</v>
      </c>
      <c r="V108" s="57">
        <f t="shared" si="11"/>
        <v>8.5333333333333407E-3</v>
      </c>
      <c r="W108" s="57">
        <f t="shared" si="12"/>
        <v>6.6066500000000014E-2</v>
      </c>
      <c r="X108" s="56">
        <v>300</v>
      </c>
      <c r="Y108" s="56">
        <v>200</v>
      </c>
    </row>
    <row r="109" spans="2:25" x14ac:dyDescent="0.25">
      <c r="B109" s="6" t="s">
        <v>90</v>
      </c>
      <c r="C109" s="15">
        <v>1518.56</v>
      </c>
      <c r="D109" s="16">
        <v>40.366</v>
      </c>
      <c r="E109" s="16">
        <v>48.692999999999998</v>
      </c>
      <c r="F109" s="16">
        <v>47.609000000000002</v>
      </c>
      <c r="G109" s="16">
        <v>13.54</v>
      </c>
      <c r="H109" s="16">
        <f t="shared" si="13"/>
        <v>42.312249999999999</v>
      </c>
      <c r="I109" s="5"/>
      <c r="J109" s="15">
        <v>1004.0001</v>
      </c>
      <c r="K109" s="16">
        <v>40.068899999999999</v>
      </c>
      <c r="L109" s="16">
        <v>48.931800000000003</v>
      </c>
      <c r="M109" s="16">
        <v>48.2087</v>
      </c>
      <c r="N109" s="16">
        <v>12.024699999999999</v>
      </c>
      <c r="O109" s="16">
        <f t="shared" si="9"/>
        <v>42.1942375</v>
      </c>
      <c r="P109" s="7"/>
      <c r="Q109" s="8">
        <f>bdrate(C109:C112,D109:D112,J109:J112,K109:K112)</f>
        <v>-0.42731735597461074</v>
      </c>
      <c r="R109" s="8">
        <f>bdrate(C109:C112,E109:E112,J109:J112,L109:L112)</f>
        <v>-0.48696068324230901</v>
      </c>
      <c r="S109" s="8">
        <f>bdrate(C109:C112,F109:F112,J109:J112,M109:M112)</f>
        <v>-0.56350989073843905</v>
      </c>
      <c r="T109" s="25">
        <f>bdrate(C109:C112,H109:H112,J109:J112,O109:O112)</f>
        <v>-0.44564696026224093</v>
      </c>
      <c r="U109" s="28">
        <f t="shared" si="14"/>
        <v>-0.11191285081240768</v>
      </c>
      <c r="V109" s="57">
        <f t="shared" si="11"/>
        <v>1.2373333333333297E-2</v>
      </c>
      <c r="W109" s="57">
        <f t="shared" si="12"/>
        <v>4.0000999999999752E-3</v>
      </c>
      <c r="X109" s="56">
        <v>1500</v>
      </c>
      <c r="Y109" s="56">
        <v>1000</v>
      </c>
    </row>
    <row r="110" spans="2:25" x14ac:dyDescent="0.25">
      <c r="B110" s="9"/>
      <c r="C110" s="17">
        <v>1015.59</v>
      </c>
      <c r="D110" s="18">
        <v>38.866</v>
      </c>
      <c r="E110" s="18">
        <v>47.719000000000001</v>
      </c>
      <c r="F110" s="18">
        <v>46.512</v>
      </c>
      <c r="G110" s="18">
        <v>14.65</v>
      </c>
      <c r="H110" s="18">
        <f t="shared" si="13"/>
        <v>40.928375000000003</v>
      </c>
      <c r="I110" s="5"/>
      <c r="J110" s="17">
        <v>599.34079999999994</v>
      </c>
      <c r="K110" s="18">
        <v>38.6143</v>
      </c>
      <c r="L110" s="18">
        <v>48.05</v>
      </c>
      <c r="M110" s="18">
        <v>47.265099999999997</v>
      </c>
      <c r="N110" s="18">
        <v>14.5273</v>
      </c>
      <c r="O110" s="18">
        <f t="shared" si="9"/>
        <v>40.8751125</v>
      </c>
      <c r="P110" s="7"/>
      <c r="Q110" s="10"/>
      <c r="R110" s="11"/>
      <c r="S110" s="11"/>
      <c r="T110" s="26"/>
      <c r="U110" s="28">
        <f t="shared" si="14"/>
        <v>-8.3754266211604114E-3</v>
      </c>
      <c r="V110" s="57">
        <f t="shared" si="11"/>
        <v>1.5590000000000033E-2</v>
      </c>
      <c r="W110" s="57">
        <f t="shared" si="12"/>
        <v>1.0986666666667588E-3</v>
      </c>
      <c r="X110" s="56">
        <v>1000</v>
      </c>
      <c r="Y110" s="56">
        <v>600</v>
      </c>
    </row>
    <row r="111" spans="2:25" x14ac:dyDescent="0.25">
      <c r="B111" s="9"/>
      <c r="C111" s="17">
        <v>609.49</v>
      </c>
      <c r="D111" s="18">
        <v>36.796999999999997</v>
      </c>
      <c r="E111" s="18">
        <v>46.545000000000002</v>
      </c>
      <c r="F111" s="18">
        <v>45.255000000000003</v>
      </c>
      <c r="G111" s="18">
        <v>16.010000000000002</v>
      </c>
      <c r="H111" s="18">
        <f t="shared" si="13"/>
        <v>39.072749999999999</v>
      </c>
      <c r="I111" s="5"/>
      <c r="J111" s="17">
        <v>286.95650000000001</v>
      </c>
      <c r="K111" s="18">
        <v>36.388599999999997</v>
      </c>
      <c r="L111" s="18">
        <v>46.348300000000002</v>
      </c>
      <c r="M111" s="18">
        <v>45.458500000000001</v>
      </c>
      <c r="N111" s="18">
        <v>19.143799999999999</v>
      </c>
      <c r="O111" s="18">
        <f t="shared" si="9"/>
        <v>38.767299999999999</v>
      </c>
      <c r="P111" s="7"/>
      <c r="Q111" s="10"/>
      <c r="R111" s="11"/>
      <c r="S111" s="11"/>
      <c r="T111" s="26"/>
      <c r="U111" s="28">
        <f t="shared" si="14"/>
        <v>0.19574016239850076</v>
      </c>
      <c r="V111" s="57">
        <f t="shared" si="11"/>
        <v>1.581666666666668E-2</v>
      </c>
      <c r="W111" s="57">
        <f t="shared" si="12"/>
        <v>4.3478333333333313E-2</v>
      </c>
      <c r="X111" s="56">
        <v>600</v>
      </c>
      <c r="Y111" s="56">
        <v>300</v>
      </c>
    </row>
    <row r="112" spans="2:25" ht="16.5" thickBot="1" x14ac:dyDescent="0.3">
      <c r="B112" s="12"/>
      <c r="C112" s="19">
        <v>305.61</v>
      </c>
      <c r="D112" s="20">
        <v>33.695</v>
      </c>
      <c r="E112" s="20">
        <v>44.718000000000004</v>
      </c>
      <c r="F112" s="20">
        <v>43.335000000000001</v>
      </c>
      <c r="G112" s="20">
        <v>17.66</v>
      </c>
      <c r="H112" s="20">
        <f t="shared" si="13"/>
        <v>36.277875000000002</v>
      </c>
      <c r="I112" s="5"/>
      <c r="J112" s="19">
        <v>187.33840000000001</v>
      </c>
      <c r="K112" s="20">
        <v>34.904299999999999</v>
      </c>
      <c r="L112" s="20">
        <v>45.207799999999999</v>
      </c>
      <c r="M112" s="20">
        <v>44.230699999999999</v>
      </c>
      <c r="N112" s="20">
        <v>22.766300000000001</v>
      </c>
      <c r="O112" s="20">
        <f t="shared" si="9"/>
        <v>37.358037499999995</v>
      </c>
      <c r="P112" s="7"/>
      <c r="Q112" s="13"/>
      <c r="R112" s="14"/>
      <c r="S112" s="14"/>
      <c r="T112" s="27"/>
      <c r="U112" s="28">
        <f t="shared" si="14"/>
        <v>0.28914496036240095</v>
      </c>
      <c r="V112" s="57">
        <f t="shared" si="11"/>
        <v>1.8700000000000046E-2</v>
      </c>
      <c r="W112" s="57">
        <f t="shared" si="12"/>
        <v>6.3307999999999962E-2</v>
      </c>
      <c r="X112" s="56">
        <v>300</v>
      </c>
      <c r="Y112" s="56">
        <v>200</v>
      </c>
    </row>
    <row r="113" spans="1:25" x14ac:dyDescent="0.25">
      <c r="B113" s="6" t="s">
        <v>91</v>
      </c>
      <c r="C113" s="29">
        <v>1495.66</v>
      </c>
      <c r="D113" s="30">
        <v>36.378</v>
      </c>
      <c r="E113" s="30">
        <v>45.145000000000003</v>
      </c>
      <c r="F113" s="30">
        <v>44.128</v>
      </c>
      <c r="G113" s="16">
        <v>12.85</v>
      </c>
      <c r="H113" s="16">
        <f t="shared" si="13"/>
        <v>38.442625</v>
      </c>
      <c r="I113" s="5"/>
      <c r="J113" s="29">
        <v>1007.8139</v>
      </c>
      <c r="K113" s="30">
        <v>35.9465</v>
      </c>
      <c r="L113" s="30">
        <v>46.042099999999998</v>
      </c>
      <c r="M113" s="30">
        <v>44.853900000000003</v>
      </c>
      <c r="N113" s="16">
        <v>11.622400000000001</v>
      </c>
      <c r="O113" s="16">
        <f t="shared" si="9"/>
        <v>38.321874999999999</v>
      </c>
      <c r="P113" s="7"/>
      <c r="Q113" s="8">
        <f>bdrate(C113:C116,D113:D116,J113:J116,K113:K116)</f>
        <v>-0.3838690703600246</v>
      </c>
      <c r="R113" s="8">
        <f>bdrate(C113:C116,E113:E116,J113:J116,L113:L116)</f>
        <v>-0.51076605686272503</v>
      </c>
      <c r="S113" s="8">
        <f>bdrate(C113:C116,F113:F116,J113:J116,M113:M116)</f>
        <v>-0.4646387841617744</v>
      </c>
      <c r="T113" s="25">
        <f>bdrate(C113:C116,H113:H116,J113:J116,O113:O116)</f>
        <v>-0.40332609945750131</v>
      </c>
      <c r="U113" s="28">
        <f t="shared" si="14"/>
        <v>-9.5533073929961007E-2</v>
      </c>
      <c r="V113" s="57">
        <f t="shared" si="11"/>
        <v>2.8933333333332786E-3</v>
      </c>
      <c r="W113" s="57">
        <f t="shared" si="12"/>
        <v>7.81389999999999E-3</v>
      </c>
      <c r="X113" s="56">
        <v>1500</v>
      </c>
      <c r="Y113" s="56">
        <v>1000</v>
      </c>
    </row>
    <row r="114" spans="1:25" x14ac:dyDescent="0.25">
      <c r="B114" s="9"/>
      <c r="C114" s="31">
        <v>991.35</v>
      </c>
      <c r="D114" s="32">
        <v>35.078000000000003</v>
      </c>
      <c r="E114" s="32">
        <v>44.408999999999999</v>
      </c>
      <c r="F114" s="32">
        <v>43.457000000000001</v>
      </c>
      <c r="G114" s="18">
        <v>13.86</v>
      </c>
      <c r="H114" s="18">
        <f t="shared" si="13"/>
        <v>37.29175</v>
      </c>
      <c r="I114" s="5"/>
      <c r="J114" s="31">
        <v>600.28139999999996</v>
      </c>
      <c r="K114" s="32">
        <v>34.687399999999997</v>
      </c>
      <c r="L114" s="32">
        <v>44.96</v>
      </c>
      <c r="M114" s="32">
        <v>43.825000000000003</v>
      </c>
      <c r="N114" s="18">
        <v>14.281000000000001</v>
      </c>
      <c r="O114" s="18">
        <f t="shared" si="9"/>
        <v>37.113675000000001</v>
      </c>
      <c r="P114" s="7"/>
      <c r="Q114" s="10"/>
      <c r="R114" s="11"/>
      <c r="S114" s="11"/>
      <c r="T114" s="26"/>
      <c r="U114" s="28">
        <f t="shared" si="14"/>
        <v>3.0375180375180458E-2</v>
      </c>
      <c r="V114" s="57">
        <f t="shared" si="11"/>
        <v>8.6499999999999772E-3</v>
      </c>
      <c r="W114" s="57">
        <f t="shared" si="12"/>
        <v>4.6899999999993724E-4</v>
      </c>
      <c r="X114" s="56">
        <v>1000</v>
      </c>
      <c r="Y114" s="56">
        <v>600</v>
      </c>
    </row>
    <row r="115" spans="1:25" x14ac:dyDescent="0.25">
      <c r="B115" s="9"/>
      <c r="C115" s="31">
        <v>589</v>
      </c>
      <c r="D115" s="32">
        <v>33.216000000000001</v>
      </c>
      <c r="E115" s="32">
        <v>43.305</v>
      </c>
      <c r="F115" s="32">
        <v>42.433999999999997</v>
      </c>
      <c r="G115" s="18">
        <v>15.55</v>
      </c>
      <c r="H115" s="18">
        <f t="shared" si="13"/>
        <v>35.629374999999996</v>
      </c>
      <c r="I115" s="5"/>
      <c r="J115" s="31">
        <v>286.76330000000002</v>
      </c>
      <c r="K115" s="32">
        <v>32.639000000000003</v>
      </c>
      <c r="L115" s="32">
        <v>43.230400000000003</v>
      </c>
      <c r="M115" s="32">
        <v>42.154299999999999</v>
      </c>
      <c r="N115" s="18">
        <v>18.254999999999999</v>
      </c>
      <c r="O115" s="18">
        <f t="shared" si="9"/>
        <v>35.152337500000002</v>
      </c>
      <c r="P115" s="7"/>
      <c r="Q115" s="10"/>
      <c r="R115" s="11"/>
      <c r="S115" s="11"/>
      <c r="T115" s="26"/>
      <c r="U115" s="28">
        <f t="shared" si="14"/>
        <v>0.17395498392282946</v>
      </c>
      <c r="V115" s="57">
        <f t="shared" si="11"/>
        <v>1.8333333333333333E-2</v>
      </c>
      <c r="W115" s="57">
        <f t="shared" si="12"/>
        <v>4.4122333333333284E-2</v>
      </c>
      <c r="X115" s="56">
        <v>600</v>
      </c>
      <c r="Y115" s="56">
        <v>300</v>
      </c>
    </row>
    <row r="116" spans="1:25" ht="16.5" thickBot="1" x14ac:dyDescent="0.3">
      <c r="B116" s="12"/>
      <c r="C116" s="33">
        <v>290.07</v>
      </c>
      <c r="D116" s="34">
        <v>30.053000000000001</v>
      </c>
      <c r="E116" s="34">
        <v>41.603999999999999</v>
      </c>
      <c r="F116" s="34">
        <v>40.844000000000001</v>
      </c>
      <c r="G116" s="20">
        <v>17.23</v>
      </c>
      <c r="H116" s="20">
        <f t="shared" si="13"/>
        <v>32.845750000000002</v>
      </c>
      <c r="I116" s="5"/>
      <c r="J116" s="33">
        <v>186.17359999999999</v>
      </c>
      <c r="K116" s="34">
        <v>31.200500000000002</v>
      </c>
      <c r="L116" s="34">
        <v>42.152299999999997</v>
      </c>
      <c r="M116" s="34">
        <v>41.104999999999997</v>
      </c>
      <c r="N116" s="20">
        <v>24.299600000000002</v>
      </c>
      <c r="O116" s="20">
        <f t="shared" si="9"/>
        <v>33.807537500000002</v>
      </c>
      <c r="P116" s="7"/>
      <c r="Q116" s="13"/>
      <c r="R116" s="14"/>
      <c r="S116" s="14"/>
      <c r="T116" s="27"/>
      <c r="U116" s="28">
        <f t="shared" si="14"/>
        <v>0.41030760301799196</v>
      </c>
      <c r="V116" s="57">
        <f t="shared" si="11"/>
        <v>3.3100000000000025E-2</v>
      </c>
      <c r="W116" s="57">
        <f t="shared" si="12"/>
        <v>6.9132000000000027E-2</v>
      </c>
      <c r="X116" s="56">
        <v>300</v>
      </c>
      <c r="Y116" s="56">
        <v>200</v>
      </c>
    </row>
    <row r="117" spans="1:25" ht="16.5" thickBot="1" x14ac:dyDescent="0.3">
      <c r="B117" s="22" t="s">
        <v>22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1">
        <f t="shared" ref="Q117:W117" si="15">AVERAGE(Q9:Q116)</f>
        <v>-0.4236500227000542</v>
      </c>
      <c r="R117" s="21">
        <f t="shared" si="15"/>
        <v>-0.49386419357148814</v>
      </c>
      <c r="S117" s="21">
        <f t="shared" si="15"/>
        <v>-0.50706866874477485</v>
      </c>
      <c r="T117" s="21">
        <f t="shared" si="15"/>
        <v>-0.43890931558702634</v>
      </c>
      <c r="U117" s="21">
        <f t="shared" si="15"/>
        <v>6.2957724623952604E-2</v>
      </c>
      <c r="V117" s="57">
        <f t="shared" si="15"/>
        <v>2.8234813156951047E-2</v>
      </c>
      <c r="W117" s="57">
        <f t="shared" si="15"/>
        <v>1.9691419753086421E-2</v>
      </c>
      <c r="X117" s="57"/>
      <c r="Y117" s="56"/>
    </row>
    <row r="119" spans="1:25" s="35" customFormat="1" ht="15.75" customHeight="1" x14ac:dyDescent="0.25">
      <c r="B119" s="73" t="s">
        <v>29</v>
      </c>
      <c r="C119" s="67" t="s">
        <v>118</v>
      </c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9"/>
    </row>
    <row r="120" spans="1:25" s="35" customFormat="1" x14ac:dyDescent="0.25">
      <c r="B120" s="74"/>
      <c r="C120" s="70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2"/>
    </row>
    <row r="121" spans="1:25" ht="16.5" customHeight="1" thickBot="1" x14ac:dyDescent="0.3">
      <c r="C121" s="75" t="s">
        <v>76</v>
      </c>
      <c r="D121" s="76"/>
      <c r="E121" s="76"/>
      <c r="F121" s="76"/>
      <c r="G121" s="76"/>
      <c r="H121" s="76"/>
      <c r="I121" s="5"/>
      <c r="J121" s="75" t="s">
        <v>109</v>
      </c>
      <c r="K121" s="76"/>
      <c r="L121" s="76"/>
      <c r="M121" s="76"/>
      <c r="N121" s="76"/>
      <c r="O121" s="76"/>
      <c r="Q121" s="75" t="s">
        <v>7</v>
      </c>
      <c r="R121" s="76"/>
      <c r="S121" s="77"/>
      <c r="T121" s="36"/>
      <c r="U121" s="78" t="s">
        <v>43</v>
      </c>
      <c r="V121" s="66" t="s">
        <v>95</v>
      </c>
      <c r="W121" s="66"/>
      <c r="X121" s="66"/>
      <c r="Y121" s="66"/>
    </row>
    <row r="122" spans="1:25" ht="16.5" thickBot="1" x14ac:dyDescent="0.3">
      <c r="C122" s="2" t="s">
        <v>60</v>
      </c>
      <c r="D122" s="3" t="s">
        <v>30</v>
      </c>
      <c r="E122" s="3" t="s">
        <v>31</v>
      </c>
      <c r="F122" s="3" t="s">
        <v>32</v>
      </c>
      <c r="G122" s="3" t="s">
        <v>33</v>
      </c>
      <c r="H122" s="3" t="s">
        <v>34</v>
      </c>
      <c r="I122" s="1"/>
      <c r="J122" s="2" t="s">
        <v>60</v>
      </c>
      <c r="K122" s="3" t="s">
        <v>30</v>
      </c>
      <c r="L122" s="3" t="s">
        <v>31</v>
      </c>
      <c r="M122" s="3" t="s">
        <v>32</v>
      </c>
      <c r="N122" s="3" t="s">
        <v>33</v>
      </c>
      <c r="O122" s="3" t="s">
        <v>34</v>
      </c>
      <c r="Q122" s="2" t="s">
        <v>4</v>
      </c>
      <c r="R122" s="3" t="s">
        <v>5</v>
      </c>
      <c r="S122" s="4" t="s">
        <v>6</v>
      </c>
      <c r="T122" s="24" t="s">
        <v>21</v>
      </c>
      <c r="U122" s="78"/>
      <c r="V122" s="55" t="s">
        <v>100</v>
      </c>
      <c r="W122" s="55" t="s">
        <v>96</v>
      </c>
      <c r="X122" s="56" t="s">
        <v>101</v>
      </c>
      <c r="Y122" s="56" t="s">
        <v>97</v>
      </c>
    </row>
    <row r="123" spans="1:25" x14ac:dyDescent="0.25">
      <c r="A123" s="6" t="s">
        <v>35</v>
      </c>
      <c r="B123" s="6" t="s">
        <v>44</v>
      </c>
      <c r="C123" s="15">
        <v>3256.73</v>
      </c>
      <c r="D123" s="16">
        <v>38.250999999999998</v>
      </c>
      <c r="E123" s="16">
        <v>41.408000000000001</v>
      </c>
      <c r="F123" s="16">
        <v>42.359000000000002</v>
      </c>
      <c r="G123" s="16">
        <v>15.32</v>
      </c>
      <c r="H123" s="16">
        <f t="shared" ref="H123:H186" si="16">(6*D123+E123+F123)/8</f>
        <v>39.159124999999996</v>
      </c>
      <c r="I123" s="5"/>
      <c r="J123" s="15">
        <v>2385.5392000000002</v>
      </c>
      <c r="K123" s="16">
        <v>38.825600000000001</v>
      </c>
      <c r="L123" s="16">
        <v>41.77</v>
      </c>
      <c r="M123" s="16">
        <v>43.090299999999999</v>
      </c>
      <c r="N123" s="16">
        <v>13.996600000000001</v>
      </c>
      <c r="O123" s="16">
        <f t="shared" ref="O123:O186" si="17">(6*K123+L123+M123)/8</f>
        <v>39.726737499999999</v>
      </c>
      <c r="P123" s="7"/>
      <c r="Q123" s="8">
        <f>bdrate(C123:C126,D123:D126,J123:J126,K123:K126)</f>
        <v>-0.42612504638558979</v>
      </c>
      <c r="R123" s="8">
        <f>bdrate(C123:C126,E123:E126,J123:J126,L123:L126)</f>
        <v>-0.39676624103817282</v>
      </c>
      <c r="S123" s="8">
        <f>bdrate(C123:C126,F123:F126,J123:J126,M123:M126)</f>
        <v>-0.50309821449412895</v>
      </c>
      <c r="T123" s="25">
        <f>bdrate(C123:C126,H123:H126,J123:J126,O123:O126)</f>
        <v>-0.43006736369360687</v>
      </c>
      <c r="U123" s="28">
        <f t="shared" ref="U123:U178" si="18">(N123-G123)/G123</f>
        <v>-8.6383812010443831E-2</v>
      </c>
      <c r="V123" s="57">
        <f t="shared" ref="V123:V179" si="19">ABS(C123-X123)/X123</f>
        <v>9.5352777777777772E-2</v>
      </c>
      <c r="W123" s="57">
        <f t="shared" ref="W123:W178" si="20">ABS(J123-Y123)/Y123</f>
        <v>6.0253333333332645E-3</v>
      </c>
      <c r="X123" s="56">
        <v>3600</v>
      </c>
      <c r="Y123" s="56">
        <v>2400</v>
      </c>
    </row>
    <row r="124" spans="1:25" x14ac:dyDescent="0.25">
      <c r="A124" s="9" t="s">
        <v>36</v>
      </c>
      <c r="B124" s="9"/>
      <c r="C124" s="17">
        <v>2126.81</v>
      </c>
      <c r="D124" s="18">
        <v>36.747</v>
      </c>
      <c r="E124" s="18">
        <v>40.755000000000003</v>
      </c>
      <c r="F124" s="18">
        <v>41.658000000000001</v>
      </c>
      <c r="G124" s="18">
        <v>16.28</v>
      </c>
      <c r="H124" s="18">
        <f t="shared" si="16"/>
        <v>37.861875000000005</v>
      </c>
      <c r="I124" s="5"/>
      <c r="J124" s="17">
        <v>1579.3776</v>
      </c>
      <c r="K124" s="18">
        <v>37.533799999999999</v>
      </c>
      <c r="L124" s="18">
        <v>41.130200000000002</v>
      </c>
      <c r="M124" s="18">
        <v>42.358499999999999</v>
      </c>
      <c r="N124" s="18">
        <v>15.5875</v>
      </c>
      <c r="O124" s="18">
        <f t="shared" si="17"/>
        <v>38.586437499999995</v>
      </c>
      <c r="P124" s="7"/>
      <c r="Q124" s="10"/>
      <c r="R124" s="11"/>
      <c r="S124" s="11"/>
      <c r="T124" s="26"/>
      <c r="U124" s="28">
        <f t="shared" si="18"/>
        <v>-4.253685503685508E-2</v>
      </c>
      <c r="V124" s="57">
        <f t="shared" si="19"/>
        <v>0.11382916666666669</v>
      </c>
      <c r="W124" s="57">
        <f t="shared" si="20"/>
        <v>1.2888999999999982E-2</v>
      </c>
      <c r="X124" s="56">
        <v>2400</v>
      </c>
      <c r="Y124" s="56">
        <v>1600</v>
      </c>
    </row>
    <row r="125" spans="1:25" x14ac:dyDescent="0.25">
      <c r="B125" s="9"/>
      <c r="C125" s="17">
        <v>1313.31</v>
      </c>
      <c r="D125" s="18">
        <v>34.932000000000002</v>
      </c>
      <c r="E125" s="18">
        <v>40.055</v>
      </c>
      <c r="F125" s="18">
        <v>40.905000000000001</v>
      </c>
      <c r="G125" s="18">
        <v>17.760000000000002</v>
      </c>
      <c r="H125" s="18">
        <f t="shared" si="16"/>
        <v>36.319000000000003</v>
      </c>
      <c r="I125" s="5"/>
      <c r="J125" s="17">
        <v>966.58960000000002</v>
      </c>
      <c r="K125" s="18">
        <v>35.904299999999999</v>
      </c>
      <c r="L125" s="18">
        <v>40.311999999999998</v>
      </c>
      <c r="M125" s="18">
        <v>41.490400000000001</v>
      </c>
      <c r="N125" s="18">
        <v>18.0397</v>
      </c>
      <c r="O125" s="18">
        <f t="shared" si="17"/>
        <v>37.153525000000002</v>
      </c>
      <c r="P125" s="7"/>
      <c r="Q125" s="10"/>
      <c r="R125" s="11"/>
      <c r="S125" s="11"/>
      <c r="T125" s="26"/>
      <c r="U125" s="28">
        <f t="shared" si="18"/>
        <v>1.5748873873873775E-2</v>
      </c>
      <c r="V125" s="57">
        <f t="shared" si="19"/>
        <v>0.12446000000000004</v>
      </c>
      <c r="W125" s="57">
        <f t="shared" si="20"/>
        <v>3.3410399999999979E-2</v>
      </c>
      <c r="X125" s="56">
        <v>1500</v>
      </c>
      <c r="Y125" s="56">
        <v>1000</v>
      </c>
    </row>
    <row r="126" spans="1:25" ht="16.5" thickBot="1" x14ac:dyDescent="0.3">
      <c r="B126" s="12"/>
      <c r="C126" s="19">
        <v>775.19</v>
      </c>
      <c r="D126" s="20">
        <v>32.737000000000002</v>
      </c>
      <c r="E126" s="20">
        <v>39.213000000000001</v>
      </c>
      <c r="F126" s="20">
        <v>40.176000000000002</v>
      </c>
      <c r="G126" s="20">
        <v>19.47</v>
      </c>
      <c r="H126" s="20">
        <f t="shared" si="16"/>
        <v>34.476375000000004</v>
      </c>
      <c r="I126" s="5"/>
      <c r="J126" s="19">
        <v>564.7088</v>
      </c>
      <c r="K126" s="20">
        <v>34.023899999999998</v>
      </c>
      <c r="L126" s="20">
        <v>39.511699999999998</v>
      </c>
      <c r="M126" s="20">
        <v>40.718600000000002</v>
      </c>
      <c r="N126" s="20">
        <v>21.388500000000001</v>
      </c>
      <c r="O126" s="20">
        <f t="shared" si="17"/>
        <v>35.546712499999998</v>
      </c>
      <c r="P126" s="7"/>
      <c r="Q126" s="13"/>
      <c r="R126" s="14"/>
      <c r="S126" s="14"/>
      <c r="T126" s="27"/>
      <c r="U126" s="28">
        <f t="shared" si="18"/>
        <v>9.8536209553158796E-2</v>
      </c>
      <c r="V126" s="57">
        <f t="shared" si="19"/>
        <v>0.13867777777777771</v>
      </c>
      <c r="W126" s="57">
        <f t="shared" si="20"/>
        <v>5.8818666666666672E-2</v>
      </c>
      <c r="X126" s="56">
        <v>900</v>
      </c>
      <c r="Y126" s="56">
        <v>600</v>
      </c>
    </row>
    <row r="127" spans="1:25" x14ac:dyDescent="0.25">
      <c r="B127" s="6" t="s">
        <v>45</v>
      </c>
      <c r="C127" s="15">
        <v>3508.84</v>
      </c>
      <c r="D127" s="16">
        <v>35.231999999999999</v>
      </c>
      <c r="E127" s="16">
        <v>38.518000000000001</v>
      </c>
      <c r="F127" s="16">
        <v>39.720999999999997</v>
      </c>
      <c r="G127" s="16">
        <v>16.87</v>
      </c>
      <c r="H127" s="16">
        <f t="shared" si="16"/>
        <v>36.203874999999996</v>
      </c>
      <c r="I127" s="5"/>
      <c r="J127" s="15">
        <v>2440.3015999999998</v>
      </c>
      <c r="K127" s="16">
        <v>35.584699999999998</v>
      </c>
      <c r="L127" s="16">
        <v>39.693199999999997</v>
      </c>
      <c r="M127" s="16">
        <v>40.911099999999998</v>
      </c>
      <c r="N127" s="16">
        <v>12.349500000000001</v>
      </c>
      <c r="O127" s="16">
        <f t="shared" si="17"/>
        <v>36.764062499999994</v>
      </c>
      <c r="P127" s="7"/>
      <c r="Q127" s="8">
        <f>bdrate(C127:C130,D127:D130,J127:J130,K127:K130)</f>
        <v>-0.4250115159616541</v>
      </c>
      <c r="R127" s="8">
        <f>bdrate(C127:C130,E127:E130,J127:J130,L127:L130)</f>
        <v>-0.58884891315324062</v>
      </c>
      <c r="S127" s="8">
        <f>bdrate(C127:C130,F127:F130,J127:J130,M127:M130)</f>
        <v>-0.60073503463965872</v>
      </c>
      <c r="T127" s="25">
        <f>bdrate(C127:C130,H127:H130,J127:J130,O127:O130)</f>
        <v>-0.45365778972097204</v>
      </c>
      <c r="U127" s="28">
        <f t="shared" si="18"/>
        <v>-0.26796087729697687</v>
      </c>
      <c r="V127" s="57">
        <f t="shared" si="19"/>
        <v>2.5322222222222183E-2</v>
      </c>
      <c r="W127" s="57">
        <f t="shared" si="20"/>
        <v>1.6792333333333243E-2</v>
      </c>
      <c r="X127" s="56">
        <v>3600</v>
      </c>
      <c r="Y127" s="56">
        <v>2400</v>
      </c>
    </row>
    <row r="128" spans="1:25" x14ac:dyDescent="0.25">
      <c r="B128" s="9"/>
      <c r="C128" s="17">
        <v>2322.54</v>
      </c>
      <c r="D128" s="18">
        <v>33.823999999999998</v>
      </c>
      <c r="E128" s="18">
        <v>37.950000000000003</v>
      </c>
      <c r="F128" s="18">
        <v>39.296999999999997</v>
      </c>
      <c r="G128" s="18">
        <v>17.809999999999999</v>
      </c>
      <c r="H128" s="18">
        <f t="shared" si="16"/>
        <v>35.023875000000004</v>
      </c>
      <c r="I128" s="5"/>
      <c r="J128" s="17">
        <v>1628.0568000000001</v>
      </c>
      <c r="K128" s="18">
        <v>34.3367</v>
      </c>
      <c r="L128" s="18">
        <v>39.001100000000001</v>
      </c>
      <c r="M128" s="18">
        <v>40.254800000000003</v>
      </c>
      <c r="N128" s="18">
        <v>14.4491</v>
      </c>
      <c r="O128" s="18">
        <f t="shared" si="17"/>
        <v>35.659512499999998</v>
      </c>
      <c r="P128" s="7"/>
      <c r="Q128" s="10"/>
      <c r="R128" s="11"/>
      <c r="S128" s="11"/>
      <c r="T128" s="26"/>
      <c r="U128" s="28">
        <f t="shared" si="18"/>
        <v>-0.18870859067939355</v>
      </c>
      <c r="V128" s="57">
        <f t="shared" si="19"/>
        <v>3.2275000000000012E-2</v>
      </c>
      <c r="W128" s="57">
        <f t="shared" si="20"/>
        <v>1.7535500000000041E-2</v>
      </c>
      <c r="X128" s="56">
        <v>2400</v>
      </c>
      <c r="Y128" s="56">
        <v>1600</v>
      </c>
    </row>
    <row r="129" spans="1:25" x14ac:dyDescent="0.25">
      <c r="B129" s="9"/>
      <c r="C129" s="17">
        <v>1444.66</v>
      </c>
      <c r="D129" s="18">
        <v>32.093000000000004</v>
      </c>
      <c r="E129" s="18">
        <v>37.302</v>
      </c>
      <c r="F129" s="18">
        <v>38.731000000000002</v>
      </c>
      <c r="G129" s="18">
        <v>18.96</v>
      </c>
      <c r="H129" s="18">
        <f t="shared" si="16"/>
        <v>33.573875000000001</v>
      </c>
      <c r="I129" s="5"/>
      <c r="J129" s="17">
        <v>1010.2112</v>
      </c>
      <c r="K129" s="18">
        <v>32.851199999999999</v>
      </c>
      <c r="L129" s="18">
        <v>38.076799999999999</v>
      </c>
      <c r="M129" s="18">
        <v>39.416800000000002</v>
      </c>
      <c r="N129" s="18">
        <v>17.183399999999999</v>
      </c>
      <c r="O129" s="18">
        <f t="shared" si="17"/>
        <v>34.325099999999999</v>
      </c>
      <c r="P129" s="7"/>
      <c r="Q129" s="10"/>
      <c r="R129" s="11"/>
      <c r="S129" s="11"/>
      <c r="T129" s="26"/>
      <c r="U129" s="28">
        <f t="shared" si="18"/>
        <v>-9.3702531645569714E-2</v>
      </c>
      <c r="V129" s="57">
        <f t="shared" si="19"/>
        <v>3.6893333333333278E-2</v>
      </c>
      <c r="W129" s="57">
        <f t="shared" si="20"/>
        <v>1.0211199999999962E-2</v>
      </c>
      <c r="X129" s="56">
        <v>1500</v>
      </c>
      <c r="Y129" s="56">
        <v>1000</v>
      </c>
    </row>
    <row r="130" spans="1:25" ht="16.5" thickBot="1" x14ac:dyDescent="0.3">
      <c r="B130" s="12"/>
      <c r="C130" s="19">
        <v>864.08</v>
      </c>
      <c r="D130" s="20">
        <v>30.309000000000001</v>
      </c>
      <c r="E130" s="20">
        <v>36.677999999999997</v>
      </c>
      <c r="F130" s="20">
        <v>38.194000000000003</v>
      </c>
      <c r="G130" s="20">
        <v>20.27</v>
      </c>
      <c r="H130" s="20">
        <f t="shared" si="16"/>
        <v>32.09075</v>
      </c>
      <c r="I130" s="5"/>
      <c r="J130" s="19">
        <v>586.81119999999999</v>
      </c>
      <c r="K130" s="20">
        <v>31.2075</v>
      </c>
      <c r="L130" s="20">
        <v>37.142899999999997</v>
      </c>
      <c r="M130" s="20">
        <v>38.677900000000001</v>
      </c>
      <c r="N130" s="20">
        <v>21.1175</v>
      </c>
      <c r="O130" s="20">
        <f t="shared" si="17"/>
        <v>32.883225000000003</v>
      </c>
      <c r="P130" s="7"/>
      <c r="Q130" s="13"/>
      <c r="R130" s="14"/>
      <c r="S130" s="14"/>
      <c r="T130" s="27"/>
      <c r="U130" s="28">
        <f t="shared" si="18"/>
        <v>4.1810557474099661E-2</v>
      </c>
      <c r="V130" s="57">
        <f t="shared" si="19"/>
        <v>3.9911111111111064E-2</v>
      </c>
      <c r="W130" s="57">
        <f t="shared" si="20"/>
        <v>2.1981333333333356E-2</v>
      </c>
      <c r="X130" s="56">
        <v>900</v>
      </c>
      <c r="Y130" s="56">
        <v>600</v>
      </c>
    </row>
    <row r="131" spans="1:25" x14ac:dyDescent="0.25">
      <c r="B131" s="6" t="s">
        <v>46</v>
      </c>
      <c r="C131" s="15">
        <v>3619.67</v>
      </c>
      <c r="D131" s="16">
        <v>32.825000000000003</v>
      </c>
      <c r="E131" s="16">
        <v>37.268999999999998</v>
      </c>
      <c r="F131" s="16">
        <v>38.463999999999999</v>
      </c>
      <c r="G131" s="16">
        <v>18.34</v>
      </c>
      <c r="H131" s="16">
        <f t="shared" si="16"/>
        <v>34.085374999999999</v>
      </c>
      <c r="I131" s="5"/>
      <c r="J131" s="15">
        <v>2411.9895999999999</v>
      </c>
      <c r="K131" s="16">
        <v>33.607399999999998</v>
      </c>
      <c r="L131" s="16">
        <v>38.027500000000003</v>
      </c>
      <c r="M131" s="16">
        <v>39.890799999999999</v>
      </c>
      <c r="N131" s="16">
        <v>18.232199999999999</v>
      </c>
      <c r="O131" s="16">
        <f t="shared" si="17"/>
        <v>34.945337500000001</v>
      </c>
      <c r="P131" s="7"/>
      <c r="Q131" s="8">
        <f>bdrate(C131:C134,D131:D134,J131:J134,K131:K134)</f>
        <v>-0.51679184189559879</v>
      </c>
      <c r="R131" s="8">
        <f>bdrate(C131:C134,E131:E134,J131:J134,L131:L134)</f>
        <v>-0.61304273725002822</v>
      </c>
      <c r="S131" s="8">
        <f>bdrate(C131:C134,F131:F134,J131:J134,M131:M134)</f>
        <v>-0.62833322038556561</v>
      </c>
      <c r="T131" s="25">
        <f>bdrate(C131:C134,H131:H134,J131:J134,O131:O134)</f>
        <v>-0.53388686386481699</v>
      </c>
      <c r="U131" s="28">
        <f t="shared" si="18"/>
        <v>-5.8778625954199019E-3</v>
      </c>
      <c r="V131" s="57">
        <f t="shared" si="19"/>
        <v>5.4638888888889087E-3</v>
      </c>
      <c r="W131" s="57">
        <f t="shared" si="20"/>
        <v>4.9956666666666179E-3</v>
      </c>
      <c r="X131" s="56">
        <v>3600</v>
      </c>
      <c r="Y131" s="56">
        <v>2400</v>
      </c>
    </row>
    <row r="132" spans="1:25" x14ac:dyDescent="0.25">
      <c r="B132" s="9"/>
      <c r="C132" s="17">
        <v>2387.44</v>
      </c>
      <c r="D132" s="18">
        <v>31.282</v>
      </c>
      <c r="E132" s="18">
        <v>36.817999999999998</v>
      </c>
      <c r="F132" s="18">
        <v>37.673999999999999</v>
      </c>
      <c r="G132" s="18">
        <v>19.11</v>
      </c>
      <c r="H132" s="18">
        <f t="shared" si="16"/>
        <v>32.772999999999996</v>
      </c>
      <c r="I132" s="5"/>
      <c r="J132" s="17">
        <v>1606.4528</v>
      </c>
      <c r="K132" s="18">
        <v>32.342199999999998</v>
      </c>
      <c r="L132" s="18">
        <v>37.559100000000001</v>
      </c>
      <c r="M132" s="18">
        <v>39.037199999999999</v>
      </c>
      <c r="N132" s="18">
        <v>21.3995</v>
      </c>
      <c r="O132" s="18">
        <f t="shared" si="17"/>
        <v>33.831187499999999</v>
      </c>
      <c r="P132" s="7"/>
      <c r="Q132" s="10"/>
      <c r="R132" s="11"/>
      <c r="S132" s="11"/>
      <c r="T132" s="26"/>
      <c r="U132" s="28">
        <f t="shared" si="18"/>
        <v>0.1198063840920984</v>
      </c>
      <c r="V132" s="57">
        <f t="shared" si="19"/>
        <v>5.2333333333333103E-3</v>
      </c>
      <c r="W132" s="57">
        <f t="shared" si="20"/>
        <v>4.0330000000000157E-3</v>
      </c>
      <c r="X132" s="56">
        <v>2400</v>
      </c>
      <c r="Y132" s="56">
        <v>1600</v>
      </c>
    </row>
    <row r="133" spans="1:25" x14ac:dyDescent="0.25">
      <c r="B133" s="9"/>
      <c r="C133" s="17">
        <v>1496.29</v>
      </c>
      <c r="D133" s="18">
        <v>29.396999999999998</v>
      </c>
      <c r="E133" s="18">
        <v>36.174999999999997</v>
      </c>
      <c r="F133" s="18">
        <v>36.726999999999997</v>
      </c>
      <c r="G133" s="18">
        <v>19.93</v>
      </c>
      <c r="H133" s="18">
        <f t="shared" si="16"/>
        <v>31.160500000000003</v>
      </c>
      <c r="I133" s="5"/>
      <c r="J133" s="17">
        <v>1002.1984</v>
      </c>
      <c r="K133" s="18">
        <v>30.7347</v>
      </c>
      <c r="L133" s="18">
        <v>36.914999999999999</v>
      </c>
      <c r="M133" s="18">
        <v>37.957900000000002</v>
      </c>
      <c r="N133" s="18">
        <v>25.334399999999999</v>
      </c>
      <c r="O133" s="18">
        <f t="shared" si="17"/>
        <v>32.410137499999998</v>
      </c>
      <c r="P133" s="7"/>
      <c r="Q133" s="10"/>
      <c r="R133" s="11"/>
      <c r="S133" s="11"/>
      <c r="T133" s="26"/>
      <c r="U133" s="28">
        <f t="shared" si="18"/>
        <v>0.27116909182137477</v>
      </c>
      <c r="V133" s="57">
        <f t="shared" si="19"/>
        <v>2.4733333333333577E-3</v>
      </c>
      <c r="W133" s="57">
        <f t="shared" si="20"/>
        <v>2.1983999999999923E-3</v>
      </c>
      <c r="X133" s="56">
        <v>1500</v>
      </c>
      <c r="Y133" s="56">
        <v>1000</v>
      </c>
    </row>
    <row r="134" spans="1:25" ht="16.5" thickBot="1" x14ac:dyDescent="0.3">
      <c r="B134" s="12"/>
      <c r="C134" s="19">
        <v>886.99</v>
      </c>
      <c r="D134" s="20">
        <v>27.241</v>
      </c>
      <c r="E134" s="20">
        <v>35.743000000000002</v>
      </c>
      <c r="F134" s="20">
        <v>35.898000000000003</v>
      </c>
      <c r="G134" s="20">
        <v>21.26</v>
      </c>
      <c r="H134" s="20">
        <f t="shared" si="16"/>
        <v>29.385874999999999</v>
      </c>
      <c r="I134" s="5"/>
      <c r="J134" s="19">
        <v>601.25599999999997</v>
      </c>
      <c r="K134" s="20">
        <v>28.925799999999999</v>
      </c>
      <c r="L134" s="20">
        <v>36.168199999999999</v>
      </c>
      <c r="M134" s="20">
        <v>36.741999999999997</v>
      </c>
      <c r="N134" s="20">
        <v>30.122299999999999</v>
      </c>
      <c r="O134" s="20">
        <f t="shared" si="17"/>
        <v>30.808125</v>
      </c>
      <c r="P134" s="7"/>
      <c r="Q134" s="13"/>
      <c r="R134" s="14"/>
      <c r="S134" s="14"/>
      <c r="T134" s="27"/>
      <c r="U134" s="28">
        <f t="shared" si="18"/>
        <v>0.41685324553151443</v>
      </c>
      <c r="V134" s="57">
        <f t="shared" si="19"/>
        <v>1.4455555555555546E-2</v>
      </c>
      <c r="W134" s="57">
        <f t="shared" si="20"/>
        <v>2.0933333333332865E-3</v>
      </c>
      <c r="X134" s="56">
        <v>900</v>
      </c>
      <c r="Y134" s="56">
        <v>600</v>
      </c>
    </row>
    <row r="135" spans="1:25" x14ac:dyDescent="0.25">
      <c r="B135" s="6" t="s">
        <v>47</v>
      </c>
      <c r="C135" s="29">
        <v>3626.13</v>
      </c>
      <c r="D135" s="30">
        <v>32.783000000000001</v>
      </c>
      <c r="E135" s="30">
        <v>39.345999999999997</v>
      </c>
      <c r="F135" s="30">
        <v>38.941000000000003</v>
      </c>
      <c r="G135" s="16">
        <v>16.579999999999998</v>
      </c>
      <c r="H135" s="16">
        <f t="shared" si="16"/>
        <v>34.373125000000002</v>
      </c>
      <c r="I135" s="5"/>
      <c r="J135" s="29">
        <v>2415.7031999999999</v>
      </c>
      <c r="K135" s="30">
        <v>33.595100000000002</v>
      </c>
      <c r="L135" s="30">
        <v>40.008800000000001</v>
      </c>
      <c r="M135" s="30">
        <v>39.578499999999998</v>
      </c>
      <c r="N135" s="16">
        <v>14.9254</v>
      </c>
      <c r="O135" s="16">
        <f t="shared" si="17"/>
        <v>35.144737500000005</v>
      </c>
      <c r="P135" s="7"/>
      <c r="Q135" s="8">
        <f>bdrate(C135:C138,D135:D138,J135:J138,K135:K138)</f>
        <v>-0.53626560355820807</v>
      </c>
      <c r="R135" s="8">
        <f>bdrate(C135:C138,E135:E138,J135:J138,L135:L138)</f>
        <v>-0.46140062901060941</v>
      </c>
      <c r="S135" s="8">
        <f>bdrate(C135:C138,F135:F138,J135:J138,M135:M138)</f>
        <v>-0.39556454024789267</v>
      </c>
      <c r="T135" s="25">
        <f>bdrate(C135:C138,H135:H138,J135:J138,O135:O138)</f>
        <v>-0.52592963778676793</v>
      </c>
      <c r="U135" s="28">
        <f t="shared" si="18"/>
        <v>-9.9794933655005955E-2</v>
      </c>
      <c r="V135" s="57">
        <f t="shared" si="19"/>
        <v>7.258333333333364E-3</v>
      </c>
      <c r="W135" s="57">
        <f t="shared" si="20"/>
        <v>6.5429999999999681E-3</v>
      </c>
      <c r="X135" s="56">
        <v>3600</v>
      </c>
      <c r="Y135" s="56">
        <v>2400</v>
      </c>
    </row>
    <row r="136" spans="1:25" x14ac:dyDescent="0.25">
      <c r="B136" s="9"/>
      <c r="C136" s="31">
        <v>2384.6799999999998</v>
      </c>
      <c r="D136" s="32">
        <v>30.827000000000002</v>
      </c>
      <c r="E136" s="32">
        <v>38.523000000000003</v>
      </c>
      <c r="F136" s="32">
        <v>38.040999999999997</v>
      </c>
      <c r="G136" s="18">
        <v>17.54</v>
      </c>
      <c r="H136" s="18">
        <f t="shared" si="16"/>
        <v>32.690750000000001</v>
      </c>
      <c r="I136" s="5"/>
      <c r="J136" s="31">
        <v>1611.5255999999999</v>
      </c>
      <c r="K136" s="32">
        <v>32.153100000000002</v>
      </c>
      <c r="L136" s="32">
        <v>39.183100000000003</v>
      </c>
      <c r="M136" s="32">
        <v>38.536200000000001</v>
      </c>
      <c r="N136" s="18">
        <v>17.421600000000002</v>
      </c>
      <c r="O136" s="18">
        <f t="shared" si="17"/>
        <v>33.8297375</v>
      </c>
      <c r="P136" s="7"/>
      <c r="Q136" s="10"/>
      <c r="R136" s="11"/>
      <c r="S136" s="11"/>
      <c r="T136" s="26"/>
      <c r="U136" s="28">
        <f t="shared" si="18"/>
        <v>-6.7502850627136615E-3</v>
      </c>
      <c r="V136" s="57">
        <f t="shared" si="19"/>
        <v>6.3833333333334014E-3</v>
      </c>
      <c r="W136" s="57">
        <f t="shared" si="20"/>
        <v>7.2034999999999625E-3</v>
      </c>
      <c r="X136" s="56">
        <v>2400</v>
      </c>
      <c r="Y136" s="56">
        <v>1600</v>
      </c>
    </row>
    <row r="137" spans="1:25" x14ac:dyDescent="0.25">
      <c r="B137" s="9"/>
      <c r="C137" s="31">
        <v>1471.58</v>
      </c>
      <c r="D137" s="32">
        <v>28.079000000000001</v>
      </c>
      <c r="E137" s="32">
        <v>37.466999999999999</v>
      </c>
      <c r="F137" s="32">
        <v>36.97</v>
      </c>
      <c r="G137" s="18">
        <v>18.43</v>
      </c>
      <c r="H137" s="18">
        <f t="shared" si="16"/>
        <v>30.363874999999997</v>
      </c>
      <c r="I137" s="5"/>
      <c r="J137" s="31">
        <v>1003.0176</v>
      </c>
      <c r="K137" s="32">
        <v>30.3323</v>
      </c>
      <c r="L137" s="32">
        <v>38.006999999999998</v>
      </c>
      <c r="M137" s="32">
        <v>37.197400000000002</v>
      </c>
      <c r="N137" s="18">
        <v>21.057099999999998</v>
      </c>
      <c r="O137" s="18">
        <f t="shared" si="17"/>
        <v>32.149774999999998</v>
      </c>
      <c r="P137" s="7"/>
      <c r="Q137" s="10"/>
      <c r="R137" s="11"/>
      <c r="S137" s="11"/>
      <c r="T137" s="26"/>
      <c r="U137" s="28">
        <f t="shared" si="18"/>
        <v>0.14254476397178506</v>
      </c>
      <c r="V137" s="57">
        <f t="shared" si="19"/>
        <v>1.8946666666666716E-2</v>
      </c>
      <c r="W137" s="57">
        <f t="shared" si="20"/>
        <v>3.0176000000000157E-3</v>
      </c>
      <c r="X137" s="56">
        <v>1500</v>
      </c>
      <c r="Y137" s="56">
        <v>1000</v>
      </c>
    </row>
    <row r="138" spans="1:25" ht="16.5" thickBot="1" x14ac:dyDescent="0.3">
      <c r="B138" s="12"/>
      <c r="C138" s="33">
        <v>871.9</v>
      </c>
      <c r="D138" s="34">
        <v>24.523</v>
      </c>
      <c r="E138" s="34">
        <v>36.012999999999998</v>
      </c>
      <c r="F138" s="34">
        <v>35.311</v>
      </c>
      <c r="G138" s="20">
        <v>19.64</v>
      </c>
      <c r="H138" s="20">
        <f t="shared" si="16"/>
        <v>27.307750000000002</v>
      </c>
      <c r="I138" s="5"/>
      <c r="J138" s="33">
        <v>600.78160000000003</v>
      </c>
      <c r="K138" s="34">
        <v>28.422999999999998</v>
      </c>
      <c r="L138" s="34">
        <v>36.469099999999997</v>
      </c>
      <c r="M138" s="34">
        <v>35.494300000000003</v>
      </c>
      <c r="N138" s="20">
        <v>25.460799999999999</v>
      </c>
      <c r="O138" s="20">
        <f t="shared" si="17"/>
        <v>30.312674999999999</v>
      </c>
      <c r="P138" s="7"/>
      <c r="Q138" s="13"/>
      <c r="R138" s="14"/>
      <c r="S138" s="14"/>
      <c r="T138" s="27"/>
      <c r="U138" s="28">
        <f t="shared" si="18"/>
        <v>0.29637474541751518</v>
      </c>
      <c r="V138" s="57">
        <f t="shared" si="19"/>
        <v>3.1222222222222248E-2</v>
      </c>
      <c r="W138" s="57">
        <f t="shared" si="20"/>
        <v>1.3026666666667098E-3</v>
      </c>
      <c r="X138" s="56">
        <v>900</v>
      </c>
      <c r="Y138" s="56">
        <v>600</v>
      </c>
    </row>
    <row r="139" spans="1:25" x14ac:dyDescent="0.25">
      <c r="B139" s="6" t="s">
        <v>48</v>
      </c>
      <c r="C139" s="15">
        <v>3538.09</v>
      </c>
      <c r="D139" s="16">
        <v>32.043999999999997</v>
      </c>
      <c r="E139" s="16">
        <v>38.475999999999999</v>
      </c>
      <c r="F139" s="16">
        <v>40.982999999999997</v>
      </c>
      <c r="G139" s="16">
        <v>19.21</v>
      </c>
      <c r="H139" s="16">
        <f t="shared" si="16"/>
        <v>33.965374999999995</v>
      </c>
      <c r="I139" s="5"/>
      <c r="J139" s="15">
        <v>2407.5272</v>
      </c>
      <c r="K139" s="16">
        <v>33.2652</v>
      </c>
      <c r="L139" s="16">
        <v>39.689599999999999</v>
      </c>
      <c r="M139" s="16">
        <v>42.188899999999997</v>
      </c>
      <c r="N139" s="16">
        <v>19.528700000000001</v>
      </c>
      <c r="O139" s="16">
        <f t="shared" si="17"/>
        <v>35.183712499999999</v>
      </c>
      <c r="P139" s="7"/>
      <c r="Q139" s="8">
        <f>bdrate(C139:C142,D139:D142,J139:J142,K139:K142)</f>
        <v>-0.64554547591931066</v>
      </c>
      <c r="R139" s="8">
        <f>bdrate(C139:C142,E139:E142,J139:J142,L139:L142)</f>
        <v>-0.70390998815080841</v>
      </c>
      <c r="S139" s="8">
        <f>bdrate(C139:C142,F139:F142,J139:J142,M139:M142)</f>
        <v>-0.71421438993059527</v>
      </c>
      <c r="T139" s="25">
        <f>bdrate(C139:C142,H139:H142,J139:J142,O139:O142)</f>
        <v>-0.6538883047725248</v>
      </c>
      <c r="U139" s="28">
        <f t="shared" si="18"/>
        <v>1.6590317542946369E-2</v>
      </c>
      <c r="V139" s="57">
        <f t="shared" si="19"/>
        <v>1.7197222222222183E-2</v>
      </c>
      <c r="W139" s="57">
        <f t="shared" si="20"/>
        <v>3.1363333333333308E-3</v>
      </c>
      <c r="X139" s="56">
        <v>3600</v>
      </c>
      <c r="Y139" s="56">
        <v>2400</v>
      </c>
    </row>
    <row r="140" spans="1:25" x14ac:dyDescent="0.25">
      <c r="B140" s="9"/>
      <c r="C140" s="17">
        <v>2319.9</v>
      </c>
      <c r="D140" s="18">
        <v>30.777000000000001</v>
      </c>
      <c r="E140" s="18">
        <v>38.115000000000002</v>
      </c>
      <c r="F140" s="18">
        <v>40.58</v>
      </c>
      <c r="G140" s="18">
        <v>19.91</v>
      </c>
      <c r="H140" s="18">
        <f t="shared" si="16"/>
        <v>32.919625000000003</v>
      </c>
      <c r="I140" s="5"/>
      <c r="J140" s="17">
        <v>1613.7664</v>
      </c>
      <c r="K140" s="18">
        <v>32.529400000000003</v>
      </c>
      <c r="L140" s="18">
        <v>39.195799999999998</v>
      </c>
      <c r="M140" s="18">
        <v>41.731400000000001</v>
      </c>
      <c r="N140" s="18">
        <v>21.8627</v>
      </c>
      <c r="O140" s="18">
        <f t="shared" si="17"/>
        <v>34.512949999999996</v>
      </c>
      <c r="P140" s="7"/>
      <c r="Q140" s="10"/>
      <c r="R140" s="11"/>
      <c r="S140" s="11"/>
      <c r="T140" s="26"/>
      <c r="U140" s="28">
        <f t="shared" si="18"/>
        <v>9.8076343545956804E-2</v>
      </c>
      <c r="V140" s="57">
        <f t="shared" si="19"/>
        <v>3.337499999999996E-2</v>
      </c>
      <c r="W140" s="57">
        <f t="shared" si="20"/>
        <v>8.6039999999999849E-3</v>
      </c>
      <c r="X140" s="56">
        <v>2400</v>
      </c>
      <c r="Y140" s="56">
        <v>1600</v>
      </c>
    </row>
    <row r="141" spans="1:25" x14ac:dyDescent="0.25">
      <c r="B141" s="9"/>
      <c r="C141" s="17">
        <v>1438.61</v>
      </c>
      <c r="D141" s="18">
        <v>29.157</v>
      </c>
      <c r="E141" s="18">
        <v>37.603000000000002</v>
      </c>
      <c r="F141" s="18">
        <v>39.872</v>
      </c>
      <c r="G141" s="18">
        <v>20.76</v>
      </c>
      <c r="H141" s="18">
        <f t="shared" si="16"/>
        <v>31.552125000000004</v>
      </c>
      <c r="I141" s="5"/>
      <c r="J141" s="17">
        <v>1030.6168</v>
      </c>
      <c r="K141" s="18">
        <v>31.422000000000001</v>
      </c>
      <c r="L141" s="18">
        <v>38.567599999999999</v>
      </c>
      <c r="M141" s="18">
        <v>41.074199999999998</v>
      </c>
      <c r="N141" s="18">
        <v>25.077300000000001</v>
      </c>
      <c r="O141" s="18">
        <f t="shared" si="17"/>
        <v>33.521725000000004</v>
      </c>
      <c r="P141" s="7"/>
      <c r="Q141" s="10"/>
      <c r="R141" s="11"/>
      <c r="S141" s="11"/>
      <c r="T141" s="26"/>
      <c r="U141" s="28">
        <f t="shared" si="18"/>
        <v>0.2079624277456647</v>
      </c>
      <c r="V141" s="57">
        <f t="shared" si="19"/>
        <v>4.0926666666666736E-2</v>
      </c>
      <c r="W141" s="57">
        <f t="shared" si="20"/>
        <v>3.0616800000000013E-2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828.18</v>
      </c>
      <c r="D142" s="20">
        <v>26.917999999999999</v>
      </c>
      <c r="E142" s="20">
        <v>37.006</v>
      </c>
      <c r="F142" s="20">
        <v>39.145000000000003</v>
      </c>
      <c r="G142" s="20">
        <v>21.54</v>
      </c>
      <c r="H142" s="20">
        <f t="shared" si="16"/>
        <v>29.707374999999999</v>
      </c>
      <c r="I142" s="5"/>
      <c r="J142" s="19">
        <v>602.89279999999997</v>
      </c>
      <c r="K142" s="20">
        <v>29.866700000000002</v>
      </c>
      <c r="L142" s="20">
        <v>37.936</v>
      </c>
      <c r="M142" s="20">
        <v>40.463799999999999</v>
      </c>
      <c r="N142" s="20">
        <v>28.399699999999999</v>
      </c>
      <c r="O142" s="20">
        <f t="shared" si="17"/>
        <v>32.200000000000003</v>
      </c>
      <c r="P142" s="7"/>
      <c r="Q142" s="13"/>
      <c r="R142" s="14"/>
      <c r="S142" s="14"/>
      <c r="T142" s="27"/>
      <c r="U142" s="28">
        <f t="shared" si="18"/>
        <v>0.31846332404828226</v>
      </c>
      <c r="V142" s="57">
        <f t="shared" si="19"/>
        <v>7.9800000000000051E-2</v>
      </c>
      <c r="W142" s="57">
        <f t="shared" si="20"/>
        <v>4.8213333333332756E-3</v>
      </c>
      <c r="X142" s="56">
        <v>900</v>
      </c>
      <c r="Y142" s="56">
        <v>600</v>
      </c>
    </row>
    <row r="143" spans="1:25" x14ac:dyDescent="0.25">
      <c r="A143" s="6" t="s">
        <v>37</v>
      </c>
      <c r="B143" s="6" t="s">
        <v>49</v>
      </c>
      <c r="C143" s="15">
        <v>1581.37</v>
      </c>
      <c r="D143" s="16">
        <v>33.197000000000003</v>
      </c>
      <c r="E143" s="16">
        <v>36.725000000000001</v>
      </c>
      <c r="F143" s="16">
        <v>36.590000000000003</v>
      </c>
      <c r="G143" s="16">
        <v>88.56</v>
      </c>
      <c r="H143" s="16">
        <f t="shared" si="16"/>
        <v>34.062125000000002</v>
      </c>
      <c r="I143" s="5"/>
      <c r="J143" s="15">
        <v>1206.8584000000001</v>
      </c>
      <c r="K143" s="16">
        <v>34.289299999999997</v>
      </c>
      <c r="L143" s="16">
        <v>38.510100000000001</v>
      </c>
      <c r="M143" s="16">
        <v>38.271900000000002</v>
      </c>
      <c r="N143" s="16">
        <v>57.7834</v>
      </c>
      <c r="O143" s="16">
        <f t="shared" si="17"/>
        <v>35.314724999999996</v>
      </c>
      <c r="P143" s="7"/>
      <c r="Q143" s="8">
        <f>bdrate(C143:C146,D143:D146,J143:J146,K143:K146)</f>
        <v>-0.42775040619833971</v>
      </c>
      <c r="R143" s="8">
        <f>bdrate(C143:C146,E143:E146,J143:J146,L143:L146)</f>
        <v>-0.54229772641878671</v>
      </c>
      <c r="S143" s="8">
        <f>bdrate(C143:C146,F143:F146,J143:J146,M143:M146)</f>
        <v>-0.50506926547106268</v>
      </c>
      <c r="T143" s="25">
        <f>bdrate(C143:C146,H143:H146,J143:J146,O143:O146)</f>
        <v>-0.44660328239644431</v>
      </c>
      <c r="U143" s="28">
        <f t="shared" si="18"/>
        <v>-0.34752258355916893</v>
      </c>
      <c r="V143" s="57">
        <f t="shared" si="19"/>
        <v>2.0238709677419284E-2</v>
      </c>
      <c r="W143" s="57">
        <f t="shared" si="20"/>
        <v>5.7153333333333951E-3</v>
      </c>
      <c r="X143" s="56">
        <v>1550</v>
      </c>
      <c r="Y143" s="56">
        <v>1200</v>
      </c>
    </row>
    <row r="144" spans="1:25" x14ac:dyDescent="0.25">
      <c r="A144" s="9" t="s">
        <v>38</v>
      </c>
      <c r="B144" s="9"/>
      <c r="C144" s="17">
        <v>1070.27</v>
      </c>
      <c r="D144" s="18">
        <v>31.677</v>
      </c>
      <c r="E144" s="18">
        <v>35.923999999999999</v>
      </c>
      <c r="F144" s="18">
        <v>35.64</v>
      </c>
      <c r="G144" s="18">
        <v>99.12</v>
      </c>
      <c r="H144" s="18">
        <f t="shared" si="16"/>
        <v>32.703250000000004</v>
      </c>
      <c r="I144" s="5"/>
      <c r="J144" s="17">
        <v>805.55439999999999</v>
      </c>
      <c r="K144" s="18">
        <v>32.720599999999997</v>
      </c>
      <c r="L144" s="18">
        <v>37.362299999999998</v>
      </c>
      <c r="M144" s="18">
        <v>36.991999999999997</v>
      </c>
      <c r="N144" s="18">
        <v>66.137600000000006</v>
      </c>
      <c r="O144" s="18">
        <f t="shared" si="17"/>
        <v>33.834737500000003</v>
      </c>
      <c r="P144" s="7"/>
      <c r="Q144" s="10"/>
      <c r="R144" s="11"/>
      <c r="S144" s="11"/>
      <c r="T144" s="26"/>
      <c r="U144" s="28">
        <f t="shared" si="18"/>
        <v>-0.3327522195318805</v>
      </c>
      <c r="V144" s="57">
        <f t="shared" si="19"/>
        <v>1.9304761904761887E-2</v>
      </c>
      <c r="W144" s="57">
        <f t="shared" si="20"/>
        <v>6.9429999999999839E-3</v>
      </c>
      <c r="X144" s="56">
        <v>1050</v>
      </c>
      <c r="Y144" s="56">
        <v>800</v>
      </c>
    </row>
    <row r="145" spans="1:25" x14ac:dyDescent="0.25">
      <c r="B145" s="9"/>
      <c r="C145" s="17">
        <v>662.14</v>
      </c>
      <c r="D145" s="18">
        <v>29.776</v>
      </c>
      <c r="E145" s="18">
        <v>35.036000000000001</v>
      </c>
      <c r="F145" s="18">
        <v>34.618000000000002</v>
      </c>
      <c r="G145" s="18">
        <v>106.96</v>
      </c>
      <c r="H145" s="18">
        <f t="shared" si="16"/>
        <v>31.03875</v>
      </c>
      <c r="I145" s="5"/>
      <c r="J145" s="17">
        <v>501.85759999999999</v>
      </c>
      <c r="K145" s="18">
        <v>30.9054</v>
      </c>
      <c r="L145" s="18">
        <v>36.080800000000004</v>
      </c>
      <c r="M145" s="18">
        <v>35.631100000000004</v>
      </c>
      <c r="N145" s="18">
        <v>80.541200000000003</v>
      </c>
      <c r="O145" s="18">
        <f t="shared" si="17"/>
        <v>32.143037500000005</v>
      </c>
      <c r="P145" s="7"/>
      <c r="Q145" s="10"/>
      <c r="R145" s="11"/>
      <c r="S145" s="11"/>
      <c r="T145" s="26"/>
      <c r="U145" s="28">
        <f t="shared" si="18"/>
        <v>-0.24699700822737464</v>
      </c>
      <c r="V145" s="57">
        <f t="shared" si="19"/>
        <v>1.8676923076923056E-2</v>
      </c>
      <c r="W145" s="57">
        <f t="shared" si="20"/>
        <v>3.7151999999999815E-3</v>
      </c>
      <c r="X145" s="56">
        <v>650</v>
      </c>
      <c r="Y145" s="56">
        <v>500</v>
      </c>
    </row>
    <row r="146" spans="1:25" ht="16.5" thickBot="1" x14ac:dyDescent="0.3">
      <c r="B146" s="12"/>
      <c r="C146" s="19">
        <v>404.79</v>
      </c>
      <c r="D146" s="20">
        <v>27.547000000000001</v>
      </c>
      <c r="E146" s="20">
        <v>34.353999999999999</v>
      </c>
      <c r="F146" s="20">
        <v>33.845999999999997</v>
      </c>
      <c r="G146" s="20">
        <v>110.07</v>
      </c>
      <c r="H146" s="20">
        <f t="shared" si="16"/>
        <v>29.185250000000003</v>
      </c>
      <c r="I146" s="5"/>
      <c r="J146" s="19">
        <v>300.35919999999999</v>
      </c>
      <c r="K146" s="20">
        <v>28.828399999999998</v>
      </c>
      <c r="L146" s="20">
        <v>34.743499999999997</v>
      </c>
      <c r="M146" s="20">
        <v>34.112400000000001</v>
      </c>
      <c r="N146" s="20">
        <v>101.89530000000001</v>
      </c>
      <c r="O146" s="20">
        <f t="shared" si="17"/>
        <v>30.228287499999997</v>
      </c>
      <c r="P146" s="7"/>
      <c r="Q146" s="13"/>
      <c r="R146" s="14"/>
      <c r="S146" s="14"/>
      <c r="T146" s="27"/>
      <c r="U146" s="28">
        <f t="shared" si="18"/>
        <v>-7.4268192968111088E-2</v>
      </c>
      <c r="V146" s="57">
        <f t="shared" si="19"/>
        <v>1.1975000000000052E-2</v>
      </c>
      <c r="W146" s="57">
        <f t="shared" si="20"/>
        <v>1.1973333333332903E-3</v>
      </c>
      <c r="X146" s="56">
        <v>400</v>
      </c>
      <c r="Y146" s="56">
        <v>300</v>
      </c>
    </row>
    <row r="147" spans="1:25" x14ac:dyDescent="0.25">
      <c r="B147" s="6" t="s">
        <v>50</v>
      </c>
      <c r="C147" s="15">
        <v>1572.19</v>
      </c>
      <c r="D147" s="16">
        <v>33.634</v>
      </c>
      <c r="E147" s="16">
        <v>38.838999999999999</v>
      </c>
      <c r="F147" s="16">
        <v>39.613</v>
      </c>
      <c r="G147" s="16">
        <v>91.73</v>
      </c>
      <c r="H147" s="16">
        <f t="shared" si="16"/>
        <v>35.031999999999996</v>
      </c>
      <c r="I147" s="5"/>
      <c r="J147" s="15">
        <v>1235.7128</v>
      </c>
      <c r="K147" s="16">
        <v>34.7181</v>
      </c>
      <c r="L147" s="16">
        <v>40.241999999999997</v>
      </c>
      <c r="M147" s="16">
        <v>41.088299999999997</v>
      </c>
      <c r="N147" s="16">
        <v>56.211399999999998</v>
      </c>
      <c r="O147" s="16">
        <f t="shared" si="17"/>
        <v>36.204862499999997</v>
      </c>
      <c r="P147" s="7"/>
      <c r="Q147" s="8">
        <f>bdrate(C147:C150,D147:D150,J147:J150,K147:K150)</f>
        <v>-0.44371384123519564</v>
      </c>
      <c r="R147" s="8">
        <f>bdrate(C147:C150,E147:E150,J147:J150,L147:L150)</f>
        <v>-0.54452256990614401</v>
      </c>
      <c r="S147" s="8">
        <f>bdrate(C147:C150,F147:F150,J147:J150,M147:M150)</f>
        <v>-0.49350738835455621</v>
      </c>
      <c r="T147" s="25">
        <f>bdrate(C147:C150,H147:H150,J147:J150,O147:O150)</f>
        <v>-0.45663454629147626</v>
      </c>
      <c r="U147" s="28">
        <f t="shared" si="18"/>
        <v>-0.38720811075983869</v>
      </c>
      <c r="V147" s="57">
        <f t="shared" si="19"/>
        <v>1.4316129032258099E-2</v>
      </c>
      <c r="W147" s="57">
        <f t="shared" si="20"/>
        <v>2.9760666666666678E-2</v>
      </c>
      <c r="X147" s="56">
        <v>1550</v>
      </c>
      <c r="Y147" s="56">
        <v>1200</v>
      </c>
    </row>
    <row r="148" spans="1:25" x14ac:dyDescent="0.25">
      <c r="B148" s="9"/>
      <c r="C148" s="17">
        <v>1065.47</v>
      </c>
      <c r="D148" s="18">
        <v>31.888000000000002</v>
      </c>
      <c r="E148" s="18">
        <v>38.11</v>
      </c>
      <c r="F148" s="18">
        <v>38.840000000000003</v>
      </c>
      <c r="G148" s="18">
        <v>95.11</v>
      </c>
      <c r="H148" s="18">
        <f t="shared" si="16"/>
        <v>33.534750000000003</v>
      </c>
      <c r="I148" s="5"/>
      <c r="J148" s="17">
        <v>824.21839999999997</v>
      </c>
      <c r="K148" s="18">
        <v>33.152500000000003</v>
      </c>
      <c r="L148" s="18">
        <v>39.311700000000002</v>
      </c>
      <c r="M148" s="18">
        <v>40.030799999999999</v>
      </c>
      <c r="N148" s="18">
        <v>64.294899999999998</v>
      </c>
      <c r="O148" s="18">
        <f t="shared" si="17"/>
        <v>34.782187500000006</v>
      </c>
      <c r="P148" s="7"/>
      <c r="Q148" s="10"/>
      <c r="R148" s="11"/>
      <c r="S148" s="11"/>
      <c r="T148" s="26"/>
      <c r="U148" s="28">
        <f t="shared" si="18"/>
        <v>-0.323994322363579</v>
      </c>
      <c r="V148" s="57">
        <f t="shared" si="19"/>
        <v>1.4733333333333359E-2</v>
      </c>
      <c r="W148" s="57">
        <f t="shared" si="20"/>
        <v>3.0272999999999967E-2</v>
      </c>
      <c r="X148" s="56">
        <v>1050</v>
      </c>
      <c r="Y148" s="56">
        <v>800</v>
      </c>
    </row>
    <row r="149" spans="1:25" x14ac:dyDescent="0.25">
      <c r="B149" s="9"/>
      <c r="C149" s="17">
        <v>661.05</v>
      </c>
      <c r="D149" s="18">
        <v>29.695</v>
      </c>
      <c r="E149" s="18">
        <v>37.326000000000001</v>
      </c>
      <c r="F149" s="18">
        <v>37.953000000000003</v>
      </c>
      <c r="G149" s="18">
        <v>99.65</v>
      </c>
      <c r="H149" s="18">
        <f t="shared" si="16"/>
        <v>31.681125000000002</v>
      </c>
      <c r="I149" s="5"/>
      <c r="J149" s="17">
        <v>514.39599999999996</v>
      </c>
      <c r="K149" s="18">
        <v>31.260400000000001</v>
      </c>
      <c r="L149" s="18">
        <v>38.267899999999997</v>
      </c>
      <c r="M149" s="18">
        <v>38.799100000000003</v>
      </c>
      <c r="N149" s="18">
        <v>80.482900000000001</v>
      </c>
      <c r="O149" s="18">
        <f t="shared" si="17"/>
        <v>33.078674999999997</v>
      </c>
      <c r="P149" s="7"/>
      <c r="Q149" s="10"/>
      <c r="R149" s="11"/>
      <c r="S149" s="11"/>
      <c r="T149" s="26"/>
      <c r="U149" s="28">
        <f t="shared" si="18"/>
        <v>-0.19234420471650782</v>
      </c>
      <c r="V149" s="57">
        <f t="shared" si="19"/>
        <v>1.6999999999999928E-2</v>
      </c>
      <c r="W149" s="57">
        <f t="shared" si="20"/>
        <v>2.8791999999999915E-2</v>
      </c>
      <c r="X149" s="56">
        <v>650</v>
      </c>
      <c r="Y149" s="56">
        <v>500</v>
      </c>
    </row>
    <row r="150" spans="1:25" ht="16.5" thickBot="1" x14ac:dyDescent="0.3">
      <c r="B150" s="12"/>
      <c r="C150" s="19">
        <v>408.35</v>
      </c>
      <c r="D150" s="20">
        <v>27.327999999999999</v>
      </c>
      <c r="E150" s="20">
        <v>36.569000000000003</v>
      </c>
      <c r="F150" s="20">
        <v>37.103000000000002</v>
      </c>
      <c r="G150" s="20">
        <v>106.22</v>
      </c>
      <c r="H150" s="20">
        <f t="shared" si="16"/>
        <v>29.704999999999998</v>
      </c>
      <c r="I150" s="5"/>
      <c r="J150" s="19">
        <v>308.8184</v>
      </c>
      <c r="K150" s="20">
        <v>29.178000000000001</v>
      </c>
      <c r="L150" s="20">
        <v>37.216099999999997</v>
      </c>
      <c r="M150" s="20">
        <v>37.577199999999998</v>
      </c>
      <c r="N150" s="20">
        <v>93.589100000000002</v>
      </c>
      <c r="O150" s="20">
        <f t="shared" si="17"/>
        <v>31.232662500000004</v>
      </c>
      <c r="P150" s="7"/>
      <c r="Q150" s="13"/>
      <c r="R150" s="14"/>
      <c r="S150" s="14"/>
      <c r="T150" s="27"/>
      <c r="U150" s="28">
        <f t="shared" si="18"/>
        <v>-0.11891263415552623</v>
      </c>
      <c r="V150" s="57">
        <f t="shared" si="19"/>
        <v>2.0875000000000057E-2</v>
      </c>
      <c r="W150" s="57">
        <f t="shared" si="20"/>
        <v>2.9394666666666656E-2</v>
      </c>
      <c r="X150" s="56">
        <v>400</v>
      </c>
      <c r="Y150" s="56">
        <v>300</v>
      </c>
    </row>
    <row r="151" spans="1:25" x14ac:dyDescent="0.25">
      <c r="B151" s="6" t="s">
        <v>51</v>
      </c>
      <c r="C151" s="15">
        <v>1470.91</v>
      </c>
      <c r="D151" s="16">
        <v>28.13</v>
      </c>
      <c r="E151" s="16">
        <v>34.823999999999998</v>
      </c>
      <c r="F151" s="16">
        <v>35.503999999999998</v>
      </c>
      <c r="G151" s="16">
        <v>92.67</v>
      </c>
      <c r="H151" s="16">
        <f t="shared" si="16"/>
        <v>29.888499999999997</v>
      </c>
      <c r="I151" s="5"/>
      <c r="J151" s="15">
        <v>1212.9552000000001</v>
      </c>
      <c r="K151" s="16">
        <v>29.794599999999999</v>
      </c>
      <c r="L151" s="16">
        <v>36.459299999999999</v>
      </c>
      <c r="M151" s="16">
        <v>37.241599999999998</v>
      </c>
      <c r="N151" s="16">
        <v>48.520099999999999</v>
      </c>
      <c r="O151" s="16">
        <f t="shared" si="17"/>
        <v>31.558562500000001</v>
      </c>
      <c r="P151" s="7"/>
      <c r="Q151" s="8">
        <f>bdrate(C151:C154,D151:D154,J151:J154,K151:K154)</f>
        <v>-0.52139454122735562</v>
      </c>
      <c r="R151" s="8">
        <f>bdrate(C151:C154,E151:E154,J151:J154,L151:L154)</f>
        <v>-0.6222867479126879</v>
      </c>
      <c r="S151" s="8">
        <f>bdrate(C151:C154,F151:F154,J151:J154,M151:M154)</f>
        <v>-0.60722440481290929</v>
      </c>
      <c r="T151" s="25">
        <f>bdrate(C151:C154,H151:H154,J151:J154,O151:O154)</f>
        <v>-0.53670744346919397</v>
      </c>
      <c r="U151" s="28">
        <f t="shared" si="18"/>
        <v>-0.47642063235135429</v>
      </c>
      <c r="V151" s="57">
        <f t="shared" si="19"/>
        <v>5.1025806451612851E-2</v>
      </c>
      <c r="W151" s="57">
        <f t="shared" si="20"/>
        <v>1.0796000000000087E-2</v>
      </c>
      <c r="X151" s="56">
        <v>1550</v>
      </c>
      <c r="Y151" s="56">
        <v>1200</v>
      </c>
    </row>
    <row r="152" spans="1:25" x14ac:dyDescent="0.25">
      <c r="B152" s="9"/>
      <c r="C152" s="17">
        <v>996.04</v>
      </c>
      <c r="D152" s="18">
        <v>26.8</v>
      </c>
      <c r="E152" s="18">
        <v>34.36</v>
      </c>
      <c r="F152" s="18">
        <v>35.076999999999998</v>
      </c>
      <c r="G152" s="18">
        <v>98.36</v>
      </c>
      <c r="H152" s="18">
        <f t="shared" si="16"/>
        <v>28.779625000000003</v>
      </c>
      <c r="I152" s="5"/>
      <c r="J152" s="17">
        <v>813.48879999999997</v>
      </c>
      <c r="K152" s="18">
        <v>28.475100000000001</v>
      </c>
      <c r="L152" s="18">
        <v>35.689300000000003</v>
      </c>
      <c r="M152" s="18">
        <v>36.462800000000001</v>
      </c>
      <c r="N152" s="18">
        <v>58.685400000000001</v>
      </c>
      <c r="O152" s="18">
        <f t="shared" si="17"/>
        <v>30.375337500000001</v>
      </c>
      <c r="P152" s="7"/>
      <c r="Q152" s="10"/>
      <c r="R152" s="11"/>
      <c r="S152" s="11"/>
      <c r="T152" s="26"/>
      <c r="U152" s="28">
        <f t="shared" si="18"/>
        <v>-0.40336112240748268</v>
      </c>
      <c r="V152" s="57">
        <f t="shared" si="19"/>
        <v>5.1390476190476223E-2</v>
      </c>
      <c r="W152" s="57">
        <f t="shared" si="20"/>
        <v>1.6860999999999963E-2</v>
      </c>
      <c r="X152" s="56">
        <v>1050</v>
      </c>
      <c r="Y152" s="56">
        <v>800</v>
      </c>
    </row>
    <row r="153" spans="1:25" x14ac:dyDescent="0.25">
      <c r="B153" s="9"/>
      <c r="C153" s="17">
        <v>614.62</v>
      </c>
      <c r="D153" s="18">
        <v>25.292999999999999</v>
      </c>
      <c r="E153" s="18">
        <v>33.929000000000002</v>
      </c>
      <c r="F153" s="18">
        <v>34.661999999999999</v>
      </c>
      <c r="G153" s="18">
        <v>105.84</v>
      </c>
      <c r="H153" s="18">
        <f t="shared" si="16"/>
        <v>27.543624999999999</v>
      </c>
      <c r="I153" s="5"/>
      <c r="J153" s="17">
        <v>508.01600000000002</v>
      </c>
      <c r="K153" s="18">
        <v>27.003</v>
      </c>
      <c r="L153" s="18">
        <v>34.834200000000003</v>
      </c>
      <c r="M153" s="18">
        <v>35.546399999999998</v>
      </c>
      <c r="N153" s="18">
        <v>72.233500000000006</v>
      </c>
      <c r="O153" s="18">
        <f t="shared" si="17"/>
        <v>29.049825000000002</v>
      </c>
      <c r="P153" s="7"/>
      <c r="Q153" s="10"/>
      <c r="R153" s="11"/>
      <c r="S153" s="11"/>
      <c r="T153" s="26"/>
      <c r="U153" s="28">
        <f t="shared" si="18"/>
        <v>-0.31752173091458802</v>
      </c>
      <c r="V153" s="57">
        <f t="shared" si="19"/>
        <v>5.4430769230769227E-2</v>
      </c>
      <c r="W153" s="57">
        <f t="shared" si="20"/>
        <v>1.6032000000000039E-2</v>
      </c>
      <c r="X153" s="56">
        <v>650</v>
      </c>
      <c r="Y153" s="56">
        <v>500</v>
      </c>
    </row>
    <row r="154" spans="1:25" ht="16.5" thickBot="1" x14ac:dyDescent="0.3">
      <c r="B154" s="12"/>
      <c r="C154" s="19">
        <v>381.09</v>
      </c>
      <c r="D154" s="20">
        <v>23.94</v>
      </c>
      <c r="E154" s="20">
        <v>33.552999999999997</v>
      </c>
      <c r="F154" s="20">
        <v>34.265999999999998</v>
      </c>
      <c r="G154" s="20">
        <v>111.07</v>
      </c>
      <c r="H154" s="20">
        <f t="shared" si="16"/>
        <v>26.432375</v>
      </c>
      <c r="I154" s="5"/>
      <c r="J154" s="19">
        <v>306.44639999999998</v>
      </c>
      <c r="K154" s="20">
        <v>25.491399999999999</v>
      </c>
      <c r="L154" s="20">
        <v>34.035499999999999</v>
      </c>
      <c r="M154" s="20">
        <v>34.688600000000001</v>
      </c>
      <c r="N154" s="20">
        <v>89.253799999999998</v>
      </c>
      <c r="O154" s="20">
        <f t="shared" si="17"/>
        <v>27.709062500000002</v>
      </c>
      <c r="P154" s="7"/>
      <c r="Q154" s="13"/>
      <c r="R154" s="14"/>
      <c r="S154" s="14"/>
      <c r="T154" s="27"/>
      <c r="U154" s="28">
        <f t="shared" si="18"/>
        <v>-0.19641847483568917</v>
      </c>
      <c r="V154" s="57">
        <f t="shared" si="19"/>
        <v>4.727500000000006E-2</v>
      </c>
      <c r="W154" s="57">
        <f t="shared" si="20"/>
        <v>2.1487999999999941E-2</v>
      </c>
      <c r="X154" s="56">
        <v>400</v>
      </c>
      <c r="Y154" s="56">
        <v>300</v>
      </c>
    </row>
    <row r="155" spans="1:25" x14ac:dyDescent="0.25">
      <c r="B155" s="6" t="s">
        <v>52</v>
      </c>
      <c r="C155" s="15">
        <v>1486.26</v>
      </c>
      <c r="D155" s="16">
        <v>31.774000000000001</v>
      </c>
      <c r="E155" s="16">
        <v>36.057000000000002</v>
      </c>
      <c r="F155" s="16">
        <v>37.651000000000003</v>
      </c>
      <c r="G155" s="16">
        <v>69.75</v>
      </c>
      <c r="H155" s="16">
        <f t="shared" si="16"/>
        <v>33.044000000000004</v>
      </c>
      <c r="I155" s="5"/>
      <c r="J155" s="15">
        <v>1205.5319999999999</v>
      </c>
      <c r="K155" s="16">
        <v>31.798200000000001</v>
      </c>
      <c r="L155" s="16">
        <v>36.557200000000002</v>
      </c>
      <c r="M155" s="16">
        <v>38.114800000000002</v>
      </c>
      <c r="N155" s="16">
        <v>36.778199999999998</v>
      </c>
      <c r="O155" s="16">
        <f t="shared" si="17"/>
        <v>33.182649999999995</v>
      </c>
      <c r="P155" s="7"/>
      <c r="Q155" s="8">
        <f>bdrate(C155:C158,D155:D158,J155:J158,K155:K158)</f>
        <v>-0.26168447055991362</v>
      </c>
      <c r="R155" s="8">
        <f>bdrate(C155:C158,E155:E158,J155:J158,L155:L158)</f>
        <v>-0.30213740324638116</v>
      </c>
      <c r="S155" s="8">
        <f>bdrate(C155:C158,F155:F158,J155:J158,M155:M158)</f>
        <v>-0.29389041886267042</v>
      </c>
      <c r="T155" s="25">
        <f>bdrate(C155:C158,H155:H158,J155:J158,O155:O158)</f>
        <v>-0.26949116777176185</v>
      </c>
      <c r="U155" s="28">
        <f t="shared" si="18"/>
        <v>-0.47271397849462365</v>
      </c>
      <c r="V155" s="57">
        <f t="shared" si="19"/>
        <v>4.1122580645161298E-2</v>
      </c>
      <c r="W155" s="57">
        <f t="shared" si="20"/>
        <v>4.6099999999999379E-3</v>
      </c>
      <c r="X155" s="56">
        <v>1550</v>
      </c>
      <c r="Y155" s="56">
        <v>1200</v>
      </c>
    </row>
    <row r="156" spans="1:25" x14ac:dyDescent="0.25">
      <c r="B156" s="9"/>
      <c r="C156" s="17">
        <v>1015.54</v>
      </c>
      <c r="D156" s="18">
        <v>30.189</v>
      </c>
      <c r="E156" s="18">
        <v>35.372999999999998</v>
      </c>
      <c r="F156" s="18">
        <v>36.94</v>
      </c>
      <c r="G156" s="18">
        <v>77.63</v>
      </c>
      <c r="H156" s="18">
        <f t="shared" si="16"/>
        <v>31.680875</v>
      </c>
      <c r="I156" s="5"/>
      <c r="J156" s="17">
        <v>801.24559999999997</v>
      </c>
      <c r="K156" s="18">
        <v>30.3307</v>
      </c>
      <c r="L156" s="18">
        <v>35.719099999999997</v>
      </c>
      <c r="M156" s="18">
        <v>37.286299999999997</v>
      </c>
      <c r="N156" s="18">
        <v>43.283799999999999</v>
      </c>
      <c r="O156" s="18">
        <f t="shared" si="17"/>
        <v>31.873699999999999</v>
      </c>
      <c r="P156" s="7"/>
      <c r="Q156" s="10"/>
      <c r="R156" s="11"/>
      <c r="S156" s="11"/>
      <c r="T156" s="26"/>
      <c r="U156" s="28">
        <f t="shared" si="18"/>
        <v>-0.44243462578899906</v>
      </c>
      <c r="V156" s="57">
        <f t="shared" si="19"/>
        <v>3.281904761904765E-2</v>
      </c>
      <c r="W156" s="57">
        <f t="shared" si="20"/>
        <v>1.5569999999999595E-3</v>
      </c>
      <c r="X156" s="56">
        <v>1050</v>
      </c>
      <c r="Y156" s="56">
        <v>800</v>
      </c>
    </row>
    <row r="157" spans="1:25" x14ac:dyDescent="0.25">
      <c r="B157" s="9"/>
      <c r="C157" s="17">
        <v>640.37</v>
      </c>
      <c r="D157" s="18">
        <v>28.372</v>
      </c>
      <c r="E157" s="18">
        <v>34.656999999999996</v>
      </c>
      <c r="F157" s="18">
        <v>36.182000000000002</v>
      </c>
      <c r="G157" s="18">
        <v>83.58</v>
      </c>
      <c r="H157" s="18">
        <f t="shared" si="16"/>
        <v>30.133875000000003</v>
      </c>
      <c r="I157" s="5"/>
      <c r="J157" s="17">
        <v>501.83120000000002</v>
      </c>
      <c r="K157" s="18">
        <v>28.671500000000002</v>
      </c>
      <c r="L157" s="18">
        <v>34.816699999999997</v>
      </c>
      <c r="M157" s="18">
        <v>36.329599999999999</v>
      </c>
      <c r="N157" s="18">
        <v>54.604999999999997</v>
      </c>
      <c r="O157" s="18">
        <f t="shared" si="17"/>
        <v>30.396912499999999</v>
      </c>
      <c r="P157" s="7"/>
      <c r="Q157" s="10"/>
      <c r="R157" s="11"/>
      <c r="S157" s="11"/>
      <c r="T157" s="26"/>
      <c r="U157" s="28">
        <f t="shared" si="18"/>
        <v>-0.34667384541756402</v>
      </c>
      <c r="V157" s="57">
        <f t="shared" si="19"/>
        <v>1.4815384615384609E-2</v>
      </c>
      <c r="W157" s="57">
        <f t="shared" si="20"/>
        <v>3.6624000000000478E-3</v>
      </c>
      <c r="X157" s="56">
        <v>650</v>
      </c>
      <c r="Y157" s="56">
        <v>500</v>
      </c>
    </row>
    <row r="158" spans="1:25" ht="16.5" thickBot="1" x14ac:dyDescent="0.3">
      <c r="B158" s="12"/>
      <c r="C158" s="19">
        <v>401.26</v>
      </c>
      <c r="D158" s="20">
        <v>26.620999999999999</v>
      </c>
      <c r="E158" s="20">
        <v>33.944000000000003</v>
      </c>
      <c r="F158" s="20">
        <v>35.378</v>
      </c>
      <c r="G158" s="20">
        <v>90.91</v>
      </c>
      <c r="H158" s="20">
        <f t="shared" si="16"/>
        <v>28.631</v>
      </c>
      <c r="I158" s="5"/>
      <c r="J158" s="19">
        <v>300.45760000000001</v>
      </c>
      <c r="K158" s="20">
        <v>27.091699999999999</v>
      </c>
      <c r="L158" s="20">
        <v>33.799399999999999</v>
      </c>
      <c r="M158" s="20">
        <v>35.204599999999999</v>
      </c>
      <c r="N158" s="20">
        <v>69.702600000000004</v>
      </c>
      <c r="O158" s="20">
        <f t="shared" si="17"/>
        <v>28.944274999999998</v>
      </c>
      <c r="P158" s="7"/>
      <c r="Q158" s="13"/>
      <c r="R158" s="14"/>
      <c r="S158" s="14"/>
      <c r="T158" s="27"/>
      <c r="U158" s="28">
        <f t="shared" si="18"/>
        <v>-0.23327906720932784</v>
      </c>
      <c r="V158" s="57">
        <f t="shared" si="19"/>
        <v>3.1499999999999775E-3</v>
      </c>
      <c r="W158" s="57">
        <f t="shared" si="20"/>
        <v>1.5253333333333785E-3</v>
      </c>
      <c r="X158" s="56">
        <v>400</v>
      </c>
      <c r="Y158" s="56">
        <v>300</v>
      </c>
    </row>
    <row r="159" spans="1:25" x14ac:dyDescent="0.25">
      <c r="A159" s="6" t="s">
        <v>39</v>
      </c>
      <c r="B159" s="6" t="s">
        <v>53</v>
      </c>
      <c r="C159" s="15">
        <v>834.62</v>
      </c>
      <c r="D159" s="16">
        <v>33.862000000000002</v>
      </c>
      <c r="E159" s="16">
        <v>38.305999999999997</v>
      </c>
      <c r="F159" s="16">
        <v>37.22</v>
      </c>
      <c r="G159" s="16">
        <v>220.41</v>
      </c>
      <c r="H159" s="16">
        <f t="shared" si="16"/>
        <v>34.837249999999997</v>
      </c>
      <c r="I159" s="5"/>
      <c r="J159" s="15">
        <v>603.55439999999999</v>
      </c>
      <c r="K159" s="16">
        <v>33.603400000000001</v>
      </c>
      <c r="L159" s="16">
        <v>39.160600000000002</v>
      </c>
      <c r="M159" s="16">
        <v>37.606999999999999</v>
      </c>
      <c r="N159" s="16">
        <v>150.4212</v>
      </c>
      <c r="O159" s="16">
        <f t="shared" si="17"/>
        <v>34.798500000000004</v>
      </c>
      <c r="P159" s="7"/>
      <c r="Q159" s="8">
        <f>bdrate(C159:C162,D159:D162,J159:J162,K159:K162)</f>
        <v>-0.26942903670710949</v>
      </c>
      <c r="R159" s="8">
        <f>bdrate(C159:C162,E159:E162,J159:J162,L159:L162)</f>
        <v>-0.39752601718916269</v>
      </c>
      <c r="S159" s="8">
        <f>bdrate(C159:C162,F159:F162,J159:J162,M159:M162)</f>
        <v>-0.29502416614894211</v>
      </c>
      <c r="T159" s="25">
        <f>bdrate(C159:C162,H159:H162,J159:J162,O159:O162)</f>
        <v>-0.28257188568862845</v>
      </c>
      <c r="U159" s="28">
        <f t="shared" si="18"/>
        <v>-0.31753913161834763</v>
      </c>
      <c r="V159" s="57">
        <f t="shared" si="19"/>
        <v>4.3275000000000008E-2</v>
      </c>
      <c r="W159" s="57">
        <f t="shared" si="20"/>
        <v>5.9239999999999779E-3</v>
      </c>
      <c r="X159" s="56">
        <v>800</v>
      </c>
      <c r="Y159" s="56">
        <v>600</v>
      </c>
    </row>
    <row r="160" spans="1:25" x14ac:dyDescent="0.25">
      <c r="A160" s="9" t="s">
        <v>40</v>
      </c>
      <c r="B160" s="9"/>
      <c r="C160" s="17">
        <v>524.36</v>
      </c>
      <c r="D160" s="18">
        <v>31.722000000000001</v>
      </c>
      <c r="E160" s="18">
        <v>37.317</v>
      </c>
      <c r="F160" s="18">
        <v>35.991999999999997</v>
      </c>
      <c r="G160" s="18">
        <v>246.45</v>
      </c>
      <c r="H160" s="18">
        <f t="shared" si="16"/>
        <v>32.955125000000002</v>
      </c>
      <c r="I160" s="5"/>
      <c r="J160" s="17">
        <v>401.99279999999999</v>
      </c>
      <c r="K160" s="18">
        <v>31.836600000000001</v>
      </c>
      <c r="L160" s="18">
        <v>38.037100000000002</v>
      </c>
      <c r="M160" s="18">
        <v>36.348300000000002</v>
      </c>
      <c r="N160" s="18">
        <v>181.95050000000001</v>
      </c>
      <c r="O160" s="18">
        <f t="shared" si="17"/>
        <v>33.175625000000004</v>
      </c>
      <c r="P160" s="7"/>
      <c r="Q160" s="10"/>
      <c r="R160" s="11"/>
      <c r="S160" s="11"/>
      <c r="T160" s="26"/>
      <c r="U160" s="28">
        <f t="shared" si="18"/>
        <v>-0.26171434368025964</v>
      </c>
      <c r="V160" s="57">
        <f t="shared" si="19"/>
        <v>4.8720000000000027E-2</v>
      </c>
      <c r="W160" s="57">
        <f t="shared" si="20"/>
        <v>4.9819999999999708E-3</v>
      </c>
      <c r="X160" s="56">
        <v>500</v>
      </c>
      <c r="Y160" s="56">
        <v>400</v>
      </c>
    </row>
    <row r="161" spans="1:25" x14ac:dyDescent="0.25">
      <c r="B161" s="9"/>
      <c r="C161" s="17">
        <v>315.79000000000002</v>
      </c>
      <c r="D161" s="18">
        <v>29.609000000000002</v>
      </c>
      <c r="E161" s="18">
        <v>36.387</v>
      </c>
      <c r="F161" s="18">
        <v>34.851999999999997</v>
      </c>
      <c r="G161" s="18">
        <v>270.60000000000002</v>
      </c>
      <c r="H161" s="18">
        <f t="shared" si="16"/>
        <v>31.111625</v>
      </c>
      <c r="I161" s="5"/>
      <c r="J161" s="17">
        <v>251.52080000000001</v>
      </c>
      <c r="K161" s="18">
        <v>29.928100000000001</v>
      </c>
      <c r="L161" s="18">
        <v>36.922600000000003</v>
      </c>
      <c r="M161" s="18">
        <v>35.133400000000002</v>
      </c>
      <c r="N161" s="18">
        <v>224.01429999999999</v>
      </c>
      <c r="O161" s="18">
        <f t="shared" si="17"/>
        <v>31.453074999999998</v>
      </c>
      <c r="P161" s="7"/>
      <c r="Q161" s="10"/>
      <c r="R161" s="11"/>
      <c r="S161" s="11"/>
      <c r="T161" s="26"/>
      <c r="U161" s="28">
        <f t="shared" si="18"/>
        <v>-0.1721570583887658</v>
      </c>
      <c r="V161" s="57">
        <f t="shared" si="19"/>
        <v>5.26333333333334E-2</v>
      </c>
      <c r="W161" s="57">
        <f t="shared" si="20"/>
        <v>6.0832000000000334E-3</v>
      </c>
      <c r="X161" s="56">
        <v>300</v>
      </c>
      <c r="Y161" s="56">
        <v>250</v>
      </c>
    </row>
    <row r="162" spans="1:25" ht="16.5" thickBot="1" x14ac:dyDescent="0.3">
      <c r="B162" s="12"/>
      <c r="C162" s="19">
        <v>161.84</v>
      </c>
      <c r="D162" s="20">
        <v>26.757999999999999</v>
      </c>
      <c r="E162" s="20">
        <v>35.302</v>
      </c>
      <c r="F162" s="20">
        <v>33.601999999999997</v>
      </c>
      <c r="G162" s="20">
        <v>298.36</v>
      </c>
      <c r="H162" s="20">
        <f t="shared" si="16"/>
        <v>28.6815</v>
      </c>
      <c r="I162" s="5"/>
      <c r="J162" s="19">
        <v>121.0984</v>
      </c>
      <c r="K162" s="20">
        <v>27.268999999999998</v>
      </c>
      <c r="L162" s="20">
        <v>35.377000000000002</v>
      </c>
      <c r="M162" s="20">
        <v>33.282200000000003</v>
      </c>
      <c r="N162" s="20">
        <v>300.12</v>
      </c>
      <c r="O162" s="20">
        <f t="shared" si="17"/>
        <v>29.034149999999997</v>
      </c>
      <c r="P162" s="7"/>
      <c r="Q162" s="13"/>
      <c r="R162" s="14"/>
      <c r="S162" s="14"/>
      <c r="T162" s="27"/>
      <c r="U162" s="28">
        <f t="shared" si="18"/>
        <v>5.8989140635473617E-3</v>
      </c>
      <c r="V162" s="57">
        <f t="shared" si="19"/>
        <v>7.8933333333333355E-2</v>
      </c>
      <c r="W162" s="57">
        <f t="shared" si="20"/>
        <v>9.1533333333333172E-3</v>
      </c>
      <c r="X162" s="56">
        <v>150</v>
      </c>
      <c r="Y162" s="56">
        <v>120</v>
      </c>
    </row>
    <row r="163" spans="1:25" x14ac:dyDescent="0.25">
      <c r="B163" s="6" t="s">
        <v>54</v>
      </c>
      <c r="C163" s="15">
        <v>778.39</v>
      </c>
      <c r="D163" s="16">
        <v>30.885999999999999</v>
      </c>
      <c r="E163" s="16">
        <v>38.759</v>
      </c>
      <c r="F163" s="16">
        <v>39.283999999999999</v>
      </c>
      <c r="G163" s="16">
        <v>256.48</v>
      </c>
      <c r="H163" s="16">
        <f t="shared" si="16"/>
        <v>32.919874999999998</v>
      </c>
      <c r="I163" s="5"/>
      <c r="J163" s="15">
        <v>599.84879999999998</v>
      </c>
      <c r="K163" s="16">
        <v>33.096600000000002</v>
      </c>
      <c r="L163" s="16">
        <v>41.164999999999999</v>
      </c>
      <c r="M163" s="16">
        <v>42</v>
      </c>
      <c r="N163" s="16">
        <v>166.20500000000001</v>
      </c>
      <c r="O163" s="16">
        <f t="shared" si="17"/>
        <v>35.218074999999999</v>
      </c>
      <c r="P163" s="7"/>
      <c r="Q163" s="8">
        <f>bdrate(C163:C166,D163:D166,J163:J166,K163:K166)</f>
        <v>-0.59943823127315898</v>
      </c>
      <c r="R163" s="8">
        <f>bdrate(C163:C166,E163:E166,J163:J166,L163:L166)</f>
        <v>-0.69722930801434457</v>
      </c>
      <c r="S163" s="8">
        <f>bdrate(C163:C166,F163:F166,J163:J166,M163:M166)</f>
        <v>-0.76604212863975574</v>
      </c>
      <c r="T163" s="25">
        <f>bdrate(C163:C166,H163:H166,J163:J166,O163:O166)</f>
        <v>-0.6217679867892445</v>
      </c>
      <c r="U163" s="28">
        <f t="shared" si="18"/>
        <v>-0.35197676232064878</v>
      </c>
      <c r="V163" s="57">
        <f t="shared" si="19"/>
        <v>2.7012500000000016E-2</v>
      </c>
      <c r="W163" s="57">
        <f t="shared" si="20"/>
        <v>2.5200000000002851E-4</v>
      </c>
      <c r="X163" s="56">
        <v>800</v>
      </c>
      <c r="Y163" s="56">
        <v>600</v>
      </c>
    </row>
    <row r="164" spans="1:25" x14ac:dyDescent="0.25">
      <c r="B164" s="9"/>
      <c r="C164" s="17">
        <v>481.84</v>
      </c>
      <c r="D164" s="18">
        <v>29.327999999999999</v>
      </c>
      <c r="E164" s="18">
        <v>38.341000000000001</v>
      </c>
      <c r="F164" s="18">
        <v>38.637</v>
      </c>
      <c r="G164" s="18">
        <v>293.61</v>
      </c>
      <c r="H164" s="18">
        <f t="shared" si="16"/>
        <v>31.61825</v>
      </c>
      <c r="I164" s="5"/>
      <c r="J164" s="17">
        <v>399.7808</v>
      </c>
      <c r="K164" s="18">
        <v>31.7912</v>
      </c>
      <c r="L164" s="18">
        <v>40.241599999999998</v>
      </c>
      <c r="M164" s="18">
        <v>41.092500000000001</v>
      </c>
      <c r="N164" s="18">
        <v>200.73599999999999</v>
      </c>
      <c r="O164" s="18">
        <f t="shared" si="17"/>
        <v>34.0101625</v>
      </c>
      <c r="P164" s="7"/>
      <c r="Q164" s="10"/>
      <c r="R164" s="11"/>
      <c r="S164" s="11"/>
      <c r="T164" s="26"/>
      <c r="U164" s="28">
        <f t="shared" si="18"/>
        <v>-0.3163175641156637</v>
      </c>
      <c r="V164" s="57">
        <f t="shared" si="19"/>
        <v>3.6320000000000047E-2</v>
      </c>
      <c r="W164" s="57">
        <f t="shared" si="20"/>
        <v>5.4800000000000183E-4</v>
      </c>
      <c r="X164" s="56">
        <v>500</v>
      </c>
      <c r="Y164" s="56">
        <v>400</v>
      </c>
    </row>
    <row r="165" spans="1:25" x14ac:dyDescent="0.25">
      <c r="B165" s="9"/>
      <c r="C165" s="17">
        <v>286.16000000000003</v>
      </c>
      <c r="D165" s="18">
        <v>27.681999999999999</v>
      </c>
      <c r="E165" s="18">
        <v>37.890999999999998</v>
      </c>
      <c r="F165" s="18">
        <v>38.131999999999998</v>
      </c>
      <c r="G165" s="18">
        <v>323.44</v>
      </c>
      <c r="H165" s="18">
        <f t="shared" si="16"/>
        <v>30.264374999999998</v>
      </c>
      <c r="I165" s="5"/>
      <c r="J165" s="17">
        <v>249.87200000000001</v>
      </c>
      <c r="K165" s="18">
        <v>30.241199999999999</v>
      </c>
      <c r="L165" s="18">
        <v>39.351799999999997</v>
      </c>
      <c r="M165" s="18">
        <v>40.086500000000001</v>
      </c>
      <c r="N165" s="18">
        <v>249.89590000000001</v>
      </c>
      <c r="O165" s="18">
        <f t="shared" si="17"/>
        <v>32.610687499999997</v>
      </c>
      <c r="P165" s="7"/>
      <c r="Q165" s="10"/>
      <c r="R165" s="11"/>
      <c r="S165" s="11"/>
      <c r="T165" s="26"/>
      <c r="U165" s="28">
        <f t="shared" si="18"/>
        <v>-0.22738096710363587</v>
      </c>
      <c r="V165" s="57">
        <f t="shared" si="19"/>
        <v>4.6133333333333248E-2</v>
      </c>
      <c r="W165" s="57">
        <f t="shared" si="20"/>
        <v>5.119999999999436E-4</v>
      </c>
      <c r="X165" s="56">
        <v>300</v>
      </c>
      <c r="Y165" s="56">
        <v>250</v>
      </c>
    </row>
    <row r="166" spans="1:25" ht="16.5" thickBot="1" x14ac:dyDescent="0.3">
      <c r="B166" s="12"/>
      <c r="C166" s="19">
        <v>140.82</v>
      </c>
      <c r="D166" s="20">
        <v>25.544</v>
      </c>
      <c r="E166" s="20">
        <v>37.302</v>
      </c>
      <c r="F166" s="20">
        <v>37.363</v>
      </c>
      <c r="G166" s="20">
        <v>361.66</v>
      </c>
      <c r="H166" s="20">
        <f t="shared" si="16"/>
        <v>28.491125</v>
      </c>
      <c r="I166" s="5"/>
      <c r="J166" s="19">
        <v>119.91200000000001</v>
      </c>
      <c r="K166" s="20">
        <v>27.653500000000001</v>
      </c>
      <c r="L166" s="20">
        <v>37.9499</v>
      </c>
      <c r="M166" s="20">
        <v>38.587000000000003</v>
      </c>
      <c r="N166" s="20">
        <v>326.61950000000002</v>
      </c>
      <c r="O166" s="20">
        <f t="shared" si="17"/>
        <v>30.307237499999999</v>
      </c>
      <c r="P166" s="7"/>
      <c r="Q166" s="13"/>
      <c r="R166" s="14"/>
      <c r="S166" s="14"/>
      <c r="T166" s="27"/>
      <c r="U166" s="28">
        <f t="shared" si="18"/>
        <v>-9.6887961068406803E-2</v>
      </c>
      <c r="V166" s="57">
        <f t="shared" si="19"/>
        <v>6.1200000000000046E-2</v>
      </c>
      <c r="W166" s="57">
        <f t="shared" si="20"/>
        <v>7.3333333333328217E-4</v>
      </c>
      <c r="X166" s="56">
        <v>150</v>
      </c>
      <c r="Y166" s="56">
        <v>120</v>
      </c>
    </row>
    <row r="167" spans="1:25" x14ac:dyDescent="0.25">
      <c r="B167" s="6" t="s">
        <v>55</v>
      </c>
      <c r="C167" s="29">
        <v>844.33</v>
      </c>
      <c r="D167" s="30">
        <v>32.137999999999998</v>
      </c>
      <c r="E167" s="30">
        <v>36.033000000000001</v>
      </c>
      <c r="F167" s="30">
        <v>36.459000000000003</v>
      </c>
      <c r="G167" s="16">
        <v>248.42</v>
      </c>
      <c r="H167" s="16">
        <f t="shared" si="16"/>
        <v>33.164999999999999</v>
      </c>
      <c r="I167" s="5"/>
      <c r="J167" s="29">
        <v>643.01599999999996</v>
      </c>
      <c r="K167" s="30">
        <v>32.61</v>
      </c>
      <c r="L167" s="30">
        <v>37.803899999999999</v>
      </c>
      <c r="M167" s="30">
        <v>38.562199999999997</v>
      </c>
      <c r="N167" s="16">
        <v>155.81180000000001</v>
      </c>
      <c r="O167" s="16">
        <f t="shared" si="17"/>
        <v>34.003262499999998</v>
      </c>
      <c r="P167" s="7"/>
      <c r="Q167" s="8">
        <f>bdrate(C167:C170,D167:D170,J167:J170,K167:K170)</f>
        <v>-0.3640061775350808</v>
      </c>
      <c r="R167" s="8">
        <f>bdrate(C167:C170,E167:E170,J167:J170,L167:L170)</f>
        <v>-0.62298688127478974</v>
      </c>
      <c r="S167" s="8">
        <f>bdrate(C167:C170,F167:F170,J167:J170,M167:M170)</f>
        <v>-0.67504684405954185</v>
      </c>
      <c r="T167" s="25">
        <f>bdrate(C167:C170,H167:H170,J167:J170,O167:O170)</f>
        <v>-0.42073578068027306</v>
      </c>
      <c r="U167" s="28">
        <f t="shared" si="18"/>
        <v>-0.37278882537637864</v>
      </c>
      <c r="V167" s="57">
        <f t="shared" si="19"/>
        <v>5.5412500000000052E-2</v>
      </c>
      <c r="W167" s="57">
        <f t="shared" si="20"/>
        <v>7.1693333333333276E-2</v>
      </c>
      <c r="X167" s="56">
        <v>800</v>
      </c>
      <c r="Y167" s="56">
        <v>600</v>
      </c>
    </row>
    <row r="168" spans="1:25" x14ac:dyDescent="0.25">
      <c r="B168" s="9"/>
      <c r="C168" s="31">
        <v>525.71</v>
      </c>
      <c r="D168" s="32">
        <v>30.247</v>
      </c>
      <c r="E168" s="32">
        <v>35.048999999999999</v>
      </c>
      <c r="F168" s="32">
        <v>35.502000000000002</v>
      </c>
      <c r="G168" s="18">
        <v>275.05</v>
      </c>
      <c r="H168" s="18">
        <f t="shared" si="16"/>
        <v>31.504125000000002</v>
      </c>
      <c r="I168" s="5"/>
      <c r="J168" s="31">
        <v>421.47199999999998</v>
      </c>
      <c r="K168" s="32">
        <v>31.025400000000001</v>
      </c>
      <c r="L168" s="32">
        <v>36.7988</v>
      </c>
      <c r="M168" s="32">
        <v>37.5488</v>
      </c>
      <c r="N168" s="18">
        <v>190.40369999999999</v>
      </c>
      <c r="O168" s="18">
        <f t="shared" si="17"/>
        <v>32.5625</v>
      </c>
      <c r="P168" s="7"/>
      <c r="Q168" s="10"/>
      <c r="R168" s="11"/>
      <c r="S168" s="11"/>
      <c r="T168" s="26"/>
      <c r="U168" s="28">
        <f t="shared" si="18"/>
        <v>-0.30774877295037273</v>
      </c>
      <c r="V168" s="57">
        <f t="shared" si="19"/>
        <v>5.142000000000007E-2</v>
      </c>
      <c r="W168" s="57">
        <f t="shared" si="20"/>
        <v>5.367999999999995E-2</v>
      </c>
      <c r="X168" s="56">
        <v>500</v>
      </c>
      <c r="Y168" s="56">
        <v>400</v>
      </c>
    </row>
    <row r="169" spans="1:25" x14ac:dyDescent="0.25">
      <c r="B169" s="9"/>
      <c r="C169" s="31">
        <v>313.52999999999997</v>
      </c>
      <c r="D169" s="32">
        <v>28.382999999999999</v>
      </c>
      <c r="E169" s="32">
        <v>34.238999999999997</v>
      </c>
      <c r="F169" s="32">
        <v>34.723999999999997</v>
      </c>
      <c r="G169" s="18">
        <v>298.36</v>
      </c>
      <c r="H169" s="18">
        <f t="shared" si="16"/>
        <v>29.907624999999999</v>
      </c>
      <c r="I169" s="5"/>
      <c r="J169" s="31">
        <v>264.30399999999997</v>
      </c>
      <c r="K169" s="32">
        <v>29.400200000000002</v>
      </c>
      <c r="L169" s="32">
        <v>35.6843</v>
      </c>
      <c r="M169" s="32">
        <v>36.393999999999998</v>
      </c>
      <c r="N169" s="18">
        <v>236.7424</v>
      </c>
      <c r="O169" s="18">
        <f t="shared" si="17"/>
        <v>31.059937500000004</v>
      </c>
      <c r="P169" s="7"/>
      <c r="Q169" s="10"/>
      <c r="R169" s="11"/>
      <c r="S169" s="11"/>
      <c r="T169" s="26"/>
      <c r="U169" s="28">
        <f t="shared" si="18"/>
        <v>-0.20652098136479424</v>
      </c>
      <c r="V169" s="57">
        <f t="shared" si="19"/>
        <v>4.5099999999999911E-2</v>
      </c>
      <c r="W169" s="57">
        <f t="shared" si="20"/>
        <v>5.7215999999999892E-2</v>
      </c>
      <c r="X169" s="56">
        <v>300</v>
      </c>
      <c r="Y169" s="56">
        <v>250</v>
      </c>
    </row>
    <row r="170" spans="1:25" ht="16.5" thickBot="1" x14ac:dyDescent="0.3">
      <c r="B170" s="12"/>
      <c r="C170" s="33">
        <v>154.02000000000001</v>
      </c>
      <c r="D170" s="34">
        <v>26.149000000000001</v>
      </c>
      <c r="E170" s="34">
        <v>33.475000000000001</v>
      </c>
      <c r="F170" s="34">
        <v>34.002000000000002</v>
      </c>
      <c r="G170" s="20">
        <v>337.8</v>
      </c>
      <c r="H170" s="20">
        <f t="shared" si="16"/>
        <v>28.046375000000001</v>
      </c>
      <c r="I170" s="5"/>
      <c r="J170" s="33">
        <v>126.28959999999999</v>
      </c>
      <c r="K170" s="34">
        <v>27.043099999999999</v>
      </c>
      <c r="L170" s="34">
        <v>34.189900000000002</v>
      </c>
      <c r="M170" s="34">
        <v>34.950699999999998</v>
      </c>
      <c r="N170" s="20">
        <v>327.654</v>
      </c>
      <c r="O170" s="20">
        <f t="shared" si="17"/>
        <v>28.924900000000001</v>
      </c>
      <c r="P170" s="7"/>
      <c r="Q170" s="13"/>
      <c r="R170" s="14"/>
      <c r="S170" s="14"/>
      <c r="T170" s="27"/>
      <c r="U170" s="28">
        <f t="shared" si="18"/>
        <v>-3.0035523978685655E-2</v>
      </c>
      <c r="V170" s="57">
        <f t="shared" si="19"/>
        <v>2.6800000000000067E-2</v>
      </c>
      <c r="W170" s="57">
        <f t="shared" si="20"/>
        <v>5.2413333333333277E-2</v>
      </c>
      <c r="X170" s="56">
        <v>150</v>
      </c>
      <c r="Y170" s="56">
        <v>120</v>
      </c>
    </row>
    <row r="171" spans="1:25" x14ac:dyDescent="0.25">
      <c r="B171" s="6" t="s">
        <v>56</v>
      </c>
      <c r="C171" s="15">
        <v>795.57</v>
      </c>
      <c r="D171" s="16">
        <v>33.646000000000001</v>
      </c>
      <c r="E171" s="16">
        <v>36.610999999999997</v>
      </c>
      <c r="F171" s="16">
        <v>37.667999999999999</v>
      </c>
      <c r="G171" s="16">
        <v>178.75</v>
      </c>
      <c r="H171" s="16">
        <f t="shared" si="16"/>
        <v>34.519374999999997</v>
      </c>
      <c r="I171" s="5"/>
      <c r="J171" s="15">
        <v>602.11120000000005</v>
      </c>
      <c r="K171" s="16">
        <v>32.765799999999999</v>
      </c>
      <c r="L171" s="16">
        <v>37.043199999999999</v>
      </c>
      <c r="M171" s="16">
        <v>38.125300000000003</v>
      </c>
      <c r="N171" s="16">
        <v>123.0517</v>
      </c>
      <c r="O171" s="16">
        <f t="shared" si="17"/>
        <v>33.970412499999995</v>
      </c>
      <c r="P171" s="7"/>
      <c r="Q171" s="8">
        <f>bdrate(C171:C174,D171:D174,J171:J174,K171:K174)</f>
        <v>-0.12251281746531817</v>
      </c>
      <c r="R171" s="8">
        <f>bdrate(C171:C174,E171:E174,J171:J174,L171:L174)</f>
        <v>-0.32013347056578723</v>
      </c>
      <c r="S171" s="8">
        <f>bdrate(C171:C174,F171:F174,J171:J174,M171:M174)</f>
        <v>-0.30899142856819661</v>
      </c>
      <c r="T171" s="25">
        <f>bdrate(C171:C174,H171:H174,J171:J174,O171:O174)</f>
        <v>-0.15521525584076068</v>
      </c>
      <c r="U171" s="28">
        <f t="shared" si="18"/>
        <v>-0.31159888111888112</v>
      </c>
      <c r="V171" s="57">
        <f t="shared" si="19"/>
        <v>5.5374999999999374E-3</v>
      </c>
      <c r="W171" s="57">
        <f t="shared" si="20"/>
        <v>3.5186666666667558E-3</v>
      </c>
      <c r="X171" s="56">
        <v>800</v>
      </c>
      <c r="Y171" s="56">
        <v>600</v>
      </c>
    </row>
    <row r="172" spans="1:25" x14ac:dyDescent="0.25">
      <c r="B172" s="9"/>
      <c r="C172" s="17">
        <v>499.41</v>
      </c>
      <c r="D172" s="18">
        <v>31.548999999999999</v>
      </c>
      <c r="E172" s="18">
        <v>35.44</v>
      </c>
      <c r="F172" s="18">
        <v>36.502000000000002</v>
      </c>
      <c r="G172" s="18">
        <v>200.17</v>
      </c>
      <c r="H172" s="18">
        <f t="shared" si="16"/>
        <v>32.654499999999999</v>
      </c>
      <c r="I172" s="5"/>
      <c r="J172" s="17">
        <v>402.30399999999997</v>
      </c>
      <c r="K172" s="18">
        <v>31.0443</v>
      </c>
      <c r="L172" s="18">
        <v>35.995899999999999</v>
      </c>
      <c r="M172" s="18">
        <v>37.065199999999997</v>
      </c>
      <c r="N172" s="18">
        <v>151.1335</v>
      </c>
      <c r="O172" s="18">
        <f t="shared" si="17"/>
        <v>32.415862500000003</v>
      </c>
      <c r="P172" s="7"/>
      <c r="Q172" s="10"/>
      <c r="R172" s="11"/>
      <c r="S172" s="11"/>
      <c r="T172" s="26"/>
      <c r="U172" s="28">
        <f t="shared" si="18"/>
        <v>-0.24497427186891138</v>
      </c>
      <c r="V172" s="57">
        <f t="shared" si="19"/>
        <v>1.17999999999995E-3</v>
      </c>
      <c r="W172" s="57">
        <f t="shared" si="20"/>
        <v>5.7599999999999344E-3</v>
      </c>
      <c r="X172" s="56">
        <v>500</v>
      </c>
      <c r="Y172" s="56">
        <v>400</v>
      </c>
    </row>
    <row r="173" spans="1:25" x14ac:dyDescent="0.25">
      <c r="B173" s="9"/>
      <c r="C173" s="17">
        <v>300.32</v>
      </c>
      <c r="D173" s="18">
        <v>29.484999999999999</v>
      </c>
      <c r="E173" s="18">
        <v>34.499000000000002</v>
      </c>
      <c r="F173" s="18">
        <v>35.527000000000001</v>
      </c>
      <c r="G173" s="18">
        <v>218.78</v>
      </c>
      <c r="H173" s="18">
        <f t="shared" si="16"/>
        <v>30.866999999999997</v>
      </c>
      <c r="I173" s="5"/>
      <c r="J173" s="17">
        <v>250.65360000000001</v>
      </c>
      <c r="K173" s="18">
        <v>29.309699999999999</v>
      </c>
      <c r="L173" s="18">
        <v>34.888599999999997</v>
      </c>
      <c r="M173" s="18">
        <v>35.885300000000001</v>
      </c>
      <c r="N173" s="18">
        <v>183.2621</v>
      </c>
      <c r="O173" s="18">
        <f t="shared" si="17"/>
        <v>30.829012500000001</v>
      </c>
      <c r="P173" s="7"/>
      <c r="Q173" s="10"/>
      <c r="R173" s="11"/>
      <c r="S173" s="11"/>
      <c r="T173" s="26"/>
      <c r="U173" s="28">
        <f t="shared" si="18"/>
        <v>-0.16234527836182466</v>
      </c>
      <c r="V173" s="57">
        <f t="shared" si="19"/>
        <v>1.0666666666666439E-3</v>
      </c>
      <c r="W173" s="57">
        <f t="shared" si="20"/>
        <v>2.6144000000000462E-3</v>
      </c>
      <c r="X173" s="56">
        <v>300</v>
      </c>
      <c r="Y173" s="56">
        <v>250</v>
      </c>
    </row>
    <row r="174" spans="1:25" ht="16.5" thickBot="1" x14ac:dyDescent="0.3">
      <c r="B174" s="12"/>
      <c r="C174" s="19">
        <v>150.87</v>
      </c>
      <c r="D174" s="20">
        <v>26.949000000000002</v>
      </c>
      <c r="E174" s="20">
        <v>33.372999999999998</v>
      </c>
      <c r="F174" s="20">
        <v>34.347999999999999</v>
      </c>
      <c r="G174" s="20">
        <v>253.01</v>
      </c>
      <c r="H174" s="20">
        <f t="shared" si="16"/>
        <v>28.676875000000003</v>
      </c>
      <c r="I174" s="5"/>
      <c r="J174" s="19">
        <v>121.3104</v>
      </c>
      <c r="K174" s="20">
        <v>26.9375</v>
      </c>
      <c r="L174" s="20">
        <v>33.384900000000002</v>
      </c>
      <c r="M174" s="20">
        <v>34.308300000000003</v>
      </c>
      <c r="N174" s="20">
        <v>253.16460000000001</v>
      </c>
      <c r="O174" s="20">
        <f t="shared" si="17"/>
        <v>28.664775000000002</v>
      </c>
      <c r="P174" s="7"/>
      <c r="Q174" s="13"/>
      <c r="R174" s="14"/>
      <c r="S174" s="14"/>
      <c r="T174" s="27"/>
      <c r="U174" s="28">
        <f t="shared" si="18"/>
        <v>6.1104304177706924E-4</v>
      </c>
      <c r="V174" s="57">
        <f t="shared" si="19"/>
        <v>5.80000000000003E-3</v>
      </c>
      <c r="W174" s="57">
        <f t="shared" si="20"/>
        <v>1.0920000000000011E-2</v>
      </c>
      <c r="X174" s="56">
        <v>150</v>
      </c>
      <c r="Y174" s="56">
        <v>120</v>
      </c>
    </row>
    <row r="175" spans="1:25" x14ac:dyDescent="0.25">
      <c r="A175" s="6" t="s">
        <v>41</v>
      </c>
      <c r="B175" s="6" t="s">
        <v>57</v>
      </c>
      <c r="C175" s="15">
        <v>1958.34</v>
      </c>
      <c r="D175" s="16">
        <v>40.231999999999999</v>
      </c>
      <c r="E175" s="16">
        <v>44.040999999999997</v>
      </c>
      <c r="F175" s="16">
        <v>45.136000000000003</v>
      </c>
      <c r="G175" s="16">
        <v>46</v>
      </c>
      <c r="H175" s="16">
        <f t="shared" si="16"/>
        <v>41.321125000000002</v>
      </c>
      <c r="I175" s="5"/>
      <c r="J175" s="15">
        <v>1502.8792000000001</v>
      </c>
      <c r="K175" s="16">
        <v>41.037500000000001</v>
      </c>
      <c r="L175" s="16">
        <v>45.634500000000003</v>
      </c>
      <c r="M175" s="16">
        <v>46.812199999999997</v>
      </c>
      <c r="N175" s="16">
        <v>50.718499999999999</v>
      </c>
      <c r="O175" s="16">
        <f t="shared" si="17"/>
        <v>42.333962500000005</v>
      </c>
      <c r="P175" s="7"/>
      <c r="Q175" s="8">
        <f>bdrate(C175:C178,D175:D178,J175:J178,K175:K178)</f>
        <v>-0.44968121732798227</v>
      </c>
      <c r="R175" s="8">
        <f>bdrate(C175:C178,E175:E178,J175:J178,L175:L178)</f>
        <v>-0.57794895372890509</v>
      </c>
      <c r="S175" s="8">
        <f>bdrate(C175:C178,F175:F178,J175:J178,M175:M178)</f>
        <v>-0.56799272298745818</v>
      </c>
      <c r="T175" s="25">
        <f>bdrate(C175:C178,H175:H178,J175:J178,O175:O178)</f>
        <v>-0.47388202749289499</v>
      </c>
      <c r="U175" s="28">
        <f t="shared" si="18"/>
        <v>0.10257608695652172</v>
      </c>
      <c r="V175" s="57">
        <f t="shared" si="19"/>
        <v>6.7457142857142896E-2</v>
      </c>
      <c r="W175" s="57">
        <f t="shared" si="20"/>
        <v>1.9194666666667217E-3</v>
      </c>
      <c r="X175" s="56">
        <v>2100</v>
      </c>
      <c r="Y175" s="56">
        <v>1500</v>
      </c>
    </row>
    <row r="176" spans="1:25" x14ac:dyDescent="0.25">
      <c r="A176" s="9" t="s">
        <v>42</v>
      </c>
      <c r="B176" s="9"/>
      <c r="C176" s="17">
        <v>1283.79</v>
      </c>
      <c r="D176" s="18">
        <v>38.680999999999997</v>
      </c>
      <c r="E176" s="18">
        <v>42.881</v>
      </c>
      <c r="F176" s="18">
        <v>44.076000000000001</v>
      </c>
      <c r="G176" s="18">
        <v>48.66</v>
      </c>
      <c r="H176" s="18">
        <f t="shared" si="16"/>
        <v>39.880375000000001</v>
      </c>
      <c r="I176" s="5"/>
      <c r="J176" s="17">
        <v>992.38959999999997</v>
      </c>
      <c r="K176" s="18">
        <v>39.841299999999997</v>
      </c>
      <c r="L176" s="18">
        <v>44.682299999999998</v>
      </c>
      <c r="M176" s="18">
        <v>45.769300000000001</v>
      </c>
      <c r="N176" s="18">
        <v>56.888199999999998</v>
      </c>
      <c r="O176" s="18">
        <f t="shared" si="17"/>
        <v>41.187424999999998</v>
      </c>
      <c r="P176" s="7"/>
      <c r="Q176" s="10"/>
      <c r="R176" s="11"/>
      <c r="S176" s="11"/>
      <c r="T176" s="26"/>
      <c r="U176" s="28">
        <f t="shared" si="18"/>
        <v>0.16909576654336214</v>
      </c>
      <c r="V176" s="57">
        <f t="shared" si="19"/>
        <v>8.3007142857142877E-2</v>
      </c>
      <c r="W176" s="57">
        <f t="shared" si="20"/>
        <v>7.6104000000000267E-3</v>
      </c>
      <c r="X176" s="56">
        <v>1400</v>
      </c>
      <c r="Y176" s="56">
        <v>1000</v>
      </c>
    </row>
    <row r="177" spans="1:25" x14ac:dyDescent="0.25">
      <c r="B177" s="9"/>
      <c r="C177" s="17">
        <v>765.97</v>
      </c>
      <c r="D177" s="18">
        <v>36.345999999999997</v>
      </c>
      <c r="E177" s="18">
        <v>41.704999999999998</v>
      </c>
      <c r="F177" s="18">
        <v>42.720999999999997</v>
      </c>
      <c r="G177" s="18">
        <v>50.8</v>
      </c>
      <c r="H177" s="18">
        <f t="shared" si="16"/>
        <v>37.812749999999994</v>
      </c>
      <c r="I177" s="5"/>
      <c r="J177" s="17">
        <v>587.2912</v>
      </c>
      <c r="K177" s="18">
        <v>37.8673</v>
      </c>
      <c r="L177" s="18">
        <v>43.195700000000002</v>
      </c>
      <c r="M177" s="18">
        <v>44.299300000000002</v>
      </c>
      <c r="N177" s="18">
        <v>67.114099999999993</v>
      </c>
      <c r="O177" s="18">
        <f t="shared" si="17"/>
        <v>39.337350000000001</v>
      </c>
      <c r="P177" s="7"/>
      <c r="Q177" s="10"/>
      <c r="R177" s="11"/>
      <c r="S177" s="11"/>
      <c r="T177" s="26"/>
      <c r="U177" s="28">
        <f t="shared" si="18"/>
        <v>0.32114370078740151</v>
      </c>
      <c r="V177" s="57">
        <f t="shared" si="19"/>
        <v>9.8858823529411735E-2</v>
      </c>
      <c r="W177" s="57">
        <f t="shared" si="20"/>
        <v>2.1181333333333326E-2</v>
      </c>
      <c r="X177" s="56">
        <v>850</v>
      </c>
      <c r="Y177" s="56">
        <v>600</v>
      </c>
    </row>
    <row r="178" spans="1:25" ht="16.5" thickBot="1" x14ac:dyDescent="0.3">
      <c r="B178" s="12"/>
      <c r="C178" s="19">
        <v>351.75</v>
      </c>
      <c r="D178" s="20">
        <v>32.479999999999997</v>
      </c>
      <c r="E178" s="20">
        <v>39.755000000000003</v>
      </c>
      <c r="F178" s="20">
        <v>40.521000000000001</v>
      </c>
      <c r="G178" s="20">
        <v>53.77</v>
      </c>
      <c r="H178" s="20">
        <f t="shared" si="16"/>
        <v>34.394500000000001</v>
      </c>
      <c r="I178" s="5"/>
      <c r="J178" s="19">
        <v>285.58080000000001</v>
      </c>
      <c r="K178" s="20">
        <v>34.530700000000003</v>
      </c>
      <c r="L178" s="20">
        <v>41.195300000000003</v>
      </c>
      <c r="M178" s="20">
        <v>42.133299999999998</v>
      </c>
      <c r="N178" s="20">
        <v>79.375600000000006</v>
      </c>
      <c r="O178" s="20">
        <f t="shared" si="17"/>
        <v>36.314100000000003</v>
      </c>
      <c r="P178" s="7"/>
      <c r="Q178" s="13"/>
      <c r="R178" s="14"/>
      <c r="S178" s="14"/>
      <c r="T178" s="27"/>
      <c r="U178" s="28">
        <f t="shared" si="18"/>
        <v>0.47620606286033107</v>
      </c>
      <c r="V178" s="57">
        <f t="shared" si="19"/>
        <v>0.120625</v>
      </c>
      <c r="W178" s="57">
        <f t="shared" si="20"/>
        <v>4.8063999999999968E-2</v>
      </c>
      <c r="X178" s="56">
        <v>400</v>
      </c>
      <c r="Y178" s="56">
        <v>300</v>
      </c>
    </row>
    <row r="179" spans="1:25" x14ac:dyDescent="0.25">
      <c r="B179" s="6" t="s">
        <v>58</v>
      </c>
      <c r="C179" s="15">
        <v>2024.3</v>
      </c>
      <c r="D179" s="16">
        <v>41.905999999999999</v>
      </c>
      <c r="E179" s="16">
        <v>46.398000000000003</v>
      </c>
      <c r="F179" s="16">
        <v>46.811999999999998</v>
      </c>
      <c r="G179" s="16">
        <v>44.18</v>
      </c>
      <c r="H179" s="16">
        <f t="shared" si="16"/>
        <v>43.080750000000002</v>
      </c>
      <c r="I179" s="5"/>
      <c r="J179" s="15">
        <v>1498.0576000000001</v>
      </c>
      <c r="K179" s="16">
        <v>42.402500000000003</v>
      </c>
      <c r="L179" s="16">
        <v>47.6723</v>
      </c>
      <c r="M179" s="16">
        <v>48.302100000000003</v>
      </c>
      <c r="N179" s="16">
        <v>55.086300000000001</v>
      </c>
      <c r="O179" s="16">
        <f t="shared" si="17"/>
        <v>43.798675000000003</v>
      </c>
      <c r="P179" s="7"/>
      <c r="Q179" s="8">
        <f>bdrate(C179:C182,D179:D182,J179:J182,K179:K182)</f>
        <v>-0.50450844126502392</v>
      </c>
      <c r="R179" s="8">
        <f>bdrate(C179:C182,E179:E182,J179:J182,L179:L182)</f>
        <v>-0.69184711487416584</v>
      </c>
      <c r="S179" s="8">
        <f>bdrate(C179:C182,F179:F182,J179:J182,M179:M182)</f>
        <v>-0.70530532218525632</v>
      </c>
      <c r="T179" s="25">
        <f>bdrate(C179:C182,H179:H182,J179:J182,O179:O182)</f>
        <v>-0.55941129641584586</v>
      </c>
      <c r="U179" s="28">
        <f t="shared" ref="U179:U186" si="21">(N179-G179)/G179</f>
        <v>0.2468605703938434</v>
      </c>
      <c r="V179" s="57">
        <f t="shared" si="19"/>
        <v>3.6047619047619071E-2</v>
      </c>
      <c r="W179" s="57">
        <f t="shared" ref="W179:W186" si="22">ABS(J179-Y179)/Y179</f>
        <v>1.2949333333332712E-3</v>
      </c>
      <c r="X179" s="56">
        <v>2100</v>
      </c>
      <c r="Y179" s="56">
        <v>1500</v>
      </c>
    </row>
    <row r="180" spans="1:25" x14ac:dyDescent="0.25">
      <c r="B180" s="9"/>
      <c r="C180" s="17">
        <v>1328.96</v>
      </c>
      <c r="D180" s="18">
        <v>41.127000000000002</v>
      </c>
      <c r="E180" s="18">
        <v>45.545000000000002</v>
      </c>
      <c r="F180" s="18">
        <v>46.031999999999996</v>
      </c>
      <c r="G180" s="18">
        <v>46.85</v>
      </c>
      <c r="H180" s="18">
        <f t="shared" si="16"/>
        <v>42.292375</v>
      </c>
      <c r="I180" s="5"/>
      <c r="J180" s="17">
        <v>983.1816</v>
      </c>
      <c r="K180" s="18">
        <v>41.819299999999998</v>
      </c>
      <c r="L180" s="18">
        <v>47.206499999999998</v>
      </c>
      <c r="M180" s="18">
        <v>47.8414</v>
      </c>
      <c r="N180" s="18">
        <v>59.951999999999998</v>
      </c>
      <c r="O180" s="18">
        <f t="shared" si="17"/>
        <v>43.245462500000002</v>
      </c>
      <c r="P180" s="7"/>
      <c r="Q180" s="10"/>
      <c r="R180" s="11"/>
      <c r="S180" s="11"/>
      <c r="T180" s="26"/>
      <c r="U180" s="28">
        <f t="shared" si="21"/>
        <v>0.27965848452507996</v>
      </c>
      <c r="V180" s="57">
        <f t="shared" ref="V180:V186" si="23">ABS(C180-X180)/X180</f>
        <v>5.0742857142857117E-2</v>
      </c>
      <c r="W180" s="57">
        <f t="shared" si="22"/>
        <v>1.6818399999999997E-2</v>
      </c>
      <c r="X180" s="56">
        <v>1400</v>
      </c>
      <c r="Y180" s="56">
        <v>1000</v>
      </c>
    </row>
    <row r="181" spans="1:25" x14ac:dyDescent="0.25">
      <c r="B181" s="9"/>
      <c r="C181" s="17">
        <v>786.49</v>
      </c>
      <c r="D181" s="18">
        <v>39.871000000000002</v>
      </c>
      <c r="E181" s="18">
        <v>44.438000000000002</v>
      </c>
      <c r="F181" s="18">
        <v>44.878</v>
      </c>
      <c r="G181" s="18">
        <v>50.18</v>
      </c>
      <c r="H181" s="18">
        <f t="shared" si="16"/>
        <v>41.067749999999997</v>
      </c>
      <c r="I181" s="5"/>
      <c r="J181" s="17">
        <v>580.59439999999995</v>
      </c>
      <c r="K181" s="18">
        <v>40.847499999999997</v>
      </c>
      <c r="L181" s="18">
        <v>46.313200000000002</v>
      </c>
      <c r="M181" s="18">
        <v>46.921599999999998</v>
      </c>
      <c r="N181" s="18">
        <v>70.696399999999997</v>
      </c>
      <c r="O181" s="18">
        <f t="shared" si="17"/>
        <v>42.289974999999998</v>
      </c>
      <c r="P181" s="7"/>
      <c r="Q181" s="10"/>
      <c r="R181" s="11"/>
      <c r="S181" s="11"/>
      <c r="T181" s="26"/>
      <c r="U181" s="28">
        <f t="shared" si="21"/>
        <v>0.40885611797528892</v>
      </c>
      <c r="V181" s="57">
        <f t="shared" si="23"/>
        <v>7.4717647058823514E-2</v>
      </c>
      <c r="W181" s="57">
        <f t="shared" si="22"/>
        <v>3.2342666666666749E-2</v>
      </c>
      <c r="X181" s="56">
        <v>850</v>
      </c>
      <c r="Y181" s="56">
        <v>600</v>
      </c>
    </row>
    <row r="182" spans="1:25" ht="16.5" thickBot="1" x14ac:dyDescent="0.3">
      <c r="B182" s="12"/>
      <c r="C182" s="19">
        <v>348.06</v>
      </c>
      <c r="D182" s="20">
        <v>37.073999999999998</v>
      </c>
      <c r="E182" s="20">
        <v>42.32</v>
      </c>
      <c r="F182" s="20">
        <v>43.207000000000001</v>
      </c>
      <c r="G182" s="20">
        <v>53.68</v>
      </c>
      <c r="H182" s="20">
        <f t="shared" si="16"/>
        <v>38.496375</v>
      </c>
      <c r="I182" s="5"/>
      <c r="J182" s="19">
        <v>283.34960000000001</v>
      </c>
      <c r="K182" s="20">
        <v>38.942100000000003</v>
      </c>
      <c r="L182" s="20">
        <v>44.619500000000002</v>
      </c>
      <c r="M182" s="20">
        <v>45.125300000000003</v>
      </c>
      <c r="N182" s="20">
        <v>83.472499999999997</v>
      </c>
      <c r="O182" s="20">
        <f t="shared" si="17"/>
        <v>40.424675000000001</v>
      </c>
      <c r="P182" s="7"/>
      <c r="Q182" s="13"/>
      <c r="R182" s="14"/>
      <c r="S182" s="14"/>
      <c r="T182" s="27"/>
      <c r="U182" s="28">
        <f t="shared" si="21"/>
        <v>0.55500186289120712</v>
      </c>
      <c r="V182" s="57">
        <f t="shared" si="23"/>
        <v>0.12984999999999999</v>
      </c>
      <c r="W182" s="57">
        <f t="shared" si="22"/>
        <v>5.5501333333333298E-2</v>
      </c>
      <c r="X182" s="56">
        <v>400</v>
      </c>
      <c r="Y182" s="56">
        <v>300</v>
      </c>
    </row>
    <row r="183" spans="1:25" x14ac:dyDescent="0.25">
      <c r="B183" s="6" t="s">
        <v>59</v>
      </c>
      <c r="C183" s="15">
        <v>2111.08</v>
      </c>
      <c r="D183" s="16">
        <v>41.576000000000001</v>
      </c>
      <c r="E183" s="16">
        <v>45.197000000000003</v>
      </c>
      <c r="F183" s="16">
        <v>45.984000000000002</v>
      </c>
      <c r="G183" s="16">
        <v>42.84</v>
      </c>
      <c r="H183" s="16">
        <f t="shared" si="16"/>
        <v>42.579625</v>
      </c>
      <c r="I183" s="5"/>
      <c r="J183" s="15">
        <v>1544.6759999999999</v>
      </c>
      <c r="K183" s="16">
        <v>42.250900000000001</v>
      </c>
      <c r="L183" s="16">
        <v>46.741999999999997</v>
      </c>
      <c r="M183" s="16">
        <v>47.6096</v>
      </c>
      <c r="N183" s="16">
        <v>46.623699999999999</v>
      </c>
      <c r="O183" s="16">
        <f t="shared" si="17"/>
        <v>43.482125000000003</v>
      </c>
      <c r="P183" s="7"/>
      <c r="Q183" s="8">
        <f>bdrate(C183:C186,D183:D186,J183:J186,K183:K186)</f>
        <v>-0.49592582277033448</v>
      </c>
      <c r="R183" s="8">
        <f>bdrate(C183:C186,E183:E186,J183:J186,L183:L186)</f>
        <v>-0.63386870675526497</v>
      </c>
      <c r="S183" s="8">
        <f>bdrate(C183:C186,F183:F186,J183:J186,M183:M186)</f>
        <v>-0.63430323653541609</v>
      </c>
      <c r="T183" s="25">
        <f>bdrate(C183:C186,H183:H186,J183:J186,O183:O186)</f>
        <v>-0.52899490292677032</v>
      </c>
      <c r="U183" s="28">
        <f t="shared" si="21"/>
        <v>8.8321661998132489E-2</v>
      </c>
      <c r="V183" s="57">
        <f t="shared" si="23"/>
        <v>5.2761904761904413E-3</v>
      </c>
      <c r="W183" s="57">
        <f t="shared" si="22"/>
        <v>2.9783999999999953E-2</v>
      </c>
      <c r="X183" s="56">
        <v>2100</v>
      </c>
      <c r="Y183" s="56">
        <v>1500</v>
      </c>
    </row>
    <row r="184" spans="1:25" x14ac:dyDescent="0.25">
      <c r="B184" s="9"/>
      <c r="C184" s="17">
        <v>1391.99</v>
      </c>
      <c r="D184" s="18">
        <v>40.398000000000003</v>
      </c>
      <c r="E184" s="18">
        <v>44.131</v>
      </c>
      <c r="F184" s="18">
        <v>44.957000000000001</v>
      </c>
      <c r="G184" s="18">
        <v>45.79</v>
      </c>
      <c r="H184" s="18">
        <f t="shared" si="16"/>
        <v>41.4345</v>
      </c>
      <c r="I184" s="5"/>
      <c r="J184" s="17">
        <v>1022.4872</v>
      </c>
      <c r="K184" s="18">
        <v>41.354999999999997</v>
      </c>
      <c r="L184" s="18">
        <v>45.962699999999998</v>
      </c>
      <c r="M184" s="18">
        <v>46.773299999999999</v>
      </c>
      <c r="N184" s="18">
        <v>51.639600000000002</v>
      </c>
      <c r="O184" s="18">
        <f t="shared" si="17"/>
        <v>42.608249999999998</v>
      </c>
      <c r="P184" s="7"/>
      <c r="Q184" s="10"/>
      <c r="R184" s="11"/>
      <c r="S184" s="11"/>
      <c r="T184" s="26"/>
      <c r="U184" s="28">
        <f t="shared" si="21"/>
        <v>0.12774841668486575</v>
      </c>
      <c r="V184" s="57">
        <f t="shared" si="23"/>
        <v>5.7214285714285648E-3</v>
      </c>
      <c r="W184" s="57">
        <f t="shared" si="22"/>
        <v>2.248720000000003E-2</v>
      </c>
      <c r="X184" s="56">
        <v>1400</v>
      </c>
      <c r="Y184" s="56">
        <v>1000</v>
      </c>
    </row>
    <row r="185" spans="1:25" x14ac:dyDescent="0.25">
      <c r="B185" s="9"/>
      <c r="C185" s="17">
        <v>831.91</v>
      </c>
      <c r="D185" s="18">
        <v>38.515000000000001</v>
      </c>
      <c r="E185" s="18">
        <v>42.691000000000003</v>
      </c>
      <c r="F185" s="18">
        <v>43.561</v>
      </c>
      <c r="G185" s="18">
        <v>48.17</v>
      </c>
      <c r="H185" s="18">
        <f t="shared" si="16"/>
        <v>39.667749999999998</v>
      </c>
      <c r="I185" s="5"/>
      <c r="J185" s="17">
        <v>602.07119999999998</v>
      </c>
      <c r="K185" s="18">
        <v>39.8536</v>
      </c>
      <c r="L185" s="18">
        <v>44.571899999999999</v>
      </c>
      <c r="M185" s="18">
        <v>45.454999999999998</v>
      </c>
      <c r="N185" s="18">
        <v>60.398600000000002</v>
      </c>
      <c r="O185" s="18">
        <f t="shared" si="17"/>
        <v>41.143562499999994</v>
      </c>
      <c r="P185" s="7"/>
      <c r="Q185" s="10"/>
      <c r="R185" s="11"/>
      <c r="S185" s="11"/>
      <c r="T185" s="26"/>
      <c r="U185" s="28">
        <f t="shared" si="21"/>
        <v>0.25386340045671579</v>
      </c>
      <c r="V185" s="57">
        <f t="shared" si="23"/>
        <v>2.1282352941176509E-2</v>
      </c>
      <c r="W185" s="57">
        <f t="shared" si="22"/>
        <v>3.4519999999999603E-3</v>
      </c>
      <c r="X185" s="56">
        <v>850</v>
      </c>
      <c r="Y185" s="56">
        <v>600</v>
      </c>
    </row>
    <row r="186" spans="1:25" ht="16.5" thickBot="1" x14ac:dyDescent="0.3">
      <c r="B186" s="12"/>
      <c r="C186" s="19">
        <v>381.18</v>
      </c>
      <c r="D186" s="20">
        <v>35.085999999999999</v>
      </c>
      <c r="E186" s="20">
        <v>40.673999999999999</v>
      </c>
      <c r="F186" s="20">
        <v>41.536000000000001</v>
      </c>
      <c r="G186" s="20">
        <v>51.91</v>
      </c>
      <c r="H186" s="20">
        <f t="shared" si="16"/>
        <v>36.59075</v>
      </c>
      <c r="I186" s="5"/>
      <c r="J186" s="19">
        <v>297.66160000000002</v>
      </c>
      <c r="K186" s="20">
        <v>37.201300000000003</v>
      </c>
      <c r="L186" s="20">
        <v>42.603499999999997</v>
      </c>
      <c r="M186" s="20">
        <v>43.327399999999997</v>
      </c>
      <c r="N186" s="20">
        <v>72.367599999999996</v>
      </c>
      <c r="O186" s="20">
        <f t="shared" si="17"/>
        <v>38.642337500000004</v>
      </c>
      <c r="P186" s="7"/>
      <c r="Q186" s="13"/>
      <c r="R186" s="14"/>
      <c r="S186" s="14"/>
      <c r="T186" s="27"/>
      <c r="U186" s="28">
        <f t="shared" si="21"/>
        <v>0.39409747640146409</v>
      </c>
      <c r="V186" s="57">
        <f t="shared" si="23"/>
        <v>4.7049999999999981E-2</v>
      </c>
      <c r="W186" s="57">
        <f t="shared" si="22"/>
        <v>7.7946666666665956E-3</v>
      </c>
      <c r="X186" s="56">
        <v>400</v>
      </c>
      <c r="Y186" s="56">
        <v>300</v>
      </c>
    </row>
    <row r="187" spans="1:25" x14ac:dyDescent="0.25">
      <c r="A187" s="6" t="s">
        <v>80</v>
      </c>
      <c r="B187" s="6" t="s">
        <v>81</v>
      </c>
      <c r="C187" s="15">
        <v>1521.42</v>
      </c>
      <c r="D187" s="16">
        <v>39.347999999999999</v>
      </c>
      <c r="E187" s="16">
        <v>46.045000000000002</v>
      </c>
      <c r="F187" s="16">
        <v>44.633000000000003</v>
      </c>
      <c r="G187" s="16">
        <v>23.11</v>
      </c>
      <c r="H187" s="16">
        <f t="shared" ref="H187:H209" si="24">(6*D187+E187+F187)/8</f>
        <v>40.845749999999995</v>
      </c>
      <c r="I187" s="5"/>
      <c r="J187" s="15">
        <v>1001.4067</v>
      </c>
      <c r="K187" s="16">
        <v>38.710299999999997</v>
      </c>
      <c r="L187" s="16">
        <v>45.647599999999997</v>
      </c>
      <c r="M187" s="16">
        <v>44.287599999999998</v>
      </c>
      <c r="N187" s="16">
        <v>23.578600000000002</v>
      </c>
      <c r="O187" s="16">
        <f t="shared" ref="O187:O230" si="25">(6*K187+L187+M187)/8</f>
        <v>40.274625</v>
      </c>
      <c r="P187" s="7"/>
      <c r="Q187" s="8">
        <f>bdrate(C187:C190,D187:D190,J187:J190,K187:K190)</f>
        <v>-0.35643874991461599</v>
      </c>
      <c r="R187" s="8">
        <f>bdrate(C187:C190,E187:E190,J187:J190,L187:L190)</f>
        <v>-0.32965078372797096</v>
      </c>
      <c r="S187" s="8">
        <f>bdrate(C187:C190,F187:F190,J187:J190,M187:M190)</f>
        <v>-0.32282111438072136</v>
      </c>
      <c r="T187" s="25">
        <f>bdrate(C187:C190,H187:H190,J187:J190,O187:O190)</f>
        <v>-0.35246062358915542</v>
      </c>
      <c r="U187" s="28">
        <f t="shared" ref="U187:U209" si="26">(N187-G187)/G187</f>
        <v>2.0276936391172746E-2</v>
      </c>
      <c r="V187" s="57">
        <f t="shared" ref="V187:V230" si="27">ABS(C187-X187)/X187</f>
        <v>1.4280000000000048E-2</v>
      </c>
      <c r="W187" s="57">
        <f t="shared" ref="W187:W230" si="28">ABS(J187-Y187)/Y187</f>
        <v>1.4067000000000007E-3</v>
      </c>
      <c r="X187" s="56">
        <v>1500</v>
      </c>
      <c r="Y187" s="56">
        <v>1000</v>
      </c>
    </row>
    <row r="188" spans="1:25" x14ac:dyDescent="0.25">
      <c r="A188" s="9"/>
      <c r="B188" s="9"/>
      <c r="C188" s="17">
        <v>1015.56</v>
      </c>
      <c r="D188" s="18">
        <v>37.466999999999999</v>
      </c>
      <c r="E188" s="18">
        <v>44.911999999999999</v>
      </c>
      <c r="F188" s="18">
        <v>43.472999999999999</v>
      </c>
      <c r="G188" s="18">
        <v>25.57</v>
      </c>
      <c r="H188" s="18">
        <f t="shared" si="24"/>
        <v>39.148375000000001</v>
      </c>
      <c r="I188" s="5"/>
      <c r="J188" s="17">
        <v>600.65949999999998</v>
      </c>
      <c r="K188" s="18">
        <v>36.700200000000002</v>
      </c>
      <c r="L188" s="18">
        <v>44.435499999999998</v>
      </c>
      <c r="M188" s="18">
        <v>43.021700000000003</v>
      </c>
      <c r="N188" s="18">
        <v>27.889399999999998</v>
      </c>
      <c r="O188" s="18">
        <f t="shared" si="25"/>
        <v>38.457300000000004</v>
      </c>
      <c r="P188" s="7"/>
      <c r="Q188" s="10"/>
      <c r="R188" s="11"/>
      <c r="S188" s="11"/>
      <c r="T188" s="26"/>
      <c r="U188" s="28">
        <f t="shared" si="26"/>
        <v>9.0707860774344867E-2</v>
      </c>
      <c r="V188" s="57">
        <f t="shared" si="27"/>
        <v>1.5559999999999945E-2</v>
      </c>
      <c r="W188" s="57">
        <f t="shared" si="28"/>
        <v>1.0991666666666333E-3</v>
      </c>
      <c r="X188" s="56">
        <v>1000</v>
      </c>
      <c r="Y188" s="56">
        <v>600</v>
      </c>
    </row>
    <row r="189" spans="1:25" x14ac:dyDescent="0.25">
      <c r="B189" s="9"/>
      <c r="C189" s="17">
        <v>610.32000000000005</v>
      </c>
      <c r="D189" s="18">
        <v>34.86</v>
      </c>
      <c r="E189" s="18">
        <v>43.338000000000001</v>
      </c>
      <c r="F189" s="18">
        <v>41.920999999999999</v>
      </c>
      <c r="G189" s="18">
        <v>28.37</v>
      </c>
      <c r="H189" s="18">
        <f t="shared" si="24"/>
        <v>36.802374999999998</v>
      </c>
      <c r="I189" s="5"/>
      <c r="J189" s="17">
        <v>297.78089999999997</v>
      </c>
      <c r="K189" s="18">
        <v>33.713799999999999</v>
      </c>
      <c r="L189" s="18">
        <v>42.493400000000001</v>
      </c>
      <c r="M189" s="18">
        <v>41.011299999999999</v>
      </c>
      <c r="N189" s="18">
        <v>35.380899999999997</v>
      </c>
      <c r="O189" s="18">
        <f t="shared" si="25"/>
        <v>35.723437500000003</v>
      </c>
      <c r="P189" s="7"/>
      <c r="Q189" s="10"/>
      <c r="R189" s="11"/>
      <c r="S189" s="11"/>
      <c r="T189" s="26"/>
      <c r="U189" s="28">
        <f t="shared" si="26"/>
        <v>0.24712372224180457</v>
      </c>
      <c r="V189" s="57">
        <f t="shared" si="27"/>
        <v>1.7200000000000083E-2</v>
      </c>
      <c r="W189" s="57">
        <f t="shared" si="28"/>
        <v>7.3970000000000858E-3</v>
      </c>
      <c r="X189" s="56">
        <v>600</v>
      </c>
      <c r="Y189" s="56">
        <v>300</v>
      </c>
    </row>
    <row r="190" spans="1:25" ht="16.5" thickBot="1" x14ac:dyDescent="0.3">
      <c r="B190" s="12"/>
      <c r="C190" s="19">
        <v>304.38</v>
      </c>
      <c r="D190" s="20">
        <v>30.597999999999999</v>
      </c>
      <c r="E190" s="20">
        <v>41.154000000000003</v>
      </c>
      <c r="F190" s="20">
        <v>39.78</v>
      </c>
      <c r="G190" s="20">
        <v>32.04</v>
      </c>
      <c r="H190" s="20">
        <f t="shared" si="24"/>
        <v>33.065249999999999</v>
      </c>
      <c r="I190" s="5"/>
      <c r="J190" s="19">
        <v>197.01329999999999</v>
      </c>
      <c r="K190" s="20">
        <v>31.7957</v>
      </c>
      <c r="L190" s="20">
        <v>41.174199999999999</v>
      </c>
      <c r="M190" s="20">
        <v>39.690800000000003</v>
      </c>
      <c r="N190" s="20">
        <v>43.691000000000003</v>
      </c>
      <c r="O190" s="20">
        <f t="shared" si="25"/>
        <v>33.954900000000002</v>
      </c>
      <c r="P190" s="7"/>
      <c r="Q190" s="13"/>
      <c r="R190" s="14"/>
      <c r="S190" s="14"/>
      <c r="T190" s="27"/>
      <c r="U190" s="28">
        <f t="shared" si="26"/>
        <v>0.36363920099875169</v>
      </c>
      <c r="V190" s="57">
        <f t="shared" si="27"/>
        <v>1.4599999999999985E-2</v>
      </c>
      <c r="W190" s="57">
        <f t="shared" si="28"/>
        <v>1.4933500000000067E-2</v>
      </c>
      <c r="X190" s="56">
        <v>300</v>
      </c>
      <c r="Y190" s="56">
        <v>200</v>
      </c>
    </row>
    <row r="191" spans="1:25" x14ac:dyDescent="0.25">
      <c r="B191" s="6" t="s">
        <v>82</v>
      </c>
      <c r="C191" s="29">
        <v>1486.01</v>
      </c>
      <c r="D191" s="30">
        <v>40.807000000000002</v>
      </c>
      <c r="E191" s="30">
        <v>46.597999999999999</v>
      </c>
      <c r="F191" s="30">
        <v>46.16</v>
      </c>
      <c r="G191" s="16">
        <v>25.18</v>
      </c>
      <c r="H191" s="16">
        <f t="shared" si="24"/>
        <v>42.2</v>
      </c>
      <c r="I191" s="5"/>
      <c r="J191" s="29">
        <v>1006.759</v>
      </c>
      <c r="K191" s="30">
        <v>40.130400000000002</v>
      </c>
      <c r="L191" s="30">
        <v>46.144300000000001</v>
      </c>
      <c r="M191" s="30">
        <v>45.911099999999998</v>
      </c>
      <c r="N191" s="16">
        <v>24.9268</v>
      </c>
      <c r="O191" s="16">
        <f t="shared" si="25"/>
        <v>41.604724999999995</v>
      </c>
      <c r="P191" s="7"/>
      <c r="Q191" s="8">
        <f>bdrate(C191:C194,D191:D194,J191:J194,K191:K194)</f>
        <v>-0.34550695890513827</v>
      </c>
      <c r="R191" s="8">
        <f>bdrate(C191:C194,E191:E194,J191:J194,L191:L194)</f>
        <v>-0.314026173410211</v>
      </c>
      <c r="S191" s="8">
        <f>bdrate(C191:C194,F191:F194,J191:J194,M191:M194)</f>
        <v>-0.36455964435152</v>
      </c>
      <c r="T191" s="25">
        <f>bdrate(C191:C194,H191:H194,J191:J194,O191:O194)</f>
        <v>-0.34492306931502903</v>
      </c>
      <c r="U191" s="28">
        <f t="shared" si="26"/>
        <v>-1.0055599682287517E-2</v>
      </c>
      <c r="V191" s="57">
        <f t="shared" si="27"/>
        <v>9.3266666666666723E-3</v>
      </c>
      <c r="W191" s="57">
        <f t="shared" si="28"/>
        <v>6.7590000000000141E-3</v>
      </c>
      <c r="X191" s="56">
        <v>1500</v>
      </c>
      <c r="Y191" s="56">
        <v>1000</v>
      </c>
    </row>
    <row r="192" spans="1:25" x14ac:dyDescent="0.25">
      <c r="B192" s="9"/>
      <c r="C192" s="31">
        <v>988.23</v>
      </c>
      <c r="D192" s="32">
        <v>38.96</v>
      </c>
      <c r="E192" s="32">
        <v>45.545999999999999</v>
      </c>
      <c r="F192" s="32">
        <v>45.122999999999998</v>
      </c>
      <c r="G192" s="18">
        <v>27.45</v>
      </c>
      <c r="H192" s="18">
        <f t="shared" si="24"/>
        <v>40.553624999999997</v>
      </c>
      <c r="I192" s="5"/>
      <c r="J192" s="31">
        <v>604.58730000000003</v>
      </c>
      <c r="K192" s="32">
        <v>38.292299999999997</v>
      </c>
      <c r="L192" s="32">
        <v>45.1248</v>
      </c>
      <c r="M192" s="32">
        <v>44.911799999999999</v>
      </c>
      <c r="N192" s="18">
        <v>29.627199999999998</v>
      </c>
      <c r="O192" s="18">
        <f t="shared" si="25"/>
        <v>39.973799999999997</v>
      </c>
      <c r="P192" s="7"/>
      <c r="Q192" s="10"/>
      <c r="R192" s="11"/>
      <c r="S192" s="11"/>
      <c r="T192" s="26"/>
      <c r="U192" s="28">
        <f t="shared" si="26"/>
        <v>7.9315118397085577E-2</v>
      </c>
      <c r="V192" s="57">
        <f t="shared" si="27"/>
        <v>1.1769999999999982E-2</v>
      </c>
      <c r="W192" s="57">
        <f t="shared" si="28"/>
        <v>7.6455000000000455E-3</v>
      </c>
      <c r="X192" s="56">
        <v>1000</v>
      </c>
      <c r="Y192" s="56">
        <v>600</v>
      </c>
    </row>
    <row r="193" spans="2:25" x14ac:dyDescent="0.25">
      <c r="B193" s="9"/>
      <c r="C193" s="31">
        <v>589.78</v>
      </c>
      <c r="D193" s="32">
        <v>36.549999999999997</v>
      </c>
      <c r="E193" s="32">
        <v>44.17</v>
      </c>
      <c r="F193" s="32">
        <v>43.725000000000001</v>
      </c>
      <c r="G193" s="18">
        <v>29.36</v>
      </c>
      <c r="H193" s="18">
        <f t="shared" si="24"/>
        <v>38.399374999999999</v>
      </c>
      <c r="I193" s="5"/>
      <c r="J193" s="31">
        <v>300.96839999999997</v>
      </c>
      <c r="K193" s="32">
        <v>35.7316</v>
      </c>
      <c r="L193" s="32">
        <v>43.509399999999999</v>
      </c>
      <c r="M193" s="32">
        <v>43.255000000000003</v>
      </c>
      <c r="N193" s="18">
        <v>38.290100000000002</v>
      </c>
      <c r="O193" s="18">
        <f t="shared" si="25"/>
        <v>37.64425</v>
      </c>
      <c r="P193" s="7"/>
      <c r="Q193" s="10"/>
      <c r="R193" s="11"/>
      <c r="S193" s="11"/>
      <c r="T193" s="26"/>
      <c r="U193" s="28">
        <f t="shared" si="26"/>
        <v>0.30415871934604916</v>
      </c>
      <c r="V193" s="57">
        <f t="shared" si="27"/>
        <v>1.7033333333333379E-2</v>
      </c>
      <c r="W193" s="57">
        <f t="shared" si="28"/>
        <v>3.2279999999999141E-3</v>
      </c>
      <c r="X193" s="56">
        <v>600</v>
      </c>
      <c r="Y193" s="56">
        <v>300</v>
      </c>
    </row>
    <row r="194" spans="2:25" ht="16.5" thickBot="1" x14ac:dyDescent="0.3">
      <c r="B194" s="12"/>
      <c r="C194" s="33">
        <v>294.20999999999998</v>
      </c>
      <c r="D194" s="34">
        <v>32.68</v>
      </c>
      <c r="E194" s="34">
        <v>42.192</v>
      </c>
      <c r="F194" s="34">
        <v>41.704000000000001</v>
      </c>
      <c r="G194" s="20">
        <v>33.25</v>
      </c>
      <c r="H194" s="20">
        <f t="shared" si="24"/>
        <v>34.997</v>
      </c>
      <c r="I194" s="5"/>
      <c r="J194" s="33">
        <v>199.67910000000001</v>
      </c>
      <c r="K194" s="34">
        <v>34.083500000000001</v>
      </c>
      <c r="L194" s="34">
        <v>42.523400000000002</v>
      </c>
      <c r="M194" s="34">
        <v>42.209499999999998</v>
      </c>
      <c r="N194" s="20">
        <v>45.109000000000002</v>
      </c>
      <c r="O194" s="20">
        <f t="shared" si="25"/>
        <v>36.154237500000001</v>
      </c>
      <c r="P194" s="7"/>
      <c r="Q194" s="13"/>
      <c r="R194" s="14"/>
      <c r="S194" s="14"/>
      <c r="T194" s="27"/>
      <c r="U194" s="28">
        <f t="shared" si="26"/>
        <v>0.3566616541353384</v>
      </c>
      <c r="V194" s="57">
        <f t="shared" si="27"/>
        <v>1.9300000000000067E-2</v>
      </c>
      <c r="W194" s="57">
        <f t="shared" si="28"/>
        <v>1.6044999999999731E-3</v>
      </c>
      <c r="X194" s="56">
        <v>300</v>
      </c>
      <c r="Y194" s="56">
        <v>200</v>
      </c>
    </row>
    <row r="195" spans="2:25" x14ac:dyDescent="0.25">
      <c r="B195" s="6" t="s">
        <v>83</v>
      </c>
      <c r="C195" s="15">
        <v>1519.17</v>
      </c>
      <c r="D195" s="16">
        <v>37.307000000000002</v>
      </c>
      <c r="E195" s="16">
        <v>45.976999999999997</v>
      </c>
      <c r="F195" s="16">
        <v>44.2</v>
      </c>
      <c r="G195" s="16">
        <v>25.81</v>
      </c>
      <c r="H195" s="16">
        <f t="shared" si="24"/>
        <v>39.252375000000001</v>
      </c>
      <c r="I195" s="5"/>
      <c r="J195" s="15">
        <v>1003.0431</v>
      </c>
      <c r="K195" s="16">
        <v>36.875500000000002</v>
      </c>
      <c r="L195" s="16">
        <v>45.887900000000002</v>
      </c>
      <c r="M195" s="16">
        <v>44.255699999999997</v>
      </c>
      <c r="N195" s="16">
        <v>22.5641</v>
      </c>
      <c r="O195" s="16">
        <f t="shared" si="25"/>
        <v>38.924574999999997</v>
      </c>
      <c r="P195" s="7"/>
      <c r="Q195" s="8">
        <f>bdrate(C195:C198,D195:D198,J195:J198,K195:K198)</f>
        <v>-0.36700270234893351</v>
      </c>
      <c r="R195" s="8">
        <f>bdrate(C195:C198,E195:E198,J195:J198,L195:L198)</f>
        <v>-0.35571858287407854</v>
      </c>
      <c r="S195" s="8">
        <f>bdrate(C195:C198,F195:F198,J195:J198,M195:M198)</f>
        <v>-0.39185373669414325</v>
      </c>
      <c r="T195" s="25">
        <f>bdrate(C195:C198,H195:H198,J195:J198,O195:O198)</f>
        <v>-0.36822926302567716</v>
      </c>
      <c r="U195" s="28">
        <f t="shared" si="26"/>
        <v>-0.12576133281673765</v>
      </c>
      <c r="V195" s="57">
        <f t="shared" si="27"/>
        <v>1.2780000000000048E-2</v>
      </c>
      <c r="W195" s="57">
        <f t="shared" si="28"/>
        <v>3.0430999999999813E-3</v>
      </c>
      <c r="X195" s="56">
        <v>1500</v>
      </c>
      <c r="Y195" s="56">
        <v>1000</v>
      </c>
    </row>
    <row r="196" spans="2:25" x14ac:dyDescent="0.25">
      <c r="B196" s="9"/>
      <c r="C196" s="17">
        <v>1013.81</v>
      </c>
      <c r="D196" s="18">
        <v>35.607999999999997</v>
      </c>
      <c r="E196" s="18">
        <v>45.002000000000002</v>
      </c>
      <c r="F196" s="18">
        <v>43.131</v>
      </c>
      <c r="G196" s="18">
        <v>27.92</v>
      </c>
      <c r="H196" s="18">
        <f t="shared" si="24"/>
        <v>37.722624999999994</v>
      </c>
      <c r="I196" s="5"/>
      <c r="J196" s="17">
        <v>601.11990000000003</v>
      </c>
      <c r="K196" s="18">
        <v>35.062399999999997</v>
      </c>
      <c r="L196" s="18">
        <v>44.796399999999998</v>
      </c>
      <c r="M196" s="18">
        <v>43.0884</v>
      </c>
      <c r="N196" s="18">
        <v>26.834099999999999</v>
      </c>
      <c r="O196" s="18">
        <f t="shared" si="25"/>
        <v>37.282399999999996</v>
      </c>
      <c r="P196" s="7"/>
      <c r="Q196" s="10"/>
      <c r="R196" s="11"/>
      <c r="S196" s="11"/>
      <c r="T196" s="26"/>
      <c r="U196" s="28">
        <f t="shared" si="26"/>
        <v>-3.8893266475644776E-2</v>
      </c>
      <c r="V196" s="57">
        <f t="shared" si="27"/>
        <v>1.3809999999999946E-2</v>
      </c>
      <c r="W196" s="57">
        <f t="shared" si="28"/>
        <v>1.8665000000000493E-3</v>
      </c>
      <c r="X196" s="56">
        <v>1000</v>
      </c>
      <c r="Y196" s="56">
        <v>600</v>
      </c>
    </row>
    <row r="197" spans="2:25" x14ac:dyDescent="0.25">
      <c r="B197" s="9"/>
      <c r="C197" s="17">
        <v>607.89</v>
      </c>
      <c r="D197" s="18">
        <v>33.338999999999999</v>
      </c>
      <c r="E197" s="18">
        <v>43.756999999999998</v>
      </c>
      <c r="F197" s="18">
        <v>41.844000000000001</v>
      </c>
      <c r="G197" s="18">
        <v>30.25</v>
      </c>
      <c r="H197" s="18">
        <f t="shared" si="24"/>
        <v>35.704374999999999</v>
      </c>
      <c r="I197" s="5"/>
      <c r="J197" s="17">
        <v>298.33940000000001</v>
      </c>
      <c r="K197" s="18">
        <v>32.436100000000003</v>
      </c>
      <c r="L197" s="18">
        <v>43.055599999999998</v>
      </c>
      <c r="M197" s="18">
        <v>41.277299999999997</v>
      </c>
      <c r="N197" s="18">
        <v>36.841900000000003</v>
      </c>
      <c r="O197" s="18">
        <f t="shared" si="25"/>
        <v>34.8686875</v>
      </c>
      <c r="P197" s="7"/>
      <c r="Q197" s="10"/>
      <c r="R197" s="11"/>
      <c r="S197" s="11"/>
      <c r="T197" s="26"/>
      <c r="U197" s="28">
        <f t="shared" si="26"/>
        <v>0.21791404958677693</v>
      </c>
      <c r="V197" s="57">
        <f t="shared" si="27"/>
        <v>1.3149999999999978E-2</v>
      </c>
      <c r="W197" s="57">
        <f t="shared" si="28"/>
        <v>5.535333333333294E-3</v>
      </c>
      <c r="X197" s="56">
        <v>600</v>
      </c>
      <c r="Y197" s="56">
        <v>300</v>
      </c>
    </row>
    <row r="198" spans="2:25" ht="16.5" thickBot="1" x14ac:dyDescent="0.3">
      <c r="B198" s="12"/>
      <c r="C198" s="19">
        <v>303.27</v>
      </c>
      <c r="D198" s="20">
        <v>29.74</v>
      </c>
      <c r="E198" s="20">
        <v>41.835000000000001</v>
      </c>
      <c r="F198" s="20">
        <v>39.969000000000001</v>
      </c>
      <c r="G198" s="20">
        <v>34.200000000000003</v>
      </c>
      <c r="H198" s="20">
        <f t="shared" si="24"/>
        <v>32.530500000000004</v>
      </c>
      <c r="I198" s="5"/>
      <c r="J198" s="19">
        <v>197.81200000000001</v>
      </c>
      <c r="K198" s="20">
        <v>30.774799999999999</v>
      </c>
      <c r="L198" s="20">
        <v>42.094499999999996</v>
      </c>
      <c r="M198" s="20">
        <v>40.278799999999997</v>
      </c>
      <c r="N198" s="20">
        <v>44.398499999999999</v>
      </c>
      <c r="O198" s="20">
        <f t="shared" si="25"/>
        <v>33.377762499999996</v>
      </c>
      <c r="P198" s="7"/>
      <c r="Q198" s="13"/>
      <c r="R198" s="14"/>
      <c r="S198" s="14"/>
      <c r="T198" s="27"/>
      <c r="U198" s="28">
        <f t="shared" si="26"/>
        <v>0.29820175438596475</v>
      </c>
      <c r="V198" s="57">
        <f t="shared" si="27"/>
        <v>1.0899999999999939E-2</v>
      </c>
      <c r="W198" s="57">
        <f t="shared" si="28"/>
        <v>1.0939999999999941E-2</v>
      </c>
      <c r="X198" s="56">
        <v>300</v>
      </c>
      <c r="Y198" s="56">
        <v>200</v>
      </c>
    </row>
    <row r="199" spans="2:25" x14ac:dyDescent="0.25">
      <c r="B199" s="6" t="s">
        <v>84</v>
      </c>
      <c r="C199" s="15">
        <v>1495.29</v>
      </c>
      <c r="D199" s="16">
        <v>36.320999999999998</v>
      </c>
      <c r="E199" s="16">
        <v>45.948999999999998</v>
      </c>
      <c r="F199" s="16">
        <v>44.097999999999999</v>
      </c>
      <c r="G199" s="16">
        <v>24.7</v>
      </c>
      <c r="H199" s="16">
        <f t="shared" si="24"/>
        <v>38.496625000000002</v>
      </c>
      <c r="I199" s="5"/>
      <c r="J199" s="15">
        <v>1002.4275</v>
      </c>
      <c r="K199" s="16">
        <v>35.7819</v>
      </c>
      <c r="L199" s="16">
        <v>45.717500000000001</v>
      </c>
      <c r="M199" s="16">
        <v>44.176200000000001</v>
      </c>
      <c r="N199" s="16">
        <v>23.2438</v>
      </c>
      <c r="O199" s="16">
        <f t="shared" si="25"/>
        <v>38.073137500000001</v>
      </c>
      <c r="P199" s="7"/>
      <c r="Q199" s="8">
        <f>bdrate(C199:C202,D199:D202,J199:J202,K199:K202)</f>
        <v>-0.34582054481606195</v>
      </c>
      <c r="R199" s="8">
        <f>bdrate(C199:C202,E199:E202,J199:J202,L199:L202)</f>
        <v>-0.32240086034741966</v>
      </c>
      <c r="S199" s="8">
        <f>bdrate(C199:C202,F199:F202,J199:J202,M199:M202)</f>
        <v>-0.39630479222891657</v>
      </c>
      <c r="T199" s="25">
        <f>bdrate(C199:C202,H199:H202,J199:J202,O199:O202)</f>
        <v>-0.34823152191535112</v>
      </c>
      <c r="U199" s="28">
        <f t="shared" si="26"/>
        <v>-5.8955465587044495E-2</v>
      </c>
      <c r="V199" s="57">
        <f t="shared" si="27"/>
        <v>3.1400000000000243E-3</v>
      </c>
      <c r="W199" s="57">
        <f t="shared" si="28"/>
        <v>2.4275000000000091E-3</v>
      </c>
      <c r="X199" s="56">
        <v>1500</v>
      </c>
      <c r="Y199" s="56">
        <v>1000</v>
      </c>
    </row>
    <row r="200" spans="2:25" x14ac:dyDescent="0.25">
      <c r="B200" s="9"/>
      <c r="C200" s="17">
        <v>995.83</v>
      </c>
      <c r="D200" s="18">
        <v>34.654000000000003</v>
      </c>
      <c r="E200" s="18">
        <v>44.904000000000003</v>
      </c>
      <c r="F200" s="18">
        <v>43.006999999999998</v>
      </c>
      <c r="G200" s="18">
        <v>26.27</v>
      </c>
      <c r="H200" s="18">
        <f t="shared" si="24"/>
        <v>36.979375000000005</v>
      </c>
      <c r="I200" s="5"/>
      <c r="J200" s="17">
        <v>600.75649999999996</v>
      </c>
      <c r="K200" s="18">
        <v>34.030299999999997</v>
      </c>
      <c r="L200" s="18">
        <v>44.602899999999998</v>
      </c>
      <c r="M200" s="18">
        <v>43.033499999999997</v>
      </c>
      <c r="N200" s="18">
        <v>27.9543</v>
      </c>
      <c r="O200" s="18">
        <f t="shared" si="25"/>
        <v>36.477274999999999</v>
      </c>
      <c r="P200" s="7"/>
      <c r="Q200" s="10"/>
      <c r="R200" s="11"/>
      <c r="S200" s="11"/>
      <c r="T200" s="26"/>
      <c r="U200" s="28">
        <f t="shared" si="26"/>
        <v>6.4114960030453E-2</v>
      </c>
      <c r="V200" s="57">
        <f t="shared" si="27"/>
        <v>4.1699999999999593E-3</v>
      </c>
      <c r="W200" s="57">
        <f t="shared" si="28"/>
        <v>1.2608333333332666E-3</v>
      </c>
      <c r="X200" s="56">
        <v>1000</v>
      </c>
      <c r="Y200" s="56">
        <v>600</v>
      </c>
    </row>
    <row r="201" spans="2:25" x14ac:dyDescent="0.25">
      <c r="B201" s="9"/>
      <c r="C201" s="17">
        <v>596.94000000000005</v>
      </c>
      <c r="D201" s="18">
        <v>32.430999999999997</v>
      </c>
      <c r="E201" s="18">
        <v>43.697000000000003</v>
      </c>
      <c r="F201" s="18">
        <v>41.79</v>
      </c>
      <c r="G201" s="18">
        <v>29.81</v>
      </c>
      <c r="H201" s="18">
        <f t="shared" si="24"/>
        <v>35.009124999999997</v>
      </c>
      <c r="I201" s="5"/>
      <c r="J201" s="17">
        <v>297.79860000000002</v>
      </c>
      <c r="K201" s="18">
        <v>31.500699999999998</v>
      </c>
      <c r="L201" s="18">
        <v>42.959699999999998</v>
      </c>
      <c r="M201" s="18">
        <v>41.308399999999999</v>
      </c>
      <c r="N201" s="18">
        <v>37.297400000000003</v>
      </c>
      <c r="O201" s="18">
        <f t="shared" si="25"/>
        <v>34.159037499999997</v>
      </c>
      <c r="P201" s="7"/>
      <c r="Q201" s="10"/>
      <c r="R201" s="11"/>
      <c r="S201" s="11"/>
      <c r="T201" s="26"/>
      <c r="U201" s="28">
        <f t="shared" si="26"/>
        <v>0.25117074807111722</v>
      </c>
      <c r="V201" s="57">
        <f t="shared" si="27"/>
        <v>5.0999999999999093E-3</v>
      </c>
      <c r="W201" s="57">
        <f t="shared" si="28"/>
        <v>7.3379999999999279E-3</v>
      </c>
      <c r="X201" s="56">
        <v>600</v>
      </c>
      <c r="Y201" s="56">
        <v>300</v>
      </c>
    </row>
    <row r="202" spans="2:25" ht="16.5" thickBot="1" x14ac:dyDescent="0.3">
      <c r="B202" s="12"/>
      <c r="C202" s="19">
        <v>298.82</v>
      </c>
      <c r="D202" s="20">
        <v>28.931000000000001</v>
      </c>
      <c r="E202" s="20">
        <v>41.856999999999999</v>
      </c>
      <c r="F202" s="20">
        <v>39.969000000000001</v>
      </c>
      <c r="G202" s="20">
        <v>33.78</v>
      </c>
      <c r="H202" s="20">
        <f t="shared" si="24"/>
        <v>31.926500000000001</v>
      </c>
      <c r="I202" s="5"/>
      <c r="J202" s="19">
        <v>197.71899999999999</v>
      </c>
      <c r="K202" s="20">
        <v>29.922699999999999</v>
      </c>
      <c r="L202" s="20">
        <v>42.092799999999997</v>
      </c>
      <c r="M202" s="20">
        <v>40.328099999999999</v>
      </c>
      <c r="N202" s="20">
        <v>44.799799999999998</v>
      </c>
      <c r="O202" s="20">
        <f t="shared" si="25"/>
        <v>32.744637500000003</v>
      </c>
      <c r="P202" s="7"/>
      <c r="Q202" s="13"/>
      <c r="R202" s="14"/>
      <c r="S202" s="14"/>
      <c r="T202" s="27"/>
      <c r="U202" s="28">
        <f t="shared" si="26"/>
        <v>0.3262226169330964</v>
      </c>
      <c r="V202" s="57">
        <f t="shared" si="27"/>
        <v>3.9333333333333564E-3</v>
      </c>
      <c r="W202" s="57">
        <f t="shared" si="28"/>
        <v>1.140500000000003E-2</v>
      </c>
      <c r="X202" s="56">
        <v>300</v>
      </c>
      <c r="Y202" s="56">
        <v>200</v>
      </c>
    </row>
    <row r="203" spans="2:25" x14ac:dyDescent="0.25">
      <c r="B203" s="6" t="s">
        <v>85</v>
      </c>
      <c r="C203" s="15">
        <v>1511.41</v>
      </c>
      <c r="D203" s="16">
        <v>41.601999999999997</v>
      </c>
      <c r="E203" s="16">
        <v>48.530999999999999</v>
      </c>
      <c r="F203" s="16">
        <v>47.673000000000002</v>
      </c>
      <c r="G203" s="16">
        <v>28.3</v>
      </c>
      <c r="H203" s="16">
        <f t="shared" si="24"/>
        <v>43.226999999999997</v>
      </c>
      <c r="I203" s="5"/>
      <c r="J203" s="15">
        <v>1005.306</v>
      </c>
      <c r="K203" s="16">
        <v>40.952300000000001</v>
      </c>
      <c r="L203" s="16">
        <v>48.043799999999997</v>
      </c>
      <c r="M203" s="16">
        <v>47.5501</v>
      </c>
      <c r="N203" s="16">
        <v>25.6739</v>
      </c>
      <c r="O203" s="16">
        <f t="shared" si="25"/>
        <v>42.663462499999994</v>
      </c>
      <c r="P203" s="7"/>
      <c r="Q203" s="8">
        <f>bdrate(C203:C206,D203:D206,J203:J206,K203:K206)</f>
        <v>-0.33803614899474577</v>
      </c>
      <c r="R203" s="8">
        <f>bdrate(C203:C206,E203:E206,J203:J206,L203:L206)</f>
        <v>-0.32062398708515816</v>
      </c>
      <c r="S203" s="8">
        <f>bdrate(C203:C206,F203:F206,J203:J206,M203:M206)</f>
        <v>-0.44054762783560419</v>
      </c>
      <c r="T203" s="25">
        <f>bdrate(C203:C206,H203:H206,J203:J206,O203:O206)</f>
        <v>-0.34669712884140191</v>
      </c>
      <c r="U203" s="28">
        <f t="shared" si="26"/>
        <v>-9.2795053003533606E-2</v>
      </c>
      <c r="V203" s="57">
        <f t="shared" si="27"/>
        <v>7.6066666666667216E-3</v>
      </c>
      <c r="W203" s="57">
        <f t="shared" si="28"/>
        <v>5.3060000000000399E-3</v>
      </c>
      <c r="X203" s="56">
        <v>1500</v>
      </c>
      <c r="Y203" s="56">
        <v>1000</v>
      </c>
    </row>
    <row r="204" spans="2:25" x14ac:dyDescent="0.25">
      <c r="B204" s="9"/>
      <c r="C204" s="17">
        <v>1007.03</v>
      </c>
      <c r="D204" s="18">
        <v>40.253999999999998</v>
      </c>
      <c r="E204" s="18">
        <v>47.634</v>
      </c>
      <c r="F204" s="18">
        <v>46.642000000000003</v>
      </c>
      <c r="G204" s="18">
        <v>30.75</v>
      </c>
      <c r="H204" s="18">
        <f t="shared" si="24"/>
        <v>41.975000000000001</v>
      </c>
      <c r="I204" s="5"/>
      <c r="J204" s="17">
        <v>603.34860000000003</v>
      </c>
      <c r="K204" s="18">
        <v>39.596400000000003</v>
      </c>
      <c r="L204" s="18">
        <v>47.322499999999998</v>
      </c>
      <c r="M204" s="18">
        <v>46.802399999999999</v>
      </c>
      <c r="N204" s="18">
        <v>30.038599999999999</v>
      </c>
      <c r="O204" s="18">
        <f t="shared" si="25"/>
        <v>41.462912500000002</v>
      </c>
      <c r="P204" s="7"/>
      <c r="Q204" s="10"/>
      <c r="R204" s="11"/>
      <c r="S204" s="11"/>
      <c r="T204" s="26"/>
      <c r="U204" s="28">
        <f t="shared" si="26"/>
        <v>-2.3134959349593535E-2</v>
      </c>
      <c r="V204" s="57">
        <f t="shared" si="27"/>
        <v>7.0299999999999729E-3</v>
      </c>
      <c r="W204" s="57">
        <f t="shared" si="28"/>
        <v>5.5810000000000555E-3</v>
      </c>
      <c r="X204" s="56">
        <v>1000</v>
      </c>
      <c r="Y204" s="56">
        <v>600</v>
      </c>
    </row>
    <row r="205" spans="2:25" x14ac:dyDescent="0.25">
      <c r="B205" s="9"/>
      <c r="C205" s="17">
        <v>603.08000000000004</v>
      </c>
      <c r="D205" s="18">
        <v>38.438000000000002</v>
      </c>
      <c r="E205" s="18">
        <v>46.631999999999998</v>
      </c>
      <c r="F205" s="18">
        <v>45.658000000000001</v>
      </c>
      <c r="G205" s="18">
        <v>34.22</v>
      </c>
      <c r="H205" s="18">
        <f t="shared" si="24"/>
        <v>40.364750000000001</v>
      </c>
      <c r="I205" s="5"/>
      <c r="J205" s="17">
        <v>297.6105</v>
      </c>
      <c r="K205" s="18">
        <v>37.634099999999997</v>
      </c>
      <c r="L205" s="18">
        <v>45.975700000000003</v>
      </c>
      <c r="M205" s="18">
        <v>45.461599999999997</v>
      </c>
      <c r="N205" s="18">
        <v>39.224200000000003</v>
      </c>
      <c r="O205" s="18">
        <f t="shared" si="25"/>
        <v>39.655237499999998</v>
      </c>
      <c r="P205" s="7"/>
      <c r="Q205" s="10"/>
      <c r="R205" s="11"/>
      <c r="S205" s="11"/>
      <c r="T205" s="26"/>
      <c r="U205" s="28">
        <f t="shared" si="26"/>
        <v>0.14623611922852148</v>
      </c>
      <c r="V205" s="57">
        <f t="shared" si="27"/>
        <v>5.1333333333334012E-3</v>
      </c>
      <c r="W205" s="57">
        <f t="shared" si="28"/>
        <v>7.9649999999999947E-3</v>
      </c>
      <c r="X205" s="56">
        <v>600</v>
      </c>
      <c r="Y205" s="56">
        <v>300</v>
      </c>
    </row>
    <row r="206" spans="2:25" ht="16.5" thickBot="1" x14ac:dyDescent="0.3">
      <c r="B206" s="12"/>
      <c r="C206" s="19">
        <v>301.89999999999998</v>
      </c>
      <c r="D206" s="20">
        <v>35.383000000000003</v>
      </c>
      <c r="E206" s="20">
        <v>44.823999999999998</v>
      </c>
      <c r="F206" s="20">
        <v>44.067999999999998</v>
      </c>
      <c r="G206" s="20">
        <v>37.79</v>
      </c>
      <c r="H206" s="20">
        <f t="shared" si="24"/>
        <v>37.64875</v>
      </c>
      <c r="I206" s="5"/>
      <c r="J206" s="19">
        <v>194.1454</v>
      </c>
      <c r="K206" s="20">
        <v>36.313000000000002</v>
      </c>
      <c r="L206" s="20">
        <v>44.963999999999999</v>
      </c>
      <c r="M206" s="20">
        <v>44.4133</v>
      </c>
      <c r="N206" s="20">
        <v>46.755099999999999</v>
      </c>
      <c r="O206" s="20">
        <f t="shared" si="25"/>
        <v>38.406912499999997</v>
      </c>
      <c r="P206" s="7"/>
      <c r="Q206" s="13"/>
      <c r="R206" s="14"/>
      <c r="S206" s="14"/>
      <c r="T206" s="27"/>
      <c r="U206" s="28">
        <f t="shared" si="26"/>
        <v>0.23723471817941255</v>
      </c>
      <c r="V206" s="57">
        <f t="shared" si="27"/>
        <v>6.3333333333332577E-3</v>
      </c>
      <c r="W206" s="57">
        <f t="shared" si="28"/>
        <v>2.9273000000000025E-2</v>
      </c>
      <c r="X206" s="56">
        <v>300</v>
      </c>
      <c r="Y206" s="56">
        <v>200</v>
      </c>
    </row>
    <row r="207" spans="2:25" x14ac:dyDescent="0.25">
      <c r="B207" s="6" t="s">
        <v>86</v>
      </c>
      <c r="C207" s="15">
        <v>1503.64</v>
      </c>
      <c r="D207" s="16">
        <v>41.735999999999997</v>
      </c>
      <c r="E207" s="16">
        <v>49.401000000000003</v>
      </c>
      <c r="F207" s="16">
        <v>49.243000000000002</v>
      </c>
      <c r="G207" s="16">
        <v>27.99</v>
      </c>
      <c r="H207" s="16">
        <f t="shared" si="24"/>
        <v>43.6325</v>
      </c>
      <c r="I207" s="5"/>
      <c r="J207" s="15">
        <v>1008.2065</v>
      </c>
      <c r="K207" s="16">
        <v>41.591099999999997</v>
      </c>
      <c r="L207" s="16">
        <v>49.226300000000002</v>
      </c>
      <c r="M207" s="16">
        <v>48.989600000000003</v>
      </c>
      <c r="N207" s="16">
        <v>27.076499999999999</v>
      </c>
      <c r="O207" s="16">
        <f t="shared" si="25"/>
        <v>43.470312499999999</v>
      </c>
      <c r="P207" s="7"/>
      <c r="Q207" s="8">
        <f>bdrate(C207:C210,D207:D210,J207:J210,K207:K210)</f>
        <v>-0.42842083368105821</v>
      </c>
      <c r="R207" s="8">
        <f>bdrate(C207:C210,E207:E210,J207:J210,L207:L210)</f>
        <v>-0.42456966796491635</v>
      </c>
      <c r="S207" s="8">
        <f>bdrate(C207:C210,F207:F210,J207:J210,M207:M210)</f>
        <v>-0.42576337729102565</v>
      </c>
      <c r="T207" s="25">
        <f>bdrate(C207:C210,H207:H210,J207:J210,O207:O210)</f>
        <v>-0.42776805256626338</v>
      </c>
      <c r="U207" s="28">
        <f t="shared" si="26"/>
        <v>-3.2636655948553021E-2</v>
      </c>
      <c r="V207" s="57">
        <f t="shared" si="27"/>
        <v>2.4266666666667332E-3</v>
      </c>
      <c r="W207" s="57">
        <f t="shared" si="28"/>
        <v>8.2065000000000055E-3</v>
      </c>
      <c r="X207" s="56">
        <v>1500</v>
      </c>
      <c r="Y207" s="56">
        <v>1000</v>
      </c>
    </row>
    <row r="208" spans="2:25" x14ac:dyDescent="0.25">
      <c r="B208" s="9"/>
      <c r="C208" s="17">
        <v>994.63</v>
      </c>
      <c r="D208" s="18">
        <v>40.79</v>
      </c>
      <c r="E208" s="18">
        <v>48.860999999999997</v>
      </c>
      <c r="F208" s="18">
        <v>48.731999999999999</v>
      </c>
      <c r="G208" s="18">
        <v>30.86</v>
      </c>
      <c r="H208" s="18">
        <f t="shared" si="24"/>
        <v>42.791624999999996</v>
      </c>
      <c r="I208" s="5"/>
      <c r="J208" s="17">
        <v>591.47799999999995</v>
      </c>
      <c r="K208" s="18">
        <v>40.6892</v>
      </c>
      <c r="L208" s="18">
        <v>48.801400000000001</v>
      </c>
      <c r="M208" s="18">
        <v>48.627200000000002</v>
      </c>
      <c r="N208" s="18">
        <v>33.564</v>
      </c>
      <c r="O208" s="18">
        <f t="shared" si="25"/>
        <v>42.695475000000002</v>
      </c>
      <c r="P208" s="7"/>
      <c r="Q208" s="10"/>
      <c r="R208" s="11"/>
      <c r="S208" s="11"/>
      <c r="T208" s="26"/>
      <c r="U208" s="28">
        <f t="shared" si="26"/>
        <v>8.7621516526247598E-2</v>
      </c>
      <c r="V208" s="57">
        <f t="shared" si="27"/>
        <v>5.370000000000005E-3</v>
      </c>
      <c r="W208" s="57">
        <f t="shared" si="28"/>
        <v>1.4203333333333413E-2</v>
      </c>
      <c r="X208" s="56">
        <v>1000</v>
      </c>
      <c r="Y208" s="56">
        <v>600</v>
      </c>
    </row>
    <row r="209" spans="2:25" x14ac:dyDescent="0.25">
      <c r="B209" s="9"/>
      <c r="C209" s="17">
        <v>594.73</v>
      </c>
      <c r="D209" s="18">
        <v>39.563000000000002</v>
      </c>
      <c r="E209" s="18">
        <v>48.042000000000002</v>
      </c>
      <c r="F209" s="18">
        <v>48.005000000000003</v>
      </c>
      <c r="G209" s="18">
        <v>34.71</v>
      </c>
      <c r="H209" s="18">
        <f t="shared" si="24"/>
        <v>41.678125000000001</v>
      </c>
      <c r="I209" s="5"/>
      <c r="J209" s="17">
        <v>282.37119999999999</v>
      </c>
      <c r="K209" s="18">
        <v>39.302500000000002</v>
      </c>
      <c r="L209" s="18">
        <v>47.804600000000001</v>
      </c>
      <c r="M209" s="18">
        <v>47.8386</v>
      </c>
      <c r="N209" s="18">
        <v>43.803400000000003</v>
      </c>
      <c r="O209" s="18">
        <f t="shared" si="25"/>
        <v>41.432274999999997</v>
      </c>
      <c r="P209" s="7"/>
      <c r="Q209" s="10"/>
      <c r="R209" s="11"/>
      <c r="S209" s="11"/>
      <c r="T209" s="26"/>
      <c r="U209" s="28">
        <f t="shared" si="26"/>
        <v>0.26198213771247486</v>
      </c>
      <c r="V209" s="57">
        <f t="shared" si="27"/>
        <v>8.7833333333333027E-3</v>
      </c>
      <c r="W209" s="57">
        <f t="shared" si="28"/>
        <v>5.8762666666666706E-2</v>
      </c>
      <c r="X209" s="56">
        <v>600</v>
      </c>
      <c r="Y209" s="56">
        <v>300</v>
      </c>
    </row>
    <row r="210" spans="2:25" ht="16.5" thickBot="1" x14ac:dyDescent="0.3">
      <c r="B210" s="12"/>
      <c r="C210" s="19">
        <v>293.99</v>
      </c>
      <c r="D210" s="20">
        <v>37.569000000000003</v>
      </c>
      <c r="E210" s="20">
        <v>46.637999999999998</v>
      </c>
      <c r="F210" s="20">
        <v>46.765000000000001</v>
      </c>
      <c r="G210" s="20">
        <v>38.799999999999997</v>
      </c>
      <c r="H210" s="20">
        <f t="shared" ref="H210:H230" si="29">(6*D210+E210+F210)/8</f>
        <v>39.852125000000001</v>
      </c>
      <c r="I210" s="5"/>
      <c r="J210" s="19">
        <v>180.75370000000001</v>
      </c>
      <c r="K210" s="20">
        <v>38.289400000000001</v>
      </c>
      <c r="L210" s="20">
        <v>46.941200000000002</v>
      </c>
      <c r="M210" s="20">
        <v>47.0869</v>
      </c>
      <c r="N210" s="20">
        <v>51.973500000000001</v>
      </c>
      <c r="O210" s="20">
        <f t="shared" si="25"/>
        <v>40.4705625</v>
      </c>
      <c r="P210" s="7"/>
      <c r="Q210" s="13"/>
      <c r="R210" s="14"/>
      <c r="S210" s="14"/>
      <c r="T210" s="27"/>
      <c r="U210" s="28">
        <f t="shared" ref="U210:U230" si="30">(N210-G210)/G210</f>
        <v>0.33952319587628882</v>
      </c>
      <c r="V210" s="57">
        <f t="shared" si="27"/>
        <v>2.0033333333333302E-2</v>
      </c>
      <c r="W210" s="57">
        <f t="shared" si="28"/>
        <v>9.6231499999999956E-2</v>
      </c>
      <c r="X210" s="56">
        <v>300</v>
      </c>
      <c r="Y210" s="56">
        <v>200</v>
      </c>
    </row>
    <row r="211" spans="2:25" x14ac:dyDescent="0.25">
      <c r="B211" s="6" t="s">
        <v>87</v>
      </c>
      <c r="C211" s="15">
        <v>1505.95</v>
      </c>
      <c r="D211" s="16">
        <v>43.140999999999998</v>
      </c>
      <c r="E211" s="16">
        <v>51.241</v>
      </c>
      <c r="F211" s="16">
        <v>51.026000000000003</v>
      </c>
      <c r="G211" s="16">
        <v>26.96</v>
      </c>
      <c r="H211" s="16">
        <f t="shared" si="29"/>
        <v>45.139125</v>
      </c>
      <c r="I211" s="5"/>
      <c r="J211" s="15">
        <v>1001.9891</v>
      </c>
      <c r="K211" s="16">
        <v>42.614199999999997</v>
      </c>
      <c r="L211" s="16">
        <v>50.732500000000002</v>
      </c>
      <c r="M211" s="16">
        <v>50.501899999999999</v>
      </c>
      <c r="N211" s="16">
        <v>23.662700000000001</v>
      </c>
      <c r="O211" s="16">
        <f t="shared" si="25"/>
        <v>44.614949999999993</v>
      </c>
      <c r="P211" s="7"/>
      <c r="Q211" s="8">
        <f>bdrate(C211:C214,D211:D214,J211:J214,K211:K214)</f>
        <v>-0.34912053969100931</v>
      </c>
      <c r="R211" s="8">
        <f>bdrate(C211:C214,E211:E214,J211:J214,L211:L214)</f>
        <v>-0.4402592208091034</v>
      </c>
      <c r="S211" s="8">
        <f>bdrate(C211:C214,F211:F214,J211:J214,M211:M214)</f>
        <v>-0.43052600643628514</v>
      </c>
      <c r="T211" s="25">
        <f>bdrate(C211:C214,H211:H214,J211:J214,O211:O214)</f>
        <v>-0.36486725692219169</v>
      </c>
      <c r="U211" s="28">
        <f t="shared" si="30"/>
        <v>-0.122303412462908</v>
      </c>
      <c r="V211" s="57">
        <f t="shared" si="27"/>
        <v>3.9666666666666973E-3</v>
      </c>
      <c r="W211" s="57">
        <f t="shared" si="28"/>
        <v>1.9891000000000075E-3</v>
      </c>
      <c r="X211" s="56">
        <v>1500</v>
      </c>
      <c r="Y211" s="56">
        <v>1000</v>
      </c>
    </row>
    <row r="212" spans="2:25" x14ac:dyDescent="0.25">
      <c r="B212" s="9"/>
      <c r="C212" s="17">
        <v>987.77</v>
      </c>
      <c r="D212" s="18">
        <v>42.116999999999997</v>
      </c>
      <c r="E212" s="18">
        <v>50.558999999999997</v>
      </c>
      <c r="F212" s="18">
        <v>50.27</v>
      </c>
      <c r="G212" s="18">
        <v>30.81</v>
      </c>
      <c r="H212" s="18">
        <f t="shared" si="29"/>
        <v>44.191374999999994</v>
      </c>
      <c r="I212" s="5"/>
      <c r="J212" s="17">
        <v>600.28470000000004</v>
      </c>
      <c r="K212" s="18">
        <v>41.646000000000001</v>
      </c>
      <c r="L212" s="18">
        <v>50.376600000000003</v>
      </c>
      <c r="M212" s="18">
        <v>50.095399999999998</v>
      </c>
      <c r="N212" s="18">
        <v>28.871400000000001</v>
      </c>
      <c r="O212" s="18">
        <f t="shared" si="25"/>
        <v>43.793500000000002</v>
      </c>
      <c r="P212" s="7"/>
      <c r="Q212" s="10"/>
      <c r="R212" s="11"/>
      <c r="S212" s="11"/>
      <c r="T212" s="26"/>
      <c r="U212" s="28">
        <f t="shared" si="30"/>
        <v>-6.2921129503407905E-2</v>
      </c>
      <c r="V212" s="57">
        <f t="shared" si="27"/>
        <v>1.2230000000000019E-2</v>
      </c>
      <c r="W212" s="57">
        <f t="shared" si="28"/>
        <v>4.7450000000007247E-4</v>
      </c>
      <c r="X212" s="56">
        <v>1000</v>
      </c>
      <c r="Y212" s="56">
        <v>600</v>
      </c>
    </row>
    <row r="213" spans="2:25" x14ac:dyDescent="0.25">
      <c r="B213" s="9"/>
      <c r="C213" s="17">
        <v>587.47</v>
      </c>
      <c r="D213" s="18">
        <v>40.771999999999998</v>
      </c>
      <c r="E213" s="18">
        <v>49.591999999999999</v>
      </c>
      <c r="F213" s="18">
        <v>49.320999999999998</v>
      </c>
      <c r="G213" s="18">
        <v>34.590000000000003</v>
      </c>
      <c r="H213" s="18">
        <f t="shared" si="29"/>
        <v>42.943124999999995</v>
      </c>
      <c r="I213" s="5"/>
      <c r="J213" s="17">
        <v>293.2679</v>
      </c>
      <c r="K213" s="18">
        <v>40.402999999999999</v>
      </c>
      <c r="L213" s="18">
        <v>49.591999999999999</v>
      </c>
      <c r="M213" s="18">
        <v>49.294899999999998</v>
      </c>
      <c r="N213" s="18">
        <v>38.822400000000002</v>
      </c>
      <c r="O213" s="18">
        <f t="shared" si="25"/>
        <v>42.663112499999997</v>
      </c>
      <c r="P213" s="7"/>
      <c r="Q213" s="10"/>
      <c r="R213" s="11"/>
      <c r="S213" s="11"/>
      <c r="T213" s="26"/>
      <c r="U213" s="28">
        <f t="shared" si="30"/>
        <v>0.12235906331309621</v>
      </c>
      <c r="V213" s="57">
        <f t="shared" si="27"/>
        <v>2.0883333333333289E-2</v>
      </c>
      <c r="W213" s="57">
        <f t="shared" si="28"/>
        <v>2.2440333333333343E-2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288.73</v>
      </c>
      <c r="D214" s="20">
        <v>38.634</v>
      </c>
      <c r="E214" s="20">
        <v>48.116</v>
      </c>
      <c r="F214" s="20">
        <v>47.915999999999997</v>
      </c>
      <c r="G214" s="20">
        <v>38.24</v>
      </c>
      <c r="H214" s="20">
        <f t="shared" si="29"/>
        <v>40.979500000000002</v>
      </c>
      <c r="I214" s="5"/>
      <c r="J214" s="19">
        <v>189.43209999999999</v>
      </c>
      <c r="K214" s="20">
        <v>39.576799999999999</v>
      </c>
      <c r="L214" s="20">
        <v>48.802700000000002</v>
      </c>
      <c r="M214" s="20">
        <v>48.533900000000003</v>
      </c>
      <c r="N214" s="20">
        <v>45.742699999999999</v>
      </c>
      <c r="O214" s="20">
        <f t="shared" si="25"/>
        <v>41.849675000000005</v>
      </c>
      <c r="P214" s="7"/>
      <c r="Q214" s="13"/>
      <c r="R214" s="14"/>
      <c r="S214" s="14"/>
      <c r="T214" s="27"/>
      <c r="U214" s="28">
        <f t="shared" si="30"/>
        <v>0.19620031380753131</v>
      </c>
      <c r="V214" s="57">
        <f t="shared" si="27"/>
        <v>3.7566666666666609E-2</v>
      </c>
      <c r="W214" s="57">
        <f t="shared" si="28"/>
        <v>5.2839500000000046E-2</v>
      </c>
      <c r="X214" s="56">
        <v>300</v>
      </c>
      <c r="Y214" s="56">
        <v>200</v>
      </c>
    </row>
    <row r="215" spans="2:25" x14ac:dyDescent="0.25">
      <c r="B215" s="6" t="s">
        <v>88</v>
      </c>
      <c r="C215" s="15">
        <v>1501.5</v>
      </c>
      <c r="D215" s="16">
        <v>43.262999999999998</v>
      </c>
      <c r="E215" s="16">
        <v>51.612000000000002</v>
      </c>
      <c r="F215" s="16">
        <v>51.622</v>
      </c>
      <c r="G215" s="16">
        <v>30.02</v>
      </c>
      <c r="H215" s="16">
        <f t="shared" si="29"/>
        <v>45.351500000000001</v>
      </c>
      <c r="I215" s="5"/>
      <c r="J215" s="15">
        <v>1003.2355</v>
      </c>
      <c r="K215" s="16">
        <v>42.773299999999999</v>
      </c>
      <c r="L215" s="16">
        <v>51.172199999999997</v>
      </c>
      <c r="M215" s="16">
        <v>51.201099999999997</v>
      </c>
      <c r="N215" s="16">
        <v>32.013100000000001</v>
      </c>
      <c r="O215" s="16">
        <f t="shared" si="25"/>
        <v>44.876637499999994</v>
      </c>
      <c r="P215" s="7"/>
      <c r="Q215" s="8">
        <f>bdrate(C215:C218,D215:D218,J215:J218,K215:K218)</f>
        <v>-0.34988617295091029</v>
      </c>
      <c r="R215" s="8">
        <f>bdrate(C215:C218,E215:E218,J215:J218,L215:L218)</f>
        <v>-0.40098840822159731</v>
      </c>
      <c r="S215" s="8">
        <f>bdrate(C215:C218,F215:F218,J215:J218,M215:M218)</f>
        <v>-0.42473296338621414</v>
      </c>
      <c r="T215" s="25">
        <f>bdrate(C215:C218,H215:H218,J215:J218,O215:O218)</f>
        <v>-0.36155013479238396</v>
      </c>
      <c r="U215" s="28">
        <f t="shared" si="30"/>
        <v>6.6392405063291207E-2</v>
      </c>
      <c r="V215" s="57">
        <f t="shared" si="27"/>
        <v>1E-3</v>
      </c>
      <c r="W215" s="57">
        <f t="shared" si="28"/>
        <v>3.2355000000000018E-3</v>
      </c>
      <c r="X215" s="56">
        <v>1500</v>
      </c>
      <c r="Y215" s="56">
        <v>1000</v>
      </c>
    </row>
    <row r="216" spans="2:25" x14ac:dyDescent="0.25">
      <c r="B216" s="9"/>
      <c r="C216" s="17">
        <v>996.49</v>
      </c>
      <c r="D216" s="18">
        <v>41.850999999999999</v>
      </c>
      <c r="E216" s="18">
        <v>50.79</v>
      </c>
      <c r="F216" s="18">
        <v>50.777000000000001</v>
      </c>
      <c r="G216" s="18">
        <v>33.340000000000003</v>
      </c>
      <c r="H216" s="18">
        <f t="shared" si="29"/>
        <v>44.084125</v>
      </c>
      <c r="I216" s="5"/>
      <c r="J216" s="17">
        <v>601.6635</v>
      </c>
      <c r="K216" s="18">
        <v>41.334499999999998</v>
      </c>
      <c r="L216" s="18">
        <v>50.540799999999997</v>
      </c>
      <c r="M216" s="18">
        <v>50.547899999999998</v>
      </c>
      <c r="N216" s="18">
        <v>37.033999999999999</v>
      </c>
      <c r="O216" s="18">
        <f t="shared" si="25"/>
        <v>43.636962499999996</v>
      </c>
      <c r="P216" s="7"/>
      <c r="Q216" s="10"/>
      <c r="R216" s="11"/>
      <c r="S216" s="11"/>
      <c r="T216" s="26"/>
      <c r="U216" s="28">
        <f t="shared" si="30"/>
        <v>0.11079784043191347</v>
      </c>
      <c r="V216" s="57">
        <f t="shared" si="27"/>
        <v>3.509999999999991E-3</v>
      </c>
      <c r="W216" s="57">
        <f t="shared" si="28"/>
        <v>2.7724999999999985E-3</v>
      </c>
      <c r="X216" s="56">
        <v>1000</v>
      </c>
      <c r="Y216" s="56">
        <v>600</v>
      </c>
    </row>
    <row r="217" spans="2:25" x14ac:dyDescent="0.25">
      <c r="B217" s="9"/>
      <c r="C217" s="17">
        <v>594.28</v>
      </c>
      <c r="D217" s="18">
        <v>39.99</v>
      </c>
      <c r="E217" s="18">
        <v>49.402999999999999</v>
      </c>
      <c r="F217" s="18">
        <v>49.317999999999998</v>
      </c>
      <c r="G217" s="18">
        <v>36.659999999999997</v>
      </c>
      <c r="H217" s="18">
        <f t="shared" si="29"/>
        <v>42.332625</v>
      </c>
      <c r="I217" s="5"/>
      <c r="J217" s="17">
        <v>299.58850000000001</v>
      </c>
      <c r="K217" s="18">
        <v>39.3232</v>
      </c>
      <c r="L217" s="18">
        <v>49.166200000000003</v>
      </c>
      <c r="M217" s="18">
        <v>49.279400000000003</v>
      </c>
      <c r="N217" s="18">
        <v>45.363100000000003</v>
      </c>
      <c r="O217" s="18">
        <f t="shared" si="25"/>
        <v>41.798100000000005</v>
      </c>
      <c r="P217" s="7"/>
      <c r="Q217" s="10"/>
      <c r="R217" s="11"/>
      <c r="S217" s="11"/>
      <c r="T217" s="26"/>
      <c r="U217" s="28">
        <f t="shared" si="30"/>
        <v>0.23740043644298983</v>
      </c>
      <c r="V217" s="57">
        <f t="shared" si="27"/>
        <v>9.533333333333378E-3</v>
      </c>
      <c r="W217" s="57">
        <f t="shared" si="28"/>
        <v>1.3716666666666317E-3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294.33999999999997</v>
      </c>
      <c r="D218" s="20">
        <v>37.091999999999999</v>
      </c>
      <c r="E218" s="20">
        <v>47.368000000000002</v>
      </c>
      <c r="F218" s="20">
        <v>47.496000000000002</v>
      </c>
      <c r="G218" s="20">
        <v>40.450000000000003</v>
      </c>
      <c r="H218" s="20">
        <f t="shared" si="29"/>
        <v>39.677</v>
      </c>
      <c r="I218" s="5"/>
      <c r="J218" s="19">
        <v>196.5907</v>
      </c>
      <c r="K218" s="20">
        <v>38.07</v>
      </c>
      <c r="L218" s="20">
        <v>48.015799999999999</v>
      </c>
      <c r="M218" s="20">
        <v>48.1631</v>
      </c>
      <c r="N218" s="20">
        <v>51.2821</v>
      </c>
      <c r="O218" s="20">
        <f t="shared" si="25"/>
        <v>40.574862500000002</v>
      </c>
      <c r="P218" s="7"/>
      <c r="Q218" s="13"/>
      <c r="R218" s="14"/>
      <c r="S218" s="14"/>
      <c r="T218" s="27"/>
      <c r="U218" s="28">
        <f t="shared" si="30"/>
        <v>0.26778986402966615</v>
      </c>
      <c r="V218" s="57">
        <f t="shared" si="27"/>
        <v>1.886666666666675E-2</v>
      </c>
      <c r="W218" s="57">
        <f t="shared" si="28"/>
        <v>1.704650000000001E-2</v>
      </c>
      <c r="X218" s="56">
        <v>300</v>
      </c>
      <c r="Y218" s="56">
        <v>200</v>
      </c>
    </row>
    <row r="219" spans="2:25" x14ac:dyDescent="0.25">
      <c r="B219" s="6" t="s">
        <v>89</v>
      </c>
      <c r="C219" s="15">
        <v>1514.68</v>
      </c>
      <c r="D219" s="16">
        <v>41.707999999999998</v>
      </c>
      <c r="E219" s="16">
        <v>49.399000000000001</v>
      </c>
      <c r="F219" s="16">
        <v>50.1</v>
      </c>
      <c r="G219" s="16">
        <v>30.19</v>
      </c>
      <c r="H219" s="16">
        <f t="shared" si="29"/>
        <v>43.718375000000002</v>
      </c>
      <c r="I219" s="5"/>
      <c r="J219" s="15">
        <v>1004.8328</v>
      </c>
      <c r="K219" s="16">
        <v>41.499600000000001</v>
      </c>
      <c r="L219" s="16">
        <v>49.317100000000003</v>
      </c>
      <c r="M219" s="16">
        <v>50.145200000000003</v>
      </c>
      <c r="N219" s="16">
        <v>23.844100000000001</v>
      </c>
      <c r="O219" s="16">
        <f t="shared" si="25"/>
        <v>43.557487500000001</v>
      </c>
      <c r="P219" s="7"/>
      <c r="Q219" s="8">
        <f>bdrate(C219:C222,D219:D222,J219:J222,K219:K222)</f>
        <v>-0.44885574771601444</v>
      </c>
      <c r="R219" s="8">
        <f>bdrate(C219:C222,E219:E222,J219:J222,L219:L222)</f>
        <v>-0.47911402729138086</v>
      </c>
      <c r="S219" s="8">
        <f>bdrate(C219:C222,F219:F222,J219:J222,M219:M222)</f>
        <v>-0.51094005692472733</v>
      </c>
      <c r="T219" s="25">
        <f>bdrate(C219:C222,H219:H222,J219:J222,O219:O222)</f>
        <v>-0.45894082191215857</v>
      </c>
      <c r="U219" s="28">
        <f t="shared" si="30"/>
        <v>-0.21019874130506791</v>
      </c>
      <c r="V219" s="57">
        <f t="shared" si="27"/>
        <v>9.7866666666667091E-3</v>
      </c>
      <c r="W219" s="57">
        <f t="shared" si="28"/>
        <v>4.8328000000000199E-3</v>
      </c>
      <c r="X219" s="56">
        <v>1500</v>
      </c>
      <c r="Y219" s="56">
        <v>1000</v>
      </c>
    </row>
    <row r="220" spans="2:25" x14ac:dyDescent="0.25">
      <c r="B220" s="9"/>
      <c r="C220" s="17">
        <v>1010.19</v>
      </c>
      <c r="D220" s="18">
        <v>40.603000000000002</v>
      </c>
      <c r="E220" s="18">
        <v>48.679000000000002</v>
      </c>
      <c r="F220" s="18">
        <v>49.417999999999999</v>
      </c>
      <c r="G220" s="18">
        <v>33.380000000000003</v>
      </c>
      <c r="H220" s="18">
        <f t="shared" si="29"/>
        <v>42.714375000000004</v>
      </c>
      <c r="I220" s="5"/>
      <c r="J220" s="17">
        <v>599.99249999999995</v>
      </c>
      <c r="K220" s="18">
        <v>40.520299999999999</v>
      </c>
      <c r="L220" s="18">
        <v>48.817500000000003</v>
      </c>
      <c r="M220" s="18">
        <v>49.646799999999999</v>
      </c>
      <c r="N220" s="18">
        <v>29.242999999999999</v>
      </c>
      <c r="O220" s="18">
        <f t="shared" si="25"/>
        <v>42.698262499999998</v>
      </c>
      <c r="P220" s="7"/>
      <c r="Q220" s="10"/>
      <c r="R220" s="11"/>
      <c r="S220" s="11"/>
      <c r="T220" s="26"/>
      <c r="U220" s="28">
        <f t="shared" si="30"/>
        <v>-0.12393648891551838</v>
      </c>
      <c r="V220" s="57">
        <f t="shared" si="27"/>
        <v>1.0190000000000055E-2</v>
      </c>
      <c r="W220" s="57">
        <f t="shared" si="28"/>
        <v>1.2500000000083371E-5</v>
      </c>
      <c r="X220" s="56">
        <v>1000</v>
      </c>
      <c r="Y220" s="56">
        <v>600</v>
      </c>
    </row>
    <row r="221" spans="2:25" x14ac:dyDescent="0.25">
      <c r="B221" s="9"/>
      <c r="C221" s="17">
        <v>606.37</v>
      </c>
      <c r="D221" s="18">
        <v>39.200000000000003</v>
      </c>
      <c r="E221" s="18">
        <v>47.631</v>
      </c>
      <c r="F221" s="18">
        <v>48.357999999999997</v>
      </c>
      <c r="G221" s="18">
        <v>36.43</v>
      </c>
      <c r="H221" s="18">
        <f t="shared" si="29"/>
        <v>41.398625000000003</v>
      </c>
      <c r="I221" s="5"/>
      <c r="J221" s="17">
        <v>286.75040000000001</v>
      </c>
      <c r="K221" s="18">
        <v>39.086100000000002</v>
      </c>
      <c r="L221" s="18">
        <v>47.555100000000003</v>
      </c>
      <c r="M221" s="18">
        <v>48.411299999999997</v>
      </c>
      <c r="N221" s="18">
        <v>39.739199999999997</v>
      </c>
      <c r="O221" s="18">
        <f t="shared" si="25"/>
        <v>41.310375000000001</v>
      </c>
      <c r="P221" s="7"/>
      <c r="Q221" s="10"/>
      <c r="R221" s="11"/>
      <c r="S221" s="11"/>
      <c r="T221" s="26"/>
      <c r="U221" s="28">
        <f t="shared" si="30"/>
        <v>9.0837222069722681E-2</v>
      </c>
      <c r="V221" s="57">
        <f t="shared" si="27"/>
        <v>1.0616666666666674E-2</v>
      </c>
      <c r="W221" s="57">
        <f t="shared" si="28"/>
        <v>4.4165333333333286E-2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302.08</v>
      </c>
      <c r="D222" s="20">
        <v>37.048000000000002</v>
      </c>
      <c r="E222" s="20">
        <v>46.131</v>
      </c>
      <c r="F222" s="20">
        <v>46.893999999999998</v>
      </c>
      <c r="G222" s="20">
        <v>40.619999999999997</v>
      </c>
      <c r="H222" s="20">
        <f t="shared" si="29"/>
        <v>39.414124999999999</v>
      </c>
      <c r="I222" s="5"/>
      <c r="J222" s="19">
        <v>186.30779999999999</v>
      </c>
      <c r="K222" s="20">
        <v>38.073099999999997</v>
      </c>
      <c r="L222" s="20">
        <v>46.525300000000001</v>
      </c>
      <c r="M222" s="20">
        <v>47.424399999999999</v>
      </c>
      <c r="N222" s="20">
        <v>46.206600000000002</v>
      </c>
      <c r="O222" s="20">
        <f t="shared" si="25"/>
        <v>40.298537499999995</v>
      </c>
      <c r="P222" s="7"/>
      <c r="Q222" s="13"/>
      <c r="R222" s="14"/>
      <c r="S222" s="14"/>
      <c r="T222" s="27"/>
      <c r="U222" s="28">
        <f t="shared" si="30"/>
        <v>0.13753323485967514</v>
      </c>
      <c r="V222" s="57">
        <f t="shared" si="27"/>
        <v>6.9333333333332801E-3</v>
      </c>
      <c r="W222" s="57">
        <f t="shared" si="28"/>
        <v>6.8461000000000063E-2</v>
      </c>
      <c r="X222" s="56">
        <v>300</v>
      </c>
      <c r="Y222" s="56">
        <v>200</v>
      </c>
    </row>
    <row r="223" spans="2:25" x14ac:dyDescent="0.25">
      <c r="B223" s="6" t="s">
        <v>90</v>
      </c>
      <c r="C223" s="15">
        <v>1518.08</v>
      </c>
      <c r="D223" s="16">
        <v>40.375999999999998</v>
      </c>
      <c r="E223" s="16">
        <v>48.691000000000003</v>
      </c>
      <c r="F223" s="16">
        <v>47.61</v>
      </c>
      <c r="G223" s="16">
        <v>28.18</v>
      </c>
      <c r="H223" s="16">
        <f t="shared" si="29"/>
        <v>42.319625000000002</v>
      </c>
      <c r="I223" s="5"/>
      <c r="J223" s="15">
        <v>1002.702</v>
      </c>
      <c r="K223" s="16">
        <v>40.051600000000001</v>
      </c>
      <c r="L223" s="16">
        <v>48.936999999999998</v>
      </c>
      <c r="M223" s="16">
        <v>48.191899999999997</v>
      </c>
      <c r="N223" s="16">
        <v>23.167999999999999</v>
      </c>
      <c r="O223" s="16">
        <f t="shared" si="25"/>
        <v>42.179812499999997</v>
      </c>
      <c r="P223" s="7"/>
      <c r="Q223" s="8">
        <f>bdrate(C223:C226,D223:D226,J223:J226,K223:K226)</f>
        <v>-0.41438266400898016</v>
      </c>
      <c r="R223" s="8">
        <f>bdrate(C223:C226,E223:E226,J223:J226,L223:L226)</f>
        <v>-0.47544869913679499</v>
      </c>
      <c r="S223" s="8">
        <f>bdrate(C223:C226,F223:F226,J223:J226,M223:M226)</f>
        <v>-0.54913389060804052</v>
      </c>
      <c r="T223" s="25">
        <f>bdrate(C223:C226,H223:H226,J223:J226,O223:O226)</f>
        <v>-0.43266075811422311</v>
      </c>
      <c r="U223" s="28">
        <f t="shared" si="30"/>
        <v>-0.17785663591199433</v>
      </c>
      <c r="V223" s="57">
        <f t="shared" si="27"/>
        <v>1.2053333333333284E-2</v>
      </c>
      <c r="W223" s="57">
        <f t="shared" si="28"/>
        <v>2.7019999999999982E-3</v>
      </c>
      <c r="X223" s="56">
        <v>1500</v>
      </c>
      <c r="Y223" s="56">
        <v>1000</v>
      </c>
    </row>
    <row r="224" spans="2:25" x14ac:dyDescent="0.25">
      <c r="B224" s="9"/>
      <c r="C224" s="17">
        <v>1015.43</v>
      </c>
      <c r="D224" s="18">
        <v>38.872</v>
      </c>
      <c r="E224" s="18">
        <v>47.741999999999997</v>
      </c>
      <c r="F224" s="18">
        <v>46.521000000000001</v>
      </c>
      <c r="G224" s="18">
        <v>30.98</v>
      </c>
      <c r="H224" s="18">
        <f t="shared" si="29"/>
        <v>40.936875000000001</v>
      </c>
      <c r="I224" s="5"/>
      <c r="J224" s="17">
        <v>598.54200000000003</v>
      </c>
      <c r="K224" s="18">
        <v>38.571199999999997</v>
      </c>
      <c r="L224" s="18">
        <v>48.053400000000003</v>
      </c>
      <c r="M224" s="18">
        <v>47.232799999999997</v>
      </c>
      <c r="N224" s="18">
        <v>28.747199999999999</v>
      </c>
      <c r="O224" s="18">
        <f t="shared" si="25"/>
        <v>40.839174999999997</v>
      </c>
      <c r="P224" s="7"/>
      <c r="Q224" s="10"/>
      <c r="R224" s="11"/>
      <c r="S224" s="11"/>
      <c r="T224" s="26"/>
      <c r="U224" s="28">
        <f t="shared" si="30"/>
        <v>-7.2072304712717916E-2</v>
      </c>
      <c r="V224" s="57">
        <f t="shared" si="27"/>
        <v>1.5429999999999951E-2</v>
      </c>
      <c r="W224" s="57">
        <f t="shared" si="28"/>
        <v>2.42999999999995E-3</v>
      </c>
      <c r="X224" s="56">
        <v>1000</v>
      </c>
      <c r="Y224" s="56">
        <v>600</v>
      </c>
    </row>
    <row r="225" spans="2:25" x14ac:dyDescent="0.25">
      <c r="B225" s="9"/>
      <c r="C225" s="17">
        <v>609.23</v>
      </c>
      <c r="D225" s="18">
        <v>36.805999999999997</v>
      </c>
      <c r="E225" s="18">
        <v>46.534999999999997</v>
      </c>
      <c r="F225" s="18">
        <v>45.255000000000003</v>
      </c>
      <c r="G225" s="18">
        <v>34.17</v>
      </c>
      <c r="H225" s="18">
        <f t="shared" si="29"/>
        <v>39.078249999999997</v>
      </c>
      <c r="I225" s="5"/>
      <c r="J225" s="17">
        <v>288.94560000000001</v>
      </c>
      <c r="K225" s="18">
        <v>36.2911</v>
      </c>
      <c r="L225" s="18">
        <v>46.255600000000001</v>
      </c>
      <c r="M225" s="18">
        <v>45.351399999999998</v>
      </c>
      <c r="N225" s="18">
        <v>36.406199999999998</v>
      </c>
      <c r="O225" s="18">
        <f t="shared" si="25"/>
        <v>38.669200000000004</v>
      </c>
      <c r="P225" s="7"/>
      <c r="Q225" s="10"/>
      <c r="R225" s="11"/>
      <c r="S225" s="11"/>
      <c r="T225" s="26"/>
      <c r="U225" s="28">
        <f t="shared" si="30"/>
        <v>6.5443371378402004E-2</v>
      </c>
      <c r="V225" s="57">
        <f t="shared" si="27"/>
        <v>1.5383333333333363E-2</v>
      </c>
      <c r="W225" s="57">
        <f t="shared" si="28"/>
        <v>3.6847999999999957E-2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305.74</v>
      </c>
      <c r="D226" s="20">
        <v>33.706000000000003</v>
      </c>
      <c r="E226" s="20">
        <v>44.683</v>
      </c>
      <c r="F226" s="20">
        <v>43.332000000000001</v>
      </c>
      <c r="G226" s="20">
        <v>38.07</v>
      </c>
      <c r="H226" s="20">
        <f t="shared" si="29"/>
        <v>36.281375000000004</v>
      </c>
      <c r="I226" s="5"/>
      <c r="J226" s="19">
        <v>189.01570000000001</v>
      </c>
      <c r="K226" s="20">
        <v>34.817100000000003</v>
      </c>
      <c r="L226" s="20">
        <v>45.151400000000002</v>
      </c>
      <c r="M226" s="20">
        <v>44.226100000000002</v>
      </c>
      <c r="N226" s="20">
        <v>42.9544</v>
      </c>
      <c r="O226" s="20">
        <f t="shared" si="25"/>
        <v>37.285012500000001</v>
      </c>
      <c r="P226" s="7"/>
      <c r="Q226" s="13"/>
      <c r="R226" s="14"/>
      <c r="S226" s="14"/>
      <c r="T226" s="27"/>
      <c r="U226" s="28">
        <f t="shared" si="30"/>
        <v>0.1283004990806409</v>
      </c>
      <c r="V226" s="57">
        <f t="shared" si="27"/>
        <v>1.9133333333333363E-2</v>
      </c>
      <c r="W226" s="57">
        <f t="shared" si="28"/>
        <v>5.492149999999995E-2</v>
      </c>
      <c r="X226" s="56">
        <v>300</v>
      </c>
      <c r="Y226" s="56">
        <v>200</v>
      </c>
    </row>
    <row r="227" spans="2:25" x14ac:dyDescent="0.25">
      <c r="B227" s="6" t="s">
        <v>91</v>
      </c>
      <c r="C227" s="29">
        <v>1496.13</v>
      </c>
      <c r="D227" s="30">
        <v>36.375999999999998</v>
      </c>
      <c r="E227" s="30">
        <v>45.152999999999999</v>
      </c>
      <c r="F227" s="30">
        <v>44.140999999999998</v>
      </c>
      <c r="G227" s="16">
        <v>26.99</v>
      </c>
      <c r="H227" s="16">
        <f t="shared" si="29"/>
        <v>38.443750000000001</v>
      </c>
      <c r="I227" s="5"/>
      <c r="J227" s="29">
        <v>1005.6362</v>
      </c>
      <c r="K227" s="30">
        <v>35.898600000000002</v>
      </c>
      <c r="L227" s="30">
        <v>45.981499999999997</v>
      </c>
      <c r="M227" s="30">
        <v>44.794899999999998</v>
      </c>
      <c r="N227" s="16">
        <v>22.672999999999998</v>
      </c>
      <c r="O227" s="16">
        <f t="shared" si="25"/>
        <v>38.271000000000001</v>
      </c>
      <c r="P227" s="7"/>
      <c r="Q227" s="8">
        <f>bdrate(C227:C230,D227:D230,J227:J230,K227:K230)</f>
        <v>-0.36920399720053698</v>
      </c>
      <c r="R227" s="8">
        <f>bdrate(C227:C230,E227:E230,J227:J230,L227:L230)</f>
        <v>-0.50363509000190643</v>
      </c>
      <c r="S227" s="8">
        <f>bdrate(C227:C230,F227:F230,J227:J230,M227:M230)</f>
        <v>-0.45159655976320057</v>
      </c>
      <c r="T227" s="25">
        <f>bdrate(C227:C230,H227:H230,J227:J230,O227:O230)</f>
        <v>-0.38910209544037844</v>
      </c>
      <c r="U227" s="28">
        <f t="shared" si="30"/>
        <v>-0.15994812893664323</v>
      </c>
      <c r="V227" s="57">
        <f t="shared" si="27"/>
        <v>2.5799999999999274E-3</v>
      </c>
      <c r="W227" s="57">
        <f t="shared" si="28"/>
        <v>5.6362000000000304E-3</v>
      </c>
      <c r="X227" s="56">
        <v>1500</v>
      </c>
      <c r="Y227" s="56">
        <v>1000</v>
      </c>
    </row>
    <row r="228" spans="2:25" x14ac:dyDescent="0.25">
      <c r="B228" s="9"/>
      <c r="C228" s="31">
        <v>990.47</v>
      </c>
      <c r="D228" s="32">
        <v>35.073999999999998</v>
      </c>
      <c r="E228" s="32">
        <v>44.408000000000001</v>
      </c>
      <c r="F228" s="32">
        <v>43.456000000000003</v>
      </c>
      <c r="G228" s="18">
        <v>29.35</v>
      </c>
      <c r="H228" s="18">
        <f t="shared" si="29"/>
        <v>37.288499999999999</v>
      </c>
      <c r="I228" s="5"/>
      <c r="J228" s="31">
        <v>600.29309999999998</v>
      </c>
      <c r="K228" s="32">
        <v>34.631</v>
      </c>
      <c r="L228" s="32">
        <v>44.908000000000001</v>
      </c>
      <c r="M228" s="32">
        <v>43.764800000000001</v>
      </c>
      <c r="N228" s="18">
        <v>28.1462</v>
      </c>
      <c r="O228" s="18">
        <f t="shared" si="25"/>
        <v>37.05735</v>
      </c>
      <c r="P228" s="7"/>
      <c r="Q228" s="10"/>
      <c r="R228" s="11"/>
      <c r="S228" s="11"/>
      <c r="T228" s="26"/>
      <c r="U228" s="28">
        <f t="shared" si="30"/>
        <v>-4.101533219761503E-2</v>
      </c>
      <c r="V228" s="57">
        <f t="shared" si="27"/>
        <v>9.5299999999999725E-3</v>
      </c>
      <c r="W228" s="57">
        <f t="shared" si="28"/>
        <v>4.8849999999996878E-4</v>
      </c>
      <c r="X228" s="56">
        <v>1000</v>
      </c>
      <c r="Y228" s="56">
        <v>600</v>
      </c>
    </row>
    <row r="229" spans="2:25" x14ac:dyDescent="0.25">
      <c r="B229" s="9"/>
      <c r="C229" s="31">
        <v>588.70000000000005</v>
      </c>
      <c r="D229" s="32">
        <v>33.222000000000001</v>
      </c>
      <c r="E229" s="32">
        <v>43.305999999999997</v>
      </c>
      <c r="F229" s="32">
        <v>42.448</v>
      </c>
      <c r="G229" s="18">
        <v>32.26</v>
      </c>
      <c r="H229" s="18">
        <f t="shared" si="29"/>
        <v>35.635749999999994</v>
      </c>
      <c r="I229" s="5"/>
      <c r="J229" s="31">
        <v>287.38909999999998</v>
      </c>
      <c r="K229" s="32">
        <v>32.543599999999998</v>
      </c>
      <c r="L229" s="32">
        <v>43.21</v>
      </c>
      <c r="M229" s="32">
        <v>42.123800000000003</v>
      </c>
      <c r="N229" s="18">
        <v>37.982100000000003</v>
      </c>
      <c r="O229" s="18">
        <f t="shared" si="25"/>
        <v>35.074424999999998</v>
      </c>
      <c r="P229" s="7"/>
      <c r="Q229" s="10"/>
      <c r="R229" s="11"/>
      <c r="S229" s="11"/>
      <c r="T229" s="26"/>
      <c r="U229" s="28">
        <f t="shared" si="30"/>
        <v>0.17737445753254821</v>
      </c>
      <c r="V229" s="57">
        <f t="shared" si="27"/>
        <v>1.8833333333333258E-2</v>
      </c>
      <c r="W229" s="57">
        <f t="shared" si="28"/>
        <v>4.2036333333333384E-2</v>
      </c>
      <c r="X229" s="56">
        <v>600</v>
      </c>
      <c r="Y229" s="56">
        <v>300</v>
      </c>
    </row>
    <row r="230" spans="2:25" ht="16.5" thickBot="1" x14ac:dyDescent="0.3">
      <c r="B230" s="12"/>
      <c r="C230" s="33">
        <v>289.94</v>
      </c>
      <c r="D230" s="34">
        <v>30.065000000000001</v>
      </c>
      <c r="E230" s="34">
        <v>41.616</v>
      </c>
      <c r="F230" s="34">
        <v>40.837000000000003</v>
      </c>
      <c r="G230" s="20">
        <v>36.020000000000003</v>
      </c>
      <c r="H230" s="20">
        <f t="shared" si="29"/>
        <v>32.855375000000002</v>
      </c>
      <c r="I230" s="5"/>
      <c r="J230" s="33">
        <v>188.2731</v>
      </c>
      <c r="K230" s="34">
        <v>31.1267</v>
      </c>
      <c r="L230" s="34">
        <v>42.179900000000004</v>
      </c>
      <c r="M230" s="34">
        <v>41.093600000000002</v>
      </c>
      <c r="N230" s="20">
        <v>45.7288</v>
      </c>
      <c r="O230" s="20">
        <f t="shared" si="25"/>
        <v>33.754212500000001</v>
      </c>
      <c r="P230" s="7"/>
      <c r="Q230" s="13"/>
      <c r="R230" s="14"/>
      <c r="S230" s="14"/>
      <c r="T230" s="27"/>
      <c r="U230" s="28">
        <f t="shared" si="30"/>
        <v>0.26953914491948905</v>
      </c>
      <c r="V230" s="57">
        <f t="shared" si="27"/>
        <v>3.3533333333333339E-2</v>
      </c>
      <c r="W230" s="57">
        <f t="shared" si="28"/>
        <v>5.8634500000000006E-2</v>
      </c>
      <c r="X230" s="56">
        <v>300</v>
      </c>
      <c r="Y230" s="56">
        <v>200</v>
      </c>
    </row>
    <row r="231" spans="2:25" ht="16.5" thickBot="1" x14ac:dyDescent="0.3">
      <c r="B231" s="22" t="s">
        <v>22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1">
        <f t="shared" ref="Q231:W231" si="31">AVERAGE(Q123:Q230)</f>
        <v>-0.41194294620419186</v>
      </c>
      <c r="R231" s="21">
        <f t="shared" si="31"/>
        <v>-0.4845625521985118</v>
      </c>
      <c r="S231" s="21">
        <f t="shared" si="31"/>
        <v>-0.49641194430459273</v>
      </c>
      <c r="T231" s="21">
        <f t="shared" si="31"/>
        <v>-0.42758800970504424</v>
      </c>
      <c r="U231" s="21">
        <f t="shared" si="31"/>
        <v>5.5457351864151858E-3</v>
      </c>
      <c r="V231" s="57">
        <f t="shared" si="31"/>
        <v>2.9167742938611577E-2</v>
      </c>
      <c r="W231" s="57">
        <f t="shared" si="31"/>
        <v>1.6107066975308643E-2</v>
      </c>
      <c r="X231" s="57"/>
      <c r="Y231" s="56"/>
    </row>
  </sheetData>
  <mergeCells count="14">
    <mergeCell ref="V7:Y7"/>
    <mergeCell ref="V121:Y121"/>
    <mergeCell ref="C5:Y6"/>
    <mergeCell ref="C119:Y120"/>
    <mergeCell ref="B5:B6"/>
    <mergeCell ref="C7:H7"/>
    <mergeCell ref="J7:O7"/>
    <mergeCell ref="Q7:S7"/>
    <mergeCell ref="U7:U8"/>
    <mergeCell ref="B119:B120"/>
    <mergeCell ref="C121:H121"/>
    <mergeCell ref="J121:O121"/>
    <mergeCell ref="Q121:S121"/>
    <mergeCell ref="U121:U122"/>
  </mergeCells>
  <phoneticPr fontId="5" type="noConversion"/>
  <conditionalFormatting sqref="Q21:T24 Q29:T36 Q9:T12 Q123:T126">
    <cfRule type="cellIs" dxfId="391" priority="477" operator="greaterThan">
      <formula>0.03</formula>
    </cfRule>
    <cfRule type="cellIs" dxfId="390" priority="478" stopIfTrue="1" operator="lessThan">
      <formula>-0.03</formula>
    </cfRule>
  </conditionalFormatting>
  <conditionalFormatting sqref="Q25:T28">
    <cfRule type="cellIs" dxfId="389" priority="475" operator="greaterThan">
      <formula>0.03</formula>
    </cfRule>
    <cfRule type="cellIs" dxfId="388" priority="476" stopIfTrue="1" operator="lessThan">
      <formula>-0.03</formula>
    </cfRule>
  </conditionalFormatting>
  <conditionalFormatting sqref="Q38:T40 Q54:T56">
    <cfRule type="cellIs" dxfId="387" priority="473" operator="greaterThan">
      <formula>0.03</formula>
    </cfRule>
    <cfRule type="cellIs" dxfId="386" priority="474" stopIfTrue="1" operator="lessThan">
      <formula>-0.03</formula>
    </cfRule>
  </conditionalFormatting>
  <conditionalFormatting sqref="Q42:T44 Q46:T48 Q50:T52">
    <cfRule type="cellIs" dxfId="385" priority="471" operator="greaterThan">
      <formula>0.03</formula>
    </cfRule>
    <cfRule type="cellIs" dxfId="384" priority="472" stopIfTrue="1" operator="lessThan">
      <formula>-0.03</formula>
    </cfRule>
  </conditionalFormatting>
  <conditionalFormatting sqref="Q62:T64 Q66:T68">
    <cfRule type="cellIs" dxfId="383" priority="469" operator="greaterThan">
      <formula>0.03</formula>
    </cfRule>
    <cfRule type="cellIs" dxfId="382" priority="470" stopIfTrue="1" operator="lessThan">
      <formula>-0.03</formula>
    </cfRule>
  </conditionalFormatting>
  <conditionalFormatting sqref="Q58:T60">
    <cfRule type="cellIs" dxfId="381" priority="467" operator="greaterThan">
      <formula>0.03</formula>
    </cfRule>
    <cfRule type="cellIs" dxfId="380" priority="468" stopIfTrue="1" operator="lessThan">
      <formula>-0.03</formula>
    </cfRule>
  </conditionalFormatting>
  <conditionalFormatting sqref="Q70:T72">
    <cfRule type="cellIs" dxfId="379" priority="465" operator="greaterThan">
      <formula>0.03</formula>
    </cfRule>
    <cfRule type="cellIs" dxfId="378" priority="466" stopIfTrue="1" operator="lessThan">
      <formula>-0.03</formula>
    </cfRule>
  </conditionalFormatting>
  <conditionalFormatting sqref="Q13:T20">
    <cfRule type="cellIs" dxfId="377" priority="447" operator="greaterThan">
      <formula>0.03</formula>
    </cfRule>
    <cfRule type="cellIs" dxfId="376" priority="448" stopIfTrue="1" operator="lessThan">
      <formula>-0.03</formula>
    </cfRule>
  </conditionalFormatting>
  <conditionalFormatting sqref="Q135:T138 Q143:T150">
    <cfRule type="cellIs" dxfId="375" priority="443" operator="greaterThan">
      <formula>0.03</formula>
    </cfRule>
    <cfRule type="cellIs" dxfId="374" priority="444" stopIfTrue="1" operator="lessThan">
      <formula>-0.03</formula>
    </cfRule>
  </conditionalFormatting>
  <conditionalFormatting sqref="Q139:T142">
    <cfRule type="cellIs" dxfId="373" priority="441" operator="greaterThan">
      <formula>0.03</formula>
    </cfRule>
    <cfRule type="cellIs" dxfId="372" priority="442" stopIfTrue="1" operator="lessThan">
      <formula>-0.03</formula>
    </cfRule>
  </conditionalFormatting>
  <conditionalFormatting sqref="Q151:T154 Q167:T170">
    <cfRule type="cellIs" dxfId="371" priority="439" operator="greaterThan">
      <formula>0.03</formula>
    </cfRule>
    <cfRule type="cellIs" dxfId="370" priority="440" stopIfTrue="1" operator="lessThan">
      <formula>-0.03</formula>
    </cfRule>
  </conditionalFormatting>
  <conditionalFormatting sqref="Q155:T166">
    <cfRule type="cellIs" dxfId="369" priority="437" operator="greaterThan">
      <formula>0.03</formula>
    </cfRule>
    <cfRule type="cellIs" dxfId="368" priority="438" stopIfTrue="1" operator="lessThan">
      <formula>-0.03</formula>
    </cfRule>
  </conditionalFormatting>
  <conditionalFormatting sqref="Q175:T182">
    <cfRule type="cellIs" dxfId="367" priority="435" operator="greaterThan">
      <formula>0.03</formula>
    </cfRule>
    <cfRule type="cellIs" dxfId="366" priority="436" stopIfTrue="1" operator="lessThan">
      <formula>-0.03</formula>
    </cfRule>
  </conditionalFormatting>
  <conditionalFormatting sqref="Q171:T174">
    <cfRule type="cellIs" dxfId="365" priority="433" operator="greaterThan">
      <formula>0.03</formula>
    </cfRule>
    <cfRule type="cellIs" dxfId="364" priority="434" stopIfTrue="1" operator="lessThan">
      <formula>-0.03</formula>
    </cfRule>
  </conditionalFormatting>
  <conditionalFormatting sqref="Q183:T186">
    <cfRule type="cellIs" dxfId="363" priority="431" operator="greaterThan">
      <formula>0.03</formula>
    </cfRule>
    <cfRule type="cellIs" dxfId="362" priority="432" stopIfTrue="1" operator="lessThan">
      <formula>-0.03</formula>
    </cfRule>
  </conditionalFormatting>
  <conditionalFormatting sqref="Q127:T134">
    <cfRule type="cellIs" dxfId="361" priority="429" operator="greaterThan">
      <formula>0.03</formula>
    </cfRule>
    <cfRule type="cellIs" dxfId="360" priority="430" stopIfTrue="1" operator="lessThan">
      <formula>-0.03</formula>
    </cfRule>
  </conditionalFormatting>
  <conditionalFormatting sqref="Q37:T37">
    <cfRule type="cellIs" dxfId="359" priority="427" operator="greaterThan">
      <formula>0.03</formula>
    </cfRule>
    <cfRule type="cellIs" dxfId="358" priority="428" stopIfTrue="1" operator="lessThan">
      <formula>-0.03</formula>
    </cfRule>
  </conditionalFormatting>
  <conditionalFormatting sqref="Q41:T41">
    <cfRule type="cellIs" dxfId="357" priority="425" operator="greaterThan">
      <formula>0.03</formula>
    </cfRule>
    <cfRule type="cellIs" dxfId="356" priority="426" stopIfTrue="1" operator="lessThan">
      <formula>-0.03</formula>
    </cfRule>
  </conditionalFormatting>
  <conditionalFormatting sqref="Q45:T45">
    <cfRule type="cellIs" dxfId="355" priority="423" operator="greaterThan">
      <formula>0.03</formula>
    </cfRule>
    <cfRule type="cellIs" dxfId="354" priority="424" stopIfTrue="1" operator="lessThan">
      <formula>-0.03</formula>
    </cfRule>
  </conditionalFormatting>
  <conditionalFormatting sqref="Q49:T49">
    <cfRule type="cellIs" dxfId="353" priority="421" operator="greaterThan">
      <formula>0.03</formula>
    </cfRule>
    <cfRule type="cellIs" dxfId="352" priority="422" stopIfTrue="1" operator="lessThan">
      <formula>-0.03</formula>
    </cfRule>
  </conditionalFormatting>
  <conditionalFormatting sqref="Q53:T53">
    <cfRule type="cellIs" dxfId="351" priority="419" operator="greaterThan">
      <formula>0.03</formula>
    </cfRule>
    <cfRule type="cellIs" dxfId="350" priority="420" stopIfTrue="1" operator="lessThan">
      <formula>-0.03</formula>
    </cfRule>
  </conditionalFormatting>
  <conditionalFormatting sqref="Q57:T57">
    <cfRule type="cellIs" dxfId="349" priority="417" operator="greaterThan">
      <formula>0.03</formula>
    </cfRule>
    <cfRule type="cellIs" dxfId="348" priority="418" stopIfTrue="1" operator="lessThan">
      <formula>-0.03</formula>
    </cfRule>
  </conditionalFormatting>
  <conditionalFormatting sqref="Q61:T61">
    <cfRule type="cellIs" dxfId="347" priority="415" operator="greaterThan">
      <formula>0.03</formula>
    </cfRule>
    <cfRule type="cellIs" dxfId="346" priority="416" stopIfTrue="1" operator="lessThan">
      <formula>-0.03</formula>
    </cfRule>
  </conditionalFormatting>
  <conditionalFormatting sqref="Q65:T65">
    <cfRule type="cellIs" dxfId="345" priority="413" operator="greaterThan">
      <formula>0.03</formula>
    </cfRule>
    <cfRule type="cellIs" dxfId="344" priority="414" stopIfTrue="1" operator="lessThan">
      <formula>-0.03</formula>
    </cfRule>
  </conditionalFormatting>
  <conditionalFormatting sqref="Q69:T69">
    <cfRule type="cellIs" dxfId="343" priority="411" operator="greaterThan">
      <formula>0.03</formula>
    </cfRule>
    <cfRule type="cellIs" dxfId="342" priority="412" stopIfTrue="1" operator="lessThan">
      <formula>-0.03</formula>
    </cfRule>
  </conditionalFormatting>
  <conditionalFormatting sqref="Q97:T97">
    <cfRule type="cellIs" dxfId="341" priority="105" operator="greaterThan">
      <formula>0.03</formula>
    </cfRule>
    <cfRule type="cellIs" dxfId="340" priority="106" stopIfTrue="1" operator="lessThan">
      <formula>-0.03</formula>
    </cfRule>
  </conditionalFormatting>
  <conditionalFormatting sqref="Q109:T109">
    <cfRule type="cellIs" dxfId="339" priority="93" operator="greaterThan">
      <formula>0.03</formula>
    </cfRule>
    <cfRule type="cellIs" dxfId="338" priority="94" stopIfTrue="1" operator="lessThan">
      <formula>-0.03</formula>
    </cfRule>
  </conditionalFormatting>
  <conditionalFormatting sqref="Q85:T92 Q73:T80">
    <cfRule type="cellIs" dxfId="337" priority="119" operator="greaterThan">
      <formula>0.03</formula>
    </cfRule>
    <cfRule type="cellIs" dxfId="336" priority="120" stopIfTrue="1" operator="lessThan">
      <formula>-0.03</formula>
    </cfRule>
  </conditionalFormatting>
  <conditionalFormatting sqref="Q81:T84">
    <cfRule type="cellIs" dxfId="335" priority="117" operator="greaterThan">
      <formula>0.03</formula>
    </cfRule>
    <cfRule type="cellIs" dxfId="334" priority="118" stopIfTrue="1" operator="lessThan">
      <formula>-0.03</formula>
    </cfRule>
  </conditionalFormatting>
  <conditionalFormatting sqref="Q94:T96 Q114:T116">
    <cfRule type="cellIs" dxfId="333" priority="115" operator="greaterThan">
      <formula>0.03</formula>
    </cfRule>
    <cfRule type="cellIs" dxfId="332" priority="116" stopIfTrue="1" operator="lessThan">
      <formula>-0.03</formula>
    </cfRule>
  </conditionalFormatting>
  <conditionalFormatting sqref="Q98:T100">
    <cfRule type="cellIs" dxfId="331" priority="113" operator="greaterThan">
      <formula>0.03</formula>
    </cfRule>
    <cfRule type="cellIs" dxfId="330" priority="114" stopIfTrue="1" operator="lessThan">
      <formula>-0.03</formula>
    </cfRule>
  </conditionalFormatting>
  <conditionalFormatting sqref="Q93:T93">
    <cfRule type="cellIs" dxfId="329" priority="109" operator="greaterThan">
      <formula>0.03</formula>
    </cfRule>
    <cfRule type="cellIs" dxfId="328" priority="110" stopIfTrue="1" operator="lessThan">
      <formula>-0.03</formula>
    </cfRule>
  </conditionalFormatting>
  <conditionalFormatting sqref="Q113:T113">
    <cfRule type="cellIs" dxfId="327" priority="103" operator="greaterThan">
      <formula>0.03</formula>
    </cfRule>
    <cfRule type="cellIs" dxfId="326" priority="104" stopIfTrue="1" operator="lessThan">
      <formula>-0.03</formula>
    </cfRule>
  </conditionalFormatting>
  <conditionalFormatting sqref="Q101:T104">
    <cfRule type="cellIs" dxfId="325" priority="101" operator="greaterThan">
      <formula>0.03</formula>
    </cfRule>
    <cfRule type="cellIs" dxfId="324" priority="102" stopIfTrue="1" operator="lessThan">
      <formula>-0.03</formula>
    </cfRule>
  </conditionalFormatting>
  <conditionalFormatting sqref="Q106:T108">
    <cfRule type="cellIs" dxfId="323" priority="99" operator="greaterThan">
      <formula>0.03</formula>
    </cfRule>
    <cfRule type="cellIs" dxfId="322" priority="100" stopIfTrue="1" operator="lessThan">
      <formula>-0.03</formula>
    </cfRule>
  </conditionalFormatting>
  <conditionalFormatting sqref="Q110:T112">
    <cfRule type="cellIs" dxfId="321" priority="97" operator="greaterThan">
      <formula>0.03</formula>
    </cfRule>
    <cfRule type="cellIs" dxfId="320" priority="98" stopIfTrue="1" operator="lessThan">
      <formula>-0.03</formula>
    </cfRule>
  </conditionalFormatting>
  <conditionalFormatting sqref="Q105:T105">
    <cfRule type="cellIs" dxfId="319" priority="95" operator="greaterThan">
      <formula>0.03</formula>
    </cfRule>
    <cfRule type="cellIs" dxfId="318" priority="96" stopIfTrue="1" operator="lessThan">
      <formula>-0.03</formula>
    </cfRule>
  </conditionalFormatting>
  <conditionalFormatting sqref="Q211:T211">
    <cfRule type="cellIs" dxfId="317" priority="39" operator="greaterThan">
      <formula>0.03</formula>
    </cfRule>
    <cfRule type="cellIs" dxfId="316" priority="40" stopIfTrue="1" operator="lessThan">
      <formula>-0.03</formula>
    </cfRule>
  </conditionalFormatting>
  <conditionalFormatting sqref="Q223:T223">
    <cfRule type="cellIs" dxfId="315" priority="27" operator="greaterThan">
      <formula>0.03</formula>
    </cfRule>
    <cfRule type="cellIs" dxfId="314" priority="28" stopIfTrue="1" operator="lessThan">
      <formula>-0.03</formula>
    </cfRule>
  </conditionalFormatting>
  <conditionalFormatting sqref="Q199:T206 Q187:T194">
    <cfRule type="cellIs" dxfId="313" priority="53" operator="greaterThan">
      <formula>0.03</formula>
    </cfRule>
    <cfRule type="cellIs" dxfId="312" priority="54" stopIfTrue="1" operator="lessThan">
      <formula>-0.03</formula>
    </cfRule>
  </conditionalFormatting>
  <conditionalFormatting sqref="Q195:T198">
    <cfRule type="cellIs" dxfId="311" priority="51" operator="greaterThan">
      <formula>0.03</formula>
    </cfRule>
    <cfRule type="cellIs" dxfId="310" priority="52" stopIfTrue="1" operator="lessThan">
      <formula>-0.03</formula>
    </cfRule>
  </conditionalFormatting>
  <conditionalFormatting sqref="Q208:T210 Q228:T230">
    <cfRule type="cellIs" dxfId="309" priority="49" operator="greaterThan">
      <formula>0.03</formula>
    </cfRule>
    <cfRule type="cellIs" dxfId="308" priority="50" stopIfTrue="1" operator="lessThan">
      <formula>-0.03</formula>
    </cfRule>
  </conditionalFormatting>
  <conditionalFormatting sqref="Q212:T214">
    <cfRule type="cellIs" dxfId="307" priority="47" operator="greaterThan">
      <formula>0.03</formula>
    </cfRule>
    <cfRule type="cellIs" dxfId="306" priority="48" stopIfTrue="1" operator="lessThan">
      <formula>-0.03</formula>
    </cfRule>
  </conditionalFormatting>
  <conditionalFormatting sqref="Q207:T207">
    <cfRule type="cellIs" dxfId="305" priority="43" operator="greaterThan">
      <formula>0.03</formula>
    </cfRule>
    <cfRule type="cellIs" dxfId="304" priority="44" stopIfTrue="1" operator="lessThan">
      <formula>-0.03</formula>
    </cfRule>
  </conditionalFormatting>
  <conditionalFormatting sqref="Q227:T227">
    <cfRule type="cellIs" dxfId="303" priority="37" operator="greaterThan">
      <formula>0.03</formula>
    </cfRule>
    <cfRule type="cellIs" dxfId="302" priority="38" stopIfTrue="1" operator="lessThan">
      <formula>-0.03</formula>
    </cfRule>
  </conditionalFormatting>
  <conditionalFormatting sqref="Q215:T218">
    <cfRule type="cellIs" dxfId="301" priority="35" operator="greaterThan">
      <formula>0.03</formula>
    </cfRule>
    <cfRule type="cellIs" dxfId="300" priority="36" stopIfTrue="1" operator="lessThan">
      <formula>-0.03</formula>
    </cfRule>
  </conditionalFormatting>
  <conditionalFormatting sqref="Q220:T222">
    <cfRule type="cellIs" dxfId="299" priority="33" operator="greaterThan">
      <formula>0.03</formula>
    </cfRule>
    <cfRule type="cellIs" dxfId="298" priority="34" stopIfTrue="1" operator="lessThan">
      <formula>-0.03</formula>
    </cfRule>
  </conditionalFormatting>
  <conditionalFormatting sqref="Q224:T226">
    <cfRule type="cellIs" dxfId="297" priority="31" operator="greaterThan">
      <formula>0.03</formula>
    </cfRule>
    <cfRule type="cellIs" dxfId="296" priority="32" stopIfTrue="1" operator="lessThan">
      <formula>-0.03</formula>
    </cfRule>
  </conditionalFormatting>
  <conditionalFormatting sqref="Q219:T219">
    <cfRule type="cellIs" dxfId="295" priority="29" operator="greaterThan">
      <formula>0.03</formula>
    </cfRule>
    <cfRule type="cellIs" dxfId="294" priority="30" stopIfTrue="1" operator="lessThan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31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111</v>
      </c>
    </row>
    <row r="2" spans="1:25" x14ac:dyDescent="0.25">
      <c r="A2" t="s">
        <v>77</v>
      </c>
    </row>
    <row r="3" spans="1:25" x14ac:dyDescent="0.25">
      <c r="A3" t="s">
        <v>116</v>
      </c>
    </row>
    <row r="4" spans="1:25" x14ac:dyDescent="0.25">
      <c r="A4" t="s">
        <v>78</v>
      </c>
    </row>
    <row r="5" spans="1:25" s="35" customFormat="1" ht="15.75" customHeight="1" x14ac:dyDescent="0.25">
      <c r="B5" s="73" t="s">
        <v>29</v>
      </c>
      <c r="C5" s="67" t="s">
        <v>119</v>
      </c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9"/>
    </row>
    <row r="6" spans="1:25" s="35" customFormat="1" x14ac:dyDescent="0.25">
      <c r="B6" s="74"/>
      <c r="C6" s="70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2"/>
    </row>
    <row r="7" spans="1:25" ht="16.5" customHeight="1" thickBot="1" x14ac:dyDescent="0.3">
      <c r="C7" s="75" t="s">
        <v>61</v>
      </c>
      <c r="D7" s="76"/>
      <c r="E7" s="76"/>
      <c r="F7" s="76"/>
      <c r="G7" s="76"/>
      <c r="H7" s="76"/>
      <c r="I7" s="5"/>
      <c r="J7" s="75" t="s">
        <v>106</v>
      </c>
      <c r="K7" s="76"/>
      <c r="L7" s="76"/>
      <c r="M7" s="76"/>
      <c r="N7" s="76"/>
      <c r="O7" s="76"/>
      <c r="Q7" s="75" t="s">
        <v>7</v>
      </c>
      <c r="R7" s="76"/>
      <c r="S7" s="77"/>
      <c r="T7" s="36"/>
      <c r="U7" s="78" t="s">
        <v>43</v>
      </c>
      <c r="V7" s="66" t="s">
        <v>92</v>
      </c>
      <c r="W7" s="66"/>
      <c r="X7" s="66"/>
      <c r="Y7" s="66"/>
    </row>
    <row r="8" spans="1:25" ht="16.5" thickBot="1" x14ac:dyDescent="0.3">
      <c r="C8" s="2" t="s">
        <v>60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60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8"/>
      <c r="V8" s="55" t="s">
        <v>100</v>
      </c>
      <c r="W8" s="55" t="s">
        <v>93</v>
      </c>
      <c r="X8" s="56" t="s">
        <v>101</v>
      </c>
      <c r="Y8" s="56" t="s">
        <v>94</v>
      </c>
    </row>
    <row r="9" spans="1:25" x14ac:dyDescent="0.25">
      <c r="A9" s="6" t="s">
        <v>35</v>
      </c>
      <c r="B9" s="6" t="s">
        <v>44</v>
      </c>
      <c r="C9" s="15">
        <v>3056.83</v>
      </c>
      <c r="D9" s="16">
        <v>38.25</v>
      </c>
      <c r="E9" s="16">
        <v>41.57</v>
      </c>
      <c r="F9" s="16">
        <v>42.597000000000001</v>
      </c>
      <c r="G9" s="16">
        <v>5.42</v>
      </c>
      <c r="H9" s="16">
        <f t="shared" ref="H9:H72" si="0">(6*D9+E9+F9)/8</f>
        <v>39.208374999999997</v>
      </c>
      <c r="I9" s="5"/>
      <c r="J9" s="15">
        <v>2379.4816000000001</v>
      </c>
      <c r="K9" s="16">
        <v>39.094499999999996</v>
      </c>
      <c r="L9" s="16">
        <v>41.933799999999998</v>
      </c>
      <c r="M9" s="16">
        <v>43.271299999999997</v>
      </c>
      <c r="N9" s="16">
        <v>4.2146999999999997</v>
      </c>
      <c r="O9" s="16">
        <f t="shared" ref="O9:O72" si="1">(6*K9+L9+M9)/8</f>
        <v>39.971512499999996</v>
      </c>
      <c r="P9" s="7"/>
      <c r="Q9" s="8">
        <f>bdrate(C9:C12,D9:D12,J9:J12,K9:K12)</f>
        <v>-0.45863524785169663</v>
      </c>
      <c r="R9" s="8">
        <f>bdrate(C9:C12,E9:E12,J9:J12,L9:L12)</f>
        <v>-0.37405759818156814</v>
      </c>
      <c r="S9" s="8">
        <f>bdrate(C9:C12,F9:F12,J9:J12,M9:M12)</f>
        <v>-0.47066657445188587</v>
      </c>
      <c r="T9" s="25">
        <f>bdrate(C9:C12,H9:H12,J9:J12,O9:O12)</f>
        <v>-0.45438718921655863</v>
      </c>
      <c r="U9" s="28">
        <f t="shared" ref="U9:U32" si="2">(N9-G9)/G9</f>
        <v>-0.22238007380073807</v>
      </c>
      <c r="V9" s="57">
        <f t="shared" ref="V9:V65" si="3">ABS(C9-X9)/X9</f>
        <v>0.15088055555555557</v>
      </c>
      <c r="W9" s="57">
        <f t="shared" ref="W9:W64" si="4">ABS(J9-Y9)/Y9</f>
        <v>8.5493333333333029E-3</v>
      </c>
      <c r="X9" s="56">
        <v>3600</v>
      </c>
      <c r="Y9" s="56">
        <v>2400</v>
      </c>
    </row>
    <row r="10" spans="1:25" x14ac:dyDescent="0.25">
      <c r="A10" s="9" t="s">
        <v>36</v>
      </c>
      <c r="B10" s="9"/>
      <c r="C10" s="17">
        <v>2021.44</v>
      </c>
      <c r="D10" s="18">
        <v>36.770000000000003</v>
      </c>
      <c r="E10" s="18">
        <v>40.887999999999998</v>
      </c>
      <c r="F10" s="18">
        <v>41.832999999999998</v>
      </c>
      <c r="G10" s="18">
        <v>5.94</v>
      </c>
      <c r="H10" s="18">
        <f t="shared" si="0"/>
        <v>37.917625000000001</v>
      </c>
      <c r="I10" s="5"/>
      <c r="J10" s="17">
        <v>1572.1016</v>
      </c>
      <c r="K10" s="18">
        <v>37.856200000000001</v>
      </c>
      <c r="L10" s="18">
        <v>41.245899999999999</v>
      </c>
      <c r="M10" s="18">
        <v>42.485599999999998</v>
      </c>
      <c r="N10" s="18">
        <v>4.6547999999999998</v>
      </c>
      <c r="O10" s="18">
        <f t="shared" si="1"/>
        <v>38.858587499999999</v>
      </c>
      <c r="P10" s="7"/>
      <c r="Q10" s="10"/>
      <c r="R10" s="11"/>
      <c r="S10" s="11"/>
      <c r="T10" s="26"/>
      <c r="U10" s="28">
        <f t="shared" si="2"/>
        <v>-0.21636363636363645</v>
      </c>
      <c r="V10" s="57">
        <f t="shared" si="3"/>
        <v>0.15773333333333331</v>
      </c>
      <c r="W10" s="57">
        <f t="shared" si="4"/>
        <v>1.7436500000000025E-2</v>
      </c>
      <c r="X10" s="56">
        <v>2400</v>
      </c>
      <c r="Y10" s="56">
        <v>1600</v>
      </c>
    </row>
    <row r="11" spans="1:25" x14ac:dyDescent="0.25">
      <c r="B11" s="9"/>
      <c r="C11" s="17">
        <v>1249.77</v>
      </c>
      <c r="D11" s="18">
        <v>34.847999999999999</v>
      </c>
      <c r="E11" s="18">
        <v>40.14</v>
      </c>
      <c r="F11" s="18">
        <v>41.012999999999998</v>
      </c>
      <c r="G11" s="18">
        <v>6.62</v>
      </c>
      <c r="H11" s="18">
        <f t="shared" si="0"/>
        <v>36.280124999999998</v>
      </c>
      <c r="I11" s="5"/>
      <c r="J11" s="17">
        <v>965.09839999999997</v>
      </c>
      <c r="K11" s="18">
        <v>36.272399999999998</v>
      </c>
      <c r="L11" s="18">
        <v>40.4358</v>
      </c>
      <c r="M11" s="18">
        <v>41.624699999999997</v>
      </c>
      <c r="N11" s="18">
        <v>5.4855999999999998</v>
      </c>
      <c r="O11" s="18">
        <f t="shared" si="1"/>
        <v>37.461862500000002</v>
      </c>
      <c r="P11" s="7"/>
      <c r="Q11" s="10"/>
      <c r="R11" s="11"/>
      <c r="S11" s="11"/>
      <c r="T11" s="26"/>
      <c r="U11" s="28">
        <f t="shared" si="2"/>
        <v>-0.17135951661631424</v>
      </c>
      <c r="V11" s="57">
        <f t="shared" si="3"/>
        <v>0.16682000000000002</v>
      </c>
      <c r="W11" s="57">
        <f t="shared" si="4"/>
        <v>3.4901600000000033E-2</v>
      </c>
      <c r="X11" s="56">
        <v>1500</v>
      </c>
      <c r="Y11" s="56">
        <v>1000</v>
      </c>
    </row>
    <row r="12" spans="1:25" ht="16.5" thickBot="1" x14ac:dyDescent="0.3">
      <c r="B12" s="12"/>
      <c r="C12" s="19">
        <v>746.86</v>
      </c>
      <c r="D12" s="20">
        <v>32.619</v>
      </c>
      <c r="E12" s="20">
        <v>39.274000000000001</v>
      </c>
      <c r="F12" s="20">
        <v>40.295999999999999</v>
      </c>
      <c r="G12" s="20">
        <v>7.28</v>
      </c>
      <c r="H12" s="20">
        <f t="shared" si="0"/>
        <v>34.410499999999999</v>
      </c>
      <c r="I12" s="5"/>
      <c r="J12" s="19">
        <v>558.00319999999999</v>
      </c>
      <c r="K12" s="20">
        <v>34.451000000000001</v>
      </c>
      <c r="L12" s="20">
        <v>39.686399999999999</v>
      </c>
      <c r="M12" s="20">
        <v>40.898699999999998</v>
      </c>
      <c r="N12" s="20">
        <v>6.6515000000000004</v>
      </c>
      <c r="O12" s="20">
        <f t="shared" si="1"/>
        <v>35.911387500000004</v>
      </c>
      <c r="P12" s="7"/>
      <c r="Q12" s="13"/>
      <c r="R12" s="14"/>
      <c r="S12" s="14"/>
      <c r="T12" s="27"/>
      <c r="U12" s="28">
        <f t="shared" si="2"/>
        <v>-8.6332417582417553E-2</v>
      </c>
      <c r="V12" s="57">
        <f t="shared" si="3"/>
        <v>0.17015555555555553</v>
      </c>
      <c r="W12" s="57">
        <f t="shared" si="4"/>
        <v>6.9994666666666677E-2</v>
      </c>
      <c r="X12" s="56">
        <v>900</v>
      </c>
      <c r="Y12" s="56">
        <v>600</v>
      </c>
    </row>
    <row r="13" spans="1:25" x14ac:dyDescent="0.25">
      <c r="B13" s="6" t="s">
        <v>45</v>
      </c>
      <c r="C13" s="15">
        <v>3447.36</v>
      </c>
      <c r="D13" s="16">
        <v>35.826000000000001</v>
      </c>
      <c r="E13" s="16">
        <v>38.984000000000002</v>
      </c>
      <c r="F13" s="16">
        <v>40.185000000000002</v>
      </c>
      <c r="G13" s="16">
        <v>6.19</v>
      </c>
      <c r="H13" s="16">
        <f t="shared" si="0"/>
        <v>36.765625</v>
      </c>
      <c r="I13" s="5"/>
      <c r="J13" s="15">
        <v>2477.4872</v>
      </c>
      <c r="K13" s="16">
        <v>36.015999999999998</v>
      </c>
      <c r="L13" s="16">
        <v>39.965400000000002</v>
      </c>
      <c r="M13" s="16">
        <v>41.177399999999999</v>
      </c>
      <c r="N13" s="16">
        <v>3.8740000000000001</v>
      </c>
      <c r="O13" s="16">
        <f t="shared" si="1"/>
        <v>37.154849999999996</v>
      </c>
      <c r="P13" s="7"/>
      <c r="Q13" s="8">
        <f>bdrate(C13:C16,D13:D16,J13:J16,K13:K16)</f>
        <v>-0.4030730069465629</v>
      </c>
      <c r="R13" s="8">
        <f>bdrate(C13:C16,E13:E16,J13:J16,L13:L16)</f>
        <v>-0.53406213070680664</v>
      </c>
      <c r="S13" s="8">
        <f>bdrate(C13:C16,F13:F16,J13:J16,M13:M16)</f>
        <v>-0.53736574305732143</v>
      </c>
      <c r="T13" s="25">
        <f>bdrate(C13:C16,H13:H16,J13:J16,O13:O16)</f>
        <v>-0.42576692834918151</v>
      </c>
      <c r="U13" s="28">
        <f t="shared" si="2"/>
        <v>-0.37415185783521809</v>
      </c>
      <c r="V13" s="57">
        <f t="shared" si="3"/>
        <v>4.2399999999999965E-2</v>
      </c>
      <c r="W13" s="57">
        <f t="shared" si="4"/>
        <v>3.2286333333333347E-2</v>
      </c>
      <c r="X13" s="56">
        <v>3600</v>
      </c>
      <c r="Y13" s="56">
        <v>2400</v>
      </c>
    </row>
    <row r="14" spans="1:25" x14ac:dyDescent="0.25">
      <c r="B14" s="9"/>
      <c r="C14" s="17">
        <v>2286.0100000000002</v>
      </c>
      <c r="D14" s="18">
        <v>34.271000000000001</v>
      </c>
      <c r="E14" s="18">
        <v>38.295000000000002</v>
      </c>
      <c r="F14" s="18">
        <v>39.607999999999997</v>
      </c>
      <c r="G14" s="18">
        <v>6.61</v>
      </c>
      <c r="H14" s="18">
        <f t="shared" si="0"/>
        <v>35.441125</v>
      </c>
      <c r="I14" s="5"/>
      <c r="J14" s="17">
        <v>1634.6967999999999</v>
      </c>
      <c r="K14" s="18">
        <v>34.734900000000003</v>
      </c>
      <c r="L14" s="18">
        <v>39.170400000000001</v>
      </c>
      <c r="M14" s="18">
        <v>40.383800000000001</v>
      </c>
      <c r="N14" s="18">
        <v>4.6436000000000002</v>
      </c>
      <c r="O14" s="18">
        <f t="shared" si="1"/>
        <v>35.995449999999998</v>
      </c>
      <c r="P14" s="7"/>
      <c r="Q14" s="10"/>
      <c r="R14" s="11"/>
      <c r="S14" s="11"/>
      <c r="T14" s="26"/>
      <c r="U14" s="28">
        <f t="shared" si="2"/>
        <v>-0.29748865355521936</v>
      </c>
      <c r="V14" s="57">
        <f t="shared" si="3"/>
        <v>4.7495833333333244E-2</v>
      </c>
      <c r="W14" s="57">
        <f t="shared" si="4"/>
        <v>2.1685499999999962E-2</v>
      </c>
      <c r="X14" s="56">
        <v>2400</v>
      </c>
      <c r="Y14" s="56">
        <v>1600</v>
      </c>
    </row>
    <row r="15" spans="1:25" x14ac:dyDescent="0.25">
      <c r="B15" s="9"/>
      <c r="C15" s="17">
        <v>1423.6</v>
      </c>
      <c r="D15" s="18">
        <v>32.439</v>
      </c>
      <c r="E15" s="18">
        <v>37.545999999999999</v>
      </c>
      <c r="F15" s="18">
        <v>38.978999999999999</v>
      </c>
      <c r="G15" s="18">
        <v>7.17</v>
      </c>
      <c r="H15" s="18">
        <f t="shared" si="0"/>
        <v>33.894874999999999</v>
      </c>
      <c r="I15" s="5"/>
      <c r="J15" s="17">
        <v>1021.0544</v>
      </c>
      <c r="K15" s="18">
        <v>33.238</v>
      </c>
      <c r="L15" s="18">
        <v>38.230200000000004</v>
      </c>
      <c r="M15" s="18">
        <v>39.545200000000001</v>
      </c>
      <c r="N15" s="18">
        <v>5.5370999999999997</v>
      </c>
      <c r="O15" s="18">
        <f t="shared" si="1"/>
        <v>34.650424999999998</v>
      </c>
      <c r="P15" s="7"/>
      <c r="Q15" s="10"/>
      <c r="R15" s="11"/>
      <c r="S15" s="11"/>
      <c r="T15" s="26"/>
      <c r="U15" s="28">
        <f t="shared" si="2"/>
        <v>-0.22774058577405862</v>
      </c>
      <c r="V15" s="57">
        <f t="shared" si="3"/>
        <v>5.0933333333333393E-2</v>
      </c>
      <c r="W15" s="57">
        <f t="shared" si="4"/>
        <v>2.1054399999999987E-2</v>
      </c>
      <c r="X15" s="56">
        <v>1500</v>
      </c>
      <c r="Y15" s="56">
        <v>1000</v>
      </c>
    </row>
    <row r="16" spans="1:25" ht="16.5" thickBot="1" x14ac:dyDescent="0.3">
      <c r="B16" s="12"/>
      <c r="C16" s="19">
        <v>849.68</v>
      </c>
      <c r="D16" s="20">
        <v>30.494</v>
      </c>
      <c r="E16" s="20">
        <v>36.869</v>
      </c>
      <c r="F16" s="20">
        <v>38.372</v>
      </c>
      <c r="G16" s="20">
        <v>7.7</v>
      </c>
      <c r="H16" s="20">
        <f t="shared" si="0"/>
        <v>32.275624999999998</v>
      </c>
      <c r="I16" s="5"/>
      <c r="J16" s="19">
        <v>597.27359999999999</v>
      </c>
      <c r="K16" s="20">
        <v>31.619199999999999</v>
      </c>
      <c r="L16" s="20">
        <v>37.292900000000003</v>
      </c>
      <c r="M16" s="20">
        <v>38.813600000000001</v>
      </c>
      <c r="N16" s="20">
        <v>6.7655000000000003</v>
      </c>
      <c r="O16" s="20">
        <f t="shared" si="1"/>
        <v>33.227712499999996</v>
      </c>
      <c r="P16" s="7"/>
      <c r="Q16" s="13"/>
      <c r="R16" s="14"/>
      <c r="S16" s="14"/>
      <c r="T16" s="27"/>
      <c r="U16" s="28">
        <f t="shared" si="2"/>
        <v>-0.12136363636363634</v>
      </c>
      <c r="V16" s="57">
        <f t="shared" si="3"/>
        <v>5.5911111111111168E-2</v>
      </c>
      <c r="W16" s="57">
        <f t="shared" si="4"/>
        <v>4.5440000000000202E-3</v>
      </c>
      <c r="X16" s="56">
        <v>900</v>
      </c>
      <c r="Y16" s="56">
        <v>600</v>
      </c>
    </row>
    <row r="17" spans="1:25" x14ac:dyDescent="0.25">
      <c r="B17" s="6" t="s">
        <v>46</v>
      </c>
      <c r="C17" s="15">
        <v>3556.6</v>
      </c>
      <c r="D17" s="16">
        <v>33.716000000000001</v>
      </c>
      <c r="E17" s="16">
        <v>37.704000000000001</v>
      </c>
      <c r="F17" s="16">
        <v>39.140999999999998</v>
      </c>
      <c r="G17" s="16">
        <v>6.74</v>
      </c>
      <c r="H17" s="16">
        <f t="shared" si="0"/>
        <v>34.892625000000002</v>
      </c>
      <c r="I17" s="5"/>
      <c r="J17" s="15">
        <v>2413.9096</v>
      </c>
      <c r="K17" s="16">
        <v>34.110199999999999</v>
      </c>
      <c r="L17" s="16">
        <v>38.195900000000002</v>
      </c>
      <c r="M17" s="16">
        <v>40.166499999999999</v>
      </c>
      <c r="N17" s="16">
        <v>5.5688000000000004</v>
      </c>
      <c r="O17" s="16">
        <f t="shared" si="1"/>
        <v>35.377949999999998</v>
      </c>
      <c r="P17" s="7"/>
      <c r="Q17" s="8">
        <f>bdrate(C17:C20,D17:D20,J17:J20,K17:K20)</f>
        <v>-0.47483227766447789</v>
      </c>
      <c r="R17" s="8">
        <f>bdrate(C17:C20,E17:E20,J17:J20,L17:L20)</f>
        <v>-0.55034238615446673</v>
      </c>
      <c r="S17" s="8">
        <f>bdrate(C17:C20,F17:F20,J17:J20,M17:M20)</f>
        <v>-0.58568966590096638</v>
      </c>
      <c r="T17" s="25">
        <f>bdrate(C17:C20,H17:H20,J17:J20,O17:O20)</f>
        <v>-0.4899508524442463</v>
      </c>
      <c r="U17" s="28">
        <f t="shared" si="2"/>
        <v>-0.17376854599406524</v>
      </c>
      <c r="V17" s="57">
        <f t="shared" si="3"/>
        <v>1.2055555555555581E-2</v>
      </c>
      <c r="W17" s="57">
        <f t="shared" si="4"/>
        <v>5.7956666666666478E-3</v>
      </c>
      <c r="X17" s="56">
        <v>3600</v>
      </c>
      <c r="Y17" s="56">
        <v>2400</v>
      </c>
    </row>
    <row r="18" spans="1:25" x14ac:dyDescent="0.25">
      <c r="B18" s="9"/>
      <c r="C18" s="17">
        <v>2373.4499999999998</v>
      </c>
      <c r="D18" s="18">
        <v>32.219000000000001</v>
      </c>
      <c r="E18" s="18">
        <v>37.223999999999997</v>
      </c>
      <c r="F18" s="18">
        <v>38.331000000000003</v>
      </c>
      <c r="G18" s="18">
        <v>7.15</v>
      </c>
      <c r="H18" s="18">
        <f t="shared" si="0"/>
        <v>33.608625000000004</v>
      </c>
      <c r="I18" s="5"/>
      <c r="J18" s="17">
        <v>1608.1744000000001</v>
      </c>
      <c r="K18" s="18">
        <v>32.920200000000001</v>
      </c>
      <c r="L18" s="18">
        <v>37.722999999999999</v>
      </c>
      <c r="M18" s="18">
        <v>39.359400000000001</v>
      </c>
      <c r="N18" s="18">
        <v>6.5625999999999998</v>
      </c>
      <c r="O18" s="18">
        <f t="shared" si="1"/>
        <v>34.325450000000004</v>
      </c>
      <c r="P18" s="7"/>
      <c r="Q18" s="10"/>
      <c r="R18" s="11"/>
      <c r="S18" s="11"/>
      <c r="T18" s="26"/>
      <c r="U18" s="28">
        <f t="shared" si="2"/>
        <v>-8.215384615384623E-2</v>
      </c>
      <c r="V18" s="57">
        <f t="shared" si="3"/>
        <v>1.1062500000000076E-2</v>
      </c>
      <c r="W18" s="57">
        <f t="shared" si="4"/>
        <v>5.1090000000000657E-3</v>
      </c>
      <c r="X18" s="56">
        <v>2400</v>
      </c>
      <c r="Y18" s="56">
        <v>1600</v>
      </c>
    </row>
    <row r="19" spans="1:25" x14ac:dyDescent="0.25">
      <c r="B19" s="9"/>
      <c r="C19" s="17">
        <v>1475.57</v>
      </c>
      <c r="D19" s="18">
        <v>30.268999999999998</v>
      </c>
      <c r="E19" s="18">
        <v>36.606999999999999</v>
      </c>
      <c r="F19" s="18">
        <v>37.356000000000002</v>
      </c>
      <c r="G19" s="18">
        <v>7.61</v>
      </c>
      <c r="H19" s="18">
        <f t="shared" si="0"/>
        <v>31.947124999999996</v>
      </c>
      <c r="I19" s="5"/>
      <c r="J19" s="17">
        <v>996.95839999999998</v>
      </c>
      <c r="K19" s="18">
        <v>31.369399999999999</v>
      </c>
      <c r="L19" s="18">
        <v>37.124000000000002</v>
      </c>
      <c r="M19" s="18">
        <v>38.350700000000003</v>
      </c>
      <c r="N19" s="18">
        <v>7.8395999999999999</v>
      </c>
      <c r="O19" s="18">
        <f t="shared" si="1"/>
        <v>32.961387500000001</v>
      </c>
      <c r="P19" s="7"/>
      <c r="Q19" s="10"/>
      <c r="R19" s="11"/>
      <c r="S19" s="11"/>
      <c r="T19" s="26"/>
      <c r="U19" s="28">
        <f t="shared" si="2"/>
        <v>3.0170827858081416E-2</v>
      </c>
      <c r="V19" s="57">
        <f t="shared" si="3"/>
        <v>1.628666666666671E-2</v>
      </c>
      <c r="W19" s="57">
        <f t="shared" si="4"/>
        <v>3.0416000000000167E-3</v>
      </c>
      <c r="X19" s="56">
        <v>1500</v>
      </c>
      <c r="Y19" s="56">
        <v>1000</v>
      </c>
    </row>
    <row r="20" spans="1:25" ht="16.5" thickBot="1" x14ac:dyDescent="0.3">
      <c r="B20" s="12"/>
      <c r="C20" s="19">
        <v>878.98</v>
      </c>
      <c r="D20" s="20">
        <v>27.994</v>
      </c>
      <c r="E20" s="20">
        <v>35.923000000000002</v>
      </c>
      <c r="F20" s="20">
        <v>36.366999999999997</v>
      </c>
      <c r="G20" s="20">
        <v>8.2100000000000009</v>
      </c>
      <c r="H20" s="20">
        <f t="shared" si="0"/>
        <v>30.031749999999999</v>
      </c>
      <c r="I20" s="5"/>
      <c r="J20" s="19">
        <v>584.17600000000004</v>
      </c>
      <c r="K20" s="20">
        <v>29.616299999999999</v>
      </c>
      <c r="L20" s="20">
        <v>36.469900000000003</v>
      </c>
      <c r="M20" s="20">
        <v>37.256500000000003</v>
      </c>
      <c r="N20" s="20">
        <v>9.6022999999999996</v>
      </c>
      <c r="O20" s="20">
        <f t="shared" si="1"/>
        <v>31.428024999999998</v>
      </c>
      <c r="P20" s="7"/>
      <c r="Q20" s="13"/>
      <c r="R20" s="14"/>
      <c r="S20" s="14"/>
      <c r="T20" s="27"/>
      <c r="U20" s="28">
        <f t="shared" si="2"/>
        <v>0.16958587088915938</v>
      </c>
      <c r="V20" s="57">
        <f t="shared" si="3"/>
        <v>2.3355555555555536E-2</v>
      </c>
      <c r="W20" s="57">
        <f t="shared" si="4"/>
        <v>2.6373333333333259E-2</v>
      </c>
      <c r="X20" s="56">
        <v>900</v>
      </c>
      <c r="Y20" s="56">
        <v>600</v>
      </c>
    </row>
    <row r="21" spans="1:25" x14ac:dyDescent="0.25">
      <c r="B21" s="6" t="s">
        <v>47</v>
      </c>
      <c r="C21" s="29">
        <v>3588.81</v>
      </c>
      <c r="D21" s="30">
        <v>33.005000000000003</v>
      </c>
      <c r="E21" s="30">
        <v>39.412999999999997</v>
      </c>
      <c r="F21" s="30">
        <v>39.063000000000002</v>
      </c>
      <c r="G21" s="16">
        <v>6.12</v>
      </c>
      <c r="H21" s="16">
        <f t="shared" si="0"/>
        <v>34.563250000000004</v>
      </c>
      <c r="I21" s="5"/>
      <c r="J21" s="29">
        <v>2415.6855999999998</v>
      </c>
      <c r="K21" s="30">
        <v>34.043500000000002</v>
      </c>
      <c r="L21" s="30">
        <v>40.366199999999999</v>
      </c>
      <c r="M21" s="30">
        <v>39.964700000000001</v>
      </c>
      <c r="N21" s="16">
        <v>4.8413000000000004</v>
      </c>
      <c r="O21" s="16">
        <f t="shared" si="1"/>
        <v>35.573987500000001</v>
      </c>
      <c r="P21" s="7"/>
      <c r="Q21" s="8">
        <f>bdrate(C21:C24,D21:D24,J21:J24,K21:K24)</f>
        <v>-0.58120899324951081</v>
      </c>
      <c r="R21" s="8">
        <f>bdrate(C21:C24,E21:E24,J21:J24,L21:L24)</f>
        <v>-0.62284502827542787</v>
      </c>
      <c r="S21" s="8">
        <f>bdrate(C21:C24,F21:F24,J21:J24,M21:M24)</f>
        <v>-0.5369010946029773</v>
      </c>
      <c r="T21" s="25">
        <f>bdrate(C21:C24,H21:H24,J21:J24,O21:O24)</f>
        <v>-0.58298555338014579</v>
      </c>
      <c r="U21" s="28">
        <f t="shared" si="2"/>
        <v>-0.20893790849673197</v>
      </c>
      <c r="V21" s="57">
        <f t="shared" si="3"/>
        <v>3.1083333333333484E-3</v>
      </c>
      <c r="W21" s="57">
        <f t="shared" si="4"/>
        <v>6.5356666666665812E-3</v>
      </c>
      <c r="X21" s="56">
        <v>3600</v>
      </c>
      <c r="Y21" s="56">
        <v>2400</v>
      </c>
    </row>
    <row r="22" spans="1:25" x14ac:dyDescent="0.25">
      <c r="B22" s="9"/>
      <c r="C22" s="31">
        <v>2375.1999999999998</v>
      </c>
      <c r="D22" s="32">
        <v>30.981000000000002</v>
      </c>
      <c r="E22" s="32">
        <v>38.567999999999998</v>
      </c>
      <c r="F22" s="32">
        <v>38.08</v>
      </c>
      <c r="G22" s="18">
        <v>6.6</v>
      </c>
      <c r="H22" s="18">
        <f t="shared" si="0"/>
        <v>32.816749999999999</v>
      </c>
      <c r="I22" s="5"/>
      <c r="J22" s="31">
        <v>1609.4952000000001</v>
      </c>
      <c r="K22" s="32">
        <v>32.690199999999997</v>
      </c>
      <c r="L22" s="32">
        <v>39.654200000000003</v>
      </c>
      <c r="M22" s="32">
        <v>39.034700000000001</v>
      </c>
      <c r="N22" s="18">
        <v>5.6116999999999999</v>
      </c>
      <c r="O22" s="18">
        <f t="shared" si="1"/>
        <v>34.353762499999995</v>
      </c>
      <c r="P22" s="7"/>
      <c r="Q22" s="10"/>
      <c r="R22" s="11"/>
      <c r="S22" s="11"/>
      <c r="T22" s="26"/>
      <c r="U22" s="28">
        <f t="shared" si="2"/>
        <v>-0.1497424242424242</v>
      </c>
      <c r="V22" s="57">
        <f t="shared" si="3"/>
        <v>1.033333333333341E-2</v>
      </c>
      <c r="W22" s="57">
        <f t="shared" si="4"/>
        <v>5.9345000000000422E-3</v>
      </c>
      <c r="X22" s="56">
        <v>2400</v>
      </c>
      <c r="Y22" s="56">
        <v>1600</v>
      </c>
    </row>
    <row r="23" spans="1:25" x14ac:dyDescent="0.25">
      <c r="B23" s="9"/>
      <c r="C23" s="31">
        <v>1471.18</v>
      </c>
      <c r="D23" s="32">
        <v>28.079000000000001</v>
      </c>
      <c r="E23" s="32">
        <v>37.420999999999999</v>
      </c>
      <c r="F23" s="32">
        <v>36.89</v>
      </c>
      <c r="G23" s="18">
        <v>7.15</v>
      </c>
      <c r="H23" s="18">
        <f t="shared" si="0"/>
        <v>30.348124999999996</v>
      </c>
      <c r="I23" s="5"/>
      <c r="J23" s="31">
        <v>1001.1888</v>
      </c>
      <c r="K23" s="32">
        <v>30.991800000000001</v>
      </c>
      <c r="L23" s="32">
        <v>38.807600000000001</v>
      </c>
      <c r="M23" s="32">
        <v>37.891100000000002</v>
      </c>
      <c r="N23" s="18">
        <v>6.6816000000000004</v>
      </c>
      <c r="O23" s="18">
        <f t="shared" si="1"/>
        <v>32.831187500000006</v>
      </c>
      <c r="P23" s="7"/>
      <c r="Q23" s="10"/>
      <c r="R23" s="11"/>
      <c r="S23" s="11"/>
      <c r="T23" s="26"/>
      <c r="U23" s="28">
        <f t="shared" si="2"/>
        <v>-6.5510489510489503E-2</v>
      </c>
      <c r="V23" s="57">
        <f t="shared" si="3"/>
        <v>1.9213333333333291E-2</v>
      </c>
      <c r="W23" s="57">
        <f t="shared" si="4"/>
        <v>1.1888000000000148E-3</v>
      </c>
      <c r="X23" s="56">
        <v>1500</v>
      </c>
      <c r="Y23" s="56">
        <v>1000</v>
      </c>
    </row>
    <row r="24" spans="1:25" ht="16.5" thickBot="1" x14ac:dyDescent="0.3">
      <c r="B24" s="12"/>
      <c r="C24" s="33">
        <v>873.12</v>
      </c>
      <c r="D24" s="34">
        <v>24.132999999999999</v>
      </c>
      <c r="E24" s="34">
        <v>35.716000000000001</v>
      </c>
      <c r="F24" s="34">
        <v>34.889000000000003</v>
      </c>
      <c r="G24" s="20">
        <v>7.69</v>
      </c>
      <c r="H24" s="20">
        <f t="shared" si="0"/>
        <v>26.925375000000003</v>
      </c>
      <c r="I24" s="5"/>
      <c r="J24" s="33">
        <v>594.51520000000005</v>
      </c>
      <c r="K24" s="34">
        <v>29.151900000000001</v>
      </c>
      <c r="L24" s="34">
        <v>37.622799999999998</v>
      </c>
      <c r="M24" s="34">
        <v>36.3752</v>
      </c>
      <c r="N24" s="20">
        <v>8.2728999999999999</v>
      </c>
      <c r="O24" s="20">
        <f t="shared" si="1"/>
        <v>31.113675000000001</v>
      </c>
      <c r="P24" s="7"/>
      <c r="Q24" s="13"/>
      <c r="R24" s="14"/>
      <c r="S24" s="14"/>
      <c r="T24" s="27"/>
      <c r="U24" s="28">
        <f t="shared" si="2"/>
        <v>7.5799739921976528E-2</v>
      </c>
      <c r="V24" s="57">
        <f t="shared" si="3"/>
        <v>2.9866666666666663E-2</v>
      </c>
      <c r="W24" s="57">
        <f t="shared" si="4"/>
        <v>9.1413333333332496E-3</v>
      </c>
      <c r="X24" s="56">
        <v>900</v>
      </c>
      <c r="Y24" s="56">
        <v>600</v>
      </c>
    </row>
    <row r="25" spans="1:25" x14ac:dyDescent="0.25">
      <c r="B25" s="6" t="s">
        <v>48</v>
      </c>
      <c r="C25" s="15">
        <v>3589.3</v>
      </c>
      <c r="D25" s="16">
        <v>32.515999999999998</v>
      </c>
      <c r="E25" s="16">
        <v>38.728000000000002</v>
      </c>
      <c r="F25" s="16">
        <v>41.323999999999998</v>
      </c>
      <c r="G25" s="16">
        <v>7.46</v>
      </c>
      <c r="H25" s="16">
        <f t="shared" si="0"/>
        <v>34.393500000000003</v>
      </c>
      <c r="I25" s="5"/>
      <c r="J25" s="15">
        <v>2425.6632</v>
      </c>
      <c r="K25" s="16">
        <v>33.603000000000002</v>
      </c>
      <c r="L25" s="16">
        <v>39.814</v>
      </c>
      <c r="M25" s="16">
        <v>42.2928</v>
      </c>
      <c r="N25" s="16">
        <v>6.1376999999999997</v>
      </c>
      <c r="O25" s="16">
        <f t="shared" si="1"/>
        <v>35.465599999999995</v>
      </c>
      <c r="P25" s="7"/>
      <c r="Q25" s="8">
        <f>bdrate(C25:C28,D25:D28,J25:J28,K25:K28)</f>
        <v>-0.64002112849173209</v>
      </c>
      <c r="R25" s="8">
        <f>bdrate(C25:C28,E25:E28,J25:J28,L25:L28)</f>
        <v>-0.70164145171193937</v>
      </c>
      <c r="S25" s="8">
        <f>bdrate(C25:C28,F25:F28,J25:J28,M25:M28)</f>
        <v>-0.69197016209367257</v>
      </c>
      <c r="T25" s="25">
        <f>bdrate(C25:C28,H25:H28,J25:J28,O25:O28)</f>
        <v>-0.64730816515608547</v>
      </c>
      <c r="U25" s="28">
        <f t="shared" si="2"/>
        <v>-0.17725201072386063</v>
      </c>
      <c r="V25" s="57">
        <f t="shared" si="3"/>
        <v>2.9722222222221717E-3</v>
      </c>
      <c r="W25" s="57">
        <f t="shared" si="4"/>
        <v>1.0692999999999984E-2</v>
      </c>
      <c r="X25" s="56">
        <v>3600</v>
      </c>
      <c r="Y25" s="56">
        <v>2400</v>
      </c>
    </row>
    <row r="26" spans="1:25" x14ac:dyDescent="0.25">
      <c r="B26" s="9"/>
      <c r="C26" s="17">
        <v>2359.4</v>
      </c>
      <c r="D26" s="18">
        <v>31.408000000000001</v>
      </c>
      <c r="E26" s="18">
        <v>38.24</v>
      </c>
      <c r="F26" s="18">
        <v>40.780999999999999</v>
      </c>
      <c r="G26" s="18">
        <v>7.81</v>
      </c>
      <c r="H26" s="18">
        <f t="shared" si="0"/>
        <v>33.433624999999999</v>
      </c>
      <c r="I26" s="5"/>
      <c r="J26" s="17">
        <v>1605.8664000000001</v>
      </c>
      <c r="K26" s="18">
        <v>32.902000000000001</v>
      </c>
      <c r="L26" s="18">
        <v>39.333500000000001</v>
      </c>
      <c r="M26" s="18">
        <v>41.871200000000002</v>
      </c>
      <c r="N26" s="18">
        <v>6.9183000000000003</v>
      </c>
      <c r="O26" s="18">
        <f t="shared" si="1"/>
        <v>34.827087499999998</v>
      </c>
      <c r="P26" s="7"/>
      <c r="Q26" s="10"/>
      <c r="R26" s="11"/>
      <c r="S26" s="11"/>
      <c r="T26" s="26"/>
      <c r="U26" s="28">
        <f t="shared" si="2"/>
        <v>-0.11417413572343141</v>
      </c>
      <c r="V26" s="57">
        <f t="shared" si="3"/>
        <v>1.6916666666666628E-2</v>
      </c>
      <c r="W26" s="57">
        <f t="shared" si="4"/>
        <v>3.6665000000000703E-3</v>
      </c>
      <c r="X26" s="56">
        <v>2400</v>
      </c>
      <c r="Y26" s="56">
        <v>1600</v>
      </c>
    </row>
    <row r="27" spans="1:25" x14ac:dyDescent="0.25">
      <c r="B27" s="9"/>
      <c r="C27" s="17">
        <v>1442.51</v>
      </c>
      <c r="D27" s="18">
        <v>29.77</v>
      </c>
      <c r="E27" s="18">
        <v>37.691000000000003</v>
      </c>
      <c r="F27" s="18">
        <v>40.253999999999998</v>
      </c>
      <c r="G27" s="18">
        <v>8.14</v>
      </c>
      <c r="H27" s="18">
        <f t="shared" si="0"/>
        <v>32.070625</v>
      </c>
      <c r="I27" s="5"/>
      <c r="J27" s="17">
        <v>1024.164</v>
      </c>
      <c r="K27" s="18">
        <v>31.872599999999998</v>
      </c>
      <c r="L27" s="18">
        <v>38.655099999999997</v>
      </c>
      <c r="M27" s="18">
        <v>41.165999999999997</v>
      </c>
      <c r="N27" s="18">
        <v>7.9813000000000001</v>
      </c>
      <c r="O27" s="18">
        <f t="shared" si="1"/>
        <v>33.882087499999997</v>
      </c>
      <c r="P27" s="7"/>
      <c r="Q27" s="10"/>
      <c r="R27" s="11"/>
      <c r="S27" s="11"/>
      <c r="T27" s="26"/>
      <c r="U27" s="28">
        <f t="shared" si="2"/>
        <v>-1.9496314496314556E-2</v>
      </c>
      <c r="V27" s="57">
        <f t="shared" si="3"/>
        <v>3.8326666666666676E-2</v>
      </c>
      <c r="W27" s="57">
        <f t="shared" si="4"/>
        <v>2.4163999999999988E-2</v>
      </c>
      <c r="X27" s="56">
        <v>1500</v>
      </c>
      <c r="Y27" s="56">
        <v>1000</v>
      </c>
    </row>
    <row r="28" spans="1:25" ht="16.5" thickBot="1" x14ac:dyDescent="0.3">
      <c r="B28" s="12"/>
      <c r="C28" s="19">
        <v>830.77</v>
      </c>
      <c r="D28" s="20">
        <v>27.416</v>
      </c>
      <c r="E28" s="20">
        <v>37.091000000000001</v>
      </c>
      <c r="F28" s="20">
        <v>39.286999999999999</v>
      </c>
      <c r="G28" s="20">
        <v>8.5500000000000007</v>
      </c>
      <c r="H28" s="20">
        <f t="shared" si="0"/>
        <v>30.109250000000003</v>
      </c>
      <c r="I28" s="5"/>
      <c r="J28" s="19">
        <v>596.14800000000002</v>
      </c>
      <c r="K28" s="20">
        <v>30.4481</v>
      </c>
      <c r="L28" s="20">
        <v>38.105400000000003</v>
      </c>
      <c r="M28" s="20">
        <v>40.650700000000001</v>
      </c>
      <c r="N28" s="20">
        <v>9.2083999999999993</v>
      </c>
      <c r="O28" s="20">
        <f t="shared" si="1"/>
        <v>32.680587500000001</v>
      </c>
      <c r="P28" s="7"/>
      <c r="Q28" s="13"/>
      <c r="R28" s="14"/>
      <c r="S28" s="14"/>
      <c r="T28" s="27"/>
      <c r="U28" s="28">
        <f t="shared" si="2"/>
        <v>7.7005847953216203E-2</v>
      </c>
      <c r="V28" s="57">
        <f t="shared" si="3"/>
        <v>7.6922222222222239E-2</v>
      </c>
      <c r="W28" s="57">
        <f t="shared" si="4"/>
        <v>6.4199999999999587E-3</v>
      </c>
      <c r="X28" s="56">
        <v>900</v>
      </c>
      <c r="Y28" s="56">
        <v>600</v>
      </c>
    </row>
    <row r="29" spans="1:25" x14ac:dyDescent="0.25">
      <c r="A29" s="6" t="s">
        <v>37</v>
      </c>
      <c r="B29" s="6" t="s">
        <v>49</v>
      </c>
      <c r="C29" s="15">
        <v>1558.38</v>
      </c>
      <c r="D29" s="16">
        <v>34.149000000000001</v>
      </c>
      <c r="E29" s="16">
        <v>37.454000000000001</v>
      </c>
      <c r="F29" s="16">
        <v>37.345999999999997</v>
      </c>
      <c r="G29" s="16">
        <v>31.72</v>
      </c>
      <c r="H29" s="16">
        <f t="shared" si="0"/>
        <v>34.961750000000002</v>
      </c>
      <c r="I29" s="5"/>
      <c r="J29" s="15">
        <v>1215.22</v>
      </c>
      <c r="K29" s="16">
        <v>35.049399999999999</v>
      </c>
      <c r="L29" s="16">
        <v>39.264200000000002</v>
      </c>
      <c r="M29" s="16">
        <v>39.177100000000003</v>
      </c>
      <c r="N29" s="16">
        <v>18.001200000000001</v>
      </c>
      <c r="O29" s="16">
        <f t="shared" si="1"/>
        <v>36.092212500000002</v>
      </c>
      <c r="P29" s="7"/>
      <c r="Q29" s="8">
        <f>bdrate(C29:C32,D29:D32,J29:J32,K29:K32)</f>
        <v>-0.41046225108019563</v>
      </c>
      <c r="R29" s="8">
        <f>bdrate(C29:C32,E29:E32,J29:J32,L29:L32)</f>
        <v>-0.57846204200640194</v>
      </c>
      <c r="S29" s="8">
        <f>bdrate(C29:C32,F29:F32,J29:J32,M29:M32)</f>
        <v>-0.54766033970975747</v>
      </c>
      <c r="T29" s="25">
        <f>bdrate(C29:C32,H29:H32,J29:J32,O29:O32)</f>
        <v>-0.44142778145937167</v>
      </c>
      <c r="U29" s="28">
        <f t="shared" si="2"/>
        <v>-0.43249684741488015</v>
      </c>
      <c r="V29" s="57">
        <f t="shared" si="3"/>
        <v>5.4064516129032963E-3</v>
      </c>
      <c r="W29" s="57">
        <f t="shared" si="4"/>
        <v>1.2683333333333355E-2</v>
      </c>
      <c r="X29" s="56">
        <v>1550</v>
      </c>
      <c r="Y29" s="56">
        <v>1200</v>
      </c>
    </row>
    <row r="30" spans="1:25" x14ac:dyDescent="0.25">
      <c r="A30" s="9" t="s">
        <v>38</v>
      </c>
      <c r="B30" s="9"/>
      <c r="C30" s="17">
        <v>1052.8599999999999</v>
      </c>
      <c r="D30" s="18">
        <v>32.588999999999999</v>
      </c>
      <c r="E30" s="18">
        <v>36.475999999999999</v>
      </c>
      <c r="F30" s="18">
        <v>36.279000000000003</v>
      </c>
      <c r="G30" s="18">
        <v>35.869999999999997</v>
      </c>
      <c r="H30" s="18">
        <f t="shared" si="0"/>
        <v>33.536124999999998</v>
      </c>
      <c r="I30" s="5"/>
      <c r="J30" s="17">
        <v>810.69119999999998</v>
      </c>
      <c r="K30" s="18">
        <v>33.507300000000001</v>
      </c>
      <c r="L30" s="18">
        <v>38.052100000000003</v>
      </c>
      <c r="M30" s="18">
        <v>37.832599999999999</v>
      </c>
      <c r="N30" s="18">
        <v>20.954699999999999</v>
      </c>
      <c r="O30" s="18">
        <f t="shared" si="1"/>
        <v>34.616062499999998</v>
      </c>
      <c r="P30" s="7"/>
      <c r="Q30" s="10"/>
      <c r="R30" s="11"/>
      <c r="S30" s="11"/>
      <c r="T30" s="26"/>
      <c r="U30" s="28">
        <f t="shared" si="2"/>
        <v>-0.41581544466127685</v>
      </c>
      <c r="V30" s="57">
        <f t="shared" si="3"/>
        <v>2.7238095238094283E-3</v>
      </c>
      <c r="W30" s="57">
        <f t="shared" si="4"/>
        <v>1.3363999999999977E-2</v>
      </c>
      <c r="X30" s="56">
        <v>1050</v>
      </c>
      <c r="Y30" s="56">
        <v>800</v>
      </c>
    </row>
    <row r="31" spans="1:25" x14ac:dyDescent="0.25">
      <c r="B31" s="9"/>
      <c r="C31" s="17">
        <v>650.62</v>
      </c>
      <c r="D31" s="18">
        <v>30.6</v>
      </c>
      <c r="E31" s="18">
        <v>35.421999999999997</v>
      </c>
      <c r="F31" s="18">
        <v>35.07</v>
      </c>
      <c r="G31" s="18">
        <v>39.56</v>
      </c>
      <c r="H31" s="18">
        <f t="shared" si="0"/>
        <v>31.761500000000002</v>
      </c>
      <c r="I31" s="5"/>
      <c r="J31" s="17">
        <v>506.96960000000001</v>
      </c>
      <c r="K31" s="18">
        <v>31.778500000000001</v>
      </c>
      <c r="L31" s="18">
        <v>36.831400000000002</v>
      </c>
      <c r="M31" s="18">
        <v>36.479199999999999</v>
      </c>
      <c r="N31" s="18">
        <v>25.689800000000002</v>
      </c>
      <c r="O31" s="18">
        <f t="shared" si="1"/>
        <v>32.997700000000002</v>
      </c>
      <c r="P31" s="7"/>
      <c r="Q31" s="10"/>
      <c r="R31" s="11"/>
      <c r="S31" s="11"/>
      <c r="T31" s="26"/>
      <c r="U31" s="28">
        <f t="shared" si="2"/>
        <v>-0.35061172901921134</v>
      </c>
      <c r="V31" s="57">
        <f t="shared" si="3"/>
        <v>9.538461538461608E-4</v>
      </c>
      <c r="W31" s="57">
        <f t="shared" si="4"/>
        <v>1.3939200000000028E-2</v>
      </c>
      <c r="X31" s="56">
        <v>650</v>
      </c>
      <c r="Y31" s="56">
        <v>500</v>
      </c>
    </row>
    <row r="32" spans="1:25" ht="16.5" thickBot="1" x14ac:dyDescent="0.3">
      <c r="B32" s="12"/>
      <c r="C32" s="19">
        <v>396.59</v>
      </c>
      <c r="D32" s="20">
        <v>28.28</v>
      </c>
      <c r="E32" s="20">
        <v>34.539000000000001</v>
      </c>
      <c r="F32" s="20">
        <v>34.014000000000003</v>
      </c>
      <c r="G32" s="20">
        <v>43.19</v>
      </c>
      <c r="H32" s="20">
        <f t="shared" si="0"/>
        <v>29.779125000000001</v>
      </c>
      <c r="I32" s="5"/>
      <c r="J32" s="19">
        <v>303.30560000000003</v>
      </c>
      <c r="K32" s="20">
        <v>29.852599999999999</v>
      </c>
      <c r="L32" s="20">
        <v>35.532600000000002</v>
      </c>
      <c r="M32" s="20">
        <v>35.0274</v>
      </c>
      <c r="N32" s="20">
        <v>32.603000000000002</v>
      </c>
      <c r="O32" s="20">
        <f t="shared" si="1"/>
        <v>31.20945</v>
      </c>
      <c r="P32" s="7"/>
      <c r="Q32" s="13"/>
      <c r="R32" s="14"/>
      <c r="S32" s="14"/>
      <c r="T32" s="27"/>
      <c r="U32" s="28">
        <f t="shared" si="2"/>
        <v>-0.24512618661727245</v>
      </c>
      <c r="V32" s="57">
        <f t="shared" si="3"/>
        <v>8.525000000000062E-3</v>
      </c>
      <c r="W32" s="57">
        <f t="shared" si="4"/>
        <v>1.1018666666666756E-2</v>
      </c>
      <c r="X32" s="56">
        <v>400</v>
      </c>
      <c r="Y32" s="56">
        <v>300</v>
      </c>
    </row>
    <row r="33" spans="1:25" x14ac:dyDescent="0.25">
      <c r="B33" s="6" t="s">
        <v>50</v>
      </c>
      <c r="C33" s="15">
        <v>1560.8</v>
      </c>
      <c r="D33" s="16">
        <v>34.482999999999997</v>
      </c>
      <c r="E33" s="16">
        <v>39.305</v>
      </c>
      <c r="F33" s="16">
        <v>40.055</v>
      </c>
      <c r="G33" s="16">
        <v>33.08</v>
      </c>
      <c r="H33" s="16">
        <f t="shared" si="0"/>
        <v>35.782249999999998</v>
      </c>
      <c r="I33" s="5"/>
      <c r="J33" s="15">
        <v>1244.7023999999999</v>
      </c>
      <c r="K33" s="16">
        <v>35.2485</v>
      </c>
      <c r="L33" s="16">
        <v>40.559699999999999</v>
      </c>
      <c r="M33" s="16">
        <v>41.436799999999998</v>
      </c>
      <c r="N33" s="16">
        <v>18.701499999999999</v>
      </c>
      <c r="O33" s="16">
        <f t="shared" si="1"/>
        <v>36.685937499999994</v>
      </c>
      <c r="P33" s="7"/>
      <c r="Q33" s="8">
        <f>bdrate(C33:C36,D33:D36,J33:J36,K33:K36)</f>
        <v>-0.41457467820372851</v>
      </c>
      <c r="R33" s="8">
        <f>bdrate(C33:C36,E33:E36,J33:J36,L33:L36)</f>
        <v>-0.5113647786999389</v>
      </c>
      <c r="S33" s="8">
        <f>bdrate(C33:C36,F33:F36,J33:J36,M33:M36)</f>
        <v>-0.50389547195509898</v>
      </c>
      <c r="T33" s="25">
        <f>bdrate(C33:C36,H33:H36,J33:J36,O33:O36)</f>
        <v>-0.4301236977726528</v>
      </c>
      <c r="U33" s="28">
        <f t="shared" ref="U33:U64" si="5">(N33-G33)/G33</f>
        <v>-0.43465840386940746</v>
      </c>
      <c r="V33" s="57">
        <f t="shared" si="3"/>
        <v>6.9677419354838418E-3</v>
      </c>
      <c r="W33" s="57">
        <f t="shared" si="4"/>
        <v>3.7251999999999917E-2</v>
      </c>
      <c r="X33" s="56">
        <v>1550</v>
      </c>
      <c r="Y33" s="56">
        <v>1200</v>
      </c>
    </row>
    <row r="34" spans="1:25" x14ac:dyDescent="0.25">
      <c r="B34" s="9"/>
      <c r="C34" s="17">
        <v>1057.8499999999999</v>
      </c>
      <c r="D34" s="18">
        <v>32.664000000000001</v>
      </c>
      <c r="E34" s="18">
        <v>38.478999999999999</v>
      </c>
      <c r="F34" s="18">
        <v>39.158999999999999</v>
      </c>
      <c r="G34" s="18">
        <v>35.409999999999997</v>
      </c>
      <c r="H34" s="18">
        <f t="shared" si="0"/>
        <v>34.202750000000002</v>
      </c>
      <c r="I34" s="5"/>
      <c r="J34" s="17">
        <v>829.51440000000002</v>
      </c>
      <c r="K34" s="18">
        <v>33.689399999999999</v>
      </c>
      <c r="L34" s="18">
        <v>39.537300000000002</v>
      </c>
      <c r="M34" s="18">
        <v>40.2896</v>
      </c>
      <c r="N34" s="18">
        <v>21.677900000000001</v>
      </c>
      <c r="O34" s="18">
        <f t="shared" si="1"/>
        <v>35.2454125</v>
      </c>
      <c r="P34" s="7"/>
      <c r="Q34" s="10"/>
      <c r="R34" s="11"/>
      <c r="S34" s="11"/>
      <c r="T34" s="26"/>
      <c r="U34" s="28">
        <f t="shared" si="5"/>
        <v>-0.38780288054221962</v>
      </c>
      <c r="V34" s="57">
        <f t="shared" si="3"/>
        <v>7.4761904761903898E-3</v>
      </c>
      <c r="W34" s="57">
        <f t="shared" si="4"/>
        <v>3.689300000000003E-2</v>
      </c>
      <c r="X34" s="56">
        <v>1050</v>
      </c>
      <c r="Y34" s="56">
        <v>800</v>
      </c>
    </row>
    <row r="35" spans="1:25" x14ac:dyDescent="0.25">
      <c r="B35" s="9"/>
      <c r="C35" s="17">
        <v>653.42999999999995</v>
      </c>
      <c r="D35" s="18">
        <v>30.224</v>
      </c>
      <c r="E35" s="18">
        <v>37.533999999999999</v>
      </c>
      <c r="F35" s="18">
        <v>38.122999999999998</v>
      </c>
      <c r="G35" s="18">
        <v>38.700000000000003</v>
      </c>
      <c r="H35" s="18">
        <f t="shared" si="0"/>
        <v>32.125124999999997</v>
      </c>
      <c r="I35" s="5"/>
      <c r="J35" s="17">
        <v>518.21360000000004</v>
      </c>
      <c r="K35" s="18">
        <v>31.839500000000001</v>
      </c>
      <c r="L35" s="18">
        <v>38.480899999999998</v>
      </c>
      <c r="M35" s="18">
        <v>39.149700000000003</v>
      </c>
      <c r="N35" s="18">
        <v>26.293900000000001</v>
      </c>
      <c r="O35" s="18">
        <f t="shared" si="1"/>
        <v>33.583449999999999</v>
      </c>
      <c r="P35" s="7"/>
      <c r="Q35" s="10"/>
      <c r="R35" s="11"/>
      <c r="S35" s="11"/>
      <c r="T35" s="26"/>
      <c r="U35" s="28">
        <f t="shared" si="5"/>
        <v>-0.32057105943152459</v>
      </c>
      <c r="V35" s="57">
        <f t="shared" si="3"/>
        <v>5.2769230769230003E-3</v>
      </c>
      <c r="W35" s="57">
        <f t="shared" si="4"/>
        <v>3.6427200000000083E-2</v>
      </c>
      <c r="X35" s="56">
        <v>650</v>
      </c>
      <c r="Y35" s="56">
        <v>500</v>
      </c>
    </row>
    <row r="36" spans="1:25" ht="16.5" thickBot="1" x14ac:dyDescent="0.3">
      <c r="B36" s="12"/>
      <c r="C36" s="19">
        <v>402.11</v>
      </c>
      <c r="D36" s="20">
        <v>27.46</v>
      </c>
      <c r="E36" s="20">
        <v>36.642000000000003</v>
      </c>
      <c r="F36" s="20">
        <v>37.179000000000002</v>
      </c>
      <c r="G36" s="20">
        <v>41.95</v>
      </c>
      <c r="H36" s="20">
        <f t="shared" si="0"/>
        <v>29.822624999999999</v>
      </c>
      <c r="I36" s="5"/>
      <c r="J36" s="19">
        <v>310.65120000000002</v>
      </c>
      <c r="K36" s="20">
        <v>29.796700000000001</v>
      </c>
      <c r="L36" s="20">
        <v>37.474800000000002</v>
      </c>
      <c r="M36" s="20">
        <v>37.955199999999998</v>
      </c>
      <c r="N36" s="20">
        <v>32.497399999999999</v>
      </c>
      <c r="O36" s="20">
        <f t="shared" si="1"/>
        <v>31.776274999999998</v>
      </c>
      <c r="P36" s="7"/>
      <c r="Q36" s="13"/>
      <c r="R36" s="14"/>
      <c r="S36" s="14"/>
      <c r="T36" s="27"/>
      <c r="U36" s="28">
        <f t="shared" si="5"/>
        <v>-0.2253301549463648</v>
      </c>
      <c r="V36" s="57">
        <f t="shared" si="3"/>
        <v>5.275000000000034E-3</v>
      </c>
      <c r="W36" s="57">
        <f t="shared" si="4"/>
        <v>3.5504000000000056E-2</v>
      </c>
      <c r="X36" s="56">
        <v>400</v>
      </c>
      <c r="Y36" s="56">
        <v>300</v>
      </c>
    </row>
    <row r="37" spans="1:25" x14ac:dyDescent="0.25">
      <c r="B37" s="6" t="s">
        <v>51</v>
      </c>
      <c r="C37" s="15">
        <v>1416.05</v>
      </c>
      <c r="D37" s="16">
        <v>28.95</v>
      </c>
      <c r="E37" s="16">
        <v>35.195999999999998</v>
      </c>
      <c r="F37" s="16">
        <v>35.875999999999998</v>
      </c>
      <c r="G37" s="16">
        <v>34.119999999999997</v>
      </c>
      <c r="H37" s="16">
        <f t="shared" si="0"/>
        <v>30.596499999999999</v>
      </c>
      <c r="I37" s="5"/>
      <c r="J37" s="15">
        <v>1223.0672</v>
      </c>
      <c r="K37" s="16">
        <v>30.351199999999999</v>
      </c>
      <c r="L37" s="16">
        <v>36.814300000000003</v>
      </c>
      <c r="M37" s="16">
        <v>37.619300000000003</v>
      </c>
      <c r="N37" s="16">
        <v>16.744800000000001</v>
      </c>
      <c r="O37" s="16">
        <f t="shared" si="1"/>
        <v>32.067599999999999</v>
      </c>
      <c r="P37" s="7"/>
      <c r="Q37" s="8">
        <f>bdrate(C37:C40,D37:D40,J37:J40,K37:K40)</f>
        <v>-0.45774677132797914</v>
      </c>
      <c r="R37" s="8">
        <f>bdrate(C37:C40,E37:E40,J37:J40,L37:L40)</f>
        <v>-0.59281339726979076</v>
      </c>
      <c r="S37" s="8">
        <f>bdrate(C37:C40,F37:F40,J37:J40,M37:M40)</f>
        <v>-0.59772259916502268</v>
      </c>
      <c r="T37" s="25">
        <f>bdrate(C37:C40,H37:H40,J37:J40,O37:O40)</f>
        <v>-0.48087101500042895</v>
      </c>
      <c r="U37" s="28">
        <f t="shared" si="5"/>
        <v>-0.50923798358733874</v>
      </c>
      <c r="V37" s="57">
        <f t="shared" si="3"/>
        <v>8.6419354838709703E-2</v>
      </c>
      <c r="W37" s="57">
        <f t="shared" si="4"/>
        <v>1.9222666666666631E-2</v>
      </c>
      <c r="X37" s="56">
        <v>1550</v>
      </c>
      <c r="Y37" s="56">
        <v>1200</v>
      </c>
    </row>
    <row r="38" spans="1:25" x14ac:dyDescent="0.25">
      <c r="B38" s="9"/>
      <c r="C38" s="17">
        <v>962.98</v>
      </c>
      <c r="D38" s="18">
        <v>27.600999999999999</v>
      </c>
      <c r="E38" s="18">
        <v>34.69</v>
      </c>
      <c r="F38" s="18">
        <v>35.393999999999998</v>
      </c>
      <c r="G38" s="18">
        <v>39.450000000000003</v>
      </c>
      <c r="H38" s="18">
        <f t="shared" si="0"/>
        <v>29.46125</v>
      </c>
      <c r="I38" s="5"/>
      <c r="J38" s="17">
        <v>818.59760000000006</v>
      </c>
      <c r="K38" s="18">
        <v>29.017900000000001</v>
      </c>
      <c r="L38" s="18">
        <v>36.0107</v>
      </c>
      <c r="M38" s="18">
        <v>36.7913</v>
      </c>
      <c r="N38" s="18">
        <v>19.7973</v>
      </c>
      <c r="O38" s="18">
        <f t="shared" si="1"/>
        <v>30.863675000000004</v>
      </c>
      <c r="P38" s="7"/>
      <c r="Q38" s="10"/>
      <c r="R38" s="11"/>
      <c r="S38" s="11"/>
      <c r="T38" s="26"/>
      <c r="U38" s="28">
        <f t="shared" si="5"/>
        <v>-0.49816730038022816</v>
      </c>
      <c r="V38" s="57">
        <f t="shared" si="3"/>
        <v>8.2876190476190464E-2</v>
      </c>
      <c r="W38" s="57">
        <f t="shared" si="4"/>
        <v>2.324700000000007E-2</v>
      </c>
      <c r="X38" s="56">
        <v>1050</v>
      </c>
      <c r="Y38" s="56">
        <v>800</v>
      </c>
    </row>
    <row r="39" spans="1:25" x14ac:dyDescent="0.25">
      <c r="B39" s="9"/>
      <c r="C39" s="17">
        <v>596.42999999999995</v>
      </c>
      <c r="D39" s="18">
        <v>26.033999999999999</v>
      </c>
      <c r="E39" s="18">
        <v>34.192</v>
      </c>
      <c r="F39" s="18">
        <v>34.905000000000001</v>
      </c>
      <c r="G39" s="18">
        <v>42.91</v>
      </c>
      <c r="H39" s="18">
        <f t="shared" si="0"/>
        <v>28.162625000000002</v>
      </c>
      <c r="I39" s="5"/>
      <c r="J39" s="17">
        <v>514.82000000000005</v>
      </c>
      <c r="K39" s="18">
        <v>27.557700000000001</v>
      </c>
      <c r="L39" s="18">
        <v>35.1843</v>
      </c>
      <c r="M39" s="18">
        <v>35.928800000000003</v>
      </c>
      <c r="N39" s="18">
        <v>24.202500000000001</v>
      </c>
      <c r="O39" s="18">
        <f t="shared" si="1"/>
        <v>29.557412500000002</v>
      </c>
      <c r="P39" s="7"/>
      <c r="Q39" s="10"/>
      <c r="R39" s="11"/>
      <c r="S39" s="11"/>
      <c r="T39" s="26"/>
      <c r="U39" s="28">
        <f t="shared" si="5"/>
        <v>-0.43597063621533438</v>
      </c>
      <c r="V39" s="57">
        <f t="shared" si="3"/>
        <v>8.2415384615384696E-2</v>
      </c>
      <c r="W39" s="57">
        <f t="shared" si="4"/>
        <v>2.96400000000001E-2</v>
      </c>
      <c r="X39" s="56">
        <v>650</v>
      </c>
      <c r="Y39" s="56">
        <v>500</v>
      </c>
    </row>
    <row r="40" spans="1:25" ht="16.5" thickBot="1" x14ac:dyDescent="0.3">
      <c r="B40" s="12"/>
      <c r="C40" s="19">
        <v>369.51</v>
      </c>
      <c r="D40" s="20">
        <v>24.574999999999999</v>
      </c>
      <c r="E40" s="20">
        <v>33.707000000000001</v>
      </c>
      <c r="F40" s="20">
        <v>34.399000000000001</v>
      </c>
      <c r="G40" s="20">
        <v>46.52</v>
      </c>
      <c r="H40" s="20">
        <f t="shared" si="0"/>
        <v>26.944499999999998</v>
      </c>
      <c r="I40" s="5"/>
      <c r="J40" s="19">
        <v>309.87520000000001</v>
      </c>
      <c r="K40" s="20">
        <v>25.994299999999999</v>
      </c>
      <c r="L40" s="20">
        <v>34.271099999999997</v>
      </c>
      <c r="M40" s="20">
        <v>34.9816</v>
      </c>
      <c r="N40" s="20">
        <v>30.284700000000001</v>
      </c>
      <c r="O40" s="20">
        <f t="shared" si="1"/>
        <v>28.152312500000001</v>
      </c>
      <c r="P40" s="7"/>
      <c r="Q40" s="13"/>
      <c r="R40" s="14"/>
      <c r="S40" s="14"/>
      <c r="T40" s="27"/>
      <c r="U40" s="28">
        <f t="shared" si="5"/>
        <v>-0.34899613069647467</v>
      </c>
      <c r="V40" s="57">
        <f t="shared" si="3"/>
        <v>7.6225000000000029E-2</v>
      </c>
      <c r="W40" s="57">
        <f t="shared" si="4"/>
        <v>3.2917333333333354E-2</v>
      </c>
      <c r="X40" s="56">
        <v>400</v>
      </c>
      <c r="Y40" s="56">
        <v>300</v>
      </c>
    </row>
    <row r="41" spans="1:25" x14ac:dyDescent="0.25">
      <c r="B41" s="6" t="s">
        <v>52</v>
      </c>
      <c r="C41" s="15">
        <v>1427.74</v>
      </c>
      <c r="D41" s="16">
        <v>32.363999999999997</v>
      </c>
      <c r="E41" s="16">
        <v>36.347000000000001</v>
      </c>
      <c r="F41" s="16">
        <v>37.93</v>
      </c>
      <c r="G41" s="16">
        <v>24.82</v>
      </c>
      <c r="H41" s="16">
        <f t="shared" si="0"/>
        <v>33.557624999999994</v>
      </c>
      <c r="I41" s="5"/>
      <c r="J41" s="15">
        <v>1210.7056</v>
      </c>
      <c r="K41" s="16">
        <v>32.445799999999998</v>
      </c>
      <c r="L41" s="16">
        <v>36.927599999999998</v>
      </c>
      <c r="M41" s="16">
        <v>38.525700000000001</v>
      </c>
      <c r="N41" s="16">
        <v>12.2599</v>
      </c>
      <c r="O41" s="16">
        <f t="shared" si="1"/>
        <v>33.766012500000002</v>
      </c>
      <c r="P41" s="7"/>
      <c r="Q41" s="8">
        <f>bdrate(C41:C44,D41:D44,J41:J44,K41:K44)</f>
        <v>-0.25211894329440132</v>
      </c>
      <c r="R41" s="8">
        <f>bdrate(C41:C44,E41:E44,J41:J44,L41:L44)</f>
        <v>-0.31708371671879532</v>
      </c>
      <c r="S41" s="8">
        <f>bdrate(C41:C44,F41:F44,J41:J44,M41:M44)</f>
        <v>-0.32940715920608143</v>
      </c>
      <c r="T41" s="25">
        <f>bdrate(C41:C44,H41:H44,J41:J44,O41:O44)</f>
        <v>-0.26474480103953701</v>
      </c>
      <c r="U41" s="28">
        <f t="shared" si="5"/>
        <v>-0.50604754230459303</v>
      </c>
      <c r="V41" s="57">
        <f t="shared" si="3"/>
        <v>7.8877419354838704E-2</v>
      </c>
      <c r="W41" s="57">
        <f t="shared" si="4"/>
        <v>8.9213333333333367E-3</v>
      </c>
      <c r="X41" s="56">
        <v>1550</v>
      </c>
      <c r="Y41" s="56">
        <v>1200</v>
      </c>
    </row>
    <row r="42" spans="1:25" x14ac:dyDescent="0.25">
      <c r="B42" s="9"/>
      <c r="C42" s="17">
        <v>975.93</v>
      </c>
      <c r="D42" s="18">
        <v>30.736000000000001</v>
      </c>
      <c r="E42" s="18">
        <v>35.631</v>
      </c>
      <c r="F42" s="18">
        <v>37.186999999999998</v>
      </c>
      <c r="G42" s="18">
        <v>27.62</v>
      </c>
      <c r="H42" s="18">
        <f t="shared" si="0"/>
        <v>32.154249999999998</v>
      </c>
      <c r="I42" s="5"/>
      <c r="J42" s="17">
        <v>806.42560000000003</v>
      </c>
      <c r="K42" s="18">
        <v>30.911799999999999</v>
      </c>
      <c r="L42" s="18">
        <v>36.032800000000002</v>
      </c>
      <c r="M42" s="18">
        <v>37.619199999999999</v>
      </c>
      <c r="N42" s="18">
        <v>14.414099999999999</v>
      </c>
      <c r="O42" s="18">
        <f t="shared" si="1"/>
        <v>32.390349999999998</v>
      </c>
      <c r="P42" s="7"/>
      <c r="Q42" s="10"/>
      <c r="R42" s="11"/>
      <c r="S42" s="11"/>
      <c r="T42" s="26"/>
      <c r="U42" s="28">
        <f t="shared" si="5"/>
        <v>-0.47812816799420715</v>
      </c>
      <c r="V42" s="57">
        <f t="shared" si="3"/>
        <v>7.0542857142857185E-2</v>
      </c>
      <c r="W42" s="57">
        <f t="shared" si="4"/>
        <v>8.0320000000000391E-3</v>
      </c>
      <c r="X42" s="56">
        <v>1050</v>
      </c>
      <c r="Y42" s="56">
        <v>800</v>
      </c>
    </row>
    <row r="43" spans="1:25" x14ac:dyDescent="0.25">
      <c r="B43" s="9"/>
      <c r="C43" s="17">
        <v>616.01</v>
      </c>
      <c r="D43" s="18">
        <v>28.734999999999999</v>
      </c>
      <c r="E43" s="18">
        <v>34.840000000000003</v>
      </c>
      <c r="F43" s="18">
        <v>36.337000000000003</v>
      </c>
      <c r="G43" s="18">
        <v>30.73</v>
      </c>
      <c r="H43" s="18">
        <f t="shared" si="0"/>
        <v>30.448374999999999</v>
      </c>
      <c r="I43" s="5"/>
      <c r="J43" s="17">
        <v>504.0376</v>
      </c>
      <c r="K43" s="18">
        <v>29.257000000000001</v>
      </c>
      <c r="L43" s="18">
        <v>35.131999999999998</v>
      </c>
      <c r="M43" s="18">
        <v>36.702800000000003</v>
      </c>
      <c r="N43" s="18">
        <v>17.743099999999998</v>
      </c>
      <c r="O43" s="18">
        <f t="shared" si="1"/>
        <v>30.9221</v>
      </c>
      <c r="P43" s="7"/>
      <c r="Q43" s="10"/>
      <c r="R43" s="11"/>
      <c r="S43" s="11"/>
      <c r="T43" s="26"/>
      <c r="U43" s="28">
        <f t="shared" si="5"/>
        <v>-0.42261308167914097</v>
      </c>
      <c r="V43" s="57">
        <f t="shared" si="3"/>
        <v>5.2292307692307707E-2</v>
      </c>
      <c r="W43" s="57">
        <f t="shared" si="4"/>
        <v>8.0751999999999959E-3</v>
      </c>
      <c r="X43" s="56">
        <v>650</v>
      </c>
      <c r="Y43" s="56">
        <v>500</v>
      </c>
    </row>
    <row r="44" spans="1:25" ht="16.5" thickBot="1" x14ac:dyDescent="0.3">
      <c r="B44" s="12"/>
      <c r="C44" s="19">
        <v>382.59</v>
      </c>
      <c r="D44" s="20">
        <v>26.696999999999999</v>
      </c>
      <c r="E44" s="20">
        <v>33.963999999999999</v>
      </c>
      <c r="F44" s="20">
        <v>35.353999999999999</v>
      </c>
      <c r="G44" s="20">
        <v>34.19</v>
      </c>
      <c r="H44" s="20">
        <f t="shared" si="0"/>
        <v>28.6875</v>
      </c>
      <c r="I44" s="5"/>
      <c r="J44" s="19">
        <v>302.73439999999999</v>
      </c>
      <c r="K44" s="20">
        <v>27.650700000000001</v>
      </c>
      <c r="L44" s="20">
        <v>34.209099999999999</v>
      </c>
      <c r="M44" s="20">
        <v>35.683</v>
      </c>
      <c r="N44" s="20">
        <v>22.967400000000001</v>
      </c>
      <c r="O44" s="20">
        <f t="shared" si="1"/>
        <v>29.4745375</v>
      </c>
      <c r="P44" s="7"/>
      <c r="Q44" s="13"/>
      <c r="R44" s="14"/>
      <c r="S44" s="14"/>
      <c r="T44" s="27"/>
      <c r="U44" s="28">
        <f t="shared" si="5"/>
        <v>-0.3282421760748756</v>
      </c>
      <c r="V44" s="57">
        <f t="shared" si="3"/>
        <v>4.3525000000000064E-2</v>
      </c>
      <c r="W44" s="57">
        <f t="shared" si="4"/>
        <v>9.1146666666666459E-3</v>
      </c>
      <c r="X44" s="56">
        <v>400</v>
      </c>
      <c r="Y44" s="56">
        <v>300</v>
      </c>
    </row>
    <row r="45" spans="1:25" x14ac:dyDescent="0.25">
      <c r="A45" s="6" t="s">
        <v>39</v>
      </c>
      <c r="B45" s="6" t="s">
        <v>53</v>
      </c>
      <c r="C45" s="15">
        <v>852.2</v>
      </c>
      <c r="D45" s="16">
        <v>34.860999999999997</v>
      </c>
      <c r="E45" s="16">
        <v>38.93</v>
      </c>
      <c r="F45" s="16">
        <v>37.779000000000003</v>
      </c>
      <c r="G45" s="16">
        <v>64.739999999999995</v>
      </c>
      <c r="H45" s="16">
        <f t="shared" si="0"/>
        <v>35.734375</v>
      </c>
      <c r="I45" s="5"/>
      <c r="J45" s="15">
        <v>605.77279999999996</v>
      </c>
      <c r="K45" s="16">
        <v>34.363900000000001</v>
      </c>
      <c r="L45" s="16">
        <v>39.734200000000001</v>
      </c>
      <c r="M45" s="16">
        <v>38.252099999999999</v>
      </c>
      <c r="N45" s="16">
        <v>50.160499999999999</v>
      </c>
      <c r="O45" s="16">
        <f t="shared" si="1"/>
        <v>35.521212499999997</v>
      </c>
      <c r="P45" s="7"/>
      <c r="Q45" s="8">
        <f>bdrate(C45:C48,D45:D48,J45:J48,K45:K48)</f>
        <v>-0.26779144806642963</v>
      </c>
      <c r="R45" s="8">
        <f>bdrate(C45:C48,E45:E48,J45:J48,L45:L48)</f>
        <v>-0.44286268530022788</v>
      </c>
      <c r="S45" s="8">
        <f>bdrate(C45:C48,F45:F48,J45:J48,M45:M48)</f>
        <v>-0.35774421860566563</v>
      </c>
      <c r="T45" s="25">
        <f>bdrate(C45:C48,H45:H48,J45:J48,O45:O48)</f>
        <v>-0.2896848348371609</v>
      </c>
      <c r="U45" s="28">
        <f t="shared" si="5"/>
        <v>-0.22520080321285135</v>
      </c>
      <c r="V45" s="57">
        <f t="shared" si="3"/>
        <v>6.5250000000000058E-2</v>
      </c>
      <c r="W45" s="57">
        <f t="shared" si="4"/>
        <v>9.6213333333332682E-3</v>
      </c>
      <c r="X45" s="56">
        <v>800</v>
      </c>
      <c r="Y45" s="56">
        <v>600</v>
      </c>
    </row>
    <row r="46" spans="1:25" x14ac:dyDescent="0.25">
      <c r="A46" s="9" t="s">
        <v>40</v>
      </c>
      <c r="B46" s="9"/>
      <c r="C46" s="17">
        <v>534.44000000000005</v>
      </c>
      <c r="D46" s="18">
        <v>32.622999999999998</v>
      </c>
      <c r="E46" s="18">
        <v>37.735999999999997</v>
      </c>
      <c r="F46" s="18">
        <v>36.371000000000002</v>
      </c>
      <c r="G46" s="18">
        <v>71.97</v>
      </c>
      <c r="H46" s="18">
        <f t="shared" si="0"/>
        <v>33.730624999999996</v>
      </c>
      <c r="I46" s="5"/>
      <c r="J46" s="17">
        <v>405.08479999999997</v>
      </c>
      <c r="K46" s="18">
        <v>32.584699999999998</v>
      </c>
      <c r="L46" s="18">
        <v>38.533799999999999</v>
      </c>
      <c r="M46" s="18">
        <v>36.893599999999999</v>
      </c>
      <c r="N46" s="18">
        <v>58.417999999999999</v>
      </c>
      <c r="O46" s="18">
        <f t="shared" si="1"/>
        <v>33.866949999999996</v>
      </c>
      <c r="P46" s="7"/>
      <c r="Q46" s="10"/>
      <c r="R46" s="11"/>
      <c r="S46" s="11"/>
      <c r="T46" s="26"/>
      <c r="U46" s="28">
        <f t="shared" si="5"/>
        <v>-0.18830068083923857</v>
      </c>
      <c r="V46" s="57">
        <f t="shared" si="3"/>
        <v>6.8880000000000108E-2</v>
      </c>
      <c r="W46" s="57">
        <f t="shared" si="4"/>
        <v>1.2711999999999932E-2</v>
      </c>
      <c r="X46" s="56">
        <v>500</v>
      </c>
      <c r="Y46" s="56">
        <v>400</v>
      </c>
    </row>
    <row r="47" spans="1:25" x14ac:dyDescent="0.25">
      <c r="B47" s="9"/>
      <c r="C47" s="17">
        <v>323.02999999999997</v>
      </c>
      <c r="D47" s="18">
        <v>30.331</v>
      </c>
      <c r="E47" s="18">
        <v>36.706000000000003</v>
      </c>
      <c r="F47" s="18">
        <v>35.131999999999998</v>
      </c>
      <c r="G47" s="18">
        <v>80.680000000000007</v>
      </c>
      <c r="H47" s="18">
        <f t="shared" si="0"/>
        <v>31.728000000000002</v>
      </c>
      <c r="I47" s="5"/>
      <c r="J47" s="17">
        <v>254.43360000000001</v>
      </c>
      <c r="K47" s="18">
        <v>30.656500000000001</v>
      </c>
      <c r="L47" s="18">
        <v>37.442300000000003</v>
      </c>
      <c r="M47" s="18">
        <v>35.664900000000003</v>
      </c>
      <c r="N47" s="18">
        <v>71.510300000000001</v>
      </c>
      <c r="O47" s="18">
        <f t="shared" si="1"/>
        <v>32.130775</v>
      </c>
      <c r="P47" s="7"/>
      <c r="Q47" s="10"/>
      <c r="R47" s="11"/>
      <c r="S47" s="11"/>
      <c r="T47" s="26"/>
      <c r="U47" s="28">
        <f t="shared" si="5"/>
        <v>-0.11365518096182456</v>
      </c>
      <c r="V47" s="57">
        <f t="shared" si="3"/>
        <v>7.676666666666658E-2</v>
      </c>
      <c r="W47" s="57">
        <f t="shared" si="4"/>
        <v>1.7734400000000049E-2</v>
      </c>
      <c r="X47" s="56">
        <v>300</v>
      </c>
      <c r="Y47" s="56">
        <v>250</v>
      </c>
    </row>
    <row r="48" spans="1:25" ht="16.5" thickBot="1" x14ac:dyDescent="0.3">
      <c r="B48" s="12"/>
      <c r="C48" s="19">
        <v>164.72</v>
      </c>
      <c r="D48" s="20">
        <v>27.236999999999998</v>
      </c>
      <c r="E48" s="20">
        <v>35.478000000000002</v>
      </c>
      <c r="F48" s="20">
        <v>33.697000000000003</v>
      </c>
      <c r="G48" s="20">
        <v>94.34</v>
      </c>
      <c r="H48" s="20">
        <f t="shared" si="0"/>
        <v>29.074625000000001</v>
      </c>
      <c r="I48" s="5"/>
      <c r="J48" s="19">
        <v>122.996</v>
      </c>
      <c r="K48" s="20">
        <v>27.891400000000001</v>
      </c>
      <c r="L48" s="20">
        <v>35.864199999999997</v>
      </c>
      <c r="M48" s="20">
        <v>33.802599999999998</v>
      </c>
      <c r="N48" s="20">
        <v>102.33320000000001</v>
      </c>
      <c r="O48" s="20">
        <f t="shared" si="1"/>
        <v>29.626899999999999</v>
      </c>
      <c r="P48" s="7"/>
      <c r="Q48" s="13"/>
      <c r="R48" s="14"/>
      <c r="S48" s="14"/>
      <c r="T48" s="27"/>
      <c r="U48" s="28">
        <f t="shared" si="5"/>
        <v>8.4727581089675652E-2</v>
      </c>
      <c r="V48" s="57">
        <f t="shared" si="3"/>
        <v>9.8133333333333322E-2</v>
      </c>
      <c r="W48" s="57">
        <f t="shared" si="4"/>
        <v>2.4966666666666627E-2</v>
      </c>
      <c r="X48" s="56">
        <v>150</v>
      </c>
      <c r="Y48" s="56">
        <v>120</v>
      </c>
    </row>
    <row r="49" spans="1:25" x14ac:dyDescent="0.25">
      <c r="B49" s="6" t="s">
        <v>54</v>
      </c>
      <c r="C49" s="15">
        <v>752.55</v>
      </c>
      <c r="D49" s="16">
        <v>31.818000000000001</v>
      </c>
      <c r="E49" s="16">
        <v>39.094000000000001</v>
      </c>
      <c r="F49" s="16">
        <v>39.707000000000001</v>
      </c>
      <c r="G49" s="16">
        <v>88.1</v>
      </c>
      <c r="H49" s="16">
        <f t="shared" si="0"/>
        <v>33.713625</v>
      </c>
      <c r="I49" s="5"/>
      <c r="J49" s="15">
        <v>604.36559999999997</v>
      </c>
      <c r="K49" s="16">
        <v>33.636299999999999</v>
      </c>
      <c r="L49" s="16">
        <v>41.261499999999998</v>
      </c>
      <c r="M49" s="16">
        <v>42.127699999999997</v>
      </c>
      <c r="N49" s="16">
        <v>59.107500000000002</v>
      </c>
      <c r="O49" s="16">
        <f t="shared" si="1"/>
        <v>35.650874999999999</v>
      </c>
      <c r="P49" s="7"/>
      <c r="Q49" s="8">
        <f>bdrate(C49:C52,D49:D52,J49:J52,K49:K52)</f>
        <v>-0.55719150945076845</v>
      </c>
      <c r="R49" s="8">
        <f>bdrate(C49:C52,E49:E52,J49:J52,L49:L52)</f>
        <v>-0.68850592050726145</v>
      </c>
      <c r="S49" s="8">
        <f>bdrate(C49:C52,F49:F52,J49:J52,M49:M52)</f>
        <v>-0.70155866759103147</v>
      </c>
      <c r="T49" s="25">
        <f>bdrate(C49:C52,H49:H52,J49:J52,O49:O52)</f>
        <v>-0.5796652474033932</v>
      </c>
      <c r="U49" s="28">
        <f t="shared" si="5"/>
        <v>-0.32908626560726439</v>
      </c>
      <c r="V49" s="57">
        <f t="shared" si="3"/>
        <v>5.931250000000006E-2</v>
      </c>
      <c r="W49" s="57">
        <f t="shared" si="4"/>
        <v>7.2759999999999535E-3</v>
      </c>
      <c r="X49" s="56">
        <v>800</v>
      </c>
      <c r="Y49" s="56">
        <v>600</v>
      </c>
    </row>
    <row r="50" spans="1:25" x14ac:dyDescent="0.25">
      <c r="B50" s="9"/>
      <c r="C50" s="17">
        <v>463.88</v>
      </c>
      <c r="D50" s="18">
        <v>30.17</v>
      </c>
      <c r="E50" s="18">
        <v>38.664999999999999</v>
      </c>
      <c r="F50" s="18">
        <v>39.124000000000002</v>
      </c>
      <c r="G50" s="18">
        <v>100.54</v>
      </c>
      <c r="H50" s="18">
        <f t="shared" si="0"/>
        <v>32.351125000000003</v>
      </c>
      <c r="I50" s="5"/>
      <c r="J50" s="17">
        <v>403.83920000000001</v>
      </c>
      <c r="K50" s="18">
        <v>32.382399999999997</v>
      </c>
      <c r="L50" s="18">
        <v>40.468800000000002</v>
      </c>
      <c r="M50" s="18">
        <v>41.338299999999997</v>
      </c>
      <c r="N50" s="18">
        <v>73.646699999999996</v>
      </c>
      <c r="O50" s="18">
        <f t="shared" si="1"/>
        <v>34.512687499999998</v>
      </c>
      <c r="P50" s="7"/>
      <c r="Q50" s="10"/>
      <c r="R50" s="11"/>
      <c r="S50" s="11"/>
      <c r="T50" s="26"/>
      <c r="U50" s="28">
        <f t="shared" si="5"/>
        <v>-0.26748856176646119</v>
      </c>
      <c r="V50" s="57">
        <f t="shared" si="3"/>
        <v>7.2240000000000013E-2</v>
      </c>
      <c r="W50" s="57">
        <f t="shared" si="4"/>
        <v>9.5980000000000128E-3</v>
      </c>
      <c r="X50" s="56">
        <v>500</v>
      </c>
      <c r="Y50" s="56">
        <v>400</v>
      </c>
    </row>
    <row r="51" spans="1:25" x14ac:dyDescent="0.25">
      <c r="B51" s="9"/>
      <c r="C51" s="17">
        <v>274.33999999999997</v>
      </c>
      <c r="D51" s="18">
        <v>28.361000000000001</v>
      </c>
      <c r="E51" s="18">
        <v>38.103999999999999</v>
      </c>
      <c r="F51" s="18">
        <v>38.470999999999997</v>
      </c>
      <c r="G51" s="18">
        <v>111.14</v>
      </c>
      <c r="H51" s="18">
        <f t="shared" si="0"/>
        <v>30.842624999999998</v>
      </c>
      <c r="I51" s="5"/>
      <c r="J51" s="17">
        <v>252.4776</v>
      </c>
      <c r="K51" s="18">
        <v>30.860900000000001</v>
      </c>
      <c r="L51" s="18">
        <v>39.5244</v>
      </c>
      <c r="M51" s="18">
        <v>40.261000000000003</v>
      </c>
      <c r="N51" s="18">
        <v>93.926100000000005</v>
      </c>
      <c r="O51" s="18">
        <f t="shared" si="1"/>
        <v>33.118850000000002</v>
      </c>
      <c r="P51" s="7"/>
      <c r="Q51" s="10"/>
      <c r="R51" s="11"/>
      <c r="S51" s="11"/>
      <c r="T51" s="26"/>
      <c r="U51" s="28">
        <f t="shared" si="5"/>
        <v>-0.15488482994421446</v>
      </c>
      <c r="V51" s="57">
        <f t="shared" si="3"/>
        <v>8.5533333333333419E-2</v>
      </c>
      <c r="W51" s="57">
        <f t="shared" si="4"/>
        <v>9.9103999999999807E-3</v>
      </c>
      <c r="X51" s="56">
        <v>300</v>
      </c>
      <c r="Y51" s="56">
        <v>250</v>
      </c>
    </row>
    <row r="52" spans="1:25" ht="16.5" thickBot="1" x14ac:dyDescent="0.3">
      <c r="B52" s="12"/>
      <c r="C52" s="19">
        <v>135.15</v>
      </c>
      <c r="D52" s="20">
        <v>26.088999999999999</v>
      </c>
      <c r="E52" s="20">
        <v>37.46</v>
      </c>
      <c r="F52" s="20">
        <v>37.723999999999997</v>
      </c>
      <c r="G52" s="20">
        <v>124.26</v>
      </c>
      <c r="H52" s="20">
        <f t="shared" si="0"/>
        <v>28.964749999999999</v>
      </c>
      <c r="I52" s="5"/>
      <c r="J52" s="19">
        <v>120.70959999999999</v>
      </c>
      <c r="K52" s="20">
        <v>28.351299999999998</v>
      </c>
      <c r="L52" s="20">
        <v>38.346200000000003</v>
      </c>
      <c r="M52" s="20">
        <v>38.786499999999997</v>
      </c>
      <c r="N52" s="20">
        <v>127.2534</v>
      </c>
      <c r="O52" s="20">
        <f t="shared" si="1"/>
        <v>30.9050625</v>
      </c>
      <c r="P52" s="7"/>
      <c r="Q52" s="13"/>
      <c r="R52" s="14"/>
      <c r="S52" s="14"/>
      <c r="T52" s="27"/>
      <c r="U52" s="28">
        <f t="shared" si="5"/>
        <v>2.4089811685176196E-2</v>
      </c>
      <c r="V52" s="57">
        <f t="shared" si="3"/>
        <v>9.8999999999999963E-2</v>
      </c>
      <c r="W52" s="57">
        <f t="shared" si="4"/>
        <v>5.9133333333332887E-3</v>
      </c>
      <c r="X52" s="56">
        <v>150</v>
      </c>
      <c r="Y52" s="56">
        <v>120</v>
      </c>
    </row>
    <row r="53" spans="1:25" x14ac:dyDescent="0.25">
      <c r="B53" s="6" t="s">
        <v>55</v>
      </c>
      <c r="C53" s="29">
        <v>835.28</v>
      </c>
      <c r="D53" s="30">
        <v>33.066000000000003</v>
      </c>
      <c r="E53" s="30">
        <v>36.606000000000002</v>
      </c>
      <c r="F53" s="30">
        <v>37.048999999999999</v>
      </c>
      <c r="G53" s="16">
        <v>79.3</v>
      </c>
      <c r="H53" s="16">
        <f t="shared" si="0"/>
        <v>34.006374999999998</v>
      </c>
      <c r="I53" s="5"/>
      <c r="J53" s="29">
        <v>643.15440000000001</v>
      </c>
      <c r="K53" s="30">
        <v>33.180500000000002</v>
      </c>
      <c r="L53" s="30">
        <v>38.228499999999997</v>
      </c>
      <c r="M53" s="30">
        <v>38.942100000000003</v>
      </c>
      <c r="N53" s="16">
        <v>54.353700000000003</v>
      </c>
      <c r="O53" s="16">
        <f t="shared" si="1"/>
        <v>34.531700000000001</v>
      </c>
      <c r="P53" s="7"/>
      <c r="Q53" s="8">
        <f>bdrate(C53:C56,D53:D56,J53:J56,K53:K56)</f>
        <v>-0.29558314806381214</v>
      </c>
      <c r="R53" s="8">
        <f>bdrate(C53:C56,E53:E56,J53:J56,L53:L56)</f>
        <v>-0.59043644270155471</v>
      </c>
      <c r="S53" s="8">
        <f>bdrate(C53:C56,F53:F56,J53:J56,M53:M56)</f>
        <v>-0.62690632933670787</v>
      </c>
      <c r="T53" s="25">
        <f>bdrate(C53:C56,H53:H56,J53:J56,O53:O56)</f>
        <v>-0.35974208387067574</v>
      </c>
      <c r="U53" s="28">
        <f t="shared" si="5"/>
        <v>-0.31458133669609073</v>
      </c>
      <c r="V53" s="57">
        <f t="shared" si="3"/>
        <v>4.4099999999999966E-2</v>
      </c>
      <c r="W53" s="57">
        <f t="shared" si="4"/>
        <v>7.1924000000000016E-2</v>
      </c>
      <c r="X53" s="56">
        <v>800</v>
      </c>
      <c r="Y53" s="56">
        <v>600</v>
      </c>
    </row>
    <row r="54" spans="1:25" x14ac:dyDescent="0.25">
      <c r="B54" s="9"/>
      <c r="C54" s="31">
        <v>521.21</v>
      </c>
      <c r="D54" s="32">
        <v>31.122</v>
      </c>
      <c r="E54" s="32">
        <v>35.563000000000002</v>
      </c>
      <c r="F54" s="32">
        <v>36.020000000000003</v>
      </c>
      <c r="G54" s="18">
        <v>87</v>
      </c>
      <c r="H54" s="18">
        <f t="shared" si="0"/>
        <v>32.289375</v>
      </c>
      <c r="I54" s="5"/>
      <c r="J54" s="31">
        <v>427.54719999999998</v>
      </c>
      <c r="K54" s="32">
        <v>31.614899999999999</v>
      </c>
      <c r="L54" s="32">
        <v>37.187399999999997</v>
      </c>
      <c r="M54" s="32">
        <v>37.8996</v>
      </c>
      <c r="N54" s="18">
        <v>64.926599999999993</v>
      </c>
      <c r="O54" s="18">
        <f t="shared" si="1"/>
        <v>33.097049999999996</v>
      </c>
      <c r="P54" s="7"/>
      <c r="Q54" s="10"/>
      <c r="R54" s="11"/>
      <c r="S54" s="11"/>
      <c r="T54" s="26"/>
      <c r="U54" s="28">
        <f t="shared" si="5"/>
        <v>-0.2537172413793104</v>
      </c>
      <c r="V54" s="57">
        <f t="shared" si="3"/>
        <v>4.2420000000000076E-2</v>
      </c>
      <c r="W54" s="57">
        <f t="shared" si="4"/>
        <v>6.8867999999999943E-2</v>
      </c>
      <c r="X54" s="56">
        <v>500</v>
      </c>
      <c r="Y54" s="56">
        <v>400</v>
      </c>
    </row>
    <row r="55" spans="1:25" x14ac:dyDescent="0.25">
      <c r="B55" s="9"/>
      <c r="C55" s="31">
        <v>311.38</v>
      </c>
      <c r="D55" s="32">
        <v>29.209</v>
      </c>
      <c r="E55" s="32">
        <v>34.597999999999999</v>
      </c>
      <c r="F55" s="32">
        <v>35.082999999999998</v>
      </c>
      <c r="G55" s="18">
        <v>96.82</v>
      </c>
      <c r="H55" s="18">
        <f t="shared" si="0"/>
        <v>30.616874999999997</v>
      </c>
      <c r="I55" s="5"/>
      <c r="J55" s="31">
        <v>266.7056</v>
      </c>
      <c r="K55" s="32">
        <v>29.956299999999999</v>
      </c>
      <c r="L55" s="32">
        <v>36.056399999999996</v>
      </c>
      <c r="M55" s="32">
        <v>36.7361</v>
      </c>
      <c r="N55" s="18">
        <v>79.783000000000001</v>
      </c>
      <c r="O55" s="18">
        <f t="shared" si="1"/>
        <v>31.566287499999998</v>
      </c>
      <c r="P55" s="7"/>
      <c r="Q55" s="10"/>
      <c r="R55" s="11"/>
      <c r="S55" s="11"/>
      <c r="T55" s="26"/>
      <c r="U55" s="28">
        <f t="shared" si="5"/>
        <v>-0.17596570956413957</v>
      </c>
      <c r="V55" s="57">
        <f t="shared" si="3"/>
        <v>3.7933333333333319E-2</v>
      </c>
      <c r="W55" s="57">
        <f t="shared" si="4"/>
        <v>6.6822400000000018E-2</v>
      </c>
      <c r="X55" s="56">
        <v>300</v>
      </c>
      <c r="Y55" s="56">
        <v>250</v>
      </c>
    </row>
    <row r="56" spans="1:25" ht="16.5" thickBot="1" x14ac:dyDescent="0.3">
      <c r="B56" s="12"/>
      <c r="C56" s="33">
        <v>153.04</v>
      </c>
      <c r="D56" s="34">
        <v>26.792999999999999</v>
      </c>
      <c r="E56" s="34">
        <v>33.673000000000002</v>
      </c>
      <c r="F56" s="34">
        <v>34.192</v>
      </c>
      <c r="G56" s="20">
        <v>112.11</v>
      </c>
      <c r="H56" s="20">
        <f t="shared" si="0"/>
        <v>28.577874999999999</v>
      </c>
      <c r="I56" s="5"/>
      <c r="J56" s="33">
        <v>127.91759999999999</v>
      </c>
      <c r="K56" s="34">
        <v>27.517499999999998</v>
      </c>
      <c r="L56" s="34">
        <v>34.535499999999999</v>
      </c>
      <c r="M56" s="34">
        <v>35.145400000000002</v>
      </c>
      <c r="N56" s="20">
        <v>113.27589999999999</v>
      </c>
      <c r="O56" s="20">
        <f t="shared" si="1"/>
        <v>29.348237499999996</v>
      </c>
      <c r="P56" s="7"/>
      <c r="Q56" s="13"/>
      <c r="R56" s="14"/>
      <c r="S56" s="14"/>
      <c r="T56" s="27"/>
      <c r="U56" s="28">
        <f t="shared" si="5"/>
        <v>1.0399607528320342E-2</v>
      </c>
      <c r="V56" s="57">
        <f t="shared" si="3"/>
        <v>2.0266666666666613E-2</v>
      </c>
      <c r="W56" s="57">
        <f t="shared" si="4"/>
        <v>6.5979999999999941E-2</v>
      </c>
      <c r="X56" s="56">
        <v>150</v>
      </c>
      <c r="Y56" s="56">
        <v>120</v>
      </c>
    </row>
    <row r="57" spans="1:25" x14ac:dyDescent="0.25">
      <c r="B57" s="6" t="s">
        <v>56</v>
      </c>
      <c r="C57" s="15">
        <v>767.36</v>
      </c>
      <c r="D57" s="16">
        <v>34.616</v>
      </c>
      <c r="E57" s="16">
        <v>37.116999999999997</v>
      </c>
      <c r="F57" s="16">
        <v>38.189</v>
      </c>
      <c r="G57" s="16">
        <v>51.01</v>
      </c>
      <c r="H57" s="16">
        <f t="shared" si="0"/>
        <v>35.375250000000001</v>
      </c>
      <c r="I57" s="5"/>
      <c r="J57" s="15">
        <v>605.52719999999999</v>
      </c>
      <c r="K57" s="16">
        <v>33.870600000000003</v>
      </c>
      <c r="L57" s="16">
        <v>37.7288</v>
      </c>
      <c r="M57" s="16">
        <v>38.817599999999999</v>
      </c>
      <c r="N57" s="16">
        <v>36.670299999999997</v>
      </c>
      <c r="O57" s="16">
        <f t="shared" si="1"/>
        <v>34.971250000000005</v>
      </c>
      <c r="P57" s="7"/>
      <c r="Q57" s="8">
        <f>bdrate(C57:C60,D57:D60,J57:J60,K57:K60)</f>
        <v>-0.14342987676394259</v>
      </c>
      <c r="R57" s="8">
        <f>bdrate(C57:C60,E57:E60,J57:J60,L57:L60)</f>
        <v>-0.34971905173407847</v>
      </c>
      <c r="S57" s="8">
        <f>bdrate(C57:C60,F57:F60,J57:J60,M57:M60)</f>
        <v>-0.35067509872060765</v>
      </c>
      <c r="T57" s="25">
        <f>bdrate(C57:C60,H57:H60,J57:J60,O57:O60)</f>
        <v>-0.17836129184111638</v>
      </c>
      <c r="U57" s="28">
        <f t="shared" si="5"/>
        <v>-0.2811154675553813</v>
      </c>
      <c r="V57" s="57">
        <f t="shared" si="3"/>
        <v>4.0799999999999982E-2</v>
      </c>
      <c r="W57" s="57">
        <f t="shared" si="4"/>
        <v>9.2119999999999893E-3</v>
      </c>
      <c r="X57" s="56">
        <v>800</v>
      </c>
      <c r="Y57" s="56">
        <v>600</v>
      </c>
    </row>
    <row r="58" spans="1:25" x14ac:dyDescent="0.25">
      <c r="B58" s="9"/>
      <c r="C58" s="17">
        <v>482.27</v>
      </c>
      <c r="D58" s="18">
        <v>32.369</v>
      </c>
      <c r="E58" s="18">
        <v>35.902999999999999</v>
      </c>
      <c r="F58" s="18">
        <v>36.963999999999999</v>
      </c>
      <c r="G58" s="18">
        <v>57.19</v>
      </c>
      <c r="H58" s="18">
        <f t="shared" si="0"/>
        <v>33.385125000000002</v>
      </c>
      <c r="I58" s="5"/>
      <c r="J58" s="17">
        <v>403.67599999999999</v>
      </c>
      <c r="K58" s="18">
        <v>32.028399999999998</v>
      </c>
      <c r="L58" s="18">
        <v>36.571199999999997</v>
      </c>
      <c r="M58" s="18">
        <v>37.690199999999997</v>
      </c>
      <c r="N58" s="18">
        <v>43.358899999999998</v>
      </c>
      <c r="O58" s="18">
        <f t="shared" si="1"/>
        <v>33.303974999999994</v>
      </c>
      <c r="P58" s="7"/>
      <c r="Q58" s="10"/>
      <c r="R58" s="11"/>
      <c r="S58" s="11"/>
      <c r="T58" s="26"/>
      <c r="U58" s="28">
        <f t="shared" si="5"/>
        <v>-0.24184472809931806</v>
      </c>
      <c r="V58" s="57">
        <f t="shared" si="3"/>
        <v>3.5460000000000033E-2</v>
      </c>
      <c r="W58" s="57">
        <f t="shared" si="4"/>
        <v>9.189999999999969E-3</v>
      </c>
      <c r="X58" s="56">
        <v>500</v>
      </c>
      <c r="Y58" s="56">
        <v>400</v>
      </c>
    </row>
    <row r="59" spans="1:25" x14ac:dyDescent="0.25">
      <c r="B59" s="9"/>
      <c r="C59" s="17">
        <v>290.08</v>
      </c>
      <c r="D59" s="18">
        <v>30.13</v>
      </c>
      <c r="E59" s="18">
        <v>34.808</v>
      </c>
      <c r="F59" s="18">
        <v>35.844000000000001</v>
      </c>
      <c r="G59" s="18">
        <v>65.48</v>
      </c>
      <c r="H59" s="18">
        <f t="shared" si="0"/>
        <v>31.428999999999998</v>
      </c>
      <c r="I59" s="5"/>
      <c r="J59" s="17">
        <v>252.88560000000001</v>
      </c>
      <c r="K59" s="18">
        <v>30.223700000000001</v>
      </c>
      <c r="L59" s="18">
        <v>35.4133</v>
      </c>
      <c r="M59" s="18">
        <v>36.466500000000003</v>
      </c>
      <c r="N59" s="18">
        <v>54.279000000000003</v>
      </c>
      <c r="O59" s="18">
        <f t="shared" si="1"/>
        <v>31.652749999999997</v>
      </c>
      <c r="P59" s="7"/>
      <c r="Q59" s="10"/>
      <c r="R59" s="11"/>
      <c r="S59" s="11"/>
      <c r="T59" s="26"/>
      <c r="U59" s="28">
        <f t="shared" si="5"/>
        <v>-0.17105986560781919</v>
      </c>
      <c r="V59" s="57">
        <f t="shared" si="3"/>
        <v>3.3066666666666716E-2</v>
      </c>
      <c r="W59" s="57">
        <f t="shared" si="4"/>
        <v>1.1542400000000043E-2</v>
      </c>
      <c r="X59" s="56">
        <v>300</v>
      </c>
      <c r="Y59" s="56">
        <v>250</v>
      </c>
    </row>
    <row r="60" spans="1:25" ht="16.5" thickBot="1" x14ac:dyDescent="0.3">
      <c r="B60" s="12"/>
      <c r="C60" s="19">
        <v>145.19</v>
      </c>
      <c r="D60" s="20">
        <v>27.254999999999999</v>
      </c>
      <c r="E60" s="20">
        <v>33.515999999999998</v>
      </c>
      <c r="F60" s="20">
        <v>34.485999999999997</v>
      </c>
      <c r="G60" s="20">
        <v>79.38</v>
      </c>
      <c r="H60" s="20">
        <f t="shared" si="0"/>
        <v>28.941499999999998</v>
      </c>
      <c r="I60" s="5"/>
      <c r="J60" s="19">
        <v>122.1144</v>
      </c>
      <c r="K60" s="20">
        <v>27.742799999999999</v>
      </c>
      <c r="L60" s="20">
        <v>33.941800000000001</v>
      </c>
      <c r="M60" s="20">
        <v>34.902099999999997</v>
      </c>
      <c r="N60" s="20">
        <v>77.140699999999995</v>
      </c>
      <c r="O60" s="20">
        <f t="shared" si="1"/>
        <v>29.412587499999997</v>
      </c>
      <c r="P60" s="7"/>
      <c r="Q60" s="13"/>
      <c r="R60" s="14"/>
      <c r="S60" s="14"/>
      <c r="T60" s="27"/>
      <c r="U60" s="28">
        <f t="shared" si="5"/>
        <v>-2.8209876543209878E-2</v>
      </c>
      <c r="V60" s="57">
        <f t="shared" si="3"/>
        <v>3.2066666666666681E-2</v>
      </c>
      <c r="W60" s="57">
        <f t="shared" si="4"/>
        <v>1.7620000000000028E-2</v>
      </c>
      <c r="X60" s="56">
        <v>150</v>
      </c>
      <c r="Y60" s="56">
        <v>120</v>
      </c>
    </row>
    <row r="61" spans="1:25" x14ac:dyDescent="0.25">
      <c r="A61" s="6" t="s">
        <v>41</v>
      </c>
      <c r="B61" s="6" t="s">
        <v>57</v>
      </c>
      <c r="C61" s="15">
        <v>1905.11</v>
      </c>
      <c r="D61" s="16">
        <v>40.880000000000003</v>
      </c>
      <c r="E61" s="16">
        <v>44.57</v>
      </c>
      <c r="F61" s="16">
        <v>45.66</v>
      </c>
      <c r="G61" s="16">
        <v>12.65</v>
      </c>
      <c r="H61" s="16">
        <f t="shared" si="0"/>
        <v>41.938749999999999</v>
      </c>
      <c r="I61" s="5"/>
      <c r="J61" s="15">
        <v>1494.3152</v>
      </c>
      <c r="K61" s="16">
        <v>41.3508</v>
      </c>
      <c r="L61" s="16">
        <v>45.814900000000002</v>
      </c>
      <c r="M61" s="16">
        <v>47.022599999999997</v>
      </c>
      <c r="N61" s="16">
        <v>15.7315</v>
      </c>
      <c r="O61" s="16">
        <f t="shared" si="1"/>
        <v>42.617787500000006</v>
      </c>
      <c r="P61" s="7"/>
      <c r="Q61" s="8">
        <f>bdrate(C61:C64,D61:D64,J61:J64,K61:K64)</f>
        <v>-0.40649802532281298</v>
      </c>
      <c r="R61" s="8">
        <f>bdrate(C61:C64,E61:E64,J61:J64,L61:L64)</f>
        <v>-0.54872751373083273</v>
      </c>
      <c r="S61" s="8">
        <f>bdrate(C61:C64,F61:F64,J61:J64,M61:M64)</f>
        <v>-0.56789820253636014</v>
      </c>
      <c r="T61" s="25">
        <f>bdrate(C61:C64,H61:H64,J61:J64,O61:O64)</f>
        <v>-0.43884146672733759</v>
      </c>
      <c r="U61" s="28">
        <f t="shared" si="5"/>
        <v>0.24359683794466402</v>
      </c>
      <c r="V61" s="57">
        <f t="shared" si="3"/>
        <v>9.2804761904761959E-2</v>
      </c>
      <c r="W61" s="57">
        <f t="shared" si="4"/>
        <v>3.789866666666664E-3</v>
      </c>
      <c r="X61" s="56">
        <v>2100</v>
      </c>
      <c r="Y61" s="56">
        <v>1500</v>
      </c>
    </row>
    <row r="62" spans="1:25" x14ac:dyDescent="0.25">
      <c r="A62" s="9" t="s">
        <v>42</v>
      </c>
      <c r="B62" s="9"/>
      <c r="C62" s="17">
        <v>1243.27</v>
      </c>
      <c r="D62" s="18">
        <v>39.487000000000002</v>
      </c>
      <c r="E62" s="18">
        <v>43.392000000000003</v>
      </c>
      <c r="F62" s="18">
        <v>44.381</v>
      </c>
      <c r="G62" s="18">
        <v>13.28</v>
      </c>
      <c r="H62" s="18">
        <f t="shared" si="0"/>
        <v>40.586875000000006</v>
      </c>
      <c r="I62" s="5"/>
      <c r="J62" s="17">
        <v>984.78319999999997</v>
      </c>
      <c r="K62" s="18">
        <v>40.255099999999999</v>
      </c>
      <c r="L62" s="18">
        <v>44.865600000000001</v>
      </c>
      <c r="M62" s="18">
        <v>46.0745</v>
      </c>
      <c r="N62" s="18">
        <v>17.73</v>
      </c>
      <c r="O62" s="18">
        <f t="shared" si="1"/>
        <v>41.558837500000003</v>
      </c>
      <c r="P62" s="7"/>
      <c r="Q62" s="10"/>
      <c r="R62" s="11"/>
      <c r="S62" s="11"/>
      <c r="T62" s="26"/>
      <c r="U62" s="28">
        <f t="shared" si="5"/>
        <v>0.33509036144578325</v>
      </c>
      <c r="V62" s="57">
        <f t="shared" si="3"/>
        <v>0.11195000000000001</v>
      </c>
      <c r="W62" s="57">
        <f t="shared" si="4"/>
        <v>1.5216800000000036E-2</v>
      </c>
      <c r="X62" s="56">
        <v>1400</v>
      </c>
      <c r="Y62" s="56">
        <v>1000</v>
      </c>
    </row>
    <row r="63" spans="1:25" x14ac:dyDescent="0.25">
      <c r="B63" s="9"/>
      <c r="C63" s="17">
        <v>741.89</v>
      </c>
      <c r="D63" s="18">
        <v>37.174999999999997</v>
      </c>
      <c r="E63" s="18">
        <v>41.859000000000002</v>
      </c>
      <c r="F63" s="18">
        <v>42.862000000000002</v>
      </c>
      <c r="G63" s="18">
        <v>13.97</v>
      </c>
      <c r="H63" s="18">
        <f t="shared" si="0"/>
        <v>38.471375000000002</v>
      </c>
      <c r="I63" s="5"/>
      <c r="J63" s="17">
        <v>574.80799999999999</v>
      </c>
      <c r="K63" s="18">
        <v>38.377200000000002</v>
      </c>
      <c r="L63" s="18">
        <v>43.377400000000002</v>
      </c>
      <c r="M63" s="18">
        <v>44.549300000000002</v>
      </c>
      <c r="N63" s="18">
        <v>20.984200000000001</v>
      </c>
      <c r="O63" s="18">
        <f t="shared" si="1"/>
        <v>39.773737500000003</v>
      </c>
      <c r="P63" s="7"/>
      <c r="Q63" s="10"/>
      <c r="R63" s="11"/>
      <c r="S63" s="11"/>
      <c r="T63" s="26"/>
      <c r="U63" s="28">
        <f t="shared" si="5"/>
        <v>0.50209019327129567</v>
      </c>
      <c r="V63" s="57">
        <f t="shared" si="3"/>
        <v>0.12718823529411766</v>
      </c>
      <c r="W63" s="57">
        <f t="shared" si="4"/>
        <v>4.1986666666666679E-2</v>
      </c>
      <c r="X63" s="56">
        <v>850</v>
      </c>
      <c r="Y63" s="56">
        <v>600</v>
      </c>
    </row>
    <row r="64" spans="1:25" ht="16.5" thickBot="1" x14ac:dyDescent="0.3">
      <c r="B64" s="12"/>
      <c r="C64" s="19">
        <v>342.31</v>
      </c>
      <c r="D64" s="20">
        <v>32.957000000000001</v>
      </c>
      <c r="E64" s="20">
        <v>39.784999999999997</v>
      </c>
      <c r="F64" s="20">
        <v>40.609000000000002</v>
      </c>
      <c r="G64" s="20">
        <v>14.83</v>
      </c>
      <c r="H64" s="20">
        <f t="shared" si="0"/>
        <v>34.767000000000003</v>
      </c>
      <c r="I64" s="5"/>
      <c r="J64" s="19">
        <v>281.50319999999999</v>
      </c>
      <c r="K64" s="20">
        <v>35.328800000000001</v>
      </c>
      <c r="L64" s="20">
        <v>41.579799999999999</v>
      </c>
      <c r="M64" s="20">
        <v>42.572800000000001</v>
      </c>
      <c r="N64" s="20">
        <v>26.251300000000001</v>
      </c>
      <c r="O64" s="20">
        <f t="shared" si="1"/>
        <v>37.015675000000002</v>
      </c>
      <c r="P64" s="7"/>
      <c r="Q64" s="13"/>
      <c r="R64" s="14"/>
      <c r="S64" s="14"/>
      <c r="T64" s="27"/>
      <c r="U64" s="28">
        <f t="shared" si="5"/>
        <v>0.77014834794335807</v>
      </c>
      <c r="V64" s="57">
        <f t="shared" si="3"/>
        <v>0.14422499999999999</v>
      </c>
      <c r="W64" s="57">
        <f t="shared" si="4"/>
        <v>6.1656000000000023E-2</v>
      </c>
      <c r="X64" s="56">
        <v>400</v>
      </c>
      <c r="Y64" s="56">
        <v>300</v>
      </c>
    </row>
    <row r="65" spans="1:25" x14ac:dyDescent="0.25">
      <c r="B65" s="6" t="s">
        <v>58</v>
      </c>
      <c r="C65" s="15">
        <v>1994.16</v>
      </c>
      <c r="D65" s="16">
        <v>42.075000000000003</v>
      </c>
      <c r="E65" s="16">
        <v>46.692999999999998</v>
      </c>
      <c r="F65" s="16">
        <v>47.18</v>
      </c>
      <c r="G65" s="16">
        <v>12.23</v>
      </c>
      <c r="H65" s="16">
        <f t="shared" si="0"/>
        <v>43.290375000000004</v>
      </c>
      <c r="I65" s="5"/>
      <c r="J65" s="15">
        <v>1477.9767999999999</v>
      </c>
      <c r="K65" s="16">
        <v>42.629199999999997</v>
      </c>
      <c r="L65" s="16">
        <v>47.865499999999997</v>
      </c>
      <c r="M65" s="16">
        <v>48.527700000000003</v>
      </c>
      <c r="N65" s="16">
        <v>17.163</v>
      </c>
      <c r="O65" s="16">
        <f t="shared" si="1"/>
        <v>44.021049999999995</v>
      </c>
      <c r="P65" s="7"/>
      <c r="Q65" s="8">
        <f>bdrate(C65:C68,D65:D68,J65:J68,K65:K68)</f>
        <v>-0.54663990882656055</v>
      </c>
      <c r="R65" s="8">
        <f>bdrate(C65:C68,E65:E68,J65:J68,L65:L68)</f>
        <v>-0.69481977955040419</v>
      </c>
      <c r="S65" s="8">
        <f>bdrate(C65:C68,F65:F68,J65:J68,M65:M68)</f>
        <v>-0.72234185070327872</v>
      </c>
      <c r="T65" s="25">
        <f>bdrate(C65:C68,H65:H68,J65:J68,O65:O68)</f>
        <v>-0.59385419884494883</v>
      </c>
      <c r="U65" s="28">
        <f t="shared" ref="U65:U72" si="6">(N65-G65)/G65</f>
        <v>0.40335241210139</v>
      </c>
      <c r="V65" s="57">
        <f t="shared" si="3"/>
        <v>5.0399999999999959E-2</v>
      </c>
      <c r="W65" s="57">
        <f t="shared" ref="W65:W72" si="7">ABS(J65-Y65)/Y65</f>
        <v>1.4682133333333392E-2</v>
      </c>
      <c r="X65" s="56">
        <v>2100</v>
      </c>
      <c r="Y65" s="56">
        <v>1500</v>
      </c>
    </row>
    <row r="66" spans="1:25" x14ac:dyDescent="0.25">
      <c r="B66" s="9"/>
      <c r="C66" s="17">
        <v>1301.92</v>
      </c>
      <c r="D66" s="18">
        <v>41.305999999999997</v>
      </c>
      <c r="E66" s="18">
        <v>45.759</v>
      </c>
      <c r="F66" s="18">
        <v>46.107999999999997</v>
      </c>
      <c r="G66" s="18">
        <v>12.94</v>
      </c>
      <c r="H66" s="18">
        <f t="shared" si="0"/>
        <v>42.462874999999997</v>
      </c>
      <c r="I66" s="5"/>
      <c r="J66" s="17">
        <v>971.61120000000005</v>
      </c>
      <c r="K66" s="18">
        <v>42.067399999999999</v>
      </c>
      <c r="L66" s="18">
        <v>47.371000000000002</v>
      </c>
      <c r="M66" s="18">
        <v>47.998100000000001</v>
      </c>
      <c r="N66" s="18">
        <v>20.0716</v>
      </c>
      <c r="O66" s="18">
        <f t="shared" si="1"/>
        <v>43.471687500000002</v>
      </c>
      <c r="P66" s="7"/>
      <c r="Q66" s="10"/>
      <c r="R66" s="11"/>
      <c r="S66" s="11"/>
      <c r="T66" s="26"/>
      <c r="U66" s="28">
        <f t="shared" si="6"/>
        <v>0.55112828438949002</v>
      </c>
      <c r="V66" s="57">
        <f t="shared" ref="V66:V72" si="8">ABS(C66-X66)/X66</f>
        <v>7.0057142857142804E-2</v>
      </c>
      <c r="W66" s="57">
        <f t="shared" si="7"/>
        <v>2.8388799999999947E-2</v>
      </c>
      <c r="X66" s="56">
        <v>1400</v>
      </c>
      <c r="Y66" s="56">
        <v>1000</v>
      </c>
    </row>
    <row r="67" spans="1:25" x14ac:dyDescent="0.25">
      <c r="B67" s="9"/>
      <c r="C67" s="17">
        <v>766.79</v>
      </c>
      <c r="D67" s="18">
        <v>39.951999999999998</v>
      </c>
      <c r="E67" s="18">
        <v>44.436</v>
      </c>
      <c r="F67" s="18">
        <v>44.881999999999998</v>
      </c>
      <c r="G67" s="18">
        <v>13.66</v>
      </c>
      <c r="H67" s="18">
        <f t="shared" si="0"/>
        <v>41.128749999999997</v>
      </c>
      <c r="I67" s="5"/>
      <c r="J67" s="17">
        <v>577.4384</v>
      </c>
      <c r="K67" s="18">
        <v>41.207999999999998</v>
      </c>
      <c r="L67" s="18">
        <v>46.568800000000003</v>
      </c>
      <c r="M67" s="18">
        <v>47.177500000000002</v>
      </c>
      <c r="N67" s="18">
        <v>22.994700000000002</v>
      </c>
      <c r="O67" s="18">
        <f t="shared" si="1"/>
        <v>42.624287500000001</v>
      </c>
      <c r="P67" s="7"/>
      <c r="Q67" s="10"/>
      <c r="R67" s="11"/>
      <c r="S67" s="11"/>
      <c r="T67" s="26"/>
      <c r="U67" s="28">
        <f t="shared" si="6"/>
        <v>0.68336017569546126</v>
      </c>
      <c r="V67" s="57">
        <f t="shared" si="8"/>
        <v>9.7894117647058868E-2</v>
      </c>
      <c r="W67" s="57">
        <f t="shared" si="7"/>
        <v>3.7602666666666666E-2</v>
      </c>
      <c r="X67" s="56">
        <v>850</v>
      </c>
      <c r="Y67" s="56">
        <v>600</v>
      </c>
    </row>
    <row r="68" spans="1:25" ht="16.5" thickBot="1" x14ac:dyDescent="0.3">
      <c r="B68" s="12"/>
      <c r="C68" s="19">
        <v>340.83</v>
      </c>
      <c r="D68" s="20">
        <v>36.735999999999997</v>
      </c>
      <c r="E68" s="20">
        <v>42.07</v>
      </c>
      <c r="F68" s="20">
        <v>42.863</v>
      </c>
      <c r="G68" s="20">
        <v>14.72</v>
      </c>
      <c r="H68" s="20">
        <f t="shared" si="0"/>
        <v>38.168624999999999</v>
      </c>
      <c r="I68" s="5"/>
      <c r="J68" s="19">
        <v>281.16320000000002</v>
      </c>
      <c r="K68" s="20">
        <v>39.445900000000002</v>
      </c>
      <c r="L68" s="20">
        <v>44.796599999999998</v>
      </c>
      <c r="M68" s="20">
        <v>45.404800000000002</v>
      </c>
      <c r="N68" s="20">
        <v>25.707999999999998</v>
      </c>
      <c r="O68" s="20">
        <f t="shared" si="1"/>
        <v>40.859600000000007</v>
      </c>
      <c r="P68" s="7"/>
      <c r="Q68" s="13"/>
      <c r="R68" s="14"/>
      <c r="S68" s="14"/>
      <c r="T68" s="27"/>
      <c r="U68" s="28">
        <f t="shared" si="6"/>
        <v>0.74646739130434769</v>
      </c>
      <c r="V68" s="57">
        <f t="shared" si="8"/>
        <v>0.14792500000000003</v>
      </c>
      <c r="W68" s="57">
        <f t="shared" si="7"/>
        <v>6.278933333333328E-2</v>
      </c>
      <c r="X68" s="56">
        <v>400</v>
      </c>
      <c r="Y68" s="56">
        <v>300</v>
      </c>
    </row>
    <row r="69" spans="1:25" x14ac:dyDescent="0.25">
      <c r="B69" s="6" t="s">
        <v>59</v>
      </c>
      <c r="C69" s="15">
        <v>2083.66</v>
      </c>
      <c r="D69" s="16">
        <v>41.972000000000001</v>
      </c>
      <c r="E69" s="16">
        <v>45.753999999999998</v>
      </c>
      <c r="F69" s="16">
        <v>46.457999999999998</v>
      </c>
      <c r="G69" s="16">
        <v>11.61</v>
      </c>
      <c r="H69" s="16">
        <f t="shared" si="0"/>
        <v>43.005499999999998</v>
      </c>
      <c r="I69" s="5"/>
      <c r="J69" s="15">
        <v>1542.1432</v>
      </c>
      <c r="K69" s="16">
        <v>42.494900000000001</v>
      </c>
      <c r="L69" s="16">
        <v>46.9236</v>
      </c>
      <c r="M69" s="16">
        <v>47.825899999999997</v>
      </c>
      <c r="N69" s="16">
        <v>15.1607</v>
      </c>
      <c r="O69" s="16">
        <f t="shared" si="1"/>
        <v>43.714862500000002</v>
      </c>
      <c r="P69" s="7"/>
      <c r="Q69" s="8">
        <f>bdrate(C69:C72,D69:D72,J69:J72,K69:K72)</f>
        <v>-0.48896269898450595</v>
      </c>
      <c r="R69" s="8">
        <f>bdrate(C69:C72,E69:E72,J69:J72,L69:L72)</f>
        <v>-0.60982104666386894</v>
      </c>
      <c r="S69" s="8">
        <f>bdrate(C69:C72,F69:F72,J69:J72,M69:M72)</f>
        <v>-0.63805604706463059</v>
      </c>
      <c r="T69" s="25">
        <f>bdrate(C69:C72,H69:H72,J69:J72,O69:O72)</f>
        <v>-0.52299601095081605</v>
      </c>
      <c r="U69" s="28">
        <f t="shared" si="6"/>
        <v>0.30583118001722664</v>
      </c>
      <c r="V69" s="57">
        <f t="shared" si="8"/>
        <v>7.78095238095245E-3</v>
      </c>
      <c r="W69" s="57">
        <f t="shared" si="7"/>
        <v>2.8095466666666652E-2</v>
      </c>
      <c r="X69" s="56">
        <v>2100</v>
      </c>
      <c r="Y69" s="56">
        <v>1500</v>
      </c>
    </row>
    <row r="70" spans="1:25" x14ac:dyDescent="0.25">
      <c r="B70" s="9"/>
      <c r="C70" s="17">
        <v>1372.19</v>
      </c>
      <c r="D70" s="18">
        <v>40.853000000000002</v>
      </c>
      <c r="E70" s="18">
        <v>44.667999999999999</v>
      </c>
      <c r="F70" s="18">
        <v>45.323</v>
      </c>
      <c r="G70" s="18">
        <v>12.33</v>
      </c>
      <c r="H70" s="18">
        <f t="shared" si="0"/>
        <v>41.888624999999998</v>
      </c>
      <c r="I70" s="5"/>
      <c r="J70" s="17">
        <v>1014.0768</v>
      </c>
      <c r="K70" s="18">
        <v>41.68</v>
      </c>
      <c r="L70" s="18">
        <v>46.207099999999997</v>
      </c>
      <c r="M70" s="18">
        <v>47.0777</v>
      </c>
      <c r="N70" s="18">
        <v>16.4514</v>
      </c>
      <c r="O70" s="18">
        <f t="shared" si="1"/>
        <v>42.9206</v>
      </c>
      <c r="P70" s="7"/>
      <c r="Q70" s="10"/>
      <c r="R70" s="11"/>
      <c r="S70" s="11"/>
      <c r="T70" s="26"/>
      <c r="U70" s="28">
        <f t="shared" si="6"/>
        <v>0.33425790754257906</v>
      </c>
      <c r="V70" s="57">
        <f t="shared" si="8"/>
        <v>1.9864285714285675E-2</v>
      </c>
      <c r="W70" s="57">
        <f t="shared" si="7"/>
        <v>1.4076800000000049E-2</v>
      </c>
      <c r="X70" s="56">
        <v>1400</v>
      </c>
      <c r="Y70" s="56">
        <v>1000</v>
      </c>
    </row>
    <row r="71" spans="1:25" x14ac:dyDescent="0.25">
      <c r="B71" s="9"/>
      <c r="C71" s="17">
        <v>817.76</v>
      </c>
      <c r="D71" s="18">
        <v>38.999000000000002</v>
      </c>
      <c r="E71" s="18">
        <v>43.054000000000002</v>
      </c>
      <c r="F71" s="18">
        <v>43.749000000000002</v>
      </c>
      <c r="G71" s="18">
        <v>13.19</v>
      </c>
      <c r="H71" s="18">
        <f t="shared" si="0"/>
        <v>40.099625000000003</v>
      </c>
      <c r="I71" s="5"/>
      <c r="J71" s="17">
        <v>605.58960000000002</v>
      </c>
      <c r="K71" s="18">
        <v>40.362699999999997</v>
      </c>
      <c r="L71" s="18">
        <v>45.003</v>
      </c>
      <c r="M71" s="18">
        <v>45.888100000000001</v>
      </c>
      <c r="N71" s="18">
        <v>19.804600000000001</v>
      </c>
      <c r="O71" s="18">
        <f t="shared" si="1"/>
        <v>41.633412499999999</v>
      </c>
      <c r="P71" s="7"/>
      <c r="Q71" s="10"/>
      <c r="R71" s="11"/>
      <c r="S71" s="11"/>
      <c r="T71" s="26"/>
      <c r="U71" s="28">
        <f t="shared" si="6"/>
        <v>0.5014859742228962</v>
      </c>
      <c r="V71" s="57">
        <f t="shared" si="8"/>
        <v>3.7929411764705892E-2</v>
      </c>
      <c r="W71" s="57">
        <f t="shared" si="7"/>
        <v>9.3160000000000309E-3</v>
      </c>
      <c r="X71" s="56">
        <v>850</v>
      </c>
      <c r="Y71" s="56">
        <v>600</v>
      </c>
    </row>
    <row r="72" spans="1:25" ht="16.5" thickBot="1" x14ac:dyDescent="0.3">
      <c r="B72" s="12"/>
      <c r="C72" s="19">
        <v>374.15</v>
      </c>
      <c r="D72" s="20">
        <v>35.198999999999998</v>
      </c>
      <c r="E72" s="20">
        <v>40.741999999999997</v>
      </c>
      <c r="F72" s="20">
        <v>41.326000000000001</v>
      </c>
      <c r="G72" s="20">
        <v>14.26</v>
      </c>
      <c r="H72" s="20">
        <f t="shared" si="0"/>
        <v>36.65775</v>
      </c>
      <c r="I72" s="5"/>
      <c r="J72" s="19">
        <v>305.24079999999998</v>
      </c>
      <c r="K72" s="20">
        <v>37.771900000000002</v>
      </c>
      <c r="L72" s="20">
        <v>42.838999999999999</v>
      </c>
      <c r="M72" s="20">
        <v>43.744900000000001</v>
      </c>
      <c r="N72" s="20">
        <v>23.568200000000001</v>
      </c>
      <c r="O72" s="20">
        <f t="shared" si="1"/>
        <v>39.151912500000009</v>
      </c>
      <c r="P72" s="7"/>
      <c r="Q72" s="13"/>
      <c r="R72" s="14"/>
      <c r="S72" s="14"/>
      <c r="T72" s="27"/>
      <c r="U72" s="28">
        <f t="shared" si="6"/>
        <v>0.65274894810659201</v>
      </c>
      <c r="V72" s="57">
        <f t="shared" si="8"/>
        <v>6.4625000000000057E-2</v>
      </c>
      <c r="W72" s="57">
        <f t="shared" si="7"/>
        <v>1.7469333333333264E-2</v>
      </c>
      <c r="X72" s="56">
        <v>400</v>
      </c>
      <c r="Y72" s="56">
        <v>300</v>
      </c>
    </row>
    <row r="73" spans="1:25" x14ac:dyDescent="0.25">
      <c r="A73" s="6" t="s">
        <v>80</v>
      </c>
      <c r="B73" s="6" t="s">
        <v>81</v>
      </c>
      <c r="C73" s="15">
        <v>1530.4</v>
      </c>
      <c r="D73" s="16">
        <v>39.732999999999997</v>
      </c>
      <c r="E73" s="16">
        <v>46.302</v>
      </c>
      <c r="F73" s="16">
        <v>44.99</v>
      </c>
      <c r="G73" s="16">
        <v>6.47</v>
      </c>
      <c r="H73" s="16">
        <f t="shared" ref="H73:H95" si="9">(6*D73+E73+F73)/8</f>
        <v>41.21125</v>
      </c>
      <c r="I73" s="5"/>
      <c r="J73" s="15">
        <v>1001.9601</v>
      </c>
      <c r="K73" s="16">
        <v>39.380400000000002</v>
      </c>
      <c r="L73" s="16">
        <v>46.247900000000001</v>
      </c>
      <c r="M73" s="16">
        <v>44.884700000000002</v>
      </c>
      <c r="N73" s="16">
        <v>6.7549000000000001</v>
      </c>
      <c r="O73" s="16">
        <f t="shared" ref="O73:O95" si="10">(6*K73+L73+M73)/8</f>
        <v>40.926875000000003</v>
      </c>
      <c r="P73" s="7"/>
      <c r="Q73" s="8">
        <f>bdrate(C73:C76,D73:D76,J73:J76,K73:K76)</f>
        <v>-0.41126926588727719</v>
      </c>
      <c r="R73" s="8">
        <f>bdrate(C73:C76,E73:E76,J73:J76,L73:L76)</f>
        <v>-0.43914759954606297</v>
      </c>
      <c r="S73" s="8">
        <f>bdrate(C73:C76,F73:F76,J73:J76,M73:M76)</f>
        <v>-0.40049668065713562</v>
      </c>
      <c r="T73" s="25">
        <f>bdrate(C73:C76,H73:H76,J73:J76,O73:O76)</f>
        <v>-0.41293286196392509</v>
      </c>
      <c r="U73" s="28">
        <f t="shared" ref="U73:U95" si="11">(N73-G73)/G73</f>
        <v>4.4034003091190169E-2</v>
      </c>
      <c r="V73" s="57">
        <f t="shared" ref="V73:V116" si="12">ABS(C73-X73)/X73</f>
        <v>2.0266666666666728E-2</v>
      </c>
      <c r="W73" s="57">
        <f t="shared" ref="W73:W116" si="13">ABS(J73-Y73)/Y73</f>
        <v>1.9601000000000115E-3</v>
      </c>
      <c r="X73" s="56">
        <v>1500</v>
      </c>
      <c r="Y73" s="56">
        <v>1000</v>
      </c>
    </row>
    <row r="74" spans="1:25" x14ac:dyDescent="0.25">
      <c r="A74" s="9"/>
      <c r="B74" s="9"/>
      <c r="C74" s="17">
        <v>1022.72</v>
      </c>
      <c r="D74" s="18">
        <v>37.890999999999998</v>
      </c>
      <c r="E74" s="18">
        <v>45.076999999999998</v>
      </c>
      <c r="F74" s="18">
        <v>43.784999999999997</v>
      </c>
      <c r="G74" s="18">
        <v>7.18</v>
      </c>
      <c r="H74" s="18">
        <f t="shared" si="9"/>
        <v>39.525999999999996</v>
      </c>
      <c r="I74" s="5"/>
      <c r="J74" s="17">
        <v>600.35389999999995</v>
      </c>
      <c r="K74" s="18">
        <v>37.471699999999998</v>
      </c>
      <c r="L74" s="18">
        <v>45.007800000000003</v>
      </c>
      <c r="M74" s="18">
        <v>43.575899999999997</v>
      </c>
      <c r="N74" s="18">
        <v>8.1646999999999998</v>
      </c>
      <c r="O74" s="18">
        <f t="shared" si="10"/>
        <v>39.176737499999994</v>
      </c>
      <c r="P74" s="7"/>
      <c r="Q74" s="10"/>
      <c r="R74" s="11"/>
      <c r="S74" s="11"/>
      <c r="T74" s="26"/>
      <c r="U74" s="28">
        <f t="shared" si="11"/>
        <v>0.13714484679665739</v>
      </c>
      <c r="V74" s="57">
        <f t="shared" si="12"/>
        <v>2.2720000000000028E-2</v>
      </c>
      <c r="W74" s="57">
        <f t="shared" si="13"/>
        <v>5.8983333333325542E-4</v>
      </c>
      <c r="X74" s="56">
        <v>1000</v>
      </c>
      <c r="Y74" s="56">
        <v>600</v>
      </c>
    </row>
    <row r="75" spans="1:25" x14ac:dyDescent="0.25">
      <c r="B75" s="9"/>
      <c r="C75" s="17">
        <v>614.64</v>
      </c>
      <c r="D75" s="18">
        <v>35.234000000000002</v>
      </c>
      <c r="E75" s="18">
        <v>43.421999999999997</v>
      </c>
      <c r="F75" s="18">
        <v>42.195</v>
      </c>
      <c r="G75" s="18">
        <v>8.1300000000000008</v>
      </c>
      <c r="H75" s="18">
        <f t="shared" si="9"/>
        <v>37.127625000000002</v>
      </c>
      <c r="I75" s="5"/>
      <c r="J75" s="17">
        <v>296.99040000000002</v>
      </c>
      <c r="K75" s="18">
        <v>34.564900000000002</v>
      </c>
      <c r="L75" s="18">
        <v>43.198900000000002</v>
      </c>
      <c r="M75" s="18">
        <v>41.692700000000002</v>
      </c>
      <c r="N75" s="18">
        <v>11.052199999999999</v>
      </c>
      <c r="O75" s="18">
        <f t="shared" si="10"/>
        <v>36.535125000000008</v>
      </c>
      <c r="P75" s="7"/>
      <c r="Q75" s="10"/>
      <c r="R75" s="11"/>
      <c r="S75" s="11"/>
      <c r="T75" s="26"/>
      <c r="U75" s="28">
        <f t="shared" si="11"/>
        <v>0.35943419434194318</v>
      </c>
      <c r="V75" s="57">
        <f t="shared" si="12"/>
        <v>2.4399999999999977E-2</v>
      </c>
      <c r="W75" s="57">
        <f t="shared" si="13"/>
        <v>1.0031999999999925E-2</v>
      </c>
      <c r="X75" s="56">
        <v>600</v>
      </c>
      <c r="Y75" s="56">
        <v>300</v>
      </c>
    </row>
    <row r="76" spans="1:25" ht="16.5" thickBot="1" x14ac:dyDescent="0.3">
      <c r="B76" s="12"/>
      <c r="C76" s="19">
        <v>305.98</v>
      </c>
      <c r="D76" s="20">
        <v>30.687000000000001</v>
      </c>
      <c r="E76" s="20">
        <v>41.12</v>
      </c>
      <c r="F76" s="20">
        <v>39.932000000000002</v>
      </c>
      <c r="G76" s="20">
        <v>9.44</v>
      </c>
      <c r="H76" s="20">
        <f t="shared" si="9"/>
        <v>33.146750000000004</v>
      </c>
      <c r="I76" s="5"/>
      <c r="J76" s="19">
        <v>196.5616</v>
      </c>
      <c r="K76" s="20">
        <v>32.654299999999999</v>
      </c>
      <c r="L76" s="20">
        <v>42.0593</v>
      </c>
      <c r="M76" s="20">
        <v>40.491599999999998</v>
      </c>
      <c r="N76" s="20">
        <v>13.218999999999999</v>
      </c>
      <c r="O76" s="20">
        <f t="shared" si="10"/>
        <v>34.809587499999999</v>
      </c>
      <c r="P76" s="7"/>
      <c r="Q76" s="13"/>
      <c r="R76" s="14"/>
      <c r="S76" s="14"/>
      <c r="T76" s="27"/>
      <c r="U76" s="28">
        <f t="shared" si="11"/>
        <v>0.40031779661016953</v>
      </c>
      <c r="V76" s="57">
        <f t="shared" si="12"/>
        <v>1.9933333333333393E-2</v>
      </c>
      <c r="W76" s="57">
        <f t="shared" si="13"/>
        <v>1.7192000000000006E-2</v>
      </c>
      <c r="X76" s="56">
        <v>300</v>
      </c>
      <c r="Y76" s="56">
        <v>200</v>
      </c>
    </row>
    <row r="77" spans="1:25" x14ac:dyDescent="0.25">
      <c r="B77" s="6" t="s">
        <v>82</v>
      </c>
      <c r="C77" s="29">
        <v>1463.05</v>
      </c>
      <c r="D77" s="30">
        <v>41.026000000000003</v>
      </c>
      <c r="E77" s="30">
        <v>46.744</v>
      </c>
      <c r="F77" s="30">
        <v>46.396000000000001</v>
      </c>
      <c r="G77" s="16">
        <v>6.91</v>
      </c>
      <c r="H77" s="16">
        <f t="shared" si="9"/>
        <v>42.411999999999999</v>
      </c>
      <c r="I77" s="5"/>
      <c r="J77" s="29">
        <v>1004.3102</v>
      </c>
      <c r="K77" s="30">
        <v>40.771500000000003</v>
      </c>
      <c r="L77" s="30">
        <v>46.842100000000002</v>
      </c>
      <c r="M77" s="30">
        <v>46.528199999999998</v>
      </c>
      <c r="N77" s="16">
        <v>6.8516000000000004</v>
      </c>
      <c r="O77" s="16">
        <f t="shared" si="10"/>
        <v>42.249912500000008</v>
      </c>
      <c r="P77" s="7"/>
      <c r="Q77" s="8">
        <f>bdrate(C77:C80,D77:D80,J77:J80,K77:K80)</f>
        <v>-0.4003918758181586</v>
      </c>
      <c r="R77" s="8">
        <f>bdrate(C77:C80,E77:E80,J77:J80,L77:L80)</f>
        <v>-0.43386077298487891</v>
      </c>
      <c r="S77" s="8">
        <f>bdrate(C77:C80,F77:F80,J77:J80,M77:M80)</f>
        <v>-0.44706536225074978</v>
      </c>
      <c r="T77" s="25">
        <f>bdrate(C77:C80,H77:H80,J77:J80,O77:O80)</f>
        <v>-0.40681554803695108</v>
      </c>
      <c r="U77" s="28">
        <f t="shared" si="11"/>
        <v>-8.4515195369030075E-3</v>
      </c>
      <c r="V77" s="57">
        <f t="shared" si="12"/>
        <v>2.4633333333333365E-2</v>
      </c>
      <c r="W77" s="57">
        <f t="shared" si="13"/>
        <v>4.3102000000000088E-3</v>
      </c>
      <c r="X77" s="56">
        <v>1500</v>
      </c>
      <c r="Y77" s="56">
        <v>1000</v>
      </c>
    </row>
    <row r="78" spans="1:25" x14ac:dyDescent="0.25">
      <c r="B78" s="9"/>
      <c r="C78" s="31">
        <v>971.49</v>
      </c>
      <c r="D78" s="32">
        <v>39.201000000000001</v>
      </c>
      <c r="E78" s="32">
        <v>45.63</v>
      </c>
      <c r="F78" s="32">
        <v>45.26</v>
      </c>
      <c r="G78" s="18">
        <v>7.65</v>
      </c>
      <c r="H78" s="18">
        <f t="shared" si="9"/>
        <v>40.762</v>
      </c>
      <c r="I78" s="5"/>
      <c r="J78" s="31">
        <v>602.58680000000004</v>
      </c>
      <c r="K78" s="32">
        <v>38.953699999999998</v>
      </c>
      <c r="L78" s="32">
        <v>45.6785</v>
      </c>
      <c r="M78" s="32">
        <v>45.396099999999997</v>
      </c>
      <c r="N78" s="18">
        <v>8.3583999999999996</v>
      </c>
      <c r="O78" s="18">
        <f t="shared" si="10"/>
        <v>40.599599999999995</v>
      </c>
      <c r="P78" s="7"/>
      <c r="Q78" s="10"/>
      <c r="R78" s="11"/>
      <c r="S78" s="11"/>
      <c r="T78" s="26"/>
      <c r="U78" s="28">
        <f t="shared" si="11"/>
        <v>9.2601307189542376E-2</v>
      </c>
      <c r="V78" s="57">
        <f t="shared" si="12"/>
        <v>2.850999999999999E-2</v>
      </c>
      <c r="W78" s="57">
        <f t="shared" si="13"/>
        <v>4.3113333333333987E-3</v>
      </c>
      <c r="X78" s="56">
        <v>1000</v>
      </c>
      <c r="Y78" s="56">
        <v>600</v>
      </c>
    </row>
    <row r="79" spans="1:25" x14ac:dyDescent="0.25">
      <c r="B79" s="9"/>
      <c r="C79" s="31">
        <v>582.35</v>
      </c>
      <c r="D79" s="32">
        <v>36.710999999999999</v>
      </c>
      <c r="E79" s="32">
        <v>44.08</v>
      </c>
      <c r="F79" s="32">
        <v>43.741</v>
      </c>
      <c r="G79" s="18">
        <v>8.4700000000000006</v>
      </c>
      <c r="H79" s="18">
        <f t="shared" si="9"/>
        <v>38.510874999999999</v>
      </c>
      <c r="I79" s="5"/>
      <c r="J79" s="31">
        <v>300.35550000000001</v>
      </c>
      <c r="K79" s="32">
        <v>36.440399999999997</v>
      </c>
      <c r="L79" s="32">
        <v>44.04</v>
      </c>
      <c r="M79" s="32">
        <v>43.737400000000001</v>
      </c>
      <c r="N79" s="18">
        <v>10.9491</v>
      </c>
      <c r="O79" s="18">
        <f t="shared" si="10"/>
        <v>38.302474999999994</v>
      </c>
      <c r="P79" s="7"/>
      <c r="Q79" s="10"/>
      <c r="R79" s="11"/>
      <c r="S79" s="11"/>
      <c r="T79" s="26"/>
      <c r="U79" s="28">
        <f t="shared" si="11"/>
        <v>0.29269185360094435</v>
      </c>
      <c r="V79" s="57">
        <f t="shared" si="12"/>
        <v>2.9416666666666629E-2</v>
      </c>
      <c r="W79" s="57">
        <f t="shared" si="13"/>
        <v>1.1850000000000213E-3</v>
      </c>
      <c r="X79" s="56">
        <v>600</v>
      </c>
      <c r="Y79" s="56">
        <v>300</v>
      </c>
    </row>
    <row r="80" spans="1:25" ht="16.5" thickBot="1" x14ac:dyDescent="0.3">
      <c r="B80" s="12"/>
      <c r="C80" s="33">
        <v>289.19</v>
      </c>
      <c r="D80" s="34">
        <v>32.673999999999999</v>
      </c>
      <c r="E80" s="34">
        <v>41.936</v>
      </c>
      <c r="F80" s="34">
        <v>41.545999999999999</v>
      </c>
      <c r="G80" s="20">
        <v>9.86</v>
      </c>
      <c r="H80" s="20">
        <f t="shared" si="9"/>
        <v>34.940750000000001</v>
      </c>
      <c r="I80" s="5"/>
      <c r="J80" s="33">
        <v>199.64420000000001</v>
      </c>
      <c r="K80" s="34">
        <v>34.873399999999997</v>
      </c>
      <c r="L80" s="34">
        <v>43.116999999999997</v>
      </c>
      <c r="M80" s="34">
        <v>42.759099999999997</v>
      </c>
      <c r="N80" s="20">
        <v>12.9999</v>
      </c>
      <c r="O80" s="20">
        <f t="shared" si="10"/>
        <v>36.889562499999997</v>
      </c>
      <c r="P80" s="7"/>
      <c r="Q80" s="13"/>
      <c r="R80" s="14"/>
      <c r="S80" s="14"/>
      <c r="T80" s="27"/>
      <c r="U80" s="28">
        <f t="shared" si="11"/>
        <v>0.31844827586206909</v>
      </c>
      <c r="V80" s="57">
        <f t="shared" si="12"/>
        <v>3.6033333333333341E-2</v>
      </c>
      <c r="W80" s="57">
        <f t="shared" si="13"/>
        <v>1.7789999999999395E-3</v>
      </c>
      <c r="X80" s="56">
        <v>300</v>
      </c>
      <c r="Y80" s="56">
        <v>200</v>
      </c>
    </row>
    <row r="81" spans="2:25" x14ac:dyDescent="0.25">
      <c r="B81" s="6" t="s">
        <v>83</v>
      </c>
      <c r="C81" s="15">
        <v>1506.72</v>
      </c>
      <c r="D81" s="16">
        <v>37.795000000000002</v>
      </c>
      <c r="E81" s="16">
        <v>46.289000000000001</v>
      </c>
      <c r="F81" s="16">
        <v>44.606000000000002</v>
      </c>
      <c r="G81" s="16">
        <v>6.91</v>
      </c>
      <c r="H81" s="16">
        <f t="shared" si="9"/>
        <v>39.708125000000003</v>
      </c>
      <c r="I81" s="5"/>
      <c r="J81" s="15">
        <v>1001.438</v>
      </c>
      <c r="K81" s="16">
        <v>37.488100000000003</v>
      </c>
      <c r="L81" s="16">
        <v>46.241100000000003</v>
      </c>
      <c r="M81" s="16">
        <v>44.6569</v>
      </c>
      <c r="N81" s="16">
        <v>6.3183999999999996</v>
      </c>
      <c r="O81" s="16">
        <f t="shared" si="10"/>
        <v>39.478325000000005</v>
      </c>
      <c r="P81" s="7"/>
      <c r="Q81" s="8">
        <f>bdrate(C81:C84,D81:D84,J81:J84,K81:K84)</f>
        <v>-0.40009494409204738</v>
      </c>
      <c r="R81" s="8">
        <f>bdrate(C81:C84,E81:E84,J81:J84,L81:L84)</f>
        <v>-0.40405226561606655</v>
      </c>
      <c r="S81" s="8">
        <f>bdrate(C81:C84,F81:F84,J81:J84,M81:M84)</f>
        <v>-0.42387994587831268</v>
      </c>
      <c r="T81" s="25">
        <f>bdrate(C81:C84,H81:H84,J81:J84,O81:O84)</f>
        <v>-0.40237764075974114</v>
      </c>
      <c r="U81" s="28">
        <f t="shared" si="11"/>
        <v>-8.5615050651230179E-2</v>
      </c>
      <c r="V81" s="57">
        <f t="shared" si="12"/>
        <v>4.4800000000000178E-3</v>
      </c>
      <c r="W81" s="57">
        <f t="shared" si="13"/>
        <v>1.4379999999999881E-3</v>
      </c>
      <c r="X81" s="56">
        <v>1500</v>
      </c>
      <c r="Y81" s="56">
        <v>1000</v>
      </c>
    </row>
    <row r="82" spans="2:25" x14ac:dyDescent="0.25">
      <c r="B82" s="9"/>
      <c r="C82" s="17">
        <v>1006.93</v>
      </c>
      <c r="D82" s="18">
        <v>36.107999999999997</v>
      </c>
      <c r="E82" s="18">
        <v>45.256</v>
      </c>
      <c r="F82" s="18">
        <v>43.491</v>
      </c>
      <c r="G82" s="18">
        <v>7.61</v>
      </c>
      <c r="H82" s="18">
        <f t="shared" si="9"/>
        <v>38.174374999999998</v>
      </c>
      <c r="I82" s="5"/>
      <c r="J82" s="17">
        <v>601.52089999999998</v>
      </c>
      <c r="K82" s="18">
        <v>35.755000000000003</v>
      </c>
      <c r="L82" s="18">
        <v>45.1417</v>
      </c>
      <c r="M82" s="18">
        <v>43.505099999999999</v>
      </c>
      <c r="N82" s="18">
        <v>7.6835000000000004</v>
      </c>
      <c r="O82" s="18">
        <f t="shared" si="10"/>
        <v>37.897100000000009</v>
      </c>
      <c r="P82" s="7"/>
      <c r="Q82" s="10"/>
      <c r="R82" s="11"/>
      <c r="S82" s="11"/>
      <c r="T82" s="26"/>
      <c r="U82" s="28">
        <f t="shared" si="11"/>
        <v>9.6583442838370712E-3</v>
      </c>
      <c r="V82" s="57">
        <f t="shared" si="12"/>
        <v>6.9299999999999501E-3</v>
      </c>
      <c r="W82" s="57">
        <f t="shared" si="13"/>
        <v>2.5348333333333056E-3</v>
      </c>
      <c r="X82" s="56">
        <v>1000</v>
      </c>
      <c r="Y82" s="56">
        <v>600</v>
      </c>
    </row>
    <row r="83" spans="2:25" x14ac:dyDescent="0.25">
      <c r="B83" s="9"/>
      <c r="C83" s="17">
        <v>601.98</v>
      </c>
      <c r="D83" s="18">
        <v>33.789000000000001</v>
      </c>
      <c r="E83" s="18">
        <v>43.838999999999999</v>
      </c>
      <c r="F83" s="18">
        <v>42.069000000000003</v>
      </c>
      <c r="G83" s="18">
        <v>8.51</v>
      </c>
      <c r="H83" s="18">
        <f t="shared" si="9"/>
        <v>36.080249999999999</v>
      </c>
      <c r="I83" s="5"/>
      <c r="J83" s="17">
        <v>298.65230000000003</v>
      </c>
      <c r="K83" s="18">
        <v>33.254800000000003</v>
      </c>
      <c r="L83" s="18">
        <v>43.480400000000003</v>
      </c>
      <c r="M83" s="18">
        <v>41.760199999999998</v>
      </c>
      <c r="N83" s="18">
        <v>10.220000000000001</v>
      </c>
      <c r="O83" s="18">
        <f t="shared" si="10"/>
        <v>35.596175000000002</v>
      </c>
      <c r="P83" s="7"/>
      <c r="Q83" s="10"/>
      <c r="R83" s="11"/>
      <c r="S83" s="11"/>
      <c r="T83" s="26"/>
      <c r="U83" s="28">
        <f t="shared" si="11"/>
        <v>0.200940070505288</v>
      </c>
      <c r="V83" s="57">
        <f t="shared" si="12"/>
        <v>3.3000000000000303E-3</v>
      </c>
      <c r="W83" s="57">
        <f t="shared" si="13"/>
        <v>4.4923333333332493E-3</v>
      </c>
      <c r="X83" s="56">
        <v>600</v>
      </c>
      <c r="Y83" s="56">
        <v>300</v>
      </c>
    </row>
    <row r="84" spans="2:25" ht="16.5" thickBot="1" x14ac:dyDescent="0.3">
      <c r="B84" s="12"/>
      <c r="C84" s="19">
        <v>299.43</v>
      </c>
      <c r="D84" s="20">
        <v>29.931999999999999</v>
      </c>
      <c r="E84" s="20">
        <v>41.841999999999999</v>
      </c>
      <c r="F84" s="20">
        <v>40.063000000000002</v>
      </c>
      <c r="G84" s="20">
        <v>9.9</v>
      </c>
      <c r="H84" s="20">
        <f t="shared" si="9"/>
        <v>32.687124999999995</v>
      </c>
      <c r="I84" s="5"/>
      <c r="J84" s="19">
        <v>197.8177</v>
      </c>
      <c r="K84" s="20">
        <v>31.629000000000001</v>
      </c>
      <c r="L84" s="20">
        <v>42.629800000000003</v>
      </c>
      <c r="M84" s="20">
        <v>40.835999999999999</v>
      </c>
      <c r="N84" s="20">
        <v>12.2158</v>
      </c>
      <c r="O84" s="20">
        <f t="shared" si="10"/>
        <v>34.154975</v>
      </c>
      <c r="P84" s="7"/>
      <c r="Q84" s="13"/>
      <c r="R84" s="14"/>
      <c r="S84" s="14"/>
      <c r="T84" s="27"/>
      <c r="U84" s="28">
        <f t="shared" si="11"/>
        <v>0.23391919191919186</v>
      </c>
      <c r="V84" s="57">
        <f t="shared" si="12"/>
        <v>1.8999999999999772E-3</v>
      </c>
      <c r="W84" s="57">
        <f t="shared" si="13"/>
        <v>1.0911499999999989E-2</v>
      </c>
      <c r="X84" s="56">
        <v>300</v>
      </c>
      <c r="Y84" s="56">
        <v>200</v>
      </c>
    </row>
    <row r="85" spans="2:25" x14ac:dyDescent="0.25">
      <c r="B85" s="6" t="s">
        <v>84</v>
      </c>
      <c r="C85" s="15">
        <v>1482.79</v>
      </c>
      <c r="D85" s="16">
        <v>36.851999999999997</v>
      </c>
      <c r="E85" s="16">
        <v>46.295999999999999</v>
      </c>
      <c r="F85" s="16">
        <v>44.561</v>
      </c>
      <c r="G85" s="16">
        <v>6.74</v>
      </c>
      <c r="H85" s="16">
        <f t="shared" si="9"/>
        <v>38.996124999999992</v>
      </c>
      <c r="I85" s="5"/>
      <c r="J85" s="15">
        <v>1002.8259</v>
      </c>
      <c r="K85" s="16">
        <v>36.429699999999997</v>
      </c>
      <c r="L85" s="16">
        <v>46.044899999999998</v>
      </c>
      <c r="M85" s="16">
        <v>44.563400000000001</v>
      </c>
      <c r="N85" s="16">
        <v>6.3166000000000002</v>
      </c>
      <c r="O85" s="16">
        <f t="shared" si="10"/>
        <v>38.648312499999996</v>
      </c>
      <c r="P85" s="7"/>
      <c r="Q85" s="8">
        <f>bdrate(C85:C88,D85:D88,J85:J88,K85:K88)</f>
        <v>-0.37185447274484906</v>
      </c>
      <c r="R85" s="8">
        <f>bdrate(C85:C88,E85:E88,J85:J88,L85:L88)</f>
        <v>-0.34076683662672735</v>
      </c>
      <c r="S85" s="8">
        <f>bdrate(C85:C88,F85:F88,J85:J88,M85:M88)</f>
        <v>-0.42377023717775653</v>
      </c>
      <c r="T85" s="25">
        <f>bdrate(C85:C88,H85:H88,J85:J88,O85:O88)</f>
        <v>-0.37402601400471625</v>
      </c>
      <c r="U85" s="28">
        <f t="shared" si="11"/>
        <v>-6.2818991097922841E-2</v>
      </c>
      <c r="V85" s="57">
        <f t="shared" si="12"/>
        <v>1.1473333333333358E-2</v>
      </c>
      <c r="W85" s="57">
        <f t="shared" si="13"/>
        <v>2.825900000000047E-3</v>
      </c>
      <c r="X85" s="56">
        <v>1500</v>
      </c>
      <c r="Y85" s="56">
        <v>1000</v>
      </c>
    </row>
    <row r="86" spans="2:25" x14ac:dyDescent="0.25">
      <c r="B86" s="9"/>
      <c r="C86" s="17">
        <v>987.11</v>
      </c>
      <c r="D86" s="18">
        <v>35.191000000000003</v>
      </c>
      <c r="E86" s="18">
        <v>45.302</v>
      </c>
      <c r="F86" s="18">
        <v>43.454000000000001</v>
      </c>
      <c r="G86" s="18">
        <v>7.44</v>
      </c>
      <c r="H86" s="18">
        <f t="shared" si="9"/>
        <v>37.487750000000005</v>
      </c>
      <c r="I86" s="5"/>
      <c r="J86" s="17">
        <v>599.38869999999997</v>
      </c>
      <c r="K86" s="18">
        <v>34.710799999999999</v>
      </c>
      <c r="L86" s="18">
        <v>44.941499999999998</v>
      </c>
      <c r="M86" s="18">
        <v>43.441200000000002</v>
      </c>
      <c r="N86" s="18">
        <v>7.7013999999999996</v>
      </c>
      <c r="O86" s="18">
        <f t="shared" si="10"/>
        <v>37.080937499999997</v>
      </c>
      <c r="P86" s="7"/>
      <c r="Q86" s="10"/>
      <c r="R86" s="11"/>
      <c r="S86" s="11"/>
      <c r="T86" s="26"/>
      <c r="U86" s="28">
        <f t="shared" si="11"/>
        <v>3.5134408602150426E-2</v>
      </c>
      <c r="V86" s="57">
        <f t="shared" si="12"/>
        <v>1.2889999999999987E-2</v>
      </c>
      <c r="W86" s="57">
        <f t="shared" si="13"/>
        <v>1.0188333333333807E-3</v>
      </c>
      <c r="X86" s="56">
        <v>1000</v>
      </c>
      <c r="Y86" s="56">
        <v>600</v>
      </c>
    </row>
    <row r="87" spans="2:25" x14ac:dyDescent="0.25">
      <c r="B87" s="9"/>
      <c r="C87" s="17">
        <v>592.20000000000005</v>
      </c>
      <c r="D87" s="18">
        <v>32.927999999999997</v>
      </c>
      <c r="E87" s="18">
        <v>43.914999999999999</v>
      </c>
      <c r="F87" s="18">
        <v>41.994999999999997</v>
      </c>
      <c r="G87" s="18">
        <v>8.41</v>
      </c>
      <c r="H87" s="18">
        <f t="shared" si="9"/>
        <v>35.434749999999994</v>
      </c>
      <c r="I87" s="5"/>
      <c r="J87" s="17">
        <v>297.6567</v>
      </c>
      <c r="K87" s="18">
        <v>32.249699999999997</v>
      </c>
      <c r="L87" s="18">
        <v>43.353400000000001</v>
      </c>
      <c r="M87" s="18">
        <v>41.812199999999997</v>
      </c>
      <c r="N87" s="18">
        <v>10.3949</v>
      </c>
      <c r="O87" s="18">
        <f t="shared" si="10"/>
        <v>34.832974999999998</v>
      </c>
      <c r="P87" s="7"/>
      <c r="Q87" s="10"/>
      <c r="R87" s="11"/>
      <c r="S87" s="11"/>
      <c r="T87" s="26"/>
      <c r="U87" s="28">
        <f t="shared" si="11"/>
        <v>0.23601664684898926</v>
      </c>
      <c r="V87" s="57">
        <f t="shared" si="12"/>
        <v>1.2999999999999925E-2</v>
      </c>
      <c r="W87" s="57">
        <f t="shared" si="13"/>
        <v>7.8109999999999976E-3</v>
      </c>
      <c r="X87" s="56">
        <v>600</v>
      </c>
      <c r="Y87" s="56">
        <v>300</v>
      </c>
    </row>
    <row r="88" spans="2:25" ht="16.5" thickBot="1" x14ac:dyDescent="0.3">
      <c r="B88" s="12"/>
      <c r="C88" s="19">
        <v>296.29000000000002</v>
      </c>
      <c r="D88" s="20">
        <v>29.152999999999999</v>
      </c>
      <c r="E88" s="20">
        <v>41.948</v>
      </c>
      <c r="F88" s="20">
        <v>40.006</v>
      </c>
      <c r="G88" s="20">
        <v>9.86</v>
      </c>
      <c r="H88" s="20">
        <f t="shared" si="9"/>
        <v>32.109000000000002</v>
      </c>
      <c r="I88" s="5"/>
      <c r="J88" s="19">
        <v>196.5052</v>
      </c>
      <c r="K88" s="20">
        <v>30.6907</v>
      </c>
      <c r="L88" s="20">
        <v>42.588299999999997</v>
      </c>
      <c r="M88" s="20">
        <v>40.915599999999998</v>
      </c>
      <c r="N88" s="20">
        <v>12.4314</v>
      </c>
      <c r="O88" s="20">
        <f t="shared" si="10"/>
        <v>33.4560125</v>
      </c>
      <c r="P88" s="7"/>
      <c r="Q88" s="13"/>
      <c r="R88" s="14"/>
      <c r="S88" s="14"/>
      <c r="T88" s="27"/>
      <c r="U88" s="28">
        <f t="shared" si="11"/>
        <v>0.26079107505071003</v>
      </c>
      <c r="V88" s="57">
        <f t="shared" si="12"/>
        <v>1.2366666666666599E-2</v>
      </c>
      <c r="W88" s="57">
        <f t="shared" si="13"/>
        <v>1.747399999999999E-2</v>
      </c>
      <c r="X88" s="56">
        <v>300</v>
      </c>
      <c r="Y88" s="56">
        <v>200</v>
      </c>
    </row>
    <row r="89" spans="2:25" x14ac:dyDescent="0.25">
      <c r="B89" s="6" t="s">
        <v>85</v>
      </c>
      <c r="C89" s="15">
        <v>1495.37</v>
      </c>
      <c r="D89" s="16">
        <v>41.78</v>
      </c>
      <c r="E89" s="16">
        <v>48.604999999999997</v>
      </c>
      <c r="F89" s="16">
        <v>47.890999999999998</v>
      </c>
      <c r="G89" s="16">
        <v>7.43</v>
      </c>
      <c r="H89" s="16">
        <f t="shared" si="9"/>
        <v>43.397000000000006</v>
      </c>
      <c r="I89" s="5"/>
      <c r="J89" s="15">
        <v>1005.2534000000001</v>
      </c>
      <c r="K89" s="16">
        <v>41.370699999999999</v>
      </c>
      <c r="L89" s="16">
        <v>48.495800000000003</v>
      </c>
      <c r="M89" s="16">
        <v>47.927900000000001</v>
      </c>
      <c r="N89" s="16">
        <v>7.2778</v>
      </c>
      <c r="O89" s="16">
        <f t="shared" si="10"/>
        <v>43.080987500000006</v>
      </c>
      <c r="P89" s="7"/>
      <c r="Q89" s="8">
        <f>bdrate(C89:C92,D89:D92,J89:J92,K89:K92)</f>
        <v>-0.40175261323430822</v>
      </c>
      <c r="R89" s="8">
        <f>bdrate(C89:C92,E89:E92,J89:J92,L89:L92)</f>
        <v>-0.4309955862164021</v>
      </c>
      <c r="S89" s="8">
        <f>bdrate(C89:C92,F89:F92,J89:J92,M89:M92)</f>
        <v>-0.47441137020455537</v>
      </c>
      <c r="T89" s="25">
        <f>bdrate(C89:C92,H89:H92,J89:J92,O89:O92)</f>
        <v>-0.41126726784103063</v>
      </c>
      <c r="U89" s="28">
        <f t="shared" si="11"/>
        <v>-2.0484522207267788E-2</v>
      </c>
      <c r="V89" s="57">
        <f t="shared" si="12"/>
        <v>3.0866666666667392E-3</v>
      </c>
      <c r="W89" s="57">
        <f t="shared" si="13"/>
        <v>5.2534000000000556E-3</v>
      </c>
      <c r="X89" s="56">
        <v>1500</v>
      </c>
      <c r="Y89" s="56">
        <v>1000</v>
      </c>
    </row>
    <row r="90" spans="2:25" x14ac:dyDescent="0.25">
      <c r="B90" s="9"/>
      <c r="C90" s="17">
        <v>996.2</v>
      </c>
      <c r="D90" s="18">
        <v>40.436</v>
      </c>
      <c r="E90" s="18">
        <v>47.771999999999998</v>
      </c>
      <c r="F90" s="18">
        <v>47.002000000000002</v>
      </c>
      <c r="G90" s="18">
        <v>8.42</v>
      </c>
      <c r="H90" s="18">
        <f t="shared" si="9"/>
        <v>42.173749999999998</v>
      </c>
      <c r="I90" s="5"/>
      <c r="J90" s="17">
        <v>602.43939999999998</v>
      </c>
      <c r="K90" s="18">
        <v>40.106699999999996</v>
      </c>
      <c r="L90" s="18">
        <v>47.698999999999998</v>
      </c>
      <c r="M90" s="18">
        <v>47.111800000000002</v>
      </c>
      <c r="N90" s="18">
        <v>8.5966000000000005</v>
      </c>
      <c r="O90" s="18">
        <f t="shared" si="10"/>
        <v>41.931375000000003</v>
      </c>
      <c r="P90" s="7"/>
      <c r="Q90" s="10"/>
      <c r="R90" s="11"/>
      <c r="S90" s="11"/>
      <c r="T90" s="26"/>
      <c r="U90" s="28">
        <f t="shared" si="11"/>
        <v>2.0973871733966809E-2</v>
      </c>
      <c r="V90" s="57">
        <f t="shared" si="12"/>
        <v>3.7999999999999545E-3</v>
      </c>
      <c r="W90" s="57">
        <f t="shared" si="13"/>
        <v>4.0656666666666298E-3</v>
      </c>
      <c r="X90" s="56">
        <v>1000</v>
      </c>
      <c r="Y90" s="56">
        <v>600</v>
      </c>
    </row>
    <row r="91" spans="2:25" x14ac:dyDescent="0.25">
      <c r="B91" s="9"/>
      <c r="C91" s="17">
        <v>597.49</v>
      </c>
      <c r="D91" s="18">
        <v>38.554000000000002</v>
      </c>
      <c r="E91" s="18">
        <v>46.588000000000001</v>
      </c>
      <c r="F91" s="18">
        <v>45.76</v>
      </c>
      <c r="G91" s="18">
        <v>9.35</v>
      </c>
      <c r="H91" s="18">
        <f t="shared" si="9"/>
        <v>40.459000000000003</v>
      </c>
      <c r="I91" s="5"/>
      <c r="J91" s="17">
        <v>296.65929999999997</v>
      </c>
      <c r="K91" s="18">
        <v>38.244</v>
      </c>
      <c r="L91" s="18">
        <v>46.459899999999998</v>
      </c>
      <c r="M91" s="18">
        <v>45.829700000000003</v>
      </c>
      <c r="N91" s="18">
        <v>11.4114</v>
      </c>
      <c r="O91" s="18">
        <f t="shared" si="10"/>
        <v>40.219200000000001</v>
      </c>
      <c r="P91" s="7"/>
      <c r="Q91" s="10"/>
      <c r="R91" s="11"/>
      <c r="S91" s="11"/>
      <c r="T91" s="26"/>
      <c r="U91" s="28">
        <f t="shared" si="11"/>
        <v>0.22047058823529422</v>
      </c>
      <c r="V91" s="57">
        <f t="shared" si="12"/>
        <v>4.1833333333333184E-3</v>
      </c>
      <c r="W91" s="57">
        <f t="shared" si="13"/>
        <v>1.1135666666666755E-2</v>
      </c>
      <c r="X91" s="56">
        <v>600</v>
      </c>
      <c r="Y91" s="56">
        <v>300</v>
      </c>
    </row>
    <row r="92" spans="2:25" ht="16.5" thickBot="1" x14ac:dyDescent="0.3">
      <c r="B92" s="12"/>
      <c r="C92" s="19">
        <v>298.23</v>
      </c>
      <c r="D92" s="20">
        <v>35.508000000000003</v>
      </c>
      <c r="E92" s="20">
        <v>44.539000000000001</v>
      </c>
      <c r="F92" s="20">
        <v>43.768999999999998</v>
      </c>
      <c r="G92" s="20">
        <v>10.65</v>
      </c>
      <c r="H92" s="20">
        <f t="shared" si="9"/>
        <v>37.669499999999999</v>
      </c>
      <c r="I92" s="5"/>
      <c r="J92" s="19">
        <v>193.4417</v>
      </c>
      <c r="K92" s="20">
        <v>37.008800000000001</v>
      </c>
      <c r="L92" s="20">
        <v>45.520400000000002</v>
      </c>
      <c r="M92" s="20">
        <v>44.875500000000002</v>
      </c>
      <c r="N92" s="20">
        <v>13.6503</v>
      </c>
      <c r="O92" s="20">
        <f t="shared" si="10"/>
        <v>39.056087499999997</v>
      </c>
      <c r="P92" s="7"/>
      <c r="Q92" s="13"/>
      <c r="R92" s="14"/>
      <c r="S92" s="14"/>
      <c r="T92" s="27"/>
      <c r="U92" s="28">
        <f t="shared" si="11"/>
        <v>0.28171830985915486</v>
      </c>
      <c r="V92" s="57">
        <f t="shared" si="12"/>
        <v>5.8999999999999391E-3</v>
      </c>
      <c r="W92" s="57">
        <f t="shared" si="13"/>
        <v>3.2791500000000015E-2</v>
      </c>
      <c r="X92" s="56">
        <v>300</v>
      </c>
      <c r="Y92" s="56">
        <v>200</v>
      </c>
    </row>
    <row r="93" spans="2:25" x14ac:dyDescent="0.25">
      <c r="B93" s="6" t="s">
        <v>86</v>
      </c>
      <c r="C93" s="15">
        <v>1481.01</v>
      </c>
      <c r="D93" s="16">
        <v>41.912999999999997</v>
      </c>
      <c r="E93" s="16">
        <v>49.406999999999996</v>
      </c>
      <c r="F93" s="16">
        <v>49.293999999999997</v>
      </c>
      <c r="G93" s="16">
        <v>7.66</v>
      </c>
      <c r="H93" s="16">
        <f t="shared" si="9"/>
        <v>43.772374999999997</v>
      </c>
      <c r="I93" s="5"/>
      <c r="J93" s="15">
        <v>1005.3482</v>
      </c>
      <c r="K93" s="16">
        <v>41.899099999999997</v>
      </c>
      <c r="L93" s="16">
        <v>49.503900000000002</v>
      </c>
      <c r="M93" s="16">
        <v>49.261600000000001</v>
      </c>
      <c r="N93" s="16">
        <v>8.2326999999999995</v>
      </c>
      <c r="O93" s="16">
        <f t="shared" si="10"/>
        <v>43.770012499999993</v>
      </c>
      <c r="P93" s="7"/>
      <c r="Q93" s="8">
        <f>bdrate(C93:C96,D93:D96,J93:J96,K93:K96)</f>
        <v>-0.47012164035856108</v>
      </c>
      <c r="R93" s="8">
        <f>bdrate(C93:C96,E93:E96,J93:J96,L93:L96)</f>
        <v>-0.47393912619560075</v>
      </c>
      <c r="S93" s="8">
        <f>bdrate(C93:C96,F93:F96,J93:J96,M93:M96)</f>
        <v>-0.44715163804317581</v>
      </c>
      <c r="T93" s="25">
        <f>bdrate(C93:C96,H93:H96,J93:J96,O93:O96)</f>
        <v>-0.46847974830475514</v>
      </c>
      <c r="U93" s="28">
        <f t="shared" si="11"/>
        <v>7.4765013054830201E-2</v>
      </c>
      <c r="V93" s="57">
        <f t="shared" si="12"/>
        <v>1.2660000000000006E-2</v>
      </c>
      <c r="W93" s="57">
        <f t="shared" si="13"/>
        <v>5.34820000000002E-3</v>
      </c>
      <c r="X93" s="56">
        <v>1500</v>
      </c>
      <c r="Y93" s="56">
        <v>1000</v>
      </c>
    </row>
    <row r="94" spans="2:25" x14ac:dyDescent="0.25">
      <c r="B94" s="9"/>
      <c r="C94" s="17">
        <v>983.33</v>
      </c>
      <c r="D94" s="18">
        <v>40.950000000000003</v>
      </c>
      <c r="E94" s="18">
        <v>48.866</v>
      </c>
      <c r="F94" s="18">
        <v>48.816000000000003</v>
      </c>
      <c r="G94" s="18">
        <v>8.73</v>
      </c>
      <c r="H94" s="18">
        <f t="shared" si="9"/>
        <v>42.922750000000008</v>
      </c>
      <c r="I94" s="5"/>
      <c r="J94" s="17">
        <v>593.87350000000004</v>
      </c>
      <c r="K94" s="18">
        <v>41.0167</v>
      </c>
      <c r="L94" s="18">
        <v>48.947099999999999</v>
      </c>
      <c r="M94" s="18">
        <v>48.768700000000003</v>
      </c>
      <c r="N94" s="18">
        <v>10.2689</v>
      </c>
      <c r="O94" s="18">
        <f t="shared" si="10"/>
        <v>42.977000000000004</v>
      </c>
      <c r="P94" s="7"/>
      <c r="Q94" s="10"/>
      <c r="R94" s="11"/>
      <c r="S94" s="11"/>
      <c r="T94" s="26"/>
      <c r="U94" s="28">
        <f t="shared" si="11"/>
        <v>0.17627720504009162</v>
      </c>
      <c r="V94" s="57">
        <f t="shared" si="12"/>
        <v>1.6669999999999959E-2</v>
      </c>
      <c r="W94" s="57">
        <f t="shared" si="13"/>
        <v>1.0210833333333275E-2</v>
      </c>
      <c r="X94" s="56">
        <v>1000</v>
      </c>
      <c r="Y94" s="56">
        <v>600</v>
      </c>
    </row>
    <row r="95" spans="2:25" x14ac:dyDescent="0.25">
      <c r="B95" s="9"/>
      <c r="C95" s="17">
        <v>584.45000000000005</v>
      </c>
      <c r="D95" s="18">
        <v>39.697000000000003</v>
      </c>
      <c r="E95" s="18">
        <v>48.052999999999997</v>
      </c>
      <c r="F95" s="18">
        <v>48.05</v>
      </c>
      <c r="G95" s="18">
        <v>9.9700000000000006</v>
      </c>
      <c r="H95" s="18">
        <f t="shared" si="9"/>
        <v>41.785625000000003</v>
      </c>
      <c r="I95" s="5"/>
      <c r="J95" s="17">
        <v>282.1986</v>
      </c>
      <c r="K95" s="18">
        <v>39.718000000000004</v>
      </c>
      <c r="L95" s="18">
        <v>47.999099999999999</v>
      </c>
      <c r="M95" s="18">
        <v>47.9923</v>
      </c>
      <c r="N95" s="18">
        <v>13.8908</v>
      </c>
      <c r="O95" s="18">
        <f t="shared" si="10"/>
        <v>41.787424999999999</v>
      </c>
      <c r="P95" s="7"/>
      <c r="Q95" s="10"/>
      <c r="R95" s="11"/>
      <c r="S95" s="11"/>
      <c r="T95" s="26"/>
      <c r="U95" s="28">
        <f t="shared" si="11"/>
        <v>0.39325977933801398</v>
      </c>
      <c r="V95" s="57">
        <f t="shared" si="12"/>
        <v>2.5916666666666591E-2</v>
      </c>
      <c r="W95" s="57">
        <f t="shared" si="13"/>
        <v>5.9338000000000002E-2</v>
      </c>
      <c r="X95" s="56">
        <v>600</v>
      </c>
      <c r="Y95" s="56">
        <v>300</v>
      </c>
    </row>
    <row r="96" spans="2:25" ht="16.5" thickBot="1" x14ac:dyDescent="0.3">
      <c r="B96" s="12"/>
      <c r="C96" s="19">
        <v>288.7</v>
      </c>
      <c r="D96" s="20">
        <v>37.646000000000001</v>
      </c>
      <c r="E96" s="20">
        <v>46.634</v>
      </c>
      <c r="F96" s="20">
        <v>46.786000000000001</v>
      </c>
      <c r="G96" s="20">
        <v>11.31</v>
      </c>
      <c r="H96" s="20">
        <f t="shared" ref="H96:H116" si="14">(6*D96+E96+F96)/8</f>
        <v>39.911999999999999</v>
      </c>
      <c r="I96" s="5"/>
      <c r="J96" s="19">
        <v>178.9759</v>
      </c>
      <c r="K96" s="20">
        <v>38.7258</v>
      </c>
      <c r="L96" s="20">
        <v>47.173200000000001</v>
      </c>
      <c r="M96" s="20">
        <v>47.303400000000003</v>
      </c>
      <c r="N96" s="20">
        <v>16.5059</v>
      </c>
      <c r="O96" s="20">
        <f t="shared" ref="O96:O116" si="15">(6*K96+L96+M96)/8</f>
        <v>40.853925000000004</v>
      </c>
      <c r="P96" s="7"/>
      <c r="Q96" s="13"/>
      <c r="R96" s="14"/>
      <c r="S96" s="14"/>
      <c r="T96" s="27"/>
      <c r="U96" s="28">
        <f t="shared" ref="U96:U116" si="16">(N96-G96)/G96</f>
        <v>0.4594076038903625</v>
      </c>
      <c r="V96" s="57">
        <f t="shared" si="12"/>
        <v>3.7666666666666702E-2</v>
      </c>
      <c r="W96" s="57">
        <f t="shared" si="13"/>
        <v>0.10512050000000002</v>
      </c>
      <c r="X96" s="56">
        <v>300</v>
      </c>
      <c r="Y96" s="56">
        <v>200</v>
      </c>
    </row>
    <row r="97" spans="2:25" x14ac:dyDescent="0.25">
      <c r="B97" s="6" t="s">
        <v>87</v>
      </c>
      <c r="C97" s="15">
        <v>1474.26</v>
      </c>
      <c r="D97" s="16">
        <v>43.231999999999999</v>
      </c>
      <c r="E97" s="16">
        <v>51.174999999999997</v>
      </c>
      <c r="F97" s="16">
        <v>50.945999999999998</v>
      </c>
      <c r="G97" s="16">
        <v>7.23</v>
      </c>
      <c r="H97" s="16">
        <f t="shared" si="14"/>
        <v>45.189125000000004</v>
      </c>
      <c r="I97" s="5"/>
      <c r="J97" s="15">
        <v>1001.5876</v>
      </c>
      <c r="K97" s="16">
        <v>42.871400000000001</v>
      </c>
      <c r="L97" s="16">
        <v>51.024500000000003</v>
      </c>
      <c r="M97" s="16">
        <v>50.822699999999998</v>
      </c>
      <c r="N97" s="16">
        <v>7.4824999999999999</v>
      </c>
      <c r="O97" s="16">
        <f t="shared" si="15"/>
        <v>44.884450000000001</v>
      </c>
      <c r="P97" s="7"/>
      <c r="Q97" s="8">
        <f>bdrate(C97:C100,D97:D100,J97:J100,K97:K100)</f>
        <v>-0.40899430720391949</v>
      </c>
      <c r="R97" s="8">
        <f>bdrate(C97:C100,E97:E100,J97:J100,L97:L100)</f>
        <v>-0.45202839181105436</v>
      </c>
      <c r="S97" s="8">
        <f>bdrate(C97:C100,F97:F100,J97:J100,M97:M100)</f>
        <v>-0.44976423085233475</v>
      </c>
      <c r="T97" s="25">
        <f>bdrate(C97:C100,H97:H100,J97:J100,O97:O100)</f>
        <v>-0.41711305395373788</v>
      </c>
      <c r="U97" s="28">
        <f t="shared" si="16"/>
        <v>3.492392807745498E-2</v>
      </c>
      <c r="V97" s="57">
        <f t="shared" si="12"/>
        <v>1.7160000000000005E-2</v>
      </c>
      <c r="W97" s="57">
        <f t="shared" si="13"/>
        <v>1.5875999999999521E-3</v>
      </c>
      <c r="X97" s="56">
        <v>1500</v>
      </c>
      <c r="Y97" s="56">
        <v>1000</v>
      </c>
    </row>
    <row r="98" spans="2:25" x14ac:dyDescent="0.25">
      <c r="B98" s="9"/>
      <c r="C98" s="17">
        <v>975.17</v>
      </c>
      <c r="D98" s="18">
        <v>42.16</v>
      </c>
      <c r="E98" s="18">
        <v>50.444000000000003</v>
      </c>
      <c r="F98" s="18">
        <v>50.21</v>
      </c>
      <c r="G98" s="18">
        <v>8.33</v>
      </c>
      <c r="H98" s="18">
        <f t="shared" si="14"/>
        <v>44.201749999999997</v>
      </c>
      <c r="I98" s="5"/>
      <c r="J98" s="17">
        <v>600.60119999999995</v>
      </c>
      <c r="K98" s="18">
        <v>41.9375</v>
      </c>
      <c r="L98" s="18">
        <v>50.433500000000002</v>
      </c>
      <c r="M98" s="18">
        <v>50.216999999999999</v>
      </c>
      <c r="N98" s="18">
        <v>9.1643000000000008</v>
      </c>
      <c r="O98" s="18">
        <f t="shared" si="15"/>
        <v>44.034437499999996</v>
      </c>
      <c r="P98" s="7"/>
      <c r="Q98" s="10"/>
      <c r="R98" s="11"/>
      <c r="S98" s="11"/>
      <c r="T98" s="26"/>
      <c r="U98" s="28">
        <f t="shared" si="16"/>
        <v>0.10015606242497008</v>
      </c>
      <c r="V98" s="57">
        <f t="shared" si="12"/>
        <v>2.483000000000004E-2</v>
      </c>
      <c r="W98" s="57">
        <f t="shared" si="13"/>
        <v>1.0019999999999149E-3</v>
      </c>
      <c r="X98" s="56">
        <v>1000</v>
      </c>
      <c r="Y98" s="56">
        <v>600</v>
      </c>
    </row>
    <row r="99" spans="2:25" x14ac:dyDescent="0.25">
      <c r="B99" s="9"/>
      <c r="C99" s="17">
        <v>577.16999999999996</v>
      </c>
      <c r="D99" s="18">
        <v>40.756</v>
      </c>
      <c r="E99" s="18">
        <v>49.472999999999999</v>
      </c>
      <c r="F99" s="18">
        <v>49.34</v>
      </c>
      <c r="G99" s="18">
        <v>9.3800000000000008</v>
      </c>
      <c r="H99" s="18">
        <f t="shared" si="14"/>
        <v>42.918625000000006</v>
      </c>
      <c r="I99" s="5"/>
      <c r="J99" s="17">
        <v>292.61599999999999</v>
      </c>
      <c r="K99" s="18">
        <v>40.7498</v>
      </c>
      <c r="L99" s="18">
        <v>49.574599999999997</v>
      </c>
      <c r="M99" s="18">
        <v>49.396900000000002</v>
      </c>
      <c r="N99" s="18">
        <v>12.2925</v>
      </c>
      <c r="O99" s="18">
        <f t="shared" si="15"/>
        <v>42.933787500000001</v>
      </c>
      <c r="P99" s="7"/>
      <c r="Q99" s="10"/>
      <c r="R99" s="11"/>
      <c r="S99" s="11"/>
      <c r="T99" s="26"/>
      <c r="U99" s="28">
        <f t="shared" si="16"/>
        <v>0.31050106609808098</v>
      </c>
      <c r="V99" s="57">
        <f t="shared" si="12"/>
        <v>3.805000000000007E-2</v>
      </c>
      <c r="W99" s="57">
        <f t="shared" si="13"/>
        <v>2.4613333333333383E-2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282.69</v>
      </c>
      <c r="D100" s="20">
        <v>38.484000000000002</v>
      </c>
      <c r="E100" s="20">
        <v>47.765000000000001</v>
      </c>
      <c r="F100" s="20">
        <v>47.652000000000001</v>
      </c>
      <c r="G100" s="20">
        <v>10.79</v>
      </c>
      <c r="H100" s="20">
        <f t="shared" si="14"/>
        <v>40.790124999999996</v>
      </c>
      <c r="I100" s="5"/>
      <c r="J100" s="19">
        <v>189.3124</v>
      </c>
      <c r="K100" s="20">
        <v>39.983699999999999</v>
      </c>
      <c r="L100" s="20">
        <v>48.992400000000004</v>
      </c>
      <c r="M100" s="20">
        <v>48.770400000000002</v>
      </c>
      <c r="N100" s="20">
        <v>14.625299999999999</v>
      </c>
      <c r="O100" s="20">
        <f t="shared" si="15"/>
        <v>42.208124999999995</v>
      </c>
      <c r="P100" s="7"/>
      <c r="Q100" s="13"/>
      <c r="R100" s="14"/>
      <c r="S100" s="14"/>
      <c r="T100" s="27"/>
      <c r="U100" s="28">
        <f t="shared" si="16"/>
        <v>0.35544949026876743</v>
      </c>
      <c r="V100" s="57">
        <f t="shared" si="12"/>
        <v>5.7700000000000008E-2</v>
      </c>
      <c r="W100" s="57">
        <f t="shared" si="13"/>
        <v>5.3438000000000013E-2</v>
      </c>
      <c r="X100" s="56">
        <v>300</v>
      </c>
      <c r="Y100" s="56">
        <v>200</v>
      </c>
    </row>
    <row r="101" spans="2:25" x14ac:dyDescent="0.25">
      <c r="B101" s="6" t="s">
        <v>88</v>
      </c>
      <c r="C101" s="15">
        <v>1473.64</v>
      </c>
      <c r="D101" s="16">
        <v>43.581000000000003</v>
      </c>
      <c r="E101" s="16">
        <v>51.756999999999998</v>
      </c>
      <c r="F101" s="16">
        <v>51.793999999999997</v>
      </c>
      <c r="G101" s="16">
        <v>8.48</v>
      </c>
      <c r="H101" s="16">
        <f t="shared" si="14"/>
        <v>45.629624999999997</v>
      </c>
      <c r="I101" s="5"/>
      <c r="J101" s="15">
        <v>1004.6666</v>
      </c>
      <c r="K101" s="16">
        <v>43.204599999999999</v>
      </c>
      <c r="L101" s="16">
        <v>51.559800000000003</v>
      </c>
      <c r="M101" s="16">
        <v>51.608400000000003</v>
      </c>
      <c r="N101" s="16">
        <v>9.2759999999999998</v>
      </c>
      <c r="O101" s="16">
        <f t="shared" si="15"/>
        <v>45.299475000000001</v>
      </c>
      <c r="P101" s="7"/>
      <c r="Q101" s="8">
        <f>bdrate(C101:C104,D101:D104,J101:J104,K101:K104)</f>
        <v>-0.35232597844533231</v>
      </c>
      <c r="R101" s="8">
        <f>bdrate(C101:C104,E101:E104,J101:J104,L101:L104)</f>
        <v>-0.37664865404661296</v>
      </c>
      <c r="S101" s="8">
        <f>bdrate(C101:C104,F101:F104,J101:J104,M101:M104)</f>
        <v>-0.39731544888057702</v>
      </c>
      <c r="T101" s="25">
        <f>bdrate(C101:C104,H101:H104,J101:J104,O101:O104)</f>
        <v>-0.35880047289473083</v>
      </c>
      <c r="U101" s="28">
        <f t="shared" si="16"/>
        <v>9.386792452830181E-2</v>
      </c>
      <c r="V101" s="57">
        <f t="shared" si="12"/>
        <v>1.7573333333333267E-2</v>
      </c>
      <c r="W101" s="57">
        <f t="shared" si="13"/>
        <v>4.6666000000000164E-3</v>
      </c>
      <c r="X101" s="56">
        <v>1500</v>
      </c>
      <c r="Y101" s="56">
        <v>1000</v>
      </c>
    </row>
    <row r="102" spans="2:25" x14ac:dyDescent="0.25">
      <c r="B102" s="9"/>
      <c r="C102" s="17">
        <v>979.47</v>
      </c>
      <c r="D102" s="18">
        <v>42.249000000000002</v>
      </c>
      <c r="E102" s="18">
        <v>51.073999999999998</v>
      </c>
      <c r="F102" s="18">
        <v>51.069000000000003</v>
      </c>
      <c r="G102" s="18">
        <v>9.4499999999999993</v>
      </c>
      <c r="H102" s="18">
        <f t="shared" si="14"/>
        <v>44.454625000000007</v>
      </c>
      <c r="I102" s="5"/>
      <c r="J102" s="17">
        <v>602.41920000000005</v>
      </c>
      <c r="K102" s="18">
        <v>41.802500000000002</v>
      </c>
      <c r="L102" s="18">
        <v>50.727400000000003</v>
      </c>
      <c r="M102" s="18">
        <v>50.8294</v>
      </c>
      <c r="N102" s="18">
        <v>10.73</v>
      </c>
      <c r="O102" s="18">
        <f t="shared" si="15"/>
        <v>44.046475000000001</v>
      </c>
      <c r="P102" s="7"/>
      <c r="Q102" s="10"/>
      <c r="R102" s="11"/>
      <c r="S102" s="11"/>
      <c r="T102" s="26"/>
      <c r="U102" s="28">
        <f t="shared" si="16"/>
        <v>0.13544973544973557</v>
      </c>
      <c r="V102" s="57">
        <f t="shared" si="12"/>
        <v>2.0529999999999972E-2</v>
      </c>
      <c r="W102" s="57">
        <f t="shared" si="13"/>
        <v>4.0320000000000772E-3</v>
      </c>
      <c r="X102" s="56">
        <v>1000</v>
      </c>
      <c r="Y102" s="56">
        <v>600</v>
      </c>
    </row>
    <row r="103" spans="2:25" x14ac:dyDescent="0.25">
      <c r="B103" s="9"/>
      <c r="C103" s="17">
        <v>584.80999999999995</v>
      </c>
      <c r="D103" s="18">
        <v>40.409999999999997</v>
      </c>
      <c r="E103" s="18">
        <v>49.796999999999997</v>
      </c>
      <c r="F103" s="18">
        <v>49.796999999999997</v>
      </c>
      <c r="G103" s="18">
        <v>10.64</v>
      </c>
      <c r="H103" s="18">
        <f t="shared" si="14"/>
        <v>42.756749999999997</v>
      </c>
      <c r="I103" s="5"/>
      <c r="J103" s="17">
        <v>299.89819999999997</v>
      </c>
      <c r="K103" s="18">
        <v>39.845300000000002</v>
      </c>
      <c r="L103" s="18">
        <v>49.6051</v>
      </c>
      <c r="M103" s="18">
        <v>49.671100000000003</v>
      </c>
      <c r="N103" s="18">
        <v>13.6073</v>
      </c>
      <c r="O103" s="18">
        <f t="shared" si="15"/>
        <v>42.293500000000002</v>
      </c>
      <c r="P103" s="7"/>
      <c r="Q103" s="10"/>
      <c r="R103" s="11"/>
      <c r="S103" s="11"/>
      <c r="T103" s="26"/>
      <c r="U103" s="28">
        <f t="shared" si="16"/>
        <v>0.27888157894736837</v>
      </c>
      <c r="V103" s="57">
        <f t="shared" si="12"/>
        <v>2.5316666666666758E-2</v>
      </c>
      <c r="W103" s="57">
        <f t="shared" si="13"/>
        <v>3.3933333333341885E-4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290.12</v>
      </c>
      <c r="D104" s="20">
        <v>37.579000000000001</v>
      </c>
      <c r="E104" s="20">
        <v>47.610999999999997</v>
      </c>
      <c r="F104" s="20">
        <v>47.68</v>
      </c>
      <c r="G104" s="20">
        <v>11.89</v>
      </c>
      <c r="H104" s="20">
        <f t="shared" si="14"/>
        <v>40.095624999999998</v>
      </c>
      <c r="I104" s="5"/>
      <c r="J104" s="19">
        <v>195.73599999999999</v>
      </c>
      <c r="K104" s="20">
        <v>38.622900000000001</v>
      </c>
      <c r="L104" s="20">
        <v>48.701099999999997</v>
      </c>
      <c r="M104" s="20">
        <v>48.813600000000001</v>
      </c>
      <c r="N104" s="20">
        <v>15.0131</v>
      </c>
      <c r="O104" s="20">
        <f t="shared" si="15"/>
        <v>41.156512499999998</v>
      </c>
      <c r="P104" s="7"/>
      <c r="Q104" s="13"/>
      <c r="R104" s="14"/>
      <c r="S104" s="14"/>
      <c r="T104" s="27"/>
      <c r="U104" s="28">
        <f t="shared" si="16"/>
        <v>0.26266610597140444</v>
      </c>
      <c r="V104" s="57">
        <f t="shared" si="12"/>
        <v>3.2933333333333321E-2</v>
      </c>
      <c r="W104" s="57">
        <f t="shared" si="13"/>
        <v>2.1320000000000051E-2</v>
      </c>
      <c r="X104" s="56">
        <v>300</v>
      </c>
      <c r="Y104" s="56">
        <v>200</v>
      </c>
    </row>
    <row r="105" spans="2:25" x14ac:dyDescent="0.25">
      <c r="B105" s="6" t="s">
        <v>89</v>
      </c>
      <c r="C105" s="15">
        <v>1495.43</v>
      </c>
      <c r="D105" s="16">
        <v>41.890999999999998</v>
      </c>
      <c r="E105" s="16">
        <v>49.594999999999999</v>
      </c>
      <c r="F105" s="16">
        <v>50.32</v>
      </c>
      <c r="G105" s="16">
        <v>8.1</v>
      </c>
      <c r="H105" s="16">
        <f t="shared" si="14"/>
        <v>43.907625000000003</v>
      </c>
      <c r="I105" s="5"/>
      <c r="J105" s="15">
        <v>1005.5568</v>
      </c>
      <c r="K105" s="16">
        <v>41.826999999999998</v>
      </c>
      <c r="L105" s="16">
        <v>49.681800000000003</v>
      </c>
      <c r="M105" s="16">
        <v>50.437899999999999</v>
      </c>
      <c r="N105" s="16">
        <v>7.327</v>
      </c>
      <c r="O105" s="16">
        <f t="shared" si="15"/>
        <v>43.885212500000002</v>
      </c>
      <c r="P105" s="7"/>
      <c r="Q105" s="8">
        <f>bdrate(C105:C108,D105:D108,J105:J108,K105:K108)</f>
        <v>-0.46615755521962166</v>
      </c>
      <c r="R105" s="8">
        <f>bdrate(C105:C108,E105:E108,J105:J108,L105:L108)</f>
        <v>-0.44120712280613317</v>
      </c>
      <c r="S105" s="8">
        <f>bdrate(C105:C108,F105:F108,J105:J108,M105:M108)</f>
        <v>-0.46058161503194806</v>
      </c>
      <c r="T105" s="25">
        <f>bdrate(C105:C108,H105:H108,J105:J108,O105:O108)</f>
        <v>-0.46282993845188136</v>
      </c>
      <c r="U105" s="28">
        <f t="shared" si="16"/>
        <v>-9.5432098765432058E-2</v>
      </c>
      <c r="V105" s="57">
        <f t="shared" si="12"/>
        <v>3.0466666666666242E-3</v>
      </c>
      <c r="W105" s="57">
        <f t="shared" si="13"/>
        <v>5.5567999999999529E-3</v>
      </c>
      <c r="X105" s="56">
        <v>1500</v>
      </c>
      <c r="Y105" s="56">
        <v>1000</v>
      </c>
    </row>
    <row r="106" spans="2:25" x14ac:dyDescent="0.25">
      <c r="B106" s="9"/>
      <c r="C106" s="17">
        <v>997.36</v>
      </c>
      <c r="D106" s="18">
        <v>40.823999999999998</v>
      </c>
      <c r="E106" s="18">
        <v>48.947000000000003</v>
      </c>
      <c r="F106" s="18">
        <v>49.695999999999998</v>
      </c>
      <c r="G106" s="18">
        <v>9.17</v>
      </c>
      <c r="H106" s="18">
        <f t="shared" si="14"/>
        <v>42.948374999999999</v>
      </c>
      <c r="I106" s="5"/>
      <c r="J106" s="17">
        <v>601.99599999999998</v>
      </c>
      <c r="K106" s="18">
        <v>40.876199999999997</v>
      </c>
      <c r="L106" s="18">
        <v>48.970799999999997</v>
      </c>
      <c r="M106" s="18">
        <v>49.787199999999999</v>
      </c>
      <c r="N106" s="18">
        <v>8.9451000000000001</v>
      </c>
      <c r="O106" s="18">
        <f t="shared" si="15"/>
        <v>43.001899999999992</v>
      </c>
      <c r="P106" s="7"/>
      <c r="Q106" s="10"/>
      <c r="R106" s="11"/>
      <c r="S106" s="11"/>
      <c r="T106" s="26"/>
      <c r="U106" s="28">
        <f t="shared" si="16"/>
        <v>-2.4525627044711E-2</v>
      </c>
      <c r="V106" s="57">
        <f t="shared" si="12"/>
        <v>2.6399999999999865E-3</v>
      </c>
      <c r="W106" s="57">
        <f t="shared" si="13"/>
        <v>3.3266666666666349E-3</v>
      </c>
      <c r="X106" s="56">
        <v>1000</v>
      </c>
      <c r="Y106" s="56">
        <v>600</v>
      </c>
    </row>
    <row r="107" spans="2:25" x14ac:dyDescent="0.25">
      <c r="B107" s="9"/>
      <c r="C107" s="17">
        <v>597.29</v>
      </c>
      <c r="D107" s="18">
        <v>39.478999999999999</v>
      </c>
      <c r="E107" s="18">
        <v>47.927999999999997</v>
      </c>
      <c r="F107" s="18">
        <v>48.719000000000001</v>
      </c>
      <c r="G107" s="18">
        <v>10.29</v>
      </c>
      <c r="H107" s="18">
        <f t="shared" si="14"/>
        <v>41.690125000000002</v>
      </c>
      <c r="I107" s="5"/>
      <c r="J107" s="17">
        <v>286.56569999999999</v>
      </c>
      <c r="K107" s="18">
        <v>39.493899999999996</v>
      </c>
      <c r="L107" s="18">
        <v>47.691699999999997</v>
      </c>
      <c r="M107" s="18">
        <v>48.543199999999999</v>
      </c>
      <c r="N107" s="18">
        <v>12.0167</v>
      </c>
      <c r="O107" s="18">
        <f t="shared" si="15"/>
        <v>41.649787499999995</v>
      </c>
      <c r="P107" s="7"/>
      <c r="Q107" s="10"/>
      <c r="R107" s="11"/>
      <c r="S107" s="11"/>
      <c r="T107" s="26"/>
      <c r="U107" s="28">
        <f t="shared" si="16"/>
        <v>0.16780369290573383</v>
      </c>
      <c r="V107" s="57">
        <f t="shared" si="12"/>
        <v>4.5166666666667269E-3</v>
      </c>
      <c r="W107" s="57">
        <f t="shared" si="13"/>
        <v>4.4781000000000022E-2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298.41000000000003</v>
      </c>
      <c r="D108" s="20">
        <v>37.363999999999997</v>
      </c>
      <c r="E108" s="20">
        <v>46.223999999999997</v>
      </c>
      <c r="F108" s="20">
        <v>46.997999999999998</v>
      </c>
      <c r="G108" s="20">
        <v>11.7</v>
      </c>
      <c r="H108" s="20">
        <f t="shared" si="14"/>
        <v>39.675749999999994</v>
      </c>
      <c r="I108" s="5"/>
      <c r="J108" s="19">
        <v>186.5729</v>
      </c>
      <c r="K108" s="20">
        <v>38.5364</v>
      </c>
      <c r="L108" s="20">
        <v>46.784999999999997</v>
      </c>
      <c r="M108" s="20">
        <v>47.6843</v>
      </c>
      <c r="N108" s="20">
        <v>14.5381</v>
      </c>
      <c r="O108" s="20">
        <f t="shared" si="15"/>
        <v>40.710962500000001</v>
      </c>
      <c r="P108" s="7"/>
      <c r="Q108" s="13"/>
      <c r="R108" s="14"/>
      <c r="S108" s="14"/>
      <c r="T108" s="27"/>
      <c r="U108" s="28">
        <f t="shared" si="16"/>
        <v>0.24257264957264965</v>
      </c>
      <c r="V108" s="57">
        <f t="shared" si="12"/>
        <v>5.2999999999999168E-3</v>
      </c>
      <c r="W108" s="57">
        <f t="shared" si="13"/>
        <v>6.7135499999999973E-2</v>
      </c>
      <c r="X108" s="56">
        <v>300</v>
      </c>
      <c r="Y108" s="56">
        <v>200</v>
      </c>
    </row>
    <row r="109" spans="2:25" x14ac:dyDescent="0.25">
      <c r="B109" s="6" t="s">
        <v>90</v>
      </c>
      <c r="C109" s="15">
        <v>1515.61</v>
      </c>
      <c r="D109" s="16">
        <v>40.933999999999997</v>
      </c>
      <c r="E109" s="16">
        <v>49.207000000000001</v>
      </c>
      <c r="F109" s="16">
        <v>48.265000000000001</v>
      </c>
      <c r="G109" s="16">
        <v>7.81</v>
      </c>
      <c r="H109" s="16">
        <f t="shared" si="14"/>
        <v>42.884499999999996</v>
      </c>
      <c r="I109" s="5"/>
      <c r="J109" s="15">
        <v>1000.7115</v>
      </c>
      <c r="K109" s="16">
        <v>40.576900000000002</v>
      </c>
      <c r="L109" s="16">
        <v>49.233800000000002</v>
      </c>
      <c r="M109" s="16">
        <v>48.519399999999997</v>
      </c>
      <c r="N109" s="16">
        <v>6.9684999999999997</v>
      </c>
      <c r="O109" s="16">
        <f t="shared" si="15"/>
        <v>42.651825000000002</v>
      </c>
      <c r="P109" s="7"/>
      <c r="Q109" s="8">
        <f>bdrate(C109:C112,D109:D112,J109:J112,K109:K112)</f>
        <v>-0.413641421184612</v>
      </c>
      <c r="R109" s="8">
        <f>bdrate(C109:C112,E109:E112,J109:J112,L109:L112)</f>
        <v>-0.44806071756989785</v>
      </c>
      <c r="S109" s="8">
        <f>bdrate(C109:C112,F109:F112,J109:J112,M109:M112)</f>
        <v>-0.49267424317698483</v>
      </c>
      <c r="T109" s="25">
        <f>bdrate(C109:C112,H109:H112,J109:J112,O109:O112)</f>
        <v>-0.42409216343246281</v>
      </c>
      <c r="U109" s="28">
        <f t="shared" si="16"/>
        <v>-0.10774647887323943</v>
      </c>
      <c r="V109" s="57">
        <f t="shared" si="12"/>
        <v>1.0406666666666601E-2</v>
      </c>
      <c r="W109" s="57">
        <f t="shared" si="13"/>
        <v>7.1150000000000087E-4</v>
      </c>
      <c r="X109" s="56">
        <v>1500</v>
      </c>
      <c r="Y109" s="56">
        <v>1000</v>
      </c>
    </row>
    <row r="110" spans="2:25" x14ac:dyDescent="0.25">
      <c r="B110" s="9"/>
      <c r="C110" s="17">
        <v>1010.74</v>
      </c>
      <c r="D110" s="18">
        <v>39.491</v>
      </c>
      <c r="E110" s="18">
        <v>48.277000000000001</v>
      </c>
      <c r="F110" s="18">
        <v>47.238999999999997</v>
      </c>
      <c r="G110" s="18">
        <v>8.61</v>
      </c>
      <c r="H110" s="18">
        <f t="shared" si="14"/>
        <v>41.557749999999999</v>
      </c>
      <c r="I110" s="5"/>
      <c r="J110" s="17">
        <v>595.97469999999998</v>
      </c>
      <c r="K110" s="18">
        <v>39.1614</v>
      </c>
      <c r="L110" s="18">
        <v>48.309600000000003</v>
      </c>
      <c r="M110" s="18">
        <v>47.519599999999997</v>
      </c>
      <c r="N110" s="18">
        <v>8.5135000000000005</v>
      </c>
      <c r="O110" s="18">
        <f t="shared" si="15"/>
        <v>41.349699999999999</v>
      </c>
      <c r="P110" s="7"/>
      <c r="Q110" s="10"/>
      <c r="R110" s="11"/>
      <c r="S110" s="11"/>
      <c r="T110" s="26"/>
      <c r="U110" s="28">
        <f t="shared" si="16"/>
        <v>-1.1207897793263522E-2</v>
      </c>
      <c r="V110" s="57">
        <f t="shared" si="12"/>
        <v>1.074000000000001E-2</v>
      </c>
      <c r="W110" s="57">
        <f t="shared" si="13"/>
        <v>6.7088333333333592E-3</v>
      </c>
      <c r="X110" s="56">
        <v>1000</v>
      </c>
      <c r="Y110" s="56">
        <v>600</v>
      </c>
    </row>
    <row r="111" spans="2:25" x14ac:dyDescent="0.25">
      <c r="B111" s="9"/>
      <c r="C111" s="17">
        <v>608.04999999999995</v>
      </c>
      <c r="D111" s="18">
        <v>37.465000000000003</v>
      </c>
      <c r="E111" s="18">
        <v>46.968000000000004</v>
      </c>
      <c r="F111" s="18">
        <v>45.853999999999999</v>
      </c>
      <c r="G111" s="18">
        <v>9.67</v>
      </c>
      <c r="H111" s="18">
        <f t="shared" si="14"/>
        <v>39.701500000000003</v>
      </c>
      <c r="I111" s="5"/>
      <c r="J111" s="17">
        <v>286.12830000000002</v>
      </c>
      <c r="K111" s="18">
        <v>36.918100000000003</v>
      </c>
      <c r="L111" s="18">
        <v>46.641199999999998</v>
      </c>
      <c r="M111" s="18">
        <v>45.717399999999998</v>
      </c>
      <c r="N111" s="18">
        <v>11.417299999999999</v>
      </c>
      <c r="O111" s="18">
        <f t="shared" si="15"/>
        <v>39.233400000000003</v>
      </c>
      <c r="P111" s="7"/>
      <c r="Q111" s="10"/>
      <c r="R111" s="11"/>
      <c r="S111" s="11"/>
      <c r="T111" s="26"/>
      <c r="U111" s="28">
        <f t="shared" si="16"/>
        <v>0.1806928645294725</v>
      </c>
      <c r="V111" s="57">
        <f t="shared" si="12"/>
        <v>1.3416666666666591E-2</v>
      </c>
      <c r="W111" s="57">
        <f t="shared" si="13"/>
        <v>4.6238999999999919E-2</v>
      </c>
      <c r="X111" s="56">
        <v>600</v>
      </c>
      <c r="Y111" s="56">
        <v>300</v>
      </c>
    </row>
    <row r="112" spans="2:25" ht="16.5" thickBot="1" x14ac:dyDescent="0.3">
      <c r="B112" s="12"/>
      <c r="C112" s="19">
        <v>304.76</v>
      </c>
      <c r="D112" s="20">
        <v>34.258000000000003</v>
      </c>
      <c r="E112" s="20">
        <v>44.692</v>
      </c>
      <c r="F112" s="20">
        <v>43.722999999999999</v>
      </c>
      <c r="G112" s="20">
        <v>11.03</v>
      </c>
      <c r="H112" s="20">
        <f t="shared" si="14"/>
        <v>36.745375000000003</v>
      </c>
      <c r="I112" s="5"/>
      <c r="J112" s="19">
        <v>185.53210000000001</v>
      </c>
      <c r="K112" s="20">
        <v>35.4602</v>
      </c>
      <c r="L112" s="20">
        <v>45.658200000000001</v>
      </c>
      <c r="M112" s="20">
        <v>44.625500000000002</v>
      </c>
      <c r="N112" s="20">
        <v>13.344200000000001</v>
      </c>
      <c r="O112" s="20">
        <f t="shared" si="15"/>
        <v>37.880612499999998</v>
      </c>
      <c r="P112" s="7"/>
      <c r="Q112" s="13"/>
      <c r="R112" s="14"/>
      <c r="S112" s="14"/>
      <c r="T112" s="27"/>
      <c r="U112" s="28">
        <f t="shared" si="16"/>
        <v>0.20980961015412525</v>
      </c>
      <c r="V112" s="57">
        <f t="shared" si="12"/>
        <v>1.5866666666666637E-2</v>
      </c>
      <c r="W112" s="57">
        <f t="shared" si="13"/>
        <v>7.2339499999999932E-2</v>
      </c>
      <c r="X112" s="56">
        <v>300</v>
      </c>
      <c r="Y112" s="56">
        <v>200</v>
      </c>
    </row>
    <row r="113" spans="1:25" x14ac:dyDescent="0.25">
      <c r="B113" s="6" t="s">
        <v>91</v>
      </c>
      <c r="C113" s="29">
        <v>1467.51</v>
      </c>
      <c r="D113" s="30">
        <v>36.747999999999998</v>
      </c>
      <c r="E113" s="30">
        <v>45.779000000000003</v>
      </c>
      <c r="F113" s="30">
        <v>44.661999999999999</v>
      </c>
      <c r="G113" s="16">
        <v>7.31</v>
      </c>
      <c r="H113" s="16">
        <f t="shared" si="14"/>
        <v>38.866124999999997</v>
      </c>
      <c r="I113" s="5"/>
      <c r="J113" s="29">
        <v>1006.3216</v>
      </c>
      <c r="K113" s="30">
        <v>36.292700000000004</v>
      </c>
      <c r="L113" s="30">
        <v>46.316200000000002</v>
      </c>
      <c r="M113" s="30">
        <v>45.126199999999997</v>
      </c>
      <c r="N113" s="16">
        <v>6.6181000000000001</v>
      </c>
      <c r="O113" s="16">
        <f t="shared" si="15"/>
        <v>38.649825</v>
      </c>
      <c r="P113" s="7"/>
      <c r="Q113" s="8">
        <f>bdrate(C113:C116,D113:D116,J113:J116,K113:K116)</f>
        <v>-0.36930284738839114</v>
      </c>
      <c r="R113" s="8">
        <f>bdrate(C113:C116,E113:E116,J113:J116,L113:L116)</f>
        <v>-0.48411484138819083</v>
      </c>
      <c r="S113" s="8">
        <f>bdrate(C113:C116,F113:F116,J113:J116,M113:M116)</f>
        <v>-0.44960811933635947</v>
      </c>
      <c r="T113" s="25">
        <f>bdrate(C113:C116,H113:H116,J113:J116,O113:O116)</f>
        <v>-0.38642969192432741</v>
      </c>
      <c r="U113" s="28">
        <f t="shared" si="16"/>
        <v>-9.4651162790697616E-2</v>
      </c>
      <c r="V113" s="57">
        <f t="shared" si="12"/>
        <v>2.1660000000000006E-2</v>
      </c>
      <c r="W113" s="57">
        <f t="shared" si="13"/>
        <v>6.3215999999999897E-3</v>
      </c>
      <c r="X113" s="56">
        <v>1500</v>
      </c>
      <c r="Y113" s="56">
        <v>1000</v>
      </c>
    </row>
    <row r="114" spans="1:25" x14ac:dyDescent="0.25">
      <c r="B114" s="9"/>
      <c r="C114" s="31">
        <v>972.31</v>
      </c>
      <c r="D114" s="32">
        <v>35.493000000000002</v>
      </c>
      <c r="E114" s="32">
        <v>44.932000000000002</v>
      </c>
      <c r="F114" s="32">
        <v>43.875999999999998</v>
      </c>
      <c r="G114" s="18">
        <v>8.1</v>
      </c>
      <c r="H114" s="18">
        <f t="shared" si="14"/>
        <v>37.720750000000002</v>
      </c>
      <c r="I114" s="5"/>
      <c r="J114" s="31">
        <v>602.26189999999997</v>
      </c>
      <c r="K114" s="32">
        <v>35.067</v>
      </c>
      <c r="L114" s="32">
        <v>45.322400000000002</v>
      </c>
      <c r="M114" s="32">
        <v>44.161200000000001</v>
      </c>
      <c r="N114" s="18">
        <v>8.0995000000000008</v>
      </c>
      <c r="O114" s="18">
        <f t="shared" si="15"/>
        <v>37.485700000000001</v>
      </c>
      <c r="P114" s="7"/>
      <c r="Q114" s="10"/>
      <c r="R114" s="11"/>
      <c r="S114" s="11"/>
      <c r="T114" s="26"/>
      <c r="U114" s="28">
        <f t="shared" si="16"/>
        <v>-6.1728395061584536E-5</v>
      </c>
      <c r="V114" s="57">
        <f t="shared" si="12"/>
        <v>2.7690000000000055E-2</v>
      </c>
      <c r="W114" s="57">
        <f t="shared" si="13"/>
        <v>3.7698333333332813E-3</v>
      </c>
      <c r="X114" s="56">
        <v>1000</v>
      </c>
      <c r="Y114" s="56">
        <v>600</v>
      </c>
    </row>
    <row r="115" spans="1:25" x14ac:dyDescent="0.25">
      <c r="B115" s="9"/>
      <c r="C115" s="31">
        <v>575.79999999999995</v>
      </c>
      <c r="D115" s="32">
        <v>33.655999999999999</v>
      </c>
      <c r="E115" s="32">
        <v>43.838000000000001</v>
      </c>
      <c r="F115" s="32">
        <v>42.850999999999999</v>
      </c>
      <c r="G115" s="18">
        <v>9.07</v>
      </c>
      <c r="H115" s="18">
        <f t="shared" si="14"/>
        <v>36.078125</v>
      </c>
      <c r="I115" s="5"/>
      <c r="J115" s="31">
        <v>288.04579999999999</v>
      </c>
      <c r="K115" s="32">
        <v>33.123199999999997</v>
      </c>
      <c r="L115" s="32">
        <v>43.758099999999999</v>
      </c>
      <c r="M115" s="32">
        <v>42.598300000000002</v>
      </c>
      <c r="N115" s="18">
        <v>10.907</v>
      </c>
      <c r="O115" s="18">
        <f t="shared" si="15"/>
        <v>35.636949999999999</v>
      </c>
      <c r="P115" s="7"/>
      <c r="Q115" s="10"/>
      <c r="R115" s="11"/>
      <c r="S115" s="11"/>
      <c r="T115" s="26"/>
      <c r="U115" s="28">
        <f t="shared" si="16"/>
        <v>0.20253583241455345</v>
      </c>
      <c r="V115" s="57">
        <f t="shared" si="12"/>
        <v>4.0333333333333408E-2</v>
      </c>
      <c r="W115" s="57">
        <f t="shared" si="13"/>
        <v>3.984733333333338E-2</v>
      </c>
      <c r="X115" s="56">
        <v>600</v>
      </c>
      <c r="Y115" s="56">
        <v>300</v>
      </c>
    </row>
    <row r="116" spans="1:25" ht="16.5" thickBot="1" x14ac:dyDescent="0.3">
      <c r="B116" s="12"/>
      <c r="C116" s="33">
        <v>282.69</v>
      </c>
      <c r="D116" s="34">
        <v>30.376999999999999</v>
      </c>
      <c r="E116" s="34">
        <v>42.109000000000002</v>
      </c>
      <c r="F116" s="34">
        <v>41.180999999999997</v>
      </c>
      <c r="G116" s="20">
        <v>10.4</v>
      </c>
      <c r="H116" s="20">
        <f t="shared" si="14"/>
        <v>33.194000000000003</v>
      </c>
      <c r="I116" s="5"/>
      <c r="J116" s="33">
        <v>185.9735</v>
      </c>
      <c r="K116" s="34">
        <v>31.725200000000001</v>
      </c>
      <c r="L116" s="34">
        <v>42.721600000000002</v>
      </c>
      <c r="M116" s="34">
        <v>41.610300000000002</v>
      </c>
      <c r="N116" s="20">
        <v>13.3687</v>
      </c>
      <c r="O116" s="20">
        <f t="shared" si="15"/>
        <v>34.335387500000003</v>
      </c>
      <c r="P116" s="7"/>
      <c r="Q116" s="13"/>
      <c r="R116" s="14"/>
      <c r="S116" s="14"/>
      <c r="T116" s="27"/>
      <c r="U116" s="28">
        <f t="shared" si="16"/>
        <v>0.28545192307692308</v>
      </c>
      <c r="V116" s="57">
        <f t="shared" si="12"/>
        <v>5.7700000000000008E-2</v>
      </c>
      <c r="W116" s="57">
        <f t="shared" si="13"/>
        <v>7.0132499999999987E-2</v>
      </c>
      <c r="X116" s="56">
        <v>300</v>
      </c>
      <c r="Y116" s="56">
        <v>200</v>
      </c>
    </row>
    <row r="117" spans="1:25" ht="16.5" thickBot="1" x14ac:dyDescent="0.3">
      <c r="B117" s="22" t="s">
        <v>22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1">
        <f t="shared" ref="Q117:W117" si="17">AVERAGE(Q9:Q116)</f>
        <v>-0.4172102531543036</v>
      </c>
      <c r="R117" s="21">
        <f t="shared" si="17"/>
        <v>-0.49749581054522207</v>
      </c>
      <c r="S117" s="21">
        <f t="shared" si="17"/>
        <v>-0.50493252282188728</v>
      </c>
      <c r="T117" s="21">
        <f t="shared" si="17"/>
        <v>-0.43355094518007092</v>
      </c>
      <c r="U117" s="21">
        <f t="shared" si="17"/>
        <v>1.2092284699861308E-2</v>
      </c>
      <c r="V117" s="57">
        <f t="shared" si="17"/>
        <v>4.1036552428150422E-2</v>
      </c>
      <c r="W117" s="57">
        <f t="shared" si="17"/>
        <v>2.04604324074074E-2</v>
      </c>
      <c r="X117" s="57"/>
      <c r="Y117" s="56"/>
    </row>
    <row r="119" spans="1:25" s="35" customFormat="1" ht="15.75" customHeight="1" x14ac:dyDescent="0.25">
      <c r="B119" s="73" t="s">
        <v>29</v>
      </c>
      <c r="C119" s="67" t="s">
        <v>120</v>
      </c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9"/>
    </row>
    <row r="120" spans="1:25" s="35" customFormat="1" x14ac:dyDescent="0.25">
      <c r="B120" s="74"/>
      <c r="C120" s="70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2"/>
    </row>
    <row r="121" spans="1:25" ht="16.5" customHeight="1" thickBot="1" x14ac:dyDescent="0.3">
      <c r="C121" s="75" t="s">
        <v>75</v>
      </c>
      <c r="D121" s="76"/>
      <c r="E121" s="76"/>
      <c r="F121" s="76"/>
      <c r="G121" s="76"/>
      <c r="H121" s="76"/>
      <c r="I121" s="5"/>
      <c r="J121" s="75" t="s">
        <v>107</v>
      </c>
      <c r="K121" s="76"/>
      <c r="L121" s="76"/>
      <c r="M121" s="76"/>
      <c r="N121" s="76"/>
      <c r="O121" s="76"/>
      <c r="Q121" s="75" t="s">
        <v>7</v>
      </c>
      <c r="R121" s="76"/>
      <c r="S121" s="77"/>
      <c r="T121" s="36"/>
      <c r="U121" s="78" t="s">
        <v>43</v>
      </c>
      <c r="V121" s="66" t="s">
        <v>95</v>
      </c>
      <c r="W121" s="66"/>
      <c r="X121" s="66"/>
      <c r="Y121" s="66"/>
    </row>
    <row r="122" spans="1:25" ht="16.5" thickBot="1" x14ac:dyDescent="0.3">
      <c r="C122" s="2" t="s">
        <v>60</v>
      </c>
      <c r="D122" s="3" t="s">
        <v>30</v>
      </c>
      <c r="E122" s="3" t="s">
        <v>31</v>
      </c>
      <c r="F122" s="3" t="s">
        <v>32</v>
      </c>
      <c r="G122" s="3" t="s">
        <v>33</v>
      </c>
      <c r="H122" s="3" t="s">
        <v>34</v>
      </c>
      <c r="I122" s="1"/>
      <c r="J122" s="2" t="s">
        <v>60</v>
      </c>
      <c r="K122" s="3" t="s">
        <v>30</v>
      </c>
      <c r="L122" s="3" t="s">
        <v>31</v>
      </c>
      <c r="M122" s="3" t="s">
        <v>32</v>
      </c>
      <c r="N122" s="3" t="s">
        <v>33</v>
      </c>
      <c r="O122" s="3" t="s">
        <v>34</v>
      </c>
      <c r="Q122" s="2" t="s">
        <v>4</v>
      </c>
      <c r="R122" s="3" t="s">
        <v>5</v>
      </c>
      <c r="S122" s="4" t="s">
        <v>6</v>
      </c>
      <c r="T122" s="24" t="s">
        <v>21</v>
      </c>
      <c r="U122" s="78"/>
      <c r="V122" s="55" t="s">
        <v>100</v>
      </c>
      <c r="W122" s="55" t="s">
        <v>96</v>
      </c>
      <c r="X122" s="56" t="s">
        <v>101</v>
      </c>
      <c r="Y122" s="56" t="s">
        <v>97</v>
      </c>
    </row>
    <row r="123" spans="1:25" x14ac:dyDescent="0.25">
      <c r="A123" s="6" t="s">
        <v>35</v>
      </c>
      <c r="B123" s="6" t="s">
        <v>44</v>
      </c>
      <c r="C123" s="15">
        <v>3037.34</v>
      </c>
      <c r="D123" s="16">
        <v>38.192999999999998</v>
      </c>
      <c r="E123" s="16">
        <v>41.554000000000002</v>
      </c>
      <c r="F123" s="16">
        <v>42.57</v>
      </c>
      <c r="G123" s="16">
        <v>9.33</v>
      </c>
      <c r="H123" s="16">
        <f t="shared" ref="H123:H186" si="18">(6*D123+E123+F123)/8</f>
        <v>39.160249999999998</v>
      </c>
      <c r="I123" s="5"/>
      <c r="J123" s="15">
        <v>2366.2800000000002</v>
      </c>
      <c r="K123" s="16">
        <v>39.066499999999998</v>
      </c>
      <c r="L123" s="16">
        <v>41.913499999999999</v>
      </c>
      <c r="M123" s="16">
        <v>43.245199999999997</v>
      </c>
      <c r="N123" s="16">
        <v>8.0946999999999996</v>
      </c>
      <c r="O123" s="16">
        <f t="shared" ref="O123:O186" si="19">(6*K123+L123+M123)/8</f>
        <v>39.944712500000001</v>
      </c>
      <c r="P123" s="7"/>
      <c r="Q123" s="8">
        <f>bdrate(C123:C126,D123:D126,J123:J126,K123:K126)</f>
        <v>-0.45815903614637699</v>
      </c>
      <c r="R123" s="8">
        <f>bdrate(C123:C126,E123:E126,J123:J126,L123:L126)</f>
        <v>-0.374109290416337</v>
      </c>
      <c r="S123" s="8">
        <f>bdrate(C123:C126,F123:F126,J123:J126,M123:M126)</f>
        <v>-0.46191440729443278</v>
      </c>
      <c r="T123" s="25">
        <f>bdrate(C123:C126,H123:H126,J123:J126,O123:O126)</f>
        <v>-0.45329629049673481</v>
      </c>
      <c r="U123" s="28">
        <f t="shared" ref="U123:U146" si="20">(N123-G123)/G123</f>
        <v>-0.13240085744908903</v>
      </c>
      <c r="V123" s="57">
        <f t="shared" ref="V123:V179" si="21">ABS(C123-X123)/X123</f>
        <v>0.1562944444444444</v>
      </c>
      <c r="W123" s="57">
        <f t="shared" ref="W123:W178" si="22">ABS(J123-Y123)/Y123</f>
        <v>1.4049999999999917E-2</v>
      </c>
      <c r="X123" s="56">
        <v>3600</v>
      </c>
      <c r="Y123" s="56">
        <v>2400</v>
      </c>
    </row>
    <row r="124" spans="1:25" x14ac:dyDescent="0.25">
      <c r="A124" s="9" t="s">
        <v>36</v>
      </c>
      <c r="B124" s="9"/>
      <c r="C124" s="17">
        <v>2000.42</v>
      </c>
      <c r="D124" s="18">
        <v>36.692</v>
      </c>
      <c r="E124" s="18">
        <v>40.859000000000002</v>
      </c>
      <c r="F124" s="18">
        <v>41.798999999999999</v>
      </c>
      <c r="G124" s="18">
        <v>9.9499999999999993</v>
      </c>
      <c r="H124" s="18">
        <f t="shared" si="18"/>
        <v>37.851249999999993</v>
      </c>
      <c r="I124" s="5"/>
      <c r="J124" s="17">
        <v>1574.3096</v>
      </c>
      <c r="K124" s="18">
        <v>37.825800000000001</v>
      </c>
      <c r="L124" s="18">
        <v>41.235700000000001</v>
      </c>
      <c r="M124" s="18">
        <v>42.457799999999999</v>
      </c>
      <c r="N124" s="18">
        <v>9.0038999999999998</v>
      </c>
      <c r="O124" s="18">
        <f t="shared" si="19"/>
        <v>38.831037500000001</v>
      </c>
      <c r="P124" s="7"/>
      <c r="Q124" s="10"/>
      <c r="R124" s="11"/>
      <c r="S124" s="11"/>
      <c r="T124" s="26"/>
      <c r="U124" s="28">
        <f t="shared" si="20"/>
        <v>-9.5085427135678344E-2</v>
      </c>
      <c r="V124" s="57">
        <f t="shared" si="21"/>
        <v>0.16649166666666665</v>
      </c>
      <c r="W124" s="57">
        <f t="shared" si="22"/>
        <v>1.605649999999997E-2</v>
      </c>
      <c r="X124" s="56">
        <v>2400</v>
      </c>
      <c r="Y124" s="56">
        <v>1600</v>
      </c>
    </row>
    <row r="125" spans="1:25" x14ac:dyDescent="0.25">
      <c r="B125" s="9"/>
      <c r="C125" s="17">
        <v>1239.31</v>
      </c>
      <c r="D125" s="18">
        <v>34.771999999999998</v>
      </c>
      <c r="E125" s="18">
        <v>40.094000000000001</v>
      </c>
      <c r="F125" s="18">
        <v>41.05</v>
      </c>
      <c r="G125" s="18">
        <v>10.68</v>
      </c>
      <c r="H125" s="18">
        <f t="shared" si="18"/>
        <v>36.222000000000001</v>
      </c>
      <c r="I125" s="5"/>
      <c r="J125" s="17">
        <v>964.50720000000001</v>
      </c>
      <c r="K125" s="18">
        <v>36.231000000000002</v>
      </c>
      <c r="L125" s="18">
        <v>40.4129</v>
      </c>
      <c r="M125" s="18">
        <v>41.602400000000003</v>
      </c>
      <c r="N125" s="18">
        <v>10.634499999999999</v>
      </c>
      <c r="O125" s="18">
        <f t="shared" si="19"/>
        <v>37.425162499999999</v>
      </c>
      <c r="P125" s="7"/>
      <c r="Q125" s="10"/>
      <c r="R125" s="11"/>
      <c r="S125" s="11"/>
      <c r="T125" s="26"/>
      <c r="U125" s="28">
        <f t="shared" si="20"/>
        <v>-4.2602996254682158E-3</v>
      </c>
      <c r="V125" s="57">
        <f t="shared" si="21"/>
        <v>0.17379333333333338</v>
      </c>
      <c r="W125" s="57">
        <f t="shared" si="22"/>
        <v>3.5492799999999991E-2</v>
      </c>
      <c r="X125" s="56">
        <v>1500</v>
      </c>
      <c r="Y125" s="56">
        <v>1000</v>
      </c>
    </row>
    <row r="126" spans="1:25" ht="16.5" thickBot="1" x14ac:dyDescent="0.3">
      <c r="B126" s="12"/>
      <c r="C126" s="19">
        <v>739.33</v>
      </c>
      <c r="D126" s="20">
        <v>32.536999999999999</v>
      </c>
      <c r="E126" s="20">
        <v>39.253</v>
      </c>
      <c r="F126" s="20">
        <v>40.296999999999997</v>
      </c>
      <c r="G126" s="20">
        <v>10.99</v>
      </c>
      <c r="H126" s="20">
        <f t="shared" si="18"/>
        <v>34.346499999999992</v>
      </c>
      <c r="I126" s="5"/>
      <c r="J126" s="19">
        <v>560.85040000000004</v>
      </c>
      <c r="K126" s="20">
        <v>34.397399999999998</v>
      </c>
      <c r="L126" s="20">
        <v>39.668700000000001</v>
      </c>
      <c r="M126" s="20">
        <v>40.893900000000002</v>
      </c>
      <c r="N126" s="20">
        <v>12.5078</v>
      </c>
      <c r="O126" s="20">
        <f t="shared" si="19"/>
        <v>35.868375</v>
      </c>
      <c r="P126" s="7"/>
      <c r="Q126" s="13"/>
      <c r="R126" s="14"/>
      <c r="S126" s="14"/>
      <c r="T126" s="27"/>
      <c r="U126" s="28">
        <f t="shared" si="20"/>
        <v>0.13810737033666964</v>
      </c>
      <c r="V126" s="57">
        <f t="shared" si="21"/>
        <v>0.17852222222222217</v>
      </c>
      <c r="W126" s="57">
        <f t="shared" si="22"/>
        <v>6.524933333333327E-2</v>
      </c>
      <c r="X126" s="56">
        <v>900</v>
      </c>
      <c r="Y126" s="56">
        <v>600</v>
      </c>
    </row>
    <row r="127" spans="1:25" x14ac:dyDescent="0.25">
      <c r="B127" s="6" t="s">
        <v>45</v>
      </c>
      <c r="C127" s="15">
        <v>3426.06</v>
      </c>
      <c r="D127" s="16">
        <v>35.779000000000003</v>
      </c>
      <c r="E127" s="16">
        <v>38.968000000000004</v>
      </c>
      <c r="F127" s="16">
        <v>40.177</v>
      </c>
      <c r="G127" s="16">
        <v>10.61</v>
      </c>
      <c r="H127" s="16">
        <f t="shared" si="18"/>
        <v>36.727375000000009</v>
      </c>
      <c r="I127" s="5"/>
      <c r="J127" s="15">
        <v>2440.7600000000002</v>
      </c>
      <c r="K127" s="16">
        <v>35.992699999999999</v>
      </c>
      <c r="L127" s="16">
        <v>39.941699999999997</v>
      </c>
      <c r="M127" s="16">
        <v>41.148499999999999</v>
      </c>
      <c r="N127" s="16">
        <v>7.4762000000000004</v>
      </c>
      <c r="O127" s="16">
        <f t="shared" si="19"/>
        <v>37.130800000000001</v>
      </c>
      <c r="P127" s="7"/>
      <c r="Q127" s="8">
        <f>bdrate(C127:C130,D127:D130,J127:J130,K127:K130)</f>
        <v>-0.3980186566248004</v>
      </c>
      <c r="R127" s="8">
        <f>bdrate(C127:C130,E127:E130,J127:J130,L127:L130)</f>
        <v>-0.5311497279943953</v>
      </c>
      <c r="S127" s="8">
        <f>bdrate(C127:C130,F127:F130,J127:J130,M127:M130)</f>
        <v>-0.53271563019126456</v>
      </c>
      <c r="T127" s="25">
        <f>bdrate(C127:C130,H127:H130,J127:J130,O127:O130)</f>
        <v>-0.4203553186082859</v>
      </c>
      <c r="U127" s="28">
        <f t="shared" si="20"/>
        <v>-0.29536286522148908</v>
      </c>
      <c r="V127" s="57">
        <f t="shared" si="21"/>
        <v>4.8316666666666681E-2</v>
      </c>
      <c r="W127" s="57">
        <f t="shared" si="22"/>
        <v>1.6983333333333423E-2</v>
      </c>
      <c r="X127" s="56">
        <v>3600</v>
      </c>
      <c r="Y127" s="56">
        <v>2400</v>
      </c>
    </row>
    <row r="128" spans="1:25" x14ac:dyDescent="0.25">
      <c r="B128" s="9"/>
      <c r="C128" s="17">
        <v>2267.63</v>
      </c>
      <c r="D128" s="18">
        <v>34.231000000000002</v>
      </c>
      <c r="E128" s="18">
        <v>38.274000000000001</v>
      </c>
      <c r="F128" s="18">
        <v>39.598999999999997</v>
      </c>
      <c r="G128" s="18">
        <v>11.24</v>
      </c>
      <c r="H128" s="18">
        <f t="shared" si="18"/>
        <v>35.407375000000002</v>
      </c>
      <c r="I128" s="5"/>
      <c r="J128" s="17">
        <v>1663.3096</v>
      </c>
      <c r="K128" s="18">
        <v>34.720700000000001</v>
      </c>
      <c r="L128" s="18">
        <v>39.168199999999999</v>
      </c>
      <c r="M128" s="18">
        <v>40.384799999999998</v>
      </c>
      <c r="N128" s="18">
        <v>8.6761999999999997</v>
      </c>
      <c r="O128" s="18">
        <f t="shared" si="19"/>
        <v>35.984650000000002</v>
      </c>
      <c r="P128" s="7"/>
      <c r="Q128" s="10"/>
      <c r="R128" s="11"/>
      <c r="S128" s="11"/>
      <c r="T128" s="26"/>
      <c r="U128" s="28">
        <f t="shared" si="20"/>
        <v>-0.22809608540925272</v>
      </c>
      <c r="V128" s="57">
        <f t="shared" si="21"/>
        <v>5.5154166666666622E-2</v>
      </c>
      <c r="W128" s="57">
        <f t="shared" si="22"/>
        <v>3.9568500000000027E-2</v>
      </c>
      <c r="X128" s="56">
        <v>2400</v>
      </c>
      <c r="Y128" s="56">
        <v>1600</v>
      </c>
    </row>
    <row r="129" spans="1:25" x14ac:dyDescent="0.25">
      <c r="B129" s="9"/>
      <c r="C129" s="17">
        <v>1412.04</v>
      </c>
      <c r="D129" s="18">
        <v>32.395000000000003</v>
      </c>
      <c r="E129" s="18">
        <v>37.530999999999999</v>
      </c>
      <c r="F129" s="18">
        <v>38.979999999999997</v>
      </c>
      <c r="G129" s="18">
        <v>11.46</v>
      </c>
      <c r="H129" s="18">
        <f t="shared" si="18"/>
        <v>33.860125000000004</v>
      </c>
      <c r="I129" s="5"/>
      <c r="J129" s="17">
        <v>1030.3368</v>
      </c>
      <c r="K129" s="18">
        <v>33.229500000000002</v>
      </c>
      <c r="L129" s="18">
        <v>38.237099999999998</v>
      </c>
      <c r="M129" s="18">
        <v>39.561300000000003</v>
      </c>
      <c r="N129" s="18">
        <v>10.612399999999999</v>
      </c>
      <c r="O129" s="18">
        <f t="shared" si="19"/>
        <v>34.646925000000003</v>
      </c>
      <c r="P129" s="7"/>
      <c r="Q129" s="10"/>
      <c r="R129" s="11"/>
      <c r="S129" s="11"/>
      <c r="T129" s="26"/>
      <c r="U129" s="28">
        <f t="shared" si="20"/>
        <v>-7.3961605584642376E-2</v>
      </c>
      <c r="V129" s="57">
        <f t="shared" si="21"/>
        <v>5.8640000000000025E-2</v>
      </c>
      <c r="W129" s="57">
        <f t="shared" si="22"/>
        <v>3.0336800000000039E-2</v>
      </c>
      <c r="X129" s="56">
        <v>1500</v>
      </c>
      <c r="Y129" s="56">
        <v>1000</v>
      </c>
    </row>
    <row r="130" spans="1:25" ht="16.5" thickBot="1" x14ac:dyDescent="0.3">
      <c r="B130" s="12"/>
      <c r="C130" s="19">
        <v>839.74</v>
      </c>
      <c r="D130" s="20">
        <v>30.442</v>
      </c>
      <c r="E130" s="20">
        <v>36.859000000000002</v>
      </c>
      <c r="F130" s="20">
        <v>38.351999999999997</v>
      </c>
      <c r="G130" s="20">
        <v>11.9</v>
      </c>
      <c r="H130" s="20">
        <f t="shared" si="18"/>
        <v>32.232875</v>
      </c>
      <c r="I130" s="5"/>
      <c r="J130" s="19">
        <v>596.55200000000002</v>
      </c>
      <c r="K130" s="20">
        <v>31.5656</v>
      </c>
      <c r="L130" s="20">
        <v>37.275300000000001</v>
      </c>
      <c r="M130" s="20">
        <v>38.792200000000001</v>
      </c>
      <c r="N130" s="20">
        <v>12.914300000000001</v>
      </c>
      <c r="O130" s="20">
        <f t="shared" si="19"/>
        <v>33.182637499999998</v>
      </c>
      <c r="P130" s="7"/>
      <c r="Q130" s="13"/>
      <c r="R130" s="14"/>
      <c r="S130" s="14"/>
      <c r="T130" s="27"/>
      <c r="U130" s="28">
        <f t="shared" si="20"/>
        <v>8.523529411764709E-2</v>
      </c>
      <c r="V130" s="57">
        <f t="shared" si="21"/>
        <v>6.6955555555555546E-2</v>
      </c>
      <c r="W130" s="57">
        <f t="shared" si="22"/>
        <v>5.7466666666666317E-3</v>
      </c>
      <c r="X130" s="56">
        <v>900</v>
      </c>
      <c r="Y130" s="56">
        <v>600</v>
      </c>
    </row>
    <row r="131" spans="1:25" x14ac:dyDescent="0.25">
      <c r="B131" s="6" t="s">
        <v>46</v>
      </c>
      <c r="C131" s="15">
        <v>3543.07</v>
      </c>
      <c r="D131" s="16">
        <v>33.701999999999998</v>
      </c>
      <c r="E131" s="16">
        <v>37.709000000000003</v>
      </c>
      <c r="F131" s="16">
        <v>39.133000000000003</v>
      </c>
      <c r="G131" s="16">
        <v>10.8</v>
      </c>
      <c r="H131" s="16">
        <f t="shared" si="18"/>
        <v>34.881749999999997</v>
      </c>
      <c r="I131" s="5"/>
      <c r="J131" s="15">
        <v>2409.1527999999998</v>
      </c>
      <c r="K131" s="16">
        <v>34.044699999999999</v>
      </c>
      <c r="L131" s="16">
        <v>38.175400000000003</v>
      </c>
      <c r="M131" s="16">
        <v>40.141199999999998</v>
      </c>
      <c r="N131" s="16">
        <v>10.889200000000001</v>
      </c>
      <c r="O131" s="16">
        <f t="shared" si="19"/>
        <v>35.323099999999997</v>
      </c>
      <c r="P131" s="7"/>
      <c r="Q131" s="8">
        <f>bdrate(C131:C134,D131:D134,J131:J134,K131:K134)</f>
        <v>-0.45382018953310566</v>
      </c>
      <c r="R131" s="8">
        <f>bdrate(C131:C134,E131:E134,J131:J134,L131:L134)</f>
        <v>-0.52658444775403268</v>
      </c>
      <c r="S131" s="8">
        <f>bdrate(C131:C134,F131:F134,J131:J134,M131:M134)</f>
        <v>-0.567815172587119</v>
      </c>
      <c r="T131" s="25">
        <f>bdrate(C131:C134,H131:H134,J131:J134,O131:O134)</f>
        <v>-0.46927956503449386</v>
      </c>
      <c r="U131" s="28">
        <f t="shared" si="20"/>
        <v>8.2592592592592544E-3</v>
      </c>
      <c r="V131" s="57">
        <f t="shared" si="21"/>
        <v>1.5813888888888843E-2</v>
      </c>
      <c r="W131" s="57">
        <f t="shared" si="22"/>
        <v>3.8136666666666011E-3</v>
      </c>
      <c r="X131" s="56">
        <v>3600</v>
      </c>
      <c r="Y131" s="56">
        <v>2400</v>
      </c>
    </row>
    <row r="132" spans="1:25" x14ac:dyDescent="0.25">
      <c r="B132" s="9"/>
      <c r="C132" s="17">
        <v>2363.06</v>
      </c>
      <c r="D132" s="18">
        <v>32.203000000000003</v>
      </c>
      <c r="E132" s="18">
        <v>37.223999999999997</v>
      </c>
      <c r="F132" s="18">
        <v>38.322000000000003</v>
      </c>
      <c r="G132" s="18">
        <v>10.81</v>
      </c>
      <c r="H132" s="18">
        <f t="shared" si="18"/>
        <v>33.595500000000001</v>
      </c>
      <c r="I132" s="5"/>
      <c r="J132" s="17">
        <v>1604.1479999999999</v>
      </c>
      <c r="K132" s="18">
        <v>32.818199999999997</v>
      </c>
      <c r="L132" s="18">
        <v>37.698399999999999</v>
      </c>
      <c r="M132" s="18">
        <v>39.313499999999998</v>
      </c>
      <c r="N132" s="18">
        <v>12.7707</v>
      </c>
      <c r="O132" s="18">
        <f t="shared" si="19"/>
        <v>34.240137499999996</v>
      </c>
      <c r="P132" s="7"/>
      <c r="Q132" s="10"/>
      <c r="R132" s="11"/>
      <c r="S132" s="11"/>
      <c r="T132" s="26"/>
      <c r="U132" s="28">
        <f t="shared" si="20"/>
        <v>0.18137835337650315</v>
      </c>
      <c r="V132" s="57">
        <f t="shared" si="21"/>
        <v>1.5391666666666689E-2</v>
      </c>
      <c r="W132" s="57">
        <f t="shared" si="22"/>
        <v>2.5924999999999442E-3</v>
      </c>
      <c r="X132" s="56">
        <v>2400</v>
      </c>
      <c r="Y132" s="56">
        <v>1600</v>
      </c>
    </row>
    <row r="133" spans="1:25" x14ac:dyDescent="0.25">
      <c r="B133" s="9"/>
      <c r="C133" s="17">
        <v>1469.65</v>
      </c>
      <c r="D133" s="18">
        <v>30.257999999999999</v>
      </c>
      <c r="E133" s="18">
        <v>36.606999999999999</v>
      </c>
      <c r="F133" s="18">
        <v>37.340000000000003</v>
      </c>
      <c r="G133" s="18">
        <v>11.22</v>
      </c>
      <c r="H133" s="18">
        <f t="shared" si="18"/>
        <v>31.936875000000001</v>
      </c>
      <c r="I133" s="5"/>
      <c r="J133" s="17">
        <v>1001.6464</v>
      </c>
      <c r="K133" s="18">
        <v>31.228300000000001</v>
      </c>
      <c r="L133" s="18">
        <v>37.076000000000001</v>
      </c>
      <c r="M133" s="18">
        <v>38.276400000000002</v>
      </c>
      <c r="N133" s="18">
        <v>15.1639</v>
      </c>
      <c r="O133" s="18">
        <f t="shared" si="19"/>
        <v>32.840274999999998</v>
      </c>
      <c r="P133" s="7"/>
      <c r="Q133" s="10"/>
      <c r="R133" s="11"/>
      <c r="S133" s="11"/>
      <c r="T133" s="26"/>
      <c r="U133" s="28">
        <f t="shared" si="20"/>
        <v>0.35150623885917998</v>
      </c>
      <c r="V133" s="57">
        <f t="shared" si="21"/>
        <v>2.0233333333333273E-2</v>
      </c>
      <c r="W133" s="57">
        <f t="shared" si="22"/>
        <v>1.6463999999999715E-3</v>
      </c>
      <c r="X133" s="56">
        <v>1500</v>
      </c>
      <c r="Y133" s="56">
        <v>1000</v>
      </c>
    </row>
    <row r="134" spans="1:25" ht="16.5" thickBot="1" x14ac:dyDescent="0.3">
      <c r="B134" s="12"/>
      <c r="C134" s="19">
        <v>875.73</v>
      </c>
      <c r="D134" s="20">
        <v>27.975999999999999</v>
      </c>
      <c r="E134" s="20">
        <v>35.909999999999997</v>
      </c>
      <c r="F134" s="20">
        <v>36.363</v>
      </c>
      <c r="G134" s="20">
        <v>11.91</v>
      </c>
      <c r="H134" s="20">
        <f t="shared" si="18"/>
        <v>30.016124999999999</v>
      </c>
      <c r="I134" s="5"/>
      <c r="J134" s="19">
        <v>596.83040000000005</v>
      </c>
      <c r="K134" s="20">
        <v>29.479800000000001</v>
      </c>
      <c r="L134" s="20">
        <v>36.382100000000001</v>
      </c>
      <c r="M134" s="20">
        <v>37.167400000000001</v>
      </c>
      <c r="N134" s="20">
        <v>18.482900000000001</v>
      </c>
      <c r="O134" s="20">
        <f t="shared" si="19"/>
        <v>31.303537500000004</v>
      </c>
      <c r="P134" s="7"/>
      <c r="Q134" s="13"/>
      <c r="R134" s="14"/>
      <c r="S134" s="14"/>
      <c r="T134" s="27"/>
      <c r="U134" s="28">
        <f t="shared" si="20"/>
        <v>0.55188077246011757</v>
      </c>
      <c r="V134" s="57">
        <f t="shared" si="21"/>
        <v>2.6966666666666646E-2</v>
      </c>
      <c r="W134" s="57">
        <f t="shared" si="22"/>
        <v>5.2826666666665762E-3</v>
      </c>
      <c r="X134" s="56">
        <v>900</v>
      </c>
      <c r="Y134" s="56">
        <v>600</v>
      </c>
    </row>
    <row r="135" spans="1:25" x14ac:dyDescent="0.25">
      <c r="B135" s="6" t="s">
        <v>47</v>
      </c>
      <c r="C135" s="29">
        <v>3577.2</v>
      </c>
      <c r="D135" s="30">
        <v>32.988</v>
      </c>
      <c r="E135" s="30">
        <v>39.412999999999997</v>
      </c>
      <c r="F135" s="30">
        <v>39.061</v>
      </c>
      <c r="G135" s="16">
        <v>9.9600000000000009</v>
      </c>
      <c r="H135" s="16">
        <f t="shared" si="18"/>
        <v>34.550249999999998</v>
      </c>
      <c r="I135" s="5"/>
      <c r="J135" s="29">
        <v>2421.4007999999999</v>
      </c>
      <c r="K135" s="30">
        <v>33.987400000000001</v>
      </c>
      <c r="L135" s="30">
        <v>40.331200000000003</v>
      </c>
      <c r="M135" s="30">
        <v>39.912199999999999</v>
      </c>
      <c r="N135" s="16">
        <v>9.2287999999999997</v>
      </c>
      <c r="O135" s="16">
        <f t="shared" si="19"/>
        <v>35.520975</v>
      </c>
      <c r="P135" s="7"/>
      <c r="Q135" s="8">
        <f>bdrate(C135:C138,D135:D138,J135:J138,K135:K138)</f>
        <v>-0.56560781648265057</v>
      </c>
      <c r="R135" s="8">
        <f>bdrate(C135:C138,E135:E138,J135:J138,L135:L138)</f>
        <v>-0.60598582401663426</v>
      </c>
      <c r="S135" s="8">
        <f>bdrate(C135:C138,F135:F138,J135:J138,M135:M138)</f>
        <v>-0.50902350486925341</v>
      </c>
      <c r="T135" s="25">
        <f>bdrate(C135:C138,H135:H138,J135:J138,O135:O138)</f>
        <v>-0.566649988876885</v>
      </c>
      <c r="U135" s="28">
        <f t="shared" si="20"/>
        <v>-7.3413654618474003E-2</v>
      </c>
      <c r="V135" s="57">
        <f t="shared" si="21"/>
        <v>6.3333333333333835E-3</v>
      </c>
      <c r="W135" s="57">
        <f t="shared" si="22"/>
        <v>8.9169999999999545E-3</v>
      </c>
      <c r="X135" s="56">
        <v>3600</v>
      </c>
      <c r="Y135" s="56">
        <v>2400</v>
      </c>
    </row>
    <row r="136" spans="1:25" x14ac:dyDescent="0.25">
      <c r="B136" s="9"/>
      <c r="C136" s="31">
        <v>2371.21</v>
      </c>
      <c r="D136" s="32">
        <v>30.984999999999999</v>
      </c>
      <c r="E136" s="32">
        <v>38.564999999999998</v>
      </c>
      <c r="F136" s="32">
        <v>38.082000000000001</v>
      </c>
      <c r="G136" s="18">
        <v>10.41</v>
      </c>
      <c r="H136" s="18">
        <f t="shared" si="18"/>
        <v>32.819625000000002</v>
      </c>
      <c r="I136" s="5"/>
      <c r="J136" s="31">
        <v>1609.9672</v>
      </c>
      <c r="K136" s="32">
        <v>32.583799999999997</v>
      </c>
      <c r="L136" s="32">
        <v>39.602499999999999</v>
      </c>
      <c r="M136" s="32">
        <v>38.948300000000003</v>
      </c>
      <c r="N136" s="18">
        <v>10.768700000000001</v>
      </c>
      <c r="O136" s="18">
        <f t="shared" si="19"/>
        <v>34.256699999999995</v>
      </c>
      <c r="P136" s="7"/>
      <c r="Q136" s="10"/>
      <c r="R136" s="11"/>
      <c r="S136" s="11"/>
      <c r="T136" s="26"/>
      <c r="U136" s="28">
        <f t="shared" si="20"/>
        <v>3.445725264169075E-2</v>
      </c>
      <c r="V136" s="57">
        <f t="shared" si="21"/>
        <v>1.1995833333333318E-2</v>
      </c>
      <c r="W136" s="57">
        <f t="shared" si="22"/>
        <v>6.2295000000000302E-3</v>
      </c>
      <c r="X136" s="56">
        <v>2400</v>
      </c>
      <c r="Y136" s="56">
        <v>1600</v>
      </c>
    </row>
    <row r="137" spans="1:25" x14ac:dyDescent="0.25">
      <c r="B137" s="9"/>
      <c r="C137" s="31">
        <v>1473.58</v>
      </c>
      <c r="D137" s="32">
        <v>28.103000000000002</v>
      </c>
      <c r="E137" s="32">
        <v>37.417000000000002</v>
      </c>
      <c r="F137" s="32">
        <v>36.908999999999999</v>
      </c>
      <c r="G137" s="18">
        <v>10.59</v>
      </c>
      <c r="H137" s="18">
        <f t="shared" si="18"/>
        <v>30.367999999999999</v>
      </c>
      <c r="I137" s="5"/>
      <c r="J137" s="31">
        <v>1001.8288</v>
      </c>
      <c r="K137" s="32">
        <v>30.8261</v>
      </c>
      <c r="L137" s="32">
        <v>38.737099999999998</v>
      </c>
      <c r="M137" s="32">
        <v>37.7607</v>
      </c>
      <c r="N137" s="18">
        <v>12.972899999999999</v>
      </c>
      <c r="O137" s="18">
        <f t="shared" si="19"/>
        <v>32.681800000000003</v>
      </c>
      <c r="P137" s="7"/>
      <c r="Q137" s="10"/>
      <c r="R137" s="11"/>
      <c r="S137" s="11"/>
      <c r="T137" s="26"/>
      <c r="U137" s="28">
        <f t="shared" si="20"/>
        <v>0.22501416430594895</v>
      </c>
      <c r="V137" s="57">
        <f t="shared" si="21"/>
        <v>1.761333333333338E-2</v>
      </c>
      <c r="W137" s="57">
        <f t="shared" si="22"/>
        <v>1.8288000000000011E-3</v>
      </c>
      <c r="X137" s="56">
        <v>1500</v>
      </c>
      <c r="Y137" s="56">
        <v>1000</v>
      </c>
    </row>
    <row r="138" spans="1:25" ht="16.5" thickBot="1" x14ac:dyDescent="0.3">
      <c r="B138" s="12"/>
      <c r="C138" s="33">
        <v>872.79</v>
      </c>
      <c r="D138" s="34">
        <v>24.164999999999999</v>
      </c>
      <c r="E138" s="34">
        <v>35.659999999999997</v>
      </c>
      <c r="F138" s="34">
        <v>34.895000000000003</v>
      </c>
      <c r="G138" s="20">
        <v>10.87</v>
      </c>
      <c r="H138" s="20">
        <f t="shared" si="18"/>
        <v>26.943125000000002</v>
      </c>
      <c r="I138" s="5"/>
      <c r="J138" s="33">
        <v>600.00720000000001</v>
      </c>
      <c r="K138" s="34">
        <v>28.9422</v>
      </c>
      <c r="L138" s="34">
        <v>37.467700000000001</v>
      </c>
      <c r="M138" s="34">
        <v>36.163800000000002</v>
      </c>
      <c r="N138" s="20">
        <v>15.9877</v>
      </c>
      <c r="O138" s="20">
        <f t="shared" si="19"/>
        <v>30.910587500000002</v>
      </c>
      <c r="P138" s="7"/>
      <c r="Q138" s="13"/>
      <c r="R138" s="14"/>
      <c r="S138" s="14"/>
      <c r="T138" s="27"/>
      <c r="U138" s="28">
        <f t="shared" si="20"/>
        <v>0.47080956761729542</v>
      </c>
      <c r="V138" s="57">
        <f t="shared" si="21"/>
        <v>3.0233333333333372E-2</v>
      </c>
      <c r="W138" s="57">
        <f t="shared" si="22"/>
        <v>1.2000000000019402E-5</v>
      </c>
      <c r="X138" s="56">
        <v>900</v>
      </c>
      <c r="Y138" s="56">
        <v>600</v>
      </c>
    </row>
    <row r="139" spans="1:25" x14ac:dyDescent="0.25">
      <c r="B139" s="6" t="s">
        <v>48</v>
      </c>
      <c r="C139" s="15">
        <v>3576.85</v>
      </c>
      <c r="D139" s="16">
        <v>32.517000000000003</v>
      </c>
      <c r="E139" s="16">
        <v>38.731999999999999</v>
      </c>
      <c r="F139" s="16">
        <v>41.350999999999999</v>
      </c>
      <c r="G139" s="16">
        <v>11.27</v>
      </c>
      <c r="H139" s="16">
        <f t="shared" si="18"/>
        <v>34.398125000000007</v>
      </c>
      <c r="I139" s="5"/>
      <c r="J139" s="15">
        <v>2408.2687999999998</v>
      </c>
      <c r="K139" s="16">
        <v>33.571399999999997</v>
      </c>
      <c r="L139" s="16">
        <v>39.792299999999997</v>
      </c>
      <c r="M139" s="16">
        <v>42.271599999999999</v>
      </c>
      <c r="N139" s="16">
        <v>11.9436</v>
      </c>
      <c r="O139" s="16">
        <f t="shared" si="19"/>
        <v>35.436537499999993</v>
      </c>
      <c r="P139" s="7"/>
      <c r="Q139" s="8">
        <f>bdrate(C139:C142,D139:D142,J139:J142,K139:K142)</f>
        <v>-0.62373035635495921</v>
      </c>
      <c r="R139" s="8">
        <f>bdrate(C139:C142,E139:E142,J139:J142,L139:L142)</f>
        <v>-0.69622128797100957</v>
      </c>
      <c r="S139" s="8">
        <f>bdrate(C139:C142,F139:F142,J139:J142,M139:M142)</f>
        <v>-0.69155095937945599</v>
      </c>
      <c r="T139" s="25">
        <f>bdrate(C139:C142,H139:H142,J139:J142,O139:O142)</f>
        <v>-0.6330088991230729</v>
      </c>
      <c r="U139" s="28">
        <f t="shared" si="20"/>
        <v>5.9769299023957452E-2</v>
      </c>
      <c r="V139" s="57">
        <f t="shared" si="21"/>
        <v>6.4305555555555808E-3</v>
      </c>
      <c r="W139" s="57">
        <f t="shared" si="22"/>
        <v>3.4453333333332617E-3</v>
      </c>
      <c r="X139" s="56">
        <v>3600</v>
      </c>
      <c r="Y139" s="56">
        <v>2400</v>
      </c>
    </row>
    <row r="140" spans="1:25" x14ac:dyDescent="0.25">
      <c r="B140" s="9"/>
      <c r="C140" s="17">
        <v>2348.65</v>
      </c>
      <c r="D140" s="18">
        <v>31.413</v>
      </c>
      <c r="E140" s="18">
        <v>38.238</v>
      </c>
      <c r="F140" s="18">
        <v>40.807000000000002</v>
      </c>
      <c r="G140" s="18">
        <v>11.6</v>
      </c>
      <c r="H140" s="18">
        <f t="shared" si="18"/>
        <v>33.440375000000003</v>
      </c>
      <c r="I140" s="5"/>
      <c r="J140" s="17">
        <v>1619.0008</v>
      </c>
      <c r="K140" s="18">
        <v>32.874400000000001</v>
      </c>
      <c r="L140" s="18">
        <v>39.308599999999998</v>
      </c>
      <c r="M140" s="18">
        <v>41.832599999999999</v>
      </c>
      <c r="N140" s="18">
        <v>13.4024</v>
      </c>
      <c r="O140" s="18">
        <f t="shared" si="19"/>
        <v>34.798450000000003</v>
      </c>
      <c r="P140" s="7"/>
      <c r="Q140" s="10"/>
      <c r="R140" s="11"/>
      <c r="S140" s="11"/>
      <c r="T140" s="26"/>
      <c r="U140" s="28">
        <f t="shared" si="20"/>
        <v>0.15537931034482763</v>
      </c>
      <c r="V140" s="57">
        <f t="shared" si="21"/>
        <v>2.1395833333333295E-2</v>
      </c>
      <c r="W140" s="57">
        <f t="shared" si="22"/>
        <v>1.1875500000000016E-2</v>
      </c>
      <c r="X140" s="56">
        <v>2400</v>
      </c>
      <c r="Y140" s="56">
        <v>1600</v>
      </c>
    </row>
    <row r="141" spans="1:25" x14ac:dyDescent="0.25">
      <c r="B141" s="9"/>
      <c r="C141" s="17">
        <v>1432.34</v>
      </c>
      <c r="D141" s="18">
        <v>29.727</v>
      </c>
      <c r="E141" s="18">
        <v>37.69</v>
      </c>
      <c r="F141" s="18">
        <v>40.241</v>
      </c>
      <c r="G141" s="18">
        <v>11.93</v>
      </c>
      <c r="H141" s="18">
        <f t="shared" si="18"/>
        <v>32.036625000000001</v>
      </c>
      <c r="I141" s="5"/>
      <c r="J141" s="17">
        <v>1032.9512</v>
      </c>
      <c r="K141" s="18">
        <v>31.7973</v>
      </c>
      <c r="L141" s="18">
        <v>38.668799999999997</v>
      </c>
      <c r="M141" s="18">
        <v>41.236499999999999</v>
      </c>
      <c r="N141" s="18">
        <v>15.4575</v>
      </c>
      <c r="O141" s="18">
        <f t="shared" si="19"/>
        <v>33.8361375</v>
      </c>
      <c r="P141" s="7"/>
      <c r="Q141" s="10"/>
      <c r="R141" s="11"/>
      <c r="S141" s="11"/>
      <c r="T141" s="26"/>
      <c r="U141" s="28">
        <f t="shared" si="20"/>
        <v>0.29568315171835707</v>
      </c>
      <c r="V141" s="57">
        <f t="shared" si="21"/>
        <v>4.5106666666666718E-2</v>
      </c>
      <c r="W141" s="57">
        <f t="shared" si="22"/>
        <v>3.2951199999999972E-2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831.4</v>
      </c>
      <c r="D142" s="20">
        <v>27.465</v>
      </c>
      <c r="E142" s="20">
        <v>37.055</v>
      </c>
      <c r="F142" s="20">
        <v>39.334000000000003</v>
      </c>
      <c r="G142" s="20">
        <v>12.1</v>
      </c>
      <c r="H142" s="20">
        <f t="shared" si="18"/>
        <v>30.147375</v>
      </c>
      <c r="I142" s="5"/>
      <c r="J142" s="19">
        <v>598.41359999999997</v>
      </c>
      <c r="K142" s="20">
        <v>30.290299999999998</v>
      </c>
      <c r="L142" s="20">
        <v>38.057899999999997</v>
      </c>
      <c r="M142" s="20">
        <v>40.615299999999998</v>
      </c>
      <c r="N142" s="20">
        <v>17.870999999999999</v>
      </c>
      <c r="O142" s="20">
        <f t="shared" si="19"/>
        <v>32.551874999999995</v>
      </c>
      <c r="P142" s="7"/>
      <c r="Q142" s="13"/>
      <c r="R142" s="14"/>
      <c r="S142" s="14"/>
      <c r="T142" s="27"/>
      <c r="U142" s="28">
        <f t="shared" si="20"/>
        <v>0.47694214876033053</v>
      </c>
      <c r="V142" s="57">
        <f t="shared" si="21"/>
        <v>7.6222222222222247E-2</v>
      </c>
      <c r="W142" s="57">
        <f t="shared" si="22"/>
        <v>2.6440000000000435E-3</v>
      </c>
      <c r="X142" s="56">
        <v>900</v>
      </c>
      <c r="Y142" s="56">
        <v>600</v>
      </c>
    </row>
    <row r="143" spans="1:25" x14ac:dyDescent="0.25">
      <c r="A143" s="6" t="s">
        <v>37</v>
      </c>
      <c r="B143" s="6" t="s">
        <v>49</v>
      </c>
      <c r="C143" s="15">
        <v>1553.74</v>
      </c>
      <c r="D143" s="16">
        <v>34.14</v>
      </c>
      <c r="E143" s="16">
        <v>37.445</v>
      </c>
      <c r="F143" s="16">
        <v>37.348999999999997</v>
      </c>
      <c r="G143" s="16">
        <v>53.82</v>
      </c>
      <c r="H143" s="16">
        <f t="shared" si="18"/>
        <v>34.954250000000002</v>
      </c>
      <c r="I143" s="5"/>
      <c r="J143" s="15">
        <v>1203.3032000000001</v>
      </c>
      <c r="K143" s="16">
        <v>34.940800000000003</v>
      </c>
      <c r="L143" s="16">
        <v>39.178899999999999</v>
      </c>
      <c r="M143" s="16">
        <v>39.059699999999999</v>
      </c>
      <c r="N143" s="16">
        <v>35.435899999999997</v>
      </c>
      <c r="O143" s="16">
        <f t="shared" si="19"/>
        <v>35.985425000000006</v>
      </c>
      <c r="P143" s="7"/>
      <c r="Q143" s="8">
        <f>bdrate(C143:C146,D143:D146,J143:J146,K143:K146)</f>
        <v>-0.39189168010735953</v>
      </c>
      <c r="R143" s="8">
        <f>bdrate(C143:C146,E143:E146,J143:J146,L143:L146)</f>
        <v>-0.56201072599359325</v>
      </c>
      <c r="S143" s="8">
        <f>bdrate(C143:C146,F143:F146,J143:J146,M143:M146)</f>
        <v>-0.5270261280687546</v>
      </c>
      <c r="T143" s="25">
        <f>bdrate(C143:C146,H143:H146,J143:J146,O143:O146)</f>
        <v>-0.42333766787683147</v>
      </c>
      <c r="U143" s="28">
        <f t="shared" si="20"/>
        <v>-0.34158491267186925</v>
      </c>
      <c r="V143" s="57">
        <f t="shared" si="21"/>
        <v>2.4129032258064574E-3</v>
      </c>
      <c r="W143" s="57">
        <f t="shared" si="22"/>
        <v>2.7526666666667175E-3</v>
      </c>
      <c r="X143" s="56">
        <v>1550</v>
      </c>
      <c r="Y143" s="56">
        <v>1200</v>
      </c>
    </row>
    <row r="144" spans="1:25" x14ac:dyDescent="0.25">
      <c r="A144" s="9" t="s">
        <v>38</v>
      </c>
      <c r="B144" s="9"/>
      <c r="C144" s="17">
        <v>1052.03</v>
      </c>
      <c r="D144" s="18">
        <v>32.593000000000004</v>
      </c>
      <c r="E144" s="18">
        <v>36.488999999999997</v>
      </c>
      <c r="F144" s="18">
        <v>36.286000000000001</v>
      </c>
      <c r="G144" s="18">
        <v>58.95</v>
      </c>
      <c r="H144" s="18">
        <f t="shared" si="18"/>
        <v>33.541625000000003</v>
      </c>
      <c r="I144" s="5"/>
      <c r="J144" s="17">
        <v>806.87120000000004</v>
      </c>
      <c r="K144" s="18">
        <v>33.407400000000003</v>
      </c>
      <c r="L144" s="18">
        <v>38.044499999999999</v>
      </c>
      <c r="M144" s="18">
        <v>37.785299999999999</v>
      </c>
      <c r="N144" s="18">
        <v>40.624000000000002</v>
      </c>
      <c r="O144" s="18">
        <f t="shared" si="19"/>
        <v>34.534275000000001</v>
      </c>
      <c r="P144" s="7"/>
      <c r="Q144" s="10"/>
      <c r="R144" s="11"/>
      <c r="S144" s="11"/>
      <c r="T144" s="26"/>
      <c r="U144" s="28">
        <f t="shared" si="20"/>
        <v>-0.31087362171331634</v>
      </c>
      <c r="V144" s="57">
        <f t="shared" si="21"/>
        <v>1.9333333333333073E-3</v>
      </c>
      <c r="W144" s="57">
        <f t="shared" si="22"/>
        <v>8.5890000000000549E-3</v>
      </c>
      <c r="X144" s="56">
        <v>1050</v>
      </c>
      <c r="Y144" s="56">
        <v>800</v>
      </c>
    </row>
    <row r="145" spans="1:25" x14ac:dyDescent="0.25">
      <c r="B145" s="9"/>
      <c r="C145" s="17">
        <v>650.48</v>
      </c>
      <c r="D145" s="18">
        <v>30.603000000000002</v>
      </c>
      <c r="E145" s="18">
        <v>35.433</v>
      </c>
      <c r="F145" s="18">
        <v>35.07</v>
      </c>
      <c r="G145" s="18">
        <v>62.52</v>
      </c>
      <c r="H145" s="18">
        <f t="shared" si="18"/>
        <v>31.765124999999998</v>
      </c>
      <c r="I145" s="5"/>
      <c r="J145" s="17">
        <v>502.2176</v>
      </c>
      <c r="K145" s="18">
        <v>31.6069</v>
      </c>
      <c r="L145" s="18">
        <v>36.756700000000002</v>
      </c>
      <c r="M145" s="18">
        <v>36.364600000000003</v>
      </c>
      <c r="N145" s="18">
        <v>49.677100000000003</v>
      </c>
      <c r="O145" s="18">
        <f t="shared" si="19"/>
        <v>32.845337499999999</v>
      </c>
      <c r="P145" s="7"/>
      <c r="Q145" s="10"/>
      <c r="R145" s="11"/>
      <c r="S145" s="11"/>
      <c r="T145" s="26"/>
      <c r="U145" s="28">
        <f t="shared" si="20"/>
        <v>-0.20542066538707612</v>
      </c>
      <c r="V145" s="57">
        <f t="shared" si="21"/>
        <v>7.3846153846156639E-4</v>
      </c>
      <c r="W145" s="57">
        <f t="shared" si="22"/>
        <v>4.4352000000000089E-3</v>
      </c>
      <c r="X145" s="56">
        <v>650</v>
      </c>
      <c r="Y145" s="56">
        <v>500</v>
      </c>
    </row>
    <row r="146" spans="1:25" ht="16.5" thickBot="1" x14ac:dyDescent="0.3">
      <c r="B146" s="12"/>
      <c r="C146" s="19">
        <v>395.91</v>
      </c>
      <c r="D146" s="20">
        <v>28.289000000000001</v>
      </c>
      <c r="E146" s="20">
        <v>34.53</v>
      </c>
      <c r="F146" s="20">
        <v>34.033999999999999</v>
      </c>
      <c r="G146" s="20">
        <v>64.66</v>
      </c>
      <c r="H146" s="20">
        <f t="shared" si="18"/>
        <v>29.78725</v>
      </c>
      <c r="I146" s="5"/>
      <c r="J146" s="19">
        <v>300.44080000000002</v>
      </c>
      <c r="K146" s="20">
        <v>29.649899999999999</v>
      </c>
      <c r="L146" s="20">
        <v>35.368200000000002</v>
      </c>
      <c r="M146" s="20">
        <v>34.816699999999997</v>
      </c>
      <c r="N146" s="20">
        <v>62.869399999999999</v>
      </c>
      <c r="O146" s="20">
        <f t="shared" si="19"/>
        <v>31.010537499999998</v>
      </c>
      <c r="P146" s="7"/>
      <c r="Q146" s="13"/>
      <c r="R146" s="14"/>
      <c r="S146" s="14"/>
      <c r="T146" s="27"/>
      <c r="U146" s="28">
        <f t="shared" si="20"/>
        <v>-2.7692545623260095E-2</v>
      </c>
      <c r="V146" s="57">
        <f t="shared" si="21"/>
        <v>1.0224999999999937E-2</v>
      </c>
      <c r="W146" s="57">
        <f t="shared" si="22"/>
        <v>1.4693333333334142E-3</v>
      </c>
      <c r="X146" s="56">
        <v>400</v>
      </c>
      <c r="Y146" s="56">
        <v>300</v>
      </c>
    </row>
    <row r="147" spans="1:25" x14ac:dyDescent="0.25">
      <c r="B147" s="6" t="s">
        <v>50</v>
      </c>
      <c r="C147" s="15">
        <v>1557.22</v>
      </c>
      <c r="D147" s="16">
        <v>34.479999999999997</v>
      </c>
      <c r="E147" s="16">
        <v>39.298000000000002</v>
      </c>
      <c r="F147" s="16">
        <v>40.051000000000002</v>
      </c>
      <c r="G147" s="16">
        <v>54.95</v>
      </c>
      <c r="H147" s="16">
        <f t="shared" si="18"/>
        <v>35.778624999999998</v>
      </c>
      <c r="I147" s="5"/>
      <c r="J147" s="15">
        <v>1233.3624</v>
      </c>
      <c r="K147" s="16">
        <v>35.1661</v>
      </c>
      <c r="L147" s="16">
        <v>40.515900000000002</v>
      </c>
      <c r="M147" s="16">
        <v>41.394599999999997</v>
      </c>
      <c r="N147" s="16">
        <v>36.403300000000002</v>
      </c>
      <c r="O147" s="16">
        <f t="shared" si="19"/>
        <v>36.613387500000002</v>
      </c>
      <c r="P147" s="7"/>
      <c r="Q147" s="8">
        <f>bdrate(C147:C150,D147:D150,J147:J150,K147:K150)</f>
        <v>-0.40167706674066828</v>
      </c>
      <c r="R147" s="8">
        <f>bdrate(C147:C150,E147:E150,J147:J150,L147:L150)</f>
        <v>-0.50448010879028127</v>
      </c>
      <c r="S147" s="8">
        <f>bdrate(C147:C150,F147:F150,J147:J150,M147:M150)</f>
        <v>-0.49459713423756602</v>
      </c>
      <c r="T147" s="25">
        <f>bdrate(C147:C150,H147:H150,J147:J150,O147:O150)</f>
        <v>-0.41865147617356313</v>
      </c>
      <c r="U147" s="28">
        <f t="shared" ref="U147:U178" si="23">(N147-G147)/G147</f>
        <v>-0.33751956323930848</v>
      </c>
      <c r="V147" s="57">
        <f t="shared" si="21"/>
        <v>4.65806451612905E-3</v>
      </c>
      <c r="W147" s="57">
        <f t="shared" si="22"/>
        <v>2.7801999999999983E-2</v>
      </c>
      <c r="X147" s="56">
        <v>1550</v>
      </c>
      <c r="Y147" s="56">
        <v>1200</v>
      </c>
    </row>
    <row r="148" spans="1:25" x14ac:dyDescent="0.25">
      <c r="B148" s="9"/>
      <c r="C148" s="17">
        <v>1056.1300000000001</v>
      </c>
      <c r="D148" s="18">
        <v>32.680999999999997</v>
      </c>
      <c r="E148" s="18">
        <v>38.499000000000002</v>
      </c>
      <c r="F148" s="18">
        <v>39.125999999999998</v>
      </c>
      <c r="G148" s="18">
        <v>59.64</v>
      </c>
      <c r="H148" s="18">
        <f t="shared" si="18"/>
        <v>34.213874999999994</v>
      </c>
      <c r="I148" s="5"/>
      <c r="J148" s="17">
        <v>820.90160000000003</v>
      </c>
      <c r="K148" s="18">
        <v>33.5991</v>
      </c>
      <c r="L148" s="18">
        <v>39.572099999999999</v>
      </c>
      <c r="M148" s="18">
        <v>40.317300000000003</v>
      </c>
      <c r="N148" s="18">
        <v>41.917000000000002</v>
      </c>
      <c r="O148" s="18">
        <f t="shared" si="19"/>
        <v>35.185500000000005</v>
      </c>
      <c r="P148" s="7"/>
      <c r="Q148" s="10"/>
      <c r="R148" s="11"/>
      <c r="S148" s="11"/>
      <c r="T148" s="26"/>
      <c r="U148" s="28">
        <f t="shared" si="23"/>
        <v>-0.29716633132126086</v>
      </c>
      <c r="V148" s="57">
        <f t="shared" si="21"/>
        <v>5.8380952380953418E-3</v>
      </c>
      <c r="W148" s="57">
        <f t="shared" si="22"/>
        <v>2.6127000000000039E-2</v>
      </c>
      <c r="X148" s="56">
        <v>1050</v>
      </c>
      <c r="Y148" s="56">
        <v>800</v>
      </c>
    </row>
    <row r="149" spans="1:25" x14ac:dyDescent="0.25">
      <c r="B149" s="9"/>
      <c r="C149" s="17">
        <v>652.42999999999995</v>
      </c>
      <c r="D149" s="18">
        <v>30.207999999999998</v>
      </c>
      <c r="E149" s="18">
        <v>37.530999999999999</v>
      </c>
      <c r="F149" s="18">
        <v>38.148000000000003</v>
      </c>
      <c r="G149" s="18">
        <v>60.79</v>
      </c>
      <c r="H149" s="18">
        <f t="shared" si="18"/>
        <v>32.115875000000003</v>
      </c>
      <c r="I149" s="5"/>
      <c r="J149" s="17">
        <v>513.14639999999997</v>
      </c>
      <c r="K149" s="18">
        <v>31.685500000000001</v>
      </c>
      <c r="L149" s="18">
        <v>38.446800000000003</v>
      </c>
      <c r="M149" s="18">
        <v>39.079900000000002</v>
      </c>
      <c r="N149" s="18">
        <v>50.929499999999997</v>
      </c>
      <c r="O149" s="18">
        <f t="shared" si="19"/>
        <v>33.454962500000001</v>
      </c>
      <c r="P149" s="7"/>
      <c r="Q149" s="10"/>
      <c r="R149" s="11"/>
      <c r="S149" s="11"/>
      <c r="T149" s="26"/>
      <c r="U149" s="28">
        <f t="shared" si="23"/>
        <v>-0.16220595492679721</v>
      </c>
      <c r="V149" s="57">
        <f t="shared" si="21"/>
        <v>3.7384615384614614E-3</v>
      </c>
      <c r="W149" s="57">
        <f t="shared" si="22"/>
        <v>2.6292799999999943E-2</v>
      </c>
      <c r="X149" s="56">
        <v>650</v>
      </c>
      <c r="Y149" s="56">
        <v>500</v>
      </c>
    </row>
    <row r="150" spans="1:25" ht="16.5" thickBot="1" x14ac:dyDescent="0.3">
      <c r="B150" s="12"/>
      <c r="C150" s="19">
        <v>401.7</v>
      </c>
      <c r="D150" s="20">
        <v>27.43</v>
      </c>
      <c r="E150" s="20">
        <v>36.628</v>
      </c>
      <c r="F150" s="20">
        <v>37.139000000000003</v>
      </c>
      <c r="G150" s="20">
        <v>62.64</v>
      </c>
      <c r="H150" s="20">
        <f t="shared" si="18"/>
        <v>29.793374999999997</v>
      </c>
      <c r="I150" s="5"/>
      <c r="J150" s="19">
        <v>307.64400000000001</v>
      </c>
      <c r="K150" s="20">
        <v>29.596599999999999</v>
      </c>
      <c r="L150" s="20">
        <v>37.393599999999999</v>
      </c>
      <c r="M150" s="20">
        <v>37.843000000000004</v>
      </c>
      <c r="N150" s="20">
        <v>63.244399999999999</v>
      </c>
      <c r="O150" s="20">
        <f t="shared" si="19"/>
        <v>31.602024999999998</v>
      </c>
      <c r="P150" s="7"/>
      <c r="Q150" s="13"/>
      <c r="R150" s="14"/>
      <c r="S150" s="14"/>
      <c r="T150" s="27"/>
      <c r="U150" s="28">
        <f t="shared" si="23"/>
        <v>9.6487867177522078E-3</v>
      </c>
      <c r="V150" s="57">
        <f t="shared" si="21"/>
        <v>4.2499999999999717E-3</v>
      </c>
      <c r="W150" s="57">
        <f t="shared" si="22"/>
        <v>2.5480000000000017E-2</v>
      </c>
      <c r="X150" s="56">
        <v>400</v>
      </c>
      <c r="Y150" s="56">
        <v>300</v>
      </c>
    </row>
    <row r="151" spans="1:25" x14ac:dyDescent="0.25">
      <c r="B151" s="6" t="s">
        <v>51</v>
      </c>
      <c r="C151" s="15">
        <v>1414.41</v>
      </c>
      <c r="D151" s="16">
        <v>28.940999999999999</v>
      </c>
      <c r="E151" s="16">
        <v>35.195999999999998</v>
      </c>
      <c r="F151" s="16">
        <v>35.869999999999997</v>
      </c>
      <c r="G151" s="16">
        <v>58.72</v>
      </c>
      <c r="H151" s="16">
        <f t="shared" si="18"/>
        <v>30.588999999999999</v>
      </c>
      <c r="I151" s="5"/>
      <c r="J151" s="15">
        <v>1210.396</v>
      </c>
      <c r="K151" s="16">
        <v>30.262599999999999</v>
      </c>
      <c r="L151" s="16">
        <v>36.7485</v>
      </c>
      <c r="M151" s="16">
        <v>37.527200000000001</v>
      </c>
      <c r="N151" s="16">
        <v>32.146099999999997</v>
      </c>
      <c r="O151" s="16">
        <f t="shared" si="19"/>
        <v>31.981412500000001</v>
      </c>
      <c r="P151" s="7"/>
      <c r="Q151" s="8">
        <f>bdrate(C151:C154,D151:D154,J151:J154,K151:K154)</f>
        <v>-0.44502377637908297</v>
      </c>
      <c r="R151" s="8">
        <f>bdrate(C151:C154,E151:E154,J151:J154,L151:L154)</f>
        <v>-0.57558381123053382</v>
      </c>
      <c r="S151" s="8">
        <f>bdrate(C151:C154,F151:F154,J151:J154,M151:M154)</f>
        <v>-0.56982943414405418</v>
      </c>
      <c r="T151" s="25">
        <f>bdrate(C151:C154,H151:H154,J151:J154,O151:O154)</f>
        <v>-0.46577764219087525</v>
      </c>
      <c r="U151" s="28">
        <f t="shared" si="23"/>
        <v>-0.45255279291553135</v>
      </c>
      <c r="V151" s="57">
        <f t="shared" si="21"/>
        <v>8.7477419354838659E-2</v>
      </c>
      <c r="W151" s="57">
        <f t="shared" si="22"/>
        <v>8.663333333333299E-3</v>
      </c>
      <c r="X151" s="56">
        <v>1550</v>
      </c>
      <c r="Y151" s="56">
        <v>1200</v>
      </c>
    </row>
    <row r="152" spans="1:25" x14ac:dyDescent="0.25">
      <c r="B152" s="9"/>
      <c r="C152" s="17">
        <v>959.75</v>
      </c>
      <c r="D152" s="18">
        <v>27.579000000000001</v>
      </c>
      <c r="E152" s="18">
        <v>34.680999999999997</v>
      </c>
      <c r="F152" s="18">
        <v>35.387</v>
      </c>
      <c r="G152" s="18">
        <v>61.36</v>
      </c>
      <c r="H152" s="18">
        <f t="shared" si="18"/>
        <v>29.442749999999997</v>
      </c>
      <c r="I152" s="5"/>
      <c r="J152" s="17">
        <v>808.49519999999995</v>
      </c>
      <c r="K152" s="18">
        <v>28.929200000000002</v>
      </c>
      <c r="L152" s="18">
        <v>35.962899999999998</v>
      </c>
      <c r="M152" s="18">
        <v>36.731900000000003</v>
      </c>
      <c r="N152" s="18">
        <v>37.778599999999997</v>
      </c>
      <c r="O152" s="18">
        <f t="shared" si="19"/>
        <v>30.783749999999998</v>
      </c>
      <c r="P152" s="7"/>
      <c r="Q152" s="10"/>
      <c r="R152" s="11"/>
      <c r="S152" s="11"/>
      <c r="T152" s="26"/>
      <c r="U152" s="28">
        <f t="shared" si="23"/>
        <v>-0.38431225554106913</v>
      </c>
      <c r="V152" s="57">
        <f t="shared" si="21"/>
        <v>8.5952380952380947E-2</v>
      </c>
      <c r="W152" s="57">
        <f t="shared" si="22"/>
        <v>1.0618999999999943E-2</v>
      </c>
      <c r="X152" s="56">
        <v>1050</v>
      </c>
      <c r="Y152" s="56">
        <v>800</v>
      </c>
    </row>
    <row r="153" spans="1:25" x14ac:dyDescent="0.25">
      <c r="B153" s="9"/>
      <c r="C153" s="17">
        <v>594.99</v>
      </c>
      <c r="D153" s="18">
        <v>26.013999999999999</v>
      </c>
      <c r="E153" s="18">
        <v>34.183</v>
      </c>
      <c r="F153" s="18">
        <v>34.915999999999997</v>
      </c>
      <c r="G153" s="18">
        <v>67.06</v>
      </c>
      <c r="H153" s="18">
        <f t="shared" si="18"/>
        <v>28.147874999999999</v>
      </c>
      <c r="I153" s="5"/>
      <c r="J153" s="17">
        <v>505.99119999999999</v>
      </c>
      <c r="K153" s="18">
        <v>27.411300000000001</v>
      </c>
      <c r="L153" s="18">
        <v>35.051400000000001</v>
      </c>
      <c r="M153" s="18">
        <v>35.779899999999998</v>
      </c>
      <c r="N153" s="18">
        <v>46.589599999999997</v>
      </c>
      <c r="O153" s="18">
        <f t="shared" si="19"/>
        <v>29.412387500000001</v>
      </c>
      <c r="P153" s="7"/>
      <c r="Q153" s="10"/>
      <c r="R153" s="11"/>
      <c r="S153" s="11"/>
      <c r="T153" s="26"/>
      <c r="U153" s="28">
        <f t="shared" si="23"/>
        <v>-0.30525499552639435</v>
      </c>
      <c r="V153" s="57">
        <f t="shared" si="21"/>
        <v>8.4630769230769218E-2</v>
      </c>
      <c r="W153" s="57">
        <f t="shared" si="22"/>
        <v>1.1982399999999983E-2</v>
      </c>
      <c r="X153" s="56">
        <v>650</v>
      </c>
      <c r="Y153" s="56">
        <v>500</v>
      </c>
    </row>
    <row r="154" spans="1:25" ht="16.5" thickBot="1" x14ac:dyDescent="0.3">
      <c r="B154" s="12"/>
      <c r="C154" s="19">
        <v>368.3</v>
      </c>
      <c r="D154" s="20">
        <v>24.561</v>
      </c>
      <c r="E154" s="20">
        <v>33.692</v>
      </c>
      <c r="F154" s="20">
        <v>34.384999999999998</v>
      </c>
      <c r="G154" s="20">
        <v>69.010000000000005</v>
      </c>
      <c r="H154" s="20">
        <f t="shared" si="18"/>
        <v>26.930374999999998</v>
      </c>
      <c r="I154" s="5"/>
      <c r="J154" s="19">
        <v>304.5016</v>
      </c>
      <c r="K154" s="20">
        <v>25.831</v>
      </c>
      <c r="L154" s="20">
        <v>34.239800000000002</v>
      </c>
      <c r="M154" s="20">
        <v>34.908000000000001</v>
      </c>
      <c r="N154" s="20">
        <v>57.267200000000003</v>
      </c>
      <c r="O154" s="20">
        <f t="shared" si="19"/>
        <v>28.016725000000001</v>
      </c>
      <c r="P154" s="7"/>
      <c r="Q154" s="13"/>
      <c r="R154" s="14"/>
      <c r="S154" s="14"/>
      <c r="T154" s="27"/>
      <c r="U154" s="28">
        <f t="shared" si="23"/>
        <v>-0.17016084625416608</v>
      </c>
      <c r="V154" s="57">
        <f t="shared" si="21"/>
        <v>7.9249999999999973E-2</v>
      </c>
      <c r="W154" s="57">
        <f t="shared" si="22"/>
        <v>1.500533333333332E-2</v>
      </c>
      <c r="X154" s="56">
        <v>400</v>
      </c>
      <c r="Y154" s="56">
        <v>300</v>
      </c>
    </row>
    <row r="155" spans="1:25" x14ac:dyDescent="0.25">
      <c r="B155" s="6" t="s">
        <v>52</v>
      </c>
      <c r="C155" s="15">
        <v>1427.35</v>
      </c>
      <c r="D155" s="16">
        <v>32.302999999999997</v>
      </c>
      <c r="E155" s="16">
        <v>36.332000000000001</v>
      </c>
      <c r="F155" s="16">
        <v>37.898000000000003</v>
      </c>
      <c r="G155" s="16">
        <v>41.71</v>
      </c>
      <c r="H155" s="16">
        <f t="shared" si="18"/>
        <v>33.506</v>
      </c>
      <c r="I155" s="5"/>
      <c r="J155" s="15">
        <v>1203.4888000000001</v>
      </c>
      <c r="K155" s="16">
        <v>32.325600000000001</v>
      </c>
      <c r="L155" s="16">
        <v>36.8825</v>
      </c>
      <c r="M155" s="16">
        <v>38.457000000000001</v>
      </c>
      <c r="N155" s="16">
        <v>23.0061</v>
      </c>
      <c r="O155" s="16">
        <f t="shared" si="19"/>
        <v>33.661637499999998</v>
      </c>
      <c r="P155" s="7"/>
      <c r="Q155" s="8">
        <f>bdrate(C155:C158,D155:D158,J155:J158,K155:K158)</f>
        <v>-0.24204345610961586</v>
      </c>
      <c r="R155" s="8">
        <f>bdrate(C155:C158,E155:E158,J155:J158,L155:L158)</f>
        <v>-0.30192508983661659</v>
      </c>
      <c r="S155" s="8">
        <f>bdrate(C155:C158,F155:F158,J155:J158,M155:M158)</f>
        <v>-0.30764199268956649</v>
      </c>
      <c r="T155" s="25">
        <f>bdrate(C155:C158,H155:H158,J155:J158,O155:O158)</f>
        <v>-0.25354168066544347</v>
      </c>
      <c r="U155" s="28">
        <f t="shared" si="23"/>
        <v>-0.44842723567489812</v>
      </c>
      <c r="V155" s="57">
        <f t="shared" si="21"/>
        <v>7.9129032258064572E-2</v>
      </c>
      <c r="W155" s="57">
        <f t="shared" si="22"/>
        <v>2.9073333333334023E-3</v>
      </c>
      <c r="X155" s="56">
        <v>1550</v>
      </c>
      <c r="Y155" s="56">
        <v>1200</v>
      </c>
    </row>
    <row r="156" spans="1:25" x14ac:dyDescent="0.25">
      <c r="B156" s="9"/>
      <c r="C156" s="17">
        <v>972.99</v>
      </c>
      <c r="D156" s="18">
        <v>30.67</v>
      </c>
      <c r="E156" s="18">
        <v>35.616</v>
      </c>
      <c r="F156" s="18">
        <v>37.168999999999997</v>
      </c>
      <c r="G156" s="18">
        <v>46.38</v>
      </c>
      <c r="H156" s="18">
        <f t="shared" si="18"/>
        <v>32.100625000000001</v>
      </c>
      <c r="I156" s="5"/>
      <c r="J156" s="17">
        <v>801.94</v>
      </c>
      <c r="K156" s="18">
        <v>30.796700000000001</v>
      </c>
      <c r="L156" s="18">
        <v>35.963200000000001</v>
      </c>
      <c r="M156" s="18">
        <v>37.542000000000002</v>
      </c>
      <c r="N156" s="18">
        <v>27.384799999999998</v>
      </c>
      <c r="O156" s="18">
        <f t="shared" si="19"/>
        <v>32.285674999999998</v>
      </c>
      <c r="P156" s="7"/>
      <c r="Q156" s="10"/>
      <c r="R156" s="11"/>
      <c r="S156" s="11"/>
      <c r="T156" s="26"/>
      <c r="U156" s="28">
        <f t="shared" si="23"/>
        <v>-0.40955584303579134</v>
      </c>
      <c r="V156" s="57">
        <f t="shared" si="21"/>
        <v>7.334285714285714E-2</v>
      </c>
      <c r="W156" s="57">
        <f t="shared" si="22"/>
        <v>2.4250000000000682E-3</v>
      </c>
      <c r="X156" s="56">
        <v>1050</v>
      </c>
      <c r="Y156" s="56">
        <v>800</v>
      </c>
    </row>
    <row r="157" spans="1:25" x14ac:dyDescent="0.25">
      <c r="B157" s="9"/>
      <c r="C157" s="17">
        <v>613.66</v>
      </c>
      <c r="D157" s="18">
        <v>28.7</v>
      </c>
      <c r="E157" s="18">
        <v>34.828000000000003</v>
      </c>
      <c r="F157" s="18">
        <v>36.295999999999999</v>
      </c>
      <c r="G157" s="18">
        <v>50.88</v>
      </c>
      <c r="H157" s="18">
        <f t="shared" si="18"/>
        <v>30.415499999999998</v>
      </c>
      <c r="I157" s="5"/>
      <c r="J157" s="17">
        <v>500.32479999999998</v>
      </c>
      <c r="K157" s="18">
        <v>29.1343</v>
      </c>
      <c r="L157" s="18">
        <v>35.072800000000001</v>
      </c>
      <c r="M157" s="18">
        <v>36.585999999999999</v>
      </c>
      <c r="N157" s="18">
        <v>34.4116</v>
      </c>
      <c r="O157" s="18">
        <f t="shared" si="19"/>
        <v>30.808075000000002</v>
      </c>
      <c r="P157" s="7"/>
      <c r="Q157" s="10"/>
      <c r="R157" s="11"/>
      <c r="S157" s="11"/>
      <c r="T157" s="26"/>
      <c r="U157" s="28">
        <f t="shared" si="23"/>
        <v>-0.32367138364779879</v>
      </c>
      <c r="V157" s="57">
        <f t="shared" si="21"/>
        <v>5.590769230769236E-2</v>
      </c>
      <c r="W157" s="57">
        <f t="shared" si="22"/>
        <v>6.4959999999996396E-4</v>
      </c>
      <c r="X157" s="56">
        <v>650</v>
      </c>
      <c r="Y157" s="56">
        <v>500</v>
      </c>
    </row>
    <row r="158" spans="1:25" ht="16.5" thickBot="1" x14ac:dyDescent="0.3">
      <c r="B158" s="12"/>
      <c r="C158" s="19">
        <v>380.65</v>
      </c>
      <c r="D158" s="20">
        <v>26.632999999999999</v>
      </c>
      <c r="E158" s="20">
        <v>33.929000000000002</v>
      </c>
      <c r="F158" s="20">
        <v>35.308999999999997</v>
      </c>
      <c r="G158" s="20">
        <v>54.77</v>
      </c>
      <c r="H158" s="20">
        <f t="shared" si="18"/>
        <v>28.6295</v>
      </c>
      <c r="I158" s="5"/>
      <c r="J158" s="19">
        <v>300.72559999999999</v>
      </c>
      <c r="K158" s="20">
        <v>27.538499999999999</v>
      </c>
      <c r="L158" s="20">
        <v>34.1494</v>
      </c>
      <c r="M158" s="20">
        <v>35.582299999999996</v>
      </c>
      <c r="N158" s="20">
        <v>43.327599999999997</v>
      </c>
      <c r="O158" s="20">
        <f t="shared" si="19"/>
        <v>29.370337500000002</v>
      </c>
      <c r="P158" s="7"/>
      <c r="Q158" s="13"/>
      <c r="R158" s="14"/>
      <c r="S158" s="14"/>
      <c r="T158" s="27"/>
      <c r="U158" s="28">
        <f t="shared" si="23"/>
        <v>-0.20891729048749325</v>
      </c>
      <c r="V158" s="57">
        <f t="shared" si="21"/>
        <v>4.8375000000000057E-2</v>
      </c>
      <c r="W158" s="57">
        <f t="shared" si="22"/>
        <v>2.4186666666666193E-3</v>
      </c>
      <c r="X158" s="56">
        <v>400</v>
      </c>
      <c r="Y158" s="56">
        <v>300</v>
      </c>
    </row>
    <row r="159" spans="1:25" x14ac:dyDescent="0.25">
      <c r="A159" s="6" t="s">
        <v>39</v>
      </c>
      <c r="B159" s="6" t="s">
        <v>53</v>
      </c>
      <c r="C159" s="15">
        <v>850.91</v>
      </c>
      <c r="D159" s="16">
        <v>34.857999999999997</v>
      </c>
      <c r="E159" s="16">
        <v>38.918999999999997</v>
      </c>
      <c r="F159" s="16">
        <v>37.761000000000003</v>
      </c>
      <c r="G159" s="16">
        <v>120.45</v>
      </c>
      <c r="H159" s="16">
        <f t="shared" si="18"/>
        <v>35.728499999999997</v>
      </c>
      <c r="I159" s="5"/>
      <c r="J159" s="15">
        <v>601.59040000000005</v>
      </c>
      <c r="K159" s="16">
        <v>34.290900000000001</v>
      </c>
      <c r="L159" s="16">
        <v>39.682099999999998</v>
      </c>
      <c r="M159" s="16">
        <v>38.177</v>
      </c>
      <c r="N159" s="16">
        <v>93.4405</v>
      </c>
      <c r="O159" s="16">
        <f t="shared" si="19"/>
        <v>35.450562500000004</v>
      </c>
      <c r="P159" s="7"/>
      <c r="Q159" s="8">
        <f>bdrate(C159:C162,D159:D162,J159:J162,K159:K162)</f>
        <v>-0.2545168394451095</v>
      </c>
      <c r="R159" s="8">
        <f>bdrate(C159:C162,E159:E162,J159:J162,L159:L162)</f>
        <v>-0.43152285203624274</v>
      </c>
      <c r="S159" s="8">
        <f>bdrate(C159:C162,F159:F162,J159:J162,M159:M162)</f>
        <v>-0.33474534764044994</v>
      </c>
      <c r="T159" s="25">
        <f>bdrate(C159:C162,H159:H162,J159:J162,O159:O162)</f>
        <v>-0.27558895132967842</v>
      </c>
      <c r="U159" s="28">
        <f t="shared" si="23"/>
        <v>-0.22423827314238276</v>
      </c>
      <c r="V159" s="57">
        <f t="shared" si="21"/>
        <v>6.3637499999999958E-2</v>
      </c>
      <c r="W159" s="57">
        <f t="shared" si="22"/>
        <v>2.6506666666667416E-3</v>
      </c>
      <c r="X159" s="56">
        <v>800</v>
      </c>
      <c r="Y159" s="56">
        <v>600</v>
      </c>
    </row>
    <row r="160" spans="1:25" x14ac:dyDescent="0.25">
      <c r="A160" s="9" t="s">
        <v>40</v>
      </c>
      <c r="B160" s="9"/>
      <c r="C160" s="17">
        <v>533.89</v>
      </c>
      <c r="D160" s="18">
        <v>32.622</v>
      </c>
      <c r="E160" s="18">
        <v>37.741</v>
      </c>
      <c r="F160" s="18">
        <v>36.372999999999998</v>
      </c>
      <c r="G160" s="18">
        <v>132.44</v>
      </c>
      <c r="H160" s="18">
        <f t="shared" si="18"/>
        <v>33.73075</v>
      </c>
      <c r="I160" s="5"/>
      <c r="J160" s="17">
        <v>401.94159999999999</v>
      </c>
      <c r="K160" s="18">
        <v>32.490299999999998</v>
      </c>
      <c r="L160" s="18">
        <v>38.501399999999997</v>
      </c>
      <c r="M160" s="18">
        <v>36.848399999999998</v>
      </c>
      <c r="N160" s="18">
        <v>107.7354</v>
      </c>
      <c r="O160" s="18">
        <f t="shared" si="19"/>
        <v>33.786450000000002</v>
      </c>
      <c r="P160" s="7"/>
      <c r="Q160" s="10"/>
      <c r="R160" s="11"/>
      <c r="S160" s="11"/>
      <c r="T160" s="26"/>
      <c r="U160" s="28">
        <f t="shared" si="23"/>
        <v>-0.18653427967381456</v>
      </c>
      <c r="V160" s="57">
        <f t="shared" si="21"/>
        <v>6.7779999999999979E-2</v>
      </c>
      <c r="W160" s="57">
        <f t="shared" si="22"/>
        <v>4.8539999999999851E-3</v>
      </c>
      <c r="X160" s="56">
        <v>500</v>
      </c>
      <c r="Y160" s="56">
        <v>400</v>
      </c>
    </row>
    <row r="161" spans="1:25" x14ac:dyDescent="0.25">
      <c r="B161" s="9"/>
      <c r="C161" s="17">
        <v>322.74</v>
      </c>
      <c r="D161" s="18">
        <v>30.332000000000001</v>
      </c>
      <c r="E161" s="18">
        <v>36.707999999999998</v>
      </c>
      <c r="F161" s="18">
        <v>35.151000000000003</v>
      </c>
      <c r="G161" s="18">
        <v>147.34</v>
      </c>
      <c r="H161" s="18">
        <f t="shared" si="18"/>
        <v>31.731375000000003</v>
      </c>
      <c r="I161" s="5"/>
      <c r="J161" s="17">
        <v>252.1696</v>
      </c>
      <c r="K161" s="18">
        <v>30.540199999999999</v>
      </c>
      <c r="L161" s="18">
        <v>37.368200000000002</v>
      </c>
      <c r="M161" s="18">
        <v>35.563800000000001</v>
      </c>
      <c r="N161" s="18">
        <v>130.2423</v>
      </c>
      <c r="O161" s="18">
        <f t="shared" si="19"/>
        <v>32.021650000000001</v>
      </c>
      <c r="P161" s="7"/>
      <c r="Q161" s="10"/>
      <c r="R161" s="11"/>
      <c r="S161" s="11"/>
      <c r="T161" s="26"/>
      <c r="U161" s="28">
        <f t="shared" si="23"/>
        <v>-0.11604248676530475</v>
      </c>
      <c r="V161" s="57">
        <f t="shared" si="21"/>
        <v>7.5800000000000034E-2</v>
      </c>
      <c r="W161" s="57">
        <f t="shared" si="22"/>
        <v>8.6784000000000097E-3</v>
      </c>
      <c r="X161" s="56">
        <v>300</v>
      </c>
      <c r="Y161" s="56">
        <v>250</v>
      </c>
    </row>
    <row r="162" spans="1:25" ht="16.5" thickBot="1" x14ac:dyDescent="0.3">
      <c r="B162" s="12"/>
      <c r="C162" s="19">
        <v>164.5</v>
      </c>
      <c r="D162" s="20">
        <v>27.245999999999999</v>
      </c>
      <c r="E162" s="20">
        <v>35.5</v>
      </c>
      <c r="F162" s="20">
        <v>33.75</v>
      </c>
      <c r="G162" s="20">
        <v>162.47</v>
      </c>
      <c r="H162" s="20">
        <f t="shared" si="18"/>
        <v>29.09075</v>
      </c>
      <c r="I162" s="5"/>
      <c r="J162" s="19">
        <v>121.52079999999999</v>
      </c>
      <c r="K162" s="20">
        <v>27.686900000000001</v>
      </c>
      <c r="L162" s="20">
        <v>35.817100000000003</v>
      </c>
      <c r="M162" s="20">
        <v>33.635800000000003</v>
      </c>
      <c r="N162" s="20">
        <v>189.0359</v>
      </c>
      <c r="O162" s="20">
        <f t="shared" si="19"/>
        <v>29.446787499999999</v>
      </c>
      <c r="P162" s="7"/>
      <c r="Q162" s="13"/>
      <c r="R162" s="14"/>
      <c r="S162" s="14"/>
      <c r="T162" s="27"/>
      <c r="U162" s="28">
        <f t="shared" si="23"/>
        <v>0.16351264848895181</v>
      </c>
      <c r="V162" s="57">
        <f t="shared" si="21"/>
        <v>9.6666666666666665E-2</v>
      </c>
      <c r="W162" s="57">
        <f t="shared" si="22"/>
        <v>1.2673333333333285E-2</v>
      </c>
      <c r="X162" s="56">
        <v>150</v>
      </c>
      <c r="Y162" s="56">
        <v>120</v>
      </c>
    </row>
    <row r="163" spans="1:25" x14ac:dyDescent="0.25">
      <c r="B163" s="6" t="s">
        <v>54</v>
      </c>
      <c r="C163" s="15">
        <v>750.56</v>
      </c>
      <c r="D163" s="16">
        <v>31.803999999999998</v>
      </c>
      <c r="E163" s="16">
        <v>39.093000000000004</v>
      </c>
      <c r="F163" s="16">
        <v>39.701999999999998</v>
      </c>
      <c r="G163" s="16">
        <v>162.81</v>
      </c>
      <c r="H163" s="16">
        <f t="shared" si="18"/>
        <v>33.702374999999996</v>
      </c>
      <c r="I163" s="5"/>
      <c r="J163" s="15">
        <v>599.37360000000001</v>
      </c>
      <c r="K163" s="16">
        <v>33.578600000000002</v>
      </c>
      <c r="L163" s="16">
        <v>41.267400000000002</v>
      </c>
      <c r="M163" s="16">
        <v>42.14</v>
      </c>
      <c r="N163" s="16">
        <v>111.5656</v>
      </c>
      <c r="O163" s="16">
        <f t="shared" si="19"/>
        <v>35.609875000000002</v>
      </c>
      <c r="P163" s="7"/>
      <c r="Q163" s="8">
        <f>bdrate(C163:C166,D163:D166,J163:J166,K163:K166)</f>
        <v>-0.54475711157760165</v>
      </c>
      <c r="R163" s="8">
        <f>bdrate(C163:C166,E163:E166,J163:J166,L163:L166)</f>
        <v>-0.66373822631257728</v>
      </c>
      <c r="S163" s="8">
        <f>bdrate(C163:C166,F163:F166,J163:J166,M163:M166)</f>
        <v>-0.70391962253189599</v>
      </c>
      <c r="T163" s="25">
        <f>bdrate(C163:C166,H163:H166,J163:J166,O163:O166)</f>
        <v>-0.56741164004099731</v>
      </c>
      <c r="U163" s="28">
        <f t="shared" si="23"/>
        <v>-0.31474970824887905</v>
      </c>
      <c r="V163" s="57">
        <f t="shared" si="21"/>
        <v>6.180000000000007E-2</v>
      </c>
      <c r="W163" s="57">
        <f t="shared" si="22"/>
        <v>1.0439999999999827E-3</v>
      </c>
      <c r="X163" s="56">
        <v>800</v>
      </c>
      <c r="Y163" s="56">
        <v>600</v>
      </c>
    </row>
    <row r="164" spans="1:25" x14ac:dyDescent="0.25">
      <c r="B164" s="9"/>
      <c r="C164" s="17">
        <v>462.59</v>
      </c>
      <c r="D164" s="18">
        <v>30.164000000000001</v>
      </c>
      <c r="E164" s="18">
        <v>38.668999999999997</v>
      </c>
      <c r="F164" s="18">
        <v>39.109000000000002</v>
      </c>
      <c r="G164" s="18">
        <v>178.41</v>
      </c>
      <c r="H164" s="18">
        <f t="shared" si="18"/>
        <v>32.34525</v>
      </c>
      <c r="I164" s="5"/>
      <c r="J164" s="17">
        <v>398.61599999999999</v>
      </c>
      <c r="K164" s="18">
        <v>32.2896</v>
      </c>
      <c r="L164" s="18">
        <v>40.532699999999998</v>
      </c>
      <c r="M164" s="18">
        <v>41.356099999999998</v>
      </c>
      <c r="N164" s="18">
        <v>138.88890000000001</v>
      </c>
      <c r="O164" s="18">
        <f t="shared" si="19"/>
        <v>34.453299999999999</v>
      </c>
      <c r="P164" s="7"/>
      <c r="Q164" s="10"/>
      <c r="R164" s="11"/>
      <c r="S164" s="11"/>
      <c r="T164" s="26"/>
      <c r="U164" s="28">
        <f t="shared" si="23"/>
        <v>-0.22151841264503105</v>
      </c>
      <c r="V164" s="57">
        <f t="shared" si="21"/>
        <v>7.4820000000000053E-2</v>
      </c>
      <c r="W164" s="57">
        <f t="shared" si="22"/>
        <v>3.4600000000000364E-3</v>
      </c>
      <c r="X164" s="56">
        <v>500</v>
      </c>
      <c r="Y164" s="56">
        <v>400</v>
      </c>
    </row>
    <row r="165" spans="1:25" x14ac:dyDescent="0.25">
      <c r="B165" s="9"/>
      <c r="C165" s="17">
        <v>273.58</v>
      </c>
      <c r="D165" s="18">
        <v>28.363</v>
      </c>
      <c r="E165" s="18">
        <v>38.104999999999997</v>
      </c>
      <c r="F165" s="18">
        <v>38.414000000000001</v>
      </c>
      <c r="G165" s="18">
        <v>188.37</v>
      </c>
      <c r="H165" s="18">
        <f t="shared" si="18"/>
        <v>30.837125</v>
      </c>
      <c r="I165" s="5"/>
      <c r="J165" s="17">
        <v>249.83920000000001</v>
      </c>
      <c r="K165" s="18">
        <v>30.761099999999999</v>
      </c>
      <c r="L165" s="18">
        <v>39.453200000000002</v>
      </c>
      <c r="M165" s="18">
        <v>40.211300000000001</v>
      </c>
      <c r="N165" s="18">
        <v>176.05629999999999</v>
      </c>
      <c r="O165" s="18">
        <f t="shared" si="19"/>
        <v>33.028887500000003</v>
      </c>
      <c r="P165" s="7"/>
      <c r="Q165" s="10"/>
      <c r="R165" s="11"/>
      <c r="S165" s="11"/>
      <c r="T165" s="26"/>
      <c r="U165" s="28">
        <f t="shared" si="23"/>
        <v>-6.5369751021924993E-2</v>
      </c>
      <c r="V165" s="57">
        <f t="shared" si="21"/>
        <v>8.8066666666666724E-2</v>
      </c>
      <c r="W165" s="57">
        <f t="shared" si="22"/>
        <v>6.4319999999997888E-4</v>
      </c>
      <c r="X165" s="56">
        <v>300</v>
      </c>
      <c r="Y165" s="56">
        <v>250</v>
      </c>
    </row>
    <row r="166" spans="1:25" ht="16.5" thickBot="1" x14ac:dyDescent="0.3">
      <c r="B166" s="12"/>
      <c r="C166" s="19">
        <v>134.81</v>
      </c>
      <c r="D166" s="20">
        <v>26.061</v>
      </c>
      <c r="E166" s="20">
        <v>37.518000000000001</v>
      </c>
      <c r="F166" s="20">
        <v>37.698</v>
      </c>
      <c r="G166" s="20">
        <v>177.19</v>
      </c>
      <c r="H166" s="20">
        <f t="shared" si="18"/>
        <v>28.947749999999999</v>
      </c>
      <c r="I166" s="5"/>
      <c r="J166" s="19">
        <v>119.4744</v>
      </c>
      <c r="K166" s="20">
        <v>28.1629</v>
      </c>
      <c r="L166" s="20">
        <v>38.242699999999999</v>
      </c>
      <c r="M166" s="20">
        <v>38.796300000000002</v>
      </c>
      <c r="N166" s="20">
        <v>237.06049999999999</v>
      </c>
      <c r="O166" s="20">
        <f t="shared" si="19"/>
        <v>30.752050000000001</v>
      </c>
      <c r="P166" s="7"/>
      <c r="Q166" s="13"/>
      <c r="R166" s="14"/>
      <c r="S166" s="14"/>
      <c r="T166" s="27"/>
      <c r="U166" s="28">
        <f t="shared" si="23"/>
        <v>0.33788870703764318</v>
      </c>
      <c r="V166" s="57">
        <f t="shared" si="21"/>
        <v>0.10126666666666666</v>
      </c>
      <c r="W166" s="57">
        <f t="shared" si="22"/>
        <v>4.3799999999999768E-3</v>
      </c>
      <c r="X166" s="56">
        <v>150</v>
      </c>
      <c r="Y166" s="56">
        <v>120</v>
      </c>
    </row>
    <row r="167" spans="1:25" x14ac:dyDescent="0.25">
      <c r="B167" s="6" t="s">
        <v>55</v>
      </c>
      <c r="C167" s="29">
        <v>834.32</v>
      </c>
      <c r="D167" s="30">
        <v>33.069000000000003</v>
      </c>
      <c r="E167" s="30">
        <v>36.615000000000002</v>
      </c>
      <c r="F167" s="30">
        <v>37.058</v>
      </c>
      <c r="G167" s="16">
        <v>144.79</v>
      </c>
      <c r="H167" s="16">
        <f t="shared" si="18"/>
        <v>34.010875000000006</v>
      </c>
      <c r="I167" s="5"/>
      <c r="J167" s="29">
        <v>640.64559999999994</v>
      </c>
      <c r="K167" s="30">
        <v>33.112900000000003</v>
      </c>
      <c r="L167" s="30">
        <v>38.154200000000003</v>
      </c>
      <c r="M167" s="30">
        <v>38.910299999999999</v>
      </c>
      <c r="N167" s="16">
        <v>101.3171</v>
      </c>
      <c r="O167" s="16">
        <f t="shared" si="19"/>
        <v>34.467737500000005</v>
      </c>
      <c r="P167" s="7"/>
      <c r="Q167" s="8">
        <f>bdrate(C167:C170,D167:D170,J167:J170,K167:K170)</f>
        <v>-0.28111043563698657</v>
      </c>
      <c r="R167" s="8">
        <f>bdrate(C167:C170,E167:E170,J167:J170,L167:L170)</f>
        <v>-0.57368423892175091</v>
      </c>
      <c r="S167" s="8">
        <f>bdrate(C167:C170,F167:F170,J167:J170,M167:M170)</f>
        <v>-0.61789714014533459</v>
      </c>
      <c r="T167" s="25">
        <f>bdrate(C167:C170,H167:H170,J167:J170,O167:O170)</f>
        <v>-0.34531874411511487</v>
      </c>
      <c r="U167" s="28">
        <f t="shared" si="23"/>
        <v>-0.30024794530008975</v>
      </c>
      <c r="V167" s="57">
        <f t="shared" si="21"/>
        <v>4.2900000000000063E-2</v>
      </c>
      <c r="W167" s="57">
        <f t="shared" si="22"/>
        <v>6.7742666666666576E-2</v>
      </c>
      <c r="X167" s="56">
        <v>800</v>
      </c>
      <c r="Y167" s="56">
        <v>600</v>
      </c>
    </row>
    <row r="168" spans="1:25" x14ac:dyDescent="0.25">
      <c r="B168" s="9"/>
      <c r="C168" s="31">
        <v>520.30999999999995</v>
      </c>
      <c r="D168" s="32">
        <v>31.129000000000001</v>
      </c>
      <c r="E168" s="32">
        <v>35.561</v>
      </c>
      <c r="F168" s="32">
        <v>36.015999999999998</v>
      </c>
      <c r="G168" s="18">
        <v>157.97</v>
      </c>
      <c r="H168" s="18">
        <f t="shared" si="18"/>
        <v>32.293875</v>
      </c>
      <c r="I168" s="5"/>
      <c r="J168" s="31">
        <v>426.50959999999998</v>
      </c>
      <c r="K168" s="32">
        <v>31.5549</v>
      </c>
      <c r="L168" s="32">
        <v>37.159799999999997</v>
      </c>
      <c r="M168" s="32">
        <v>37.875599999999999</v>
      </c>
      <c r="N168" s="18">
        <v>120.13460000000001</v>
      </c>
      <c r="O168" s="18">
        <f t="shared" si="19"/>
        <v>33.0456</v>
      </c>
      <c r="P168" s="7"/>
      <c r="Q168" s="10"/>
      <c r="R168" s="11"/>
      <c r="S168" s="11"/>
      <c r="T168" s="26"/>
      <c r="U168" s="28">
        <f t="shared" si="23"/>
        <v>-0.23951003355067413</v>
      </c>
      <c r="V168" s="57">
        <f t="shared" si="21"/>
        <v>4.0619999999999892E-2</v>
      </c>
      <c r="W168" s="57">
        <f t="shared" si="22"/>
        <v>6.6273999999999944E-2</v>
      </c>
      <c r="X168" s="56">
        <v>500</v>
      </c>
      <c r="Y168" s="56">
        <v>400</v>
      </c>
    </row>
    <row r="169" spans="1:25" x14ac:dyDescent="0.25">
      <c r="B169" s="9"/>
      <c r="C169" s="31">
        <v>310.83</v>
      </c>
      <c r="D169" s="32">
        <v>29.195</v>
      </c>
      <c r="E169" s="32">
        <v>34.581000000000003</v>
      </c>
      <c r="F169" s="32">
        <v>35.087000000000003</v>
      </c>
      <c r="G169" s="18">
        <v>175.65</v>
      </c>
      <c r="H169" s="18">
        <f t="shared" si="18"/>
        <v>30.604750000000003</v>
      </c>
      <c r="I169" s="5"/>
      <c r="J169" s="31">
        <v>264.96559999999999</v>
      </c>
      <c r="K169" s="32">
        <v>29.8536</v>
      </c>
      <c r="L169" s="32">
        <v>35.945799999999998</v>
      </c>
      <c r="M169" s="32">
        <v>36.652500000000003</v>
      </c>
      <c r="N169" s="18">
        <v>147.7978</v>
      </c>
      <c r="O169" s="18">
        <f t="shared" si="19"/>
        <v>31.464987499999999</v>
      </c>
      <c r="P169" s="7"/>
      <c r="Q169" s="10"/>
      <c r="R169" s="11"/>
      <c r="S169" s="11"/>
      <c r="T169" s="26"/>
      <c r="U169" s="28">
        <f t="shared" si="23"/>
        <v>-0.15856646740677488</v>
      </c>
      <c r="V169" s="57">
        <f t="shared" si="21"/>
        <v>3.6099999999999945E-2</v>
      </c>
      <c r="W169" s="57">
        <f t="shared" si="22"/>
        <v>5.9862399999999982E-2</v>
      </c>
      <c r="X169" s="56">
        <v>300</v>
      </c>
      <c r="Y169" s="56">
        <v>250</v>
      </c>
    </row>
    <row r="170" spans="1:25" ht="16.5" thickBot="1" x14ac:dyDescent="0.3">
      <c r="B170" s="12"/>
      <c r="C170" s="33">
        <v>152.80000000000001</v>
      </c>
      <c r="D170" s="34">
        <v>26.795999999999999</v>
      </c>
      <c r="E170" s="34">
        <v>33.695</v>
      </c>
      <c r="F170" s="34">
        <v>34.213000000000001</v>
      </c>
      <c r="G170" s="20">
        <v>187.57</v>
      </c>
      <c r="H170" s="20">
        <f t="shared" si="18"/>
        <v>28.5855</v>
      </c>
      <c r="I170" s="5"/>
      <c r="J170" s="33">
        <v>126.61279999999999</v>
      </c>
      <c r="K170" s="34">
        <v>27.394200000000001</v>
      </c>
      <c r="L170" s="34">
        <v>34.457500000000003</v>
      </c>
      <c r="M170" s="34">
        <v>35.1235</v>
      </c>
      <c r="N170" s="20">
        <v>208.9427</v>
      </c>
      <c r="O170" s="20">
        <f t="shared" si="19"/>
        <v>29.243275000000004</v>
      </c>
      <c r="P170" s="7"/>
      <c r="Q170" s="13"/>
      <c r="R170" s="14"/>
      <c r="S170" s="14"/>
      <c r="T170" s="27"/>
      <c r="U170" s="28">
        <f t="shared" si="23"/>
        <v>0.11394519379431683</v>
      </c>
      <c r="V170" s="57">
        <f t="shared" si="21"/>
        <v>1.8666666666666741E-2</v>
      </c>
      <c r="W170" s="57">
        <f t="shared" si="22"/>
        <v>5.5106666666666609E-2</v>
      </c>
      <c r="X170" s="56">
        <v>150</v>
      </c>
      <c r="Y170" s="56">
        <v>120</v>
      </c>
    </row>
    <row r="171" spans="1:25" x14ac:dyDescent="0.25">
      <c r="B171" s="6" t="s">
        <v>56</v>
      </c>
      <c r="C171" s="15">
        <v>765.62</v>
      </c>
      <c r="D171" s="16">
        <v>34.587000000000003</v>
      </c>
      <c r="E171" s="16">
        <v>37.097000000000001</v>
      </c>
      <c r="F171" s="16">
        <v>38.162999999999997</v>
      </c>
      <c r="G171" s="16">
        <v>94.72</v>
      </c>
      <c r="H171" s="16">
        <f t="shared" si="18"/>
        <v>35.347750000000005</v>
      </c>
      <c r="I171" s="5"/>
      <c r="J171" s="15">
        <v>601.01919999999996</v>
      </c>
      <c r="K171" s="16">
        <v>33.815100000000001</v>
      </c>
      <c r="L171" s="16">
        <v>37.706099999999999</v>
      </c>
      <c r="M171" s="16">
        <v>38.8005</v>
      </c>
      <c r="N171" s="16">
        <v>66.533600000000007</v>
      </c>
      <c r="O171" s="16">
        <f t="shared" si="19"/>
        <v>34.92465</v>
      </c>
      <c r="P171" s="7"/>
      <c r="Q171" s="8">
        <f>bdrate(C171:C174,D171:D174,J171:J174,K171:K174)</f>
        <v>-0.13573654597304652</v>
      </c>
      <c r="R171" s="8">
        <f>bdrate(C171:C174,E171:E174,J171:J174,L171:L174)</f>
        <v>-0.33614507783900915</v>
      </c>
      <c r="S171" s="8">
        <f>bdrate(C171:C174,F171:F174,J171:J174,M171:M174)</f>
        <v>-0.33757856895378502</v>
      </c>
      <c r="T171" s="25">
        <f>bdrate(C171:C174,H171:H174,J171:J174,O171:O174)</f>
        <v>-0.16974621850141214</v>
      </c>
      <c r="U171" s="28">
        <f t="shared" si="23"/>
        <v>-0.29757601351351343</v>
      </c>
      <c r="V171" s="57">
        <f t="shared" si="21"/>
        <v>4.2974999999999992E-2</v>
      </c>
      <c r="W171" s="57">
        <f t="shared" si="22"/>
        <v>1.6986666666665921E-3</v>
      </c>
      <c r="X171" s="56">
        <v>800</v>
      </c>
      <c r="Y171" s="56">
        <v>600</v>
      </c>
    </row>
    <row r="172" spans="1:25" x14ac:dyDescent="0.25">
      <c r="B172" s="9"/>
      <c r="C172" s="17">
        <v>480.9</v>
      </c>
      <c r="D172" s="18">
        <v>32.351999999999997</v>
      </c>
      <c r="E172" s="18">
        <v>35.902999999999999</v>
      </c>
      <c r="F172" s="18">
        <v>36.96</v>
      </c>
      <c r="G172" s="18">
        <v>106.12</v>
      </c>
      <c r="H172" s="18">
        <f t="shared" si="18"/>
        <v>33.371874999999996</v>
      </c>
      <c r="I172" s="5"/>
      <c r="J172" s="17">
        <v>401.29520000000002</v>
      </c>
      <c r="K172" s="18">
        <v>31.998699999999999</v>
      </c>
      <c r="L172" s="18">
        <v>36.555100000000003</v>
      </c>
      <c r="M172" s="18">
        <v>37.649299999999997</v>
      </c>
      <c r="N172" s="18">
        <v>79.323099999999997</v>
      </c>
      <c r="O172" s="18">
        <f t="shared" si="19"/>
        <v>33.274574999999999</v>
      </c>
      <c r="P172" s="7"/>
      <c r="Q172" s="10"/>
      <c r="R172" s="11"/>
      <c r="S172" s="11"/>
      <c r="T172" s="26"/>
      <c r="U172" s="28">
        <f t="shared" si="23"/>
        <v>-0.25251507727101402</v>
      </c>
      <c r="V172" s="57">
        <f t="shared" si="21"/>
        <v>3.8200000000000046E-2</v>
      </c>
      <c r="W172" s="57">
        <f t="shared" si="22"/>
        <v>3.2380000000000564E-3</v>
      </c>
      <c r="X172" s="56">
        <v>500</v>
      </c>
      <c r="Y172" s="56">
        <v>400</v>
      </c>
    </row>
    <row r="173" spans="1:25" x14ac:dyDescent="0.25">
      <c r="B173" s="9"/>
      <c r="C173" s="17">
        <v>289.52999999999997</v>
      </c>
      <c r="D173" s="18">
        <v>30.120999999999999</v>
      </c>
      <c r="E173" s="18">
        <v>34.804000000000002</v>
      </c>
      <c r="F173" s="18">
        <v>35.844999999999999</v>
      </c>
      <c r="G173" s="18">
        <v>120.85</v>
      </c>
      <c r="H173" s="18">
        <f t="shared" si="18"/>
        <v>31.421875</v>
      </c>
      <c r="I173" s="5"/>
      <c r="J173" s="17">
        <v>250.87280000000001</v>
      </c>
      <c r="K173" s="18">
        <v>30.133600000000001</v>
      </c>
      <c r="L173" s="18">
        <v>35.329700000000003</v>
      </c>
      <c r="M173" s="18">
        <v>36.392699999999998</v>
      </c>
      <c r="N173" s="18">
        <v>99.403599999999997</v>
      </c>
      <c r="O173" s="18">
        <f t="shared" si="19"/>
        <v>31.5655</v>
      </c>
      <c r="P173" s="7"/>
      <c r="Q173" s="10"/>
      <c r="R173" s="11"/>
      <c r="S173" s="11"/>
      <c r="T173" s="26"/>
      <c r="U173" s="28">
        <f t="shared" si="23"/>
        <v>-0.1774629706247414</v>
      </c>
      <c r="V173" s="57">
        <f t="shared" si="21"/>
        <v>3.4900000000000091E-2</v>
      </c>
      <c r="W173" s="57">
        <f t="shared" si="22"/>
        <v>3.4912000000000489E-3</v>
      </c>
      <c r="X173" s="56">
        <v>300</v>
      </c>
      <c r="Y173" s="56">
        <v>250</v>
      </c>
    </row>
    <row r="174" spans="1:25" ht="16.5" thickBot="1" x14ac:dyDescent="0.3">
      <c r="B174" s="12"/>
      <c r="C174" s="19">
        <v>144.55000000000001</v>
      </c>
      <c r="D174" s="20">
        <v>27.233000000000001</v>
      </c>
      <c r="E174" s="20">
        <v>33.51</v>
      </c>
      <c r="F174" s="20">
        <v>34.465000000000003</v>
      </c>
      <c r="G174" s="20">
        <v>145.82</v>
      </c>
      <c r="H174" s="20">
        <f t="shared" si="18"/>
        <v>28.921624999999999</v>
      </c>
      <c r="I174" s="5"/>
      <c r="J174" s="19">
        <v>121.3728</v>
      </c>
      <c r="K174" s="20">
        <v>27.619499999999999</v>
      </c>
      <c r="L174" s="20">
        <v>33.878399999999999</v>
      </c>
      <c r="M174" s="20">
        <v>34.841799999999999</v>
      </c>
      <c r="N174" s="20">
        <v>140.2525</v>
      </c>
      <c r="O174" s="20">
        <f t="shared" si="19"/>
        <v>29.304649999999999</v>
      </c>
      <c r="P174" s="7"/>
      <c r="Q174" s="13"/>
      <c r="R174" s="14"/>
      <c r="S174" s="14"/>
      <c r="T174" s="27"/>
      <c r="U174" s="28">
        <f t="shared" si="23"/>
        <v>-3.8180633657934407E-2</v>
      </c>
      <c r="V174" s="57">
        <f t="shared" si="21"/>
        <v>3.6333333333333259E-2</v>
      </c>
      <c r="W174" s="57">
        <f t="shared" si="22"/>
        <v>1.1439999999999983E-2</v>
      </c>
      <c r="X174" s="56">
        <v>150</v>
      </c>
      <c r="Y174" s="56">
        <v>120</v>
      </c>
    </row>
    <row r="175" spans="1:25" x14ac:dyDescent="0.25">
      <c r="A175" s="6" t="s">
        <v>41</v>
      </c>
      <c r="B175" s="6" t="s">
        <v>57</v>
      </c>
      <c r="C175" s="15">
        <v>1896.79</v>
      </c>
      <c r="D175" s="16">
        <v>40.857999999999997</v>
      </c>
      <c r="E175" s="16">
        <v>44.54</v>
      </c>
      <c r="F175" s="16">
        <v>45.648000000000003</v>
      </c>
      <c r="G175" s="16">
        <v>21.15</v>
      </c>
      <c r="H175" s="16">
        <f t="shared" si="18"/>
        <v>41.917000000000002</v>
      </c>
      <c r="I175" s="5"/>
      <c r="J175" s="15">
        <v>1494.9880000000001</v>
      </c>
      <c r="K175" s="16">
        <v>41.330100000000002</v>
      </c>
      <c r="L175" s="16">
        <v>45.800600000000003</v>
      </c>
      <c r="M175" s="16">
        <v>46.991399999999999</v>
      </c>
      <c r="N175" s="16">
        <v>29.6282</v>
      </c>
      <c r="O175" s="16">
        <f t="shared" si="19"/>
        <v>42.596575000000001</v>
      </c>
      <c r="P175" s="7"/>
      <c r="Q175" s="8">
        <f>bdrate(C175:C178,D175:D178,J175:J178,K175:K178)</f>
        <v>-0.37924874365165107</v>
      </c>
      <c r="R175" s="8">
        <f>bdrate(C175:C178,E175:E178,J175:J178,L175:L178)</f>
        <v>-0.52522064963090598</v>
      </c>
      <c r="S175" s="8">
        <f>bdrate(C175:C178,F175:F178,J175:J178,M175:M178)</f>
        <v>-0.53442614671419331</v>
      </c>
      <c r="T175" s="25">
        <f>bdrate(C175:C178,H175:H178,J175:J178,O175:O178)</f>
        <v>-0.41094139455408241</v>
      </c>
      <c r="U175" s="28">
        <f t="shared" si="23"/>
        <v>0.40086052009456274</v>
      </c>
      <c r="V175" s="57">
        <f t="shared" si="21"/>
        <v>9.6766666666666681E-2</v>
      </c>
      <c r="W175" s="57">
        <f t="shared" si="22"/>
        <v>3.3413333333332956E-3</v>
      </c>
      <c r="X175" s="56">
        <v>2100</v>
      </c>
      <c r="Y175" s="56">
        <v>1500</v>
      </c>
    </row>
    <row r="176" spans="1:25" x14ac:dyDescent="0.25">
      <c r="A176" s="9" t="s">
        <v>42</v>
      </c>
      <c r="B176" s="9"/>
      <c r="C176" s="17">
        <v>1235.92</v>
      </c>
      <c r="D176" s="18">
        <v>39.457000000000001</v>
      </c>
      <c r="E176" s="18">
        <v>43.359000000000002</v>
      </c>
      <c r="F176" s="18">
        <v>44.37</v>
      </c>
      <c r="G176" s="18">
        <v>21.32</v>
      </c>
      <c r="H176" s="18">
        <f t="shared" si="18"/>
        <v>40.558875</v>
      </c>
      <c r="I176" s="5"/>
      <c r="J176" s="17">
        <v>986.70159999999998</v>
      </c>
      <c r="K176" s="18">
        <v>40.189900000000002</v>
      </c>
      <c r="L176" s="18">
        <v>44.835299999999997</v>
      </c>
      <c r="M176" s="18">
        <v>46.017000000000003</v>
      </c>
      <c r="N176" s="18">
        <v>33.572099999999999</v>
      </c>
      <c r="O176" s="18">
        <f t="shared" si="19"/>
        <v>41.498962500000005</v>
      </c>
      <c r="P176" s="7"/>
      <c r="Q176" s="10"/>
      <c r="R176" s="11"/>
      <c r="S176" s="11"/>
      <c r="T176" s="26"/>
      <c r="U176" s="28">
        <f t="shared" si="23"/>
        <v>0.57467636022514068</v>
      </c>
      <c r="V176" s="57">
        <f t="shared" si="21"/>
        <v>0.11719999999999994</v>
      </c>
      <c r="W176" s="57">
        <f t="shared" si="22"/>
        <v>1.3298400000000016E-2</v>
      </c>
      <c r="X176" s="56">
        <v>1400</v>
      </c>
      <c r="Y176" s="56">
        <v>1000</v>
      </c>
    </row>
    <row r="177" spans="1:25" x14ac:dyDescent="0.25">
      <c r="B177" s="9"/>
      <c r="C177" s="17">
        <v>738.02</v>
      </c>
      <c r="D177" s="18">
        <v>37.156999999999996</v>
      </c>
      <c r="E177" s="18">
        <v>41.826000000000001</v>
      </c>
      <c r="F177" s="18">
        <v>42.875</v>
      </c>
      <c r="G177" s="18">
        <v>21.7</v>
      </c>
      <c r="H177" s="18">
        <f t="shared" si="18"/>
        <v>38.455374999999997</v>
      </c>
      <c r="I177" s="5"/>
      <c r="J177" s="17">
        <v>579.99839999999995</v>
      </c>
      <c r="K177" s="18">
        <v>38.241100000000003</v>
      </c>
      <c r="L177" s="18">
        <v>43.287199999999999</v>
      </c>
      <c r="M177" s="18">
        <v>44.404200000000003</v>
      </c>
      <c r="N177" s="18">
        <v>39.4529</v>
      </c>
      <c r="O177" s="18">
        <f t="shared" si="19"/>
        <v>39.642250000000004</v>
      </c>
      <c r="P177" s="7"/>
      <c r="Q177" s="10"/>
      <c r="R177" s="11"/>
      <c r="S177" s="11"/>
      <c r="T177" s="26"/>
      <c r="U177" s="28">
        <f t="shared" si="23"/>
        <v>0.81810599078341018</v>
      </c>
      <c r="V177" s="57">
        <f t="shared" si="21"/>
        <v>0.13174117647058825</v>
      </c>
      <c r="W177" s="57">
        <f t="shared" si="22"/>
        <v>3.3336000000000088E-2</v>
      </c>
      <c r="X177" s="56">
        <v>850</v>
      </c>
      <c r="Y177" s="56">
        <v>600</v>
      </c>
    </row>
    <row r="178" spans="1:25" ht="16.5" thickBot="1" x14ac:dyDescent="0.3">
      <c r="B178" s="12"/>
      <c r="C178" s="19">
        <v>340.92</v>
      </c>
      <c r="D178" s="20">
        <v>32.933</v>
      </c>
      <c r="E178" s="20">
        <v>39.779000000000003</v>
      </c>
      <c r="F178" s="20">
        <v>40.600999999999999</v>
      </c>
      <c r="G178" s="20">
        <v>22.69</v>
      </c>
      <c r="H178" s="20">
        <f t="shared" si="18"/>
        <v>34.747250000000001</v>
      </c>
      <c r="I178" s="5"/>
      <c r="J178" s="19">
        <v>284.62400000000002</v>
      </c>
      <c r="K178" s="20">
        <v>34.923099999999998</v>
      </c>
      <c r="L178" s="20">
        <v>41.259099999999997</v>
      </c>
      <c r="M178" s="20">
        <v>42.273000000000003</v>
      </c>
      <c r="N178" s="20">
        <v>47.007199999999997</v>
      </c>
      <c r="O178" s="20">
        <f t="shared" si="19"/>
        <v>36.633837499999998</v>
      </c>
      <c r="P178" s="7"/>
      <c r="Q178" s="13"/>
      <c r="R178" s="14"/>
      <c r="S178" s="14"/>
      <c r="T178" s="27"/>
      <c r="U178" s="28">
        <f t="shared" si="23"/>
        <v>1.0717144116350814</v>
      </c>
      <c r="V178" s="57">
        <f t="shared" si="21"/>
        <v>0.14769999999999997</v>
      </c>
      <c r="W178" s="57">
        <f t="shared" si="22"/>
        <v>5.1253333333333255E-2</v>
      </c>
      <c r="X178" s="56">
        <v>400</v>
      </c>
      <c r="Y178" s="56">
        <v>300</v>
      </c>
    </row>
    <row r="179" spans="1:25" x14ac:dyDescent="0.25">
      <c r="B179" s="6" t="s">
        <v>58</v>
      </c>
      <c r="C179" s="15">
        <v>1985.72</v>
      </c>
      <c r="D179" s="16">
        <v>42.076999999999998</v>
      </c>
      <c r="E179" s="16">
        <v>46.68</v>
      </c>
      <c r="F179" s="16">
        <v>47.148000000000003</v>
      </c>
      <c r="G179" s="16">
        <v>20.76</v>
      </c>
      <c r="H179" s="16">
        <f t="shared" si="18"/>
        <v>43.286250000000003</v>
      </c>
      <c r="I179" s="5"/>
      <c r="J179" s="15">
        <v>1478.8072</v>
      </c>
      <c r="K179" s="16">
        <v>42.595500000000001</v>
      </c>
      <c r="L179" s="16">
        <v>47.839500000000001</v>
      </c>
      <c r="M179" s="16">
        <v>48.533299999999997</v>
      </c>
      <c r="N179" s="16">
        <v>33.143700000000003</v>
      </c>
      <c r="O179" s="16">
        <f t="shared" si="19"/>
        <v>43.993225000000002</v>
      </c>
      <c r="P179" s="7"/>
      <c r="Q179" s="8">
        <f>bdrate(C179:C182,D179:D182,J179:J182,K179:K182)</f>
        <v>-0.52474974282423448</v>
      </c>
      <c r="R179" s="8">
        <f>bdrate(C179:C182,E179:E182,J179:J182,L179:L182)</f>
        <v>-0.67044824782261692</v>
      </c>
      <c r="S179" s="8">
        <f>bdrate(C179:C182,F179:F182,J179:J182,M179:M182)</f>
        <v>-0.70350604776907666</v>
      </c>
      <c r="T179" s="25">
        <f>bdrate(C179:C182,H179:H182,J179:J182,O179:O182)</f>
        <v>-0.57075503133242211</v>
      </c>
      <c r="U179" s="28">
        <f t="shared" ref="U179:U186" si="24">(N179-G179)/G179</f>
        <v>0.59651734104046239</v>
      </c>
      <c r="V179" s="57">
        <f t="shared" si="21"/>
        <v>5.4419047619047603E-2</v>
      </c>
      <c r="W179" s="57">
        <f t="shared" ref="W179:W186" si="25">ABS(J179-Y179)/Y179</f>
        <v>1.4128533333333356E-2</v>
      </c>
      <c r="X179" s="56">
        <v>2100</v>
      </c>
      <c r="Y179" s="56">
        <v>1500</v>
      </c>
    </row>
    <row r="180" spans="1:25" x14ac:dyDescent="0.25">
      <c r="B180" s="9"/>
      <c r="C180" s="17">
        <v>1297.55</v>
      </c>
      <c r="D180" s="18">
        <v>41.298000000000002</v>
      </c>
      <c r="E180" s="18">
        <v>45.743000000000002</v>
      </c>
      <c r="F180" s="18">
        <v>46.151000000000003</v>
      </c>
      <c r="G180" s="18">
        <v>20.62</v>
      </c>
      <c r="H180" s="18">
        <f t="shared" si="18"/>
        <v>42.460250000000002</v>
      </c>
      <c r="I180" s="5"/>
      <c r="J180" s="17">
        <v>968.28480000000002</v>
      </c>
      <c r="K180" s="18">
        <v>42.037799999999997</v>
      </c>
      <c r="L180" s="18">
        <v>47.3185</v>
      </c>
      <c r="M180" s="18">
        <v>47.991399999999999</v>
      </c>
      <c r="N180" s="18">
        <v>37.907499999999999</v>
      </c>
      <c r="O180" s="18">
        <f t="shared" si="19"/>
        <v>43.4420875</v>
      </c>
      <c r="P180" s="7"/>
      <c r="Q180" s="10"/>
      <c r="R180" s="11"/>
      <c r="S180" s="11"/>
      <c r="T180" s="26"/>
      <c r="U180" s="28">
        <f t="shared" si="24"/>
        <v>0.83838506304558669</v>
      </c>
      <c r="V180" s="57">
        <f t="shared" ref="V180:V186" si="26">ABS(C180-X180)/X180</f>
        <v>7.3178571428571468E-2</v>
      </c>
      <c r="W180" s="57">
        <f t="shared" si="25"/>
        <v>3.1715199999999985E-2</v>
      </c>
      <c r="X180" s="56">
        <v>1400</v>
      </c>
      <c r="Y180" s="56">
        <v>1000</v>
      </c>
    </row>
    <row r="181" spans="1:25" x14ac:dyDescent="0.25">
      <c r="B181" s="9"/>
      <c r="C181" s="17">
        <v>760.9</v>
      </c>
      <c r="D181" s="18">
        <v>39.94</v>
      </c>
      <c r="E181" s="18">
        <v>44.442999999999998</v>
      </c>
      <c r="F181" s="18">
        <v>44.871000000000002</v>
      </c>
      <c r="G181" s="18">
        <v>20.9</v>
      </c>
      <c r="H181" s="18">
        <f t="shared" si="18"/>
        <v>41.119249999999994</v>
      </c>
      <c r="I181" s="5"/>
      <c r="J181" s="17">
        <v>574.36479999999995</v>
      </c>
      <c r="K181" s="18">
        <v>41.111499999999999</v>
      </c>
      <c r="L181" s="18">
        <v>46.405700000000003</v>
      </c>
      <c r="M181" s="18">
        <v>47.073</v>
      </c>
      <c r="N181" s="18">
        <v>43.352600000000002</v>
      </c>
      <c r="O181" s="18">
        <f t="shared" si="19"/>
        <v>42.518462499999998</v>
      </c>
      <c r="P181" s="7"/>
      <c r="Q181" s="10"/>
      <c r="R181" s="11"/>
      <c r="S181" s="11"/>
      <c r="T181" s="26"/>
      <c r="U181" s="28">
        <f t="shared" si="24"/>
        <v>1.0742870813397132</v>
      </c>
      <c r="V181" s="57">
        <f t="shared" si="26"/>
        <v>0.10482352941176473</v>
      </c>
      <c r="W181" s="57">
        <f t="shared" si="25"/>
        <v>4.2725333333333421E-2</v>
      </c>
      <c r="X181" s="56">
        <v>850</v>
      </c>
      <c r="Y181" s="56">
        <v>600</v>
      </c>
    </row>
    <row r="182" spans="1:25" ht="16.5" thickBot="1" x14ac:dyDescent="0.3">
      <c r="B182" s="12"/>
      <c r="C182" s="19">
        <v>337.68</v>
      </c>
      <c r="D182" s="20">
        <v>36.725000000000001</v>
      </c>
      <c r="E182" s="20">
        <v>42.02</v>
      </c>
      <c r="F182" s="20">
        <v>42.838999999999999</v>
      </c>
      <c r="G182" s="20">
        <v>21.58</v>
      </c>
      <c r="H182" s="20">
        <f t="shared" si="18"/>
        <v>38.151125</v>
      </c>
      <c r="I182" s="5"/>
      <c r="J182" s="19">
        <v>278.63760000000002</v>
      </c>
      <c r="K182" s="20">
        <v>39.1783</v>
      </c>
      <c r="L182" s="20">
        <v>44.623199999999997</v>
      </c>
      <c r="M182" s="20">
        <v>45.278599999999997</v>
      </c>
      <c r="N182" s="20">
        <v>51.264499999999998</v>
      </c>
      <c r="O182" s="20">
        <f t="shared" si="19"/>
        <v>40.621449999999996</v>
      </c>
      <c r="P182" s="7"/>
      <c r="Q182" s="13"/>
      <c r="R182" s="14"/>
      <c r="S182" s="14"/>
      <c r="T182" s="27"/>
      <c r="U182" s="28">
        <f t="shared" si="24"/>
        <v>1.3755560704355887</v>
      </c>
      <c r="V182" s="57">
        <f t="shared" si="26"/>
        <v>0.15579999999999999</v>
      </c>
      <c r="W182" s="57">
        <f t="shared" si="25"/>
        <v>7.1207999999999938E-2</v>
      </c>
      <c r="X182" s="56">
        <v>400</v>
      </c>
      <c r="Y182" s="56">
        <v>300</v>
      </c>
    </row>
    <row r="183" spans="1:25" x14ac:dyDescent="0.25">
      <c r="B183" s="6" t="s">
        <v>59</v>
      </c>
      <c r="C183" s="15">
        <v>2075.6999999999998</v>
      </c>
      <c r="D183" s="16">
        <v>41.956000000000003</v>
      </c>
      <c r="E183" s="16">
        <v>45.744999999999997</v>
      </c>
      <c r="F183" s="16">
        <v>46.441000000000003</v>
      </c>
      <c r="G183" s="16">
        <v>19.899999999999999</v>
      </c>
      <c r="H183" s="16">
        <f t="shared" si="18"/>
        <v>42.990250000000003</v>
      </c>
      <c r="I183" s="5"/>
      <c r="J183" s="15">
        <v>1545.7808</v>
      </c>
      <c r="K183" s="16">
        <v>42.483600000000003</v>
      </c>
      <c r="L183" s="16">
        <v>46.908999999999999</v>
      </c>
      <c r="M183" s="16">
        <v>47.815800000000003</v>
      </c>
      <c r="N183" s="16">
        <v>28.627300000000002</v>
      </c>
      <c r="O183" s="16">
        <f t="shared" si="19"/>
        <v>43.703300000000006</v>
      </c>
      <c r="P183" s="7"/>
      <c r="Q183" s="8">
        <f>bdrate(C183:C186,D183:D186,J183:J186,K183:K186)</f>
        <v>-0.47615224993963146</v>
      </c>
      <c r="R183" s="8">
        <f>bdrate(C183:C186,E183:E186,J183:J186,L183:L186)</f>
        <v>-0.60125158791069677</v>
      </c>
      <c r="S183" s="8">
        <f>bdrate(C183:C186,F183:F186,J183:J186,M183:M186)</f>
        <v>-0.623783335003949</v>
      </c>
      <c r="T183" s="25">
        <f>bdrate(C183:C186,H183:H186,J183:J186,O183:O186)</f>
        <v>-0.50985688223687708</v>
      </c>
      <c r="U183" s="28">
        <f t="shared" si="24"/>
        <v>0.4385577889447238</v>
      </c>
      <c r="V183" s="57">
        <f t="shared" si="26"/>
        <v>1.1571428571428658E-2</v>
      </c>
      <c r="W183" s="57">
        <f t="shared" si="25"/>
        <v>3.0520533333333332E-2</v>
      </c>
      <c r="X183" s="56">
        <v>2100</v>
      </c>
      <c r="Y183" s="56">
        <v>1500</v>
      </c>
    </row>
    <row r="184" spans="1:25" x14ac:dyDescent="0.25">
      <c r="B184" s="9"/>
      <c r="C184" s="17">
        <v>1365.88</v>
      </c>
      <c r="D184" s="18">
        <v>40.834000000000003</v>
      </c>
      <c r="E184" s="18">
        <v>44.640999999999998</v>
      </c>
      <c r="F184" s="18">
        <v>45.281999999999996</v>
      </c>
      <c r="G184" s="18">
        <v>19.88</v>
      </c>
      <c r="H184" s="18">
        <f t="shared" si="18"/>
        <v>41.865875000000003</v>
      </c>
      <c r="I184" s="5"/>
      <c r="J184" s="17">
        <v>1008.1944</v>
      </c>
      <c r="K184" s="18">
        <v>41.641100000000002</v>
      </c>
      <c r="L184" s="18">
        <v>46.175600000000003</v>
      </c>
      <c r="M184" s="18">
        <v>47.029800000000002</v>
      </c>
      <c r="N184" s="18">
        <v>32.1785</v>
      </c>
      <c r="O184" s="18">
        <f t="shared" si="19"/>
        <v>42.881500000000003</v>
      </c>
      <c r="P184" s="7"/>
      <c r="Q184" s="10"/>
      <c r="R184" s="11"/>
      <c r="S184" s="11"/>
      <c r="T184" s="26"/>
      <c r="U184" s="28">
        <f t="shared" si="24"/>
        <v>0.61863682092555339</v>
      </c>
      <c r="V184" s="57">
        <f t="shared" si="26"/>
        <v>2.4371428571428492E-2</v>
      </c>
      <c r="W184" s="57">
        <f t="shared" si="25"/>
        <v>8.1943999999999732E-3</v>
      </c>
      <c r="X184" s="56">
        <v>1400</v>
      </c>
      <c r="Y184" s="56">
        <v>1000</v>
      </c>
    </row>
    <row r="185" spans="1:25" x14ac:dyDescent="0.25">
      <c r="B185" s="9"/>
      <c r="C185" s="17">
        <v>812.61</v>
      </c>
      <c r="D185" s="18">
        <v>38.959000000000003</v>
      </c>
      <c r="E185" s="18">
        <v>43.033000000000001</v>
      </c>
      <c r="F185" s="18">
        <v>43.723999999999997</v>
      </c>
      <c r="G185" s="18">
        <v>20.5</v>
      </c>
      <c r="H185" s="18">
        <f t="shared" si="18"/>
        <v>40.063875000000003</v>
      </c>
      <c r="I185" s="5"/>
      <c r="J185" s="17">
        <v>598.70479999999998</v>
      </c>
      <c r="K185" s="18">
        <v>40.201000000000001</v>
      </c>
      <c r="L185" s="18">
        <v>44.875300000000003</v>
      </c>
      <c r="M185" s="18">
        <v>45.678699999999999</v>
      </c>
      <c r="N185" s="18">
        <v>37.6081</v>
      </c>
      <c r="O185" s="18">
        <f t="shared" si="19"/>
        <v>41.47</v>
      </c>
      <c r="P185" s="7"/>
      <c r="Q185" s="10"/>
      <c r="R185" s="11"/>
      <c r="S185" s="11"/>
      <c r="T185" s="26"/>
      <c r="U185" s="28">
        <f t="shared" si="24"/>
        <v>0.8345414634146342</v>
      </c>
      <c r="V185" s="57">
        <f t="shared" si="26"/>
        <v>4.3988235294117634E-2</v>
      </c>
      <c r="W185" s="57">
        <f t="shared" si="25"/>
        <v>2.1586666666667041E-3</v>
      </c>
      <c r="X185" s="56">
        <v>850</v>
      </c>
      <c r="Y185" s="56">
        <v>600</v>
      </c>
    </row>
    <row r="186" spans="1:25" ht="16.5" thickBot="1" x14ac:dyDescent="0.3">
      <c r="B186" s="12"/>
      <c r="C186" s="19">
        <v>371.96</v>
      </c>
      <c r="D186" s="20">
        <v>35.152000000000001</v>
      </c>
      <c r="E186" s="20">
        <v>40.750999999999998</v>
      </c>
      <c r="F186" s="20">
        <v>41.353999999999999</v>
      </c>
      <c r="G186" s="20">
        <v>21.2</v>
      </c>
      <c r="H186" s="20">
        <f t="shared" si="18"/>
        <v>36.627124999999999</v>
      </c>
      <c r="I186" s="5"/>
      <c r="J186" s="19">
        <v>294.76639999999998</v>
      </c>
      <c r="K186" s="20">
        <v>37.571199999999997</v>
      </c>
      <c r="L186" s="20">
        <v>42.744399999999999</v>
      </c>
      <c r="M186" s="20">
        <v>43.676699999999997</v>
      </c>
      <c r="N186" s="20">
        <v>46.357100000000003</v>
      </c>
      <c r="O186" s="20">
        <f t="shared" si="19"/>
        <v>38.981037499999992</v>
      </c>
      <c r="P186" s="7"/>
      <c r="Q186" s="13"/>
      <c r="R186" s="14"/>
      <c r="S186" s="14"/>
      <c r="T186" s="27"/>
      <c r="U186" s="28">
        <f t="shared" si="24"/>
        <v>1.1866556603773586</v>
      </c>
      <c r="V186" s="57">
        <f t="shared" si="26"/>
        <v>7.0100000000000051E-2</v>
      </c>
      <c r="W186" s="57">
        <f t="shared" si="25"/>
        <v>1.7445333333333413E-2</v>
      </c>
      <c r="X186" s="56">
        <v>400</v>
      </c>
      <c r="Y186" s="56">
        <v>300</v>
      </c>
    </row>
    <row r="187" spans="1:25" x14ac:dyDescent="0.25">
      <c r="A187" s="6" t="s">
        <v>80</v>
      </c>
      <c r="B187" s="6" t="s">
        <v>81</v>
      </c>
      <c r="C187" s="15">
        <v>1528.77</v>
      </c>
      <c r="D187" s="16">
        <v>39.71</v>
      </c>
      <c r="E187" s="16">
        <v>46.284999999999997</v>
      </c>
      <c r="F187" s="16">
        <v>44.981000000000002</v>
      </c>
      <c r="G187" s="16">
        <v>12.66</v>
      </c>
      <c r="H187" s="16">
        <f t="shared" ref="H187:H209" si="27">(6*D187+E187+F187)/8</f>
        <v>41.190749999999994</v>
      </c>
      <c r="I187" s="5"/>
      <c r="J187" s="15">
        <v>1002.1667</v>
      </c>
      <c r="K187" s="16">
        <v>39.3459</v>
      </c>
      <c r="L187" s="16">
        <v>46.2453</v>
      </c>
      <c r="M187" s="16">
        <v>44.868600000000001</v>
      </c>
      <c r="N187" s="16">
        <v>13.195</v>
      </c>
      <c r="O187" s="16">
        <f t="shared" ref="O187:O209" si="28">(6*K187+L187+M187)/8</f>
        <v>40.8986625</v>
      </c>
      <c r="P187" s="7"/>
      <c r="Q187" s="8">
        <f>bdrate(C187:C190,D187:D190,J187:J190,K187:K190)</f>
        <v>-0.40248136027721249</v>
      </c>
      <c r="R187" s="8">
        <f>bdrate(C187:C190,E187:E190,J187:J190,L187:L190)</f>
        <v>-0.43021488480100833</v>
      </c>
      <c r="S187" s="8">
        <f>bdrate(C187:C190,F187:F190,J187:J190,M187:M190)</f>
        <v>-0.39008878294631033</v>
      </c>
      <c r="T187" s="25">
        <f>bdrate(C187:C190,H187:H190,J187:J190,O187:O190)</f>
        <v>-0.40404830268693959</v>
      </c>
      <c r="U187" s="28">
        <f t="shared" ref="U187:U209" si="29">(N187-G187)/G187</f>
        <v>4.2259083728278052E-2</v>
      </c>
      <c r="V187" s="57">
        <f t="shared" ref="V187:V230" si="30">ABS(C187-X187)/X187</f>
        <v>1.9179999999999989E-2</v>
      </c>
      <c r="W187" s="57">
        <f t="shared" ref="W187:W230" si="31">ABS(J187-Y187)/Y187</f>
        <v>2.1666999999999915E-3</v>
      </c>
      <c r="X187" s="56">
        <v>1500</v>
      </c>
      <c r="Y187" s="56">
        <v>1000</v>
      </c>
    </row>
    <row r="188" spans="1:25" x14ac:dyDescent="0.25">
      <c r="A188" s="9"/>
      <c r="B188" s="9"/>
      <c r="C188" s="17">
        <v>1021.36</v>
      </c>
      <c r="D188" s="18">
        <v>37.866999999999997</v>
      </c>
      <c r="E188" s="18">
        <v>45.069000000000003</v>
      </c>
      <c r="F188" s="18">
        <v>43.767000000000003</v>
      </c>
      <c r="G188" s="18">
        <v>13.94</v>
      </c>
      <c r="H188" s="18">
        <f t="shared" si="27"/>
        <v>39.504750000000001</v>
      </c>
      <c r="I188" s="5"/>
      <c r="J188" s="17">
        <v>600.33230000000003</v>
      </c>
      <c r="K188" s="18">
        <v>37.411900000000003</v>
      </c>
      <c r="L188" s="18">
        <v>44.975299999999997</v>
      </c>
      <c r="M188" s="18">
        <v>43.547899999999998</v>
      </c>
      <c r="N188" s="18">
        <v>15.6875</v>
      </c>
      <c r="O188" s="18">
        <f t="shared" si="28"/>
        <v>39.124324999999999</v>
      </c>
      <c r="P188" s="7"/>
      <c r="Q188" s="10"/>
      <c r="R188" s="11"/>
      <c r="S188" s="11"/>
      <c r="T188" s="26"/>
      <c r="U188" s="28">
        <f t="shared" si="29"/>
        <v>0.12535868005738884</v>
      </c>
      <c r="V188" s="57">
        <f t="shared" si="30"/>
        <v>2.1360000000000014E-2</v>
      </c>
      <c r="W188" s="57">
        <f t="shared" si="31"/>
        <v>5.5383333333338671E-4</v>
      </c>
      <c r="X188" s="56">
        <v>1000</v>
      </c>
      <c r="Y188" s="56">
        <v>600</v>
      </c>
    </row>
    <row r="189" spans="1:25" x14ac:dyDescent="0.25">
      <c r="B189" s="9"/>
      <c r="C189" s="17">
        <v>613.67999999999995</v>
      </c>
      <c r="D189" s="18">
        <v>35.200000000000003</v>
      </c>
      <c r="E189" s="18">
        <v>43.405999999999999</v>
      </c>
      <c r="F189" s="18">
        <v>42.173999999999999</v>
      </c>
      <c r="G189" s="18">
        <v>15.42</v>
      </c>
      <c r="H189" s="18">
        <f t="shared" si="27"/>
        <v>37.097500000000004</v>
      </c>
      <c r="I189" s="5"/>
      <c r="J189" s="17">
        <v>297.40750000000003</v>
      </c>
      <c r="K189" s="18">
        <v>34.416699999999999</v>
      </c>
      <c r="L189" s="18">
        <v>43.109000000000002</v>
      </c>
      <c r="M189" s="18">
        <v>41.5822</v>
      </c>
      <c r="N189" s="18">
        <v>20.832899999999999</v>
      </c>
      <c r="O189" s="18">
        <f t="shared" si="28"/>
        <v>36.398925000000006</v>
      </c>
      <c r="P189" s="7"/>
      <c r="Q189" s="10"/>
      <c r="R189" s="11"/>
      <c r="S189" s="11"/>
      <c r="T189" s="26"/>
      <c r="U189" s="28">
        <f t="shared" si="29"/>
        <v>0.35103112840466916</v>
      </c>
      <c r="V189" s="57">
        <f t="shared" si="30"/>
        <v>2.2799999999999918E-2</v>
      </c>
      <c r="W189" s="57">
        <f t="shared" si="31"/>
        <v>8.6416666666665753E-3</v>
      </c>
      <c r="X189" s="56">
        <v>600</v>
      </c>
      <c r="Y189" s="56">
        <v>300</v>
      </c>
    </row>
    <row r="190" spans="1:25" ht="16.5" thickBot="1" x14ac:dyDescent="0.3">
      <c r="B190" s="12"/>
      <c r="C190" s="19">
        <v>304.97000000000003</v>
      </c>
      <c r="D190" s="20">
        <v>30.614000000000001</v>
      </c>
      <c r="E190" s="20">
        <v>41.07</v>
      </c>
      <c r="F190" s="20">
        <v>39.905000000000001</v>
      </c>
      <c r="G190" s="20">
        <v>16.670000000000002</v>
      </c>
      <c r="H190" s="20">
        <f t="shared" si="27"/>
        <v>33.082374999999999</v>
      </c>
      <c r="I190" s="5"/>
      <c r="J190" s="19">
        <v>196.7586</v>
      </c>
      <c r="K190" s="20">
        <v>32.500999999999998</v>
      </c>
      <c r="L190" s="20">
        <v>41.966500000000003</v>
      </c>
      <c r="M190" s="20">
        <v>40.363100000000003</v>
      </c>
      <c r="N190" s="20">
        <v>25.463699999999999</v>
      </c>
      <c r="O190" s="20">
        <f t="shared" si="28"/>
        <v>34.66695</v>
      </c>
      <c r="P190" s="7"/>
      <c r="Q190" s="13"/>
      <c r="R190" s="14"/>
      <c r="S190" s="14"/>
      <c r="T190" s="27"/>
      <c r="U190" s="28">
        <f t="shared" si="29"/>
        <v>0.5275164967006597</v>
      </c>
      <c r="V190" s="57">
        <f t="shared" si="30"/>
        <v>1.6566666666666757E-2</v>
      </c>
      <c r="W190" s="57">
        <f t="shared" si="31"/>
        <v>1.6206999999999992E-2</v>
      </c>
      <c r="X190" s="56">
        <v>300</v>
      </c>
      <c r="Y190" s="56">
        <v>200</v>
      </c>
    </row>
    <row r="191" spans="1:25" x14ac:dyDescent="0.25">
      <c r="B191" s="6" t="s">
        <v>82</v>
      </c>
      <c r="C191" s="29">
        <v>1461.59</v>
      </c>
      <c r="D191" s="30">
        <v>41.018000000000001</v>
      </c>
      <c r="E191" s="30">
        <v>46.737000000000002</v>
      </c>
      <c r="F191" s="30">
        <v>46.390999999999998</v>
      </c>
      <c r="G191" s="16">
        <v>13.56</v>
      </c>
      <c r="H191" s="16">
        <f t="shared" si="27"/>
        <v>42.404500000000006</v>
      </c>
      <c r="I191" s="5"/>
      <c r="J191" s="29">
        <v>1005.4614</v>
      </c>
      <c r="K191" s="30">
        <v>40.738599999999998</v>
      </c>
      <c r="L191" s="30">
        <v>46.811300000000003</v>
      </c>
      <c r="M191" s="30">
        <v>46.5032</v>
      </c>
      <c r="N191" s="16">
        <v>13.210900000000001</v>
      </c>
      <c r="O191" s="16">
        <f t="shared" si="28"/>
        <v>42.218262500000002</v>
      </c>
      <c r="P191" s="7"/>
      <c r="Q191" s="8">
        <f>bdrate(C191:C194,D191:D194,J191:J194,K191:K194)</f>
        <v>-0.3959494504233958</v>
      </c>
      <c r="R191" s="8">
        <f>bdrate(C191:C194,E191:E194,J191:J194,L191:L194)</f>
        <v>-0.42852714192795394</v>
      </c>
      <c r="S191" s="8">
        <f>bdrate(C191:C194,F191:F194,J191:J194,M191:M194)</f>
        <v>-0.44179999645244761</v>
      </c>
      <c r="T191" s="25">
        <f>bdrate(C191:C194,H191:H194,J191:J194,O191:O194)</f>
        <v>-0.40229907333909654</v>
      </c>
      <c r="U191" s="28">
        <f t="shared" si="29"/>
        <v>-2.574483775811209E-2</v>
      </c>
      <c r="V191" s="57">
        <f t="shared" si="30"/>
        <v>2.5606666666666722E-2</v>
      </c>
      <c r="W191" s="57">
        <f t="shared" si="31"/>
        <v>5.461400000000026E-3</v>
      </c>
      <c r="X191" s="56">
        <v>1500</v>
      </c>
      <c r="Y191" s="56">
        <v>1000</v>
      </c>
    </row>
    <row r="192" spans="1:25" x14ac:dyDescent="0.25">
      <c r="B192" s="9"/>
      <c r="C192" s="31">
        <v>970.87</v>
      </c>
      <c r="D192" s="32">
        <v>39.186999999999998</v>
      </c>
      <c r="E192" s="32">
        <v>45.633000000000003</v>
      </c>
      <c r="F192" s="32">
        <v>45.268999999999998</v>
      </c>
      <c r="G192" s="18">
        <v>15.01</v>
      </c>
      <c r="H192" s="18">
        <f t="shared" si="27"/>
        <v>40.753</v>
      </c>
      <c r="I192" s="5"/>
      <c r="J192" s="31">
        <v>602.22730000000001</v>
      </c>
      <c r="K192" s="32">
        <v>38.911299999999997</v>
      </c>
      <c r="L192" s="32">
        <v>45.6526</v>
      </c>
      <c r="M192" s="32">
        <v>45.364400000000003</v>
      </c>
      <c r="N192" s="18">
        <v>15.868</v>
      </c>
      <c r="O192" s="18">
        <f t="shared" si="28"/>
        <v>40.560599999999994</v>
      </c>
      <c r="P192" s="7"/>
      <c r="Q192" s="10"/>
      <c r="R192" s="11"/>
      <c r="S192" s="11"/>
      <c r="T192" s="26"/>
      <c r="U192" s="28">
        <f t="shared" si="29"/>
        <v>5.7161892071952068E-2</v>
      </c>
      <c r="V192" s="57">
        <f t="shared" si="30"/>
        <v>2.9129999999999996E-2</v>
      </c>
      <c r="W192" s="57">
        <f t="shared" si="31"/>
        <v>3.7121666666666896E-3</v>
      </c>
      <c r="X192" s="56">
        <v>1000</v>
      </c>
      <c r="Y192" s="56">
        <v>600</v>
      </c>
    </row>
    <row r="193" spans="2:25" x14ac:dyDescent="0.25">
      <c r="B193" s="9"/>
      <c r="C193" s="31">
        <v>581.80999999999995</v>
      </c>
      <c r="D193" s="32">
        <v>36.701000000000001</v>
      </c>
      <c r="E193" s="32">
        <v>44.1</v>
      </c>
      <c r="F193" s="32">
        <v>43.731999999999999</v>
      </c>
      <c r="G193" s="18">
        <v>16.5</v>
      </c>
      <c r="H193" s="18">
        <f t="shared" si="27"/>
        <v>38.504750000000001</v>
      </c>
      <c r="I193" s="5"/>
      <c r="J193" s="31">
        <v>300.6628</v>
      </c>
      <c r="K193" s="32">
        <v>36.391100000000002</v>
      </c>
      <c r="L193" s="32">
        <v>44.039900000000003</v>
      </c>
      <c r="M193" s="32">
        <v>43.722700000000003</v>
      </c>
      <c r="N193" s="18">
        <v>20.943100000000001</v>
      </c>
      <c r="O193" s="18">
        <f t="shared" si="28"/>
        <v>38.263649999999998</v>
      </c>
      <c r="P193" s="7"/>
      <c r="Q193" s="10"/>
      <c r="R193" s="11"/>
      <c r="S193" s="11"/>
      <c r="T193" s="26"/>
      <c r="U193" s="28">
        <f t="shared" si="29"/>
        <v>0.26927878787878795</v>
      </c>
      <c r="V193" s="57">
        <f t="shared" si="30"/>
        <v>3.0316666666666759E-2</v>
      </c>
      <c r="W193" s="57">
        <f t="shared" si="31"/>
        <v>2.2093333333333474E-3</v>
      </c>
      <c r="X193" s="56">
        <v>600</v>
      </c>
      <c r="Y193" s="56">
        <v>300</v>
      </c>
    </row>
    <row r="194" spans="2:25" ht="16.5" thickBot="1" x14ac:dyDescent="0.3">
      <c r="B194" s="12"/>
      <c r="C194" s="33">
        <v>289.2</v>
      </c>
      <c r="D194" s="34">
        <v>32.685000000000002</v>
      </c>
      <c r="E194" s="34">
        <v>41.947000000000003</v>
      </c>
      <c r="F194" s="34">
        <v>41.551000000000002</v>
      </c>
      <c r="G194" s="20">
        <v>16.829999999999998</v>
      </c>
      <c r="H194" s="20">
        <f t="shared" si="27"/>
        <v>34.951000000000001</v>
      </c>
      <c r="I194" s="5"/>
      <c r="J194" s="33">
        <v>199.9752</v>
      </c>
      <c r="K194" s="34">
        <v>34.768999999999998</v>
      </c>
      <c r="L194" s="34">
        <v>43.054200000000002</v>
      </c>
      <c r="M194" s="34">
        <v>42.704900000000002</v>
      </c>
      <c r="N194" s="20">
        <v>25.3934</v>
      </c>
      <c r="O194" s="20">
        <f t="shared" si="28"/>
        <v>36.796637499999996</v>
      </c>
      <c r="P194" s="7"/>
      <c r="Q194" s="13"/>
      <c r="R194" s="14"/>
      <c r="S194" s="14"/>
      <c r="T194" s="27"/>
      <c r="U194" s="28">
        <f t="shared" si="29"/>
        <v>0.50881758764111717</v>
      </c>
      <c r="V194" s="57">
        <f t="shared" si="30"/>
        <v>3.6000000000000039E-2</v>
      </c>
      <c r="W194" s="57">
        <f t="shared" si="31"/>
        <v>1.2399999999999523E-4</v>
      </c>
      <c r="X194" s="56">
        <v>300</v>
      </c>
      <c r="Y194" s="56">
        <v>200</v>
      </c>
    </row>
    <row r="195" spans="2:25" x14ac:dyDescent="0.25">
      <c r="B195" s="6" t="s">
        <v>83</v>
      </c>
      <c r="C195" s="15">
        <v>1506.34</v>
      </c>
      <c r="D195" s="16">
        <v>37.787999999999997</v>
      </c>
      <c r="E195" s="16">
        <v>46.283000000000001</v>
      </c>
      <c r="F195" s="16">
        <v>44.607999999999997</v>
      </c>
      <c r="G195" s="16">
        <v>13.75</v>
      </c>
      <c r="H195" s="16">
        <f t="shared" si="27"/>
        <v>39.702374999999996</v>
      </c>
      <c r="I195" s="5"/>
      <c r="J195" s="15">
        <v>1002.5786000000001</v>
      </c>
      <c r="K195" s="16">
        <v>37.4664</v>
      </c>
      <c r="L195" s="16">
        <v>46.219499999999996</v>
      </c>
      <c r="M195" s="16">
        <v>44.637099999999997</v>
      </c>
      <c r="N195" s="16">
        <v>12.0451</v>
      </c>
      <c r="O195" s="16">
        <f t="shared" si="28"/>
        <v>39.456874999999997</v>
      </c>
      <c r="P195" s="7"/>
      <c r="Q195" s="8">
        <f>bdrate(C195:C198,D195:D198,J195:J198,K195:K198)</f>
        <v>-0.39378247836945401</v>
      </c>
      <c r="R195" s="8">
        <f>bdrate(C195:C198,E195:E198,J195:J198,L195:L198)</f>
        <v>-0.39751264657844176</v>
      </c>
      <c r="S195" s="8">
        <f>bdrate(C195:C198,F195:F198,J195:J198,M195:M198)</f>
        <v>-0.42307131357025352</v>
      </c>
      <c r="T195" s="25">
        <f>bdrate(C195:C198,H195:H198,J195:J198,O195:O198)</f>
        <v>-0.39661618789597841</v>
      </c>
      <c r="U195" s="28">
        <f t="shared" si="29"/>
        <v>-0.1239927272727273</v>
      </c>
      <c r="V195" s="57">
        <f t="shared" si="30"/>
        <v>4.2266666666666121E-3</v>
      </c>
      <c r="W195" s="57">
        <f t="shared" si="31"/>
        <v>2.5786000000000515E-3</v>
      </c>
      <c r="X195" s="56">
        <v>1500</v>
      </c>
      <c r="Y195" s="56">
        <v>1000</v>
      </c>
    </row>
    <row r="196" spans="2:25" x14ac:dyDescent="0.25">
      <c r="B196" s="9"/>
      <c r="C196" s="17">
        <v>1006.13</v>
      </c>
      <c r="D196" s="18">
        <v>36.094000000000001</v>
      </c>
      <c r="E196" s="18">
        <v>45.265999999999998</v>
      </c>
      <c r="F196" s="18">
        <v>43.468000000000004</v>
      </c>
      <c r="G196" s="18">
        <v>15.17</v>
      </c>
      <c r="H196" s="18">
        <f t="shared" si="27"/>
        <v>38.162250000000007</v>
      </c>
      <c r="I196" s="5"/>
      <c r="J196" s="17">
        <v>601.73630000000003</v>
      </c>
      <c r="K196" s="18">
        <v>35.714799999999997</v>
      </c>
      <c r="L196" s="18">
        <v>45.103000000000002</v>
      </c>
      <c r="M196" s="18">
        <v>43.467599999999997</v>
      </c>
      <c r="N196" s="18">
        <v>14.7354</v>
      </c>
      <c r="O196" s="18">
        <f t="shared" si="28"/>
        <v>37.857424999999999</v>
      </c>
      <c r="P196" s="7"/>
      <c r="Q196" s="10"/>
      <c r="R196" s="11"/>
      <c r="S196" s="11"/>
      <c r="T196" s="26"/>
      <c r="U196" s="28">
        <f t="shared" si="29"/>
        <v>-2.8648648648648627E-2</v>
      </c>
      <c r="V196" s="57">
        <f t="shared" si="30"/>
        <v>6.1299999999999957E-3</v>
      </c>
      <c r="W196" s="57">
        <f t="shared" si="31"/>
        <v>2.8938333333333806E-3</v>
      </c>
      <c r="X196" s="56">
        <v>1000</v>
      </c>
      <c r="Y196" s="56">
        <v>600</v>
      </c>
    </row>
    <row r="197" spans="2:25" x14ac:dyDescent="0.25">
      <c r="B197" s="9"/>
      <c r="C197" s="17">
        <v>601.65</v>
      </c>
      <c r="D197" s="18">
        <v>33.786000000000001</v>
      </c>
      <c r="E197" s="18">
        <v>43.853999999999999</v>
      </c>
      <c r="F197" s="18">
        <v>42.039000000000001</v>
      </c>
      <c r="G197" s="18">
        <v>16.78</v>
      </c>
      <c r="H197" s="18">
        <f t="shared" si="27"/>
        <v>36.076124999999998</v>
      </c>
      <c r="I197" s="5"/>
      <c r="J197" s="17">
        <v>298.13650000000001</v>
      </c>
      <c r="K197" s="18">
        <v>33.175699999999999</v>
      </c>
      <c r="L197" s="18">
        <v>43.484900000000003</v>
      </c>
      <c r="M197" s="18">
        <v>41.753300000000003</v>
      </c>
      <c r="N197" s="18">
        <v>19.775500000000001</v>
      </c>
      <c r="O197" s="18">
        <f t="shared" si="28"/>
        <v>35.536549999999998</v>
      </c>
      <c r="P197" s="7"/>
      <c r="Q197" s="10"/>
      <c r="R197" s="11"/>
      <c r="S197" s="11"/>
      <c r="T197" s="26"/>
      <c r="U197" s="28">
        <f t="shared" si="29"/>
        <v>0.17851609058402859</v>
      </c>
      <c r="V197" s="57">
        <f t="shared" si="30"/>
        <v>2.7499999999999621E-3</v>
      </c>
      <c r="W197" s="57">
        <f t="shared" si="31"/>
        <v>6.2116666666666258E-3</v>
      </c>
      <c r="X197" s="56">
        <v>600</v>
      </c>
      <c r="Y197" s="56">
        <v>300</v>
      </c>
    </row>
    <row r="198" spans="2:25" ht="16.5" thickBot="1" x14ac:dyDescent="0.3">
      <c r="B198" s="12"/>
      <c r="C198" s="19">
        <v>299.22000000000003</v>
      </c>
      <c r="D198" s="20">
        <v>29.934999999999999</v>
      </c>
      <c r="E198" s="20">
        <v>41.856999999999999</v>
      </c>
      <c r="F198" s="20">
        <v>40.078000000000003</v>
      </c>
      <c r="G198" s="20">
        <v>17.79</v>
      </c>
      <c r="H198" s="20">
        <f t="shared" si="27"/>
        <v>32.693124999999995</v>
      </c>
      <c r="I198" s="5"/>
      <c r="J198" s="19">
        <v>197.63229999999999</v>
      </c>
      <c r="K198" s="20">
        <v>31.498899999999999</v>
      </c>
      <c r="L198" s="20">
        <v>42.606499999999997</v>
      </c>
      <c r="M198" s="20">
        <v>40.750300000000003</v>
      </c>
      <c r="N198" s="20">
        <v>24.167400000000001</v>
      </c>
      <c r="O198" s="20">
        <f t="shared" si="28"/>
        <v>34.043774999999997</v>
      </c>
      <c r="P198" s="7"/>
      <c r="Q198" s="13"/>
      <c r="R198" s="14"/>
      <c r="S198" s="14"/>
      <c r="T198" s="27"/>
      <c r="U198" s="28">
        <f t="shared" si="29"/>
        <v>0.35848229342327159</v>
      </c>
      <c r="V198" s="57">
        <f t="shared" si="30"/>
        <v>2.5999999999999092E-3</v>
      </c>
      <c r="W198" s="57">
        <f t="shared" si="31"/>
        <v>1.1838500000000068E-2</v>
      </c>
      <c r="X198" s="56">
        <v>300</v>
      </c>
      <c r="Y198" s="56">
        <v>200</v>
      </c>
    </row>
    <row r="199" spans="2:25" x14ac:dyDescent="0.25">
      <c r="B199" s="6" t="s">
        <v>84</v>
      </c>
      <c r="C199" s="15">
        <v>1481.42</v>
      </c>
      <c r="D199" s="16">
        <v>36.840000000000003</v>
      </c>
      <c r="E199" s="16">
        <v>46.283999999999999</v>
      </c>
      <c r="F199" s="16">
        <v>44.558999999999997</v>
      </c>
      <c r="G199" s="16">
        <v>13.35</v>
      </c>
      <c r="H199" s="16">
        <f t="shared" si="27"/>
        <v>38.985375000000005</v>
      </c>
      <c r="I199" s="5"/>
      <c r="J199" s="15">
        <v>1003.4102</v>
      </c>
      <c r="K199" s="16">
        <v>36.4041</v>
      </c>
      <c r="L199" s="16">
        <v>46.005800000000001</v>
      </c>
      <c r="M199" s="16">
        <v>44.533900000000003</v>
      </c>
      <c r="N199" s="16">
        <v>12.025499999999999</v>
      </c>
      <c r="O199" s="16">
        <f t="shared" si="28"/>
        <v>38.620537500000005</v>
      </c>
      <c r="P199" s="7"/>
      <c r="Q199" s="8">
        <f>bdrate(C199:C202,D199:D202,J199:J202,K199:K202)</f>
        <v>-0.36719261768438827</v>
      </c>
      <c r="R199" s="8">
        <f>bdrate(C199:C202,E199:E202,J199:J202,L199:L202)</f>
        <v>-0.32970135128339972</v>
      </c>
      <c r="S199" s="8">
        <f>bdrate(C199:C202,F199:F202,J199:J202,M199:M202)</f>
        <v>-0.4135430725317345</v>
      </c>
      <c r="T199" s="25">
        <f>bdrate(C199:C202,H199:H202,J199:J202,O199:O202)</f>
        <v>-0.36837022317198698</v>
      </c>
      <c r="U199" s="28">
        <f t="shared" si="29"/>
        <v>-9.9213483146067455E-2</v>
      </c>
      <c r="V199" s="57">
        <f t="shared" si="30"/>
        <v>1.2386666666666619E-2</v>
      </c>
      <c r="W199" s="57">
        <f t="shared" si="31"/>
        <v>3.4102000000000316E-3</v>
      </c>
      <c r="X199" s="56">
        <v>1500</v>
      </c>
      <c r="Y199" s="56">
        <v>1000</v>
      </c>
    </row>
    <row r="200" spans="2:25" x14ac:dyDescent="0.25">
      <c r="B200" s="9"/>
      <c r="C200" s="17">
        <v>986.41</v>
      </c>
      <c r="D200" s="18">
        <v>35.188000000000002</v>
      </c>
      <c r="E200" s="18">
        <v>45.286999999999999</v>
      </c>
      <c r="F200" s="18">
        <v>43.454999999999998</v>
      </c>
      <c r="G200" s="18">
        <v>14.77</v>
      </c>
      <c r="H200" s="18">
        <f t="shared" si="27"/>
        <v>37.483750000000001</v>
      </c>
      <c r="I200" s="5"/>
      <c r="J200" s="17">
        <v>599.71339999999998</v>
      </c>
      <c r="K200" s="18">
        <v>34.691400000000002</v>
      </c>
      <c r="L200" s="18">
        <v>44.892000000000003</v>
      </c>
      <c r="M200" s="18">
        <v>43.393000000000001</v>
      </c>
      <c r="N200" s="18">
        <v>14.635</v>
      </c>
      <c r="O200" s="18">
        <f t="shared" si="28"/>
        <v>37.054175000000001</v>
      </c>
      <c r="P200" s="7"/>
      <c r="Q200" s="10"/>
      <c r="R200" s="11"/>
      <c r="S200" s="11"/>
      <c r="T200" s="26"/>
      <c r="U200" s="28">
        <f t="shared" si="29"/>
        <v>-9.1401489505754767E-3</v>
      </c>
      <c r="V200" s="57">
        <f t="shared" si="30"/>
        <v>1.3590000000000033E-2</v>
      </c>
      <c r="W200" s="57">
        <f t="shared" si="31"/>
        <v>4.7766666666670211E-4</v>
      </c>
      <c r="X200" s="56">
        <v>1000</v>
      </c>
      <c r="Y200" s="56">
        <v>600</v>
      </c>
    </row>
    <row r="201" spans="2:25" x14ac:dyDescent="0.25">
      <c r="B201" s="9"/>
      <c r="C201" s="17">
        <v>591.53</v>
      </c>
      <c r="D201" s="18">
        <v>32.911999999999999</v>
      </c>
      <c r="E201" s="18">
        <v>43.932000000000002</v>
      </c>
      <c r="F201" s="18">
        <v>42.005000000000003</v>
      </c>
      <c r="G201" s="18">
        <v>16.600000000000001</v>
      </c>
      <c r="H201" s="18">
        <f t="shared" si="27"/>
        <v>35.426124999999999</v>
      </c>
      <c r="I201" s="5"/>
      <c r="J201" s="17">
        <v>297.20659999999998</v>
      </c>
      <c r="K201" s="18">
        <v>32.179299999999998</v>
      </c>
      <c r="L201" s="18">
        <v>43.3245</v>
      </c>
      <c r="M201" s="18">
        <v>41.772599999999997</v>
      </c>
      <c r="N201" s="18">
        <v>19.756</v>
      </c>
      <c r="O201" s="18">
        <f t="shared" si="28"/>
        <v>34.771612499999996</v>
      </c>
      <c r="P201" s="7"/>
      <c r="Q201" s="10"/>
      <c r="R201" s="11"/>
      <c r="S201" s="11"/>
      <c r="T201" s="26"/>
      <c r="U201" s="28">
        <f t="shared" si="29"/>
        <v>0.19012048192771075</v>
      </c>
      <c r="V201" s="57">
        <f t="shared" si="30"/>
        <v>1.4116666666666711E-2</v>
      </c>
      <c r="W201" s="57">
        <f t="shared" si="31"/>
        <v>9.3113333333333988E-3</v>
      </c>
      <c r="X201" s="56">
        <v>600</v>
      </c>
      <c r="Y201" s="56">
        <v>300</v>
      </c>
    </row>
    <row r="202" spans="2:25" ht="16.5" thickBot="1" x14ac:dyDescent="0.3">
      <c r="B202" s="12"/>
      <c r="C202" s="19">
        <v>295.95</v>
      </c>
      <c r="D202" s="20">
        <v>29.137</v>
      </c>
      <c r="E202" s="20">
        <v>41.966999999999999</v>
      </c>
      <c r="F202" s="20">
        <v>39.979999999999997</v>
      </c>
      <c r="G202" s="20">
        <v>17.8</v>
      </c>
      <c r="H202" s="20">
        <f t="shared" si="27"/>
        <v>32.096125000000001</v>
      </c>
      <c r="I202" s="5"/>
      <c r="J202" s="19">
        <v>197.46129999999999</v>
      </c>
      <c r="K202" s="20">
        <v>30.5944</v>
      </c>
      <c r="L202" s="20">
        <v>42.507300000000001</v>
      </c>
      <c r="M202" s="20">
        <v>40.838099999999997</v>
      </c>
      <c r="N202" s="20">
        <v>24.060400000000001</v>
      </c>
      <c r="O202" s="20">
        <f t="shared" si="28"/>
        <v>33.363974999999996</v>
      </c>
      <c r="P202" s="7"/>
      <c r="Q202" s="13"/>
      <c r="R202" s="14"/>
      <c r="S202" s="14"/>
      <c r="T202" s="27"/>
      <c r="U202" s="28">
        <f t="shared" si="29"/>
        <v>0.35170786516853936</v>
      </c>
      <c r="V202" s="57">
        <f t="shared" si="30"/>
        <v>1.3500000000000038E-2</v>
      </c>
      <c r="W202" s="57">
        <f t="shared" si="31"/>
        <v>1.2693500000000029E-2</v>
      </c>
      <c r="X202" s="56">
        <v>300</v>
      </c>
      <c r="Y202" s="56">
        <v>200</v>
      </c>
    </row>
    <row r="203" spans="2:25" x14ac:dyDescent="0.25">
      <c r="B203" s="6" t="s">
        <v>85</v>
      </c>
      <c r="C203" s="15">
        <v>1493.46</v>
      </c>
      <c r="D203" s="16">
        <v>41.793999999999997</v>
      </c>
      <c r="E203" s="16">
        <v>48.591000000000001</v>
      </c>
      <c r="F203" s="16">
        <v>47.893999999999998</v>
      </c>
      <c r="G203" s="16">
        <v>15.12</v>
      </c>
      <c r="H203" s="16">
        <f t="shared" si="27"/>
        <v>43.406124999999996</v>
      </c>
      <c r="I203" s="5"/>
      <c r="J203" s="15">
        <v>1005.2526</v>
      </c>
      <c r="K203" s="16">
        <v>41.364100000000001</v>
      </c>
      <c r="L203" s="16">
        <v>48.474499999999999</v>
      </c>
      <c r="M203" s="16">
        <v>47.911999999999999</v>
      </c>
      <c r="N203" s="16">
        <v>13.9374</v>
      </c>
      <c r="O203" s="16">
        <f t="shared" si="28"/>
        <v>43.071387499999993</v>
      </c>
      <c r="P203" s="7"/>
      <c r="Q203" s="8">
        <f>bdrate(C203:C206,D203:D206,J203:J206,K203:K206)</f>
        <v>-0.39355913641594442</v>
      </c>
      <c r="R203" s="8">
        <f>bdrate(C203:C206,E203:E206,J203:J206,L203:L206)</f>
        <v>-0.42340711459643743</v>
      </c>
      <c r="S203" s="8">
        <f>bdrate(C203:C206,F203:F206,J203:J206,M203:M206)</f>
        <v>-0.46671768751774689</v>
      </c>
      <c r="T203" s="25">
        <f>bdrate(C203:C206,H203:H206,J203:J206,O203:O206)</f>
        <v>-0.40316118267636636</v>
      </c>
      <c r="U203" s="28">
        <f t="shared" si="29"/>
        <v>-7.8214285714285653E-2</v>
      </c>
      <c r="V203" s="57">
        <f t="shared" si="30"/>
        <v>4.3599999999999759E-3</v>
      </c>
      <c r="W203" s="57">
        <f t="shared" si="31"/>
        <v>5.2526000000000291E-3</v>
      </c>
      <c r="X203" s="56">
        <v>1500</v>
      </c>
      <c r="Y203" s="56">
        <v>1000</v>
      </c>
    </row>
    <row r="204" spans="2:25" x14ac:dyDescent="0.25">
      <c r="B204" s="9"/>
      <c r="C204" s="17">
        <v>995.76</v>
      </c>
      <c r="D204" s="18">
        <v>40.432000000000002</v>
      </c>
      <c r="E204" s="18">
        <v>47.735999999999997</v>
      </c>
      <c r="F204" s="18">
        <v>46.99</v>
      </c>
      <c r="G204" s="18">
        <v>16.61</v>
      </c>
      <c r="H204" s="18">
        <f t="shared" si="27"/>
        <v>42.164750000000005</v>
      </c>
      <c r="I204" s="5"/>
      <c r="J204" s="17">
        <v>602.68320000000006</v>
      </c>
      <c r="K204" s="18">
        <v>40.0715</v>
      </c>
      <c r="L204" s="18">
        <v>47.697800000000001</v>
      </c>
      <c r="M204" s="18">
        <v>47.1038</v>
      </c>
      <c r="N204" s="18">
        <v>16.686699999999998</v>
      </c>
      <c r="O204" s="18">
        <f t="shared" si="28"/>
        <v>41.903824999999998</v>
      </c>
      <c r="P204" s="7"/>
      <c r="Q204" s="10"/>
      <c r="R204" s="11"/>
      <c r="S204" s="11"/>
      <c r="T204" s="26"/>
      <c r="U204" s="28">
        <f t="shared" si="29"/>
        <v>4.6177001806140209E-3</v>
      </c>
      <c r="V204" s="57">
        <f t="shared" si="30"/>
        <v>4.2400000000000094E-3</v>
      </c>
      <c r="W204" s="57">
        <f t="shared" si="31"/>
        <v>4.472000000000094E-3</v>
      </c>
      <c r="X204" s="56">
        <v>1000</v>
      </c>
      <c r="Y204" s="56">
        <v>600</v>
      </c>
    </row>
    <row r="205" spans="2:25" x14ac:dyDescent="0.25">
      <c r="B205" s="9"/>
      <c r="C205" s="17">
        <v>597.15</v>
      </c>
      <c r="D205" s="18">
        <v>38.554000000000002</v>
      </c>
      <c r="E205" s="18">
        <v>46.598999999999997</v>
      </c>
      <c r="F205" s="18">
        <v>45.762999999999998</v>
      </c>
      <c r="G205" s="18">
        <v>18.079999999999998</v>
      </c>
      <c r="H205" s="18">
        <f t="shared" si="27"/>
        <v>40.460749999999997</v>
      </c>
      <c r="I205" s="5"/>
      <c r="J205" s="17">
        <v>295.99860000000001</v>
      </c>
      <c r="K205" s="18">
        <v>38.173299999999998</v>
      </c>
      <c r="L205" s="18">
        <v>46.387</v>
      </c>
      <c r="M205" s="18">
        <v>45.7712</v>
      </c>
      <c r="N205" s="18">
        <v>21.994599999999998</v>
      </c>
      <c r="O205" s="18">
        <f t="shared" si="28"/>
        <v>40.149749999999997</v>
      </c>
      <c r="P205" s="7"/>
      <c r="Q205" s="10"/>
      <c r="R205" s="11"/>
      <c r="S205" s="11"/>
      <c r="T205" s="26"/>
      <c r="U205" s="28">
        <f t="shared" si="29"/>
        <v>0.21651548672566373</v>
      </c>
      <c r="V205" s="57">
        <f t="shared" si="30"/>
        <v>4.750000000000038E-3</v>
      </c>
      <c r="W205" s="57">
        <f t="shared" si="31"/>
        <v>1.3337999999999966E-2</v>
      </c>
      <c r="X205" s="56">
        <v>600</v>
      </c>
      <c r="Y205" s="56">
        <v>300</v>
      </c>
    </row>
    <row r="206" spans="2:25" ht="16.5" thickBot="1" x14ac:dyDescent="0.3">
      <c r="B206" s="12"/>
      <c r="C206" s="19">
        <v>298.05</v>
      </c>
      <c r="D206" s="20">
        <v>35.542999999999999</v>
      </c>
      <c r="E206" s="20">
        <v>44.598999999999997</v>
      </c>
      <c r="F206" s="20">
        <v>43.808999999999997</v>
      </c>
      <c r="G206" s="20">
        <v>17.95</v>
      </c>
      <c r="H206" s="20">
        <f t="shared" si="27"/>
        <v>37.708249999999992</v>
      </c>
      <c r="I206" s="5"/>
      <c r="J206" s="19">
        <v>194.7235</v>
      </c>
      <c r="K206" s="20">
        <v>36.894500000000001</v>
      </c>
      <c r="L206" s="20">
        <v>45.497500000000002</v>
      </c>
      <c r="M206" s="20">
        <v>44.8185</v>
      </c>
      <c r="N206" s="20">
        <v>25.917300000000001</v>
      </c>
      <c r="O206" s="20">
        <f t="shared" si="28"/>
        <v>38.960374999999999</v>
      </c>
      <c r="P206" s="7"/>
      <c r="Q206" s="13"/>
      <c r="R206" s="14"/>
      <c r="S206" s="14"/>
      <c r="T206" s="27"/>
      <c r="U206" s="28">
        <f t="shared" si="29"/>
        <v>0.44386072423398337</v>
      </c>
      <c r="V206" s="57">
        <f t="shared" si="30"/>
        <v>6.4999999999999624E-3</v>
      </c>
      <c r="W206" s="57">
        <f t="shared" si="31"/>
        <v>2.6382499999999993E-2</v>
      </c>
      <c r="X206" s="56">
        <v>300</v>
      </c>
      <c r="Y206" s="56">
        <v>200</v>
      </c>
    </row>
    <row r="207" spans="2:25" x14ac:dyDescent="0.25">
      <c r="B207" s="6" t="s">
        <v>86</v>
      </c>
      <c r="C207" s="15">
        <v>1480.31</v>
      </c>
      <c r="D207" s="16">
        <v>41.905000000000001</v>
      </c>
      <c r="E207" s="16">
        <v>49.411999999999999</v>
      </c>
      <c r="F207" s="16">
        <v>49.29</v>
      </c>
      <c r="G207" s="16">
        <v>15.35</v>
      </c>
      <c r="H207" s="16">
        <f t="shared" si="27"/>
        <v>43.766500000000001</v>
      </c>
      <c r="I207" s="5"/>
      <c r="J207" s="15">
        <v>1006.889</v>
      </c>
      <c r="K207" s="16">
        <v>41.8767</v>
      </c>
      <c r="L207" s="16">
        <v>49.501300000000001</v>
      </c>
      <c r="M207" s="16">
        <v>49.255099999999999</v>
      </c>
      <c r="N207" s="16">
        <v>16.0045</v>
      </c>
      <c r="O207" s="16">
        <f t="shared" si="28"/>
        <v>43.752075000000005</v>
      </c>
      <c r="P207" s="7"/>
      <c r="Q207" s="8">
        <f>bdrate(C207:C210,D207:D210,J207:J210,K207:K210)</f>
        <v>-0.46456512661132432</v>
      </c>
      <c r="R207" s="8">
        <f>bdrate(C207:C210,E207:E210,J207:J210,L207:L210)</f>
        <v>-0.46774387122514482</v>
      </c>
      <c r="S207" s="8">
        <f>bdrate(C207:C210,F207:F210,J207:J210,M207:M210)</f>
        <v>-0.4419737929190436</v>
      </c>
      <c r="T207" s="25">
        <f>bdrate(C207:C210,H207:H210,J207:J210,O207:O210)</f>
        <v>-0.46287173405452153</v>
      </c>
      <c r="U207" s="28">
        <f t="shared" si="29"/>
        <v>4.2638436482084728E-2</v>
      </c>
      <c r="V207" s="57">
        <f t="shared" si="30"/>
        <v>1.3126666666666703E-2</v>
      </c>
      <c r="W207" s="57">
        <f t="shared" si="31"/>
        <v>6.8890000000000097E-3</v>
      </c>
      <c r="X207" s="56">
        <v>1500</v>
      </c>
      <c r="Y207" s="56">
        <v>1000</v>
      </c>
    </row>
    <row r="208" spans="2:25" x14ac:dyDescent="0.25">
      <c r="B208" s="9"/>
      <c r="C208" s="17">
        <v>981.6</v>
      </c>
      <c r="D208" s="18">
        <v>40.935000000000002</v>
      </c>
      <c r="E208" s="18">
        <v>48.853000000000002</v>
      </c>
      <c r="F208" s="18">
        <v>48.798999999999999</v>
      </c>
      <c r="G208" s="18">
        <v>17.43</v>
      </c>
      <c r="H208" s="18">
        <f t="shared" si="27"/>
        <v>42.90775</v>
      </c>
      <c r="I208" s="5"/>
      <c r="J208" s="17">
        <v>591.49300000000005</v>
      </c>
      <c r="K208" s="18">
        <v>40.987099999999998</v>
      </c>
      <c r="L208" s="18">
        <v>48.943899999999999</v>
      </c>
      <c r="M208" s="18">
        <v>48.753799999999998</v>
      </c>
      <c r="N208" s="18">
        <v>19.789400000000001</v>
      </c>
      <c r="O208" s="18">
        <f t="shared" si="28"/>
        <v>42.952537499999998</v>
      </c>
      <c r="P208" s="7"/>
      <c r="Q208" s="10"/>
      <c r="R208" s="11"/>
      <c r="S208" s="11"/>
      <c r="T208" s="26"/>
      <c r="U208" s="28">
        <f t="shared" si="29"/>
        <v>0.13536431440045904</v>
      </c>
      <c r="V208" s="57">
        <f t="shared" si="30"/>
        <v>1.8399999999999979E-2</v>
      </c>
      <c r="W208" s="57">
        <f t="shared" si="31"/>
        <v>1.4178333333333248E-2</v>
      </c>
      <c r="X208" s="56">
        <v>1000</v>
      </c>
      <c r="Y208" s="56">
        <v>600</v>
      </c>
    </row>
    <row r="209" spans="2:25" x14ac:dyDescent="0.25">
      <c r="B209" s="9"/>
      <c r="C209" s="17">
        <v>583.41</v>
      </c>
      <c r="D209" s="18">
        <v>39.686</v>
      </c>
      <c r="E209" s="18">
        <v>48.055</v>
      </c>
      <c r="F209" s="18">
        <v>48.045000000000002</v>
      </c>
      <c r="G209" s="18">
        <v>19.47</v>
      </c>
      <c r="H209" s="18">
        <f t="shared" si="27"/>
        <v>41.777000000000001</v>
      </c>
      <c r="I209" s="5"/>
      <c r="J209" s="17">
        <v>280.9821</v>
      </c>
      <c r="K209" s="18">
        <v>39.669199999999996</v>
      </c>
      <c r="L209" s="18">
        <v>47.953800000000001</v>
      </c>
      <c r="M209" s="18">
        <v>47.961300000000001</v>
      </c>
      <c r="N209" s="18">
        <v>26.782299999999999</v>
      </c>
      <c r="O209" s="18">
        <f t="shared" si="28"/>
        <v>41.741287499999999</v>
      </c>
      <c r="P209" s="7"/>
      <c r="Q209" s="10"/>
      <c r="R209" s="11"/>
      <c r="S209" s="11"/>
      <c r="T209" s="26"/>
      <c r="U209" s="28">
        <f t="shared" si="29"/>
        <v>0.37556753980482799</v>
      </c>
      <c r="V209" s="57">
        <f t="shared" si="30"/>
        <v>2.7650000000000053E-2</v>
      </c>
      <c r="W209" s="57">
        <f t="shared" si="31"/>
        <v>6.3392999999999991E-2</v>
      </c>
      <c r="X209" s="56">
        <v>600</v>
      </c>
      <c r="Y209" s="56">
        <v>300</v>
      </c>
    </row>
    <row r="210" spans="2:25" ht="16.5" thickBot="1" x14ac:dyDescent="0.3">
      <c r="B210" s="12"/>
      <c r="C210" s="19">
        <v>287.87</v>
      </c>
      <c r="D210" s="20">
        <v>37.637</v>
      </c>
      <c r="E210" s="20">
        <v>46.600999999999999</v>
      </c>
      <c r="F210" s="20">
        <v>46.780999999999999</v>
      </c>
      <c r="G210" s="20">
        <v>19.829999999999998</v>
      </c>
      <c r="H210" s="20">
        <f t="shared" ref="H210:H230" si="32">(6*D210+E210+F210)/8</f>
        <v>39.900500000000001</v>
      </c>
      <c r="I210" s="5"/>
      <c r="J210" s="19">
        <v>180.19329999999999</v>
      </c>
      <c r="K210" s="20">
        <v>38.693300000000001</v>
      </c>
      <c r="L210" s="20">
        <v>47.180700000000002</v>
      </c>
      <c r="M210" s="20">
        <v>47.292700000000004</v>
      </c>
      <c r="N210" s="20">
        <v>32.010800000000003</v>
      </c>
      <c r="O210" s="20">
        <f t="shared" ref="O210:O230" si="33">(6*K210+L210+M210)/8</f>
        <v>40.829150000000006</v>
      </c>
      <c r="P210" s="7"/>
      <c r="Q210" s="13"/>
      <c r="R210" s="14"/>
      <c r="S210" s="14"/>
      <c r="T210" s="27"/>
      <c r="U210" s="28">
        <f t="shared" ref="U210:U230" si="34">(N210-G210)/G210</f>
        <v>0.61426122037317221</v>
      </c>
      <c r="V210" s="57">
        <f t="shared" si="30"/>
        <v>4.0433333333333321E-2</v>
      </c>
      <c r="W210" s="57">
        <f t="shared" si="31"/>
        <v>9.9033500000000038E-2</v>
      </c>
      <c r="X210" s="56">
        <v>300</v>
      </c>
      <c r="Y210" s="56">
        <v>200</v>
      </c>
    </row>
    <row r="211" spans="2:25" x14ac:dyDescent="0.25">
      <c r="B211" s="6" t="s">
        <v>87</v>
      </c>
      <c r="C211" s="15">
        <v>1473.68</v>
      </c>
      <c r="D211" s="16">
        <v>43.228999999999999</v>
      </c>
      <c r="E211" s="16">
        <v>51.176000000000002</v>
      </c>
      <c r="F211" s="16">
        <v>50.936</v>
      </c>
      <c r="G211" s="16">
        <v>14.45</v>
      </c>
      <c r="H211" s="16">
        <f t="shared" si="32"/>
        <v>45.185749999999999</v>
      </c>
      <c r="I211" s="5"/>
      <c r="J211" s="15">
        <v>1001.4639</v>
      </c>
      <c r="K211" s="16">
        <v>42.852400000000003</v>
      </c>
      <c r="L211" s="16">
        <v>51.011499999999998</v>
      </c>
      <c r="M211" s="16">
        <v>50.819600000000001</v>
      </c>
      <c r="N211" s="16">
        <v>14.224399999999999</v>
      </c>
      <c r="O211" s="16">
        <f t="shared" si="33"/>
        <v>44.868187500000005</v>
      </c>
      <c r="P211" s="7"/>
      <c r="Q211" s="8">
        <f>bdrate(C211:C214,D211:D214,J211:J214,K211:K214)</f>
        <v>-0.40273699084608483</v>
      </c>
      <c r="R211" s="8">
        <f>bdrate(C211:C214,E211:E214,J211:J214,L211:L214)</f>
        <v>-0.45212501278977202</v>
      </c>
      <c r="S211" s="8">
        <f>bdrate(C211:C214,F211:F214,J211:J214,M211:M214)</f>
        <v>-0.44301546990017071</v>
      </c>
      <c r="T211" s="25">
        <f>bdrate(C211:C214,H211:H214,J211:J214,O211:O214)</f>
        <v>-0.41141548310598242</v>
      </c>
      <c r="U211" s="28">
        <f t="shared" si="34"/>
        <v>-1.5612456747404847E-2</v>
      </c>
      <c r="V211" s="57">
        <f t="shared" si="30"/>
        <v>1.7546666666666624E-2</v>
      </c>
      <c r="W211" s="57">
        <f t="shared" si="31"/>
        <v>1.4638999999999668E-3</v>
      </c>
      <c r="X211" s="56">
        <v>1500</v>
      </c>
      <c r="Y211" s="56">
        <v>1000</v>
      </c>
    </row>
    <row r="212" spans="2:25" x14ac:dyDescent="0.25">
      <c r="B212" s="9"/>
      <c r="C212" s="17">
        <v>974.48</v>
      </c>
      <c r="D212" s="18">
        <v>42.161000000000001</v>
      </c>
      <c r="E212" s="18">
        <v>50.442999999999998</v>
      </c>
      <c r="F212" s="18">
        <v>50.216999999999999</v>
      </c>
      <c r="G212" s="18">
        <v>16.350000000000001</v>
      </c>
      <c r="H212" s="18">
        <f t="shared" si="32"/>
        <v>44.203249999999997</v>
      </c>
      <c r="I212" s="5"/>
      <c r="J212" s="17">
        <v>600.96799999999996</v>
      </c>
      <c r="K212" s="18">
        <v>41.916800000000002</v>
      </c>
      <c r="L212" s="18">
        <v>50.444400000000002</v>
      </c>
      <c r="M212" s="18">
        <v>50.2072</v>
      </c>
      <c r="N212" s="18">
        <v>17.665500000000002</v>
      </c>
      <c r="O212" s="18">
        <f t="shared" si="33"/>
        <v>44.01905</v>
      </c>
      <c r="P212" s="7"/>
      <c r="Q212" s="10"/>
      <c r="R212" s="11"/>
      <c r="S212" s="11"/>
      <c r="T212" s="26"/>
      <c r="U212" s="28">
        <f t="shared" si="34"/>
        <v>8.0458715596330277E-2</v>
      </c>
      <c r="V212" s="57">
        <f t="shared" si="30"/>
        <v>2.551999999999998E-2</v>
      </c>
      <c r="W212" s="57">
        <f t="shared" si="31"/>
        <v>1.6133333333332681E-3</v>
      </c>
      <c r="X212" s="56">
        <v>1000</v>
      </c>
      <c r="Y212" s="56">
        <v>600</v>
      </c>
    </row>
    <row r="213" spans="2:25" x14ac:dyDescent="0.25">
      <c r="B213" s="9"/>
      <c r="C213" s="17">
        <v>576.24</v>
      </c>
      <c r="D213" s="18">
        <v>40.755000000000003</v>
      </c>
      <c r="E213" s="18">
        <v>49.478000000000002</v>
      </c>
      <c r="F213" s="18">
        <v>49.292000000000002</v>
      </c>
      <c r="G213" s="18">
        <v>17.809999999999999</v>
      </c>
      <c r="H213" s="18">
        <f t="shared" si="32"/>
        <v>42.912500000000009</v>
      </c>
      <c r="I213" s="5"/>
      <c r="J213" s="17">
        <v>293.19130000000001</v>
      </c>
      <c r="K213" s="18">
        <v>40.716999999999999</v>
      </c>
      <c r="L213" s="18">
        <v>49.5685</v>
      </c>
      <c r="M213" s="18">
        <v>49.334899999999998</v>
      </c>
      <c r="N213" s="18">
        <v>23.501200000000001</v>
      </c>
      <c r="O213" s="18">
        <f t="shared" si="33"/>
        <v>42.900675</v>
      </c>
      <c r="P213" s="7"/>
      <c r="Q213" s="10"/>
      <c r="R213" s="11"/>
      <c r="S213" s="11"/>
      <c r="T213" s="26"/>
      <c r="U213" s="28">
        <f t="shared" si="34"/>
        <v>0.31955081414935443</v>
      </c>
      <c r="V213" s="57">
        <f t="shared" si="30"/>
        <v>3.9599999999999982E-2</v>
      </c>
      <c r="W213" s="57">
        <f t="shared" si="31"/>
        <v>2.2695666666666624E-2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282.17</v>
      </c>
      <c r="D214" s="20">
        <v>38.496000000000002</v>
      </c>
      <c r="E214" s="20">
        <v>47.762</v>
      </c>
      <c r="F214" s="20">
        <v>47.652999999999999</v>
      </c>
      <c r="G214" s="20">
        <v>18.07</v>
      </c>
      <c r="H214" s="20">
        <f t="shared" si="32"/>
        <v>40.798875000000002</v>
      </c>
      <c r="I214" s="5"/>
      <c r="J214" s="19">
        <v>189.95830000000001</v>
      </c>
      <c r="K214" s="20">
        <v>39.927999999999997</v>
      </c>
      <c r="L214" s="20">
        <v>48.979300000000002</v>
      </c>
      <c r="M214" s="20">
        <v>48.730400000000003</v>
      </c>
      <c r="N214" s="20">
        <v>28.072600000000001</v>
      </c>
      <c r="O214" s="20">
        <f t="shared" si="33"/>
        <v>42.159712499999998</v>
      </c>
      <c r="P214" s="7"/>
      <c r="Q214" s="13"/>
      <c r="R214" s="14"/>
      <c r="S214" s="14"/>
      <c r="T214" s="27"/>
      <c r="U214" s="28">
        <f t="shared" si="34"/>
        <v>0.55354731599335916</v>
      </c>
      <c r="V214" s="57">
        <f t="shared" si="30"/>
        <v>5.9433333333333282E-2</v>
      </c>
      <c r="W214" s="57">
        <f t="shared" si="31"/>
        <v>5.0208499999999961E-2</v>
      </c>
      <c r="X214" s="56">
        <v>300</v>
      </c>
      <c r="Y214" s="56">
        <v>200</v>
      </c>
    </row>
    <row r="215" spans="2:25" x14ac:dyDescent="0.25">
      <c r="B215" s="6" t="s">
        <v>88</v>
      </c>
      <c r="C215" s="15">
        <v>1472.6</v>
      </c>
      <c r="D215" s="16">
        <v>43.573</v>
      </c>
      <c r="E215" s="16">
        <v>51.771999999999998</v>
      </c>
      <c r="F215" s="16">
        <v>51.779000000000003</v>
      </c>
      <c r="G215" s="16">
        <v>17.100000000000001</v>
      </c>
      <c r="H215" s="16">
        <f t="shared" si="32"/>
        <v>45.623624999999997</v>
      </c>
      <c r="I215" s="5"/>
      <c r="J215" s="15">
        <v>1003.0715</v>
      </c>
      <c r="K215" s="16">
        <v>43.180900000000001</v>
      </c>
      <c r="L215" s="16">
        <v>51.505899999999997</v>
      </c>
      <c r="M215" s="16">
        <v>51.582500000000003</v>
      </c>
      <c r="N215" s="16">
        <v>17.8809</v>
      </c>
      <c r="O215" s="16">
        <f t="shared" si="33"/>
        <v>45.271724999999996</v>
      </c>
      <c r="P215" s="7"/>
      <c r="Q215" s="8">
        <f>bdrate(C215:C218,D215:D218,J215:J218,K215:K218)</f>
        <v>-0.34472612775326195</v>
      </c>
      <c r="R215" s="8">
        <f>bdrate(C215:C218,E215:E218,J215:J218,L215:L218)</f>
        <v>-0.36961207830285359</v>
      </c>
      <c r="S215" s="8">
        <f>bdrate(C215:C218,F215:F218,J215:J218,M215:M218)</f>
        <v>-0.39831904581261557</v>
      </c>
      <c r="T215" s="25">
        <f>bdrate(C215:C218,H215:H218,J215:J218,O215:O218)</f>
        <v>-0.35195320662375895</v>
      </c>
      <c r="U215" s="28">
        <f t="shared" si="34"/>
        <v>4.5666666666666605E-2</v>
      </c>
      <c r="V215" s="57">
        <f t="shared" si="30"/>
        <v>1.8266666666666726E-2</v>
      </c>
      <c r="W215" s="57">
        <f t="shared" si="31"/>
        <v>3.0715000000000148E-3</v>
      </c>
      <c r="X215" s="56">
        <v>1500</v>
      </c>
      <c r="Y215" s="56">
        <v>1000</v>
      </c>
    </row>
    <row r="216" spans="2:25" x14ac:dyDescent="0.25">
      <c r="B216" s="9"/>
      <c r="C216" s="17">
        <v>978.81</v>
      </c>
      <c r="D216" s="18">
        <v>42.232999999999997</v>
      </c>
      <c r="E216" s="18">
        <v>50.98</v>
      </c>
      <c r="F216" s="18">
        <v>51.039000000000001</v>
      </c>
      <c r="G216" s="18">
        <v>19.04</v>
      </c>
      <c r="H216" s="18">
        <f t="shared" si="32"/>
        <v>44.427124999999997</v>
      </c>
      <c r="I216" s="5"/>
      <c r="J216" s="17">
        <v>601.7826</v>
      </c>
      <c r="K216" s="18">
        <v>41.778199999999998</v>
      </c>
      <c r="L216" s="18">
        <v>50.707299999999996</v>
      </c>
      <c r="M216" s="18">
        <v>50.819499999999998</v>
      </c>
      <c r="N216" s="18">
        <v>20.701799999999999</v>
      </c>
      <c r="O216" s="18">
        <f t="shared" si="33"/>
        <v>44.024499999999996</v>
      </c>
      <c r="P216" s="7"/>
      <c r="Q216" s="10"/>
      <c r="R216" s="11"/>
      <c r="S216" s="11"/>
      <c r="T216" s="26"/>
      <c r="U216" s="28">
        <f t="shared" si="34"/>
        <v>8.7279411764705855E-2</v>
      </c>
      <c r="V216" s="57">
        <f t="shared" si="30"/>
        <v>2.1190000000000056E-2</v>
      </c>
      <c r="W216" s="57">
        <f t="shared" si="31"/>
        <v>2.9710000000000036E-3</v>
      </c>
      <c r="X216" s="56">
        <v>1000</v>
      </c>
      <c r="Y216" s="56">
        <v>600</v>
      </c>
    </row>
    <row r="217" spans="2:25" x14ac:dyDescent="0.25">
      <c r="B217" s="9"/>
      <c r="C217" s="17">
        <v>584.30999999999995</v>
      </c>
      <c r="D217" s="18">
        <v>40.415999999999997</v>
      </c>
      <c r="E217" s="18">
        <v>49.811</v>
      </c>
      <c r="F217" s="18">
        <v>49.811</v>
      </c>
      <c r="G217" s="18">
        <v>20.87</v>
      </c>
      <c r="H217" s="18">
        <f t="shared" si="32"/>
        <v>42.764749999999992</v>
      </c>
      <c r="I217" s="5"/>
      <c r="J217" s="17">
        <v>299.65530000000001</v>
      </c>
      <c r="K217" s="18">
        <v>39.774700000000003</v>
      </c>
      <c r="L217" s="18">
        <v>49.516300000000001</v>
      </c>
      <c r="M217" s="18">
        <v>49.673000000000002</v>
      </c>
      <c r="N217" s="18">
        <v>26.1829</v>
      </c>
      <c r="O217" s="18">
        <f t="shared" si="33"/>
        <v>42.229687500000004</v>
      </c>
      <c r="P217" s="7"/>
      <c r="Q217" s="10"/>
      <c r="R217" s="11"/>
      <c r="S217" s="11"/>
      <c r="T217" s="26"/>
      <c r="U217" s="28">
        <f t="shared" si="34"/>
        <v>0.25457115476760894</v>
      </c>
      <c r="V217" s="57">
        <f t="shared" si="30"/>
        <v>2.615000000000009E-2</v>
      </c>
      <c r="W217" s="57">
        <f t="shared" si="31"/>
        <v>1.148999999999963E-3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289.83999999999997</v>
      </c>
      <c r="D218" s="20">
        <v>37.572000000000003</v>
      </c>
      <c r="E218" s="20">
        <v>47.625</v>
      </c>
      <c r="F218" s="20">
        <v>47.688000000000002</v>
      </c>
      <c r="G218" s="20">
        <v>20.94</v>
      </c>
      <c r="H218" s="20">
        <f t="shared" si="32"/>
        <v>40.093125000000001</v>
      </c>
      <c r="I218" s="5"/>
      <c r="J218" s="19">
        <v>196.98840000000001</v>
      </c>
      <c r="K218" s="20">
        <v>38.532899999999998</v>
      </c>
      <c r="L218" s="20">
        <v>48.640500000000003</v>
      </c>
      <c r="M218" s="20">
        <v>48.768500000000003</v>
      </c>
      <c r="N218" s="20">
        <v>29.960799999999999</v>
      </c>
      <c r="O218" s="20">
        <f t="shared" si="33"/>
        <v>41.075800000000001</v>
      </c>
      <c r="P218" s="7"/>
      <c r="Q218" s="13"/>
      <c r="R218" s="14"/>
      <c r="S218" s="14"/>
      <c r="T218" s="27"/>
      <c r="U218" s="28">
        <f t="shared" si="34"/>
        <v>0.43079274116523386</v>
      </c>
      <c r="V218" s="57">
        <f t="shared" si="30"/>
        <v>3.3866666666666753E-2</v>
      </c>
      <c r="W218" s="57">
        <f t="shared" si="31"/>
        <v>1.5057999999999936E-2</v>
      </c>
      <c r="X218" s="56">
        <v>300</v>
      </c>
      <c r="Y218" s="56">
        <v>200</v>
      </c>
    </row>
    <row r="219" spans="2:25" x14ac:dyDescent="0.25">
      <c r="B219" s="6" t="s">
        <v>89</v>
      </c>
      <c r="C219" s="15">
        <v>1495.62</v>
      </c>
      <c r="D219" s="16">
        <v>41.89</v>
      </c>
      <c r="E219" s="16">
        <v>49.6</v>
      </c>
      <c r="F219" s="16">
        <v>50.328000000000003</v>
      </c>
      <c r="G219" s="16">
        <v>16.5</v>
      </c>
      <c r="H219" s="16">
        <f t="shared" si="32"/>
        <v>43.908500000000004</v>
      </c>
      <c r="I219" s="5"/>
      <c r="J219" s="15">
        <v>1004.4486000000001</v>
      </c>
      <c r="K219" s="16">
        <v>41.8</v>
      </c>
      <c r="L219" s="16">
        <v>49.6556</v>
      </c>
      <c r="M219" s="16">
        <v>50.428199999999997</v>
      </c>
      <c r="N219" s="16">
        <v>14.122199999999999</v>
      </c>
      <c r="O219" s="16">
        <f t="shared" si="33"/>
        <v>43.860475000000001</v>
      </c>
      <c r="P219" s="7"/>
      <c r="Q219" s="8">
        <f>bdrate(C219:C222,D219:D222,J219:J222,K219:K222)</f>
        <v>-0.45940310327870348</v>
      </c>
      <c r="R219" s="8">
        <f>bdrate(C219:C222,E219:E222,J219:J222,L219:L222)</f>
        <v>-0.42825686299299282</v>
      </c>
      <c r="S219" s="8">
        <f>bdrate(C219:C222,F219:F222,J219:J222,M219:M222)</f>
        <v>-0.45166670041330059</v>
      </c>
      <c r="T219" s="25">
        <f>bdrate(C219:C222,H219:H222,J219:J222,O219:O222)</f>
        <v>-0.45546808403542283</v>
      </c>
      <c r="U219" s="28">
        <f t="shared" si="34"/>
        <v>-0.14410909090909094</v>
      </c>
      <c r="V219" s="57">
        <f t="shared" si="30"/>
        <v>2.9200000000000727E-3</v>
      </c>
      <c r="W219" s="57">
        <f t="shared" si="31"/>
        <v>4.448600000000056E-3</v>
      </c>
      <c r="X219" s="56">
        <v>1500</v>
      </c>
      <c r="Y219" s="56">
        <v>1000</v>
      </c>
    </row>
    <row r="220" spans="2:25" x14ac:dyDescent="0.25">
      <c r="B220" s="9"/>
      <c r="C220" s="17">
        <v>997.11</v>
      </c>
      <c r="D220" s="18">
        <v>40.82</v>
      </c>
      <c r="E220" s="18">
        <v>48.956000000000003</v>
      </c>
      <c r="F220" s="18">
        <v>49.707999999999998</v>
      </c>
      <c r="G220" s="18">
        <v>18.28</v>
      </c>
      <c r="H220" s="18">
        <f t="shared" si="32"/>
        <v>42.948000000000008</v>
      </c>
      <c r="I220" s="5"/>
      <c r="J220" s="17">
        <v>599.75509999999997</v>
      </c>
      <c r="K220" s="18">
        <v>40.8399</v>
      </c>
      <c r="L220" s="18">
        <v>48.950200000000002</v>
      </c>
      <c r="M220" s="18">
        <v>49.756300000000003</v>
      </c>
      <c r="N220" s="18">
        <v>17.4803</v>
      </c>
      <c r="O220" s="18">
        <f t="shared" si="33"/>
        <v>42.968237500000001</v>
      </c>
      <c r="P220" s="7"/>
      <c r="Q220" s="10"/>
      <c r="R220" s="11"/>
      <c r="S220" s="11"/>
      <c r="T220" s="26"/>
      <c r="U220" s="28">
        <f t="shared" si="34"/>
        <v>-4.3747264770240775E-2</v>
      </c>
      <c r="V220" s="57">
        <f t="shared" si="30"/>
        <v>2.8899999999999863E-3</v>
      </c>
      <c r="W220" s="57">
        <f t="shared" si="31"/>
        <v>4.0816666666671609E-4</v>
      </c>
      <c r="X220" s="56">
        <v>1000</v>
      </c>
      <c r="Y220" s="56">
        <v>600</v>
      </c>
    </row>
    <row r="221" spans="2:25" x14ac:dyDescent="0.25">
      <c r="B221" s="9"/>
      <c r="C221" s="17">
        <v>596.96</v>
      </c>
      <c r="D221" s="18">
        <v>39.470999999999997</v>
      </c>
      <c r="E221" s="18">
        <v>47.932000000000002</v>
      </c>
      <c r="F221" s="18">
        <v>48.692</v>
      </c>
      <c r="G221" s="18">
        <v>19.690000000000001</v>
      </c>
      <c r="H221" s="18">
        <f t="shared" si="32"/>
        <v>41.681249999999999</v>
      </c>
      <c r="I221" s="5"/>
      <c r="J221" s="17">
        <v>288.63299999999998</v>
      </c>
      <c r="K221" s="18">
        <v>39.4634</v>
      </c>
      <c r="L221" s="18">
        <v>47.6554</v>
      </c>
      <c r="M221" s="18">
        <v>48.510599999999997</v>
      </c>
      <c r="N221" s="18">
        <v>23.254000000000001</v>
      </c>
      <c r="O221" s="18">
        <f t="shared" si="33"/>
        <v>41.618299999999998</v>
      </c>
      <c r="P221" s="7"/>
      <c r="Q221" s="10"/>
      <c r="R221" s="11"/>
      <c r="S221" s="11"/>
      <c r="T221" s="26"/>
      <c r="U221" s="28">
        <f t="shared" si="34"/>
        <v>0.18100558659217877</v>
      </c>
      <c r="V221" s="57">
        <f t="shared" si="30"/>
        <v>5.0666666666666057E-3</v>
      </c>
      <c r="W221" s="57">
        <f t="shared" si="31"/>
        <v>3.7890000000000063E-2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297.81</v>
      </c>
      <c r="D222" s="20">
        <v>37.347000000000001</v>
      </c>
      <c r="E222" s="20">
        <v>46.271000000000001</v>
      </c>
      <c r="F222" s="20">
        <v>47.027000000000001</v>
      </c>
      <c r="G222" s="20">
        <v>19.760000000000002</v>
      </c>
      <c r="H222" s="20">
        <f t="shared" si="32"/>
        <v>39.672499999999999</v>
      </c>
      <c r="I222" s="5"/>
      <c r="J222" s="19">
        <v>187.40119999999999</v>
      </c>
      <c r="K222" s="20">
        <v>38.505099999999999</v>
      </c>
      <c r="L222" s="20">
        <v>46.729300000000002</v>
      </c>
      <c r="M222" s="20">
        <v>47.661200000000001</v>
      </c>
      <c r="N222" s="20">
        <v>27.2837</v>
      </c>
      <c r="O222" s="20">
        <f t="shared" si="33"/>
        <v>40.677637500000003</v>
      </c>
      <c r="P222" s="7"/>
      <c r="Q222" s="13"/>
      <c r="R222" s="14"/>
      <c r="S222" s="14"/>
      <c r="T222" s="27"/>
      <c r="U222" s="28">
        <f t="shared" si="34"/>
        <v>0.38075404858299583</v>
      </c>
      <c r="V222" s="57">
        <f t="shared" si="30"/>
        <v>7.2999999999999923E-3</v>
      </c>
      <c r="W222" s="57">
        <f t="shared" si="31"/>
        <v>6.299400000000005E-2</v>
      </c>
      <c r="X222" s="56">
        <v>300</v>
      </c>
      <c r="Y222" s="56">
        <v>200</v>
      </c>
    </row>
    <row r="223" spans="2:25" x14ac:dyDescent="0.25">
      <c r="B223" s="6" t="s">
        <v>90</v>
      </c>
      <c r="C223" s="15">
        <v>1515.15</v>
      </c>
      <c r="D223" s="16">
        <v>40.929000000000002</v>
      </c>
      <c r="E223" s="16">
        <v>49.195</v>
      </c>
      <c r="F223" s="16">
        <v>48.268000000000001</v>
      </c>
      <c r="G223" s="16">
        <v>15.61</v>
      </c>
      <c r="H223" s="16">
        <f t="shared" si="32"/>
        <v>42.879625000000004</v>
      </c>
      <c r="I223" s="5"/>
      <c r="J223" s="15">
        <v>1002.9516</v>
      </c>
      <c r="K223" s="16">
        <v>40.589599999999997</v>
      </c>
      <c r="L223" s="16">
        <v>49.245699999999999</v>
      </c>
      <c r="M223" s="16">
        <v>48.534700000000001</v>
      </c>
      <c r="N223" s="16">
        <v>13.3085</v>
      </c>
      <c r="O223" s="16">
        <f t="shared" si="33"/>
        <v>42.664749999999998</v>
      </c>
      <c r="P223" s="7"/>
      <c r="Q223" s="8">
        <f>bdrate(C223:C226,D223:D226,J223:J226,K223:K226)</f>
        <v>-0.40694253189156682</v>
      </c>
      <c r="R223" s="8">
        <f>bdrate(C223:C226,E223:E226,J223:J226,L223:L226)</f>
        <v>-0.4457628669347603</v>
      </c>
      <c r="S223" s="8">
        <f>bdrate(C223:C226,F223:F226,J223:J226,M223:M226)</f>
        <v>-0.49154634714953083</v>
      </c>
      <c r="T223" s="25">
        <f>bdrate(C223:C226,H223:H226,J223:J226,O223:O226)</f>
        <v>-0.41836338181935318</v>
      </c>
      <c r="U223" s="28">
        <f t="shared" si="34"/>
        <v>-0.14743754003843684</v>
      </c>
      <c r="V223" s="57">
        <f t="shared" si="30"/>
        <v>1.010000000000006E-2</v>
      </c>
      <c r="W223" s="57">
        <f t="shared" si="31"/>
        <v>2.9515999999999848E-3</v>
      </c>
      <c r="X223" s="56">
        <v>1500</v>
      </c>
      <c r="Y223" s="56">
        <v>1000</v>
      </c>
    </row>
    <row r="224" spans="2:25" x14ac:dyDescent="0.25">
      <c r="B224" s="9"/>
      <c r="C224" s="17">
        <v>1009.96</v>
      </c>
      <c r="D224" s="18">
        <v>39.472999999999999</v>
      </c>
      <c r="E224" s="18">
        <v>48.231999999999999</v>
      </c>
      <c r="F224" s="18">
        <v>47.24</v>
      </c>
      <c r="G224" s="18">
        <v>17.059999999999999</v>
      </c>
      <c r="H224" s="18">
        <f t="shared" si="32"/>
        <v>41.53875</v>
      </c>
      <c r="I224" s="5"/>
      <c r="J224" s="17">
        <v>597.33270000000005</v>
      </c>
      <c r="K224" s="18">
        <v>39.120600000000003</v>
      </c>
      <c r="L224" s="18">
        <v>48.295400000000001</v>
      </c>
      <c r="M224" s="18">
        <v>47.5002</v>
      </c>
      <c r="N224" s="18">
        <v>16.342400000000001</v>
      </c>
      <c r="O224" s="18">
        <f t="shared" si="33"/>
        <v>41.314900000000002</v>
      </c>
      <c r="P224" s="7"/>
      <c r="Q224" s="10"/>
      <c r="R224" s="11"/>
      <c r="S224" s="11"/>
      <c r="T224" s="26"/>
      <c r="U224" s="28">
        <f t="shared" si="34"/>
        <v>-4.2063305978897854E-2</v>
      </c>
      <c r="V224" s="57">
        <f t="shared" si="30"/>
        <v>9.9600000000000365E-3</v>
      </c>
      <c r="W224" s="57">
        <f t="shared" si="31"/>
        <v>4.4454999999999243E-3</v>
      </c>
      <c r="X224" s="56">
        <v>1000</v>
      </c>
      <c r="Y224" s="56">
        <v>600</v>
      </c>
    </row>
    <row r="225" spans="2:25" x14ac:dyDescent="0.25">
      <c r="B225" s="9"/>
      <c r="C225" s="17">
        <v>607.71</v>
      </c>
      <c r="D225" s="18">
        <v>37.448</v>
      </c>
      <c r="E225" s="18">
        <v>46.994999999999997</v>
      </c>
      <c r="F225" s="18">
        <v>45.826999999999998</v>
      </c>
      <c r="G225" s="18">
        <v>18.68</v>
      </c>
      <c r="H225" s="18">
        <f t="shared" si="32"/>
        <v>39.688749999999999</v>
      </c>
      <c r="I225" s="5"/>
      <c r="J225" s="17">
        <v>286.8682</v>
      </c>
      <c r="K225" s="18">
        <v>36.857700000000001</v>
      </c>
      <c r="L225" s="18">
        <v>46.635899999999999</v>
      </c>
      <c r="M225" s="18">
        <v>45.721400000000003</v>
      </c>
      <c r="N225" s="18">
        <v>21.842300000000002</v>
      </c>
      <c r="O225" s="18">
        <f t="shared" si="33"/>
        <v>39.187937500000004</v>
      </c>
      <c r="P225" s="7"/>
      <c r="Q225" s="10"/>
      <c r="R225" s="11"/>
      <c r="S225" s="11"/>
      <c r="T225" s="26"/>
      <c r="U225" s="28">
        <f t="shared" si="34"/>
        <v>0.16928800856531059</v>
      </c>
      <c r="V225" s="57">
        <f t="shared" si="30"/>
        <v>1.2850000000000061E-2</v>
      </c>
      <c r="W225" s="57">
        <f t="shared" si="31"/>
        <v>4.3772666666666661E-2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304.18</v>
      </c>
      <c r="D226" s="20">
        <v>34.206000000000003</v>
      </c>
      <c r="E226" s="20">
        <v>44.636000000000003</v>
      </c>
      <c r="F226" s="20">
        <v>43.713000000000001</v>
      </c>
      <c r="G226" s="20">
        <v>19.52</v>
      </c>
      <c r="H226" s="20">
        <f t="shared" si="32"/>
        <v>36.698125000000005</v>
      </c>
      <c r="I226" s="5"/>
      <c r="J226" s="19">
        <v>187.34970000000001</v>
      </c>
      <c r="K226" s="20">
        <v>35.369100000000003</v>
      </c>
      <c r="L226" s="20">
        <v>45.599899999999998</v>
      </c>
      <c r="M226" s="20">
        <v>44.600299999999997</v>
      </c>
      <c r="N226" s="20">
        <v>26.063300000000002</v>
      </c>
      <c r="O226" s="20">
        <f t="shared" si="33"/>
        <v>37.801850000000002</v>
      </c>
      <c r="P226" s="7"/>
      <c r="Q226" s="13"/>
      <c r="R226" s="14"/>
      <c r="S226" s="14"/>
      <c r="T226" s="27"/>
      <c r="U226" s="28">
        <f t="shared" si="34"/>
        <v>0.33521004098360668</v>
      </c>
      <c r="V226" s="57">
        <f t="shared" si="30"/>
        <v>1.3933333333333357E-2</v>
      </c>
      <c r="W226" s="57">
        <f t="shared" si="31"/>
        <v>6.3251499999999933E-2</v>
      </c>
      <c r="X226" s="56">
        <v>300</v>
      </c>
      <c r="Y226" s="56">
        <v>200</v>
      </c>
    </row>
    <row r="227" spans="2:25" x14ac:dyDescent="0.25">
      <c r="B227" s="6" t="s">
        <v>91</v>
      </c>
      <c r="C227" s="29">
        <v>1466.47</v>
      </c>
      <c r="D227" s="30">
        <v>36.744</v>
      </c>
      <c r="E227" s="30">
        <v>45.786000000000001</v>
      </c>
      <c r="F227" s="30">
        <v>44.662999999999997</v>
      </c>
      <c r="G227" s="16">
        <v>14.49</v>
      </c>
      <c r="H227" s="16">
        <f t="shared" si="32"/>
        <v>38.864125000000001</v>
      </c>
      <c r="I227" s="5"/>
      <c r="J227" s="29">
        <v>1006.9075</v>
      </c>
      <c r="K227" s="30">
        <v>36.253500000000003</v>
      </c>
      <c r="L227" s="30">
        <v>46.293700000000001</v>
      </c>
      <c r="M227" s="30">
        <v>45.125300000000003</v>
      </c>
      <c r="N227" s="16">
        <v>12.7994</v>
      </c>
      <c r="O227" s="16">
        <f t="shared" si="33"/>
        <v>38.6175</v>
      </c>
      <c r="P227" s="7"/>
      <c r="Q227" s="8">
        <f>bdrate(C227:C230,D227:D230,J227:J230,K227:K230)</f>
        <v>-0.35829029912592858</v>
      </c>
      <c r="R227" s="8">
        <f>bdrate(C227:C230,E227:E230,J227:J230,L227:L230)</f>
        <v>-0.46970159097741648</v>
      </c>
      <c r="S227" s="8">
        <f>bdrate(C227:C230,F227:F230,J227:J230,M227:M230)</f>
        <v>-0.43913115968255922</v>
      </c>
      <c r="T227" s="25">
        <f>bdrate(C227:C230,H227:H230,J227:J230,O227:O230)</f>
        <v>-0.37519807214286915</v>
      </c>
      <c r="U227" s="28">
        <f t="shared" si="34"/>
        <v>-0.1166735679779158</v>
      </c>
      <c r="V227" s="57">
        <f t="shared" si="30"/>
        <v>2.2353333333333315E-2</v>
      </c>
      <c r="W227" s="57">
        <f t="shared" si="31"/>
        <v>6.9075000000000273E-3</v>
      </c>
      <c r="X227" s="56">
        <v>1500</v>
      </c>
      <c r="Y227" s="56">
        <v>1000</v>
      </c>
    </row>
    <row r="228" spans="2:25" x14ac:dyDescent="0.25">
      <c r="B228" s="9"/>
      <c r="C228" s="31">
        <v>971.58</v>
      </c>
      <c r="D228" s="32">
        <v>35.479999999999997</v>
      </c>
      <c r="E228" s="32">
        <v>44.939</v>
      </c>
      <c r="F228" s="32">
        <v>43.878999999999998</v>
      </c>
      <c r="G228" s="18">
        <v>15.9</v>
      </c>
      <c r="H228" s="18">
        <f t="shared" si="32"/>
        <v>37.712250000000004</v>
      </c>
      <c r="I228" s="5"/>
      <c r="J228" s="31">
        <v>602.2799</v>
      </c>
      <c r="K228" s="32">
        <v>35.027200000000001</v>
      </c>
      <c r="L228" s="32">
        <v>45.307000000000002</v>
      </c>
      <c r="M228" s="32">
        <v>44.149299999999997</v>
      </c>
      <c r="N228" s="18">
        <v>15.690799999999999</v>
      </c>
      <c r="O228" s="18">
        <f t="shared" si="33"/>
        <v>37.452437500000002</v>
      </c>
      <c r="P228" s="7"/>
      <c r="Q228" s="10"/>
      <c r="R228" s="11"/>
      <c r="S228" s="11"/>
      <c r="T228" s="26"/>
      <c r="U228" s="28">
        <f t="shared" si="34"/>
        <v>-1.3157232704402574E-2</v>
      </c>
      <c r="V228" s="57">
        <f t="shared" si="30"/>
        <v>2.8419999999999959E-2</v>
      </c>
      <c r="W228" s="57">
        <f t="shared" si="31"/>
        <v>3.7998333333333295E-3</v>
      </c>
      <c r="X228" s="56">
        <v>1000</v>
      </c>
      <c r="Y228" s="56">
        <v>600</v>
      </c>
    </row>
    <row r="229" spans="2:25" x14ac:dyDescent="0.25">
      <c r="B229" s="9"/>
      <c r="C229" s="31">
        <v>575</v>
      </c>
      <c r="D229" s="32">
        <v>33.643000000000001</v>
      </c>
      <c r="E229" s="32">
        <v>43.845999999999997</v>
      </c>
      <c r="F229" s="32">
        <v>42.847999999999999</v>
      </c>
      <c r="G229" s="18">
        <v>17.79</v>
      </c>
      <c r="H229" s="18">
        <f t="shared" si="32"/>
        <v>36.069000000000003</v>
      </c>
      <c r="I229" s="5"/>
      <c r="J229" s="31">
        <v>288.62380000000002</v>
      </c>
      <c r="K229" s="32">
        <v>33.021299999999997</v>
      </c>
      <c r="L229" s="32">
        <v>43.682200000000002</v>
      </c>
      <c r="M229" s="32">
        <v>42.542999999999999</v>
      </c>
      <c r="N229" s="18">
        <v>21.1936</v>
      </c>
      <c r="O229" s="18">
        <f t="shared" si="33"/>
        <v>35.544124999999994</v>
      </c>
      <c r="P229" s="7"/>
      <c r="Q229" s="10"/>
      <c r="R229" s="11"/>
      <c r="S229" s="11"/>
      <c r="T229" s="26"/>
      <c r="U229" s="28">
        <f t="shared" si="34"/>
        <v>0.19132096683530078</v>
      </c>
      <c r="V229" s="57">
        <f t="shared" si="30"/>
        <v>4.1666666666666664E-2</v>
      </c>
      <c r="W229" s="57">
        <f t="shared" si="31"/>
        <v>3.792066666666661E-2</v>
      </c>
      <c r="X229" s="56">
        <v>600</v>
      </c>
      <c r="Y229" s="56">
        <v>300</v>
      </c>
    </row>
    <row r="230" spans="2:25" ht="16.5" thickBot="1" x14ac:dyDescent="0.3">
      <c r="B230" s="12"/>
      <c r="C230" s="33">
        <v>282.14</v>
      </c>
      <c r="D230" s="34">
        <v>30.35</v>
      </c>
      <c r="E230" s="34">
        <v>42.088999999999999</v>
      </c>
      <c r="F230" s="34">
        <v>41.161000000000001</v>
      </c>
      <c r="G230" s="20">
        <v>18.350000000000001</v>
      </c>
      <c r="H230" s="20">
        <f t="shared" si="32"/>
        <v>33.168750000000003</v>
      </c>
      <c r="I230" s="5"/>
      <c r="J230" s="33">
        <v>186.62739999999999</v>
      </c>
      <c r="K230" s="34">
        <v>31.617799999999999</v>
      </c>
      <c r="L230" s="34">
        <v>42.659100000000002</v>
      </c>
      <c r="M230" s="34">
        <v>41.55</v>
      </c>
      <c r="N230" s="20">
        <v>25.807600000000001</v>
      </c>
      <c r="O230" s="20">
        <f t="shared" si="33"/>
        <v>34.239487499999996</v>
      </c>
      <c r="P230" s="7"/>
      <c r="Q230" s="13"/>
      <c r="R230" s="14"/>
      <c r="S230" s="14"/>
      <c r="T230" s="27"/>
      <c r="U230" s="28">
        <f t="shared" si="34"/>
        <v>0.406408719346049</v>
      </c>
      <c r="V230" s="57">
        <f t="shared" si="30"/>
        <v>5.9533333333333376E-2</v>
      </c>
      <c r="W230" s="57">
        <f t="shared" si="31"/>
        <v>6.6863000000000034E-2</v>
      </c>
      <c r="X230" s="56">
        <v>300</v>
      </c>
      <c r="Y230" s="56">
        <v>200</v>
      </c>
    </row>
    <row r="231" spans="2:25" ht="16.5" thickBot="1" x14ac:dyDescent="0.3">
      <c r="B231" s="22" t="s">
        <v>22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1">
        <f t="shared" ref="Q231:W231" si="35">AVERAGE(Q123:Q230)</f>
        <v>-0.40614344171126465</v>
      </c>
      <c r="R231" s="21">
        <f t="shared" si="35"/>
        <v>-0.48602320803286719</v>
      </c>
      <c r="S231" s="21">
        <f t="shared" si="35"/>
        <v>-0.49329051633762461</v>
      </c>
      <c r="T231" s="21">
        <f t="shared" si="35"/>
        <v>-0.42234378972996461</v>
      </c>
      <c r="U231" s="21">
        <f t="shared" si="35"/>
        <v>0.11989517051360332</v>
      </c>
      <c r="V231" s="57">
        <f t="shared" si="35"/>
        <v>4.2835587440364767E-2</v>
      </c>
      <c r="W231" s="57">
        <f t="shared" si="35"/>
        <v>1.7261275000000006E-2</v>
      </c>
      <c r="X231" s="57"/>
      <c r="Y231" s="56"/>
    </row>
  </sheetData>
  <mergeCells count="14">
    <mergeCell ref="V7:Y7"/>
    <mergeCell ref="V121:Y121"/>
    <mergeCell ref="C5:Y6"/>
    <mergeCell ref="C119:Y120"/>
    <mergeCell ref="B119:B120"/>
    <mergeCell ref="C121:H121"/>
    <mergeCell ref="J121:O121"/>
    <mergeCell ref="Q121:S121"/>
    <mergeCell ref="U7:U8"/>
    <mergeCell ref="U121:U122"/>
    <mergeCell ref="B5:B6"/>
    <mergeCell ref="C7:H7"/>
    <mergeCell ref="J7:O7"/>
    <mergeCell ref="Q7:S7"/>
  </mergeCells>
  <phoneticPr fontId="5" type="noConversion"/>
  <conditionalFormatting sqref="Q21:T24 Q29:T36 Q9:T12 Q123:T126">
    <cfRule type="cellIs" dxfId="293" priority="497" operator="greaterThan">
      <formula>0.03</formula>
    </cfRule>
    <cfRule type="cellIs" dxfId="292" priority="498" stopIfTrue="1" operator="lessThan">
      <formula>-0.03</formula>
    </cfRule>
  </conditionalFormatting>
  <conditionalFormatting sqref="Q25:T28">
    <cfRule type="cellIs" dxfId="291" priority="495" operator="greaterThan">
      <formula>0.03</formula>
    </cfRule>
    <cfRule type="cellIs" dxfId="290" priority="496" stopIfTrue="1" operator="lessThan">
      <formula>-0.03</formula>
    </cfRule>
  </conditionalFormatting>
  <conditionalFormatting sqref="Q38:T40 Q54:T56">
    <cfRule type="cellIs" dxfId="289" priority="493" operator="greaterThan">
      <formula>0.03</formula>
    </cfRule>
    <cfRule type="cellIs" dxfId="288" priority="494" stopIfTrue="1" operator="lessThan">
      <formula>-0.03</formula>
    </cfRule>
  </conditionalFormatting>
  <conditionalFormatting sqref="Q42:T44 Q46:T48 Q50:T52">
    <cfRule type="cellIs" dxfId="287" priority="491" operator="greaterThan">
      <formula>0.03</formula>
    </cfRule>
    <cfRule type="cellIs" dxfId="286" priority="492" stopIfTrue="1" operator="lessThan">
      <formula>-0.03</formula>
    </cfRule>
  </conditionalFormatting>
  <conditionalFormatting sqref="Q62:T64 Q66:T68">
    <cfRule type="cellIs" dxfId="285" priority="489" operator="greaterThan">
      <formula>0.03</formula>
    </cfRule>
    <cfRule type="cellIs" dxfId="284" priority="490" stopIfTrue="1" operator="lessThan">
      <formula>-0.03</formula>
    </cfRule>
  </conditionalFormatting>
  <conditionalFormatting sqref="Q58:T60">
    <cfRule type="cellIs" dxfId="283" priority="487" operator="greaterThan">
      <formula>0.03</formula>
    </cfRule>
    <cfRule type="cellIs" dxfId="282" priority="488" stopIfTrue="1" operator="lessThan">
      <formula>-0.03</formula>
    </cfRule>
  </conditionalFormatting>
  <conditionalFormatting sqref="Q70:T72">
    <cfRule type="cellIs" dxfId="281" priority="485" operator="greaterThan">
      <formula>0.03</formula>
    </cfRule>
    <cfRule type="cellIs" dxfId="280" priority="486" stopIfTrue="1" operator="lessThan">
      <formula>-0.03</formula>
    </cfRule>
  </conditionalFormatting>
  <conditionalFormatting sqref="Q13:T20">
    <cfRule type="cellIs" dxfId="279" priority="461" operator="greaterThan">
      <formula>0.03</formula>
    </cfRule>
    <cfRule type="cellIs" dxfId="278" priority="462" stopIfTrue="1" operator="lessThan">
      <formula>-0.03</formula>
    </cfRule>
  </conditionalFormatting>
  <conditionalFormatting sqref="Q135:T138 Q143:T150">
    <cfRule type="cellIs" dxfId="277" priority="457" operator="greaterThan">
      <formula>0.03</formula>
    </cfRule>
    <cfRule type="cellIs" dxfId="276" priority="458" stopIfTrue="1" operator="lessThan">
      <formula>-0.03</formula>
    </cfRule>
  </conditionalFormatting>
  <conditionalFormatting sqref="Q139:T142">
    <cfRule type="cellIs" dxfId="275" priority="455" operator="greaterThan">
      <formula>0.03</formula>
    </cfRule>
    <cfRule type="cellIs" dxfId="274" priority="456" stopIfTrue="1" operator="lessThan">
      <formula>-0.03</formula>
    </cfRule>
  </conditionalFormatting>
  <conditionalFormatting sqref="Q151:T154 Q167:T170">
    <cfRule type="cellIs" dxfId="273" priority="453" operator="greaterThan">
      <formula>0.03</formula>
    </cfRule>
    <cfRule type="cellIs" dxfId="272" priority="454" stopIfTrue="1" operator="lessThan">
      <formula>-0.03</formula>
    </cfRule>
  </conditionalFormatting>
  <conditionalFormatting sqref="Q155:T166">
    <cfRule type="cellIs" dxfId="271" priority="451" operator="greaterThan">
      <formula>0.03</formula>
    </cfRule>
    <cfRule type="cellIs" dxfId="270" priority="452" stopIfTrue="1" operator="lessThan">
      <formula>-0.03</formula>
    </cfRule>
  </conditionalFormatting>
  <conditionalFormatting sqref="Q175:T182">
    <cfRule type="cellIs" dxfId="269" priority="449" operator="greaterThan">
      <formula>0.03</formula>
    </cfRule>
    <cfRule type="cellIs" dxfId="268" priority="450" stopIfTrue="1" operator="lessThan">
      <formula>-0.03</formula>
    </cfRule>
  </conditionalFormatting>
  <conditionalFormatting sqref="Q171:T174">
    <cfRule type="cellIs" dxfId="267" priority="447" operator="greaterThan">
      <formula>0.03</formula>
    </cfRule>
    <cfRule type="cellIs" dxfId="266" priority="448" stopIfTrue="1" operator="lessThan">
      <formula>-0.03</formula>
    </cfRule>
  </conditionalFormatting>
  <conditionalFormatting sqref="Q183:T186">
    <cfRule type="cellIs" dxfId="265" priority="445" operator="greaterThan">
      <formula>0.03</formula>
    </cfRule>
    <cfRule type="cellIs" dxfId="264" priority="446" stopIfTrue="1" operator="lessThan">
      <formula>-0.03</formula>
    </cfRule>
  </conditionalFormatting>
  <conditionalFormatting sqref="Q127:T134">
    <cfRule type="cellIs" dxfId="263" priority="441" operator="greaterThan">
      <formula>0.03</formula>
    </cfRule>
    <cfRule type="cellIs" dxfId="262" priority="442" stopIfTrue="1" operator="lessThan">
      <formula>-0.03</formula>
    </cfRule>
  </conditionalFormatting>
  <conditionalFormatting sqref="Q37:T37">
    <cfRule type="cellIs" dxfId="261" priority="439" operator="greaterThan">
      <formula>0.03</formula>
    </cfRule>
    <cfRule type="cellIs" dxfId="260" priority="440" stopIfTrue="1" operator="lessThan">
      <formula>-0.03</formula>
    </cfRule>
  </conditionalFormatting>
  <conditionalFormatting sqref="Q41:T41">
    <cfRule type="cellIs" dxfId="259" priority="437" operator="greaterThan">
      <formula>0.03</formula>
    </cfRule>
    <cfRule type="cellIs" dxfId="258" priority="438" stopIfTrue="1" operator="lessThan">
      <formula>-0.03</formula>
    </cfRule>
  </conditionalFormatting>
  <conditionalFormatting sqref="Q45:T45">
    <cfRule type="cellIs" dxfId="257" priority="435" operator="greaterThan">
      <formula>0.03</formula>
    </cfRule>
    <cfRule type="cellIs" dxfId="256" priority="436" stopIfTrue="1" operator="lessThan">
      <formula>-0.03</formula>
    </cfRule>
  </conditionalFormatting>
  <conditionalFormatting sqref="Q49:T49">
    <cfRule type="cellIs" dxfId="255" priority="433" operator="greaterThan">
      <formula>0.03</formula>
    </cfRule>
    <cfRule type="cellIs" dxfId="254" priority="434" stopIfTrue="1" operator="lessThan">
      <formula>-0.03</formula>
    </cfRule>
  </conditionalFormatting>
  <conditionalFormatting sqref="Q53:T53">
    <cfRule type="cellIs" dxfId="253" priority="431" operator="greaterThan">
      <formula>0.03</formula>
    </cfRule>
    <cfRule type="cellIs" dxfId="252" priority="432" stopIfTrue="1" operator="lessThan">
      <formula>-0.03</formula>
    </cfRule>
  </conditionalFormatting>
  <conditionalFormatting sqref="Q57:T57">
    <cfRule type="cellIs" dxfId="251" priority="429" operator="greaterThan">
      <formula>0.03</formula>
    </cfRule>
    <cfRule type="cellIs" dxfId="250" priority="430" stopIfTrue="1" operator="lessThan">
      <formula>-0.03</formula>
    </cfRule>
  </conditionalFormatting>
  <conditionalFormatting sqref="Q61:T61">
    <cfRule type="cellIs" dxfId="249" priority="427" operator="greaterThan">
      <formula>0.03</formula>
    </cfRule>
    <cfRule type="cellIs" dxfId="248" priority="428" stopIfTrue="1" operator="lessThan">
      <formula>-0.03</formula>
    </cfRule>
  </conditionalFormatting>
  <conditionalFormatting sqref="Q65:T65">
    <cfRule type="cellIs" dxfId="247" priority="425" operator="greaterThan">
      <formula>0.03</formula>
    </cfRule>
    <cfRule type="cellIs" dxfId="246" priority="426" stopIfTrue="1" operator="lessThan">
      <formula>-0.03</formula>
    </cfRule>
  </conditionalFormatting>
  <conditionalFormatting sqref="Q69:T69">
    <cfRule type="cellIs" dxfId="245" priority="423" operator="greaterThan">
      <formula>0.03</formula>
    </cfRule>
    <cfRule type="cellIs" dxfId="244" priority="424" stopIfTrue="1" operator="lessThan">
      <formula>-0.03</formula>
    </cfRule>
  </conditionalFormatting>
  <conditionalFormatting sqref="Q97:T97">
    <cfRule type="cellIs" dxfId="243" priority="105" operator="greaterThan">
      <formula>0.03</formula>
    </cfRule>
    <cfRule type="cellIs" dxfId="242" priority="106" stopIfTrue="1" operator="lessThan">
      <formula>-0.03</formula>
    </cfRule>
  </conditionalFormatting>
  <conditionalFormatting sqref="Q109:T109">
    <cfRule type="cellIs" dxfId="241" priority="93" operator="greaterThan">
      <formula>0.03</formula>
    </cfRule>
    <cfRule type="cellIs" dxfId="240" priority="94" stopIfTrue="1" operator="lessThan">
      <formula>-0.03</formula>
    </cfRule>
  </conditionalFormatting>
  <conditionalFormatting sqref="Q85:T92 Q73:T80">
    <cfRule type="cellIs" dxfId="239" priority="119" operator="greaterThan">
      <formula>0.03</formula>
    </cfRule>
    <cfRule type="cellIs" dxfId="238" priority="120" stopIfTrue="1" operator="lessThan">
      <formula>-0.03</formula>
    </cfRule>
  </conditionalFormatting>
  <conditionalFormatting sqref="Q81:T84">
    <cfRule type="cellIs" dxfId="237" priority="117" operator="greaterThan">
      <formula>0.03</formula>
    </cfRule>
    <cfRule type="cellIs" dxfId="236" priority="118" stopIfTrue="1" operator="lessThan">
      <formula>-0.03</formula>
    </cfRule>
  </conditionalFormatting>
  <conditionalFormatting sqref="Q94:T96 Q114:T116">
    <cfRule type="cellIs" dxfId="235" priority="115" operator="greaterThan">
      <formula>0.03</formula>
    </cfRule>
    <cfRule type="cellIs" dxfId="234" priority="116" stopIfTrue="1" operator="lessThan">
      <formula>-0.03</formula>
    </cfRule>
  </conditionalFormatting>
  <conditionalFormatting sqref="Q98:T100">
    <cfRule type="cellIs" dxfId="233" priority="113" operator="greaterThan">
      <formula>0.03</formula>
    </cfRule>
    <cfRule type="cellIs" dxfId="232" priority="114" stopIfTrue="1" operator="lessThan">
      <formula>-0.03</formula>
    </cfRule>
  </conditionalFormatting>
  <conditionalFormatting sqref="Q93:T93">
    <cfRule type="cellIs" dxfId="231" priority="109" operator="greaterThan">
      <formula>0.03</formula>
    </cfRule>
    <cfRule type="cellIs" dxfId="230" priority="110" stopIfTrue="1" operator="lessThan">
      <formula>-0.03</formula>
    </cfRule>
  </conditionalFormatting>
  <conditionalFormatting sqref="Q113:T113">
    <cfRule type="cellIs" dxfId="229" priority="103" operator="greaterThan">
      <formula>0.03</formula>
    </cfRule>
    <cfRule type="cellIs" dxfId="228" priority="104" stopIfTrue="1" operator="lessThan">
      <formula>-0.03</formula>
    </cfRule>
  </conditionalFormatting>
  <conditionalFormatting sqref="Q101:T104">
    <cfRule type="cellIs" dxfId="227" priority="101" operator="greaterThan">
      <formula>0.03</formula>
    </cfRule>
    <cfRule type="cellIs" dxfId="226" priority="102" stopIfTrue="1" operator="lessThan">
      <formula>-0.03</formula>
    </cfRule>
  </conditionalFormatting>
  <conditionalFormatting sqref="Q106:T108">
    <cfRule type="cellIs" dxfId="225" priority="99" operator="greaterThan">
      <formula>0.03</formula>
    </cfRule>
    <cfRule type="cellIs" dxfId="224" priority="100" stopIfTrue="1" operator="lessThan">
      <formula>-0.03</formula>
    </cfRule>
  </conditionalFormatting>
  <conditionalFormatting sqref="Q110:T112">
    <cfRule type="cellIs" dxfId="223" priority="97" operator="greaterThan">
      <formula>0.03</formula>
    </cfRule>
    <cfRule type="cellIs" dxfId="222" priority="98" stopIfTrue="1" operator="lessThan">
      <formula>-0.03</formula>
    </cfRule>
  </conditionalFormatting>
  <conditionalFormatting sqref="Q105:T105">
    <cfRule type="cellIs" dxfId="221" priority="95" operator="greaterThan">
      <formula>0.03</formula>
    </cfRule>
    <cfRule type="cellIs" dxfId="220" priority="96" stopIfTrue="1" operator="lessThan">
      <formula>-0.03</formula>
    </cfRule>
  </conditionalFormatting>
  <conditionalFormatting sqref="Q211:T211">
    <cfRule type="cellIs" dxfId="219" priority="39" operator="greaterThan">
      <formula>0.03</formula>
    </cfRule>
    <cfRule type="cellIs" dxfId="218" priority="40" stopIfTrue="1" operator="lessThan">
      <formula>-0.03</formula>
    </cfRule>
  </conditionalFormatting>
  <conditionalFormatting sqref="Q223:T223">
    <cfRule type="cellIs" dxfId="217" priority="27" operator="greaterThan">
      <formula>0.03</formula>
    </cfRule>
    <cfRule type="cellIs" dxfId="216" priority="28" stopIfTrue="1" operator="lessThan">
      <formula>-0.03</formula>
    </cfRule>
  </conditionalFormatting>
  <conditionalFormatting sqref="Q199:T206 Q187:T194">
    <cfRule type="cellIs" dxfId="215" priority="53" operator="greaterThan">
      <formula>0.03</formula>
    </cfRule>
    <cfRule type="cellIs" dxfId="214" priority="54" stopIfTrue="1" operator="lessThan">
      <formula>-0.03</formula>
    </cfRule>
  </conditionalFormatting>
  <conditionalFormatting sqref="Q195:T198">
    <cfRule type="cellIs" dxfId="213" priority="51" operator="greaterThan">
      <formula>0.03</formula>
    </cfRule>
    <cfRule type="cellIs" dxfId="212" priority="52" stopIfTrue="1" operator="lessThan">
      <formula>-0.03</formula>
    </cfRule>
  </conditionalFormatting>
  <conditionalFormatting sqref="Q208:T210 Q228:T230">
    <cfRule type="cellIs" dxfId="211" priority="49" operator="greaterThan">
      <formula>0.03</formula>
    </cfRule>
    <cfRule type="cellIs" dxfId="210" priority="50" stopIfTrue="1" operator="lessThan">
      <formula>-0.03</formula>
    </cfRule>
  </conditionalFormatting>
  <conditionalFormatting sqref="Q212:T214">
    <cfRule type="cellIs" dxfId="209" priority="47" operator="greaterThan">
      <formula>0.03</formula>
    </cfRule>
    <cfRule type="cellIs" dxfId="208" priority="48" stopIfTrue="1" operator="lessThan">
      <formula>-0.03</formula>
    </cfRule>
  </conditionalFormatting>
  <conditionalFormatting sqref="Q207:T207">
    <cfRule type="cellIs" dxfId="207" priority="43" operator="greaterThan">
      <formula>0.03</formula>
    </cfRule>
    <cfRule type="cellIs" dxfId="206" priority="44" stopIfTrue="1" operator="lessThan">
      <formula>-0.03</formula>
    </cfRule>
  </conditionalFormatting>
  <conditionalFormatting sqref="Q227:T227">
    <cfRule type="cellIs" dxfId="205" priority="37" operator="greaterThan">
      <formula>0.03</formula>
    </cfRule>
    <cfRule type="cellIs" dxfId="204" priority="38" stopIfTrue="1" operator="lessThan">
      <formula>-0.03</formula>
    </cfRule>
  </conditionalFormatting>
  <conditionalFormatting sqref="Q215:T218">
    <cfRule type="cellIs" dxfId="203" priority="35" operator="greaterThan">
      <formula>0.03</formula>
    </cfRule>
    <cfRule type="cellIs" dxfId="202" priority="36" stopIfTrue="1" operator="lessThan">
      <formula>-0.03</formula>
    </cfRule>
  </conditionalFormatting>
  <conditionalFormatting sqref="Q220:T222">
    <cfRule type="cellIs" dxfId="201" priority="33" operator="greaterThan">
      <formula>0.03</formula>
    </cfRule>
    <cfRule type="cellIs" dxfId="200" priority="34" stopIfTrue="1" operator="lessThan">
      <formula>-0.03</formula>
    </cfRule>
  </conditionalFormatting>
  <conditionalFormatting sqref="Q224:T226">
    <cfRule type="cellIs" dxfId="199" priority="31" operator="greaterThan">
      <formula>0.03</formula>
    </cfRule>
    <cfRule type="cellIs" dxfId="198" priority="32" stopIfTrue="1" operator="lessThan">
      <formula>-0.03</formula>
    </cfRule>
  </conditionalFormatting>
  <conditionalFormatting sqref="Q219:T219">
    <cfRule type="cellIs" dxfId="197" priority="29" operator="greaterThan">
      <formula>0.03</formula>
    </cfRule>
    <cfRule type="cellIs" dxfId="196" priority="3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31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112</v>
      </c>
    </row>
    <row r="2" spans="1:25" x14ac:dyDescent="0.25">
      <c r="A2" t="s">
        <v>77</v>
      </c>
    </row>
    <row r="3" spans="1:25" x14ac:dyDescent="0.25">
      <c r="A3" t="s">
        <v>115</v>
      </c>
    </row>
    <row r="4" spans="1:25" x14ac:dyDescent="0.25">
      <c r="A4" t="s">
        <v>79</v>
      </c>
    </row>
    <row r="5" spans="1:25" s="35" customFormat="1" ht="15.75" customHeight="1" x14ac:dyDescent="0.25">
      <c r="B5" s="73" t="s">
        <v>29</v>
      </c>
      <c r="C5" s="67" t="s">
        <v>121</v>
      </c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9"/>
    </row>
    <row r="6" spans="1:25" s="35" customFormat="1" x14ac:dyDescent="0.25">
      <c r="B6" s="74"/>
      <c r="C6" s="70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2"/>
    </row>
    <row r="7" spans="1:25" ht="16.5" customHeight="1" thickBot="1" x14ac:dyDescent="0.3">
      <c r="C7" s="75" t="s">
        <v>72</v>
      </c>
      <c r="D7" s="76"/>
      <c r="E7" s="76"/>
      <c r="F7" s="76"/>
      <c r="G7" s="76"/>
      <c r="H7" s="76"/>
      <c r="I7" s="5"/>
      <c r="J7" s="75" t="s">
        <v>104</v>
      </c>
      <c r="K7" s="76"/>
      <c r="L7" s="76"/>
      <c r="M7" s="76"/>
      <c r="N7" s="76"/>
      <c r="O7" s="76"/>
      <c r="Q7" s="75" t="s">
        <v>7</v>
      </c>
      <c r="R7" s="76"/>
      <c r="S7" s="77"/>
      <c r="T7" s="36"/>
      <c r="U7" s="78" t="s">
        <v>43</v>
      </c>
      <c r="V7" s="66" t="s">
        <v>92</v>
      </c>
      <c r="W7" s="66"/>
      <c r="X7" s="66"/>
      <c r="Y7" s="66"/>
    </row>
    <row r="8" spans="1:25" ht="16.5" thickBot="1" x14ac:dyDescent="0.3">
      <c r="C8" s="2" t="s">
        <v>60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60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8"/>
      <c r="V8" s="55" t="s">
        <v>100</v>
      </c>
      <c r="W8" s="55" t="s">
        <v>93</v>
      </c>
      <c r="X8" s="56" t="s">
        <v>101</v>
      </c>
      <c r="Y8" s="56" t="s">
        <v>94</v>
      </c>
    </row>
    <row r="9" spans="1:25" x14ac:dyDescent="0.25">
      <c r="A9" s="6" t="s">
        <v>35</v>
      </c>
      <c r="B9" s="6" t="s">
        <v>44</v>
      </c>
      <c r="C9" s="15">
        <v>3017.02</v>
      </c>
      <c r="D9" s="16">
        <v>38.985999999999997</v>
      </c>
      <c r="E9" s="16">
        <v>41.735999999999997</v>
      </c>
      <c r="F9" s="16">
        <v>42.790999999999997</v>
      </c>
      <c r="G9" s="16">
        <v>2.5</v>
      </c>
      <c r="H9" s="16">
        <f t="shared" ref="H9:H72" si="0">(6*D9+E9+F9)/8</f>
        <v>39.805374999999998</v>
      </c>
      <c r="I9" s="5"/>
      <c r="J9" s="15">
        <v>2378.1439999999998</v>
      </c>
      <c r="K9" s="16">
        <v>39.391800000000003</v>
      </c>
      <c r="L9" s="16">
        <v>42.3718</v>
      </c>
      <c r="M9" s="16">
        <v>43.942500000000003</v>
      </c>
      <c r="N9" s="16">
        <v>1.9303999999999999</v>
      </c>
      <c r="O9" s="16">
        <f t="shared" ref="O9:O72" si="1">(6*K9+L9+M9)/8</f>
        <v>40.333137499999999</v>
      </c>
      <c r="P9" s="7"/>
      <c r="Q9" s="8">
        <f>bdrate(C9:C12,D9:D12,J9:J12,K9:K12)</f>
        <v>-0.38647536941710769</v>
      </c>
      <c r="R9" s="8">
        <f>bdrate(C9:C12,E9:E12,J9:J12,L9:L12)</f>
        <v>-0.50614557887795752</v>
      </c>
      <c r="S9" s="8">
        <f>bdrate(C9:C12,F9:F12,J9:J12,M9:M12)</f>
        <v>-0.58097100215679753</v>
      </c>
      <c r="T9" s="25">
        <f>bdrate(C9:C12,H9:H12,J9:J12,O9:O12)</f>
        <v>-0.41270140067525096</v>
      </c>
      <c r="U9" s="28">
        <f t="shared" ref="U9:U64" si="2">(N9-G9)/G9</f>
        <v>-0.22784000000000004</v>
      </c>
      <c r="V9" s="57">
        <f t="shared" ref="V9:V65" si="3">ABS(C9-X9)/X9</f>
        <v>0.16193888888888888</v>
      </c>
      <c r="W9" s="57">
        <f t="shared" ref="W9:W64" si="4">ABS(J9-Y9)/Y9</f>
        <v>9.1066666666667594E-3</v>
      </c>
      <c r="X9" s="56">
        <v>3600</v>
      </c>
      <c r="Y9" s="56">
        <v>2400</v>
      </c>
    </row>
    <row r="10" spans="1:25" x14ac:dyDescent="0.25">
      <c r="A10" s="9" t="s">
        <v>36</v>
      </c>
      <c r="B10" s="9"/>
      <c r="C10" s="17">
        <v>1976.82</v>
      </c>
      <c r="D10" s="18">
        <v>37.47</v>
      </c>
      <c r="E10" s="18">
        <v>40.975000000000001</v>
      </c>
      <c r="F10" s="18">
        <v>41.893000000000001</v>
      </c>
      <c r="G10" s="18">
        <v>2.8</v>
      </c>
      <c r="H10" s="18">
        <f t="shared" si="0"/>
        <v>38.460999999999999</v>
      </c>
      <c r="I10" s="5"/>
      <c r="J10" s="17">
        <v>1568.5391999999999</v>
      </c>
      <c r="K10" s="18">
        <v>38.139099999999999</v>
      </c>
      <c r="L10" s="18">
        <v>41.7254</v>
      </c>
      <c r="M10" s="18">
        <v>43.125399999999999</v>
      </c>
      <c r="N10" s="18">
        <v>2.2902999999999998</v>
      </c>
      <c r="O10" s="18">
        <f t="shared" si="1"/>
        <v>39.210675000000002</v>
      </c>
      <c r="P10" s="7"/>
      <c r="Q10" s="10"/>
      <c r="R10" s="11"/>
      <c r="S10" s="11"/>
      <c r="T10" s="26"/>
      <c r="U10" s="28">
        <f t="shared" si="2"/>
        <v>-0.1820357142857143</v>
      </c>
      <c r="V10" s="57">
        <f t="shared" si="3"/>
        <v>0.17632500000000004</v>
      </c>
      <c r="W10" s="57">
        <f t="shared" si="4"/>
        <v>1.9663000000000038E-2</v>
      </c>
      <c r="X10" s="56">
        <v>2400</v>
      </c>
      <c r="Y10" s="56">
        <v>1600</v>
      </c>
    </row>
    <row r="11" spans="1:25" x14ac:dyDescent="0.25">
      <c r="B11" s="9"/>
      <c r="C11" s="17">
        <v>1221.3499999999999</v>
      </c>
      <c r="D11" s="18">
        <v>35.411000000000001</v>
      </c>
      <c r="E11" s="18">
        <v>40.048999999999999</v>
      </c>
      <c r="F11" s="18">
        <v>40.927999999999997</v>
      </c>
      <c r="G11" s="18">
        <v>3.22</v>
      </c>
      <c r="H11" s="18">
        <f t="shared" si="0"/>
        <v>36.680374999999998</v>
      </c>
      <c r="I11" s="5"/>
      <c r="J11" s="17">
        <v>969.03200000000004</v>
      </c>
      <c r="K11" s="18">
        <v>36.587800000000001</v>
      </c>
      <c r="L11" s="18">
        <v>40.913699999999999</v>
      </c>
      <c r="M11" s="18">
        <v>42.1477</v>
      </c>
      <c r="N11" s="18">
        <v>2.7751000000000001</v>
      </c>
      <c r="O11" s="18">
        <f t="shared" si="1"/>
        <v>37.823524999999997</v>
      </c>
      <c r="P11" s="7"/>
      <c r="Q11" s="10"/>
      <c r="R11" s="11"/>
      <c r="S11" s="11"/>
      <c r="T11" s="26"/>
      <c r="U11" s="28">
        <f t="shared" si="2"/>
        <v>-0.13816770186335406</v>
      </c>
      <c r="V11" s="57">
        <f t="shared" si="3"/>
        <v>0.18576666666666672</v>
      </c>
      <c r="W11" s="57">
        <f t="shared" si="4"/>
        <v>3.0967999999999961E-2</v>
      </c>
      <c r="X11" s="56">
        <v>1500</v>
      </c>
      <c r="Y11" s="56">
        <v>1000</v>
      </c>
    </row>
    <row r="12" spans="1:25" ht="16.5" thickBot="1" x14ac:dyDescent="0.3">
      <c r="B12" s="12"/>
      <c r="C12" s="19">
        <v>718.79</v>
      </c>
      <c r="D12" s="20">
        <v>32.813000000000002</v>
      </c>
      <c r="E12" s="20">
        <v>39.207999999999998</v>
      </c>
      <c r="F12" s="20">
        <v>40.091000000000001</v>
      </c>
      <c r="G12" s="20">
        <v>3.79</v>
      </c>
      <c r="H12" s="20">
        <f t="shared" si="0"/>
        <v>34.522125000000003</v>
      </c>
      <c r="I12" s="5"/>
      <c r="J12" s="19">
        <v>560.19680000000005</v>
      </c>
      <c r="K12" s="20">
        <v>34.738900000000001</v>
      </c>
      <c r="L12" s="20">
        <v>40.1873</v>
      </c>
      <c r="M12" s="20">
        <v>41.3994</v>
      </c>
      <c r="N12" s="20">
        <v>3.5436999999999999</v>
      </c>
      <c r="O12" s="20">
        <f t="shared" si="1"/>
        <v>36.252512500000002</v>
      </c>
      <c r="P12" s="7"/>
      <c r="Q12" s="13"/>
      <c r="R12" s="14"/>
      <c r="S12" s="14"/>
      <c r="T12" s="27"/>
      <c r="U12" s="28">
        <f t="shared" si="2"/>
        <v>-6.4986807387862847E-2</v>
      </c>
      <c r="V12" s="57">
        <f t="shared" si="3"/>
        <v>0.20134444444444449</v>
      </c>
      <c r="W12" s="57">
        <f t="shared" si="4"/>
        <v>6.6338666666666574E-2</v>
      </c>
      <c r="X12" s="56">
        <v>900</v>
      </c>
      <c r="Y12" s="56">
        <v>600</v>
      </c>
    </row>
    <row r="13" spans="1:25" x14ac:dyDescent="0.25">
      <c r="B13" s="6" t="s">
        <v>45</v>
      </c>
      <c r="C13" s="15">
        <v>3431.09</v>
      </c>
      <c r="D13" s="16">
        <v>36.554000000000002</v>
      </c>
      <c r="E13" s="16">
        <v>39.387999999999998</v>
      </c>
      <c r="F13" s="16">
        <v>40.548999999999999</v>
      </c>
      <c r="G13" s="16">
        <v>2.75</v>
      </c>
      <c r="H13" s="16">
        <f t="shared" si="0"/>
        <v>37.407624999999996</v>
      </c>
      <c r="I13" s="5"/>
      <c r="J13" s="15">
        <v>2482.7800000000002</v>
      </c>
      <c r="K13" s="16">
        <v>36.330300000000001</v>
      </c>
      <c r="L13" s="16">
        <v>40.651400000000002</v>
      </c>
      <c r="M13" s="16">
        <v>41.897199999999998</v>
      </c>
      <c r="N13" s="16">
        <v>1.9008</v>
      </c>
      <c r="O13" s="16">
        <f t="shared" si="1"/>
        <v>37.566300000000005</v>
      </c>
      <c r="P13" s="7"/>
      <c r="Q13" s="8">
        <f>bdrate(C13:C16,D13:D16,J13:J16,K13:K16)</f>
        <v>-0.31024680387523862</v>
      </c>
      <c r="R13" s="8">
        <f>bdrate(C13:C16,E13:E16,J13:J16,L13:L16)</f>
        <v>-0.62123367083668768</v>
      </c>
      <c r="S13" s="8">
        <f>bdrate(C13:C16,F13:F16,J13:J16,M13:M16)</f>
        <v>-0.61561869796751933</v>
      </c>
      <c r="T13" s="25">
        <f>bdrate(C13:C16,H13:H16,J13:J16,O13:O16)</f>
        <v>-0.365671091936837</v>
      </c>
      <c r="U13" s="28">
        <f t="shared" si="2"/>
        <v>-0.30879999999999996</v>
      </c>
      <c r="V13" s="57">
        <f t="shared" si="3"/>
        <v>4.6919444444444403E-2</v>
      </c>
      <c r="W13" s="57">
        <f t="shared" si="4"/>
        <v>3.4491666666666747E-2</v>
      </c>
      <c r="X13" s="56">
        <v>3600</v>
      </c>
      <c r="Y13" s="56">
        <v>2400</v>
      </c>
    </row>
    <row r="14" spans="1:25" x14ac:dyDescent="0.25">
      <c r="B14" s="9"/>
      <c r="C14" s="17">
        <v>2276.56</v>
      </c>
      <c r="D14" s="18">
        <v>35.084000000000003</v>
      </c>
      <c r="E14" s="18">
        <v>38.625999999999998</v>
      </c>
      <c r="F14" s="18">
        <v>39.914999999999999</v>
      </c>
      <c r="G14" s="18">
        <v>2.98</v>
      </c>
      <c r="H14" s="18">
        <f t="shared" si="0"/>
        <v>36.130625000000002</v>
      </c>
      <c r="I14" s="5"/>
      <c r="J14" s="17">
        <v>1676.5391999999999</v>
      </c>
      <c r="K14" s="18">
        <v>35.085599999999999</v>
      </c>
      <c r="L14" s="18">
        <v>39.905099999999997</v>
      </c>
      <c r="M14" s="18">
        <v>41.102499999999999</v>
      </c>
      <c r="N14" s="18">
        <v>2.2677999999999998</v>
      </c>
      <c r="O14" s="18">
        <f t="shared" si="1"/>
        <v>36.440150000000003</v>
      </c>
      <c r="P14" s="7"/>
      <c r="Q14" s="10"/>
      <c r="R14" s="11"/>
      <c r="S14" s="11"/>
      <c r="T14" s="26"/>
      <c r="U14" s="28">
        <f t="shared" si="2"/>
        <v>-0.23899328859060409</v>
      </c>
      <c r="V14" s="57">
        <f t="shared" si="3"/>
        <v>5.1433333333333359E-2</v>
      </c>
      <c r="W14" s="57">
        <f t="shared" si="4"/>
        <v>4.7836999999999963E-2</v>
      </c>
      <c r="X14" s="56">
        <v>2400</v>
      </c>
      <c r="Y14" s="56">
        <v>1600</v>
      </c>
    </row>
    <row r="15" spans="1:25" x14ac:dyDescent="0.25">
      <c r="B15" s="9"/>
      <c r="C15" s="17">
        <v>1407.36</v>
      </c>
      <c r="D15" s="18">
        <v>33.29</v>
      </c>
      <c r="E15" s="18">
        <v>37.813000000000002</v>
      </c>
      <c r="F15" s="18">
        <v>39.25</v>
      </c>
      <c r="G15" s="18">
        <v>3.33</v>
      </c>
      <c r="H15" s="18">
        <f t="shared" si="0"/>
        <v>34.600375</v>
      </c>
      <c r="I15" s="5"/>
      <c r="J15" s="17">
        <v>1027.6304</v>
      </c>
      <c r="K15" s="18">
        <v>33.619399999999999</v>
      </c>
      <c r="L15" s="18">
        <v>38.947000000000003</v>
      </c>
      <c r="M15" s="18">
        <v>40.171300000000002</v>
      </c>
      <c r="N15" s="18">
        <v>2.6958000000000002</v>
      </c>
      <c r="O15" s="18">
        <f t="shared" si="1"/>
        <v>35.1043375</v>
      </c>
      <c r="P15" s="7"/>
      <c r="Q15" s="10"/>
      <c r="R15" s="11"/>
      <c r="S15" s="11"/>
      <c r="T15" s="26"/>
      <c r="U15" s="28">
        <f t="shared" si="2"/>
        <v>-0.19045045045045042</v>
      </c>
      <c r="V15" s="57">
        <f t="shared" si="3"/>
        <v>6.1760000000000065E-2</v>
      </c>
      <c r="W15" s="57">
        <f t="shared" si="4"/>
        <v>2.763040000000001E-2</v>
      </c>
      <c r="X15" s="56">
        <v>1500</v>
      </c>
      <c r="Y15" s="56">
        <v>1000</v>
      </c>
    </row>
    <row r="16" spans="1:25" ht="16.5" thickBot="1" x14ac:dyDescent="0.3">
      <c r="B16" s="12"/>
      <c r="C16" s="19">
        <v>843.26</v>
      </c>
      <c r="D16" s="20">
        <v>31.300999999999998</v>
      </c>
      <c r="E16" s="20">
        <v>37.066000000000003</v>
      </c>
      <c r="F16" s="20">
        <v>38.651000000000003</v>
      </c>
      <c r="G16" s="20">
        <v>3.78</v>
      </c>
      <c r="H16" s="20">
        <f t="shared" si="0"/>
        <v>32.940374999999996</v>
      </c>
      <c r="I16" s="5"/>
      <c r="J16" s="19">
        <v>601.24959999999999</v>
      </c>
      <c r="K16" s="20">
        <v>32.0383</v>
      </c>
      <c r="L16" s="20">
        <v>37.993200000000002</v>
      </c>
      <c r="M16" s="20">
        <v>39.347000000000001</v>
      </c>
      <c r="N16" s="20">
        <v>3.2418</v>
      </c>
      <c r="O16" s="20">
        <f t="shared" si="1"/>
        <v>33.696249999999999</v>
      </c>
      <c r="P16" s="7"/>
      <c r="Q16" s="13"/>
      <c r="R16" s="14"/>
      <c r="S16" s="14"/>
      <c r="T16" s="27"/>
      <c r="U16" s="28">
        <f t="shared" si="2"/>
        <v>-0.14238095238095233</v>
      </c>
      <c r="V16" s="57">
        <f t="shared" si="3"/>
        <v>6.3044444444444458E-2</v>
      </c>
      <c r="W16" s="57">
        <f t="shared" si="4"/>
        <v>2.0826666666666446E-3</v>
      </c>
      <c r="X16" s="56">
        <v>900</v>
      </c>
      <c r="Y16" s="56">
        <v>600</v>
      </c>
    </row>
    <row r="17" spans="1:25" x14ac:dyDescent="0.25">
      <c r="B17" s="6" t="s">
        <v>46</v>
      </c>
      <c r="C17" s="15">
        <v>3541.46</v>
      </c>
      <c r="D17" s="16">
        <v>34.323999999999998</v>
      </c>
      <c r="E17" s="16">
        <v>37.991</v>
      </c>
      <c r="F17" s="16">
        <v>39.648000000000003</v>
      </c>
      <c r="G17" s="16">
        <v>3.34</v>
      </c>
      <c r="H17" s="16">
        <f t="shared" si="0"/>
        <v>35.447875000000003</v>
      </c>
      <c r="I17" s="5"/>
      <c r="J17" s="15">
        <v>2410.5448000000001</v>
      </c>
      <c r="K17" s="16">
        <v>34.705100000000002</v>
      </c>
      <c r="L17" s="16">
        <v>38.598399999999998</v>
      </c>
      <c r="M17" s="16">
        <v>41.003599999999999</v>
      </c>
      <c r="N17" s="16">
        <v>2.5870000000000002</v>
      </c>
      <c r="O17" s="16">
        <f t="shared" si="1"/>
        <v>35.979075000000002</v>
      </c>
      <c r="P17" s="7"/>
      <c r="Q17" s="8">
        <f>bdrate(C17:C20,D17:D20,J17:J20,K17:K20)</f>
        <v>-0.45188896864461969</v>
      </c>
      <c r="R17" s="8">
        <f>bdrate(C17:C20,E17:E20,J17:J20,L17:L20)</f>
        <v>-0.61544617748387043</v>
      </c>
      <c r="S17" s="8">
        <f>bdrate(C17:C20,F17:F20,J17:J20,M17:M20)</f>
        <v>-0.64469953023147375</v>
      </c>
      <c r="T17" s="25">
        <f>bdrate(C17:C20,H17:H20,J17:J20,O17:O20)</f>
        <v>-0.48094310766216897</v>
      </c>
      <c r="U17" s="28">
        <f t="shared" si="2"/>
        <v>-0.22544910179640709</v>
      </c>
      <c r="V17" s="57">
        <f t="shared" si="3"/>
        <v>1.6261111111111101E-2</v>
      </c>
      <c r="W17" s="57">
        <f t="shared" si="4"/>
        <v>4.3936666666667176E-3</v>
      </c>
      <c r="X17" s="56">
        <v>3600</v>
      </c>
      <c r="Y17" s="56">
        <v>2400</v>
      </c>
    </row>
    <row r="18" spans="1:25" x14ac:dyDescent="0.25">
      <c r="B18" s="9"/>
      <c r="C18" s="17">
        <v>2355.77</v>
      </c>
      <c r="D18" s="18">
        <v>32.874000000000002</v>
      </c>
      <c r="E18" s="18">
        <v>37.466000000000001</v>
      </c>
      <c r="F18" s="18">
        <v>38.743000000000002</v>
      </c>
      <c r="G18" s="18">
        <v>3.68</v>
      </c>
      <c r="H18" s="18">
        <f t="shared" si="0"/>
        <v>34.181625000000004</v>
      </c>
      <c r="I18" s="5"/>
      <c r="J18" s="17">
        <v>1603.9503999999999</v>
      </c>
      <c r="K18" s="18">
        <v>33.497500000000002</v>
      </c>
      <c r="L18" s="18">
        <v>38.161900000000003</v>
      </c>
      <c r="M18" s="18">
        <v>40.118899999999996</v>
      </c>
      <c r="N18" s="18">
        <v>3.0257000000000001</v>
      </c>
      <c r="O18" s="18">
        <f t="shared" si="1"/>
        <v>34.908225000000002</v>
      </c>
      <c r="P18" s="7"/>
      <c r="Q18" s="10"/>
      <c r="R18" s="11"/>
      <c r="S18" s="11"/>
      <c r="T18" s="26"/>
      <c r="U18" s="28">
        <f t="shared" si="2"/>
        <v>-0.17779891304347828</v>
      </c>
      <c r="V18" s="57">
        <f t="shared" si="3"/>
        <v>1.8429166666666674E-2</v>
      </c>
      <c r="W18" s="57">
        <f t="shared" si="4"/>
        <v>2.4689999999999656E-3</v>
      </c>
      <c r="X18" s="56">
        <v>2400</v>
      </c>
      <c r="Y18" s="56">
        <v>1600</v>
      </c>
    </row>
    <row r="19" spans="1:25" x14ac:dyDescent="0.25">
      <c r="B19" s="9"/>
      <c r="C19" s="17">
        <v>1470.14</v>
      </c>
      <c r="D19" s="18">
        <v>30.934000000000001</v>
      </c>
      <c r="E19" s="18">
        <v>36.823999999999998</v>
      </c>
      <c r="F19" s="18">
        <v>37.692999999999998</v>
      </c>
      <c r="G19" s="18">
        <v>4.1100000000000003</v>
      </c>
      <c r="H19" s="18">
        <f t="shared" si="0"/>
        <v>32.515124999999998</v>
      </c>
      <c r="I19" s="5"/>
      <c r="J19" s="17">
        <v>1000.6912</v>
      </c>
      <c r="K19" s="18">
        <v>31.843800000000002</v>
      </c>
      <c r="L19" s="18">
        <v>37.577800000000003</v>
      </c>
      <c r="M19" s="18">
        <v>39.095999999999997</v>
      </c>
      <c r="N19" s="18">
        <v>3.6471</v>
      </c>
      <c r="O19" s="18">
        <f t="shared" si="1"/>
        <v>33.467075000000001</v>
      </c>
      <c r="P19" s="7"/>
      <c r="Q19" s="10"/>
      <c r="R19" s="11"/>
      <c r="S19" s="11"/>
      <c r="T19" s="26"/>
      <c r="U19" s="28">
        <f t="shared" si="2"/>
        <v>-0.11262773722627743</v>
      </c>
      <c r="V19" s="57">
        <f t="shared" si="3"/>
        <v>1.99066666666666E-2</v>
      </c>
      <c r="W19" s="57">
        <f t="shared" si="4"/>
        <v>6.911999999999807E-4</v>
      </c>
      <c r="X19" s="56">
        <v>1500</v>
      </c>
      <c r="Y19" s="56">
        <v>1000</v>
      </c>
    </row>
    <row r="20" spans="1:25" ht="16.5" thickBot="1" x14ac:dyDescent="0.3">
      <c r="B20" s="12"/>
      <c r="C20" s="19">
        <v>879.47</v>
      </c>
      <c r="D20" s="20">
        <v>28.495999999999999</v>
      </c>
      <c r="E20" s="20">
        <v>36.052</v>
      </c>
      <c r="F20" s="20">
        <v>36.609000000000002</v>
      </c>
      <c r="G20" s="20">
        <v>4.6500000000000004</v>
      </c>
      <c r="H20" s="20">
        <f t="shared" si="0"/>
        <v>30.454625</v>
      </c>
      <c r="I20" s="5"/>
      <c r="J20" s="19">
        <v>584.07680000000005</v>
      </c>
      <c r="K20" s="20">
        <v>30.0671</v>
      </c>
      <c r="L20" s="20">
        <v>36.937800000000003</v>
      </c>
      <c r="M20" s="20">
        <v>38.072400000000002</v>
      </c>
      <c r="N20" s="20">
        <v>4.6113999999999997</v>
      </c>
      <c r="O20" s="20">
        <f t="shared" si="1"/>
        <v>31.926600000000001</v>
      </c>
      <c r="P20" s="7"/>
      <c r="Q20" s="13"/>
      <c r="R20" s="14"/>
      <c r="S20" s="14"/>
      <c r="T20" s="27"/>
      <c r="U20" s="28">
        <f t="shared" si="2"/>
        <v>-8.3010752688173397E-3</v>
      </c>
      <c r="V20" s="57">
        <f t="shared" si="3"/>
        <v>2.2811111111111081E-2</v>
      </c>
      <c r="W20" s="57">
        <f t="shared" si="4"/>
        <v>2.6538666666666585E-2</v>
      </c>
      <c r="X20" s="56">
        <v>900</v>
      </c>
      <c r="Y20" s="56">
        <v>600</v>
      </c>
    </row>
    <row r="21" spans="1:25" x14ac:dyDescent="0.25">
      <c r="B21" s="6" t="s">
        <v>47</v>
      </c>
      <c r="C21" s="29">
        <v>3554.04</v>
      </c>
      <c r="D21" s="30">
        <v>33.835000000000001</v>
      </c>
      <c r="E21" s="30">
        <v>39.631</v>
      </c>
      <c r="F21" s="30">
        <v>39.314999999999998</v>
      </c>
      <c r="G21" s="16">
        <v>3.04</v>
      </c>
      <c r="H21" s="16">
        <f t="shared" si="0"/>
        <v>35.244500000000002</v>
      </c>
      <c r="I21" s="5"/>
      <c r="J21" s="29">
        <v>2417.8040000000001</v>
      </c>
      <c r="K21" s="30">
        <v>34.351399999999998</v>
      </c>
      <c r="L21" s="30">
        <v>40.912100000000002</v>
      </c>
      <c r="M21" s="30">
        <v>40.671399999999998</v>
      </c>
      <c r="N21" s="16">
        <v>2.2541000000000002</v>
      </c>
      <c r="O21" s="16">
        <f t="shared" si="1"/>
        <v>35.961487499999997</v>
      </c>
      <c r="P21" s="7"/>
      <c r="Q21" s="8">
        <f>bdrate(C21:C24,D21:D24,J21:J24,K21:K24)</f>
        <v>-0.5161342002121545</v>
      </c>
      <c r="R21" s="8">
        <f>bdrate(C21:C24,E21:E24,J21:J24,L21:L24)</f>
        <v>-0.69435767097392831</v>
      </c>
      <c r="S21" s="8">
        <f>bdrate(C21:C24,F21:F24,J21:J24,M21:M24)</f>
        <v>-0.62511604427194722</v>
      </c>
      <c r="T21" s="25">
        <f>bdrate(C21:C24,H21:H24,J21:J24,O21:O24)</f>
        <v>-0.5422311712498693</v>
      </c>
      <c r="U21" s="28">
        <f t="shared" si="2"/>
        <v>-0.25851973684210522</v>
      </c>
      <c r="V21" s="57">
        <f t="shared" si="3"/>
        <v>1.2766666666666676E-2</v>
      </c>
      <c r="W21" s="57">
        <f t="shared" si="4"/>
        <v>7.4183333333333696E-3</v>
      </c>
      <c r="X21" s="56">
        <v>3600</v>
      </c>
      <c r="Y21" s="56">
        <v>2400</v>
      </c>
    </row>
    <row r="22" spans="1:25" x14ac:dyDescent="0.25">
      <c r="B22" s="9"/>
      <c r="C22" s="31">
        <v>2352.9899999999998</v>
      </c>
      <c r="D22" s="32">
        <v>31.899000000000001</v>
      </c>
      <c r="E22" s="32">
        <v>38.741</v>
      </c>
      <c r="F22" s="32">
        <v>38.258000000000003</v>
      </c>
      <c r="G22" s="18">
        <v>3.41</v>
      </c>
      <c r="H22" s="18">
        <f t="shared" si="0"/>
        <v>33.549124999999997</v>
      </c>
      <c r="I22" s="5"/>
      <c r="J22" s="31">
        <v>1610.3552</v>
      </c>
      <c r="K22" s="32">
        <v>32.982900000000001</v>
      </c>
      <c r="L22" s="32">
        <v>40.231999999999999</v>
      </c>
      <c r="M22" s="32">
        <v>39.752699999999997</v>
      </c>
      <c r="N22" s="18">
        <v>2.6684999999999999</v>
      </c>
      <c r="O22" s="18">
        <f t="shared" si="1"/>
        <v>34.735262499999997</v>
      </c>
      <c r="P22" s="7"/>
      <c r="Q22" s="10"/>
      <c r="R22" s="11"/>
      <c r="S22" s="11"/>
      <c r="T22" s="26"/>
      <c r="U22" s="28">
        <f t="shared" si="2"/>
        <v>-0.21744868035190623</v>
      </c>
      <c r="V22" s="57">
        <f t="shared" si="3"/>
        <v>1.9587500000000091E-2</v>
      </c>
      <c r="W22" s="57">
        <f t="shared" si="4"/>
        <v>6.4719999999999804E-3</v>
      </c>
      <c r="X22" s="56">
        <v>2400</v>
      </c>
      <c r="Y22" s="56">
        <v>1600</v>
      </c>
    </row>
    <row r="23" spans="1:25" x14ac:dyDescent="0.25">
      <c r="B23" s="9"/>
      <c r="C23" s="31">
        <v>1458.53</v>
      </c>
      <c r="D23" s="32">
        <v>29.04</v>
      </c>
      <c r="E23" s="32">
        <v>37.511000000000003</v>
      </c>
      <c r="F23" s="32">
        <v>36.997999999999998</v>
      </c>
      <c r="G23" s="18">
        <v>3.92</v>
      </c>
      <c r="H23" s="18">
        <f t="shared" si="0"/>
        <v>31.093624999999999</v>
      </c>
      <c r="I23" s="5"/>
      <c r="J23" s="31">
        <v>1004.0392000000001</v>
      </c>
      <c r="K23" s="32">
        <v>31.315200000000001</v>
      </c>
      <c r="L23" s="32">
        <v>39.423200000000001</v>
      </c>
      <c r="M23" s="32">
        <v>38.6342</v>
      </c>
      <c r="N23" s="18">
        <v>3.2873000000000001</v>
      </c>
      <c r="O23" s="18">
        <f t="shared" si="1"/>
        <v>33.243575</v>
      </c>
      <c r="P23" s="7"/>
      <c r="Q23" s="10"/>
      <c r="R23" s="11"/>
      <c r="S23" s="11"/>
      <c r="T23" s="26"/>
      <c r="U23" s="28">
        <f t="shared" si="2"/>
        <v>-0.16140306122448975</v>
      </c>
      <c r="V23" s="57">
        <f t="shared" si="3"/>
        <v>2.7646666666666684E-2</v>
      </c>
      <c r="W23" s="57">
        <f t="shared" si="4"/>
        <v>4.0392000000000509E-3</v>
      </c>
      <c r="X23" s="56">
        <v>1500</v>
      </c>
      <c r="Y23" s="56">
        <v>1000</v>
      </c>
    </row>
    <row r="24" spans="1:25" ht="16.5" thickBot="1" x14ac:dyDescent="0.3">
      <c r="B24" s="12"/>
      <c r="C24" s="33">
        <v>858.46</v>
      </c>
      <c r="D24" s="34">
        <v>25.898</v>
      </c>
      <c r="E24" s="34">
        <v>34.993000000000002</v>
      </c>
      <c r="F24" s="34">
        <v>34.343000000000004</v>
      </c>
      <c r="G24" s="20">
        <v>4.26</v>
      </c>
      <c r="H24" s="20">
        <f t="shared" si="0"/>
        <v>28.090499999999999</v>
      </c>
      <c r="I24" s="5"/>
      <c r="J24" s="33">
        <v>600.25919999999996</v>
      </c>
      <c r="K24" s="34">
        <v>29.5215</v>
      </c>
      <c r="L24" s="34">
        <v>38.388599999999997</v>
      </c>
      <c r="M24" s="34">
        <v>37.185000000000002</v>
      </c>
      <c r="N24" s="20">
        <v>4.0255000000000001</v>
      </c>
      <c r="O24" s="20">
        <f t="shared" si="1"/>
        <v>31.587824999999999</v>
      </c>
      <c r="P24" s="7"/>
      <c r="Q24" s="13"/>
      <c r="R24" s="14"/>
      <c r="S24" s="14"/>
      <c r="T24" s="27"/>
      <c r="U24" s="28">
        <f t="shared" si="2"/>
        <v>-5.5046948356807443E-2</v>
      </c>
      <c r="V24" s="57">
        <f t="shared" si="3"/>
        <v>4.6155555555555512E-2</v>
      </c>
      <c r="W24" s="57">
        <f t="shared" si="4"/>
        <v>4.3199999999994057E-4</v>
      </c>
      <c r="X24" s="56">
        <v>900</v>
      </c>
      <c r="Y24" s="56">
        <v>600</v>
      </c>
    </row>
    <row r="25" spans="1:25" x14ac:dyDescent="0.25">
      <c r="B25" s="6" t="s">
        <v>48</v>
      </c>
      <c r="C25" s="15">
        <v>3597.25</v>
      </c>
      <c r="D25" s="16">
        <v>33.121000000000002</v>
      </c>
      <c r="E25" s="16">
        <v>38.975999999999999</v>
      </c>
      <c r="F25" s="16">
        <v>41.731999999999999</v>
      </c>
      <c r="G25" s="16">
        <v>3.76</v>
      </c>
      <c r="H25" s="16">
        <f t="shared" si="0"/>
        <v>34.929249999999996</v>
      </c>
      <c r="I25" s="5"/>
      <c r="J25" s="15">
        <v>2402.0488</v>
      </c>
      <c r="K25" s="16">
        <v>33.910200000000003</v>
      </c>
      <c r="L25" s="16">
        <v>40.319699999999997</v>
      </c>
      <c r="M25" s="16">
        <v>42.736499999999999</v>
      </c>
      <c r="N25" s="16">
        <v>2.6461000000000001</v>
      </c>
      <c r="O25" s="16">
        <f t="shared" si="1"/>
        <v>35.814675000000001</v>
      </c>
      <c r="P25" s="7"/>
      <c r="Q25" s="8">
        <f>bdrate(C25:C28,D25:D28,J25:J28,K25:K28)</f>
        <v>-0.59144136479841536</v>
      </c>
      <c r="R25" s="8">
        <f>bdrate(C25:C28,E25:E28,J25:J28,L25:L28)</f>
        <v>-0.75593823882041555</v>
      </c>
      <c r="S25" s="8">
        <f>bdrate(C25:C28,F25:F28,J25:J28,M25:M28)</f>
        <v>-0.71121633319008981</v>
      </c>
      <c r="T25" s="25">
        <f>bdrate(C25:C28,H25:H28,J25:J28,O25:O28)</f>
        <v>-0.61464142555303791</v>
      </c>
      <c r="U25" s="28">
        <f t="shared" si="2"/>
        <v>-0.2962499999999999</v>
      </c>
      <c r="V25" s="57">
        <f t="shared" si="3"/>
        <v>7.6388888888888893E-4</v>
      </c>
      <c r="W25" s="57">
        <f t="shared" si="4"/>
        <v>8.5366666666667845E-4</v>
      </c>
      <c r="X25" s="56">
        <v>3600</v>
      </c>
      <c r="Y25" s="56">
        <v>2400</v>
      </c>
    </row>
    <row r="26" spans="1:25" x14ac:dyDescent="0.25">
      <c r="B26" s="9"/>
      <c r="C26" s="17">
        <v>2367.38</v>
      </c>
      <c r="D26" s="18">
        <v>32.119999999999997</v>
      </c>
      <c r="E26" s="18">
        <v>38.534999999999997</v>
      </c>
      <c r="F26" s="18">
        <v>41.244999999999997</v>
      </c>
      <c r="G26" s="18">
        <v>4.07</v>
      </c>
      <c r="H26" s="18">
        <f t="shared" si="0"/>
        <v>34.062499999999993</v>
      </c>
      <c r="I26" s="5"/>
      <c r="J26" s="17">
        <v>1659.9168</v>
      </c>
      <c r="K26" s="18">
        <v>33.245100000000001</v>
      </c>
      <c r="L26" s="18">
        <v>39.892699999999998</v>
      </c>
      <c r="M26" s="18">
        <v>42.362299999999998</v>
      </c>
      <c r="N26" s="18">
        <v>3.1297000000000001</v>
      </c>
      <c r="O26" s="18">
        <f t="shared" si="1"/>
        <v>35.215699999999998</v>
      </c>
      <c r="P26" s="7"/>
      <c r="Q26" s="10"/>
      <c r="R26" s="11"/>
      <c r="S26" s="11"/>
      <c r="T26" s="26"/>
      <c r="U26" s="28">
        <f t="shared" si="2"/>
        <v>-0.23103194103194105</v>
      </c>
      <c r="V26" s="57">
        <f t="shared" si="3"/>
        <v>1.3591666666666622E-2</v>
      </c>
      <c r="W26" s="57">
        <f t="shared" si="4"/>
        <v>3.7447999999999981E-2</v>
      </c>
      <c r="X26" s="56">
        <v>2400</v>
      </c>
      <c r="Y26" s="56">
        <v>1600</v>
      </c>
    </row>
    <row r="27" spans="1:25" x14ac:dyDescent="0.25">
      <c r="B27" s="9"/>
      <c r="C27" s="17">
        <v>1464.42</v>
      </c>
      <c r="D27" s="18">
        <v>30.702999999999999</v>
      </c>
      <c r="E27" s="18">
        <v>38.01</v>
      </c>
      <c r="F27" s="18">
        <v>40.552</v>
      </c>
      <c r="G27" s="18">
        <v>4.42</v>
      </c>
      <c r="H27" s="18">
        <f t="shared" si="0"/>
        <v>32.847499999999997</v>
      </c>
      <c r="I27" s="5"/>
      <c r="J27" s="17">
        <v>1020.0064</v>
      </c>
      <c r="K27" s="18">
        <v>32.241999999999997</v>
      </c>
      <c r="L27" s="18">
        <v>39.161999999999999</v>
      </c>
      <c r="M27" s="18">
        <v>41.7012</v>
      </c>
      <c r="N27" s="18">
        <v>3.7119</v>
      </c>
      <c r="O27" s="18">
        <f t="shared" si="1"/>
        <v>34.289400000000001</v>
      </c>
      <c r="P27" s="7"/>
      <c r="Q27" s="10"/>
      <c r="R27" s="11"/>
      <c r="S27" s="11"/>
      <c r="T27" s="26"/>
      <c r="U27" s="28">
        <f t="shared" si="2"/>
        <v>-0.16020361990950224</v>
      </c>
      <c r="V27" s="57">
        <f t="shared" si="3"/>
        <v>2.3719999999999953E-2</v>
      </c>
      <c r="W27" s="57">
        <f t="shared" si="4"/>
        <v>2.0006399999999987E-2</v>
      </c>
      <c r="X27" s="56">
        <v>1500</v>
      </c>
      <c r="Y27" s="56">
        <v>1000</v>
      </c>
    </row>
    <row r="28" spans="1:25" ht="16.5" thickBot="1" x14ac:dyDescent="0.3">
      <c r="B28" s="12"/>
      <c r="C28" s="19">
        <v>862.24</v>
      </c>
      <c r="D28" s="20">
        <v>28.702999999999999</v>
      </c>
      <c r="E28" s="20">
        <v>37.374000000000002</v>
      </c>
      <c r="F28" s="20">
        <v>39.884999999999998</v>
      </c>
      <c r="G28" s="20">
        <v>4.76</v>
      </c>
      <c r="H28" s="20">
        <f t="shared" si="0"/>
        <v>31.184624999999997</v>
      </c>
      <c r="I28" s="5"/>
      <c r="J28" s="19">
        <v>601.96079999999995</v>
      </c>
      <c r="K28" s="20">
        <v>30.8384</v>
      </c>
      <c r="L28" s="20">
        <v>38.586799999999997</v>
      </c>
      <c r="M28" s="20">
        <v>41.139899999999997</v>
      </c>
      <c r="N28" s="20">
        <v>4.3143000000000002</v>
      </c>
      <c r="O28" s="20">
        <f t="shared" si="1"/>
        <v>33.094637499999997</v>
      </c>
      <c r="P28" s="7"/>
      <c r="Q28" s="13"/>
      <c r="R28" s="14"/>
      <c r="S28" s="14"/>
      <c r="T28" s="27"/>
      <c r="U28" s="28">
        <f t="shared" si="2"/>
        <v>-9.3634453781512514E-2</v>
      </c>
      <c r="V28" s="57">
        <f t="shared" si="3"/>
        <v>4.1955555555555545E-2</v>
      </c>
      <c r="W28" s="57">
        <f t="shared" si="4"/>
        <v>3.2679999999999155E-3</v>
      </c>
      <c r="X28" s="56">
        <v>900</v>
      </c>
      <c r="Y28" s="56">
        <v>600</v>
      </c>
    </row>
    <row r="29" spans="1:25" x14ac:dyDescent="0.25">
      <c r="A29" s="6" t="s">
        <v>37</v>
      </c>
      <c r="B29" s="6" t="s">
        <v>49</v>
      </c>
      <c r="C29" s="15">
        <v>1553.49</v>
      </c>
      <c r="D29" s="16">
        <v>34.920999999999999</v>
      </c>
      <c r="E29" s="16">
        <v>38.328000000000003</v>
      </c>
      <c r="F29" s="16">
        <v>38.262</v>
      </c>
      <c r="G29" s="16">
        <v>14.66</v>
      </c>
      <c r="H29" s="16">
        <f t="shared" si="0"/>
        <v>35.764499999999998</v>
      </c>
      <c r="I29" s="5"/>
      <c r="J29" s="15">
        <v>1221.7311999999999</v>
      </c>
      <c r="K29" s="16">
        <v>35.772100000000002</v>
      </c>
      <c r="L29" s="16">
        <v>40.410899999999998</v>
      </c>
      <c r="M29" s="16">
        <v>40.429400000000001</v>
      </c>
      <c r="N29" s="16">
        <v>6.9366000000000003</v>
      </c>
      <c r="O29" s="16">
        <f t="shared" si="1"/>
        <v>36.934112500000005</v>
      </c>
      <c r="P29" s="7"/>
      <c r="Q29" s="8">
        <f>bdrate(C29:C32,D29:D32,J29:J32,K29:K32)</f>
        <v>-0.36120391784634143</v>
      </c>
      <c r="R29" s="8">
        <f>bdrate(C29:C32,E29:E32,J29:J32,L29:L32)</f>
        <v>-0.59506905975333191</v>
      </c>
      <c r="S29" s="8">
        <f>bdrate(C29:C32,F29:F32,J29:J32,M29:M32)</f>
        <v>-0.57072574661993247</v>
      </c>
      <c r="T29" s="25">
        <f>bdrate(C29:C32,H29:H32,J29:J32,O29:O32)</f>
        <v>-0.40999679957985624</v>
      </c>
      <c r="U29" s="28">
        <f t="shared" si="2"/>
        <v>-0.52683492496589357</v>
      </c>
      <c r="V29" s="57">
        <f t="shared" si="3"/>
        <v>2.2516129032258123E-3</v>
      </c>
      <c r="W29" s="57">
        <f t="shared" si="4"/>
        <v>1.8109333333333286E-2</v>
      </c>
      <c r="X29" s="56">
        <v>1550</v>
      </c>
      <c r="Y29" s="56">
        <v>1200</v>
      </c>
    </row>
    <row r="30" spans="1:25" x14ac:dyDescent="0.25">
      <c r="A30" s="9" t="s">
        <v>38</v>
      </c>
      <c r="B30" s="9"/>
      <c r="C30" s="17">
        <v>1047.8900000000001</v>
      </c>
      <c r="D30" s="18">
        <v>33.335000000000001</v>
      </c>
      <c r="E30" s="18">
        <v>37.216000000000001</v>
      </c>
      <c r="F30" s="18">
        <v>37.051000000000002</v>
      </c>
      <c r="G30" s="18">
        <v>16.989999999999998</v>
      </c>
      <c r="H30" s="18">
        <f t="shared" si="0"/>
        <v>34.284624999999998</v>
      </c>
      <c r="I30" s="5"/>
      <c r="J30" s="17">
        <v>814.09839999999997</v>
      </c>
      <c r="K30" s="18">
        <v>34.001800000000003</v>
      </c>
      <c r="L30" s="18">
        <v>39.036499999999997</v>
      </c>
      <c r="M30" s="18">
        <v>38.881100000000004</v>
      </c>
      <c r="N30" s="18">
        <v>8.0284999999999993</v>
      </c>
      <c r="O30" s="18">
        <f t="shared" si="1"/>
        <v>35.241050000000001</v>
      </c>
      <c r="P30" s="7"/>
      <c r="Q30" s="10"/>
      <c r="R30" s="11"/>
      <c r="S30" s="11"/>
      <c r="T30" s="26"/>
      <c r="U30" s="28">
        <f t="shared" si="2"/>
        <v>-0.52745732783990584</v>
      </c>
      <c r="V30" s="57">
        <f t="shared" si="3"/>
        <v>2.0095238095237142E-3</v>
      </c>
      <c r="W30" s="57">
        <f t="shared" si="4"/>
        <v>1.7622999999999962E-2</v>
      </c>
      <c r="X30" s="56">
        <v>1050</v>
      </c>
      <c r="Y30" s="56">
        <v>800</v>
      </c>
    </row>
    <row r="31" spans="1:25" x14ac:dyDescent="0.25">
      <c r="B31" s="9"/>
      <c r="C31" s="17">
        <v>645.26</v>
      </c>
      <c r="D31" s="18">
        <v>31.236999999999998</v>
      </c>
      <c r="E31" s="18">
        <v>35.909999999999997</v>
      </c>
      <c r="F31" s="18">
        <v>35.578000000000003</v>
      </c>
      <c r="G31" s="18">
        <v>19.61</v>
      </c>
      <c r="H31" s="18">
        <f t="shared" si="0"/>
        <v>32.363749999999996</v>
      </c>
      <c r="I31" s="5"/>
      <c r="J31" s="17">
        <v>508.67039999999997</v>
      </c>
      <c r="K31" s="18">
        <v>32.156700000000001</v>
      </c>
      <c r="L31" s="18">
        <v>37.709499999999998</v>
      </c>
      <c r="M31" s="18">
        <v>37.410800000000002</v>
      </c>
      <c r="N31" s="18">
        <v>9.7004999999999999</v>
      </c>
      <c r="O31" s="18">
        <f t="shared" si="1"/>
        <v>33.507562499999999</v>
      </c>
      <c r="P31" s="7"/>
      <c r="Q31" s="10"/>
      <c r="R31" s="11"/>
      <c r="S31" s="11"/>
      <c r="T31" s="26"/>
      <c r="U31" s="28">
        <f t="shared" si="2"/>
        <v>-0.50532891381947986</v>
      </c>
      <c r="V31" s="57">
        <f t="shared" si="3"/>
        <v>7.2923076923077064E-3</v>
      </c>
      <c r="W31" s="57">
        <f t="shared" si="4"/>
        <v>1.7340799999999944E-2</v>
      </c>
      <c r="X31" s="56">
        <v>650</v>
      </c>
      <c r="Y31" s="56">
        <v>500</v>
      </c>
    </row>
    <row r="32" spans="1:25" ht="16.5" thickBot="1" x14ac:dyDescent="0.3">
      <c r="B32" s="12"/>
      <c r="C32" s="19">
        <v>392.4</v>
      </c>
      <c r="D32" s="20">
        <v>28.652999999999999</v>
      </c>
      <c r="E32" s="20">
        <v>34.600999999999999</v>
      </c>
      <c r="F32" s="20">
        <v>34.091000000000001</v>
      </c>
      <c r="G32" s="20">
        <v>22.79</v>
      </c>
      <c r="H32" s="20">
        <f t="shared" si="0"/>
        <v>30.076250000000002</v>
      </c>
      <c r="I32" s="5"/>
      <c r="J32" s="19">
        <v>305.2944</v>
      </c>
      <c r="K32" s="20">
        <v>30.214700000000001</v>
      </c>
      <c r="L32" s="20">
        <v>36.360599999999998</v>
      </c>
      <c r="M32" s="20">
        <v>35.933500000000002</v>
      </c>
      <c r="N32" s="20">
        <v>12.1051</v>
      </c>
      <c r="O32" s="20">
        <f t="shared" si="1"/>
        <v>31.697787500000004</v>
      </c>
      <c r="P32" s="7"/>
      <c r="Q32" s="13"/>
      <c r="R32" s="14"/>
      <c r="S32" s="14"/>
      <c r="T32" s="27"/>
      <c r="U32" s="28">
        <f t="shared" si="2"/>
        <v>-0.46884159719175073</v>
      </c>
      <c r="V32" s="57">
        <f t="shared" si="3"/>
        <v>1.9000000000000059E-2</v>
      </c>
      <c r="W32" s="57">
        <f t="shared" si="4"/>
        <v>1.7647999999999987E-2</v>
      </c>
      <c r="X32" s="56">
        <v>400</v>
      </c>
      <c r="Y32" s="56">
        <v>300</v>
      </c>
    </row>
    <row r="33" spans="1:25" x14ac:dyDescent="0.25">
      <c r="B33" s="6" t="s">
        <v>50</v>
      </c>
      <c r="C33" s="15">
        <v>1551.67</v>
      </c>
      <c r="D33" s="16">
        <v>35.392000000000003</v>
      </c>
      <c r="E33" s="16">
        <v>39.936</v>
      </c>
      <c r="F33" s="16">
        <v>40.762</v>
      </c>
      <c r="G33" s="16">
        <v>15.3</v>
      </c>
      <c r="H33" s="16">
        <f t="shared" si="0"/>
        <v>36.631250000000009</v>
      </c>
      <c r="I33" s="5"/>
      <c r="J33" s="15">
        <v>1247.9159999999999</v>
      </c>
      <c r="K33" s="16">
        <v>35.844499999999996</v>
      </c>
      <c r="L33" s="16">
        <v>41.392000000000003</v>
      </c>
      <c r="M33" s="16">
        <v>42.406500000000001</v>
      </c>
      <c r="N33" s="16">
        <v>7.6307999999999998</v>
      </c>
      <c r="O33" s="16">
        <f t="shared" si="1"/>
        <v>37.3581875</v>
      </c>
      <c r="P33" s="7"/>
      <c r="Q33" s="8">
        <f>bdrate(C33:C36,D33:D36,J33:J36,K33:K36)</f>
        <v>-0.35887294606090314</v>
      </c>
      <c r="R33" s="8">
        <f>bdrate(C33:C36,E33:E36,J33:J36,L33:L36)</f>
        <v>-0.56165095228523043</v>
      </c>
      <c r="S33" s="8">
        <f>bdrate(C33:C36,F33:F36,J33:J36,M33:M36)</f>
        <v>-0.5534392951550936</v>
      </c>
      <c r="T33" s="25">
        <f>bdrate(C33:C36,H33:H36,J33:J36,O33:O36)</f>
        <v>-0.39479688900873555</v>
      </c>
      <c r="U33" s="28">
        <f t="shared" si="2"/>
        <v>-0.50125490196078437</v>
      </c>
      <c r="V33" s="57">
        <f t="shared" si="3"/>
        <v>1.0774193548387567E-3</v>
      </c>
      <c r="W33" s="57">
        <f t="shared" si="4"/>
        <v>3.9929999999999952E-2</v>
      </c>
      <c r="X33" s="56">
        <v>1550</v>
      </c>
      <c r="Y33" s="56">
        <v>1200</v>
      </c>
    </row>
    <row r="34" spans="1:25" x14ac:dyDescent="0.25">
      <c r="B34" s="9"/>
      <c r="C34" s="17">
        <v>1048.0999999999999</v>
      </c>
      <c r="D34" s="18">
        <v>33.613999999999997</v>
      </c>
      <c r="E34" s="18">
        <v>39.037999999999997</v>
      </c>
      <c r="F34" s="18">
        <v>39.823</v>
      </c>
      <c r="G34" s="18">
        <v>16.989999999999998</v>
      </c>
      <c r="H34" s="18">
        <f t="shared" si="0"/>
        <v>35.068124999999995</v>
      </c>
      <c r="I34" s="5"/>
      <c r="J34" s="17">
        <v>831.55439999999999</v>
      </c>
      <c r="K34" s="18">
        <v>34.318100000000001</v>
      </c>
      <c r="L34" s="18">
        <v>40.415399999999998</v>
      </c>
      <c r="M34" s="18">
        <v>41.269500000000001</v>
      </c>
      <c r="N34" s="18">
        <v>8.9100999999999999</v>
      </c>
      <c r="O34" s="18">
        <f t="shared" si="1"/>
        <v>35.949187500000001</v>
      </c>
      <c r="P34" s="7"/>
      <c r="Q34" s="10"/>
      <c r="R34" s="11"/>
      <c r="S34" s="11"/>
      <c r="T34" s="26"/>
      <c r="U34" s="28">
        <f t="shared" si="2"/>
        <v>-0.47556798116539134</v>
      </c>
      <c r="V34" s="57">
        <f t="shared" si="3"/>
        <v>1.8095238095238962E-3</v>
      </c>
      <c r="W34" s="57">
        <f t="shared" si="4"/>
        <v>3.9442999999999985E-2</v>
      </c>
      <c r="X34" s="56">
        <v>1050</v>
      </c>
      <c r="Y34" s="56">
        <v>800</v>
      </c>
    </row>
    <row r="35" spans="1:25" x14ac:dyDescent="0.25">
      <c r="B35" s="9"/>
      <c r="C35" s="17">
        <v>644.66</v>
      </c>
      <c r="D35" s="18">
        <v>31.247</v>
      </c>
      <c r="E35" s="18">
        <v>37.975000000000001</v>
      </c>
      <c r="F35" s="18">
        <v>38.651000000000003</v>
      </c>
      <c r="G35" s="18">
        <v>18.89</v>
      </c>
      <c r="H35" s="18">
        <f t="shared" si="0"/>
        <v>33.013500000000001</v>
      </c>
      <c r="I35" s="5"/>
      <c r="J35" s="17">
        <v>519.18640000000005</v>
      </c>
      <c r="K35" s="18">
        <v>32.454500000000003</v>
      </c>
      <c r="L35" s="18">
        <v>39.2973</v>
      </c>
      <c r="M35" s="18">
        <v>40.048400000000001</v>
      </c>
      <c r="N35" s="18">
        <v>10.579000000000001</v>
      </c>
      <c r="O35" s="18">
        <f t="shared" si="1"/>
        <v>34.259087500000007</v>
      </c>
      <c r="P35" s="7"/>
      <c r="Q35" s="10"/>
      <c r="R35" s="11"/>
      <c r="S35" s="11"/>
      <c r="T35" s="26"/>
      <c r="U35" s="28">
        <f t="shared" si="2"/>
        <v>-0.43996823716251982</v>
      </c>
      <c r="V35" s="57">
        <f t="shared" si="3"/>
        <v>8.2153846153846643E-3</v>
      </c>
      <c r="W35" s="57">
        <f t="shared" si="4"/>
        <v>3.8372800000000096E-2</v>
      </c>
      <c r="X35" s="56">
        <v>650</v>
      </c>
      <c r="Y35" s="56">
        <v>500</v>
      </c>
    </row>
    <row r="36" spans="1:25" ht="16.5" thickBot="1" x14ac:dyDescent="0.3">
      <c r="B36" s="12"/>
      <c r="C36" s="19">
        <v>395.94</v>
      </c>
      <c r="D36" s="20">
        <v>28.613</v>
      </c>
      <c r="E36" s="20">
        <v>36.972000000000001</v>
      </c>
      <c r="F36" s="20">
        <v>37.581000000000003</v>
      </c>
      <c r="G36" s="20">
        <v>20.82</v>
      </c>
      <c r="H36" s="20">
        <f t="shared" si="0"/>
        <v>30.778874999999999</v>
      </c>
      <c r="I36" s="5"/>
      <c r="J36" s="19">
        <v>309.67919999999998</v>
      </c>
      <c r="K36" s="20">
        <v>30.328900000000001</v>
      </c>
      <c r="L36" s="20">
        <v>38.2151</v>
      </c>
      <c r="M36" s="20">
        <v>38.881399999999999</v>
      </c>
      <c r="N36" s="20">
        <v>12.901</v>
      </c>
      <c r="O36" s="20">
        <f t="shared" si="1"/>
        <v>32.383737500000002</v>
      </c>
      <c r="P36" s="7"/>
      <c r="Q36" s="13"/>
      <c r="R36" s="14"/>
      <c r="S36" s="14"/>
      <c r="T36" s="27"/>
      <c r="U36" s="28">
        <f t="shared" si="2"/>
        <v>-0.38035542747358309</v>
      </c>
      <c r="V36" s="57">
        <f t="shared" si="3"/>
        <v>1.0150000000000006E-2</v>
      </c>
      <c r="W36" s="57">
        <f t="shared" si="4"/>
        <v>3.2263999999999932E-2</v>
      </c>
      <c r="X36" s="56">
        <v>400</v>
      </c>
      <c r="Y36" s="56">
        <v>300</v>
      </c>
    </row>
    <row r="37" spans="1:25" x14ac:dyDescent="0.25">
      <c r="B37" s="6" t="s">
        <v>51</v>
      </c>
      <c r="C37" s="15">
        <v>1416.03</v>
      </c>
      <c r="D37" s="16">
        <v>29.779</v>
      </c>
      <c r="E37" s="16">
        <v>35.655999999999999</v>
      </c>
      <c r="F37" s="16">
        <v>36.39</v>
      </c>
      <c r="G37" s="16">
        <v>14.42</v>
      </c>
      <c r="H37" s="16">
        <f t="shared" si="0"/>
        <v>31.340000000000003</v>
      </c>
      <c r="I37" s="5"/>
      <c r="J37" s="15">
        <v>1236.3407999999999</v>
      </c>
      <c r="K37" s="16">
        <v>30.783000000000001</v>
      </c>
      <c r="L37" s="16">
        <v>37.491799999999998</v>
      </c>
      <c r="M37" s="16">
        <v>38.296599999999998</v>
      </c>
      <c r="N37" s="16">
        <v>5.8304999999999998</v>
      </c>
      <c r="O37" s="16">
        <f t="shared" si="1"/>
        <v>32.5608</v>
      </c>
      <c r="P37" s="7"/>
      <c r="Q37" s="8">
        <f>bdrate(C37:C40,D37:D40,J37:J40,K37:K40)</f>
        <v>-0.38591679930376444</v>
      </c>
      <c r="R37" s="8">
        <f>bdrate(C37:C40,E37:E40,J37:J40,L37:L40)</f>
        <v>-0.66404877201525536</v>
      </c>
      <c r="S37" s="8">
        <f>bdrate(C37:C40,F37:F40,J37:J40,M37:M40)</f>
        <v>-0.65772912668574723</v>
      </c>
      <c r="T37" s="25">
        <f>bdrate(C37:C40,H37:H40,J37:J40,O37:O40)</f>
        <v>-0.43348969112443814</v>
      </c>
      <c r="U37" s="28">
        <f t="shared" si="2"/>
        <v>-0.59566574202496536</v>
      </c>
      <c r="V37" s="57">
        <f t="shared" si="3"/>
        <v>8.643225806451614E-2</v>
      </c>
      <c r="W37" s="57">
        <f t="shared" si="4"/>
        <v>3.0283999999999953E-2</v>
      </c>
      <c r="X37" s="56">
        <v>1550</v>
      </c>
      <c r="Y37" s="56">
        <v>1200</v>
      </c>
    </row>
    <row r="38" spans="1:25" x14ac:dyDescent="0.25">
      <c r="B38" s="9"/>
      <c r="C38" s="17">
        <v>964.69</v>
      </c>
      <c r="D38" s="18">
        <v>28.382999999999999</v>
      </c>
      <c r="E38" s="18">
        <v>35.073</v>
      </c>
      <c r="F38" s="18">
        <v>35.801000000000002</v>
      </c>
      <c r="G38" s="18">
        <v>15.86</v>
      </c>
      <c r="H38" s="18">
        <f t="shared" si="0"/>
        <v>30.146500000000003</v>
      </c>
      <c r="I38" s="5"/>
      <c r="J38" s="17">
        <v>817.95039999999995</v>
      </c>
      <c r="K38" s="18">
        <v>29.392199999999999</v>
      </c>
      <c r="L38" s="18">
        <v>36.632899999999999</v>
      </c>
      <c r="M38" s="18">
        <v>37.4238</v>
      </c>
      <c r="N38" s="18">
        <v>6.6622000000000003</v>
      </c>
      <c r="O38" s="18">
        <f t="shared" si="1"/>
        <v>31.301237499999999</v>
      </c>
      <c r="P38" s="7"/>
      <c r="Q38" s="10"/>
      <c r="R38" s="11"/>
      <c r="S38" s="11"/>
      <c r="T38" s="26"/>
      <c r="U38" s="28">
        <f t="shared" si="2"/>
        <v>-0.579936948297604</v>
      </c>
      <c r="V38" s="57">
        <f t="shared" si="3"/>
        <v>8.1247619047618999E-2</v>
      </c>
      <c r="W38" s="57">
        <f t="shared" si="4"/>
        <v>2.243799999999993E-2</v>
      </c>
      <c r="X38" s="56">
        <v>1050</v>
      </c>
      <c r="Y38" s="56">
        <v>800</v>
      </c>
    </row>
    <row r="39" spans="1:25" x14ac:dyDescent="0.25">
      <c r="B39" s="9"/>
      <c r="C39" s="17">
        <v>598.96</v>
      </c>
      <c r="D39" s="18">
        <v>26.744</v>
      </c>
      <c r="E39" s="18">
        <v>34.465000000000003</v>
      </c>
      <c r="F39" s="18">
        <v>35.216999999999999</v>
      </c>
      <c r="G39" s="18">
        <v>17.55</v>
      </c>
      <c r="H39" s="18">
        <f t="shared" si="0"/>
        <v>28.768250000000002</v>
      </c>
      <c r="I39" s="5"/>
      <c r="J39" s="17">
        <v>513.26959999999997</v>
      </c>
      <c r="K39" s="18">
        <v>27.909400000000002</v>
      </c>
      <c r="L39" s="18">
        <v>35.787999999999997</v>
      </c>
      <c r="M39" s="18">
        <v>36.512799999999999</v>
      </c>
      <c r="N39" s="18">
        <v>7.9489000000000001</v>
      </c>
      <c r="O39" s="18">
        <f t="shared" si="1"/>
        <v>29.969649999999998</v>
      </c>
      <c r="P39" s="7"/>
      <c r="Q39" s="10"/>
      <c r="R39" s="11"/>
      <c r="S39" s="11"/>
      <c r="T39" s="26"/>
      <c r="U39" s="28">
        <f t="shared" si="2"/>
        <v>-0.54707122507122508</v>
      </c>
      <c r="V39" s="57">
        <f t="shared" si="3"/>
        <v>7.8523076923076862E-2</v>
      </c>
      <c r="W39" s="57">
        <f t="shared" si="4"/>
        <v>2.6539199999999936E-2</v>
      </c>
      <c r="X39" s="56">
        <v>650</v>
      </c>
      <c r="Y39" s="56">
        <v>500</v>
      </c>
    </row>
    <row r="40" spans="1:25" ht="16.5" thickBot="1" x14ac:dyDescent="0.3">
      <c r="B40" s="12"/>
      <c r="C40" s="19">
        <v>370.09</v>
      </c>
      <c r="D40" s="20">
        <v>25.157</v>
      </c>
      <c r="E40" s="20">
        <v>33.895000000000003</v>
      </c>
      <c r="F40" s="20">
        <v>34.683999999999997</v>
      </c>
      <c r="G40" s="20">
        <v>20.010000000000002</v>
      </c>
      <c r="H40" s="20">
        <f t="shared" si="0"/>
        <v>27.440125000000002</v>
      </c>
      <c r="I40" s="5"/>
      <c r="J40" s="19">
        <v>308.87759999999997</v>
      </c>
      <c r="K40" s="20">
        <v>26.306999999999999</v>
      </c>
      <c r="L40" s="20">
        <v>34.992699999999999</v>
      </c>
      <c r="M40" s="20">
        <v>35.678600000000003</v>
      </c>
      <c r="N40" s="20">
        <v>9.5146999999999995</v>
      </c>
      <c r="O40" s="20">
        <f t="shared" si="1"/>
        <v>28.564162500000002</v>
      </c>
      <c r="P40" s="7"/>
      <c r="Q40" s="13"/>
      <c r="R40" s="14"/>
      <c r="S40" s="14"/>
      <c r="T40" s="27"/>
      <c r="U40" s="28">
        <f t="shared" si="2"/>
        <v>-0.52450274862568724</v>
      </c>
      <c r="V40" s="57">
        <f t="shared" si="3"/>
        <v>7.4775000000000064E-2</v>
      </c>
      <c r="W40" s="57">
        <f t="shared" si="4"/>
        <v>2.959199999999991E-2</v>
      </c>
      <c r="X40" s="56">
        <v>400</v>
      </c>
      <c r="Y40" s="56">
        <v>300</v>
      </c>
    </row>
    <row r="41" spans="1:25" x14ac:dyDescent="0.25">
      <c r="B41" s="6" t="s">
        <v>52</v>
      </c>
      <c r="C41" s="15">
        <v>1437.96</v>
      </c>
      <c r="D41" s="16">
        <v>33.241999999999997</v>
      </c>
      <c r="E41" s="16">
        <v>36.844000000000001</v>
      </c>
      <c r="F41" s="16">
        <v>38.527999999999999</v>
      </c>
      <c r="G41" s="16">
        <v>10.29</v>
      </c>
      <c r="H41" s="16">
        <f t="shared" si="0"/>
        <v>34.353000000000002</v>
      </c>
      <c r="I41" s="5"/>
      <c r="J41" s="15">
        <v>1217.1368</v>
      </c>
      <c r="K41" s="16">
        <v>32.8842</v>
      </c>
      <c r="L41" s="16">
        <v>37.673200000000001</v>
      </c>
      <c r="M41" s="16">
        <v>39.281500000000001</v>
      </c>
      <c r="N41" s="16">
        <v>4.3692000000000002</v>
      </c>
      <c r="O41" s="16">
        <f t="shared" si="1"/>
        <v>34.282487500000002</v>
      </c>
      <c r="P41" s="7"/>
      <c r="Q41" s="8">
        <f>bdrate(C41:C44,D41:D44,J41:J44,K41:K44)</f>
        <v>-0.16686657982584352</v>
      </c>
      <c r="R41" s="8">
        <f>bdrate(C41:C44,E41:E44,J41:J44,L41:L44)</f>
        <v>-0.44454153213230663</v>
      </c>
      <c r="S41" s="8">
        <f>bdrate(C41:C44,F41:F44,J41:J44,M41:M44)</f>
        <v>-0.44263667311705868</v>
      </c>
      <c r="T41" s="25">
        <f>bdrate(C41:C44,H41:H44,J41:J44,O41:O44)</f>
        <v>-0.21003675567831348</v>
      </c>
      <c r="U41" s="28">
        <f t="shared" si="2"/>
        <v>-0.5753935860058309</v>
      </c>
      <c r="V41" s="57">
        <f t="shared" si="3"/>
        <v>7.2283870967741914E-2</v>
      </c>
      <c r="W41" s="57">
        <f t="shared" si="4"/>
        <v>1.4280666666666662E-2</v>
      </c>
      <c r="X41" s="56">
        <v>1550</v>
      </c>
      <c r="Y41" s="56">
        <v>1200</v>
      </c>
    </row>
    <row r="42" spans="1:25" x14ac:dyDescent="0.25">
      <c r="B42" s="9"/>
      <c r="C42" s="17">
        <v>982.44</v>
      </c>
      <c r="D42" s="18">
        <v>31.620999999999999</v>
      </c>
      <c r="E42" s="18">
        <v>36.033999999999999</v>
      </c>
      <c r="F42" s="18">
        <v>37.704000000000001</v>
      </c>
      <c r="G42" s="18">
        <v>11.7</v>
      </c>
      <c r="H42" s="18">
        <f t="shared" si="0"/>
        <v>32.933</v>
      </c>
      <c r="I42" s="5"/>
      <c r="J42" s="17">
        <v>812.31280000000004</v>
      </c>
      <c r="K42" s="18">
        <v>31.333200000000001</v>
      </c>
      <c r="L42" s="18">
        <v>36.788499999999999</v>
      </c>
      <c r="M42" s="18">
        <v>38.4238</v>
      </c>
      <c r="N42" s="18">
        <v>5.1692999999999998</v>
      </c>
      <c r="O42" s="18">
        <f t="shared" si="1"/>
        <v>32.9014375</v>
      </c>
      <c r="P42" s="7"/>
      <c r="Q42" s="10"/>
      <c r="R42" s="11"/>
      <c r="S42" s="11"/>
      <c r="T42" s="26"/>
      <c r="U42" s="28">
        <f t="shared" si="2"/>
        <v>-0.55817948717948718</v>
      </c>
      <c r="V42" s="57">
        <f t="shared" si="3"/>
        <v>6.4342857142857091E-2</v>
      </c>
      <c r="W42" s="57">
        <f t="shared" si="4"/>
        <v>1.5391000000000049E-2</v>
      </c>
      <c r="X42" s="56">
        <v>1050</v>
      </c>
      <c r="Y42" s="56">
        <v>800</v>
      </c>
    </row>
    <row r="43" spans="1:25" x14ac:dyDescent="0.25">
      <c r="B43" s="9"/>
      <c r="C43" s="17">
        <v>616.74</v>
      </c>
      <c r="D43" s="18">
        <v>29.611000000000001</v>
      </c>
      <c r="E43" s="18">
        <v>35.143000000000001</v>
      </c>
      <c r="F43" s="18">
        <v>36.752000000000002</v>
      </c>
      <c r="G43" s="18">
        <v>13.29</v>
      </c>
      <c r="H43" s="18">
        <f t="shared" si="0"/>
        <v>31.195125000000001</v>
      </c>
      <c r="I43" s="5"/>
      <c r="J43" s="17">
        <v>507.39280000000002</v>
      </c>
      <c r="K43" s="18">
        <v>29.691099999999999</v>
      </c>
      <c r="L43" s="18">
        <v>35.895400000000002</v>
      </c>
      <c r="M43" s="18">
        <v>37.557400000000001</v>
      </c>
      <c r="N43" s="18">
        <v>6.2103000000000002</v>
      </c>
      <c r="O43" s="18">
        <f t="shared" si="1"/>
        <v>31.449924999999997</v>
      </c>
      <c r="P43" s="7"/>
      <c r="Q43" s="10"/>
      <c r="R43" s="11"/>
      <c r="S43" s="11"/>
      <c r="T43" s="26"/>
      <c r="U43" s="28">
        <f t="shared" si="2"/>
        <v>-0.53270880361173811</v>
      </c>
      <c r="V43" s="57">
        <f t="shared" si="3"/>
        <v>5.1169230769230759E-2</v>
      </c>
      <c r="W43" s="57">
        <f t="shared" si="4"/>
        <v>1.4785600000000045E-2</v>
      </c>
      <c r="X43" s="56">
        <v>650</v>
      </c>
      <c r="Y43" s="56">
        <v>500</v>
      </c>
    </row>
    <row r="44" spans="1:25" ht="16.5" thickBot="1" x14ac:dyDescent="0.3">
      <c r="B44" s="12"/>
      <c r="C44" s="19">
        <v>382.16</v>
      </c>
      <c r="D44" s="20">
        <v>27.413</v>
      </c>
      <c r="E44" s="20">
        <v>34.146999999999998</v>
      </c>
      <c r="F44" s="20">
        <v>35.616999999999997</v>
      </c>
      <c r="G44" s="20">
        <v>16.45</v>
      </c>
      <c r="H44" s="20">
        <f t="shared" si="0"/>
        <v>29.280249999999999</v>
      </c>
      <c r="I44" s="5"/>
      <c r="J44" s="19">
        <v>306.9128</v>
      </c>
      <c r="K44" s="20">
        <v>28.103400000000001</v>
      </c>
      <c r="L44" s="20">
        <v>35.036299999999997</v>
      </c>
      <c r="M44" s="20">
        <v>36.671599999999998</v>
      </c>
      <c r="N44" s="20">
        <v>7.6700999999999997</v>
      </c>
      <c r="O44" s="20">
        <f t="shared" si="1"/>
        <v>30.041037500000002</v>
      </c>
      <c r="P44" s="7"/>
      <c r="Q44" s="13"/>
      <c r="R44" s="14"/>
      <c r="S44" s="14"/>
      <c r="T44" s="27"/>
      <c r="U44" s="28">
        <f t="shared" si="2"/>
        <v>-0.53373252279635253</v>
      </c>
      <c r="V44" s="57">
        <f t="shared" si="3"/>
        <v>4.4599999999999938E-2</v>
      </c>
      <c r="W44" s="57">
        <f t="shared" si="4"/>
        <v>2.304266666666668E-2</v>
      </c>
      <c r="X44" s="56">
        <v>400</v>
      </c>
      <c r="Y44" s="56">
        <v>300</v>
      </c>
    </row>
    <row r="45" spans="1:25" x14ac:dyDescent="0.25">
      <c r="A45" s="6" t="s">
        <v>39</v>
      </c>
      <c r="B45" s="6" t="s">
        <v>53</v>
      </c>
      <c r="C45" s="15">
        <v>853.23</v>
      </c>
      <c r="D45" s="16">
        <v>35.874000000000002</v>
      </c>
      <c r="E45" s="16">
        <v>39.822000000000003</v>
      </c>
      <c r="F45" s="16">
        <v>38.604999999999997</v>
      </c>
      <c r="G45" s="16">
        <v>26.94</v>
      </c>
      <c r="H45" s="16">
        <f t="shared" si="0"/>
        <v>36.708875000000006</v>
      </c>
      <c r="I45" s="5"/>
      <c r="J45" s="15">
        <v>610.15359999999998</v>
      </c>
      <c r="K45" s="16">
        <v>34.853900000000003</v>
      </c>
      <c r="L45" s="16">
        <v>40.726599999999998</v>
      </c>
      <c r="M45" s="16">
        <v>39.238799999999998</v>
      </c>
      <c r="N45" s="16">
        <v>20.017600000000002</v>
      </c>
      <c r="O45" s="16">
        <f t="shared" si="1"/>
        <v>36.136099999999999</v>
      </c>
      <c r="P45" s="7"/>
      <c r="Q45" s="8">
        <f>bdrate(C45:C48,D45:D48,J45:J48,K45:K48)</f>
        <v>-0.18898503753523987</v>
      </c>
      <c r="R45" s="8">
        <f>bdrate(C45:C48,E45:E48,J45:J48,L45:L48)</f>
        <v>-0.49450551210683846</v>
      </c>
      <c r="S45" s="8">
        <f>bdrate(C45:C48,F45:F48,J45:J48,M45:M48)</f>
        <v>-0.42605144824211783</v>
      </c>
      <c r="T45" s="25">
        <f>bdrate(C45:C48,H45:H48,J45:J48,O45:O48)</f>
        <v>-0.23876637816681179</v>
      </c>
      <c r="U45" s="28">
        <f t="shared" si="2"/>
        <v>-0.2569561989606533</v>
      </c>
      <c r="V45" s="57">
        <f t="shared" si="3"/>
        <v>6.6537500000000027E-2</v>
      </c>
      <c r="W45" s="57">
        <f t="shared" si="4"/>
        <v>1.6922666666666638E-2</v>
      </c>
      <c r="X45" s="56">
        <v>800</v>
      </c>
      <c r="Y45" s="56">
        <v>600</v>
      </c>
    </row>
    <row r="46" spans="1:25" x14ac:dyDescent="0.25">
      <c r="A46" s="9" t="s">
        <v>40</v>
      </c>
      <c r="B46" s="9"/>
      <c r="C46" s="17">
        <v>535.72</v>
      </c>
      <c r="D46" s="18">
        <v>33.548000000000002</v>
      </c>
      <c r="E46" s="18">
        <v>38.442999999999998</v>
      </c>
      <c r="F46" s="18">
        <v>37.040999999999997</v>
      </c>
      <c r="G46" s="18">
        <v>30.56</v>
      </c>
      <c r="H46" s="18">
        <f t="shared" si="0"/>
        <v>34.596499999999999</v>
      </c>
      <c r="I46" s="5"/>
      <c r="J46" s="17">
        <v>405.71519999999998</v>
      </c>
      <c r="K46" s="18">
        <v>33.000799999999998</v>
      </c>
      <c r="L46" s="18">
        <v>39.523699999999998</v>
      </c>
      <c r="M46" s="18">
        <v>37.866100000000003</v>
      </c>
      <c r="N46" s="18">
        <v>23.523900000000001</v>
      </c>
      <c r="O46" s="18">
        <f t="shared" si="1"/>
        <v>34.424324999999996</v>
      </c>
      <c r="P46" s="7"/>
      <c r="Q46" s="10"/>
      <c r="R46" s="11"/>
      <c r="S46" s="11"/>
      <c r="T46" s="26"/>
      <c r="U46" s="28">
        <f t="shared" si="2"/>
        <v>-0.23023887434554968</v>
      </c>
      <c r="V46" s="57">
        <f t="shared" si="3"/>
        <v>7.1440000000000059E-2</v>
      </c>
      <c r="W46" s="57">
        <f t="shared" si="4"/>
        <v>1.4287999999999954E-2</v>
      </c>
      <c r="X46" s="56">
        <v>500</v>
      </c>
      <c r="Y46" s="56">
        <v>400</v>
      </c>
    </row>
    <row r="47" spans="1:25" x14ac:dyDescent="0.25">
      <c r="B47" s="9"/>
      <c r="C47" s="17">
        <v>326.42</v>
      </c>
      <c r="D47" s="18">
        <v>31.19</v>
      </c>
      <c r="E47" s="18">
        <v>37.256</v>
      </c>
      <c r="F47" s="18">
        <v>35.643999999999998</v>
      </c>
      <c r="G47" s="18">
        <v>34.9</v>
      </c>
      <c r="H47" s="18">
        <f t="shared" si="0"/>
        <v>32.505000000000003</v>
      </c>
      <c r="I47" s="5"/>
      <c r="J47" s="17">
        <v>254.21039999999999</v>
      </c>
      <c r="K47" s="18">
        <v>30.965</v>
      </c>
      <c r="L47" s="18">
        <v>38.293100000000003</v>
      </c>
      <c r="M47" s="18">
        <v>36.519100000000002</v>
      </c>
      <c r="N47" s="18">
        <v>28.630299999999998</v>
      </c>
      <c r="O47" s="18">
        <f t="shared" si="1"/>
        <v>32.575274999999998</v>
      </c>
      <c r="P47" s="7"/>
      <c r="Q47" s="10"/>
      <c r="R47" s="11"/>
      <c r="S47" s="11"/>
      <c r="T47" s="26"/>
      <c r="U47" s="28">
        <f t="shared" si="2"/>
        <v>-0.17964756446991406</v>
      </c>
      <c r="V47" s="57">
        <f t="shared" si="3"/>
        <v>8.8066666666666724E-2</v>
      </c>
      <c r="W47" s="57">
        <f t="shared" si="4"/>
        <v>1.684159999999997E-2</v>
      </c>
      <c r="X47" s="56">
        <v>300</v>
      </c>
      <c r="Y47" s="56">
        <v>250</v>
      </c>
    </row>
    <row r="48" spans="1:25" ht="16.5" thickBot="1" x14ac:dyDescent="0.3">
      <c r="B48" s="12"/>
      <c r="C48" s="19">
        <v>168.5</v>
      </c>
      <c r="D48" s="20">
        <v>27.974</v>
      </c>
      <c r="E48" s="20">
        <v>35.851999999999997</v>
      </c>
      <c r="F48" s="20">
        <v>34.021999999999998</v>
      </c>
      <c r="G48" s="20">
        <v>43.44</v>
      </c>
      <c r="H48" s="20">
        <f t="shared" si="0"/>
        <v>29.714749999999999</v>
      </c>
      <c r="I48" s="5"/>
      <c r="J48" s="19">
        <v>122.7064</v>
      </c>
      <c r="K48" s="20">
        <v>28.165600000000001</v>
      </c>
      <c r="L48" s="20">
        <v>36.656500000000001</v>
      </c>
      <c r="M48" s="20">
        <v>34.581000000000003</v>
      </c>
      <c r="N48" s="20">
        <v>39.939300000000003</v>
      </c>
      <c r="O48" s="20">
        <f t="shared" si="1"/>
        <v>30.028887500000003</v>
      </c>
      <c r="P48" s="7"/>
      <c r="Q48" s="13"/>
      <c r="R48" s="14"/>
      <c r="S48" s="14"/>
      <c r="T48" s="27"/>
      <c r="U48" s="28">
        <f t="shared" si="2"/>
        <v>-8.0587016574585515E-2</v>
      </c>
      <c r="V48" s="57">
        <f t="shared" si="3"/>
        <v>0.12333333333333334</v>
      </c>
      <c r="W48" s="57">
        <f t="shared" si="4"/>
        <v>2.2553333333333352E-2</v>
      </c>
      <c r="X48" s="56">
        <v>150</v>
      </c>
      <c r="Y48" s="56">
        <v>120</v>
      </c>
    </row>
    <row r="49" spans="1:25" x14ac:dyDescent="0.25">
      <c r="B49" s="6" t="s">
        <v>54</v>
      </c>
      <c r="C49" s="15">
        <v>742.1</v>
      </c>
      <c r="D49" s="16">
        <v>32.585000000000001</v>
      </c>
      <c r="E49" s="16">
        <v>39.628999999999998</v>
      </c>
      <c r="F49" s="16">
        <v>40.344999999999999</v>
      </c>
      <c r="G49" s="16">
        <v>35.31</v>
      </c>
      <c r="H49" s="16">
        <f t="shared" si="0"/>
        <v>34.435499999999998</v>
      </c>
      <c r="I49" s="5"/>
      <c r="J49" s="15">
        <v>609.21839999999997</v>
      </c>
      <c r="K49" s="16">
        <v>33.864800000000002</v>
      </c>
      <c r="L49" s="16">
        <v>41.916400000000003</v>
      </c>
      <c r="M49" s="16">
        <v>42.868400000000001</v>
      </c>
      <c r="N49" s="16">
        <v>23.3781</v>
      </c>
      <c r="O49" s="16">
        <f t="shared" si="1"/>
        <v>35.996700000000004</v>
      </c>
      <c r="P49" s="7"/>
      <c r="Q49" s="8">
        <f>bdrate(C49:C52,D49:D52,J49:J52,K49:K52)</f>
        <v>-0.49144597560157</v>
      </c>
      <c r="R49" s="8">
        <f>bdrate(C49:C52,E49:E52,J49:J52,L49:L52)</f>
        <v>-0.72987462126744085</v>
      </c>
      <c r="S49" s="8">
        <f>bdrate(C49:C52,F49:F52,J49:J52,M49:M52)</f>
        <v>-0.74005570650849173</v>
      </c>
      <c r="T49" s="25">
        <f>bdrate(C49:C52,H49:H52,J49:J52,O49:O52)</f>
        <v>-0.53496835353216743</v>
      </c>
      <c r="U49" s="28">
        <f t="shared" si="2"/>
        <v>-0.33791843670348348</v>
      </c>
      <c r="V49" s="57">
        <f t="shared" si="3"/>
        <v>7.2374999999999967E-2</v>
      </c>
      <c r="W49" s="57">
        <f t="shared" si="4"/>
        <v>1.5363999999999958E-2</v>
      </c>
      <c r="X49" s="56">
        <v>800</v>
      </c>
      <c r="Y49" s="56">
        <v>600</v>
      </c>
    </row>
    <row r="50" spans="1:25" x14ac:dyDescent="0.25">
      <c r="B50" s="9"/>
      <c r="C50" s="17">
        <v>458</v>
      </c>
      <c r="D50" s="18">
        <v>30.876000000000001</v>
      </c>
      <c r="E50" s="18">
        <v>39.08</v>
      </c>
      <c r="F50" s="18">
        <v>39.576999999999998</v>
      </c>
      <c r="G50" s="18">
        <v>39.840000000000003</v>
      </c>
      <c r="H50" s="18">
        <f t="shared" si="0"/>
        <v>32.989125000000001</v>
      </c>
      <c r="I50" s="5"/>
      <c r="J50" s="17">
        <v>405.06799999999998</v>
      </c>
      <c r="K50" s="18">
        <v>32.6158</v>
      </c>
      <c r="L50" s="18">
        <v>41.075800000000001</v>
      </c>
      <c r="M50" s="18">
        <v>41.966200000000001</v>
      </c>
      <c r="N50" s="18">
        <v>26.801300000000001</v>
      </c>
      <c r="O50" s="18">
        <f t="shared" si="1"/>
        <v>34.842100000000002</v>
      </c>
      <c r="P50" s="7"/>
      <c r="Q50" s="10"/>
      <c r="R50" s="11"/>
      <c r="S50" s="11"/>
      <c r="T50" s="26"/>
      <c r="U50" s="28">
        <f t="shared" si="2"/>
        <v>-0.32727660642570283</v>
      </c>
      <c r="V50" s="57">
        <f t="shared" si="3"/>
        <v>8.4000000000000005E-2</v>
      </c>
      <c r="W50" s="57">
        <f t="shared" si="4"/>
        <v>1.2669999999999959E-2</v>
      </c>
      <c r="X50" s="56">
        <v>500</v>
      </c>
      <c r="Y50" s="56">
        <v>400</v>
      </c>
    </row>
    <row r="51" spans="1:25" x14ac:dyDescent="0.25">
      <c r="B51" s="9"/>
      <c r="C51" s="17">
        <v>272.37</v>
      </c>
      <c r="D51" s="18">
        <v>29.088000000000001</v>
      </c>
      <c r="E51" s="18">
        <v>38.555</v>
      </c>
      <c r="F51" s="18">
        <v>38.875999999999998</v>
      </c>
      <c r="G51" s="18">
        <v>44.63</v>
      </c>
      <c r="H51" s="18">
        <f t="shared" si="0"/>
        <v>31.494875000000004</v>
      </c>
      <c r="I51" s="5"/>
      <c r="J51" s="17">
        <v>252.33760000000001</v>
      </c>
      <c r="K51" s="18">
        <v>31.1465</v>
      </c>
      <c r="L51" s="18">
        <v>40.1357</v>
      </c>
      <c r="M51" s="18">
        <v>40.949199999999998</v>
      </c>
      <c r="N51" s="18">
        <v>31.791399999999999</v>
      </c>
      <c r="O51" s="18">
        <f t="shared" si="1"/>
        <v>33.495487500000003</v>
      </c>
      <c r="P51" s="7"/>
      <c r="Q51" s="10"/>
      <c r="R51" s="11"/>
      <c r="S51" s="11"/>
      <c r="T51" s="26"/>
      <c r="U51" s="28">
        <f t="shared" si="2"/>
        <v>-0.2876674882366122</v>
      </c>
      <c r="V51" s="57">
        <f t="shared" si="3"/>
        <v>9.2099999999999987E-2</v>
      </c>
      <c r="W51" s="57">
        <f t="shared" si="4"/>
        <v>9.3504000000000365E-3</v>
      </c>
      <c r="X51" s="56">
        <v>300</v>
      </c>
      <c r="Y51" s="56">
        <v>250</v>
      </c>
    </row>
    <row r="52" spans="1:25" ht="16.5" thickBot="1" x14ac:dyDescent="0.3">
      <c r="B52" s="12"/>
      <c r="C52" s="19">
        <v>134.77000000000001</v>
      </c>
      <c r="D52" s="20">
        <v>26.55</v>
      </c>
      <c r="E52" s="20">
        <v>37.843000000000004</v>
      </c>
      <c r="F52" s="20">
        <v>38.067</v>
      </c>
      <c r="G52" s="20">
        <v>50.37</v>
      </c>
      <c r="H52" s="20">
        <f t="shared" si="0"/>
        <v>29.401250000000005</v>
      </c>
      <c r="I52" s="5"/>
      <c r="J52" s="19">
        <v>121.2336</v>
      </c>
      <c r="K52" s="20">
        <v>28.7254</v>
      </c>
      <c r="L52" s="20">
        <v>38.9788</v>
      </c>
      <c r="M52" s="20">
        <v>39.537100000000002</v>
      </c>
      <c r="N52" s="20">
        <v>43.314999999999998</v>
      </c>
      <c r="O52" s="20">
        <f t="shared" si="1"/>
        <v>31.358537500000001</v>
      </c>
      <c r="P52" s="7"/>
      <c r="Q52" s="13"/>
      <c r="R52" s="14"/>
      <c r="S52" s="14"/>
      <c r="T52" s="27"/>
      <c r="U52" s="28">
        <f t="shared" si="2"/>
        <v>-0.14006352987889617</v>
      </c>
      <c r="V52" s="57">
        <f t="shared" si="3"/>
        <v>0.10153333333333327</v>
      </c>
      <c r="W52" s="57">
        <f t="shared" si="4"/>
        <v>1.0279999999999963E-2</v>
      </c>
      <c r="X52" s="56">
        <v>150</v>
      </c>
      <c r="Y52" s="56">
        <v>120</v>
      </c>
    </row>
    <row r="53" spans="1:25" x14ac:dyDescent="0.25">
      <c r="B53" s="6" t="s">
        <v>55</v>
      </c>
      <c r="C53" s="29">
        <v>828.78</v>
      </c>
      <c r="D53" s="30">
        <v>33.807000000000002</v>
      </c>
      <c r="E53" s="30">
        <v>37.325000000000003</v>
      </c>
      <c r="F53" s="30">
        <v>37.793999999999997</v>
      </c>
      <c r="G53" s="16">
        <v>30.07</v>
      </c>
      <c r="H53" s="16">
        <f t="shared" si="0"/>
        <v>34.745125000000002</v>
      </c>
      <c r="I53" s="5"/>
      <c r="J53" s="29">
        <v>630.00879999999995</v>
      </c>
      <c r="K53" s="30">
        <v>33.297899999999998</v>
      </c>
      <c r="L53" s="30">
        <v>38.997500000000002</v>
      </c>
      <c r="M53" s="30">
        <v>39.834899999999998</v>
      </c>
      <c r="N53" s="16">
        <v>22.684999999999999</v>
      </c>
      <c r="O53" s="16">
        <f t="shared" si="1"/>
        <v>34.827475</v>
      </c>
      <c r="P53" s="7"/>
      <c r="Q53" s="8">
        <f>bdrate(C53:C56,D53:D56,J53:J56,K53:K56)</f>
        <v>-0.21454173663741605</v>
      </c>
      <c r="R53" s="8">
        <f>bdrate(C53:C56,E53:E56,J53:J56,L53:L56)</f>
        <v>-0.63880178263450016</v>
      </c>
      <c r="S53" s="8">
        <f>bdrate(C53:C56,F53:F56,J53:J56,M53:M56)</f>
        <v>-0.67072667685259924</v>
      </c>
      <c r="T53" s="25">
        <f>bdrate(C53:C56,H53:H56,J53:J56,O53:O56)</f>
        <v>-0.30874478794981641</v>
      </c>
      <c r="U53" s="28">
        <f t="shared" si="2"/>
        <v>-0.24559361489857004</v>
      </c>
      <c r="V53" s="57">
        <f t="shared" si="3"/>
        <v>3.5974999999999965E-2</v>
      </c>
      <c r="W53" s="57">
        <f t="shared" si="4"/>
        <v>5.0014666666666582E-2</v>
      </c>
      <c r="X53" s="56">
        <v>800</v>
      </c>
      <c r="Y53" s="56">
        <v>600</v>
      </c>
    </row>
    <row r="54" spans="1:25" x14ac:dyDescent="0.25">
      <c r="B54" s="9"/>
      <c r="C54" s="31">
        <v>516.01</v>
      </c>
      <c r="D54" s="32">
        <v>31.829000000000001</v>
      </c>
      <c r="E54" s="32">
        <v>36.110999999999997</v>
      </c>
      <c r="F54" s="32">
        <v>36.597000000000001</v>
      </c>
      <c r="G54" s="18">
        <v>33.380000000000003</v>
      </c>
      <c r="H54" s="18">
        <f t="shared" si="0"/>
        <v>32.960249999999995</v>
      </c>
      <c r="I54" s="5"/>
      <c r="J54" s="31">
        <v>420.23039999999997</v>
      </c>
      <c r="K54" s="32">
        <v>31.7654</v>
      </c>
      <c r="L54" s="32">
        <v>37.968000000000004</v>
      </c>
      <c r="M54" s="32">
        <v>38.706200000000003</v>
      </c>
      <c r="N54" s="18">
        <v>25.477699999999999</v>
      </c>
      <c r="O54" s="18">
        <f t="shared" si="1"/>
        <v>33.408325000000005</v>
      </c>
      <c r="P54" s="7"/>
      <c r="Q54" s="10"/>
      <c r="R54" s="11"/>
      <c r="S54" s="11"/>
      <c r="T54" s="26"/>
      <c r="U54" s="28">
        <f t="shared" si="2"/>
        <v>-0.2367375674056322</v>
      </c>
      <c r="V54" s="57">
        <f t="shared" si="3"/>
        <v>3.2019999999999979E-2</v>
      </c>
      <c r="W54" s="57">
        <f t="shared" si="4"/>
        <v>5.0575999999999934E-2</v>
      </c>
      <c r="X54" s="56">
        <v>500</v>
      </c>
      <c r="Y54" s="56">
        <v>400</v>
      </c>
    </row>
    <row r="55" spans="1:25" x14ac:dyDescent="0.25">
      <c r="B55" s="9"/>
      <c r="C55" s="31">
        <v>307.42</v>
      </c>
      <c r="D55" s="32">
        <v>29.806999999999999</v>
      </c>
      <c r="E55" s="32">
        <v>35.136000000000003</v>
      </c>
      <c r="F55" s="32">
        <v>35.619</v>
      </c>
      <c r="G55" s="18">
        <v>37.43</v>
      </c>
      <c r="H55" s="18">
        <f t="shared" si="0"/>
        <v>31.199624999999997</v>
      </c>
      <c r="I55" s="5"/>
      <c r="J55" s="31">
        <v>262.50400000000002</v>
      </c>
      <c r="K55" s="32">
        <v>30.183599999999998</v>
      </c>
      <c r="L55" s="32">
        <v>36.872100000000003</v>
      </c>
      <c r="M55" s="32">
        <v>37.567500000000003</v>
      </c>
      <c r="N55" s="18">
        <v>29.678899999999999</v>
      </c>
      <c r="O55" s="18">
        <f t="shared" si="1"/>
        <v>31.94265</v>
      </c>
      <c r="P55" s="7"/>
      <c r="Q55" s="10"/>
      <c r="R55" s="11"/>
      <c r="S55" s="11"/>
      <c r="T55" s="26"/>
      <c r="U55" s="28">
        <f t="shared" si="2"/>
        <v>-0.20708255410098855</v>
      </c>
      <c r="V55" s="57">
        <f t="shared" si="3"/>
        <v>2.4733333333333385E-2</v>
      </c>
      <c r="W55" s="57">
        <f t="shared" si="4"/>
        <v>5.0016000000000074E-2</v>
      </c>
      <c r="X55" s="56">
        <v>300</v>
      </c>
      <c r="Y55" s="56">
        <v>250</v>
      </c>
    </row>
    <row r="56" spans="1:25" ht="16.5" thickBot="1" x14ac:dyDescent="0.3">
      <c r="B56" s="12"/>
      <c r="C56" s="33">
        <v>150.83000000000001</v>
      </c>
      <c r="D56" s="34">
        <v>27.295999999999999</v>
      </c>
      <c r="E56" s="34">
        <v>34.03</v>
      </c>
      <c r="F56" s="34">
        <v>34.58</v>
      </c>
      <c r="G56" s="20">
        <v>45.57</v>
      </c>
      <c r="H56" s="20">
        <f t="shared" si="0"/>
        <v>29.048250000000003</v>
      </c>
      <c r="I56" s="5"/>
      <c r="J56" s="33">
        <v>125.4144</v>
      </c>
      <c r="K56" s="34">
        <v>27.814699999999998</v>
      </c>
      <c r="L56" s="34">
        <v>35.390799999999999</v>
      </c>
      <c r="M56" s="34">
        <v>36.045000000000002</v>
      </c>
      <c r="N56" s="20">
        <v>38.856099999999998</v>
      </c>
      <c r="O56" s="20">
        <f t="shared" si="1"/>
        <v>29.790500000000002</v>
      </c>
      <c r="P56" s="7"/>
      <c r="Q56" s="13"/>
      <c r="R56" s="14"/>
      <c r="S56" s="14"/>
      <c r="T56" s="27"/>
      <c r="U56" s="28">
        <f t="shared" si="2"/>
        <v>-0.14733157779240733</v>
      </c>
      <c r="V56" s="57">
        <f t="shared" si="3"/>
        <v>5.5333333333334169E-3</v>
      </c>
      <c r="W56" s="57">
        <f t="shared" si="4"/>
        <v>4.5120000000000007E-2</v>
      </c>
      <c r="X56" s="56">
        <v>150</v>
      </c>
      <c r="Y56" s="56">
        <v>120</v>
      </c>
    </row>
    <row r="57" spans="1:25" x14ac:dyDescent="0.25">
      <c r="B57" s="6" t="s">
        <v>56</v>
      </c>
      <c r="C57" s="15">
        <v>763.96</v>
      </c>
      <c r="D57" s="16">
        <v>35.576999999999998</v>
      </c>
      <c r="E57" s="16">
        <v>37.773000000000003</v>
      </c>
      <c r="F57" s="16">
        <v>38.908999999999999</v>
      </c>
      <c r="G57" s="16">
        <v>20.91</v>
      </c>
      <c r="H57" s="16">
        <f t="shared" si="0"/>
        <v>36.268000000000001</v>
      </c>
      <c r="I57" s="5"/>
      <c r="J57" s="15">
        <v>610.38639999999998</v>
      </c>
      <c r="K57" s="16">
        <v>34.3048</v>
      </c>
      <c r="L57" s="16">
        <v>38.669400000000003</v>
      </c>
      <c r="M57" s="16">
        <v>39.813600000000001</v>
      </c>
      <c r="N57" s="16">
        <v>14.367800000000001</v>
      </c>
      <c r="O57" s="16">
        <f t="shared" si="1"/>
        <v>35.538975000000001</v>
      </c>
      <c r="P57" s="7"/>
      <c r="Q57" s="8">
        <f>bdrate(C57:C60,D57:D60,J57:J60,K57:K60)</f>
        <v>-4.3221421095185009E-2</v>
      </c>
      <c r="R57" s="8">
        <f>bdrate(C57:C60,E57:E60,J57:J60,L57:L60)</f>
        <v>-0.43058021058204587</v>
      </c>
      <c r="S57" s="8">
        <f>bdrate(C57:C60,F57:F60,J57:J60,M57:M60)</f>
        <v>-0.43204876876627274</v>
      </c>
      <c r="T57" s="25">
        <f>bdrate(C57:C60,H57:H60,J57:J60,O57:O60)</f>
        <v>-0.11672197470777457</v>
      </c>
      <c r="U57" s="28">
        <f t="shared" si="2"/>
        <v>-0.31287422285987565</v>
      </c>
      <c r="V57" s="57">
        <f t="shared" si="3"/>
        <v>4.5049999999999951E-2</v>
      </c>
      <c r="W57" s="57">
        <f t="shared" si="4"/>
        <v>1.7310666666666634E-2</v>
      </c>
      <c r="X57" s="56">
        <v>800</v>
      </c>
      <c r="Y57" s="56">
        <v>600</v>
      </c>
    </row>
    <row r="58" spans="1:25" x14ac:dyDescent="0.25">
      <c r="B58" s="9"/>
      <c r="C58" s="17">
        <v>480.77</v>
      </c>
      <c r="D58" s="18">
        <v>33.256999999999998</v>
      </c>
      <c r="E58" s="18">
        <v>36.442999999999998</v>
      </c>
      <c r="F58" s="18">
        <v>37.595999999999997</v>
      </c>
      <c r="G58" s="18">
        <v>23.23</v>
      </c>
      <c r="H58" s="18">
        <f t="shared" si="0"/>
        <v>34.197624999999995</v>
      </c>
      <c r="I58" s="5"/>
      <c r="J58" s="17">
        <v>407.34480000000002</v>
      </c>
      <c r="K58" s="18">
        <v>32.438200000000002</v>
      </c>
      <c r="L58" s="18">
        <v>37.485599999999998</v>
      </c>
      <c r="M58" s="18">
        <v>38.600700000000003</v>
      </c>
      <c r="N58" s="18">
        <v>17.059000000000001</v>
      </c>
      <c r="O58" s="18">
        <f t="shared" si="1"/>
        <v>33.839437500000003</v>
      </c>
      <c r="P58" s="7"/>
      <c r="Q58" s="10"/>
      <c r="R58" s="11"/>
      <c r="S58" s="11"/>
      <c r="T58" s="26"/>
      <c r="U58" s="28">
        <f t="shared" si="2"/>
        <v>-0.26564786913473953</v>
      </c>
      <c r="V58" s="57">
        <f t="shared" si="3"/>
        <v>3.8460000000000036E-2</v>
      </c>
      <c r="W58" s="57">
        <f t="shared" si="4"/>
        <v>1.8362000000000052E-2</v>
      </c>
      <c r="X58" s="56">
        <v>500</v>
      </c>
      <c r="Y58" s="56">
        <v>400</v>
      </c>
    </row>
    <row r="59" spans="1:25" x14ac:dyDescent="0.25">
      <c r="B59" s="9"/>
      <c r="C59" s="17">
        <v>290.02999999999997</v>
      </c>
      <c r="D59" s="18">
        <v>30.934999999999999</v>
      </c>
      <c r="E59" s="18">
        <v>35.231999999999999</v>
      </c>
      <c r="F59" s="18">
        <v>36.326999999999998</v>
      </c>
      <c r="G59" s="18">
        <v>26.63</v>
      </c>
      <c r="H59" s="18">
        <f t="shared" si="0"/>
        <v>32.146124999999998</v>
      </c>
      <c r="I59" s="5"/>
      <c r="J59" s="17">
        <v>254.97040000000001</v>
      </c>
      <c r="K59" s="18">
        <v>30.561699999999998</v>
      </c>
      <c r="L59" s="18">
        <v>36.224699999999999</v>
      </c>
      <c r="M59" s="18">
        <v>37.382100000000001</v>
      </c>
      <c r="N59" s="18">
        <v>20.628499999999999</v>
      </c>
      <c r="O59" s="18">
        <f t="shared" si="1"/>
        <v>32.122124999999997</v>
      </c>
      <c r="P59" s="7"/>
      <c r="Q59" s="10"/>
      <c r="R59" s="11"/>
      <c r="S59" s="11"/>
      <c r="T59" s="26"/>
      <c r="U59" s="28">
        <f t="shared" si="2"/>
        <v>-0.22536612842658657</v>
      </c>
      <c r="V59" s="57">
        <f t="shared" si="3"/>
        <v>3.3233333333333427E-2</v>
      </c>
      <c r="W59" s="57">
        <f t="shared" si="4"/>
        <v>1.9881600000000048E-2</v>
      </c>
      <c r="X59" s="56">
        <v>300</v>
      </c>
      <c r="Y59" s="56">
        <v>250</v>
      </c>
    </row>
    <row r="60" spans="1:25" ht="16.5" thickBot="1" x14ac:dyDescent="0.3">
      <c r="B60" s="12"/>
      <c r="C60" s="19">
        <v>144.77000000000001</v>
      </c>
      <c r="D60" s="20">
        <v>27.896999999999998</v>
      </c>
      <c r="E60" s="20">
        <v>33.795000000000002</v>
      </c>
      <c r="F60" s="20">
        <v>34.805999999999997</v>
      </c>
      <c r="G60" s="20">
        <v>34.58</v>
      </c>
      <c r="H60" s="20">
        <f t="shared" si="0"/>
        <v>29.497875000000001</v>
      </c>
      <c r="I60" s="5"/>
      <c r="J60" s="19">
        <v>123.85680000000001</v>
      </c>
      <c r="K60" s="20">
        <v>28.076000000000001</v>
      </c>
      <c r="L60" s="20">
        <v>34.776000000000003</v>
      </c>
      <c r="M60" s="20">
        <v>35.871299999999998</v>
      </c>
      <c r="N60" s="20">
        <v>28.710899999999999</v>
      </c>
      <c r="O60" s="20">
        <f t="shared" si="1"/>
        <v>29.887912500000002</v>
      </c>
      <c r="P60" s="7"/>
      <c r="Q60" s="13"/>
      <c r="R60" s="14"/>
      <c r="S60" s="14"/>
      <c r="T60" s="27"/>
      <c r="U60" s="28">
        <f t="shared" si="2"/>
        <v>-0.16972527472527471</v>
      </c>
      <c r="V60" s="57">
        <f t="shared" si="3"/>
        <v>3.4866666666666601E-2</v>
      </c>
      <c r="W60" s="57">
        <f t="shared" si="4"/>
        <v>3.2140000000000057E-2</v>
      </c>
      <c r="X60" s="56">
        <v>150</v>
      </c>
      <c r="Y60" s="56">
        <v>120</v>
      </c>
    </row>
    <row r="61" spans="1:25" x14ac:dyDescent="0.25">
      <c r="A61" s="6" t="s">
        <v>41</v>
      </c>
      <c r="B61" s="6" t="s">
        <v>57</v>
      </c>
      <c r="C61" s="15">
        <v>1914.02</v>
      </c>
      <c r="D61" s="16">
        <v>41.392000000000003</v>
      </c>
      <c r="E61" s="16">
        <v>44.957000000000001</v>
      </c>
      <c r="F61" s="16">
        <v>46.039000000000001</v>
      </c>
      <c r="G61" s="16">
        <v>6.21</v>
      </c>
      <c r="H61" s="16">
        <f t="shared" si="0"/>
        <v>42.418500000000002</v>
      </c>
      <c r="I61" s="5"/>
      <c r="J61" s="15">
        <v>1558.0039999999999</v>
      </c>
      <c r="K61" s="16">
        <v>41.698999999999998</v>
      </c>
      <c r="L61" s="16">
        <v>46.429900000000004</v>
      </c>
      <c r="M61" s="16">
        <v>47.712600000000002</v>
      </c>
      <c r="N61" s="16">
        <v>7.6985999999999999</v>
      </c>
      <c r="O61" s="16">
        <f t="shared" si="1"/>
        <v>43.0420625</v>
      </c>
      <c r="P61" s="7"/>
      <c r="Q61" s="8">
        <f>bdrate(C61:C64,D61:D64,J61:J64,K61:K64)</f>
        <v>-0.37031020768768375</v>
      </c>
      <c r="R61" s="8">
        <f>bdrate(C61:C64,E61:E64,J61:J64,L61:L64)</f>
        <v>-0.59660479089005647</v>
      </c>
      <c r="S61" s="8">
        <f>bdrate(C61:C64,F61:F64,J61:J64,M61:M64)</f>
        <v>-0.60306576198324624</v>
      </c>
      <c r="T61" s="25">
        <f>bdrate(C61:C64,H61:H64,J61:J64,O61:O64)</f>
        <v>-0.42431730884588814</v>
      </c>
      <c r="U61" s="28">
        <f t="shared" si="2"/>
        <v>0.23971014492753623</v>
      </c>
      <c r="V61" s="57">
        <f t="shared" si="3"/>
        <v>8.8561904761904772E-2</v>
      </c>
      <c r="W61" s="57">
        <f t="shared" si="4"/>
        <v>3.8669333333333271E-2</v>
      </c>
      <c r="X61" s="56">
        <v>2100</v>
      </c>
      <c r="Y61" s="56">
        <v>1500</v>
      </c>
    </row>
    <row r="62" spans="1:25" x14ac:dyDescent="0.25">
      <c r="A62" s="9" t="s">
        <v>42</v>
      </c>
      <c r="B62" s="9"/>
      <c r="C62" s="17">
        <v>1250.1199999999999</v>
      </c>
      <c r="D62" s="18">
        <v>40.15</v>
      </c>
      <c r="E62" s="18">
        <v>43.918999999999997</v>
      </c>
      <c r="F62" s="18">
        <v>45.018999999999998</v>
      </c>
      <c r="G62" s="18">
        <v>6.68</v>
      </c>
      <c r="H62" s="18">
        <f t="shared" si="0"/>
        <v>41.229749999999996</v>
      </c>
      <c r="I62" s="5"/>
      <c r="J62" s="17">
        <v>979.48239999999998</v>
      </c>
      <c r="K62" s="18">
        <v>40.633400000000002</v>
      </c>
      <c r="L62" s="18">
        <v>45.599600000000002</v>
      </c>
      <c r="M62" s="18">
        <v>46.858699999999999</v>
      </c>
      <c r="N62" s="18">
        <v>8.9479000000000006</v>
      </c>
      <c r="O62" s="18">
        <f t="shared" si="1"/>
        <v>42.032337500000004</v>
      </c>
      <c r="P62" s="7"/>
      <c r="Q62" s="10"/>
      <c r="R62" s="11"/>
      <c r="S62" s="11"/>
      <c r="T62" s="26"/>
      <c r="U62" s="28">
        <f t="shared" si="2"/>
        <v>0.33950598802395227</v>
      </c>
      <c r="V62" s="57">
        <f t="shared" si="3"/>
        <v>0.10705714285714293</v>
      </c>
      <c r="W62" s="57">
        <f t="shared" si="4"/>
        <v>2.0517600000000014E-2</v>
      </c>
      <c r="X62" s="56">
        <v>1400</v>
      </c>
      <c r="Y62" s="56">
        <v>1000</v>
      </c>
    </row>
    <row r="63" spans="1:25" x14ac:dyDescent="0.25">
      <c r="B63" s="9"/>
      <c r="C63" s="17">
        <v>742.48</v>
      </c>
      <c r="D63" s="18">
        <v>37.899000000000001</v>
      </c>
      <c r="E63" s="18">
        <v>42.265000000000001</v>
      </c>
      <c r="F63" s="18">
        <v>43.398000000000003</v>
      </c>
      <c r="G63" s="18">
        <v>7.46</v>
      </c>
      <c r="H63" s="18">
        <f t="shared" si="0"/>
        <v>39.132125000000002</v>
      </c>
      <c r="I63" s="5"/>
      <c r="J63" s="17">
        <v>564.07360000000006</v>
      </c>
      <c r="K63" s="18">
        <v>38.727200000000003</v>
      </c>
      <c r="L63" s="18">
        <v>44.116399999999999</v>
      </c>
      <c r="M63" s="18">
        <v>45.2849</v>
      </c>
      <c r="N63" s="18">
        <v>11.460900000000001</v>
      </c>
      <c r="O63" s="18">
        <f t="shared" si="1"/>
        <v>40.2205625</v>
      </c>
      <c r="P63" s="7"/>
      <c r="Q63" s="10"/>
      <c r="R63" s="11"/>
      <c r="S63" s="11"/>
      <c r="T63" s="26"/>
      <c r="U63" s="28">
        <f t="shared" si="2"/>
        <v>0.53631367292225207</v>
      </c>
      <c r="V63" s="57">
        <f t="shared" si="3"/>
        <v>0.12649411764705881</v>
      </c>
      <c r="W63" s="57">
        <f t="shared" si="4"/>
        <v>5.9877333333333241E-2</v>
      </c>
      <c r="X63" s="56">
        <v>850</v>
      </c>
      <c r="Y63" s="56">
        <v>600</v>
      </c>
    </row>
    <row r="64" spans="1:25" ht="16.5" thickBot="1" x14ac:dyDescent="0.3">
      <c r="B64" s="12"/>
      <c r="C64" s="19">
        <v>341.97</v>
      </c>
      <c r="D64" s="20">
        <v>33.470999999999997</v>
      </c>
      <c r="E64" s="20">
        <v>40.009</v>
      </c>
      <c r="F64" s="20">
        <v>41.03</v>
      </c>
      <c r="G64" s="20">
        <v>8.48</v>
      </c>
      <c r="H64" s="20">
        <f t="shared" si="0"/>
        <v>35.233125000000001</v>
      </c>
      <c r="I64" s="5"/>
      <c r="J64" s="19">
        <v>279.65679999999998</v>
      </c>
      <c r="K64" s="20">
        <v>35.769399999999997</v>
      </c>
      <c r="L64" s="20">
        <v>42.287799999999997</v>
      </c>
      <c r="M64" s="20">
        <v>43.404200000000003</v>
      </c>
      <c r="N64" s="20">
        <v>14.9231</v>
      </c>
      <c r="O64" s="20">
        <f t="shared" si="1"/>
        <v>37.538550000000001</v>
      </c>
      <c r="P64" s="7"/>
      <c r="Q64" s="13"/>
      <c r="R64" s="14"/>
      <c r="S64" s="14"/>
      <c r="T64" s="27"/>
      <c r="U64" s="28">
        <f t="shared" si="2"/>
        <v>0.75979952830188668</v>
      </c>
      <c r="V64" s="57">
        <f t="shared" si="3"/>
        <v>0.14507499999999993</v>
      </c>
      <c r="W64" s="57">
        <f t="shared" si="4"/>
        <v>6.7810666666666741E-2</v>
      </c>
      <c r="X64" s="56">
        <v>400</v>
      </c>
      <c r="Y64" s="56">
        <v>300</v>
      </c>
    </row>
    <row r="65" spans="1:25" x14ac:dyDescent="0.25">
      <c r="B65" s="6" t="s">
        <v>58</v>
      </c>
      <c r="C65" s="15">
        <v>1980.48</v>
      </c>
      <c r="D65" s="16">
        <v>42.351999999999997</v>
      </c>
      <c r="E65" s="16">
        <v>46.912999999999997</v>
      </c>
      <c r="F65" s="16">
        <v>47.386000000000003</v>
      </c>
      <c r="G65" s="16">
        <v>5.87</v>
      </c>
      <c r="H65" s="16">
        <f t="shared" si="0"/>
        <v>43.551375</v>
      </c>
      <c r="I65" s="5"/>
      <c r="J65" s="15">
        <v>1538.048</v>
      </c>
      <c r="K65" s="16">
        <v>42.782299999999999</v>
      </c>
      <c r="L65" s="16">
        <v>48.238700000000001</v>
      </c>
      <c r="M65" s="16">
        <v>48.948500000000003</v>
      </c>
      <c r="N65" s="16">
        <v>8.1836000000000002</v>
      </c>
      <c r="O65" s="16">
        <f t="shared" si="1"/>
        <v>44.235125000000004</v>
      </c>
      <c r="P65" s="7"/>
      <c r="Q65" s="8">
        <f>bdrate(C65:C68,D65:D68,J65:J68,K65:K68)</f>
        <v>-0.50958268546134411</v>
      </c>
      <c r="R65" s="8">
        <f>bdrate(C65:C68,E65:E68,J65:J68,L65:L68)</f>
        <v>-0.74034485829279495</v>
      </c>
      <c r="S65" s="8">
        <f>bdrate(C65:C68,F65:F68,J65:J68,M65:M68)</f>
        <v>-0.7668422261090817</v>
      </c>
      <c r="T65" s="25">
        <f>bdrate(C65:C68,H65:H68,J65:J68,O65:O68)</f>
        <v>-0.58897074366082081</v>
      </c>
      <c r="U65" s="28">
        <f t="shared" ref="U65:U72" si="5">(N65-G65)/G65</f>
        <v>0.3941396933560477</v>
      </c>
      <c r="V65" s="57">
        <f t="shared" si="3"/>
        <v>5.6914285714285709E-2</v>
      </c>
      <c r="W65" s="57">
        <f t="shared" ref="W65:W72" si="6">ABS(J65-Y65)/Y65</f>
        <v>2.5365333333333333E-2</v>
      </c>
      <c r="X65" s="56">
        <v>2100</v>
      </c>
      <c r="Y65" s="56">
        <v>1500</v>
      </c>
    </row>
    <row r="66" spans="1:25" x14ac:dyDescent="0.25">
      <c r="B66" s="9"/>
      <c r="C66" s="17">
        <v>1302.26</v>
      </c>
      <c r="D66" s="18">
        <v>41.694000000000003</v>
      </c>
      <c r="E66" s="18">
        <v>45.91</v>
      </c>
      <c r="F66" s="18">
        <v>46.35</v>
      </c>
      <c r="G66" s="18">
        <v>6.37</v>
      </c>
      <c r="H66" s="18">
        <f t="shared" si="0"/>
        <v>42.803000000000004</v>
      </c>
      <c r="I66" s="5"/>
      <c r="J66" s="17">
        <v>1008.8712</v>
      </c>
      <c r="K66" s="18">
        <v>42.3127</v>
      </c>
      <c r="L66" s="18">
        <v>47.7804</v>
      </c>
      <c r="M66" s="18">
        <v>48.4285</v>
      </c>
      <c r="N66" s="18">
        <v>9.7574000000000005</v>
      </c>
      <c r="O66" s="18">
        <f t="shared" si="1"/>
        <v>43.760637499999994</v>
      </c>
      <c r="P66" s="7"/>
      <c r="Q66" s="10"/>
      <c r="R66" s="11"/>
      <c r="S66" s="11"/>
      <c r="T66" s="26"/>
      <c r="U66" s="28">
        <f t="shared" si="5"/>
        <v>0.53177394034536896</v>
      </c>
      <c r="V66" s="57">
        <f t="shared" ref="V66:V72" si="7">ABS(C66-X66)/X66</f>
        <v>6.9814285714285718E-2</v>
      </c>
      <c r="W66" s="57">
        <f t="shared" si="6"/>
        <v>8.8712000000000443E-3</v>
      </c>
      <c r="X66" s="56">
        <v>1400</v>
      </c>
      <c r="Y66" s="56">
        <v>1000</v>
      </c>
    </row>
    <row r="67" spans="1:25" x14ac:dyDescent="0.25">
      <c r="B67" s="9"/>
      <c r="C67" s="17">
        <v>765.83</v>
      </c>
      <c r="D67" s="18">
        <v>40.484000000000002</v>
      </c>
      <c r="E67" s="18">
        <v>44.597000000000001</v>
      </c>
      <c r="F67" s="18">
        <v>45.170999999999999</v>
      </c>
      <c r="G67" s="18">
        <v>7.04</v>
      </c>
      <c r="H67" s="18">
        <f t="shared" si="0"/>
        <v>41.583999999999996</v>
      </c>
      <c r="I67" s="5"/>
      <c r="J67" s="17">
        <v>580.27359999999999</v>
      </c>
      <c r="K67" s="18">
        <v>41.506500000000003</v>
      </c>
      <c r="L67" s="18">
        <v>47.1113</v>
      </c>
      <c r="M67" s="18">
        <v>47.830300000000001</v>
      </c>
      <c r="N67" s="18">
        <v>12.8055</v>
      </c>
      <c r="O67" s="18">
        <f t="shared" si="1"/>
        <v>42.997575000000005</v>
      </c>
      <c r="P67" s="7"/>
      <c r="Q67" s="10"/>
      <c r="R67" s="11"/>
      <c r="S67" s="11"/>
      <c r="T67" s="26"/>
      <c r="U67" s="28">
        <f t="shared" si="5"/>
        <v>0.81896306818181819</v>
      </c>
      <c r="V67" s="57">
        <f t="shared" si="7"/>
        <v>9.9023529411764663E-2</v>
      </c>
      <c r="W67" s="57">
        <f t="shared" si="6"/>
        <v>3.2877333333333356E-2</v>
      </c>
      <c r="X67" s="56">
        <v>850</v>
      </c>
      <c r="Y67" s="56">
        <v>600</v>
      </c>
    </row>
    <row r="68" spans="1:25" ht="16.5" thickBot="1" x14ac:dyDescent="0.3">
      <c r="B68" s="12"/>
      <c r="C68" s="19">
        <v>339.37</v>
      </c>
      <c r="D68" s="20">
        <v>37.268999999999998</v>
      </c>
      <c r="E68" s="20">
        <v>42.030999999999999</v>
      </c>
      <c r="F68" s="20">
        <v>43.079000000000001</v>
      </c>
      <c r="G68" s="20">
        <v>8.1999999999999993</v>
      </c>
      <c r="H68" s="20">
        <f t="shared" si="0"/>
        <v>38.590499999999999</v>
      </c>
      <c r="I68" s="5"/>
      <c r="J68" s="19">
        <v>293.40640000000002</v>
      </c>
      <c r="K68" s="20">
        <v>39.686100000000003</v>
      </c>
      <c r="L68" s="20">
        <v>45.281300000000002</v>
      </c>
      <c r="M68" s="20">
        <v>45.926299999999998</v>
      </c>
      <c r="N68" s="20">
        <v>16.5244</v>
      </c>
      <c r="O68" s="20">
        <f t="shared" si="1"/>
        <v>41.165525000000002</v>
      </c>
      <c r="P68" s="7"/>
      <c r="Q68" s="13"/>
      <c r="R68" s="14"/>
      <c r="S68" s="14"/>
      <c r="T68" s="27"/>
      <c r="U68" s="28">
        <f t="shared" si="5"/>
        <v>1.0151707317073173</v>
      </c>
      <c r="V68" s="57">
        <f t="shared" si="7"/>
        <v>0.15157499999999999</v>
      </c>
      <c r="W68" s="57">
        <f t="shared" si="6"/>
        <v>2.1978666666666601E-2</v>
      </c>
      <c r="X68" s="56">
        <v>400</v>
      </c>
      <c r="Y68" s="56">
        <v>300</v>
      </c>
    </row>
    <row r="69" spans="1:25" x14ac:dyDescent="0.25">
      <c r="B69" s="6" t="s">
        <v>59</v>
      </c>
      <c r="C69" s="15">
        <v>2060.9899999999998</v>
      </c>
      <c r="D69" s="16">
        <v>42.459000000000003</v>
      </c>
      <c r="E69" s="16">
        <v>46.176000000000002</v>
      </c>
      <c r="F69" s="16">
        <v>46.802</v>
      </c>
      <c r="G69" s="16">
        <v>5.5</v>
      </c>
      <c r="H69" s="16">
        <f t="shared" si="0"/>
        <v>43.466500000000003</v>
      </c>
      <c r="I69" s="5"/>
      <c r="J69" s="15">
        <v>1543.1328000000001</v>
      </c>
      <c r="K69" s="16">
        <v>42.727200000000003</v>
      </c>
      <c r="L69" s="16">
        <v>47.3932</v>
      </c>
      <c r="M69" s="16">
        <v>48.307000000000002</v>
      </c>
      <c r="N69" s="16">
        <v>7.3704999999999998</v>
      </c>
      <c r="O69" s="16">
        <f t="shared" si="1"/>
        <v>44.007925</v>
      </c>
      <c r="P69" s="7"/>
      <c r="Q69" s="8">
        <f>bdrate(C69:C72,D69:D72,J69:J72,K69:K72)</f>
        <v>-0.42872292334037077</v>
      </c>
      <c r="R69" s="8">
        <f>bdrate(C69:C72,E69:E72,J69:J72,L69:L72)</f>
        <v>-0.66082741105967668</v>
      </c>
      <c r="S69" s="8">
        <f>bdrate(C69:C72,F69:F72,J69:J72,M69:M72)</f>
        <v>-0.68499958687687812</v>
      </c>
      <c r="T69" s="25">
        <f>bdrate(C69:C72,H69:H72,J69:J72,O69:O72)</f>
        <v>-0.49808626301716785</v>
      </c>
      <c r="U69" s="28">
        <f t="shared" si="5"/>
        <v>0.34009090909090905</v>
      </c>
      <c r="V69" s="57">
        <f t="shared" si="7"/>
        <v>1.8576190476190579E-2</v>
      </c>
      <c r="W69" s="57">
        <f t="shared" si="6"/>
        <v>2.8755200000000061E-2</v>
      </c>
      <c r="X69" s="56">
        <v>2100</v>
      </c>
      <c r="Y69" s="56">
        <v>1500</v>
      </c>
    </row>
    <row r="70" spans="1:25" x14ac:dyDescent="0.25">
      <c r="B70" s="9"/>
      <c r="C70" s="17">
        <v>1355.32</v>
      </c>
      <c r="D70" s="18">
        <v>41.518999999999998</v>
      </c>
      <c r="E70" s="18">
        <v>45.042000000000002</v>
      </c>
      <c r="F70" s="18">
        <v>45.723999999999997</v>
      </c>
      <c r="G70" s="18">
        <v>6.06</v>
      </c>
      <c r="H70" s="18">
        <f t="shared" si="0"/>
        <v>42.484999999999992</v>
      </c>
      <c r="I70" s="5"/>
      <c r="J70" s="17">
        <v>1006.2704</v>
      </c>
      <c r="K70" s="18">
        <v>41.944099999999999</v>
      </c>
      <c r="L70" s="18">
        <v>46.7333</v>
      </c>
      <c r="M70" s="18">
        <v>47.650799999999997</v>
      </c>
      <c r="N70" s="18">
        <v>9.0345999999999993</v>
      </c>
      <c r="O70" s="18">
        <f t="shared" si="1"/>
        <v>43.2560875</v>
      </c>
      <c r="P70" s="7"/>
      <c r="Q70" s="10"/>
      <c r="R70" s="11"/>
      <c r="S70" s="11"/>
      <c r="T70" s="26"/>
      <c r="U70" s="28">
        <f t="shared" si="5"/>
        <v>0.49085808580858081</v>
      </c>
      <c r="V70" s="57">
        <f t="shared" si="7"/>
        <v>3.1914285714285763E-2</v>
      </c>
      <c r="W70" s="57">
        <f t="shared" si="6"/>
        <v>6.2703999999999954E-3</v>
      </c>
      <c r="X70" s="56">
        <v>1400</v>
      </c>
      <c r="Y70" s="56">
        <v>1000</v>
      </c>
    </row>
    <row r="71" spans="1:25" x14ac:dyDescent="0.25">
      <c r="B71" s="9"/>
      <c r="C71" s="17">
        <v>809.16</v>
      </c>
      <c r="D71" s="18">
        <v>39.747999999999998</v>
      </c>
      <c r="E71" s="18">
        <v>43.274000000000001</v>
      </c>
      <c r="F71" s="18">
        <v>44.002000000000002</v>
      </c>
      <c r="G71" s="18">
        <v>6.76</v>
      </c>
      <c r="H71" s="18">
        <f t="shared" si="0"/>
        <v>40.720500000000001</v>
      </c>
      <c r="I71" s="5"/>
      <c r="J71" s="17">
        <v>602.13120000000004</v>
      </c>
      <c r="K71" s="18">
        <v>40.675199999999997</v>
      </c>
      <c r="L71" s="18">
        <v>45.686799999999998</v>
      </c>
      <c r="M71" s="18">
        <v>46.5871</v>
      </c>
      <c r="N71" s="18">
        <v>11.0838</v>
      </c>
      <c r="O71" s="18">
        <f t="shared" si="1"/>
        <v>42.040637500000003</v>
      </c>
      <c r="P71" s="7"/>
      <c r="Q71" s="10"/>
      <c r="R71" s="11"/>
      <c r="S71" s="11"/>
      <c r="T71" s="26"/>
      <c r="U71" s="28">
        <f t="shared" si="5"/>
        <v>0.6396153846153847</v>
      </c>
      <c r="V71" s="57">
        <f t="shared" si="7"/>
        <v>4.804705882352945E-2</v>
      </c>
      <c r="W71" s="57">
        <f t="shared" si="6"/>
        <v>3.552000000000059E-3</v>
      </c>
      <c r="X71" s="56">
        <v>850</v>
      </c>
      <c r="Y71" s="56">
        <v>600</v>
      </c>
    </row>
    <row r="72" spans="1:25" ht="16.5" thickBot="1" x14ac:dyDescent="0.3">
      <c r="B72" s="12"/>
      <c r="C72" s="19">
        <v>374.14</v>
      </c>
      <c r="D72" s="20">
        <v>36.043999999999997</v>
      </c>
      <c r="E72" s="20">
        <v>41.081000000000003</v>
      </c>
      <c r="F72" s="20">
        <v>41.616</v>
      </c>
      <c r="G72" s="20">
        <v>7.91</v>
      </c>
      <c r="H72" s="20">
        <f t="shared" si="0"/>
        <v>37.370124999999994</v>
      </c>
      <c r="I72" s="5"/>
      <c r="J72" s="19">
        <v>298.89999999999998</v>
      </c>
      <c r="K72" s="20">
        <v>38.330300000000001</v>
      </c>
      <c r="L72" s="20">
        <v>43.761699999999998</v>
      </c>
      <c r="M72" s="20">
        <v>44.607999999999997</v>
      </c>
      <c r="N72" s="20">
        <v>14.4338</v>
      </c>
      <c r="O72" s="20">
        <f t="shared" si="1"/>
        <v>39.793937500000006</v>
      </c>
      <c r="P72" s="7"/>
      <c r="Q72" s="13"/>
      <c r="R72" s="14"/>
      <c r="S72" s="14"/>
      <c r="T72" s="27"/>
      <c r="U72" s="28">
        <f t="shared" si="5"/>
        <v>0.82475347661188358</v>
      </c>
      <c r="V72" s="57">
        <f t="shared" si="7"/>
        <v>6.4650000000000041E-2</v>
      </c>
      <c r="W72" s="57">
        <f t="shared" si="6"/>
        <v>3.6666666666667425E-3</v>
      </c>
      <c r="X72" s="56">
        <v>400</v>
      </c>
      <c r="Y72" s="56">
        <v>300</v>
      </c>
    </row>
    <row r="73" spans="1:25" x14ac:dyDescent="0.25">
      <c r="A73" s="6" t="s">
        <v>80</v>
      </c>
      <c r="B73" s="6" t="s">
        <v>81</v>
      </c>
      <c r="C73" s="15">
        <v>1527.52</v>
      </c>
      <c r="D73" s="16">
        <v>40.771000000000001</v>
      </c>
      <c r="E73" s="16">
        <v>47.054000000000002</v>
      </c>
      <c r="F73" s="16">
        <v>45.691000000000003</v>
      </c>
      <c r="G73" s="16">
        <v>2.71</v>
      </c>
      <c r="H73" s="16">
        <f t="shared" ref="H73:H95" si="8">(6*D73+E73+F73)/8</f>
        <v>42.171374999999998</v>
      </c>
      <c r="I73" s="5"/>
      <c r="J73" s="15">
        <v>1001.582</v>
      </c>
      <c r="K73" s="16">
        <v>39.901299999999999</v>
      </c>
      <c r="L73" s="16">
        <v>47.000300000000003</v>
      </c>
      <c r="M73" s="16">
        <v>45.641500000000001</v>
      </c>
      <c r="N73" s="16">
        <v>3.0045000000000002</v>
      </c>
      <c r="O73" s="16">
        <f t="shared" ref="O73:O95" si="9">(6*K73+L73+M73)/8</f>
        <v>41.5062</v>
      </c>
      <c r="P73" s="7"/>
      <c r="Q73" s="8">
        <f>bdrate(C73:C76,D73:D76,J73:J76,K73:K76)</f>
        <v>-0.33855867455110189</v>
      </c>
      <c r="R73" s="8">
        <f>bdrate(C73:C76,E73:E76,J73:J76,L73:L76)</f>
        <v>-0.48443505208620741</v>
      </c>
      <c r="S73" s="8">
        <f>bdrate(C73:C76,F73:F76,J73:J76,M73:M76)</f>
        <v>-0.45875407432246096</v>
      </c>
      <c r="T73" s="25">
        <f>bdrate(C73:C76,H73:H76,J73:J76,O73:O76)</f>
        <v>-0.36468375656054253</v>
      </c>
      <c r="U73" s="28">
        <f t="shared" ref="U73:U95" si="10">(N73-G73)/G73</f>
        <v>0.10867158671586724</v>
      </c>
      <c r="V73" s="57">
        <f t="shared" ref="V73:V116" si="11">ABS(C73-X73)/X73</f>
        <v>1.8346666666666653E-2</v>
      </c>
      <c r="W73" s="57">
        <f t="shared" ref="W73:W116" si="12">ABS(J73-Y73)/Y73</f>
        <v>1.5819999999999936E-3</v>
      </c>
      <c r="X73" s="56">
        <v>1500</v>
      </c>
      <c r="Y73" s="56">
        <v>1000</v>
      </c>
    </row>
    <row r="74" spans="1:25" x14ac:dyDescent="0.25">
      <c r="A74" s="9"/>
      <c r="B74" s="9"/>
      <c r="C74" s="17">
        <v>1020.34</v>
      </c>
      <c r="D74" s="18">
        <v>39.006</v>
      </c>
      <c r="E74" s="18">
        <v>45.685000000000002</v>
      </c>
      <c r="F74" s="18">
        <v>44.350999999999999</v>
      </c>
      <c r="G74" s="18">
        <v>3.05</v>
      </c>
      <c r="H74" s="18">
        <f t="shared" si="8"/>
        <v>40.509</v>
      </c>
      <c r="I74" s="5"/>
      <c r="J74" s="17">
        <v>600.32740000000001</v>
      </c>
      <c r="K74" s="18">
        <v>38.000100000000003</v>
      </c>
      <c r="L74" s="18">
        <v>45.802999999999997</v>
      </c>
      <c r="M74" s="18">
        <v>44.367400000000004</v>
      </c>
      <c r="N74" s="18">
        <v>3.714</v>
      </c>
      <c r="O74" s="18">
        <f t="shared" si="9"/>
        <v>39.771375000000006</v>
      </c>
      <c r="P74" s="7"/>
      <c r="Q74" s="10"/>
      <c r="R74" s="11"/>
      <c r="S74" s="11"/>
      <c r="T74" s="26"/>
      <c r="U74" s="28">
        <f t="shared" si="10"/>
        <v>0.21770491803278694</v>
      </c>
      <c r="V74" s="57">
        <f t="shared" si="11"/>
        <v>2.0340000000000032E-2</v>
      </c>
      <c r="W74" s="57">
        <f t="shared" si="12"/>
        <v>5.4566666666668571E-4</v>
      </c>
      <c r="X74" s="56">
        <v>1000</v>
      </c>
      <c r="Y74" s="56">
        <v>600</v>
      </c>
    </row>
    <row r="75" spans="1:25" x14ac:dyDescent="0.25">
      <c r="B75" s="9"/>
      <c r="C75" s="17">
        <v>613.26</v>
      </c>
      <c r="D75" s="18">
        <v>36.44</v>
      </c>
      <c r="E75" s="18">
        <v>43.857999999999997</v>
      </c>
      <c r="F75" s="18">
        <v>42.59</v>
      </c>
      <c r="G75" s="18">
        <v>3.58</v>
      </c>
      <c r="H75" s="18">
        <f t="shared" si="8"/>
        <v>38.135999999999996</v>
      </c>
      <c r="I75" s="5"/>
      <c r="J75" s="17">
        <v>296.57769999999999</v>
      </c>
      <c r="K75" s="18">
        <v>35.149299999999997</v>
      </c>
      <c r="L75" s="18">
        <v>44.064900000000002</v>
      </c>
      <c r="M75" s="18">
        <v>42.529899999999998</v>
      </c>
      <c r="N75" s="18">
        <v>5.2050000000000001</v>
      </c>
      <c r="O75" s="18">
        <f t="shared" si="9"/>
        <v>37.186324999999997</v>
      </c>
      <c r="P75" s="7"/>
      <c r="Q75" s="10"/>
      <c r="R75" s="11"/>
      <c r="S75" s="11"/>
      <c r="T75" s="26"/>
      <c r="U75" s="28">
        <f t="shared" si="10"/>
        <v>0.45391061452513964</v>
      </c>
      <c r="V75" s="57">
        <f t="shared" si="11"/>
        <v>2.2099999999999984E-2</v>
      </c>
      <c r="W75" s="57">
        <f t="shared" si="12"/>
        <v>1.1407666666666689E-2</v>
      </c>
      <c r="X75" s="56">
        <v>600</v>
      </c>
      <c r="Y75" s="56">
        <v>300</v>
      </c>
    </row>
    <row r="76" spans="1:25" ht="16.5" thickBot="1" x14ac:dyDescent="0.3">
      <c r="B76" s="12"/>
      <c r="C76" s="19">
        <v>303.38</v>
      </c>
      <c r="D76" s="20">
        <v>31.852</v>
      </c>
      <c r="E76" s="20">
        <v>41.259</v>
      </c>
      <c r="F76" s="20">
        <v>40.018999999999998</v>
      </c>
      <c r="G76" s="20">
        <v>4.51</v>
      </c>
      <c r="H76" s="20">
        <f t="shared" si="8"/>
        <v>34.048749999999998</v>
      </c>
      <c r="I76" s="5"/>
      <c r="J76" s="19">
        <v>195.72389999999999</v>
      </c>
      <c r="K76" s="20">
        <v>33.299900000000001</v>
      </c>
      <c r="L76" s="20">
        <v>43.042700000000004</v>
      </c>
      <c r="M76" s="20">
        <v>41.421599999999998</v>
      </c>
      <c r="N76" s="20">
        <v>6.2305000000000001</v>
      </c>
      <c r="O76" s="20">
        <f t="shared" si="9"/>
        <v>35.532962499999996</v>
      </c>
      <c r="P76" s="7"/>
      <c r="Q76" s="13"/>
      <c r="R76" s="14"/>
      <c r="S76" s="14"/>
      <c r="T76" s="27"/>
      <c r="U76" s="28">
        <f t="shared" si="10"/>
        <v>0.38148558758314866</v>
      </c>
      <c r="V76" s="57">
        <f t="shared" si="11"/>
        <v>1.1266666666666652E-2</v>
      </c>
      <c r="W76" s="57">
        <f t="shared" si="12"/>
        <v>2.138050000000007E-2</v>
      </c>
      <c r="X76" s="56">
        <v>300</v>
      </c>
      <c r="Y76" s="56">
        <v>200</v>
      </c>
    </row>
    <row r="77" spans="1:25" x14ac:dyDescent="0.25">
      <c r="B77" s="6" t="s">
        <v>82</v>
      </c>
      <c r="C77" s="29">
        <v>1465.28</v>
      </c>
      <c r="D77" s="30">
        <v>41.962000000000003</v>
      </c>
      <c r="E77" s="30">
        <v>47.228999999999999</v>
      </c>
      <c r="F77" s="30">
        <v>46.948</v>
      </c>
      <c r="G77" s="16">
        <v>2.91</v>
      </c>
      <c r="H77" s="16">
        <f t="shared" si="8"/>
        <v>43.243625000000002</v>
      </c>
      <c r="I77" s="5"/>
      <c r="J77" s="29">
        <v>1004.7681</v>
      </c>
      <c r="K77" s="30">
        <v>41.089100000000002</v>
      </c>
      <c r="L77" s="30">
        <v>47.354999999999997</v>
      </c>
      <c r="M77" s="30">
        <v>47.0578</v>
      </c>
      <c r="N77" s="16">
        <v>3.09</v>
      </c>
      <c r="O77" s="16">
        <f t="shared" si="9"/>
        <v>42.618425000000002</v>
      </c>
      <c r="P77" s="7"/>
      <c r="Q77" s="8">
        <f>bdrate(C77:C80,D77:D80,J77:J80,K77:K80)</f>
        <v>-0.29639126444435215</v>
      </c>
      <c r="R77" s="8">
        <f>bdrate(C77:C80,E77:E80,J77:J80,L77:L80)</f>
        <v>-0.48807032447383936</v>
      </c>
      <c r="S77" s="8">
        <f>bdrate(C77:C80,F77:F80,J77:J80,M77:M80)</f>
        <v>-0.49433669089041288</v>
      </c>
      <c r="T77" s="25">
        <f>bdrate(C77:C80,H77:H80,J77:J80,O77:O80)</f>
        <v>-0.33517346055383901</v>
      </c>
      <c r="U77" s="28">
        <f t="shared" si="10"/>
        <v>6.1855670103092682E-2</v>
      </c>
      <c r="V77" s="57">
        <f t="shared" si="11"/>
        <v>2.3146666666666683E-2</v>
      </c>
      <c r="W77" s="57">
        <f t="shared" si="12"/>
        <v>4.7681000000000043E-3</v>
      </c>
      <c r="X77" s="56">
        <v>1500</v>
      </c>
      <c r="Y77" s="56">
        <v>1000</v>
      </c>
    </row>
    <row r="78" spans="1:25" x14ac:dyDescent="0.25">
      <c r="B78" s="9"/>
      <c r="C78" s="31">
        <v>973.15</v>
      </c>
      <c r="D78" s="32">
        <v>40.250999999999998</v>
      </c>
      <c r="E78" s="32">
        <v>45.997999999999998</v>
      </c>
      <c r="F78" s="32">
        <v>45.704000000000001</v>
      </c>
      <c r="G78" s="18">
        <v>3.3</v>
      </c>
      <c r="H78" s="18">
        <f t="shared" si="8"/>
        <v>41.650999999999996</v>
      </c>
      <c r="I78" s="5"/>
      <c r="J78" s="31">
        <v>603.22540000000004</v>
      </c>
      <c r="K78" s="32">
        <v>39.320599999999999</v>
      </c>
      <c r="L78" s="32">
        <v>46.287199999999999</v>
      </c>
      <c r="M78" s="32">
        <v>46.036999999999999</v>
      </c>
      <c r="N78" s="18">
        <v>3.8628999999999998</v>
      </c>
      <c r="O78" s="18">
        <f t="shared" si="9"/>
        <v>41.030974999999998</v>
      </c>
      <c r="P78" s="7"/>
      <c r="Q78" s="10"/>
      <c r="R78" s="11"/>
      <c r="S78" s="11"/>
      <c r="T78" s="26"/>
      <c r="U78" s="28">
        <f t="shared" si="10"/>
        <v>0.17057575757575758</v>
      </c>
      <c r="V78" s="57">
        <f t="shared" si="11"/>
        <v>2.6850000000000023E-2</v>
      </c>
      <c r="W78" s="57">
        <f t="shared" si="12"/>
        <v>5.3756666666667265E-3</v>
      </c>
      <c r="X78" s="56">
        <v>1000</v>
      </c>
      <c r="Y78" s="56">
        <v>600</v>
      </c>
    </row>
    <row r="79" spans="1:25" x14ac:dyDescent="0.25">
      <c r="B79" s="9"/>
      <c r="C79" s="31">
        <v>580.86</v>
      </c>
      <c r="D79" s="32">
        <v>37.926000000000002</v>
      </c>
      <c r="E79" s="32">
        <v>44.378999999999998</v>
      </c>
      <c r="F79" s="32">
        <v>44.087000000000003</v>
      </c>
      <c r="G79" s="18">
        <v>3.77</v>
      </c>
      <c r="H79" s="18">
        <f t="shared" si="8"/>
        <v>39.502749999999999</v>
      </c>
      <c r="I79" s="5"/>
      <c r="J79" s="31">
        <v>301.17619999999999</v>
      </c>
      <c r="K79" s="32">
        <v>36.869500000000002</v>
      </c>
      <c r="L79" s="32">
        <v>44.746400000000001</v>
      </c>
      <c r="M79" s="32">
        <v>44.484900000000003</v>
      </c>
      <c r="N79" s="18">
        <v>5.3056000000000001</v>
      </c>
      <c r="O79" s="18">
        <f t="shared" si="9"/>
        <v>38.806037500000002</v>
      </c>
      <c r="P79" s="7"/>
      <c r="Q79" s="10"/>
      <c r="R79" s="11"/>
      <c r="S79" s="11"/>
      <c r="T79" s="26"/>
      <c r="U79" s="28">
        <f t="shared" si="10"/>
        <v>0.4073209549071618</v>
      </c>
      <c r="V79" s="57">
        <f t="shared" si="11"/>
        <v>3.1899999999999977E-2</v>
      </c>
      <c r="W79" s="57">
        <f t="shared" si="12"/>
        <v>3.9206666666666478E-3</v>
      </c>
      <c r="X79" s="56">
        <v>600</v>
      </c>
      <c r="Y79" s="56">
        <v>300</v>
      </c>
    </row>
    <row r="80" spans="1:25" ht="16.5" thickBot="1" x14ac:dyDescent="0.3">
      <c r="B80" s="12"/>
      <c r="C80" s="33">
        <v>287.64999999999998</v>
      </c>
      <c r="D80" s="34">
        <v>34.042000000000002</v>
      </c>
      <c r="E80" s="34">
        <v>42.064999999999998</v>
      </c>
      <c r="F80" s="34">
        <v>41.752000000000002</v>
      </c>
      <c r="G80" s="20">
        <v>4.71</v>
      </c>
      <c r="H80" s="20">
        <f t="shared" si="8"/>
        <v>36.008625000000002</v>
      </c>
      <c r="I80" s="5"/>
      <c r="J80" s="33">
        <v>199.86689999999999</v>
      </c>
      <c r="K80" s="34">
        <v>35.356000000000002</v>
      </c>
      <c r="L80" s="34">
        <v>43.8508</v>
      </c>
      <c r="M80" s="34">
        <v>43.579700000000003</v>
      </c>
      <c r="N80" s="20">
        <v>6.5514999999999999</v>
      </c>
      <c r="O80" s="20">
        <f t="shared" si="9"/>
        <v>37.445812500000002</v>
      </c>
      <c r="P80" s="7"/>
      <c r="Q80" s="13"/>
      <c r="R80" s="14"/>
      <c r="S80" s="14"/>
      <c r="T80" s="27"/>
      <c r="U80" s="28">
        <f t="shared" si="10"/>
        <v>0.39097664543524413</v>
      </c>
      <c r="V80" s="57">
        <f t="shared" si="11"/>
        <v>4.116666666666674E-2</v>
      </c>
      <c r="W80" s="57">
        <f t="shared" si="12"/>
        <v>6.6550000000006545E-4</v>
      </c>
      <c r="X80" s="56">
        <v>300</v>
      </c>
      <c r="Y80" s="56">
        <v>200</v>
      </c>
    </row>
    <row r="81" spans="2:25" x14ac:dyDescent="0.25">
      <c r="B81" s="6" t="s">
        <v>83</v>
      </c>
      <c r="C81" s="15">
        <v>1502.41</v>
      </c>
      <c r="D81" s="16">
        <v>38.753</v>
      </c>
      <c r="E81" s="16">
        <v>46.954000000000001</v>
      </c>
      <c r="F81" s="16">
        <v>45.277000000000001</v>
      </c>
      <c r="G81" s="16">
        <v>2.9</v>
      </c>
      <c r="H81" s="16">
        <f t="shared" si="8"/>
        <v>40.593624999999996</v>
      </c>
      <c r="I81" s="5"/>
      <c r="J81" s="15">
        <v>1004.9584</v>
      </c>
      <c r="K81" s="16">
        <v>37.837600000000002</v>
      </c>
      <c r="L81" s="16">
        <v>46.894599999999997</v>
      </c>
      <c r="M81" s="16">
        <v>45.348500000000001</v>
      </c>
      <c r="N81" s="16">
        <v>2.9493</v>
      </c>
      <c r="O81" s="16">
        <f t="shared" si="9"/>
        <v>39.908587500000003</v>
      </c>
      <c r="P81" s="7"/>
      <c r="Q81" s="8">
        <f>bdrate(C81:C84,D81:D84,J81:J84,K81:K84)</f>
        <v>-0.29868234554379081</v>
      </c>
      <c r="R81" s="8">
        <f>bdrate(C81:C84,E81:E84,J81:J84,L81:L84)</f>
        <v>-0.43979109162406771</v>
      </c>
      <c r="S81" s="8">
        <f>bdrate(C81:C84,F81:F84,J81:J84,M81:M84)</f>
        <v>-0.48032270445402181</v>
      </c>
      <c r="T81" s="25">
        <f>bdrate(C81:C84,H81:H84,J81:J84,O81:O84)</f>
        <v>-0.33047340677524961</v>
      </c>
      <c r="U81" s="28">
        <f t="shared" si="10"/>
        <v>1.7000000000000043E-2</v>
      </c>
      <c r="V81" s="57">
        <f t="shared" si="11"/>
        <v>1.6066666666667213E-3</v>
      </c>
      <c r="W81" s="57">
        <f t="shared" si="12"/>
        <v>4.9583999999999835E-3</v>
      </c>
      <c r="X81" s="56">
        <v>1500</v>
      </c>
      <c r="Y81" s="56">
        <v>1000</v>
      </c>
    </row>
    <row r="82" spans="2:25" x14ac:dyDescent="0.25">
      <c r="B82" s="9"/>
      <c r="C82" s="17">
        <v>1001.74</v>
      </c>
      <c r="D82" s="18">
        <v>37.145000000000003</v>
      </c>
      <c r="E82" s="18">
        <v>45.884</v>
      </c>
      <c r="F82" s="18">
        <v>44.100999999999999</v>
      </c>
      <c r="G82" s="18">
        <v>3.2</v>
      </c>
      <c r="H82" s="18">
        <f t="shared" si="8"/>
        <v>39.106875000000002</v>
      </c>
      <c r="I82" s="5"/>
      <c r="J82" s="17">
        <v>603.92449999999997</v>
      </c>
      <c r="K82" s="18">
        <v>36.145299999999999</v>
      </c>
      <c r="L82" s="18">
        <v>45.8765</v>
      </c>
      <c r="M82" s="18">
        <v>44.292499999999997</v>
      </c>
      <c r="N82" s="18">
        <v>3.6560000000000001</v>
      </c>
      <c r="O82" s="18">
        <f t="shared" si="9"/>
        <v>38.380100000000006</v>
      </c>
      <c r="P82" s="7"/>
      <c r="Q82" s="10"/>
      <c r="R82" s="11"/>
      <c r="S82" s="11"/>
      <c r="T82" s="26"/>
      <c r="U82" s="28">
        <f t="shared" si="10"/>
        <v>0.14249999999999999</v>
      </c>
      <c r="V82" s="57">
        <f t="shared" si="11"/>
        <v>1.7400000000000091E-3</v>
      </c>
      <c r="W82" s="57">
        <f t="shared" si="12"/>
        <v>6.540833333333277E-3</v>
      </c>
      <c r="X82" s="56">
        <v>1000</v>
      </c>
      <c r="Y82" s="56">
        <v>600</v>
      </c>
    </row>
    <row r="83" spans="2:25" x14ac:dyDescent="0.25">
      <c r="B83" s="9"/>
      <c r="C83" s="17">
        <v>600.26</v>
      </c>
      <c r="D83" s="18">
        <v>34.948</v>
      </c>
      <c r="E83" s="18">
        <v>44.398000000000003</v>
      </c>
      <c r="F83" s="18">
        <v>42.514000000000003</v>
      </c>
      <c r="G83" s="18">
        <v>3.71</v>
      </c>
      <c r="H83" s="18">
        <f t="shared" si="8"/>
        <v>37.074999999999996</v>
      </c>
      <c r="I83" s="5"/>
      <c r="J83" s="17">
        <v>300.95929999999998</v>
      </c>
      <c r="K83" s="18">
        <v>33.773699999999998</v>
      </c>
      <c r="L83" s="18">
        <v>44.348199999999999</v>
      </c>
      <c r="M83" s="18">
        <v>42.701999999999998</v>
      </c>
      <c r="N83" s="18">
        <v>4.9886999999999997</v>
      </c>
      <c r="O83" s="18">
        <f t="shared" si="9"/>
        <v>36.211550000000003</v>
      </c>
      <c r="P83" s="7"/>
      <c r="Q83" s="10"/>
      <c r="R83" s="11"/>
      <c r="S83" s="11"/>
      <c r="T83" s="26"/>
      <c r="U83" s="28">
        <f t="shared" si="10"/>
        <v>0.34466307277628028</v>
      </c>
      <c r="V83" s="57">
        <f t="shared" si="11"/>
        <v>4.3333333333331819E-4</v>
      </c>
      <c r="W83" s="57">
        <f t="shared" si="12"/>
        <v>3.1976666666666156E-3</v>
      </c>
      <c r="X83" s="56">
        <v>600</v>
      </c>
      <c r="Y83" s="56">
        <v>300</v>
      </c>
    </row>
    <row r="84" spans="2:25" ht="16.5" thickBot="1" x14ac:dyDescent="0.3">
      <c r="B84" s="12"/>
      <c r="C84" s="19">
        <v>297.63</v>
      </c>
      <c r="D84" s="20">
        <v>31.2</v>
      </c>
      <c r="E84" s="20">
        <v>42.177</v>
      </c>
      <c r="F84" s="20">
        <v>40.354999999999997</v>
      </c>
      <c r="G84" s="20">
        <v>4.54</v>
      </c>
      <c r="H84" s="20">
        <f t="shared" si="8"/>
        <v>33.716499999999996</v>
      </c>
      <c r="I84" s="5"/>
      <c r="J84" s="19">
        <v>199.2311</v>
      </c>
      <c r="K84" s="20">
        <v>32.259700000000002</v>
      </c>
      <c r="L84" s="20">
        <v>43.5441</v>
      </c>
      <c r="M84" s="20">
        <v>41.825200000000002</v>
      </c>
      <c r="N84" s="20">
        <v>6.0216000000000003</v>
      </c>
      <c r="O84" s="20">
        <f t="shared" si="9"/>
        <v>34.865937500000001</v>
      </c>
      <c r="P84" s="7"/>
      <c r="Q84" s="13"/>
      <c r="R84" s="14"/>
      <c r="S84" s="14"/>
      <c r="T84" s="27"/>
      <c r="U84" s="28">
        <f t="shared" si="10"/>
        <v>0.3263436123348018</v>
      </c>
      <c r="V84" s="57">
        <f t="shared" si="11"/>
        <v>7.9000000000000146E-3</v>
      </c>
      <c r="W84" s="57">
        <f t="shared" si="12"/>
        <v>3.8445000000000107E-3</v>
      </c>
      <c r="X84" s="56">
        <v>300</v>
      </c>
      <c r="Y84" s="56">
        <v>200</v>
      </c>
    </row>
    <row r="85" spans="2:25" x14ac:dyDescent="0.25">
      <c r="B85" s="6" t="s">
        <v>84</v>
      </c>
      <c r="C85" s="15">
        <v>1485.65</v>
      </c>
      <c r="D85" s="16">
        <v>37.713999999999999</v>
      </c>
      <c r="E85" s="16">
        <v>46.923000000000002</v>
      </c>
      <c r="F85" s="16">
        <v>45.24</v>
      </c>
      <c r="G85" s="16">
        <v>2.84</v>
      </c>
      <c r="H85" s="16">
        <f t="shared" si="8"/>
        <v>39.805875</v>
      </c>
      <c r="I85" s="5"/>
      <c r="J85" s="15">
        <v>1003.3901</v>
      </c>
      <c r="K85" s="16">
        <v>36.814500000000002</v>
      </c>
      <c r="L85" s="16">
        <v>46.764699999999998</v>
      </c>
      <c r="M85" s="16">
        <v>45.264699999999998</v>
      </c>
      <c r="N85" s="16">
        <v>2.8542000000000001</v>
      </c>
      <c r="O85" s="16">
        <f t="shared" si="9"/>
        <v>39.114550000000001</v>
      </c>
      <c r="P85" s="7"/>
      <c r="Q85" s="8">
        <f>bdrate(C85:C88,D85:D88,J85:J88,K85:K88)</f>
        <v>-0.29698590340016884</v>
      </c>
      <c r="R85" s="8">
        <f>bdrate(C85:C88,E85:E88,J85:J88,L85:L88)</f>
        <v>-0.40746526369641223</v>
      </c>
      <c r="S85" s="8">
        <f>bdrate(C85:C88,F85:F88,J85:J88,M85:M88)</f>
        <v>-0.47875321708294771</v>
      </c>
      <c r="T85" s="25">
        <f>bdrate(C85:C88,H85:H88,J85:J88,O85:O88)</f>
        <v>-0.32635772193562307</v>
      </c>
      <c r="U85" s="28">
        <f t="shared" si="10"/>
        <v>5.0000000000000747E-3</v>
      </c>
      <c r="V85" s="57">
        <f t="shared" si="11"/>
        <v>9.5666666666666053E-3</v>
      </c>
      <c r="W85" s="57">
        <f t="shared" si="12"/>
        <v>3.3900999999999615E-3</v>
      </c>
      <c r="X85" s="56">
        <v>1500</v>
      </c>
      <c r="Y85" s="56">
        <v>1000</v>
      </c>
    </row>
    <row r="86" spans="2:25" x14ac:dyDescent="0.25">
      <c r="B86" s="9"/>
      <c r="C86" s="17">
        <v>989.01</v>
      </c>
      <c r="D86" s="18">
        <v>36.118000000000002</v>
      </c>
      <c r="E86" s="18">
        <v>45.896999999999998</v>
      </c>
      <c r="F86" s="18">
        <v>44.069000000000003</v>
      </c>
      <c r="G86" s="18">
        <v>3.19</v>
      </c>
      <c r="H86" s="18">
        <f t="shared" si="8"/>
        <v>38.334250000000004</v>
      </c>
      <c r="I86" s="5"/>
      <c r="J86" s="17">
        <v>601.69640000000004</v>
      </c>
      <c r="K86" s="18">
        <v>35.157899999999998</v>
      </c>
      <c r="L86" s="18">
        <v>45.764200000000002</v>
      </c>
      <c r="M86" s="18">
        <v>44.2652</v>
      </c>
      <c r="N86" s="18">
        <v>3.5430000000000001</v>
      </c>
      <c r="O86" s="18">
        <f t="shared" si="9"/>
        <v>37.622099999999996</v>
      </c>
      <c r="P86" s="7"/>
      <c r="Q86" s="10"/>
      <c r="R86" s="11"/>
      <c r="S86" s="11"/>
      <c r="T86" s="26"/>
      <c r="U86" s="28">
        <f t="shared" si="10"/>
        <v>0.11065830721003142</v>
      </c>
      <c r="V86" s="57">
        <f t="shared" si="11"/>
        <v>1.0990000000000008E-2</v>
      </c>
      <c r="W86" s="57">
        <f t="shared" si="12"/>
        <v>2.8273333333333995E-3</v>
      </c>
      <c r="X86" s="56">
        <v>1000</v>
      </c>
      <c r="Y86" s="56">
        <v>600</v>
      </c>
    </row>
    <row r="87" spans="2:25" x14ac:dyDescent="0.25">
      <c r="B87" s="9"/>
      <c r="C87" s="17">
        <v>592.20000000000005</v>
      </c>
      <c r="D87" s="18">
        <v>33.935000000000002</v>
      </c>
      <c r="E87" s="18">
        <v>44.395000000000003</v>
      </c>
      <c r="F87" s="18">
        <v>42.454000000000001</v>
      </c>
      <c r="G87" s="18">
        <v>3.68</v>
      </c>
      <c r="H87" s="18">
        <f t="shared" si="8"/>
        <v>36.307375</v>
      </c>
      <c r="I87" s="5"/>
      <c r="J87" s="17">
        <v>299.32740000000001</v>
      </c>
      <c r="K87" s="18">
        <v>32.8215</v>
      </c>
      <c r="L87" s="18">
        <v>44.206400000000002</v>
      </c>
      <c r="M87" s="18">
        <v>42.698799999999999</v>
      </c>
      <c r="N87" s="18">
        <v>4.8723000000000001</v>
      </c>
      <c r="O87" s="18">
        <f t="shared" si="9"/>
        <v>35.479275000000001</v>
      </c>
      <c r="P87" s="7"/>
      <c r="Q87" s="10"/>
      <c r="R87" s="11"/>
      <c r="S87" s="11"/>
      <c r="T87" s="26"/>
      <c r="U87" s="28">
        <f t="shared" si="10"/>
        <v>0.32399456521739128</v>
      </c>
      <c r="V87" s="57">
        <f t="shared" si="11"/>
        <v>1.2999999999999925E-2</v>
      </c>
      <c r="W87" s="57">
        <f t="shared" si="12"/>
        <v>2.2419999999999619E-3</v>
      </c>
      <c r="X87" s="56">
        <v>600</v>
      </c>
      <c r="Y87" s="56">
        <v>300</v>
      </c>
    </row>
    <row r="88" spans="2:25" ht="16.5" thickBot="1" x14ac:dyDescent="0.3">
      <c r="B88" s="12"/>
      <c r="C88" s="19">
        <v>295.72000000000003</v>
      </c>
      <c r="D88" s="20">
        <v>30.356000000000002</v>
      </c>
      <c r="E88" s="20">
        <v>42.290999999999997</v>
      </c>
      <c r="F88" s="20">
        <v>40.287999999999997</v>
      </c>
      <c r="G88" s="20">
        <v>4.5999999999999996</v>
      </c>
      <c r="H88" s="20">
        <f t="shared" si="8"/>
        <v>33.089375000000004</v>
      </c>
      <c r="I88" s="5"/>
      <c r="J88" s="19">
        <v>198.50649999999999</v>
      </c>
      <c r="K88" s="20">
        <v>31.343299999999999</v>
      </c>
      <c r="L88" s="20">
        <v>43.460700000000003</v>
      </c>
      <c r="M88" s="20">
        <v>41.867699999999999</v>
      </c>
      <c r="N88" s="20">
        <v>5.9939999999999998</v>
      </c>
      <c r="O88" s="20">
        <f t="shared" si="9"/>
        <v>34.173524999999998</v>
      </c>
      <c r="P88" s="7"/>
      <c r="Q88" s="13"/>
      <c r="R88" s="14"/>
      <c r="S88" s="14"/>
      <c r="T88" s="27"/>
      <c r="U88" s="28">
        <f t="shared" si="10"/>
        <v>0.30304347826086964</v>
      </c>
      <c r="V88" s="57">
        <f t="shared" si="11"/>
        <v>1.4266666666666575E-2</v>
      </c>
      <c r="W88" s="57">
        <f t="shared" si="12"/>
        <v>7.4675000000000583E-3</v>
      </c>
      <c r="X88" s="56">
        <v>300</v>
      </c>
      <c r="Y88" s="56">
        <v>200</v>
      </c>
    </row>
    <row r="89" spans="2:25" x14ac:dyDescent="0.25">
      <c r="B89" s="6" t="s">
        <v>85</v>
      </c>
      <c r="C89" s="15">
        <v>1502.56</v>
      </c>
      <c r="D89" s="16">
        <v>42.511000000000003</v>
      </c>
      <c r="E89" s="16">
        <v>49.005000000000003</v>
      </c>
      <c r="F89" s="16">
        <v>48.386000000000003</v>
      </c>
      <c r="G89" s="16">
        <v>3.32</v>
      </c>
      <c r="H89" s="16">
        <f t="shared" si="8"/>
        <v>44.057125000000006</v>
      </c>
      <c r="I89" s="5"/>
      <c r="J89" s="15">
        <v>1013.096</v>
      </c>
      <c r="K89" s="16">
        <v>41.605400000000003</v>
      </c>
      <c r="L89" s="16">
        <v>48.814900000000002</v>
      </c>
      <c r="M89" s="16">
        <v>48.295400000000001</v>
      </c>
      <c r="N89" s="16">
        <v>3.5251000000000001</v>
      </c>
      <c r="O89" s="16">
        <f t="shared" si="9"/>
        <v>43.342837500000002</v>
      </c>
      <c r="P89" s="7"/>
      <c r="Q89" s="8">
        <f>bdrate(C89:C92,D89:D92,J89:J92,K89:K92)</f>
        <v>-0.26035632108511186</v>
      </c>
      <c r="R89" s="8">
        <f>bdrate(C89:C92,E89:E92,J89:J92,L89:L92)</f>
        <v>-0.43198718634591204</v>
      </c>
      <c r="S89" s="8">
        <f>bdrate(C89:C92,F89:F92,J89:J92,M89:M92)</f>
        <v>-0.46605274350370585</v>
      </c>
      <c r="T89" s="25">
        <f>bdrate(C89:C92,H89:H92,J89:J92,O89:O92)</f>
        <v>-0.301509245327652</v>
      </c>
      <c r="U89" s="28">
        <f t="shared" si="10"/>
        <v>6.1777108433735024E-2</v>
      </c>
      <c r="V89" s="57">
        <f t="shared" si="11"/>
        <v>1.7066666666666302E-3</v>
      </c>
      <c r="W89" s="57">
        <f t="shared" si="12"/>
        <v>1.3096000000000003E-2</v>
      </c>
      <c r="X89" s="56">
        <v>1500</v>
      </c>
      <c r="Y89" s="56">
        <v>1000</v>
      </c>
    </row>
    <row r="90" spans="2:25" x14ac:dyDescent="0.25">
      <c r="B90" s="9"/>
      <c r="C90" s="17">
        <v>999.03</v>
      </c>
      <c r="D90" s="18">
        <v>41.238999999999997</v>
      </c>
      <c r="E90" s="18">
        <v>48.226999999999997</v>
      </c>
      <c r="F90" s="18">
        <v>47.542999999999999</v>
      </c>
      <c r="G90" s="18">
        <v>3.74</v>
      </c>
      <c r="H90" s="18">
        <f t="shared" si="8"/>
        <v>42.900499999999994</v>
      </c>
      <c r="I90" s="5"/>
      <c r="J90" s="17">
        <v>607.71759999999995</v>
      </c>
      <c r="K90" s="18">
        <v>40.322200000000002</v>
      </c>
      <c r="L90" s="18">
        <v>48.084699999999998</v>
      </c>
      <c r="M90" s="18">
        <v>47.548099999999998</v>
      </c>
      <c r="N90" s="18">
        <v>4.3734000000000002</v>
      </c>
      <c r="O90" s="18">
        <f t="shared" si="9"/>
        <v>42.195749999999997</v>
      </c>
      <c r="P90" s="7"/>
      <c r="Q90" s="10"/>
      <c r="R90" s="11"/>
      <c r="S90" s="11"/>
      <c r="T90" s="26"/>
      <c r="U90" s="28">
        <f t="shared" si="10"/>
        <v>0.16935828877005346</v>
      </c>
      <c r="V90" s="57">
        <f t="shared" si="11"/>
        <v>9.7000000000002726E-4</v>
      </c>
      <c r="W90" s="57">
        <f t="shared" si="12"/>
        <v>1.286266666666658E-2</v>
      </c>
      <c r="X90" s="56">
        <v>1000</v>
      </c>
      <c r="Y90" s="56">
        <v>600</v>
      </c>
    </row>
    <row r="91" spans="2:25" x14ac:dyDescent="0.25">
      <c r="B91" s="9"/>
      <c r="C91" s="17">
        <v>600.5</v>
      </c>
      <c r="D91" s="18">
        <v>39.598999999999997</v>
      </c>
      <c r="E91" s="18">
        <v>46.994999999999997</v>
      </c>
      <c r="F91" s="18">
        <v>46.241</v>
      </c>
      <c r="G91" s="18">
        <v>4.29</v>
      </c>
      <c r="H91" s="18">
        <f t="shared" si="8"/>
        <v>41.353749999999998</v>
      </c>
      <c r="I91" s="5"/>
      <c r="J91" s="17">
        <v>299.95330000000001</v>
      </c>
      <c r="K91" s="18">
        <v>38.549399999999999</v>
      </c>
      <c r="L91" s="18">
        <v>46.974600000000002</v>
      </c>
      <c r="M91" s="18">
        <v>46.387500000000003</v>
      </c>
      <c r="N91" s="18">
        <v>5.9779</v>
      </c>
      <c r="O91" s="18">
        <f t="shared" si="9"/>
        <v>40.5823125</v>
      </c>
      <c r="P91" s="7"/>
      <c r="Q91" s="10"/>
      <c r="R91" s="11"/>
      <c r="S91" s="11"/>
      <c r="T91" s="26"/>
      <c r="U91" s="28">
        <f t="shared" si="10"/>
        <v>0.39344988344988346</v>
      </c>
      <c r="V91" s="57">
        <f t="shared" si="11"/>
        <v>8.3333333333333339E-4</v>
      </c>
      <c r="W91" s="57">
        <f t="shared" si="12"/>
        <v>1.5566666666662362E-4</v>
      </c>
      <c r="X91" s="56">
        <v>600</v>
      </c>
      <c r="Y91" s="56">
        <v>300</v>
      </c>
    </row>
    <row r="92" spans="2:25" ht="16.5" thickBot="1" x14ac:dyDescent="0.3">
      <c r="B92" s="12"/>
      <c r="C92" s="19">
        <v>300.89999999999998</v>
      </c>
      <c r="D92" s="20">
        <v>36.966000000000001</v>
      </c>
      <c r="E92" s="20">
        <v>44.886000000000003</v>
      </c>
      <c r="F92" s="20">
        <v>44.271999999999998</v>
      </c>
      <c r="G92" s="20">
        <v>5.1100000000000003</v>
      </c>
      <c r="H92" s="20">
        <f t="shared" si="8"/>
        <v>38.869250000000001</v>
      </c>
      <c r="I92" s="5"/>
      <c r="J92" s="19">
        <v>196.2081</v>
      </c>
      <c r="K92" s="20">
        <v>37.373800000000003</v>
      </c>
      <c r="L92" s="20">
        <v>46.153100000000002</v>
      </c>
      <c r="M92" s="20">
        <v>45.560099999999998</v>
      </c>
      <c r="N92" s="20">
        <v>7.3125999999999998</v>
      </c>
      <c r="O92" s="20">
        <f t="shared" si="9"/>
        <v>39.494500000000002</v>
      </c>
      <c r="P92" s="7"/>
      <c r="Q92" s="13"/>
      <c r="R92" s="14"/>
      <c r="S92" s="14"/>
      <c r="T92" s="27"/>
      <c r="U92" s="28">
        <f t="shared" si="10"/>
        <v>0.43103718199608598</v>
      </c>
      <c r="V92" s="57">
        <f t="shared" si="11"/>
        <v>2.9999999999999242E-3</v>
      </c>
      <c r="W92" s="57">
        <f t="shared" si="12"/>
        <v>1.895949999999999E-2</v>
      </c>
      <c r="X92" s="56">
        <v>300</v>
      </c>
      <c r="Y92" s="56">
        <v>200</v>
      </c>
    </row>
    <row r="93" spans="2:25" x14ac:dyDescent="0.25">
      <c r="B93" s="6" t="s">
        <v>86</v>
      </c>
      <c r="C93" s="15">
        <v>1477.29</v>
      </c>
      <c r="D93" s="16">
        <v>42.43</v>
      </c>
      <c r="E93" s="16">
        <v>49.6</v>
      </c>
      <c r="F93" s="16">
        <v>49.524999999999999</v>
      </c>
      <c r="G93" s="16">
        <v>3.38</v>
      </c>
      <c r="H93" s="16">
        <f t="shared" si="8"/>
        <v>44.213124999999998</v>
      </c>
      <c r="I93" s="5"/>
      <c r="J93" s="15">
        <v>1009.0525</v>
      </c>
      <c r="K93" s="16">
        <v>42.022300000000001</v>
      </c>
      <c r="L93" s="16">
        <v>49.677999999999997</v>
      </c>
      <c r="M93" s="16">
        <v>49.374899999999997</v>
      </c>
      <c r="N93" s="16">
        <v>4.1265000000000001</v>
      </c>
      <c r="O93" s="16">
        <f t="shared" si="9"/>
        <v>43.898337499999997</v>
      </c>
      <c r="P93" s="7"/>
      <c r="Q93" s="8">
        <f>bdrate(C93:C96,D93:D96,J93:J96,K93:K96)</f>
        <v>-0.35412656643770224</v>
      </c>
      <c r="R93" s="8">
        <f>bdrate(C93:C96,E93:E96,J93:J96,L93:L96)</f>
        <v>-0.51840724069947752</v>
      </c>
      <c r="S93" s="8">
        <f>bdrate(C93:C96,F93:F96,J93:J96,M93:M96)</f>
        <v>-0.44055596051099</v>
      </c>
      <c r="T93" s="25">
        <f>bdrate(C93:C96,H93:H96,J93:J96,O93:O96)</f>
        <v>-0.37990591771480942</v>
      </c>
      <c r="U93" s="28">
        <f t="shared" si="10"/>
        <v>0.22085798816568053</v>
      </c>
      <c r="V93" s="57">
        <f t="shared" si="11"/>
        <v>1.5140000000000025E-2</v>
      </c>
      <c r="W93" s="57">
        <f t="shared" si="12"/>
        <v>9.0525000000000085E-3</v>
      </c>
      <c r="X93" s="56">
        <v>1500</v>
      </c>
      <c r="Y93" s="56">
        <v>1000</v>
      </c>
    </row>
    <row r="94" spans="2:25" x14ac:dyDescent="0.25">
      <c r="B94" s="9"/>
      <c r="C94" s="17">
        <v>980.1</v>
      </c>
      <c r="D94" s="18">
        <v>41.523000000000003</v>
      </c>
      <c r="E94" s="18">
        <v>49.012999999999998</v>
      </c>
      <c r="F94" s="18">
        <v>48.991</v>
      </c>
      <c r="G94" s="18">
        <v>3.85</v>
      </c>
      <c r="H94" s="18">
        <f t="shared" si="8"/>
        <v>43.392749999999999</v>
      </c>
      <c r="I94" s="5"/>
      <c r="J94" s="17">
        <v>603.7894</v>
      </c>
      <c r="K94" s="18">
        <v>41.189300000000003</v>
      </c>
      <c r="L94" s="18">
        <v>49.148400000000002</v>
      </c>
      <c r="M94" s="18">
        <v>48.912199999999999</v>
      </c>
      <c r="N94" s="18">
        <v>5.2366000000000001</v>
      </c>
      <c r="O94" s="18">
        <f t="shared" si="9"/>
        <v>43.149549999999998</v>
      </c>
      <c r="P94" s="7"/>
      <c r="Q94" s="10"/>
      <c r="R94" s="11"/>
      <c r="S94" s="11"/>
      <c r="T94" s="26"/>
      <c r="U94" s="28">
        <f t="shared" si="10"/>
        <v>0.36015584415584417</v>
      </c>
      <c r="V94" s="57">
        <f t="shared" si="11"/>
        <v>1.9899999999999977E-2</v>
      </c>
      <c r="W94" s="57">
        <f t="shared" si="12"/>
        <v>6.3156666666666673E-3</v>
      </c>
      <c r="X94" s="56">
        <v>1000</v>
      </c>
      <c r="Y94" s="56">
        <v>600</v>
      </c>
    </row>
    <row r="95" spans="2:25" x14ac:dyDescent="0.25">
      <c r="B95" s="9"/>
      <c r="C95" s="17">
        <v>583.66999999999996</v>
      </c>
      <c r="D95" s="18">
        <v>40.368000000000002</v>
      </c>
      <c r="E95" s="18">
        <v>48.113</v>
      </c>
      <c r="F95" s="18">
        <v>48.262</v>
      </c>
      <c r="G95" s="18">
        <v>4.49</v>
      </c>
      <c r="H95" s="18">
        <f t="shared" si="8"/>
        <v>42.322875000000003</v>
      </c>
      <c r="I95" s="5"/>
      <c r="J95" s="17">
        <v>290.12079999999997</v>
      </c>
      <c r="K95" s="18">
        <v>39.9405</v>
      </c>
      <c r="L95" s="18">
        <v>48.35</v>
      </c>
      <c r="M95" s="18">
        <v>48.27</v>
      </c>
      <c r="N95" s="18">
        <v>7.5598999999999998</v>
      </c>
      <c r="O95" s="18">
        <f t="shared" si="9"/>
        <v>42.032874999999997</v>
      </c>
      <c r="P95" s="7"/>
      <c r="Q95" s="10"/>
      <c r="R95" s="11"/>
      <c r="S95" s="11"/>
      <c r="T95" s="26"/>
      <c r="U95" s="28">
        <f t="shared" si="10"/>
        <v>0.6837193763919821</v>
      </c>
      <c r="V95" s="57">
        <f t="shared" si="11"/>
        <v>2.7216666666666736E-2</v>
      </c>
      <c r="W95" s="57">
        <f t="shared" si="12"/>
        <v>3.2930666666666754E-2</v>
      </c>
      <c r="X95" s="56">
        <v>600</v>
      </c>
      <c r="Y95" s="56">
        <v>300</v>
      </c>
    </row>
    <row r="96" spans="2:25" ht="16.5" thickBot="1" x14ac:dyDescent="0.3">
      <c r="B96" s="12"/>
      <c r="C96" s="19">
        <v>286.02999999999997</v>
      </c>
      <c r="D96" s="20">
        <v>38.445</v>
      </c>
      <c r="E96" s="20">
        <v>46.542000000000002</v>
      </c>
      <c r="F96" s="20">
        <v>46.823999999999998</v>
      </c>
      <c r="G96" s="20">
        <v>5.37</v>
      </c>
      <c r="H96" s="20">
        <f t="shared" ref="H96:H116" si="13">(6*D96+E96+F96)/8</f>
        <v>40.5045</v>
      </c>
      <c r="I96" s="5"/>
      <c r="J96" s="19">
        <v>175.50649999999999</v>
      </c>
      <c r="K96" s="20">
        <v>38.973599999999998</v>
      </c>
      <c r="L96" s="20">
        <v>47.65</v>
      </c>
      <c r="M96" s="20">
        <v>47.728000000000002</v>
      </c>
      <c r="N96" s="20">
        <v>9.2883999999999993</v>
      </c>
      <c r="O96" s="20">
        <f t="shared" ref="O96:O116" si="14">(6*K96+L96+M96)/8</f>
        <v>41.152449999999995</v>
      </c>
      <c r="P96" s="7"/>
      <c r="Q96" s="13"/>
      <c r="R96" s="14"/>
      <c r="S96" s="14"/>
      <c r="T96" s="27"/>
      <c r="U96" s="28">
        <f t="shared" ref="U96:U116" si="15">(N96-G96)/G96</f>
        <v>0.72968342644320283</v>
      </c>
      <c r="V96" s="57">
        <f t="shared" si="11"/>
        <v>4.6566666666666756E-2</v>
      </c>
      <c r="W96" s="57">
        <f t="shared" si="12"/>
        <v>0.12246750000000006</v>
      </c>
      <c r="X96" s="56">
        <v>300</v>
      </c>
      <c r="Y96" s="56">
        <v>200</v>
      </c>
    </row>
    <row r="97" spans="2:25" x14ac:dyDescent="0.25">
      <c r="B97" s="6" t="s">
        <v>87</v>
      </c>
      <c r="C97" s="15">
        <v>1474.65</v>
      </c>
      <c r="D97" s="16">
        <v>43.84</v>
      </c>
      <c r="E97" s="16">
        <v>51.54</v>
      </c>
      <c r="F97" s="16">
        <v>51.305999999999997</v>
      </c>
      <c r="G97" s="16">
        <v>3.03</v>
      </c>
      <c r="H97" s="16">
        <f t="shared" si="13"/>
        <v>45.735750000000003</v>
      </c>
      <c r="I97" s="5"/>
      <c r="J97" s="15">
        <v>1003.7646</v>
      </c>
      <c r="K97" s="16">
        <v>43.054499999999997</v>
      </c>
      <c r="L97" s="16">
        <v>51.250100000000003</v>
      </c>
      <c r="M97" s="16">
        <v>51.036299999999997</v>
      </c>
      <c r="N97" s="16">
        <v>3.6619999999999999</v>
      </c>
      <c r="O97" s="16">
        <f t="shared" si="14"/>
        <v>45.076674999999994</v>
      </c>
      <c r="P97" s="7"/>
      <c r="Q97" s="8">
        <f>bdrate(C97:C100,D97:D100,J97:J100,K97:K100)</f>
        <v>-0.24884308343238137</v>
      </c>
      <c r="R97" s="8">
        <f>bdrate(C97:C100,E97:E100,J97:J100,L97:L100)</f>
        <v>-0.46439969453917118</v>
      </c>
      <c r="S97" s="8">
        <f>bdrate(C97:C100,F97:F100,J97:J100,M97:M100)</f>
        <v>-0.45968794355514386</v>
      </c>
      <c r="T97" s="25">
        <f>bdrate(C97:C100,H97:H100,J97:J100,O97:O100)</f>
        <v>-0.30342780293409854</v>
      </c>
      <c r="U97" s="28">
        <f t="shared" si="15"/>
        <v>0.20858085808580865</v>
      </c>
      <c r="V97" s="57">
        <f t="shared" si="11"/>
        <v>1.6899999999999939E-2</v>
      </c>
      <c r="W97" s="57">
        <f t="shared" si="12"/>
        <v>3.764599999999973E-3</v>
      </c>
      <c r="X97" s="56">
        <v>1500</v>
      </c>
      <c r="Y97" s="56">
        <v>1000</v>
      </c>
    </row>
    <row r="98" spans="2:25" x14ac:dyDescent="0.25">
      <c r="B98" s="9"/>
      <c r="C98" s="17">
        <v>974.32</v>
      </c>
      <c r="D98" s="18">
        <v>42.814</v>
      </c>
      <c r="E98" s="18">
        <v>50.648000000000003</v>
      </c>
      <c r="F98" s="18">
        <v>50.42</v>
      </c>
      <c r="G98" s="18">
        <v>3.52</v>
      </c>
      <c r="H98" s="18">
        <f t="shared" si="13"/>
        <v>44.744000000000007</v>
      </c>
      <c r="I98" s="5"/>
      <c r="J98" s="17">
        <v>601.04079999999999</v>
      </c>
      <c r="K98" s="18">
        <v>42.090499999999999</v>
      </c>
      <c r="L98" s="18">
        <v>50.623800000000003</v>
      </c>
      <c r="M98" s="18">
        <v>50.397799999999997</v>
      </c>
      <c r="N98" s="18">
        <v>4.6500000000000004</v>
      </c>
      <c r="O98" s="18">
        <f t="shared" si="14"/>
        <v>44.195575000000005</v>
      </c>
      <c r="P98" s="7"/>
      <c r="Q98" s="10"/>
      <c r="R98" s="11"/>
      <c r="S98" s="11"/>
      <c r="T98" s="26"/>
      <c r="U98" s="28">
        <f t="shared" si="15"/>
        <v>0.32102272727272735</v>
      </c>
      <c r="V98" s="57">
        <f t="shared" si="11"/>
        <v>2.5679999999999949E-2</v>
      </c>
      <c r="W98" s="57">
        <f t="shared" si="12"/>
        <v>1.7346666666666502E-3</v>
      </c>
      <c r="X98" s="56">
        <v>1000</v>
      </c>
      <c r="Y98" s="56">
        <v>600</v>
      </c>
    </row>
    <row r="99" spans="2:25" x14ac:dyDescent="0.25">
      <c r="B99" s="9"/>
      <c r="C99" s="17">
        <v>575.52</v>
      </c>
      <c r="D99" s="18">
        <v>41.552</v>
      </c>
      <c r="E99" s="18">
        <v>49.537999999999997</v>
      </c>
      <c r="F99" s="18">
        <v>49.348999999999997</v>
      </c>
      <c r="G99" s="18">
        <v>4.1100000000000003</v>
      </c>
      <c r="H99" s="18">
        <f t="shared" si="13"/>
        <v>43.524875000000002</v>
      </c>
      <c r="I99" s="5"/>
      <c r="J99" s="17">
        <v>295.14229999999998</v>
      </c>
      <c r="K99" s="18">
        <v>40.914200000000001</v>
      </c>
      <c r="L99" s="18">
        <v>49.8551</v>
      </c>
      <c r="M99" s="18">
        <v>49.602400000000003</v>
      </c>
      <c r="N99" s="18">
        <v>6.5091999999999999</v>
      </c>
      <c r="O99" s="18">
        <f t="shared" si="14"/>
        <v>43.1178375</v>
      </c>
      <c r="P99" s="7"/>
      <c r="Q99" s="10"/>
      <c r="R99" s="11"/>
      <c r="S99" s="11"/>
      <c r="T99" s="26"/>
      <c r="U99" s="28">
        <f t="shared" si="15"/>
        <v>0.58374695863746939</v>
      </c>
      <c r="V99" s="57">
        <f t="shared" si="11"/>
        <v>4.0800000000000031E-2</v>
      </c>
      <c r="W99" s="57">
        <f t="shared" si="12"/>
        <v>1.6192333333333409E-2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280.62</v>
      </c>
      <c r="D100" s="20">
        <v>39.674999999999997</v>
      </c>
      <c r="E100" s="20">
        <v>47.503</v>
      </c>
      <c r="F100" s="20">
        <v>47.491999999999997</v>
      </c>
      <c r="G100" s="20">
        <v>5.01</v>
      </c>
      <c r="H100" s="20">
        <f t="shared" si="13"/>
        <v>41.630625000000002</v>
      </c>
      <c r="I100" s="5"/>
      <c r="J100" s="19">
        <v>190.71619999999999</v>
      </c>
      <c r="K100" s="20">
        <v>40.164400000000001</v>
      </c>
      <c r="L100" s="20">
        <v>49.314799999999998</v>
      </c>
      <c r="M100" s="20">
        <v>49.034399999999998</v>
      </c>
      <c r="N100" s="20">
        <v>7.9539999999999997</v>
      </c>
      <c r="O100" s="20">
        <f t="shared" si="14"/>
        <v>42.41695</v>
      </c>
      <c r="P100" s="7"/>
      <c r="Q100" s="13"/>
      <c r="R100" s="14"/>
      <c r="S100" s="14"/>
      <c r="T100" s="27"/>
      <c r="U100" s="28">
        <f t="shared" si="15"/>
        <v>0.58762475049900198</v>
      </c>
      <c r="V100" s="57">
        <f t="shared" si="11"/>
        <v>6.4599999999999991E-2</v>
      </c>
      <c r="W100" s="57">
        <f t="shared" si="12"/>
        <v>4.6419000000000071E-2</v>
      </c>
      <c r="X100" s="56">
        <v>300</v>
      </c>
      <c r="Y100" s="56">
        <v>200</v>
      </c>
    </row>
    <row r="101" spans="2:25" x14ac:dyDescent="0.25">
      <c r="B101" s="6" t="s">
        <v>88</v>
      </c>
      <c r="C101" s="15">
        <v>1474.61</v>
      </c>
      <c r="D101" s="16">
        <v>44.19</v>
      </c>
      <c r="E101" s="16">
        <v>52.14</v>
      </c>
      <c r="F101" s="16">
        <v>52.139000000000003</v>
      </c>
      <c r="G101" s="16">
        <v>3.44</v>
      </c>
      <c r="H101" s="16">
        <f t="shared" si="13"/>
        <v>46.177374999999998</v>
      </c>
      <c r="I101" s="5"/>
      <c r="J101" s="15">
        <v>1010.0753</v>
      </c>
      <c r="K101" s="16">
        <v>43.538699999999999</v>
      </c>
      <c r="L101" s="16">
        <v>51.880800000000001</v>
      </c>
      <c r="M101" s="16">
        <v>51.949599999999997</v>
      </c>
      <c r="N101" s="16">
        <v>4.4592999999999998</v>
      </c>
      <c r="O101" s="16">
        <f t="shared" si="14"/>
        <v>45.632824999999997</v>
      </c>
      <c r="P101" s="7"/>
      <c r="Q101" s="8">
        <f>bdrate(C101:C104,D101:D104,J101:J104,K101:K104)</f>
        <v>-0.25445305022844267</v>
      </c>
      <c r="R101" s="8">
        <f>bdrate(C101:C104,E101:E104,J101:J104,L101:L104)</f>
        <v>-0.37461191186959097</v>
      </c>
      <c r="S101" s="8">
        <f>bdrate(C101:C104,F101:F104,J101:J104,M101:M104)</f>
        <v>-0.40559267691470036</v>
      </c>
      <c r="T101" s="25">
        <f>bdrate(C101:C104,H101:H104,J101:J104,O101:O104)</f>
        <v>-0.28277354959285939</v>
      </c>
      <c r="U101" s="28">
        <f t="shared" si="15"/>
        <v>0.29630813953488366</v>
      </c>
      <c r="V101" s="57">
        <f t="shared" si="11"/>
        <v>1.6926666666666732E-2</v>
      </c>
      <c r="W101" s="57">
        <f t="shared" si="12"/>
        <v>1.0075299999999969E-2</v>
      </c>
      <c r="X101" s="56">
        <v>1500</v>
      </c>
      <c r="Y101" s="56">
        <v>1000</v>
      </c>
    </row>
    <row r="102" spans="2:25" x14ac:dyDescent="0.25">
      <c r="B102" s="9"/>
      <c r="C102" s="17">
        <v>979.22</v>
      </c>
      <c r="D102" s="18">
        <v>42.935000000000002</v>
      </c>
      <c r="E102" s="18">
        <v>51.353999999999999</v>
      </c>
      <c r="F102" s="18">
        <v>51.36</v>
      </c>
      <c r="G102" s="18">
        <v>3.96</v>
      </c>
      <c r="H102" s="18">
        <f t="shared" si="13"/>
        <v>45.040500000000002</v>
      </c>
      <c r="I102" s="5"/>
      <c r="J102" s="17">
        <v>605.2165</v>
      </c>
      <c r="K102" s="18">
        <v>42.154800000000002</v>
      </c>
      <c r="L102" s="18">
        <v>51.064700000000002</v>
      </c>
      <c r="M102" s="18">
        <v>51.156700000000001</v>
      </c>
      <c r="N102" s="18">
        <v>5.4135</v>
      </c>
      <c r="O102" s="18">
        <f t="shared" si="14"/>
        <v>44.393775000000005</v>
      </c>
      <c r="P102" s="7"/>
      <c r="Q102" s="10"/>
      <c r="R102" s="11"/>
      <c r="S102" s="11"/>
      <c r="T102" s="26"/>
      <c r="U102" s="28">
        <f t="shared" si="15"/>
        <v>0.36704545454545456</v>
      </c>
      <c r="V102" s="57">
        <f t="shared" si="11"/>
        <v>2.0779999999999972E-2</v>
      </c>
      <c r="W102" s="57">
        <f t="shared" si="12"/>
        <v>8.6941666666666608E-3</v>
      </c>
      <c r="X102" s="56">
        <v>1000</v>
      </c>
      <c r="Y102" s="56">
        <v>600</v>
      </c>
    </row>
    <row r="103" spans="2:25" x14ac:dyDescent="0.25">
      <c r="B103" s="9"/>
      <c r="C103" s="17">
        <v>584.62</v>
      </c>
      <c r="D103" s="18">
        <v>41.280999999999999</v>
      </c>
      <c r="E103" s="18">
        <v>50.198</v>
      </c>
      <c r="F103" s="18">
        <v>50.119</v>
      </c>
      <c r="G103" s="18">
        <v>4.62</v>
      </c>
      <c r="H103" s="18">
        <f t="shared" si="13"/>
        <v>43.500374999999991</v>
      </c>
      <c r="I103" s="5"/>
      <c r="J103" s="17">
        <v>302.13569999999999</v>
      </c>
      <c r="K103" s="18">
        <v>40.238999999999997</v>
      </c>
      <c r="L103" s="18">
        <v>50.015900000000002</v>
      </c>
      <c r="M103" s="18">
        <v>50.0749</v>
      </c>
      <c r="N103" s="18">
        <v>6.9973000000000001</v>
      </c>
      <c r="O103" s="18">
        <f t="shared" si="14"/>
        <v>42.690599999999996</v>
      </c>
      <c r="P103" s="7"/>
      <c r="Q103" s="10"/>
      <c r="R103" s="11"/>
      <c r="S103" s="11"/>
      <c r="T103" s="26"/>
      <c r="U103" s="28">
        <f t="shared" si="15"/>
        <v>0.51456709956709956</v>
      </c>
      <c r="V103" s="57">
        <f t="shared" si="11"/>
        <v>2.5633333333333327E-2</v>
      </c>
      <c r="W103" s="57">
        <f t="shared" si="12"/>
        <v>7.1189999999999526E-3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289.8</v>
      </c>
      <c r="D104" s="20">
        <v>38.765000000000001</v>
      </c>
      <c r="E104" s="20">
        <v>48.146999999999998</v>
      </c>
      <c r="F104" s="20">
        <v>48.151000000000003</v>
      </c>
      <c r="G104" s="20">
        <v>5.49</v>
      </c>
      <c r="H104" s="20">
        <f t="shared" si="13"/>
        <v>41.111000000000004</v>
      </c>
      <c r="I104" s="5"/>
      <c r="J104" s="19">
        <v>197.25409999999999</v>
      </c>
      <c r="K104" s="20">
        <v>39.010300000000001</v>
      </c>
      <c r="L104" s="20">
        <v>49.163899999999998</v>
      </c>
      <c r="M104" s="20">
        <v>49.201000000000001</v>
      </c>
      <c r="N104" s="20">
        <v>8.2988</v>
      </c>
      <c r="O104" s="20">
        <f t="shared" si="14"/>
        <v>41.553337500000005</v>
      </c>
      <c r="P104" s="7"/>
      <c r="Q104" s="13"/>
      <c r="R104" s="14"/>
      <c r="S104" s="14"/>
      <c r="T104" s="27"/>
      <c r="U104" s="28">
        <f t="shared" si="15"/>
        <v>0.51162112932604731</v>
      </c>
      <c r="V104" s="57">
        <f t="shared" si="11"/>
        <v>3.3999999999999961E-2</v>
      </c>
      <c r="W104" s="57">
        <f t="shared" si="12"/>
        <v>1.372950000000003E-2</v>
      </c>
      <c r="X104" s="56">
        <v>300</v>
      </c>
      <c r="Y104" s="56">
        <v>200</v>
      </c>
    </row>
    <row r="105" spans="2:25" x14ac:dyDescent="0.25">
      <c r="B105" s="6" t="s">
        <v>89</v>
      </c>
      <c r="C105" s="15">
        <v>1497.71</v>
      </c>
      <c r="D105" s="16">
        <v>42.484999999999999</v>
      </c>
      <c r="E105" s="16">
        <v>49.892000000000003</v>
      </c>
      <c r="F105" s="16">
        <v>50.603000000000002</v>
      </c>
      <c r="G105" s="16">
        <v>3.43</v>
      </c>
      <c r="H105" s="16">
        <f t="shared" si="13"/>
        <v>44.425625000000004</v>
      </c>
      <c r="I105" s="5"/>
      <c r="J105" s="15">
        <v>1008.9945</v>
      </c>
      <c r="K105" s="16">
        <v>41.948700000000002</v>
      </c>
      <c r="L105" s="16">
        <v>49.932699999999997</v>
      </c>
      <c r="M105" s="16">
        <v>50.660600000000002</v>
      </c>
      <c r="N105" s="16">
        <v>3.8069000000000002</v>
      </c>
      <c r="O105" s="16">
        <f t="shared" si="14"/>
        <v>44.035687500000002</v>
      </c>
      <c r="P105" s="7"/>
      <c r="Q105" s="8">
        <f>bdrate(C105:C108,D105:D108,J105:J108,K105:K108)</f>
        <v>-0.32880286017224825</v>
      </c>
      <c r="R105" s="8">
        <f>bdrate(C105:C108,E105:E108,J105:J108,L105:L108)</f>
        <v>-0.48315281622054929</v>
      </c>
      <c r="S105" s="8">
        <f>bdrate(C105:C108,F105:F108,J105:J108,M105:M108)</f>
        <v>-0.49225693876532484</v>
      </c>
      <c r="T105" s="25">
        <f>bdrate(C105:C108,H105:H108,J105:J108,O105:O108)</f>
        <v>-0.36501825259664056</v>
      </c>
      <c r="U105" s="28">
        <f t="shared" si="15"/>
        <v>0.10988338192419825</v>
      </c>
      <c r="V105" s="57">
        <f t="shared" si="11"/>
        <v>1.5266666666666423E-3</v>
      </c>
      <c r="W105" s="57">
        <f t="shared" si="12"/>
        <v>8.9945000000000164E-3</v>
      </c>
      <c r="X105" s="56">
        <v>1500</v>
      </c>
      <c r="Y105" s="56">
        <v>1000</v>
      </c>
    </row>
    <row r="106" spans="2:25" x14ac:dyDescent="0.25">
      <c r="B106" s="9"/>
      <c r="C106" s="17">
        <v>996.69</v>
      </c>
      <c r="D106" s="18">
        <v>41.499000000000002</v>
      </c>
      <c r="E106" s="18">
        <v>49.194000000000003</v>
      </c>
      <c r="F106" s="18">
        <v>49.96</v>
      </c>
      <c r="G106" s="18">
        <v>3.92</v>
      </c>
      <c r="H106" s="18">
        <f t="shared" si="13"/>
        <v>43.518500000000003</v>
      </c>
      <c r="I106" s="5"/>
      <c r="J106" s="17">
        <v>604.15930000000003</v>
      </c>
      <c r="K106" s="18">
        <v>41.033799999999999</v>
      </c>
      <c r="L106" s="18">
        <v>49.300800000000002</v>
      </c>
      <c r="M106" s="18">
        <v>50.078299999999999</v>
      </c>
      <c r="N106" s="18">
        <v>4.7015000000000002</v>
      </c>
      <c r="O106" s="18">
        <f t="shared" si="14"/>
        <v>43.197737500000002</v>
      </c>
      <c r="P106" s="7"/>
      <c r="Q106" s="10"/>
      <c r="R106" s="11"/>
      <c r="S106" s="11"/>
      <c r="T106" s="26"/>
      <c r="U106" s="28">
        <f t="shared" si="15"/>
        <v>0.19936224489795926</v>
      </c>
      <c r="V106" s="57">
        <f t="shared" si="11"/>
        <v>3.3099999999999454E-3</v>
      </c>
      <c r="W106" s="57">
        <f t="shared" si="12"/>
        <v>6.9321666666667166E-3</v>
      </c>
      <c r="X106" s="56">
        <v>1000</v>
      </c>
      <c r="Y106" s="56">
        <v>600</v>
      </c>
    </row>
    <row r="107" spans="2:25" x14ac:dyDescent="0.25">
      <c r="B107" s="9"/>
      <c r="C107" s="17">
        <v>596.72</v>
      </c>
      <c r="D107" s="18">
        <v>40.286999999999999</v>
      </c>
      <c r="E107" s="18">
        <v>48.186</v>
      </c>
      <c r="F107" s="18">
        <v>48.994</v>
      </c>
      <c r="G107" s="18">
        <v>4.55</v>
      </c>
      <c r="H107" s="18">
        <f t="shared" si="13"/>
        <v>42.362749999999991</v>
      </c>
      <c r="I107" s="5"/>
      <c r="J107" s="17">
        <v>287.0693</v>
      </c>
      <c r="K107" s="18">
        <v>39.700000000000003</v>
      </c>
      <c r="L107" s="18">
        <v>48.206200000000003</v>
      </c>
      <c r="M107" s="18">
        <v>49.040700000000001</v>
      </c>
      <c r="N107" s="18">
        <v>6.6932999999999998</v>
      </c>
      <c r="O107" s="18">
        <f t="shared" si="14"/>
        <v>41.930862500000003</v>
      </c>
      <c r="P107" s="7"/>
      <c r="Q107" s="10"/>
      <c r="R107" s="11"/>
      <c r="S107" s="11"/>
      <c r="T107" s="26"/>
      <c r="U107" s="28">
        <f t="shared" si="15"/>
        <v>0.47105494505494505</v>
      </c>
      <c r="V107" s="57">
        <f t="shared" si="11"/>
        <v>5.4666666666666214E-3</v>
      </c>
      <c r="W107" s="57">
        <f t="shared" si="12"/>
        <v>4.310233333333334E-2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297.33999999999997</v>
      </c>
      <c r="D108" s="20">
        <v>38.424999999999997</v>
      </c>
      <c r="E108" s="20">
        <v>46.555999999999997</v>
      </c>
      <c r="F108" s="20">
        <v>47.311</v>
      </c>
      <c r="G108" s="20">
        <v>5.41</v>
      </c>
      <c r="H108" s="20">
        <f t="shared" si="13"/>
        <v>40.552124999999997</v>
      </c>
      <c r="I108" s="5"/>
      <c r="J108" s="19">
        <v>185.00550000000001</v>
      </c>
      <c r="K108" s="20">
        <v>38.780099999999997</v>
      </c>
      <c r="L108" s="20">
        <v>47.368200000000002</v>
      </c>
      <c r="M108" s="20">
        <v>48.245100000000001</v>
      </c>
      <c r="N108" s="20">
        <v>8.2812999999999999</v>
      </c>
      <c r="O108" s="20">
        <f t="shared" si="14"/>
        <v>41.036737499999994</v>
      </c>
      <c r="P108" s="7"/>
      <c r="Q108" s="13"/>
      <c r="R108" s="14"/>
      <c r="S108" s="14"/>
      <c r="T108" s="27"/>
      <c r="U108" s="28">
        <f t="shared" si="15"/>
        <v>0.53073937153419593</v>
      </c>
      <c r="V108" s="57">
        <f t="shared" si="11"/>
        <v>8.8666666666667501E-3</v>
      </c>
      <c r="W108" s="57">
        <f t="shared" si="12"/>
        <v>7.4972499999999942E-2</v>
      </c>
      <c r="X108" s="56">
        <v>300</v>
      </c>
      <c r="Y108" s="56">
        <v>200</v>
      </c>
    </row>
    <row r="109" spans="2:25" x14ac:dyDescent="0.25">
      <c r="B109" s="6" t="s">
        <v>90</v>
      </c>
      <c r="C109" s="15">
        <v>1506.18</v>
      </c>
      <c r="D109" s="16">
        <v>41.713999999999999</v>
      </c>
      <c r="E109" s="16">
        <v>49.667999999999999</v>
      </c>
      <c r="F109" s="16">
        <v>48.813000000000002</v>
      </c>
      <c r="G109" s="16">
        <v>3.29</v>
      </c>
      <c r="H109" s="16">
        <f t="shared" si="13"/>
        <v>43.595624999999998</v>
      </c>
      <c r="I109" s="5"/>
      <c r="J109" s="15">
        <v>1003.6948</v>
      </c>
      <c r="K109" s="16">
        <v>40.810600000000001</v>
      </c>
      <c r="L109" s="16">
        <v>49.643900000000002</v>
      </c>
      <c r="M109" s="16">
        <v>48.963200000000001</v>
      </c>
      <c r="N109" s="16">
        <v>3.5550000000000002</v>
      </c>
      <c r="O109" s="16">
        <f t="shared" si="14"/>
        <v>42.93383750000001</v>
      </c>
      <c r="P109" s="7"/>
      <c r="Q109" s="8">
        <f>bdrate(C109:C112,D109:D112,J109:J112,K109:K112)</f>
        <v>-0.2710368359521873</v>
      </c>
      <c r="R109" s="8">
        <f>bdrate(C109:C112,E109:E112,J109:J112,L109:L112)</f>
        <v>-0.46622913758289031</v>
      </c>
      <c r="S109" s="8">
        <f>bdrate(C109:C112,F109:F112,J109:J112,M109:M112)</f>
        <v>-0.50925806790109651</v>
      </c>
      <c r="T109" s="25">
        <f>bdrate(C109:C112,H109:H112,J109:J112,O109:O112)</f>
        <v>-0.31945439568954759</v>
      </c>
      <c r="U109" s="28">
        <f t="shared" si="15"/>
        <v>8.0547112462006118E-2</v>
      </c>
      <c r="V109" s="57">
        <f t="shared" si="11"/>
        <v>4.120000000000042E-3</v>
      </c>
      <c r="W109" s="57">
        <f t="shared" si="12"/>
        <v>3.6947999999999864E-3</v>
      </c>
      <c r="X109" s="56">
        <v>1500</v>
      </c>
      <c r="Y109" s="56">
        <v>1000</v>
      </c>
    </row>
    <row r="110" spans="2:25" x14ac:dyDescent="0.25">
      <c r="B110" s="9"/>
      <c r="C110" s="17">
        <v>1009.29</v>
      </c>
      <c r="D110" s="18">
        <v>40.402000000000001</v>
      </c>
      <c r="E110" s="18">
        <v>48.722999999999999</v>
      </c>
      <c r="F110" s="18">
        <v>47.795000000000002</v>
      </c>
      <c r="G110" s="18">
        <v>3.7</v>
      </c>
      <c r="H110" s="18">
        <f t="shared" si="13"/>
        <v>42.366250000000001</v>
      </c>
      <c r="I110" s="5"/>
      <c r="J110" s="17">
        <v>604.36379999999997</v>
      </c>
      <c r="K110" s="18">
        <v>39.412500000000001</v>
      </c>
      <c r="L110" s="18">
        <v>48.772399999999998</v>
      </c>
      <c r="M110" s="18">
        <v>48.045200000000001</v>
      </c>
      <c r="N110" s="18">
        <v>4.4105999999999996</v>
      </c>
      <c r="O110" s="18">
        <f t="shared" si="14"/>
        <v>41.661575000000006</v>
      </c>
      <c r="P110" s="7"/>
      <c r="Q110" s="10"/>
      <c r="R110" s="11"/>
      <c r="S110" s="11"/>
      <c r="T110" s="26"/>
      <c r="U110" s="28">
        <f t="shared" si="15"/>
        <v>0.1920540540540539</v>
      </c>
      <c r="V110" s="57">
        <f t="shared" si="11"/>
        <v>9.2899999999999632E-3</v>
      </c>
      <c r="W110" s="57">
        <f t="shared" si="12"/>
        <v>7.2729999999999488E-3</v>
      </c>
      <c r="X110" s="56">
        <v>1000</v>
      </c>
      <c r="Y110" s="56">
        <v>600</v>
      </c>
    </row>
    <row r="111" spans="2:25" x14ac:dyDescent="0.25">
      <c r="B111" s="9"/>
      <c r="C111" s="17">
        <v>605.74</v>
      </c>
      <c r="D111" s="18">
        <v>38.588999999999999</v>
      </c>
      <c r="E111" s="18">
        <v>47.381</v>
      </c>
      <c r="F111" s="18">
        <v>46.311</v>
      </c>
      <c r="G111" s="18">
        <v>4.25</v>
      </c>
      <c r="H111" s="18">
        <f t="shared" si="13"/>
        <v>40.653249999999993</v>
      </c>
      <c r="I111" s="5"/>
      <c r="J111" s="17">
        <v>290.48910000000001</v>
      </c>
      <c r="K111" s="18">
        <v>37.229999999999997</v>
      </c>
      <c r="L111" s="18">
        <v>47.323999999999998</v>
      </c>
      <c r="M111" s="18">
        <v>46.481999999999999</v>
      </c>
      <c r="N111" s="18">
        <v>6.0479000000000003</v>
      </c>
      <c r="O111" s="18">
        <f t="shared" si="14"/>
        <v>39.648250000000004</v>
      </c>
      <c r="P111" s="7"/>
      <c r="Q111" s="10"/>
      <c r="R111" s="11"/>
      <c r="S111" s="11"/>
      <c r="T111" s="26"/>
      <c r="U111" s="28">
        <f t="shared" si="15"/>
        <v>0.42303529411764712</v>
      </c>
      <c r="V111" s="57">
        <f t="shared" si="11"/>
        <v>9.5666666666666816E-3</v>
      </c>
      <c r="W111" s="57">
        <f t="shared" si="12"/>
        <v>3.1702999999999974E-2</v>
      </c>
      <c r="X111" s="56">
        <v>600</v>
      </c>
      <c r="Y111" s="56">
        <v>300</v>
      </c>
    </row>
    <row r="112" spans="2:25" ht="16.5" thickBot="1" x14ac:dyDescent="0.3">
      <c r="B112" s="12"/>
      <c r="C112" s="19">
        <v>302.95999999999998</v>
      </c>
      <c r="D112" s="20">
        <v>35.573</v>
      </c>
      <c r="E112" s="20">
        <v>45.067999999999998</v>
      </c>
      <c r="F112" s="20">
        <v>43.962000000000003</v>
      </c>
      <c r="G112" s="20">
        <v>5</v>
      </c>
      <c r="H112" s="20">
        <f t="shared" si="13"/>
        <v>37.808499999999995</v>
      </c>
      <c r="I112" s="5"/>
      <c r="J112" s="19">
        <v>189.0839</v>
      </c>
      <c r="K112" s="20">
        <v>35.776400000000002</v>
      </c>
      <c r="L112" s="20">
        <v>46.325800000000001</v>
      </c>
      <c r="M112" s="20">
        <v>45.3919</v>
      </c>
      <c r="N112" s="20">
        <v>7.2999000000000001</v>
      </c>
      <c r="O112" s="20">
        <f t="shared" si="14"/>
        <v>38.297012500000008</v>
      </c>
      <c r="P112" s="7"/>
      <c r="Q112" s="13"/>
      <c r="R112" s="14"/>
      <c r="S112" s="14"/>
      <c r="T112" s="27"/>
      <c r="U112" s="28">
        <f t="shared" si="15"/>
        <v>0.45998</v>
      </c>
      <c r="V112" s="57">
        <f t="shared" si="11"/>
        <v>9.8666666666665983E-3</v>
      </c>
      <c r="W112" s="57">
        <f t="shared" si="12"/>
        <v>5.4580500000000004E-2</v>
      </c>
      <c r="X112" s="56">
        <v>300</v>
      </c>
      <c r="Y112" s="56">
        <v>200</v>
      </c>
    </row>
    <row r="113" spans="1:25" x14ac:dyDescent="0.25">
      <c r="B113" s="6" t="s">
        <v>91</v>
      </c>
      <c r="C113" s="29">
        <v>1471.65</v>
      </c>
      <c r="D113" s="30">
        <v>37.398000000000003</v>
      </c>
      <c r="E113" s="30">
        <v>46.435000000000002</v>
      </c>
      <c r="F113" s="30">
        <v>45.234000000000002</v>
      </c>
      <c r="G113" s="16">
        <v>3.12</v>
      </c>
      <c r="H113" s="16">
        <f t="shared" si="13"/>
        <v>39.507125000000002</v>
      </c>
      <c r="I113" s="5"/>
      <c r="J113" s="29">
        <v>1006.3783</v>
      </c>
      <c r="K113" s="30">
        <v>36.539900000000003</v>
      </c>
      <c r="L113" s="30">
        <v>46.984900000000003</v>
      </c>
      <c r="M113" s="30">
        <v>45.770800000000001</v>
      </c>
      <c r="N113" s="16">
        <v>3.1621999999999999</v>
      </c>
      <c r="O113" s="16">
        <f t="shared" si="14"/>
        <v>38.999387500000005</v>
      </c>
      <c r="P113" s="7"/>
      <c r="Q113" s="8">
        <f>bdrate(C113:C116,D113:D116,J113:J116,K113:K116)</f>
        <v>-0.25449697425054751</v>
      </c>
      <c r="R113" s="8">
        <f>bdrate(C113:C116,E113:E116,J113:J116,L113:L116)</f>
        <v>-0.54404755104510538</v>
      </c>
      <c r="S113" s="8">
        <f>bdrate(C113:C116,F113:F116,J113:J116,M113:M116)</f>
        <v>-0.52943080123745978</v>
      </c>
      <c r="T113" s="25">
        <f>bdrate(C113:C116,H113:H116,J113:J116,O113:O116)</f>
        <v>-0.31341467181701144</v>
      </c>
      <c r="U113" s="28">
        <f t="shared" si="15"/>
        <v>1.352564102564096E-2</v>
      </c>
      <c r="V113" s="57">
        <f t="shared" si="11"/>
        <v>1.8899999999999938E-2</v>
      </c>
      <c r="W113" s="57">
        <f t="shared" si="12"/>
        <v>6.3782999999999678E-3</v>
      </c>
      <c r="X113" s="56">
        <v>1500</v>
      </c>
      <c r="Y113" s="56">
        <v>1000</v>
      </c>
    </row>
    <row r="114" spans="1:25" x14ac:dyDescent="0.25">
      <c r="B114" s="9"/>
      <c r="C114" s="31">
        <v>972.56</v>
      </c>
      <c r="D114" s="32">
        <v>36.271000000000001</v>
      </c>
      <c r="E114" s="32">
        <v>45.555</v>
      </c>
      <c r="F114" s="32">
        <v>44.39</v>
      </c>
      <c r="G114" s="18">
        <v>3.49</v>
      </c>
      <c r="H114" s="18">
        <f t="shared" si="13"/>
        <v>38.446374999999996</v>
      </c>
      <c r="I114" s="5"/>
      <c r="J114" s="31">
        <v>606.24760000000003</v>
      </c>
      <c r="K114" s="32">
        <v>35.398099999999999</v>
      </c>
      <c r="L114" s="32">
        <v>46.134</v>
      </c>
      <c r="M114" s="32">
        <v>44.913699999999999</v>
      </c>
      <c r="N114" s="18">
        <v>3.9117000000000002</v>
      </c>
      <c r="O114" s="18">
        <f t="shared" si="14"/>
        <v>37.929537500000002</v>
      </c>
      <c r="P114" s="7"/>
      <c r="Q114" s="10"/>
      <c r="R114" s="11"/>
      <c r="S114" s="11"/>
      <c r="T114" s="26"/>
      <c r="U114" s="28">
        <f t="shared" si="15"/>
        <v>0.12083094555873923</v>
      </c>
      <c r="V114" s="57">
        <f t="shared" si="11"/>
        <v>2.7440000000000055E-2</v>
      </c>
      <c r="W114" s="57">
        <f t="shared" si="12"/>
        <v>1.0412666666666723E-2</v>
      </c>
      <c r="X114" s="56">
        <v>1000</v>
      </c>
      <c r="Y114" s="56">
        <v>600</v>
      </c>
    </row>
    <row r="115" spans="1:25" x14ac:dyDescent="0.25">
      <c r="B115" s="9"/>
      <c r="C115" s="31">
        <v>575.65</v>
      </c>
      <c r="D115" s="32">
        <v>34.625999999999998</v>
      </c>
      <c r="E115" s="32">
        <v>44.37</v>
      </c>
      <c r="F115" s="32">
        <v>43.265999999999998</v>
      </c>
      <c r="G115" s="18">
        <v>3.97</v>
      </c>
      <c r="H115" s="18">
        <f t="shared" si="13"/>
        <v>36.923999999999999</v>
      </c>
      <c r="I115" s="5"/>
      <c r="J115" s="31">
        <v>298.00549999999998</v>
      </c>
      <c r="K115" s="32">
        <v>33.599800000000002</v>
      </c>
      <c r="L115" s="32">
        <v>44.703499999999998</v>
      </c>
      <c r="M115" s="32">
        <v>43.505099999999999</v>
      </c>
      <c r="N115" s="18">
        <v>5.3981000000000003</v>
      </c>
      <c r="O115" s="18">
        <f t="shared" si="14"/>
        <v>36.225925000000004</v>
      </c>
      <c r="P115" s="7"/>
      <c r="Q115" s="10"/>
      <c r="R115" s="11"/>
      <c r="S115" s="11"/>
      <c r="T115" s="26"/>
      <c r="U115" s="28">
        <f t="shared" si="15"/>
        <v>0.35972292191435773</v>
      </c>
      <c r="V115" s="57">
        <f t="shared" si="11"/>
        <v>4.0583333333333374E-2</v>
      </c>
      <c r="W115" s="57">
        <f t="shared" si="12"/>
        <v>6.648333333333388E-3</v>
      </c>
      <c r="X115" s="56">
        <v>600</v>
      </c>
      <c r="Y115" s="56">
        <v>300</v>
      </c>
    </row>
    <row r="116" spans="1:25" ht="16.5" thickBot="1" x14ac:dyDescent="0.3">
      <c r="B116" s="12"/>
      <c r="C116" s="33">
        <v>282.07</v>
      </c>
      <c r="D116" s="34">
        <v>31.541</v>
      </c>
      <c r="E116" s="34">
        <v>42.423000000000002</v>
      </c>
      <c r="F116" s="34">
        <v>41.503999999999998</v>
      </c>
      <c r="G116" s="20">
        <v>4.72</v>
      </c>
      <c r="H116" s="20">
        <f t="shared" si="13"/>
        <v>34.146625</v>
      </c>
      <c r="I116" s="5"/>
      <c r="J116" s="33">
        <v>192.11</v>
      </c>
      <c r="K116" s="34">
        <v>32.284199999999998</v>
      </c>
      <c r="L116" s="34">
        <v>43.681399999999996</v>
      </c>
      <c r="M116" s="34">
        <v>42.480499999999999</v>
      </c>
      <c r="N116" s="20">
        <v>6.5518000000000001</v>
      </c>
      <c r="O116" s="20">
        <f t="shared" si="14"/>
        <v>34.983387499999999</v>
      </c>
      <c r="P116" s="7"/>
      <c r="Q116" s="13"/>
      <c r="R116" s="14"/>
      <c r="S116" s="14"/>
      <c r="T116" s="27"/>
      <c r="U116" s="28">
        <f t="shared" si="15"/>
        <v>0.38809322033898314</v>
      </c>
      <c r="V116" s="57">
        <f t="shared" si="11"/>
        <v>5.976666666666669E-2</v>
      </c>
      <c r="W116" s="57">
        <f t="shared" si="12"/>
        <v>3.944999999999993E-2</v>
      </c>
      <c r="X116" s="56">
        <v>300</v>
      </c>
      <c r="Y116" s="56">
        <v>200</v>
      </c>
    </row>
    <row r="117" spans="1:25" ht="16.5" thickBot="1" x14ac:dyDescent="0.3">
      <c r="B117" s="22" t="s">
        <v>22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1">
        <f t="shared" ref="Q117:W117" si="16">AVERAGE(Q9:Q116)</f>
        <v>-0.33254040062374951</v>
      </c>
      <c r="R117" s="21">
        <f t="shared" si="16"/>
        <v>-0.55009511519242826</v>
      </c>
      <c r="S117" s="21">
        <f t="shared" si="16"/>
        <v>-0.55336831273602261</v>
      </c>
      <c r="T117" s="21">
        <f t="shared" si="16"/>
        <v>-0.37767690088321576</v>
      </c>
      <c r="U117" s="21">
        <f t="shared" si="16"/>
        <v>4.6952774618558742E-2</v>
      </c>
      <c r="V117" s="57">
        <f t="shared" si="16"/>
        <v>4.2483744728377223E-2</v>
      </c>
      <c r="W117" s="57">
        <f t="shared" si="16"/>
        <v>2.0101480246913578E-2</v>
      </c>
      <c r="X117" s="57"/>
      <c r="Y117" s="56"/>
    </row>
    <row r="119" spans="1:25" s="35" customFormat="1" ht="15.75" customHeight="1" x14ac:dyDescent="0.25">
      <c r="B119" s="73" t="s">
        <v>29</v>
      </c>
      <c r="C119" s="67" t="s">
        <v>122</v>
      </c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9"/>
    </row>
    <row r="120" spans="1:25" s="35" customFormat="1" x14ac:dyDescent="0.25">
      <c r="B120" s="74"/>
      <c r="C120" s="70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2"/>
    </row>
    <row r="121" spans="1:25" ht="16.5" customHeight="1" thickBot="1" x14ac:dyDescent="0.3">
      <c r="C121" s="75" t="s">
        <v>74</v>
      </c>
      <c r="D121" s="76"/>
      <c r="E121" s="76"/>
      <c r="F121" s="76"/>
      <c r="G121" s="76"/>
      <c r="H121" s="76"/>
      <c r="I121" s="5"/>
      <c r="J121" s="75" t="s">
        <v>105</v>
      </c>
      <c r="K121" s="76"/>
      <c r="L121" s="76"/>
      <c r="M121" s="76"/>
      <c r="N121" s="76"/>
      <c r="O121" s="76"/>
      <c r="Q121" s="75" t="s">
        <v>7</v>
      </c>
      <c r="R121" s="76"/>
      <c r="S121" s="77"/>
      <c r="T121" s="36"/>
      <c r="U121" s="78" t="s">
        <v>43</v>
      </c>
      <c r="V121" s="66" t="s">
        <v>95</v>
      </c>
      <c r="W121" s="66"/>
      <c r="X121" s="66"/>
      <c r="Y121" s="66"/>
    </row>
    <row r="122" spans="1:25" ht="16.5" thickBot="1" x14ac:dyDescent="0.3">
      <c r="C122" s="2" t="s">
        <v>60</v>
      </c>
      <c r="D122" s="3" t="s">
        <v>30</v>
      </c>
      <c r="E122" s="3" t="s">
        <v>31</v>
      </c>
      <c r="F122" s="3" t="s">
        <v>32</v>
      </c>
      <c r="G122" s="3" t="s">
        <v>33</v>
      </c>
      <c r="H122" s="3" t="s">
        <v>34</v>
      </c>
      <c r="I122" s="1"/>
      <c r="J122" s="2" t="s">
        <v>60</v>
      </c>
      <c r="K122" s="3" t="s">
        <v>30</v>
      </c>
      <c r="L122" s="3" t="s">
        <v>31</v>
      </c>
      <c r="M122" s="3" t="s">
        <v>32</v>
      </c>
      <c r="N122" s="3" t="s">
        <v>33</v>
      </c>
      <c r="O122" s="3" t="s">
        <v>34</v>
      </c>
      <c r="Q122" s="2" t="s">
        <v>4</v>
      </c>
      <c r="R122" s="3" t="s">
        <v>5</v>
      </c>
      <c r="S122" s="4" t="s">
        <v>6</v>
      </c>
      <c r="T122" s="24" t="s">
        <v>21</v>
      </c>
      <c r="U122" s="78"/>
      <c r="V122" s="55" t="s">
        <v>100</v>
      </c>
      <c r="W122" s="55" t="s">
        <v>96</v>
      </c>
      <c r="X122" s="56" t="s">
        <v>101</v>
      </c>
      <c r="Y122" s="56" t="s">
        <v>97</v>
      </c>
    </row>
    <row r="123" spans="1:25" x14ac:dyDescent="0.25">
      <c r="A123" s="6" t="s">
        <v>35</v>
      </c>
      <c r="B123" s="6" t="s">
        <v>44</v>
      </c>
      <c r="C123" s="15">
        <v>3002.83</v>
      </c>
      <c r="D123" s="16">
        <v>38.933999999999997</v>
      </c>
      <c r="E123" s="16">
        <v>41.719000000000001</v>
      </c>
      <c r="F123" s="16">
        <v>42.774000000000001</v>
      </c>
      <c r="G123" s="16">
        <v>3.05</v>
      </c>
      <c r="H123" s="16">
        <f t="shared" ref="H123:H186" si="17">(6*D123+E123+F123)/8</f>
        <v>39.762124999999997</v>
      </c>
      <c r="I123" s="5"/>
      <c r="J123" s="15">
        <v>2402.7936</v>
      </c>
      <c r="K123" s="16">
        <v>39.372700000000002</v>
      </c>
      <c r="L123" s="16">
        <v>42.373199999999997</v>
      </c>
      <c r="M123" s="16">
        <v>43.913800000000002</v>
      </c>
      <c r="N123" s="16">
        <v>3.6993999999999998</v>
      </c>
      <c r="O123" s="16">
        <f t="shared" ref="O123:O186" si="18">(6*K123+L123+M123)/8</f>
        <v>40.315399999999997</v>
      </c>
      <c r="P123" s="7"/>
      <c r="Q123" s="8">
        <f>bdrate(C123:C126,D123:D126,J123:J126,K123:K126)</f>
        <v>-0.38530107618847675</v>
      </c>
      <c r="R123" s="8">
        <f>bdrate(C123:C126,E123:E126,J123:J126,L123:L126)</f>
        <v>-0.50013556471409171</v>
      </c>
      <c r="S123" s="8">
        <f>bdrate(C123:C126,F123:F126,J123:J126,M123:M126)</f>
        <v>-0.58330105170011937</v>
      </c>
      <c r="T123" s="25">
        <f>bdrate(C123:C126,H123:H126,J123:J126,O123:O126)</f>
        <v>-0.41096815099709094</v>
      </c>
      <c r="U123" s="28">
        <f t="shared" ref="U123:U178" si="19">(N123-G123)/G123</f>
        <v>0.21291803278688526</v>
      </c>
      <c r="V123" s="57">
        <f t="shared" ref="V123:V179" si="20">ABS(C123-X123)/X123</f>
        <v>0.16588055555555559</v>
      </c>
      <c r="W123" s="57">
        <f t="shared" ref="W123:W178" si="21">ABS(J123-Y123)/Y123</f>
        <v>1.1639999999999873E-3</v>
      </c>
      <c r="X123" s="56">
        <v>3600</v>
      </c>
      <c r="Y123" s="56">
        <v>2400</v>
      </c>
    </row>
    <row r="124" spans="1:25" x14ac:dyDescent="0.25">
      <c r="A124" s="9" t="s">
        <v>36</v>
      </c>
      <c r="B124" s="9"/>
      <c r="C124" s="17">
        <v>1966.14</v>
      </c>
      <c r="D124" s="18">
        <v>37.386000000000003</v>
      </c>
      <c r="E124" s="18">
        <v>40.944000000000003</v>
      </c>
      <c r="F124" s="18">
        <v>41.850999999999999</v>
      </c>
      <c r="G124" s="18">
        <v>3.48</v>
      </c>
      <c r="H124" s="18">
        <f t="shared" si="17"/>
        <v>38.388875000000006</v>
      </c>
      <c r="I124" s="5"/>
      <c r="J124" s="17">
        <v>1581.3456000000001</v>
      </c>
      <c r="K124" s="18">
        <v>38.112299999999998</v>
      </c>
      <c r="L124" s="18">
        <v>41.6965</v>
      </c>
      <c r="M124" s="18">
        <v>43.082299999999996</v>
      </c>
      <c r="N124" s="18">
        <v>4.4161000000000001</v>
      </c>
      <c r="O124" s="18">
        <f t="shared" si="18"/>
        <v>39.181574999999995</v>
      </c>
      <c r="P124" s="7"/>
      <c r="Q124" s="10"/>
      <c r="R124" s="11"/>
      <c r="S124" s="11"/>
      <c r="T124" s="26"/>
      <c r="U124" s="28">
        <f t="shared" si="19"/>
        <v>0.26899425287356327</v>
      </c>
      <c r="V124" s="57">
        <f t="shared" si="20"/>
        <v>0.18077499999999996</v>
      </c>
      <c r="W124" s="57">
        <f t="shared" si="21"/>
        <v>1.1658999999999935E-2</v>
      </c>
      <c r="X124" s="56">
        <v>2400</v>
      </c>
      <c r="Y124" s="56">
        <v>1600</v>
      </c>
    </row>
    <row r="125" spans="1:25" x14ac:dyDescent="0.25">
      <c r="B125" s="9"/>
      <c r="C125" s="17">
        <v>1214.3599999999999</v>
      </c>
      <c r="D125" s="18">
        <v>35.340000000000003</v>
      </c>
      <c r="E125" s="18">
        <v>40.04</v>
      </c>
      <c r="F125" s="18">
        <v>40.917000000000002</v>
      </c>
      <c r="G125" s="18">
        <v>3.91</v>
      </c>
      <c r="H125" s="18">
        <f t="shared" si="17"/>
        <v>36.624625000000002</v>
      </c>
      <c r="I125" s="5"/>
      <c r="J125" s="17">
        <v>972.06640000000004</v>
      </c>
      <c r="K125" s="18">
        <v>36.532699999999998</v>
      </c>
      <c r="L125" s="18">
        <v>40.884500000000003</v>
      </c>
      <c r="M125" s="18">
        <v>42.143799999999999</v>
      </c>
      <c r="N125" s="18">
        <v>5.3305999999999996</v>
      </c>
      <c r="O125" s="18">
        <f t="shared" si="18"/>
        <v>37.778062499999997</v>
      </c>
      <c r="P125" s="7"/>
      <c r="Q125" s="10"/>
      <c r="R125" s="11"/>
      <c r="S125" s="11"/>
      <c r="T125" s="26"/>
      <c r="U125" s="28">
        <f t="shared" si="19"/>
        <v>0.36332480818414303</v>
      </c>
      <c r="V125" s="57">
        <f t="shared" si="20"/>
        <v>0.19042666666666674</v>
      </c>
      <c r="W125" s="57">
        <f t="shared" si="21"/>
        <v>2.7933599999999954E-2</v>
      </c>
      <c r="X125" s="56">
        <v>1500</v>
      </c>
      <c r="Y125" s="56">
        <v>1000</v>
      </c>
    </row>
    <row r="126" spans="1:25" ht="16.5" thickBot="1" x14ac:dyDescent="0.3">
      <c r="B126" s="12"/>
      <c r="C126" s="19">
        <v>713.04</v>
      </c>
      <c r="D126" s="20">
        <v>32.737000000000002</v>
      </c>
      <c r="E126" s="20">
        <v>39.152999999999999</v>
      </c>
      <c r="F126" s="20">
        <v>40.073999999999998</v>
      </c>
      <c r="G126" s="20">
        <v>4.7699999999999996</v>
      </c>
      <c r="H126" s="20">
        <f t="shared" si="17"/>
        <v>34.456125</v>
      </c>
      <c r="I126" s="5"/>
      <c r="J126" s="19">
        <v>560.33199999999999</v>
      </c>
      <c r="K126" s="20">
        <v>34.683500000000002</v>
      </c>
      <c r="L126" s="20">
        <v>40.18</v>
      </c>
      <c r="M126" s="20">
        <v>41.407400000000003</v>
      </c>
      <c r="N126" s="20">
        <v>6.8647999999999998</v>
      </c>
      <c r="O126" s="20">
        <f t="shared" si="18"/>
        <v>36.21105</v>
      </c>
      <c r="P126" s="7"/>
      <c r="Q126" s="13"/>
      <c r="R126" s="14"/>
      <c r="S126" s="14"/>
      <c r="T126" s="27"/>
      <c r="U126" s="28">
        <f t="shared" si="19"/>
        <v>0.43916142557651999</v>
      </c>
      <c r="V126" s="57">
        <f t="shared" si="20"/>
        <v>0.20773333333333338</v>
      </c>
      <c r="W126" s="57">
        <f t="shared" si="21"/>
        <v>6.6113333333333343E-2</v>
      </c>
      <c r="X126" s="56">
        <v>900</v>
      </c>
      <c r="Y126" s="56">
        <v>600</v>
      </c>
    </row>
    <row r="127" spans="1:25" x14ac:dyDescent="0.25">
      <c r="B127" s="6" t="s">
        <v>45</v>
      </c>
      <c r="C127" s="15">
        <v>3405.57</v>
      </c>
      <c r="D127" s="16">
        <v>36.496000000000002</v>
      </c>
      <c r="E127" s="16">
        <v>39.36</v>
      </c>
      <c r="F127" s="16">
        <v>40.527999999999999</v>
      </c>
      <c r="G127" s="16">
        <v>3.31</v>
      </c>
      <c r="H127" s="16">
        <f t="shared" si="17"/>
        <v>37.358000000000004</v>
      </c>
      <c r="I127" s="5"/>
      <c r="J127" s="15">
        <v>2510.3488000000002</v>
      </c>
      <c r="K127" s="16">
        <v>36.314100000000003</v>
      </c>
      <c r="L127" s="16">
        <v>40.648099999999999</v>
      </c>
      <c r="M127" s="16">
        <v>41.897100000000002</v>
      </c>
      <c r="N127" s="16">
        <v>3.6501000000000001</v>
      </c>
      <c r="O127" s="16">
        <f t="shared" si="18"/>
        <v>37.553725000000007</v>
      </c>
      <c r="P127" s="7"/>
      <c r="Q127" s="8">
        <f>bdrate(C127:C130,D127:D130,J127:J130,K127:K130)</f>
        <v>-0.30768799383465895</v>
      </c>
      <c r="R127" s="8">
        <f>bdrate(C127:C130,E127:E130,J127:J130,L127:L130)</f>
        <v>-0.62344672104667209</v>
      </c>
      <c r="S127" s="8">
        <f>bdrate(C127:C130,F127:F130,J127:J130,M127:M130)</f>
        <v>-0.61645875266604222</v>
      </c>
      <c r="T127" s="25">
        <f>bdrate(C127:C130,H127:H130,J127:J130,O127:O130)</f>
        <v>-0.36442354133631083</v>
      </c>
      <c r="U127" s="28">
        <f t="shared" si="19"/>
        <v>0.10274924471299096</v>
      </c>
      <c r="V127" s="57">
        <f t="shared" si="20"/>
        <v>5.400833333333329E-2</v>
      </c>
      <c r="W127" s="57">
        <f t="shared" si="21"/>
        <v>4.5978666666666751E-2</v>
      </c>
      <c r="X127" s="56">
        <v>3600</v>
      </c>
      <c r="Y127" s="56">
        <v>2400</v>
      </c>
    </row>
    <row r="128" spans="1:25" x14ac:dyDescent="0.25">
      <c r="B128" s="9"/>
      <c r="C128" s="17">
        <v>2259.9499999999998</v>
      </c>
      <c r="D128" s="18">
        <v>35.036000000000001</v>
      </c>
      <c r="E128" s="18">
        <v>38.594999999999999</v>
      </c>
      <c r="F128" s="18">
        <v>39.911000000000001</v>
      </c>
      <c r="G128" s="18">
        <v>3.67</v>
      </c>
      <c r="H128" s="18">
        <f t="shared" si="17"/>
        <v>36.090249999999997</v>
      </c>
      <c r="I128" s="5"/>
      <c r="J128" s="17">
        <v>1674.2367999999999</v>
      </c>
      <c r="K128" s="18">
        <v>35.060099999999998</v>
      </c>
      <c r="L128" s="18">
        <v>39.877200000000002</v>
      </c>
      <c r="M128" s="18">
        <v>41.091099999999997</v>
      </c>
      <c r="N128" s="18">
        <v>4.3514999999999997</v>
      </c>
      <c r="O128" s="18">
        <f t="shared" si="18"/>
        <v>36.416112499999997</v>
      </c>
      <c r="P128" s="7"/>
      <c r="Q128" s="10"/>
      <c r="R128" s="11"/>
      <c r="S128" s="11"/>
      <c r="T128" s="26"/>
      <c r="U128" s="28">
        <f t="shared" si="19"/>
        <v>0.18569482288828332</v>
      </c>
      <c r="V128" s="57">
        <f t="shared" si="20"/>
        <v>5.8354166666666742E-2</v>
      </c>
      <c r="W128" s="57">
        <f t="shared" si="21"/>
        <v>4.6397999999999939E-2</v>
      </c>
      <c r="X128" s="56">
        <v>2400</v>
      </c>
      <c r="Y128" s="56">
        <v>1600</v>
      </c>
    </row>
    <row r="129" spans="1:25" x14ac:dyDescent="0.25">
      <c r="B129" s="9"/>
      <c r="C129" s="17">
        <v>1397.48</v>
      </c>
      <c r="D129" s="18">
        <v>33.246000000000002</v>
      </c>
      <c r="E129" s="18">
        <v>37.79</v>
      </c>
      <c r="F129" s="18">
        <v>39.234000000000002</v>
      </c>
      <c r="G129" s="18">
        <v>4.13</v>
      </c>
      <c r="H129" s="18">
        <f t="shared" si="17"/>
        <v>34.5625</v>
      </c>
      <c r="I129" s="5"/>
      <c r="J129" s="17">
        <v>1026.8304000000001</v>
      </c>
      <c r="K129" s="18">
        <v>33.597700000000003</v>
      </c>
      <c r="L129" s="18">
        <v>38.953000000000003</v>
      </c>
      <c r="M129" s="18">
        <v>40.195799999999998</v>
      </c>
      <c r="N129" s="18">
        <v>5.2264999999999997</v>
      </c>
      <c r="O129" s="18">
        <f t="shared" si="18"/>
        <v>35.091875000000002</v>
      </c>
      <c r="P129" s="7"/>
      <c r="Q129" s="10"/>
      <c r="R129" s="11"/>
      <c r="S129" s="11"/>
      <c r="T129" s="26"/>
      <c r="U129" s="28">
        <f t="shared" si="19"/>
        <v>0.26549636803874088</v>
      </c>
      <c r="V129" s="57">
        <f t="shared" si="20"/>
        <v>6.8346666666666653E-2</v>
      </c>
      <c r="W129" s="57">
        <f t="shared" si="21"/>
        <v>2.6830400000000053E-2</v>
      </c>
      <c r="X129" s="56">
        <v>1500</v>
      </c>
      <c r="Y129" s="56">
        <v>1000</v>
      </c>
    </row>
    <row r="130" spans="1:25" ht="16.5" thickBot="1" x14ac:dyDescent="0.3">
      <c r="B130" s="12"/>
      <c r="C130" s="19">
        <v>836.53</v>
      </c>
      <c r="D130" s="20">
        <v>31.257000000000001</v>
      </c>
      <c r="E130" s="20">
        <v>37.046999999999997</v>
      </c>
      <c r="F130" s="20">
        <v>38.651000000000003</v>
      </c>
      <c r="G130" s="20">
        <v>4.75</v>
      </c>
      <c r="H130" s="20">
        <f t="shared" si="17"/>
        <v>32.905000000000001</v>
      </c>
      <c r="I130" s="5"/>
      <c r="J130" s="19">
        <v>610.27840000000003</v>
      </c>
      <c r="K130" s="20">
        <v>31.987200000000001</v>
      </c>
      <c r="L130" s="20">
        <v>37.981000000000002</v>
      </c>
      <c r="M130" s="20">
        <v>39.332900000000002</v>
      </c>
      <c r="N130" s="20">
        <v>6.1787000000000001</v>
      </c>
      <c r="O130" s="20">
        <f t="shared" si="18"/>
        <v>33.6546375</v>
      </c>
      <c r="P130" s="7"/>
      <c r="Q130" s="13"/>
      <c r="R130" s="14"/>
      <c r="S130" s="14"/>
      <c r="T130" s="27"/>
      <c r="U130" s="28">
        <f t="shared" si="19"/>
        <v>0.30077894736842109</v>
      </c>
      <c r="V130" s="57">
        <f t="shared" si="20"/>
        <v>7.052222222222225E-2</v>
      </c>
      <c r="W130" s="57">
        <f t="shared" si="21"/>
        <v>1.7130666666666721E-2</v>
      </c>
      <c r="X130" s="56">
        <v>900</v>
      </c>
      <c r="Y130" s="56">
        <v>600</v>
      </c>
    </row>
    <row r="131" spans="1:25" x14ac:dyDescent="0.25">
      <c r="B131" s="6" t="s">
        <v>46</v>
      </c>
      <c r="C131" s="15">
        <v>3528.15</v>
      </c>
      <c r="D131" s="16">
        <v>34.317</v>
      </c>
      <c r="E131" s="16">
        <v>37.988</v>
      </c>
      <c r="F131" s="16">
        <v>39.643999999999998</v>
      </c>
      <c r="G131" s="16">
        <v>4.22</v>
      </c>
      <c r="H131" s="16">
        <f t="shared" si="17"/>
        <v>35.441749999999999</v>
      </c>
      <c r="I131" s="5"/>
      <c r="J131" s="15">
        <v>2410.2703999999999</v>
      </c>
      <c r="K131" s="16">
        <v>34.643799999999999</v>
      </c>
      <c r="L131" s="16">
        <v>38.577199999999998</v>
      </c>
      <c r="M131" s="16">
        <v>40.974400000000003</v>
      </c>
      <c r="N131" s="16">
        <v>5.0655999999999999</v>
      </c>
      <c r="O131" s="16">
        <f t="shared" si="18"/>
        <v>35.9268</v>
      </c>
      <c r="P131" s="7"/>
      <c r="Q131" s="8">
        <f>bdrate(C131:C134,D131:D134,J131:J134,K131:K134)</f>
        <v>-0.43603429472359323</v>
      </c>
      <c r="R131" s="8">
        <f>bdrate(C131:C134,E131:E134,J131:J134,L131:L134)</f>
        <v>-0.59940201116916236</v>
      </c>
      <c r="S131" s="8">
        <f>bdrate(C131:C134,F131:F134,J131:J134,M131:M134)</f>
        <v>-0.62895325831975479</v>
      </c>
      <c r="T131" s="25">
        <f>bdrate(C131:C134,H131:H134,J131:J134,O131:O134)</f>
        <v>-0.46535193948596232</v>
      </c>
      <c r="U131" s="28">
        <f t="shared" si="19"/>
        <v>0.20037914691943132</v>
      </c>
      <c r="V131" s="57">
        <f t="shared" si="20"/>
        <v>1.9958333333333307E-2</v>
      </c>
      <c r="W131" s="57">
        <f t="shared" si="21"/>
        <v>4.2793333333332843E-3</v>
      </c>
      <c r="X131" s="56">
        <v>3600</v>
      </c>
      <c r="Y131" s="56">
        <v>2400</v>
      </c>
    </row>
    <row r="132" spans="1:25" x14ac:dyDescent="0.25">
      <c r="B132" s="9"/>
      <c r="C132" s="17">
        <v>2348.88</v>
      </c>
      <c r="D132" s="18">
        <v>32.860999999999997</v>
      </c>
      <c r="E132" s="18">
        <v>37.472000000000001</v>
      </c>
      <c r="F132" s="18">
        <v>38.746000000000002</v>
      </c>
      <c r="G132" s="18">
        <v>4.6900000000000004</v>
      </c>
      <c r="H132" s="18">
        <f t="shared" si="17"/>
        <v>34.173000000000002</v>
      </c>
      <c r="I132" s="5"/>
      <c r="J132" s="17">
        <v>1605.8856000000001</v>
      </c>
      <c r="K132" s="18">
        <v>33.421399999999998</v>
      </c>
      <c r="L132" s="18">
        <v>38.132100000000001</v>
      </c>
      <c r="M132" s="18">
        <v>40.079000000000001</v>
      </c>
      <c r="N132" s="18">
        <v>5.8960999999999997</v>
      </c>
      <c r="O132" s="18">
        <f t="shared" si="18"/>
        <v>34.842437499999996</v>
      </c>
      <c r="P132" s="7"/>
      <c r="Q132" s="10"/>
      <c r="R132" s="11"/>
      <c r="S132" s="11"/>
      <c r="T132" s="26"/>
      <c r="U132" s="28">
        <f t="shared" si="19"/>
        <v>0.25716417910447742</v>
      </c>
      <c r="V132" s="57">
        <f t="shared" si="20"/>
        <v>2.1299999999999954E-2</v>
      </c>
      <c r="W132" s="57">
        <f t="shared" si="21"/>
        <v>3.6785000000000424E-3</v>
      </c>
      <c r="X132" s="56">
        <v>2400</v>
      </c>
      <c r="Y132" s="56">
        <v>1600</v>
      </c>
    </row>
    <row r="133" spans="1:25" x14ac:dyDescent="0.25">
      <c r="B133" s="9"/>
      <c r="C133" s="17">
        <v>1463.88</v>
      </c>
      <c r="D133" s="18">
        <v>30.91</v>
      </c>
      <c r="E133" s="18">
        <v>36.801000000000002</v>
      </c>
      <c r="F133" s="18">
        <v>37.664999999999999</v>
      </c>
      <c r="G133" s="18">
        <v>5.35</v>
      </c>
      <c r="H133" s="18">
        <f t="shared" si="17"/>
        <v>32.490750000000006</v>
      </c>
      <c r="I133" s="5"/>
      <c r="J133" s="17">
        <v>1003.2424</v>
      </c>
      <c r="K133" s="18">
        <v>31.742799999999999</v>
      </c>
      <c r="L133" s="18">
        <v>37.537399999999998</v>
      </c>
      <c r="M133" s="18">
        <v>39.031399999999998</v>
      </c>
      <c r="N133" s="18">
        <v>6.9893000000000001</v>
      </c>
      <c r="O133" s="18">
        <f t="shared" si="18"/>
        <v>33.3782</v>
      </c>
      <c r="P133" s="7"/>
      <c r="Q133" s="10"/>
      <c r="R133" s="11"/>
      <c r="S133" s="11"/>
      <c r="T133" s="26"/>
      <c r="U133" s="28">
        <f t="shared" si="19"/>
        <v>0.30641121495327112</v>
      </c>
      <c r="V133" s="57">
        <f t="shared" si="20"/>
        <v>2.4079999999999928E-2</v>
      </c>
      <c r="W133" s="57">
        <f t="shared" si="21"/>
        <v>3.2423999999999752E-3</v>
      </c>
      <c r="X133" s="56">
        <v>1500</v>
      </c>
      <c r="Y133" s="56">
        <v>1000</v>
      </c>
    </row>
    <row r="134" spans="1:25" ht="16.5" thickBot="1" x14ac:dyDescent="0.3">
      <c r="B134" s="12"/>
      <c r="C134" s="19">
        <v>876.28</v>
      </c>
      <c r="D134" s="20">
        <v>28.451000000000001</v>
      </c>
      <c r="E134" s="20">
        <v>36.036000000000001</v>
      </c>
      <c r="F134" s="20">
        <v>36.598999999999997</v>
      </c>
      <c r="G134" s="20">
        <v>6.14</v>
      </c>
      <c r="H134" s="20">
        <f t="shared" si="17"/>
        <v>30.417625000000001</v>
      </c>
      <c r="I134" s="5"/>
      <c r="J134" s="19">
        <v>595.50400000000002</v>
      </c>
      <c r="K134" s="20">
        <v>29.945699999999999</v>
      </c>
      <c r="L134" s="20">
        <v>36.886899999999997</v>
      </c>
      <c r="M134" s="20">
        <v>37.957099999999997</v>
      </c>
      <c r="N134" s="20">
        <v>9.0115999999999996</v>
      </c>
      <c r="O134" s="20">
        <f t="shared" si="18"/>
        <v>31.814774999999997</v>
      </c>
      <c r="P134" s="7"/>
      <c r="Q134" s="13"/>
      <c r="R134" s="14"/>
      <c r="S134" s="14"/>
      <c r="T134" s="27"/>
      <c r="U134" s="28">
        <f t="shared" si="19"/>
        <v>0.46768729641693813</v>
      </c>
      <c r="V134" s="57">
        <f t="shared" si="20"/>
        <v>2.6355555555555587E-2</v>
      </c>
      <c r="W134" s="57">
        <f t="shared" si="21"/>
        <v>7.4933333333333015E-3</v>
      </c>
      <c r="X134" s="56">
        <v>900</v>
      </c>
      <c r="Y134" s="56">
        <v>600</v>
      </c>
    </row>
    <row r="135" spans="1:25" x14ac:dyDescent="0.25">
      <c r="B135" s="6" t="s">
        <v>47</v>
      </c>
      <c r="C135" s="29">
        <v>3550.13</v>
      </c>
      <c r="D135" s="30">
        <v>33.832999999999998</v>
      </c>
      <c r="E135" s="30">
        <v>39.622999999999998</v>
      </c>
      <c r="F135" s="30">
        <v>39.334000000000003</v>
      </c>
      <c r="G135" s="16">
        <v>3.85</v>
      </c>
      <c r="H135" s="16">
        <f t="shared" si="17"/>
        <v>35.244374999999998</v>
      </c>
      <c r="I135" s="5"/>
      <c r="J135" s="29">
        <v>2419.4104000000002</v>
      </c>
      <c r="K135" s="30">
        <v>34.286200000000001</v>
      </c>
      <c r="L135" s="30">
        <v>40.86</v>
      </c>
      <c r="M135" s="30">
        <v>40.613799999999998</v>
      </c>
      <c r="N135" s="16">
        <v>4.3487</v>
      </c>
      <c r="O135" s="16">
        <f t="shared" si="18"/>
        <v>35.898875000000004</v>
      </c>
      <c r="P135" s="7"/>
      <c r="Q135" s="8">
        <f>bdrate(C135:C138,D135:D138,J135:J138,K135:K138)</f>
        <v>-0.50422190073814765</v>
      </c>
      <c r="R135" s="8">
        <f>bdrate(C135:C138,E135:E138,J135:J138,L135:L138)</f>
        <v>-0.68206259764306765</v>
      </c>
      <c r="S135" s="8">
        <f>bdrate(C135:C138,F135:F138,J135:J138,M135:M138)</f>
        <v>-0.60288687139383268</v>
      </c>
      <c r="T135" s="25">
        <f>bdrate(C135:C138,H135:H138,J135:J138,O135:O138)</f>
        <v>-0.52966860293196505</v>
      </c>
      <c r="U135" s="28">
        <f t="shared" si="19"/>
        <v>0.1295324675324675</v>
      </c>
      <c r="V135" s="57">
        <f t="shared" si="20"/>
        <v>1.3852777777777747E-2</v>
      </c>
      <c r="W135" s="57">
        <f t="shared" si="21"/>
        <v>8.0876666666667534E-3</v>
      </c>
      <c r="X135" s="56">
        <v>3600</v>
      </c>
      <c r="Y135" s="56">
        <v>2400</v>
      </c>
    </row>
    <row r="136" spans="1:25" x14ac:dyDescent="0.25">
      <c r="B136" s="9"/>
      <c r="C136" s="31">
        <v>2354.58</v>
      </c>
      <c r="D136" s="32">
        <v>31.896999999999998</v>
      </c>
      <c r="E136" s="32">
        <v>38.715000000000003</v>
      </c>
      <c r="F136" s="32">
        <v>38.256999999999998</v>
      </c>
      <c r="G136" s="18">
        <v>4.37</v>
      </c>
      <c r="H136" s="18">
        <f t="shared" si="17"/>
        <v>33.544249999999998</v>
      </c>
      <c r="I136" s="5"/>
      <c r="J136" s="31">
        <v>1607.7103999999999</v>
      </c>
      <c r="K136" s="32">
        <v>32.891399999999997</v>
      </c>
      <c r="L136" s="32">
        <v>40.1721</v>
      </c>
      <c r="M136" s="32">
        <v>39.663400000000003</v>
      </c>
      <c r="N136" s="18">
        <v>5.1451000000000002</v>
      </c>
      <c r="O136" s="18">
        <f t="shared" si="18"/>
        <v>34.647987499999999</v>
      </c>
      <c r="P136" s="7"/>
      <c r="Q136" s="10"/>
      <c r="R136" s="11"/>
      <c r="S136" s="11"/>
      <c r="T136" s="26"/>
      <c r="U136" s="28">
        <f t="shared" si="19"/>
        <v>0.17736842105263159</v>
      </c>
      <c r="V136" s="57">
        <f t="shared" si="20"/>
        <v>1.8925000000000029E-2</v>
      </c>
      <c r="W136" s="57">
        <f t="shared" si="21"/>
        <v>4.8189999999999596E-3</v>
      </c>
      <c r="X136" s="56">
        <v>2400</v>
      </c>
      <c r="Y136" s="56">
        <v>1600</v>
      </c>
    </row>
    <row r="137" spans="1:25" x14ac:dyDescent="0.25">
      <c r="B137" s="9"/>
      <c r="C137" s="31">
        <v>1461.23</v>
      </c>
      <c r="D137" s="32">
        <v>29.018999999999998</v>
      </c>
      <c r="E137" s="32">
        <v>37.529000000000003</v>
      </c>
      <c r="F137" s="32">
        <v>36.975000000000001</v>
      </c>
      <c r="G137" s="18">
        <v>5.09</v>
      </c>
      <c r="H137" s="18">
        <f t="shared" si="17"/>
        <v>31.077249999999996</v>
      </c>
      <c r="I137" s="5"/>
      <c r="J137" s="31">
        <v>1003.2856</v>
      </c>
      <c r="K137" s="32">
        <v>31.170300000000001</v>
      </c>
      <c r="L137" s="32">
        <v>39.362200000000001</v>
      </c>
      <c r="M137" s="32">
        <v>38.4985</v>
      </c>
      <c r="N137" s="18">
        <v>6.3460999999999999</v>
      </c>
      <c r="O137" s="18">
        <f t="shared" si="18"/>
        <v>33.110312499999999</v>
      </c>
      <c r="P137" s="7"/>
      <c r="Q137" s="10"/>
      <c r="R137" s="11"/>
      <c r="S137" s="11"/>
      <c r="T137" s="26"/>
      <c r="U137" s="28">
        <f t="shared" si="19"/>
        <v>0.24677799607072692</v>
      </c>
      <c r="V137" s="57">
        <f t="shared" si="20"/>
        <v>2.5846666666666653E-2</v>
      </c>
      <c r="W137" s="57">
        <f t="shared" si="21"/>
        <v>3.2856000000000447E-3</v>
      </c>
      <c r="X137" s="56">
        <v>1500</v>
      </c>
      <c r="Y137" s="56">
        <v>1000</v>
      </c>
    </row>
    <row r="138" spans="1:25" ht="16.5" thickBot="1" x14ac:dyDescent="0.3">
      <c r="B138" s="12"/>
      <c r="C138" s="33">
        <v>862.16</v>
      </c>
      <c r="D138" s="34">
        <v>25.902000000000001</v>
      </c>
      <c r="E138" s="34">
        <v>34.982999999999997</v>
      </c>
      <c r="F138" s="34">
        <v>34.359000000000002</v>
      </c>
      <c r="G138" s="20">
        <v>5.54</v>
      </c>
      <c r="H138" s="20">
        <f t="shared" si="17"/>
        <v>28.094250000000002</v>
      </c>
      <c r="I138" s="5"/>
      <c r="J138" s="33">
        <v>600.94640000000004</v>
      </c>
      <c r="K138" s="34">
        <v>29.344000000000001</v>
      </c>
      <c r="L138" s="34">
        <v>38.174399999999999</v>
      </c>
      <c r="M138" s="34">
        <v>36.968400000000003</v>
      </c>
      <c r="N138" s="20">
        <v>7.9082999999999997</v>
      </c>
      <c r="O138" s="20">
        <f t="shared" si="18"/>
        <v>31.400850000000002</v>
      </c>
      <c r="P138" s="7"/>
      <c r="Q138" s="13"/>
      <c r="R138" s="14"/>
      <c r="S138" s="14"/>
      <c r="T138" s="27"/>
      <c r="U138" s="28">
        <f t="shared" si="19"/>
        <v>0.4274909747292418</v>
      </c>
      <c r="V138" s="57">
        <f t="shared" si="20"/>
        <v>4.2044444444444481E-2</v>
      </c>
      <c r="W138" s="57">
        <f t="shared" si="21"/>
        <v>1.5773333333333995E-3</v>
      </c>
      <c r="X138" s="56">
        <v>900</v>
      </c>
      <c r="Y138" s="56">
        <v>600</v>
      </c>
    </row>
    <row r="139" spans="1:25" x14ac:dyDescent="0.25">
      <c r="B139" s="6" t="s">
        <v>48</v>
      </c>
      <c r="C139" s="15">
        <v>3581.49</v>
      </c>
      <c r="D139" s="16">
        <v>33.11</v>
      </c>
      <c r="E139" s="16">
        <v>38.972000000000001</v>
      </c>
      <c r="F139" s="16">
        <v>41.707999999999998</v>
      </c>
      <c r="G139" s="16">
        <v>4.8</v>
      </c>
      <c r="H139" s="16">
        <f t="shared" si="17"/>
        <v>34.917500000000004</v>
      </c>
      <c r="I139" s="5"/>
      <c r="J139" s="15">
        <v>2397.424</v>
      </c>
      <c r="K139" s="16">
        <v>33.8934</v>
      </c>
      <c r="L139" s="16">
        <v>40.321800000000003</v>
      </c>
      <c r="M139" s="16">
        <v>42.720700000000001</v>
      </c>
      <c r="N139" s="16">
        <v>5.1002999999999998</v>
      </c>
      <c r="O139" s="16">
        <f t="shared" si="18"/>
        <v>35.800362499999999</v>
      </c>
      <c r="P139" s="7"/>
      <c r="Q139" s="8">
        <f>bdrate(C139:C142,D139:D142,J139:J142,K139:K142)</f>
        <v>-0.58241354715717963</v>
      </c>
      <c r="R139" s="8">
        <f>bdrate(C139:C142,E139:E142,J139:J142,L139:L142)</f>
        <v>-0.74722130046161661</v>
      </c>
      <c r="S139" s="8">
        <f>bdrate(C139:C142,F139:F142,J139:J142,M139:M142)</f>
        <v>-0.70857859258596778</v>
      </c>
      <c r="T139" s="25">
        <f>bdrate(C139:C142,H139:H142,J139:J142,O139:O142)</f>
        <v>-0.60530628854109536</v>
      </c>
      <c r="U139" s="28">
        <f t="shared" si="19"/>
        <v>6.2562500000000007E-2</v>
      </c>
      <c r="V139" s="57">
        <f t="shared" si="20"/>
        <v>5.1416666666667275E-3</v>
      </c>
      <c r="W139" s="57">
        <f t="shared" si="21"/>
        <v>1.0733333333333424E-3</v>
      </c>
      <c r="X139" s="56">
        <v>3600</v>
      </c>
      <c r="Y139" s="56">
        <v>2400</v>
      </c>
    </row>
    <row r="140" spans="1:25" x14ac:dyDescent="0.25">
      <c r="B140" s="9"/>
      <c r="C140" s="17">
        <v>2354.6</v>
      </c>
      <c r="D140" s="18">
        <v>32.107999999999997</v>
      </c>
      <c r="E140" s="18">
        <v>38.521000000000001</v>
      </c>
      <c r="F140" s="18">
        <v>41.228000000000002</v>
      </c>
      <c r="G140" s="18">
        <v>5.28</v>
      </c>
      <c r="H140" s="18">
        <f t="shared" si="17"/>
        <v>34.049624999999999</v>
      </c>
      <c r="I140" s="5"/>
      <c r="J140" s="17">
        <v>1603.9752000000001</v>
      </c>
      <c r="K140" s="18">
        <v>33.219000000000001</v>
      </c>
      <c r="L140" s="18">
        <v>39.866599999999998</v>
      </c>
      <c r="M140" s="18">
        <v>42.3446</v>
      </c>
      <c r="N140" s="18">
        <v>5.9267000000000003</v>
      </c>
      <c r="O140" s="18">
        <f t="shared" si="18"/>
        <v>35.190650000000005</v>
      </c>
      <c r="P140" s="7"/>
      <c r="Q140" s="10"/>
      <c r="R140" s="11"/>
      <c r="S140" s="11"/>
      <c r="T140" s="26"/>
      <c r="U140" s="28">
        <f t="shared" si="19"/>
        <v>0.12248106060606061</v>
      </c>
      <c r="V140" s="57">
        <f t="shared" si="20"/>
        <v>1.8916666666666703E-2</v>
      </c>
      <c r="W140" s="57">
        <f t="shared" si="21"/>
        <v>2.4845000000000539E-3</v>
      </c>
      <c r="X140" s="56">
        <v>2400</v>
      </c>
      <c r="Y140" s="56">
        <v>1600</v>
      </c>
    </row>
    <row r="141" spans="1:25" x14ac:dyDescent="0.25">
      <c r="B141" s="9"/>
      <c r="C141" s="17">
        <v>1451.47</v>
      </c>
      <c r="D141" s="18">
        <v>30.651</v>
      </c>
      <c r="E141" s="18">
        <v>37.956000000000003</v>
      </c>
      <c r="F141" s="18">
        <v>40.604999999999997</v>
      </c>
      <c r="G141" s="18">
        <v>5.82</v>
      </c>
      <c r="H141" s="18">
        <f t="shared" si="17"/>
        <v>32.808375000000005</v>
      </c>
      <c r="I141" s="5"/>
      <c r="J141" s="17">
        <v>1021.6392</v>
      </c>
      <c r="K141" s="18">
        <v>32.179000000000002</v>
      </c>
      <c r="L141" s="18">
        <v>39.145400000000002</v>
      </c>
      <c r="M141" s="18">
        <v>41.682400000000001</v>
      </c>
      <c r="N141" s="18">
        <v>7.1933999999999996</v>
      </c>
      <c r="O141" s="18">
        <f t="shared" si="18"/>
        <v>34.237724999999998</v>
      </c>
      <c r="P141" s="7"/>
      <c r="Q141" s="10"/>
      <c r="R141" s="11"/>
      <c r="S141" s="11"/>
      <c r="T141" s="26"/>
      <c r="U141" s="28">
        <f t="shared" si="19"/>
        <v>0.23597938144329883</v>
      </c>
      <c r="V141" s="57">
        <f t="shared" si="20"/>
        <v>3.2353333333333317E-2</v>
      </c>
      <c r="W141" s="57">
        <f t="shared" si="21"/>
        <v>2.1639199999999959E-2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852.93</v>
      </c>
      <c r="D142" s="20">
        <v>28.635999999999999</v>
      </c>
      <c r="E142" s="20">
        <v>37.345999999999997</v>
      </c>
      <c r="F142" s="20">
        <v>39.837000000000003</v>
      </c>
      <c r="G142" s="20">
        <v>6.33</v>
      </c>
      <c r="H142" s="20">
        <f t="shared" si="17"/>
        <v>31.124875000000003</v>
      </c>
      <c r="I142" s="5"/>
      <c r="J142" s="19">
        <v>599.46799999999996</v>
      </c>
      <c r="K142" s="20">
        <v>30.7089</v>
      </c>
      <c r="L142" s="20">
        <v>38.532699999999998</v>
      </c>
      <c r="M142" s="20">
        <v>41.107700000000001</v>
      </c>
      <c r="N142" s="20">
        <v>8.4324999999999992</v>
      </c>
      <c r="O142" s="20">
        <f t="shared" si="18"/>
        <v>32.986725</v>
      </c>
      <c r="P142" s="7"/>
      <c r="Q142" s="13"/>
      <c r="R142" s="14"/>
      <c r="S142" s="14"/>
      <c r="T142" s="27"/>
      <c r="U142" s="28">
        <f t="shared" si="19"/>
        <v>0.33214849921011047</v>
      </c>
      <c r="V142" s="57">
        <f t="shared" si="20"/>
        <v>5.2300000000000055E-2</v>
      </c>
      <c r="W142" s="57">
        <f t="shared" si="21"/>
        <v>8.8666666666673184E-4</v>
      </c>
      <c r="X142" s="56">
        <v>900</v>
      </c>
      <c r="Y142" s="56">
        <v>600</v>
      </c>
    </row>
    <row r="143" spans="1:25" x14ac:dyDescent="0.25">
      <c r="A143" s="6" t="s">
        <v>37</v>
      </c>
      <c r="B143" s="6" t="s">
        <v>49</v>
      </c>
      <c r="C143" s="15">
        <v>1550.94</v>
      </c>
      <c r="D143" s="16">
        <v>34.918999999999997</v>
      </c>
      <c r="E143" s="16">
        <v>38.322000000000003</v>
      </c>
      <c r="F143" s="16">
        <v>38.256</v>
      </c>
      <c r="G143" s="16">
        <v>16.97</v>
      </c>
      <c r="H143" s="16">
        <f t="shared" si="17"/>
        <v>35.761499999999998</v>
      </c>
      <c r="I143" s="5"/>
      <c r="J143" s="15">
        <v>1204.1199999999999</v>
      </c>
      <c r="K143" s="16">
        <v>35.6556</v>
      </c>
      <c r="L143" s="16">
        <v>40.306100000000001</v>
      </c>
      <c r="M143" s="16">
        <v>40.295000000000002</v>
      </c>
      <c r="N143" s="16">
        <v>13.367900000000001</v>
      </c>
      <c r="O143" s="16">
        <f t="shared" si="18"/>
        <v>36.816837500000005</v>
      </c>
      <c r="P143" s="7"/>
      <c r="Q143" s="8">
        <f>bdrate(C143:C146,D143:D146,J143:J146,K143:K146)</f>
        <v>-0.35036763100172552</v>
      </c>
      <c r="R143" s="8">
        <f>bdrate(C143:C146,E143:E146,J143:J146,L143:L146)</f>
        <v>-0.58239322087957468</v>
      </c>
      <c r="S143" s="8">
        <f>bdrate(C143:C146,F143:F146,J143:J146,M143:M146)</f>
        <v>-0.54872846569266875</v>
      </c>
      <c r="T143" s="25">
        <f>bdrate(C143:C146,H143:H146,J143:J146,O143:O146)</f>
        <v>-0.39792056814610755</v>
      </c>
      <c r="U143" s="28">
        <f t="shared" si="19"/>
        <v>-0.21226281673541536</v>
      </c>
      <c r="V143" s="57">
        <f t="shared" si="20"/>
        <v>6.0645161290326106E-4</v>
      </c>
      <c r="W143" s="57">
        <f t="shared" si="21"/>
        <v>3.4333333333332423E-3</v>
      </c>
      <c r="X143" s="56">
        <v>1550</v>
      </c>
      <c r="Y143" s="56">
        <v>1200</v>
      </c>
    </row>
    <row r="144" spans="1:25" x14ac:dyDescent="0.25">
      <c r="A144" s="9" t="s">
        <v>38</v>
      </c>
      <c r="B144" s="9"/>
      <c r="C144" s="17">
        <v>1045.79</v>
      </c>
      <c r="D144" s="18">
        <v>33.317</v>
      </c>
      <c r="E144" s="18">
        <v>37.210999999999999</v>
      </c>
      <c r="F144" s="18">
        <v>37.076000000000001</v>
      </c>
      <c r="G144" s="18">
        <v>19.52</v>
      </c>
      <c r="H144" s="18">
        <f t="shared" si="17"/>
        <v>34.273625000000003</v>
      </c>
      <c r="I144" s="5"/>
      <c r="J144" s="17">
        <v>808.10159999999996</v>
      </c>
      <c r="K144" s="18">
        <v>33.908099999999997</v>
      </c>
      <c r="L144" s="18">
        <v>38.9771</v>
      </c>
      <c r="M144" s="18">
        <v>38.829900000000002</v>
      </c>
      <c r="N144" s="18">
        <v>15.536199999999999</v>
      </c>
      <c r="O144" s="18">
        <f t="shared" si="18"/>
        <v>35.156950000000002</v>
      </c>
      <c r="P144" s="7"/>
      <c r="Q144" s="10"/>
      <c r="R144" s="11"/>
      <c r="S144" s="11"/>
      <c r="T144" s="26"/>
      <c r="U144" s="28">
        <f t="shared" si="19"/>
        <v>-0.20408811475409838</v>
      </c>
      <c r="V144" s="57">
        <f t="shared" si="20"/>
        <v>4.0095238095238439E-3</v>
      </c>
      <c r="W144" s="57">
        <f t="shared" si="21"/>
        <v>1.0126999999999952E-2</v>
      </c>
      <c r="X144" s="56">
        <v>1050</v>
      </c>
      <c r="Y144" s="56">
        <v>800</v>
      </c>
    </row>
    <row r="145" spans="1:25" x14ac:dyDescent="0.25">
      <c r="B145" s="9"/>
      <c r="C145" s="17">
        <v>645.26</v>
      </c>
      <c r="D145" s="18">
        <v>31.225000000000001</v>
      </c>
      <c r="E145" s="18">
        <v>35.898000000000003</v>
      </c>
      <c r="F145" s="18">
        <v>35.576000000000001</v>
      </c>
      <c r="G145" s="18">
        <v>22.71</v>
      </c>
      <c r="H145" s="18">
        <f t="shared" si="17"/>
        <v>32.353000000000002</v>
      </c>
      <c r="I145" s="5"/>
      <c r="J145" s="17">
        <v>505.47120000000001</v>
      </c>
      <c r="K145" s="18">
        <v>32.0488</v>
      </c>
      <c r="L145" s="18">
        <v>37.6233</v>
      </c>
      <c r="M145" s="18">
        <v>37.281100000000002</v>
      </c>
      <c r="N145" s="18">
        <v>18.8062</v>
      </c>
      <c r="O145" s="18">
        <f t="shared" si="18"/>
        <v>33.399650000000001</v>
      </c>
      <c r="P145" s="7"/>
      <c r="Q145" s="10"/>
      <c r="R145" s="11"/>
      <c r="S145" s="11"/>
      <c r="T145" s="26"/>
      <c r="U145" s="28">
        <f t="shared" si="19"/>
        <v>-0.17189784236019376</v>
      </c>
      <c r="V145" s="57">
        <f t="shared" si="20"/>
        <v>7.2923076923077064E-3</v>
      </c>
      <c r="W145" s="57">
        <f t="shared" si="21"/>
        <v>1.0942400000000021E-2</v>
      </c>
      <c r="X145" s="56">
        <v>650</v>
      </c>
      <c r="Y145" s="56">
        <v>500</v>
      </c>
    </row>
    <row r="146" spans="1:25" ht="16.5" thickBot="1" x14ac:dyDescent="0.3">
      <c r="B146" s="12"/>
      <c r="C146" s="19">
        <v>392.81</v>
      </c>
      <c r="D146" s="20">
        <v>28.62</v>
      </c>
      <c r="E146" s="20">
        <v>34.597999999999999</v>
      </c>
      <c r="F146" s="20">
        <v>34.085000000000001</v>
      </c>
      <c r="G146" s="20">
        <v>26.55</v>
      </c>
      <c r="H146" s="20">
        <f t="shared" si="17"/>
        <v>30.050374999999999</v>
      </c>
      <c r="I146" s="5"/>
      <c r="J146" s="19">
        <v>302.78480000000002</v>
      </c>
      <c r="K146" s="20">
        <v>30.0139</v>
      </c>
      <c r="L146" s="20">
        <v>36.202399999999997</v>
      </c>
      <c r="M146" s="20">
        <v>35.680300000000003</v>
      </c>
      <c r="N146" s="20">
        <v>23.343800000000002</v>
      </c>
      <c r="O146" s="20">
        <f t="shared" si="18"/>
        <v>31.495762499999998</v>
      </c>
      <c r="P146" s="7"/>
      <c r="Q146" s="13"/>
      <c r="R146" s="14"/>
      <c r="S146" s="14"/>
      <c r="T146" s="27"/>
      <c r="U146" s="28">
        <f t="shared" si="19"/>
        <v>-0.12076082862523536</v>
      </c>
      <c r="V146" s="57">
        <f t="shared" si="20"/>
        <v>1.7974999999999994E-2</v>
      </c>
      <c r="W146" s="57">
        <f t="shared" si="21"/>
        <v>9.2826666666667272E-3</v>
      </c>
      <c r="X146" s="56">
        <v>400</v>
      </c>
      <c r="Y146" s="56">
        <v>300</v>
      </c>
    </row>
    <row r="147" spans="1:25" x14ac:dyDescent="0.25">
      <c r="B147" s="6" t="s">
        <v>50</v>
      </c>
      <c r="C147" s="15">
        <v>1546.18</v>
      </c>
      <c r="D147" s="16">
        <v>35.377000000000002</v>
      </c>
      <c r="E147" s="16">
        <v>39.94</v>
      </c>
      <c r="F147" s="16">
        <v>40.762</v>
      </c>
      <c r="G147" s="16">
        <v>17.850000000000001</v>
      </c>
      <c r="H147" s="16">
        <f t="shared" si="17"/>
        <v>36.6205</v>
      </c>
      <c r="I147" s="5"/>
      <c r="J147" s="15">
        <v>1225.5088000000001</v>
      </c>
      <c r="K147" s="16">
        <v>35.706299999999999</v>
      </c>
      <c r="L147" s="16">
        <v>41.359499999999997</v>
      </c>
      <c r="M147" s="16">
        <v>42.392400000000002</v>
      </c>
      <c r="N147" s="16">
        <v>15.071199999999999</v>
      </c>
      <c r="O147" s="16">
        <f t="shared" si="18"/>
        <v>37.248712499999996</v>
      </c>
      <c r="P147" s="7"/>
      <c r="Q147" s="8">
        <f>bdrate(C147:C150,D147:D150,J147:J150,K147:K150)</f>
        <v>-0.34529520363039634</v>
      </c>
      <c r="R147" s="8">
        <f>bdrate(C147:C150,E147:E150,J147:J150,L147:L150)</f>
        <v>-0.56654536495868035</v>
      </c>
      <c r="S147" s="8">
        <f>bdrate(C147:C150,F147:F150,J147:J150,M147:M150)</f>
        <v>-0.55428733574967137</v>
      </c>
      <c r="T147" s="25">
        <f>bdrate(C147:C150,H147:H150,J147:J150,O147:O150)</f>
        <v>-0.38442390038556207</v>
      </c>
      <c r="U147" s="28">
        <f t="shared" si="19"/>
        <v>-0.15567507002801131</v>
      </c>
      <c r="V147" s="57">
        <f t="shared" si="20"/>
        <v>2.4645161290322171E-3</v>
      </c>
      <c r="W147" s="57">
        <f t="shared" si="21"/>
        <v>2.1257333333333388E-2</v>
      </c>
      <c r="X147" s="56">
        <v>1550</v>
      </c>
      <c r="Y147" s="56">
        <v>1200</v>
      </c>
    </row>
    <row r="148" spans="1:25" x14ac:dyDescent="0.25">
      <c r="B148" s="9"/>
      <c r="C148" s="17">
        <v>1046.1300000000001</v>
      </c>
      <c r="D148" s="18">
        <v>33.616</v>
      </c>
      <c r="E148" s="18">
        <v>39.042000000000002</v>
      </c>
      <c r="F148" s="18">
        <v>39.822000000000003</v>
      </c>
      <c r="G148" s="18">
        <v>19.52</v>
      </c>
      <c r="H148" s="18">
        <f t="shared" si="17"/>
        <v>35.07</v>
      </c>
      <c r="I148" s="5"/>
      <c r="J148" s="17">
        <v>815.42560000000003</v>
      </c>
      <c r="K148" s="18">
        <v>34.157699999999998</v>
      </c>
      <c r="L148" s="18">
        <v>40.378700000000002</v>
      </c>
      <c r="M148" s="18">
        <v>41.258000000000003</v>
      </c>
      <c r="N148" s="18">
        <v>17.3933</v>
      </c>
      <c r="O148" s="18">
        <f t="shared" si="18"/>
        <v>35.822862499999999</v>
      </c>
      <c r="P148" s="7"/>
      <c r="Q148" s="10"/>
      <c r="R148" s="11"/>
      <c r="S148" s="11"/>
      <c r="T148" s="26"/>
      <c r="U148" s="28">
        <f t="shared" si="19"/>
        <v>-0.1089497950819672</v>
      </c>
      <c r="V148" s="57">
        <f t="shared" si="20"/>
        <v>3.6857142857141816E-3</v>
      </c>
      <c r="W148" s="57">
        <f t="shared" si="21"/>
        <v>1.9282000000000039E-2</v>
      </c>
      <c r="X148" s="56">
        <v>1050</v>
      </c>
      <c r="Y148" s="56">
        <v>800</v>
      </c>
    </row>
    <row r="149" spans="1:25" x14ac:dyDescent="0.25">
      <c r="B149" s="9"/>
      <c r="C149" s="17">
        <v>643.04</v>
      </c>
      <c r="D149" s="18">
        <v>31.247</v>
      </c>
      <c r="E149" s="18">
        <v>37.994</v>
      </c>
      <c r="F149" s="18">
        <v>38.655999999999999</v>
      </c>
      <c r="G149" s="18">
        <v>21.82</v>
      </c>
      <c r="H149" s="18">
        <f t="shared" si="17"/>
        <v>33.016500000000001</v>
      </c>
      <c r="I149" s="5"/>
      <c r="J149" s="17">
        <v>510.30560000000003</v>
      </c>
      <c r="K149" s="18">
        <v>32.293199999999999</v>
      </c>
      <c r="L149" s="18">
        <v>39.314599999999999</v>
      </c>
      <c r="M149" s="18">
        <v>40.032299999999999</v>
      </c>
      <c r="N149" s="18">
        <v>20.940200000000001</v>
      </c>
      <c r="O149" s="18">
        <f t="shared" si="18"/>
        <v>34.138262500000003</v>
      </c>
      <c r="P149" s="7"/>
      <c r="Q149" s="10"/>
      <c r="R149" s="11"/>
      <c r="S149" s="11"/>
      <c r="T149" s="26"/>
      <c r="U149" s="28">
        <f t="shared" si="19"/>
        <v>-4.0320806599450018E-2</v>
      </c>
      <c r="V149" s="57">
        <f t="shared" si="20"/>
        <v>1.0707692307692364E-2</v>
      </c>
      <c r="W149" s="57">
        <f t="shared" si="21"/>
        <v>2.0611200000000055E-2</v>
      </c>
      <c r="X149" s="56">
        <v>650</v>
      </c>
      <c r="Y149" s="56">
        <v>500</v>
      </c>
    </row>
    <row r="150" spans="1:25" ht="16.5" thickBot="1" x14ac:dyDescent="0.3">
      <c r="B150" s="12"/>
      <c r="C150" s="19">
        <v>395.91</v>
      </c>
      <c r="D150" s="20">
        <v>28.632000000000001</v>
      </c>
      <c r="E150" s="20">
        <v>36.994</v>
      </c>
      <c r="F150" s="20">
        <v>37.595999999999997</v>
      </c>
      <c r="G150" s="20">
        <v>24.38</v>
      </c>
      <c r="H150" s="20">
        <f t="shared" si="17"/>
        <v>30.797750000000001</v>
      </c>
      <c r="I150" s="5"/>
      <c r="J150" s="19">
        <v>305.0752</v>
      </c>
      <c r="K150" s="20">
        <v>30.143799999999999</v>
      </c>
      <c r="L150" s="20">
        <v>38.168999999999997</v>
      </c>
      <c r="M150" s="20">
        <v>38.804499999999997</v>
      </c>
      <c r="N150" s="20">
        <v>25.548200000000001</v>
      </c>
      <c r="O150" s="20">
        <f t="shared" si="18"/>
        <v>32.229537499999999</v>
      </c>
      <c r="P150" s="7"/>
      <c r="Q150" s="13"/>
      <c r="R150" s="14"/>
      <c r="S150" s="14"/>
      <c r="T150" s="27"/>
      <c r="U150" s="28">
        <f t="shared" si="19"/>
        <v>4.7916324856439804E-2</v>
      </c>
      <c r="V150" s="57">
        <f t="shared" si="20"/>
        <v>1.0224999999999937E-2</v>
      </c>
      <c r="W150" s="57">
        <f t="shared" si="21"/>
        <v>1.6917333333333319E-2</v>
      </c>
      <c r="X150" s="56">
        <v>400</v>
      </c>
      <c r="Y150" s="56">
        <v>300</v>
      </c>
    </row>
    <row r="151" spans="1:25" x14ac:dyDescent="0.25">
      <c r="B151" s="6" t="s">
        <v>51</v>
      </c>
      <c r="C151" s="15">
        <v>1413.31</v>
      </c>
      <c r="D151" s="16">
        <v>29.751999999999999</v>
      </c>
      <c r="E151" s="16">
        <v>35.640999999999998</v>
      </c>
      <c r="F151" s="16">
        <v>36.378999999999998</v>
      </c>
      <c r="G151" s="16">
        <v>16.54</v>
      </c>
      <c r="H151" s="16">
        <f t="shared" si="17"/>
        <v>31.316499999999998</v>
      </c>
      <c r="I151" s="5"/>
      <c r="J151" s="15">
        <v>1213.2616</v>
      </c>
      <c r="K151" s="16">
        <v>30.687200000000001</v>
      </c>
      <c r="L151" s="16">
        <v>37.448700000000002</v>
      </c>
      <c r="M151" s="16">
        <v>38.248800000000003</v>
      </c>
      <c r="N151" s="16">
        <v>11.0115</v>
      </c>
      <c r="O151" s="16">
        <f t="shared" si="18"/>
        <v>32.477587499999998</v>
      </c>
      <c r="P151" s="7"/>
      <c r="Q151" s="8">
        <f>bdrate(C151:C154,D151:D154,J151:J154,K151:K154)</f>
        <v>-0.37416814955948019</v>
      </c>
      <c r="R151" s="8">
        <f>bdrate(C151:C154,E151:E154,J151:J154,L151:L154)</f>
        <v>-0.65115503592676816</v>
      </c>
      <c r="S151" s="8">
        <f>bdrate(C151:C154,F151:F154,J151:J154,M151:M154)</f>
        <v>-0.64304853158847242</v>
      </c>
      <c r="T151" s="25">
        <f>bdrate(C151:C154,H151:H154,J151:J154,O151:O154)</f>
        <v>-0.42111695819569928</v>
      </c>
      <c r="U151" s="28">
        <f t="shared" si="19"/>
        <v>-0.33425030229746067</v>
      </c>
      <c r="V151" s="57">
        <f t="shared" si="20"/>
        <v>8.8187096774193577E-2</v>
      </c>
      <c r="W151" s="57">
        <f t="shared" si="21"/>
        <v>1.105133333333337E-2</v>
      </c>
      <c r="X151" s="56">
        <v>1550</v>
      </c>
      <c r="Y151" s="56">
        <v>1200</v>
      </c>
    </row>
    <row r="152" spans="1:25" x14ac:dyDescent="0.25">
      <c r="B152" s="9"/>
      <c r="C152" s="17">
        <v>962.28</v>
      </c>
      <c r="D152" s="18">
        <v>28.366</v>
      </c>
      <c r="E152" s="18">
        <v>35.072000000000003</v>
      </c>
      <c r="F152" s="18">
        <v>35.802</v>
      </c>
      <c r="G152" s="18">
        <v>18.100000000000001</v>
      </c>
      <c r="H152" s="18">
        <f t="shared" si="17"/>
        <v>30.133749999999999</v>
      </c>
      <c r="I152" s="5"/>
      <c r="J152" s="17">
        <v>810.80880000000002</v>
      </c>
      <c r="K152" s="18">
        <v>29.340299999999999</v>
      </c>
      <c r="L152" s="18">
        <v>36.6113</v>
      </c>
      <c r="M152" s="18">
        <v>37.377499999999998</v>
      </c>
      <c r="N152" s="18">
        <v>12.6952</v>
      </c>
      <c r="O152" s="18">
        <f t="shared" si="18"/>
        <v>31.253824999999999</v>
      </c>
      <c r="P152" s="7"/>
      <c r="Q152" s="10"/>
      <c r="R152" s="11"/>
      <c r="S152" s="11"/>
      <c r="T152" s="26"/>
      <c r="U152" s="28">
        <f t="shared" si="19"/>
        <v>-0.29860773480662989</v>
      </c>
      <c r="V152" s="57">
        <f t="shared" si="20"/>
        <v>8.3542857142857169E-2</v>
      </c>
      <c r="W152" s="57">
        <f t="shared" si="21"/>
        <v>1.3511000000000025E-2</v>
      </c>
      <c r="X152" s="56">
        <v>1050</v>
      </c>
      <c r="Y152" s="56">
        <v>800</v>
      </c>
    </row>
    <row r="153" spans="1:25" x14ac:dyDescent="0.25">
      <c r="B153" s="9"/>
      <c r="C153" s="17">
        <v>597.69000000000005</v>
      </c>
      <c r="D153" s="18">
        <v>26.736000000000001</v>
      </c>
      <c r="E153" s="18">
        <v>34.456000000000003</v>
      </c>
      <c r="F153" s="18">
        <v>35.206000000000003</v>
      </c>
      <c r="G153" s="18">
        <v>20.12</v>
      </c>
      <c r="H153" s="18">
        <f t="shared" si="17"/>
        <v>28.759750000000004</v>
      </c>
      <c r="I153" s="5"/>
      <c r="J153" s="17">
        <v>507.25360000000001</v>
      </c>
      <c r="K153" s="18">
        <v>27.7697</v>
      </c>
      <c r="L153" s="18">
        <v>35.734299999999998</v>
      </c>
      <c r="M153" s="18">
        <v>36.426000000000002</v>
      </c>
      <c r="N153" s="18">
        <v>15.1012</v>
      </c>
      <c r="O153" s="18">
        <f t="shared" si="18"/>
        <v>29.847312500000001</v>
      </c>
      <c r="P153" s="7"/>
      <c r="Q153" s="10"/>
      <c r="R153" s="11"/>
      <c r="S153" s="11"/>
      <c r="T153" s="26"/>
      <c r="U153" s="28">
        <f t="shared" si="19"/>
        <v>-0.2494433399602386</v>
      </c>
      <c r="V153" s="57">
        <f t="shared" si="20"/>
        <v>8.0476923076922988E-2</v>
      </c>
      <c r="W153" s="57">
        <f t="shared" si="21"/>
        <v>1.4507200000000012E-2</v>
      </c>
      <c r="X153" s="56">
        <v>650</v>
      </c>
      <c r="Y153" s="56">
        <v>500</v>
      </c>
    </row>
    <row r="154" spans="1:25" ht="16.5" thickBot="1" x14ac:dyDescent="0.3">
      <c r="B154" s="12"/>
      <c r="C154" s="19">
        <v>369.26</v>
      </c>
      <c r="D154" s="20">
        <v>25.152999999999999</v>
      </c>
      <c r="E154" s="20">
        <v>33.892000000000003</v>
      </c>
      <c r="F154" s="20">
        <v>34.686</v>
      </c>
      <c r="G154" s="20">
        <v>23.07</v>
      </c>
      <c r="H154" s="20">
        <f t="shared" si="17"/>
        <v>27.437000000000001</v>
      </c>
      <c r="I154" s="5"/>
      <c r="J154" s="19">
        <v>305.40960000000001</v>
      </c>
      <c r="K154" s="20">
        <v>26.208100000000002</v>
      </c>
      <c r="L154" s="20">
        <v>34.900300000000001</v>
      </c>
      <c r="M154" s="20">
        <v>35.6098</v>
      </c>
      <c r="N154" s="20">
        <v>18.4543</v>
      </c>
      <c r="O154" s="20">
        <f t="shared" si="18"/>
        <v>28.469837500000004</v>
      </c>
      <c r="P154" s="7"/>
      <c r="Q154" s="13"/>
      <c r="R154" s="14"/>
      <c r="S154" s="14"/>
      <c r="T154" s="27"/>
      <c r="U154" s="28">
        <f t="shared" si="19"/>
        <v>-0.20007368877329867</v>
      </c>
      <c r="V154" s="57">
        <f t="shared" si="20"/>
        <v>7.6850000000000029E-2</v>
      </c>
      <c r="W154" s="57">
        <f t="shared" si="21"/>
        <v>1.8032000000000038E-2</v>
      </c>
      <c r="X154" s="56">
        <v>400</v>
      </c>
      <c r="Y154" s="56">
        <v>300</v>
      </c>
    </row>
    <row r="155" spans="1:25" x14ac:dyDescent="0.25">
      <c r="B155" s="6" t="s">
        <v>52</v>
      </c>
      <c r="C155" s="15">
        <v>1433.24</v>
      </c>
      <c r="D155" s="16">
        <v>33.164999999999999</v>
      </c>
      <c r="E155" s="16">
        <v>36.814</v>
      </c>
      <c r="F155" s="16">
        <v>38.503</v>
      </c>
      <c r="G155" s="16">
        <v>12.24</v>
      </c>
      <c r="H155" s="16">
        <f t="shared" si="17"/>
        <v>34.288375000000002</v>
      </c>
      <c r="I155" s="5"/>
      <c r="J155" s="15">
        <v>1194.8127999999999</v>
      </c>
      <c r="K155" s="16">
        <v>32.7483</v>
      </c>
      <c r="L155" s="16">
        <v>37.621600000000001</v>
      </c>
      <c r="M155" s="16">
        <v>39.234200000000001</v>
      </c>
      <c r="N155" s="16">
        <v>8.5150000000000006</v>
      </c>
      <c r="O155" s="16">
        <f t="shared" si="18"/>
        <v>34.168199999999999</v>
      </c>
      <c r="P155" s="7"/>
      <c r="Q155" s="8">
        <f>bdrate(C155:C158,D155:D158,J155:J158,K155:K158)</f>
        <v>-0.1626089750459585</v>
      </c>
      <c r="R155" s="8">
        <f>bdrate(C155:C158,E155:E158,J155:J158,L155:L158)</f>
        <v>-0.44182346441551612</v>
      </c>
      <c r="S155" s="8">
        <f>bdrate(C155:C158,F155:F158,J155:J158,M155:M158)</f>
        <v>-0.4396010529562403</v>
      </c>
      <c r="T155" s="25">
        <f>bdrate(C155:C158,H155:H158,J155:J158,O155:O158)</f>
        <v>-0.20657030979709368</v>
      </c>
      <c r="U155" s="28">
        <f t="shared" si="19"/>
        <v>-0.3043300653594771</v>
      </c>
      <c r="V155" s="57">
        <f t="shared" si="20"/>
        <v>7.5329032258064504E-2</v>
      </c>
      <c r="W155" s="57">
        <f t="shared" si="21"/>
        <v>4.3226666666667298E-3</v>
      </c>
      <c r="X155" s="56">
        <v>1550</v>
      </c>
      <c r="Y155" s="56">
        <v>1200</v>
      </c>
    </row>
    <row r="156" spans="1:25" x14ac:dyDescent="0.25">
      <c r="B156" s="9"/>
      <c r="C156" s="17">
        <v>980.22</v>
      </c>
      <c r="D156" s="18">
        <v>31.574999999999999</v>
      </c>
      <c r="E156" s="18">
        <v>36.027000000000001</v>
      </c>
      <c r="F156" s="18">
        <v>37.692</v>
      </c>
      <c r="G156" s="18">
        <v>13.47</v>
      </c>
      <c r="H156" s="18">
        <f t="shared" si="17"/>
        <v>32.896124999999998</v>
      </c>
      <c r="I156" s="5"/>
      <c r="J156" s="17">
        <v>799.91679999999997</v>
      </c>
      <c r="K156" s="18">
        <v>31.223299999999998</v>
      </c>
      <c r="L156" s="18">
        <v>36.736400000000003</v>
      </c>
      <c r="M156" s="18">
        <v>38.3643</v>
      </c>
      <c r="N156" s="18">
        <v>10.0341</v>
      </c>
      <c r="O156" s="18">
        <f t="shared" si="18"/>
        <v>32.805062499999998</v>
      </c>
      <c r="P156" s="7"/>
      <c r="Q156" s="10"/>
      <c r="R156" s="11"/>
      <c r="S156" s="11"/>
      <c r="T156" s="26"/>
      <c r="U156" s="28">
        <f t="shared" si="19"/>
        <v>-0.25507795100222719</v>
      </c>
      <c r="V156" s="57">
        <f t="shared" si="20"/>
        <v>6.6457142857142826E-2</v>
      </c>
      <c r="W156" s="57">
        <f t="shared" si="21"/>
        <v>1.0400000000004183E-4</v>
      </c>
      <c r="X156" s="56">
        <v>1050</v>
      </c>
      <c r="Y156" s="56">
        <v>800</v>
      </c>
    </row>
    <row r="157" spans="1:25" x14ac:dyDescent="0.25">
      <c r="B157" s="9"/>
      <c r="C157" s="17">
        <v>614.34</v>
      </c>
      <c r="D157" s="18">
        <v>29.542999999999999</v>
      </c>
      <c r="E157" s="18">
        <v>35.127000000000002</v>
      </c>
      <c r="F157" s="18">
        <v>36.707999999999998</v>
      </c>
      <c r="G157" s="18">
        <v>15.55</v>
      </c>
      <c r="H157" s="18">
        <f t="shared" si="17"/>
        <v>31.136624999999999</v>
      </c>
      <c r="I157" s="5"/>
      <c r="J157" s="17">
        <v>501.13679999999999</v>
      </c>
      <c r="K157" s="18">
        <v>29.5443</v>
      </c>
      <c r="L157" s="18">
        <v>35.869399999999999</v>
      </c>
      <c r="M157" s="18">
        <v>37.517499999999998</v>
      </c>
      <c r="N157" s="18">
        <v>12.1669</v>
      </c>
      <c r="O157" s="18">
        <f t="shared" si="18"/>
        <v>31.331587499999998</v>
      </c>
      <c r="P157" s="7"/>
      <c r="Q157" s="10"/>
      <c r="R157" s="11"/>
      <c r="S157" s="11"/>
      <c r="T157" s="26"/>
      <c r="U157" s="28">
        <f t="shared" si="19"/>
        <v>-0.21756270096463026</v>
      </c>
      <c r="V157" s="57">
        <f t="shared" si="20"/>
        <v>5.4861538461538413E-2</v>
      </c>
      <c r="W157" s="57">
        <f t="shared" si="21"/>
        <v>2.2735999999999876E-3</v>
      </c>
      <c r="X157" s="56">
        <v>650</v>
      </c>
      <c r="Y157" s="56">
        <v>500</v>
      </c>
    </row>
    <row r="158" spans="1:25" ht="16.5" thickBot="1" x14ac:dyDescent="0.3">
      <c r="B158" s="12"/>
      <c r="C158" s="19">
        <v>379.69</v>
      </c>
      <c r="D158" s="20">
        <v>27.344999999999999</v>
      </c>
      <c r="E158" s="20">
        <v>34.127000000000002</v>
      </c>
      <c r="F158" s="20">
        <v>35.567</v>
      </c>
      <c r="G158" s="20">
        <v>18.95</v>
      </c>
      <c r="H158" s="20">
        <f t="shared" si="17"/>
        <v>29.220500000000001</v>
      </c>
      <c r="I158" s="5"/>
      <c r="J158" s="19">
        <v>303</v>
      </c>
      <c r="K158" s="20">
        <v>27.9908</v>
      </c>
      <c r="L158" s="20">
        <v>34.941899999999997</v>
      </c>
      <c r="M158" s="20">
        <v>36.5595</v>
      </c>
      <c r="N158" s="20">
        <v>15.020300000000001</v>
      </c>
      <c r="O158" s="20">
        <f t="shared" si="18"/>
        <v>29.930774999999997</v>
      </c>
      <c r="P158" s="7"/>
      <c r="Q158" s="13"/>
      <c r="R158" s="14"/>
      <c r="S158" s="14"/>
      <c r="T158" s="27"/>
      <c r="U158" s="28">
        <f t="shared" si="19"/>
        <v>-0.20737203166226906</v>
      </c>
      <c r="V158" s="57">
        <f t="shared" si="20"/>
        <v>5.0775000000000008E-2</v>
      </c>
      <c r="W158" s="57">
        <f t="shared" si="21"/>
        <v>0.01</v>
      </c>
      <c r="X158" s="56">
        <v>400</v>
      </c>
      <c r="Y158" s="56">
        <v>300</v>
      </c>
    </row>
    <row r="159" spans="1:25" x14ac:dyDescent="0.25">
      <c r="A159" s="6" t="s">
        <v>39</v>
      </c>
      <c r="B159" s="6" t="s">
        <v>53</v>
      </c>
      <c r="C159" s="15">
        <v>852.55</v>
      </c>
      <c r="D159" s="16">
        <v>35.881</v>
      </c>
      <c r="E159" s="16">
        <v>39.808999999999997</v>
      </c>
      <c r="F159" s="16">
        <v>38.604999999999997</v>
      </c>
      <c r="G159" s="16">
        <v>49.32</v>
      </c>
      <c r="H159" s="16">
        <f t="shared" si="17"/>
        <v>36.712499999999999</v>
      </c>
      <c r="I159" s="5"/>
      <c r="J159" s="15">
        <v>607.01840000000004</v>
      </c>
      <c r="K159" s="16">
        <v>34.791899999999998</v>
      </c>
      <c r="L159" s="16">
        <v>40.715600000000002</v>
      </c>
      <c r="M159" s="16">
        <v>39.1875</v>
      </c>
      <c r="N159" s="16">
        <v>37.985300000000002</v>
      </c>
      <c r="O159" s="16">
        <f t="shared" si="18"/>
        <v>36.081812499999998</v>
      </c>
      <c r="P159" s="7"/>
      <c r="Q159" s="8">
        <f>bdrate(C159:C162,D159:D162,J159:J162,K159:K162)</f>
        <v>-0.17846298251099202</v>
      </c>
      <c r="R159" s="8">
        <f>bdrate(C159:C162,E159:E162,J159:J162,L159:L162)</f>
        <v>-0.48413363059004932</v>
      </c>
      <c r="S159" s="8">
        <f>bdrate(C159:C162,F159:F162,J159:J162,M159:M162)</f>
        <v>-0.4102681841648157</v>
      </c>
      <c r="T159" s="25">
        <f>bdrate(C159:C162,H159:H162,J159:J162,O159:O162)</f>
        <v>-0.22752430554354575</v>
      </c>
      <c r="U159" s="28">
        <f t="shared" si="19"/>
        <v>-0.22981954582319541</v>
      </c>
      <c r="V159" s="57">
        <f t="shared" si="20"/>
        <v>6.568749999999994E-2</v>
      </c>
      <c r="W159" s="57">
        <f t="shared" si="21"/>
        <v>1.1697333333333403E-2</v>
      </c>
      <c r="X159" s="56">
        <v>800</v>
      </c>
      <c r="Y159" s="56">
        <v>600</v>
      </c>
    </row>
    <row r="160" spans="1:25" x14ac:dyDescent="0.25">
      <c r="A160" s="9" t="s">
        <v>40</v>
      </c>
      <c r="B160" s="9"/>
      <c r="C160" s="17">
        <v>535.79</v>
      </c>
      <c r="D160" s="18">
        <v>33.552</v>
      </c>
      <c r="E160" s="18">
        <v>38.448999999999998</v>
      </c>
      <c r="F160" s="18">
        <v>37.051000000000002</v>
      </c>
      <c r="G160" s="18">
        <v>56.16</v>
      </c>
      <c r="H160" s="18">
        <f t="shared" si="17"/>
        <v>34.601500000000001</v>
      </c>
      <c r="I160" s="5"/>
      <c r="J160" s="17">
        <v>401.57600000000002</v>
      </c>
      <c r="K160" s="18">
        <v>32.899299999999997</v>
      </c>
      <c r="L160" s="18">
        <v>39.444200000000002</v>
      </c>
      <c r="M160" s="18">
        <v>37.786700000000003</v>
      </c>
      <c r="N160" s="18">
        <v>44.322299999999998</v>
      </c>
      <c r="O160" s="18">
        <f t="shared" si="18"/>
        <v>34.328337499999996</v>
      </c>
      <c r="P160" s="7"/>
      <c r="Q160" s="10"/>
      <c r="R160" s="11"/>
      <c r="S160" s="11"/>
      <c r="T160" s="26"/>
      <c r="U160" s="28">
        <f t="shared" si="19"/>
        <v>-0.21078525641025639</v>
      </c>
      <c r="V160" s="57">
        <f t="shared" si="20"/>
        <v>7.1579999999999921E-2</v>
      </c>
      <c r="W160" s="57">
        <f t="shared" si="21"/>
        <v>3.9400000000000546E-3</v>
      </c>
      <c r="X160" s="56">
        <v>500</v>
      </c>
      <c r="Y160" s="56">
        <v>400</v>
      </c>
    </row>
    <row r="161" spans="1:25" x14ac:dyDescent="0.25">
      <c r="B161" s="9"/>
      <c r="C161" s="17">
        <v>326.47000000000003</v>
      </c>
      <c r="D161" s="18">
        <v>31.181000000000001</v>
      </c>
      <c r="E161" s="18">
        <v>37.281999999999996</v>
      </c>
      <c r="F161" s="18">
        <v>35.654000000000003</v>
      </c>
      <c r="G161" s="18">
        <v>64.400000000000006</v>
      </c>
      <c r="H161" s="18">
        <f t="shared" si="17"/>
        <v>32.502749999999999</v>
      </c>
      <c r="I161" s="5"/>
      <c r="J161" s="17">
        <v>253.09119999999999</v>
      </c>
      <c r="K161" s="18">
        <v>30.878799999999998</v>
      </c>
      <c r="L161" s="18">
        <v>38.271700000000003</v>
      </c>
      <c r="M161" s="18">
        <v>36.456400000000002</v>
      </c>
      <c r="N161" s="18">
        <v>53.510300000000001</v>
      </c>
      <c r="O161" s="18">
        <f t="shared" si="18"/>
        <v>32.5001125</v>
      </c>
      <c r="P161" s="7"/>
      <c r="Q161" s="10"/>
      <c r="R161" s="11"/>
      <c r="S161" s="11"/>
      <c r="T161" s="26"/>
      <c r="U161" s="28">
        <f t="shared" si="19"/>
        <v>-0.16909472049689447</v>
      </c>
      <c r="V161" s="57">
        <f t="shared" si="20"/>
        <v>8.8233333333333427E-2</v>
      </c>
      <c r="W161" s="57">
        <f t="shared" si="21"/>
        <v>1.2364799999999945E-2</v>
      </c>
      <c r="X161" s="56">
        <v>300</v>
      </c>
      <c r="Y161" s="56">
        <v>250</v>
      </c>
    </row>
    <row r="162" spans="1:25" ht="16.5" thickBot="1" x14ac:dyDescent="0.3">
      <c r="B162" s="12"/>
      <c r="C162" s="19">
        <v>168.19</v>
      </c>
      <c r="D162" s="20">
        <v>27.965</v>
      </c>
      <c r="E162" s="20">
        <v>35.85</v>
      </c>
      <c r="F162" s="20">
        <v>34.021000000000001</v>
      </c>
      <c r="G162" s="20">
        <v>80.55</v>
      </c>
      <c r="H162" s="20">
        <f t="shared" si="17"/>
        <v>29.707625</v>
      </c>
      <c r="I162" s="5"/>
      <c r="J162" s="19">
        <v>121.58159999999999</v>
      </c>
      <c r="K162" s="20">
        <v>27.9894</v>
      </c>
      <c r="L162" s="20">
        <v>36.535400000000003</v>
      </c>
      <c r="M162" s="20">
        <v>34.417000000000002</v>
      </c>
      <c r="N162" s="20">
        <v>75.769099999999995</v>
      </c>
      <c r="O162" s="20">
        <f t="shared" si="18"/>
        <v>29.8611</v>
      </c>
      <c r="P162" s="7"/>
      <c r="Q162" s="13"/>
      <c r="R162" s="14"/>
      <c r="S162" s="14"/>
      <c r="T162" s="27"/>
      <c r="U162" s="28">
        <f t="shared" si="19"/>
        <v>-5.9353196772191218E-2</v>
      </c>
      <c r="V162" s="57">
        <f t="shared" si="20"/>
        <v>0.12126666666666665</v>
      </c>
      <c r="W162" s="57">
        <f t="shared" si="21"/>
        <v>1.3179999999999954E-2</v>
      </c>
      <c r="X162" s="56">
        <v>150</v>
      </c>
      <c r="Y162" s="56">
        <v>120</v>
      </c>
    </row>
    <row r="163" spans="1:25" x14ac:dyDescent="0.25">
      <c r="B163" s="6" t="s">
        <v>54</v>
      </c>
      <c r="C163" s="15">
        <v>739.58</v>
      </c>
      <c r="D163" s="16">
        <v>32.561</v>
      </c>
      <c r="E163" s="16">
        <v>39.616999999999997</v>
      </c>
      <c r="F163" s="16">
        <v>40.326999999999998</v>
      </c>
      <c r="G163" s="16">
        <v>61.16</v>
      </c>
      <c r="H163" s="16">
        <f t="shared" si="17"/>
        <v>34.413749999999993</v>
      </c>
      <c r="I163" s="5"/>
      <c r="J163" s="15">
        <v>602.70079999999996</v>
      </c>
      <c r="K163" s="16">
        <v>33.792099999999998</v>
      </c>
      <c r="L163" s="16">
        <v>41.917400000000001</v>
      </c>
      <c r="M163" s="16">
        <v>42.842399999999998</v>
      </c>
      <c r="N163" s="16">
        <v>45.478700000000003</v>
      </c>
      <c r="O163" s="16">
        <f t="shared" si="18"/>
        <v>35.939049999999995</v>
      </c>
      <c r="P163" s="7"/>
      <c r="Q163" s="8">
        <f>bdrate(C163:C166,D163:D166,J163:J166,K163:K166)</f>
        <v>-0.48173138362001033</v>
      </c>
      <c r="R163" s="8">
        <f>bdrate(C163:C166,E163:E166,J163:J166,L163:L166)</f>
        <v>-0.72208607149054449</v>
      </c>
      <c r="S163" s="8">
        <f>bdrate(C163:C166,F163:F166,J163:J166,M163:M166)</f>
        <v>-0.74154678603919</v>
      </c>
      <c r="T163" s="25">
        <f>bdrate(C163:C166,H163:H166,J163:J166,O163:O166)</f>
        <v>-0.52671675762353742</v>
      </c>
      <c r="U163" s="28">
        <f t="shared" si="19"/>
        <v>-0.25639797253106594</v>
      </c>
      <c r="V163" s="57">
        <f t="shared" si="20"/>
        <v>7.5524999999999953E-2</v>
      </c>
      <c r="W163" s="57">
        <f t="shared" si="21"/>
        <v>4.5013333333332635E-3</v>
      </c>
      <c r="X163" s="56">
        <v>800</v>
      </c>
      <c r="Y163" s="56">
        <v>600</v>
      </c>
    </row>
    <row r="164" spans="1:25" x14ac:dyDescent="0.25">
      <c r="B164" s="9"/>
      <c r="C164" s="17">
        <v>456.92</v>
      </c>
      <c r="D164" s="18">
        <v>30.864000000000001</v>
      </c>
      <c r="E164" s="18">
        <v>39.08</v>
      </c>
      <c r="F164" s="18">
        <v>39.545000000000002</v>
      </c>
      <c r="G164" s="18">
        <v>70.349999999999994</v>
      </c>
      <c r="H164" s="18">
        <f t="shared" si="17"/>
        <v>32.976125000000003</v>
      </c>
      <c r="I164" s="5"/>
      <c r="J164" s="17">
        <v>400.93200000000002</v>
      </c>
      <c r="K164" s="18">
        <v>32.542299999999997</v>
      </c>
      <c r="L164" s="18">
        <v>41.103900000000003</v>
      </c>
      <c r="M164" s="18">
        <v>42.006599999999999</v>
      </c>
      <c r="N164" s="18">
        <v>52.700899999999997</v>
      </c>
      <c r="O164" s="18">
        <f t="shared" si="18"/>
        <v>34.795537500000002</v>
      </c>
      <c r="P164" s="7"/>
      <c r="Q164" s="10"/>
      <c r="R164" s="11"/>
      <c r="S164" s="11"/>
      <c r="T164" s="26"/>
      <c r="U164" s="28">
        <f t="shared" si="19"/>
        <v>-0.25087562189054724</v>
      </c>
      <c r="V164" s="57">
        <f t="shared" si="20"/>
        <v>8.6159999999999973E-2</v>
      </c>
      <c r="W164" s="57">
        <f t="shared" si="21"/>
        <v>2.3300000000000408E-3</v>
      </c>
      <c r="X164" s="56">
        <v>500</v>
      </c>
      <c r="Y164" s="56">
        <v>400</v>
      </c>
    </row>
    <row r="165" spans="1:25" x14ac:dyDescent="0.25">
      <c r="B165" s="9"/>
      <c r="C165" s="17">
        <v>271.51</v>
      </c>
      <c r="D165" s="18">
        <v>29.071000000000002</v>
      </c>
      <c r="E165" s="18">
        <v>38.543999999999997</v>
      </c>
      <c r="F165" s="18">
        <v>38.826999999999998</v>
      </c>
      <c r="G165" s="18">
        <v>80.430000000000007</v>
      </c>
      <c r="H165" s="18">
        <f t="shared" si="17"/>
        <v>31.474625000000003</v>
      </c>
      <c r="I165" s="5"/>
      <c r="J165" s="17">
        <v>249.90559999999999</v>
      </c>
      <c r="K165" s="18">
        <v>31.059200000000001</v>
      </c>
      <c r="L165" s="18">
        <v>40.084699999999998</v>
      </c>
      <c r="M165" s="18">
        <v>40.950000000000003</v>
      </c>
      <c r="N165" s="18">
        <v>62.137500000000003</v>
      </c>
      <c r="O165" s="18">
        <f t="shared" si="18"/>
        <v>33.423737500000001</v>
      </c>
      <c r="P165" s="7"/>
      <c r="Q165" s="10"/>
      <c r="R165" s="11"/>
      <c r="S165" s="11"/>
      <c r="T165" s="26"/>
      <c r="U165" s="28">
        <f t="shared" si="19"/>
        <v>-0.22743379336068634</v>
      </c>
      <c r="V165" s="57">
        <f t="shared" si="20"/>
        <v>9.4966666666666699E-2</v>
      </c>
      <c r="W165" s="57">
        <f t="shared" si="21"/>
        <v>3.7760000000002945E-4</v>
      </c>
      <c r="X165" s="56">
        <v>300</v>
      </c>
      <c r="Y165" s="56">
        <v>250</v>
      </c>
    </row>
    <row r="166" spans="1:25" ht="16.5" thickBot="1" x14ac:dyDescent="0.3">
      <c r="B166" s="12"/>
      <c r="C166" s="19">
        <v>134.65</v>
      </c>
      <c r="D166" s="20">
        <v>26.56</v>
      </c>
      <c r="E166" s="20">
        <v>37.869999999999997</v>
      </c>
      <c r="F166" s="20">
        <v>38.04</v>
      </c>
      <c r="G166" s="20">
        <v>92.82</v>
      </c>
      <c r="H166" s="20">
        <f t="shared" si="17"/>
        <v>29.408749999999998</v>
      </c>
      <c r="I166" s="5"/>
      <c r="J166" s="19">
        <v>119.4704</v>
      </c>
      <c r="K166" s="20">
        <v>28.5444</v>
      </c>
      <c r="L166" s="20">
        <v>38.935899999999997</v>
      </c>
      <c r="M166" s="20">
        <v>39.493699999999997</v>
      </c>
      <c r="N166" s="20">
        <v>85.409300000000002</v>
      </c>
      <c r="O166" s="20">
        <f t="shared" si="18"/>
        <v>31.212</v>
      </c>
      <c r="P166" s="7"/>
      <c r="Q166" s="13"/>
      <c r="R166" s="14"/>
      <c r="S166" s="14"/>
      <c r="T166" s="27"/>
      <c r="U166" s="28">
        <f t="shared" si="19"/>
        <v>-7.9839474251238871E-2</v>
      </c>
      <c r="V166" s="57">
        <f t="shared" si="20"/>
        <v>0.10233333333333329</v>
      </c>
      <c r="W166" s="57">
        <f t="shared" si="21"/>
        <v>4.4133333333333507E-3</v>
      </c>
      <c r="X166" s="56">
        <v>150</v>
      </c>
      <c r="Y166" s="56">
        <v>120</v>
      </c>
    </row>
    <row r="167" spans="1:25" x14ac:dyDescent="0.25">
      <c r="B167" s="6" t="s">
        <v>55</v>
      </c>
      <c r="C167" s="29">
        <v>826.52</v>
      </c>
      <c r="D167" s="30">
        <v>33.795999999999999</v>
      </c>
      <c r="E167" s="30">
        <v>37.314999999999998</v>
      </c>
      <c r="F167" s="30">
        <v>37.776000000000003</v>
      </c>
      <c r="G167" s="16">
        <v>50.57</v>
      </c>
      <c r="H167" s="16">
        <f t="shared" si="17"/>
        <v>34.733375000000002</v>
      </c>
      <c r="I167" s="5"/>
      <c r="J167" s="29">
        <v>617.08720000000005</v>
      </c>
      <c r="K167" s="30">
        <v>33.151600000000002</v>
      </c>
      <c r="L167" s="30">
        <v>38.880800000000001</v>
      </c>
      <c r="M167" s="30">
        <v>39.663200000000003</v>
      </c>
      <c r="N167" s="16">
        <v>44.369500000000002</v>
      </c>
      <c r="O167" s="16">
        <f t="shared" si="18"/>
        <v>34.681699999999999</v>
      </c>
      <c r="P167" s="7"/>
      <c r="Q167" s="8">
        <f>bdrate(C167:C170,D167:D170,J167:J170,K167:K170)</f>
        <v>-0.20021229808457208</v>
      </c>
      <c r="R167" s="8">
        <f>bdrate(C167:C170,E167:E170,J167:J170,L167:L170)</f>
        <v>-0.63207718741654584</v>
      </c>
      <c r="S167" s="8">
        <f>bdrate(C167:C170,F167:F170,J167:J170,M167:M170)</f>
        <v>-0.6636379237385136</v>
      </c>
      <c r="T167" s="25">
        <f>bdrate(C167:C170,H167:H170,J167:J170,O167:O170)</f>
        <v>-0.29545807587222173</v>
      </c>
      <c r="U167" s="28">
        <f t="shared" si="19"/>
        <v>-0.12261222068420008</v>
      </c>
      <c r="V167" s="57">
        <f t="shared" si="20"/>
        <v>3.3149999999999978E-2</v>
      </c>
      <c r="W167" s="57">
        <f t="shared" si="21"/>
        <v>2.8478666666666753E-2</v>
      </c>
      <c r="X167" s="56">
        <v>800</v>
      </c>
      <c r="Y167" s="56">
        <v>600</v>
      </c>
    </row>
    <row r="168" spans="1:25" x14ac:dyDescent="0.25">
      <c r="B168" s="9"/>
      <c r="C168" s="31">
        <v>514.69000000000005</v>
      </c>
      <c r="D168" s="32">
        <v>31.821000000000002</v>
      </c>
      <c r="E168" s="32">
        <v>36.116</v>
      </c>
      <c r="F168" s="32">
        <v>36.584000000000003</v>
      </c>
      <c r="G168" s="18">
        <v>56.61</v>
      </c>
      <c r="H168" s="18">
        <f t="shared" si="17"/>
        <v>32.953250000000004</v>
      </c>
      <c r="I168" s="5"/>
      <c r="J168" s="31">
        <v>411.452</v>
      </c>
      <c r="K168" s="32">
        <v>31.634899999999998</v>
      </c>
      <c r="L168" s="32">
        <v>37.892600000000002</v>
      </c>
      <c r="M168" s="32">
        <v>38.622599999999998</v>
      </c>
      <c r="N168" s="18">
        <v>49.505000000000003</v>
      </c>
      <c r="O168" s="18">
        <f t="shared" si="18"/>
        <v>33.290574999999997</v>
      </c>
      <c r="P168" s="7"/>
      <c r="Q168" s="10"/>
      <c r="R168" s="11"/>
      <c r="S168" s="11"/>
      <c r="T168" s="26"/>
      <c r="U168" s="28">
        <f t="shared" si="19"/>
        <v>-0.1255078608019784</v>
      </c>
      <c r="V168" s="57">
        <f t="shared" si="20"/>
        <v>2.9380000000000107E-2</v>
      </c>
      <c r="W168" s="57">
        <f t="shared" si="21"/>
        <v>2.8629999999999996E-2</v>
      </c>
      <c r="X168" s="56">
        <v>500</v>
      </c>
      <c r="Y168" s="56">
        <v>400</v>
      </c>
    </row>
    <row r="169" spans="1:25" x14ac:dyDescent="0.25">
      <c r="B169" s="9"/>
      <c r="C169" s="31">
        <v>306.56</v>
      </c>
      <c r="D169" s="32">
        <v>29.805</v>
      </c>
      <c r="E169" s="32">
        <v>35.122999999999998</v>
      </c>
      <c r="F169" s="32">
        <v>35.600999999999999</v>
      </c>
      <c r="G169" s="18">
        <v>64.36</v>
      </c>
      <c r="H169" s="18">
        <f t="shared" si="17"/>
        <v>31.194249999999997</v>
      </c>
      <c r="I169" s="5"/>
      <c r="J169" s="31">
        <v>258.57679999999999</v>
      </c>
      <c r="K169" s="32">
        <v>30.058700000000002</v>
      </c>
      <c r="L169" s="32">
        <v>36.816099999999999</v>
      </c>
      <c r="M169" s="32">
        <v>37.487099999999998</v>
      </c>
      <c r="N169" s="18">
        <v>57.6967</v>
      </c>
      <c r="O169" s="18">
        <f t="shared" si="18"/>
        <v>31.831925000000002</v>
      </c>
      <c r="P169" s="7"/>
      <c r="Q169" s="10"/>
      <c r="R169" s="11"/>
      <c r="S169" s="11"/>
      <c r="T169" s="26"/>
      <c r="U169" s="28">
        <f t="shared" si="19"/>
        <v>-0.10353169670602859</v>
      </c>
      <c r="V169" s="57">
        <f t="shared" si="20"/>
        <v>2.1866666666666673E-2</v>
      </c>
      <c r="W169" s="57">
        <f t="shared" si="21"/>
        <v>3.4307199999999968E-2</v>
      </c>
      <c r="X169" s="56">
        <v>300</v>
      </c>
      <c r="Y169" s="56">
        <v>250</v>
      </c>
    </row>
    <row r="170" spans="1:25" ht="16.5" thickBot="1" x14ac:dyDescent="0.3">
      <c r="B170" s="12"/>
      <c r="C170" s="33">
        <v>150.35</v>
      </c>
      <c r="D170" s="34">
        <v>27.283000000000001</v>
      </c>
      <c r="E170" s="34">
        <v>34.027999999999999</v>
      </c>
      <c r="F170" s="34">
        <v>34.543999999999997</v>
      </c>
      <c r="G170" s="20">
        <v>80.19</v>
      </c>
      <c r="H170" s="20">
        <f t="shared" si="17"/>
        <v>29.033749999999998</v>
      </c>
      <c r="I170" s="5"/>
      <c r="J170" s="33">
        <v>122.7192</v>
      </c>
      <c r="K170" s="34">
        <v>27.638100000000001</v>
      </c>
      <c r="L170" s="34">
        <v>35.288499999999999</v>
      </c>
      <c r="M170" s="34">
        <v>35.934699999999999</v>
      </c>
      <c r="N170" s="20">
        <v>76.242800000000003</v>
      </c>
      <c r="O170" s="20">
        <f t="shared" si="18"/>
        <v>29.631474999999998</v>
      </c>
      <c r="P170" s="7"/>
      <c r="Q170" s="13"/>
      <c r="R170" s="14"/>
      <c r="S170" s="14"/>
      <c r="T170" s="27"/>
      <c r="U170" s="28">
        <f t="shared" si="19"/>
        <v>-4.9223095149021019E-2</v>
      </c>
      <c r="V170" s="57">
        <f t="shared" si="20"/>
        <v>2.3333333333332954E-3</v>
      </c>
      <c r="W170" s="57">
        <f t="shared" si="21"/>
        <v>2.2660000000000007E-2</v>
      </c>
      <c r="X170" s="56">
        <v>150</v>
      </c>
      <c r="Y170" s="56">
        <v>120</v>
      </c>
    </row>
    <row r="171" spans="1:25" x14ac:dyDescent="0.25">
      <c r="B171" s="6" t="s">
        <v>56</v>
      </c>
      <c r="C171" s="15">
        <v>762.48</v>
      </c>
      <c r="D171" s="16">
        <v>35.545000000000002</v>
      </c>
      <c r="E171" s="16">
        <v>37.749000000000002</v>
      </c>
      <c r="F171" s="16">
        <v>38.884</v>
      </c>
      <c r="G171" s="16">
        <v>38.92</v>
      </c>
      <c r="H171" s="16">
        <f t="shared" si="17"/>
        <v>36.237875000000003</v>
      </c>
      <c r="I171" s="5"/>
      <c r="J171" s="15">
        <v>600.66079999999999</v>
      </c>
      <c r="K171" s="16">
        <v>34.198300000000003</v>
      </c>
      <c r="L171" s="16">
        <v>38.609400000000001</v>
      </c>
      <c r="M171" s="16">
        <v>39.737099999999998</v>
      </c>
      <c r="N171" s="16">
        <v>26.469000000000001</v>
      </c>
      <c r="O171" s="16">
        <f t="shared" si="18"/>
        <v>35.442037499999998</v>
      </c>
      <c r="P171" s="7"/>
      <c r="Q171" s="8">
        <f>bdrate(C171:C174,D171:D174,J171:J174,K171:K174)</f>
        <v>-3.4410816688067447E-2</v>
      </c>
      <c r="R171" s="8">
        <f>bdrate(C171:C174,E171:E174,J171:J174,L171:L174)</f>
        <v>-0.42459013722938621</v>
      </c>
      <c r="S171" s="8">
        <f>bdrate(C171:C174,F171:F174,J171:J174,M171:M174)</f>
        <v>-0.42323121265583141</v>
      </c>
      <c r="T171" s="25">
        <f>bdrate(C171:C174,H171:H174,J171:J174,O171:O174)</f>
        <v>-0.10829334447226235</v>
      </c>
      <c r="U171" s="28">
        <f t="shared" si="19"/>
        <v>-0.319912641315519</v>
      </c>
      <c r="V171" s="57">
        <f t="shared" si="20"/>
        <v>4.6899999999999976E-2</v>
      </c>
      <c r="W171" s="57">
        <f t="shared" si="21"/>
        <v>1.1013333333333246E-3</v>
      </c>
      <c r="X171" s="56">
        <v>800</v>
      </c>
      <c r="Y171" s="56">
        <v>600</v>
      </c>
    </row>
    <row r="172" spans="1:25" x14ac:dyDescent="0.25">
      <c r="B172" s="9"/>
      <c r="C172" s="17">
        <v>479.2</v>
      </c>
      <c r="D172" s="18">
        <v>33.216000000000001</v>
      </c>
      <c r="E172" s="18">
        <v>36.436999999999998</v>
      </c>
      <c r="F172" s="18">
        <v>37.554000000000002</v>
      </c>
      <c r="G172" s="18">
        <v>42.89</v>
      </c>
      <c r="H172" s="18">
        <f t="shared" si="17"/>
        <v>34.160875000000004</v>
      </c>
      <c r="I172" s="5"/>
      <c r="J172" s="17">
        <v>400.44080000000002</v>
      </c>
      <c r="K172" s="18">
        <v>32.2941</v>
      </c>
      <c r="L172" s="18">
        <v>37.374200000000002</v>
      </c>
      <c r="M172" s="18">
        <v>38.512</v>
      </c>
      <c r="N172" s="18">
        <v>32.003399999999999</v>
      </c>
      <c r="O172" s="18">
        <f t="shared" si="18"/>
        <v>33.70635</v>
      </c>
      <c r="P172" s="7"/>
      <c r="Q172" s="10"/>
      <c r="R172" s="11"/>
      <c r="S172" s="11"/>
      <c r="T172" s="26"/>
      <c r="U172" s="28">
        <f t="shared" si="19"/>
        <v>-0.25382606668221036</v>
      </c>
      <c r="V172" s="57">
        <f t="shared" si="20"/>
        <v>4.1600000000000026E-2</v>
      </c>
      <c r="W172" s="57">
        <f t="shared" si="21"/>
        <v>1.1020000000000606E-3</v>
      </c>
      <c r="X172" s="56">
        <v>500</v>
      </c>
      <c r="Y172" s="56">
        <v>400</v>
      </c>
    </row>
    <row r="173" spans="1:25" x14ac:dyDescent="0.25">
      <c r="B173" s="9"/>
      <c r="C173" s="17">
        <v>289.25</v>
      </c>
      <c r="D173" s="18">
        <v>30.914999999999999</v>
      </c>
      <c r="E173" s="18">
        <v>35.200000000000003</v>
      </c>
      <c r="F173" s="18">
        <v>36.319000000000003</v>
      </c>
      <c r="G173" s="18">
        <v>49.33</v>
      </c>
      <c r="H173" s="18">
        <f t="shared" si="17"/>
        <v>32.126125000000002</v>
      </c>
      <c r="I173" s="5"/>
      <c r="J173" s="17">
        <v>254.196</v>
      </c>
      <c r="K173" s="18">
        <v>30.484300000000001</v>
      </c>
      <c r="L173" s="18">
        <v>36.203299999999999</v>
      </c>
      <c r="M173" s="18">
        <v>37.317100000000003</v>
      </c>
      <c r="N173" s="18">
        <v>38.774700000000003</v>
      </c>
      <c r="O173" s="18">
        <f t="shared" si="18"/>
        <v>32.053274999999999</v>
      </c>
      <c r="P173" s="7"/>
      <c r="Q173" s="10"/>
      <c r="R173" s="11"/>
      <c r="S173" s="11"/>
      <c r="T173" s="26"/>
      <c r="U173" s="28">
        <f t="shared" si="19"/>
        <v>-0.21397324143523203</v>
      </c>
      <c r="V173" s="57">
        <f t="shared" si="20"/>
        <v>3.5833333333333335E-2</v>
      </c>
      <c r="W173" s="57">
        <f t="shared" si="21"/>
        <v>1.6783999999999993E-2</v>
      </c>
      <c r="X173" s="56">
        <v>300</v>
      </c>
      <c r="Y173" s="56">
        <v>250</v>
      </c>
    </row>
    <row r="174" spans="1:25" ht="16.5" thickBot="1" x14ac:dyDescent="0.3">
      <c r="B174" s="12"/>
      <c r="C174" s="19">
        <v>143.78</v>
      </c>
      <c r="D174" s="20">
        <v>27.844999999999999</v>
      </c>
      <c r="E174" s="20">
        <v>33.76</v>
      </c>
      <c r="F174" s="20">
        <v>34.777000000000001</v>
      </c>
      <c r="G174" s="20">
        <v>62.58</v>
      </c>
      <c r="H174" s="20">
        <f t="shared" si="17"/>
        <v>29.450874999999996</v>
      </c>
      <c r="I174" s="5"/>
      <c r="J174" s="19">
        <v>121.8784</v>
      </c>
      <c r="K174" s="20">
        <v>27.9453</v>
      </c>
      <c r="L174" s="20">
        <v>34.664499999999997</v>
      </c>
      <c r="M174" s="20">
        <v>35.750399999999999</v>
      </c>
      <c r="N174" s="20">
        <v>53.361800000000002</v>
      </c>
      <c r="O174" s="20">
        <f t="shared" si="18"/>
        <v>29.760837500000001</v>
      </c>
      <c r="P174" s="7"/>
      <c r="Q174" s="13"/>
      <c r="R174" s="14"/>
      <c r="S174" s="14"/>
      <c r="T174" s="27"/>
      <c r="U174" s="28">
        <f t="shared" si="19"/>
        <v>-0.14730265260466596</v>
      </c>
      <c r="V174" s="57">
        <f t="shared" si="20"/>
        <v>4.1466666666666659E-2</v>
      </c>
      <c r="W174" s="57">
        <f t="shared" si="21"/>
        <v>1.5653333333333328E-2</v>
      </c>
      <c r="X174" s="56">
        <v>150</v>
      </c>
      <c r="Y174" s="56">
        <v>120</v>
      </c>
    </row>
    <row r="175" spans="1:25" x14ac:dyDescent="0.25">
      <c r="A175" s="6" t="s">
        <v>41</v>
      </c>
      <c r="B175" s="6" t="s">
        <v>57</v>
      </c>
      <c r="C175" s="15">
        <v>1905.74</v>
      </c>
      <c r="D175" s="16">
        <v>41.366</v>
      </c>
      <c r="E175" s="16">
        <v>44.939</v>
      </c>
      <c r="F175" s="16">
        <v>46.021999999999998</v>
      </c>
      <c r="G175" s="16">
        <v>12.01</v>
      </c>
      <c r="H175" s="16">
        <f t="shared" si="17"/>
        <v>42.394624999999998</v>
      </c>
      <c r="I175" s="5"/>
      <c r="J175" s="15">
        <v>1507.9168</v>
      </c>
      <c r="K175" s="16">
        <v>41.652200000000001</v>
      </c>
      <c r="L175" s="16">
        <v>46.395400000000002</v>
      </c>
      <c r="M175" s="16">
        <v>47.662500000000001</v>
      </c>
      <c r="N175" s="16">
        <v>14.708</v>
      </c>
      <c r="O175" s="16">
        <f t="shared" si="18"/>
        <v>42.996387500000004</v>
      </c>
      <c r="P175" s="7"/>
      <c r="Q175" s="8">
        <f>bdrate(C175:C178,D175:D178,J175:J178,K175:K178)</f>
        <v>-0.34970346856700885</v>
      </c>
      <c r="R175" s="8">
        <f>bdrate(C175:C178,E175:E178,J175:J178,L175:L178)</f>
        <v>-0.57654677825659972</v>
      </c>
      <c r="S175" s="8">
        <f>bdrate(C175:C178,F175:F178,J175:J178,M175:M178)</f>
        <v>-0.58214819911739046</v>
      </c>
      <c r="T175" s="25">
        <f>bdrate(C175:C178,H175:H178,J175:J178,O175:O178)</f>
        <v>-0.40201203459936463</v>
      </c>
      <c r="U175" s="28">
        <f t="shared" si="19"/>
        <v>0.22464612822647798</v>
      </c>
      <c r="V175" s="57">
        <f t="shared" si="20"/>
        <v>9.2504761904761895E-2</v>
      </c>
      <c r="W175" s="57">
        <f t="shared" si="21"/>
        <v>5.2778666666666446E-3</v>
      </c>
      <c r="X175" s="56">
        <v>2100</v>
      </c>
      <c r="Y175" s="56">
        <v>1500</v>
      </c>
    </row>
    <row r="176" spans="1:25" x14ac:dyDescent="0.25">
      <c r="A176" s="9" t="s">
        <v>42</v>
      </c>
      <c r="B176" s="9"/>
      <c r="C176" s="17">
        <v>1244.18</v>
      </c>
      <c r="D176" s="18">
        <v>40.124000000000002</v>
      </c>
      <c r="E176" s="18">
        <v>43.906999999999996</v>
      </c>
      <c r="F176" s="18">
        <v>44.991999999999997</v>
      </c>
      <c r="G176" s="18">
        <v>13.45</v>
      </c>
      <c r="H176" s="18">
        <f t="shared" si="17"/>
        <v>41.205375000000004</v>
      </c>
      <c r="I176" s="5"/>
      <c r="J176" s="17">
        <v>988.81200000000001</v>
      </c>
      <c r="K176" s="18">
        <v>40.541800000000002</v>
      </c>
      <c r="L176" s="18">
        <v>45.489600000000003</v>
      </c>
      <c r="M176" s="18">
        <v>46.722700000000003</v>
      </c>
      <c r="N176" s="18">
        <v>17.732600000000001</v>
      </c>
      <c r="O176" s="18">
        <f t="shared" si="18"/>
        <v>41.932887500000007</v>
      </c>
      <c r="P176" s="7"/>
      <c r="Q176" s="10"/>
      <c r="R176" s="11"/>
      <c r="S176" s="11"/>
      <c r="T176" s="26"/>
      <c r="U176" s="28">
        <f t="shared" si="19"/>
        <v>0.31840892193308568</v>
      </c>
      <c r="V176" s="57">
        <f t="shared" si="20"/>
        <v>0.11129999999999995</v>
      </c>
      <c r="W176" s="57">
        <f t="shared" si="21"/>
        <v>1.1187999999999988E-2</v>
      </c>
      <c r="X176" s="56">
        <v>1400</v>
      </c>
      <c r="Y176" s="56">
        <v>1000</v>
      </c>
    </row>
    <row r="177" spans="1:25" x14ac:dyDescent="0.25">
      <c r="B177" s="9"/>
      <c r="C177" s="17">
        <v>738.59</v>
      </c>
      <c r="D177" s="18">
        <v>37.869999999999997</v>
      </c>
      <c r="E177" s="18">
        <v>42.258000000000003</v>
      </c>
      <c r="F177" s="18">
        <v>43.381999999999998</v>
      </c>
      <c r="G177" s="18">
        <v>14.9</v>
      </c>
      <c r="H177" s="18">
        <f t="shared" si="17"/>
        <v>39.107499999999995</v>
      </c>
      <c r="I177" s="5"/>
      <c r="J177" s="17">
        <v>564.71280000000002</v>
      </c>
      <c r="K177" s="18">
        <v>38.610999999999997</v>
      </c>
      <c r="L177" s="18">
        <v>44.037199999999999</v>
      </c>
      <c r="M177" s="18">
        <v>45.209200000000003</v>
      </c>
      <c r="N177" s="18">
        <v>22.483699999999999</v>
      </c>
      <c r="O177" s="18">
        <f t="shared" si="18"/>
        <v>40.114049999999999</v>
      </c>
      <c r="P177" s="7"/>
      <c r="Q177" s="10"/>
      <c r="R177" s="11"/>
      <c r="S177" s="11"/>
      <c r="T177" s="26"/>
      <c r="U177" s="28">
        <f t="shared" si="19"/>
        <v>0.50897315436241597</v>
      </c>
      <c r="V177" s="57">
        <f t="shared" si="20"/>
        <v>0.13107058823529408</v>
      </c>
      <c r="W177" s="57">
        <f t="shared" si="21"/>
        <v>5.8811999999999975E-2</v>
      </c>
      <c r="X177" s="56">
        <v>850</v>
      </c>
      <c r="Y177" s="56">
        <v>600</v>
      </c>
    </row>
    <row r="178" spans="1:25" ht="16.5" thickBot="1" x14ac:dyDescent="0.3">
      <c r="B178" s="12"/>
      <c r="C178" s="19">
        <v>341.01</v>
      </c>
      <c r="D178" s="20">
        <v>33.345999999999997</v>
      </c>
      <c r="E178" s="20">
        <v>40.003</v>
      </c>
      <c r="F178" s="20">
        <v>41.006999999999998</v>
      </c>
      <c r="G178" s="20">
        <v>16.8</v>
      </c>
      <c r="H178" s="20">
        <f t="shared" si="17"/>
        <v>35.135749999999994</v>
      </c>
      <c r="I178" s="5"/>
      <c r="J178" s="19">
        <v>277.37439999999998</v>
      </c>
      <c r="K178" s="20">
        <v>35.3476</v>
      </c>
      <c r="L178" s="20">
        <v>41.947099999999999</v>
      </c>
      <c r="M178" s="20">
        <v>42.995699999999999</v>
      </c>
      <c r="N178" s="20">
        <v>29.702999999999999</v>
      </c>
      <c r="O178" s="20">
        <f t="shared" si="18"/>
        <v>37.128550000000004</v>
      </c>
      <c r="P178" s="7"/>
      <c r="Q178" s="13"/>
      <c r="R178" s="14"/>
      <c r="S178" s="14"/>
      <c r="T178" s="27"/>
      <c r="U178" s="28">
        <f t="shared" si="19"/>
        <v>0.76803571428571416</v>
      </c>
      <c r="V178" s="57">
        <f t="shared" si="20"/>
        <v>0.14747500000000002</v>
      </c>
      <c r="W178" s="57">
        <f t="shared" si="21"/>
        <v>7.5418666666666731E-2</v>
      </c>
      <c r="X178" s="56">
        <v>400</v>
      </c>
      <c r="Y178" s="56">
        <v>300</v>
      </c>
    </row>
    <row r="179" spans="1:25" x14ac:dyDescent="0.25">
      <c r="B179" s="6" t="s">
        <v>58</v>
      </c>
      <c r="C179" s="15">
        <v>1972.3</v>
      </c>
      <c r="D179" s="16">
        <v>42.337000000000003</v>
      </c>
      <c r="E179" s="16">
        <v>46.875999999999998</v>
      </c>
      <c r="F179" s="16">
        <v>47.357999999999997</v>
      </c>
      <c r="G179" s="16">
        <v>11.44</v>
      </c>
      <c r="H179" s="16">
        <f t="shared" si="17"/>
        <v>43.532000000000004</v>
      </c>
      <c r="I179" s="5"/>
      <c r="J179" s="15">
        <v>1536.9552000000001</v>
      </c>
      <c r="K179" s="16">
        <v>42.752200000000002</v>
      </c>
      <c r="L179" s="16">
        <v>48.155500000000004</v>
      </c>
      <c r="M179" s="16">
        <v>48.916400000000003</v>
      </c>
      <c r="N179" s="16">
        <v>15.8474</v>
      </c>
      <c r="O179" s="16">
        <f t="shared" si="18"/>
        <v>44.198137500000001</v>
      </c>
      <c r="P179" s="7"/>
      <c r="Q179" s="8">
        <f>bdrate(C179:C182,D179:D182,J179:J182,K179:K182)</f>
        <v>-0.49942557653495012</v>
      </c>
      <c r="R179" s="8">
        <f>bdrate(C179:C182,E179:E182,J179:J182,L179:L182)</f>
        <v>-0.72855230196770315</v>
      </c>
      <c r="S179" s="8">
        <f>bdrate(C179:C182,F179:F182,J179:J182,M179:M182)</f>
        <v>-0.752493475518063</v>
      </c>
      <c r="T179" s="25">
        <f>bdrate(C179:C182,H179:H182,J179:J182,O179:O182)</f>
        <v>-0.5762288406846543</v>
      </c>
      <c r="U179" s="28">
        <f t="shared" ref="U179:U186" si="22">(N179-G179)/G179</f>
        <v>0.38526223776223784</v>
      </c>
      <c r="V179" s="57">
        <f t="shared" si="20"/>
        <v>6.0809523809523834E-2</v>
      </c>
      <c r="W179" s="57">
        <f t="shared" ref="W179:W186" si="23">ABS(J179-Y179)/Y179</f>
        <v>2.463680000000007E-2</v>
      </c>
      <c r="X179" s="56">
        <v>2100</v>
      </c>
      <c r="Y179" s="56">
        <v>1500</v>
      </c>
    </row>
    <row r="180" spans="1:25" x14ac:dyDescent="0.25">
      <c r="B180" s="9"/>
      <c r="C180" s="17">
        <v>1295.5</v>
      </c>
      <c r="D180" s="18">
        <v>41.674999999999997</v>
      </c>
      <c r="E180" s="18">
        <v>45.899000000000001</v>
      </c>
      <c r="F180" s="18">
        <v>46.249000000000002</v>
      </c>
      <c r="G180" s="18">
        <v>12.72</v>
      </c>
      <c r="H180" s="18">
        <f t="shared" si="17"/>
        <v>42.774749999999997</v>
      </c>
      <c r="I180" s="5"/>
      <c r="J180" s="17">
        <v>1010.5208</v>
      </c>
      <c r="K180" s="18">
        <v>42.292200000000001</v>
      </c>
      <c r="L180" s="18">
        <v>47.750799999999998</v>
      </c>
      <c r="M180" s="18">
        <v>48.417999999999999</v>
      </c>
      <c r="N180" s="18">
        <v>19.631599999999999</v>
      </c>
      <c r="O180" s="18">
        <f t="shared" si="18"/>
        <v>43.740250000000003</v>
      </c>
      <c r="P180" s="7"/>
      <c r="Q180" s="10"/>
      <c r="R180" s="11"/>
      <c r="S180" s="11"/>
      <c r="T180" s="26"/>
      <c r="U180" s="28">
        <f t="shared" si="22"/>
        <v>0.54336477987421372</v>
      </c>
      <c r="V180" s="57">
        <f t="shared" ref="V180:V186" si="24">ABS(C180-X180)/X180</f>
        <v>7.464285714285715E-2</v>
      </c>
      <c r="W180" s="57">
        <f t="shared" si="23"/>
        <v>1.0520800000000009E-2</v>
      </c>
      <c r="X180" s="56">
        <v>1400</v>
      </c>
      <c r="Y180" s="56">
        <v>1000</v>
      </c>
    </row>
    <row r="181" spans="1:25" x14ac:dyDescent="0.25">
      <c r="B181" s="9"/>
      <c r="C181" s="17">
        <v>760.82</v>
      </c>
      <c r="D181" s="18">
        <v>40.432000000000002</v>
      </c>
      <c r="E181" s="18">
        <v>44.558</v>
      </c>
      <c r="F181" s="18">
        <v>45.116</v>
      </c>
      <c r="G181" s="18">
        <v>14.09</v>
      </c>
      <c r="H181" s="18">
        <f t="shared" si="17"/>
        <v>41.533250000000002</v>
      </c>
      <c r="I181" s="5"/>
      <c r="J181" s="17">
        <v>578.2328</v>
      </c>
      <c r="K181" s="18">
        <v>41.446800000000003</v>
      </c>
      <c r="L181" s="18">
        <v>47.022199999999998</v>
      </c>
      <c r="M181" s="18">
        <v>47.700899999999997</v>
      </c>
      <c r="N181" s="18">
        <v>24.389299999999999</v>
      </c>
      <c r="O181" s="18">
        <f t="shared" si="18"/>
        <v>42.925487500000003</v>
      </c>
      <c r="P181" s="7"/>
      <c r="Q181" s="10"/>
      <c r="R181" s="11"/>
      <c r="S181" s="11"/>
      <c r="T181" s="26"/>
      <c r="U181" s="28">
        <f t="shared" si="22"/>
        <v>0.73096522356281046</v>
      </c>
      <c r="V181" s="57">
        <f t="shared" si="24"/>
        <v>0.10491764705882348</v>
      </c>
      <c r="W181" s="57">
        <f t="shared" si="23"/>
        <v>3.6278666666666674E-2</v>
      </c>
      <c r="X181" s="56">
        <v>850</v>
      </c>
      <c r="Y181" s="56">
        <v>600</v>
      </c>
    </row>
    <row r="182" spans="1:25" ht="16.5" thickBot="1" x14ac:dyDescent="0.3">
      <c r="B182" s="12"/>
      <c r="C182" s="19">
        <v>337.25</v>
      </c>
      <c r="D182" s="20">
        <v>37.220999999999997</v>
      </c>
      <c r="E182" s="20">
        <v>42.017000000000003</v>
      </c>
      <c r="F182" s="20">
        <v>43.048000000000002</v>
      </c>
      <c r="G182" s="20">
        <v>16.45</v>
      </c>
      <c r="H182" s="20">
        <f t="shared" si="17"/>
        <v>38.548874999999995</v>
      </c>
      <c r="I182" s="5"/>
      <c r="J182" s="19">
        <v>291.16800000000001</v>
      </c>
      <c r="K182" s="20">
        <v>39.513599999999997</v>
      </c>
      <c r="L182" s="20">
        <v>45.168500000000002</v>
      </c>
      <c r="M182" s="20">
        <v>45.648299999999999</v>
      </c>
      <c r="N182" s="20">
        <v>32.952500000000001</v>
      </c>
      <c r="O182" s="20">
        <f t="shared" si="18"/>
        <v>40.987299999999998</v>
      </c>
      <c r="P182" s="7"/>
      <c r="Q182" s="13"/>
      <c r="R182" s="14"/>
      <c r="S182" s="14"/>
      <c r="T182" s="27"/>
      <c r="U182" s="28">
        <f t="shared" si="22"/>
        <v>1.0031914893617022</v>
      </c>
      <c r="V182" s="57">
        <f t="shared" si="24"/>
        <v>0.15687499999999999</v>
      </c>
      <c r="W182" s="57">
        <f t="shared" si="23"/>
        <v>2.943999999999998E-2</v>
      </c>
      <c r="X182" s="56">
        <v>400</v>
      </c>
      <c r="Y182" s="56">
        <v>300</v>
      </c>
    </row>
    <row r="183" spans="1:25" x14ac:dyDescent="0.25">
      <c r="B183" s="6" t="s">
        <v>59</v>
      </c>
      <c r="C183" s="15">
        <v>2054.21</v>
      </c>
      <c r="D183" s="16">
        <v>42.448999999999998</v>
      </c>
      <c r="E183" s="16">
        <v>46.158999999999999</v>
      </c>
      <c r="F183" s="16">
        <v>46.77</v>
      </c>
      <c r="G183" s="16">
        <v>10.74</v>
      </c>
      <c r="H183" s="16">
        <f t="shared" si="17"/>
        <v>43.452874999999999</v>
      </c>
      <c r="I183" s="5"/>
      <c r="J183" s="15">
        <v>1544.1976</v>
      </c>
      <c r="K183" s="16">
        <v>42.709899999999998</v>
      </c>
      <c r="L183" s="16">
        <v>47.416200000000003</v>
      </c>
      <c r="M183" s="16">
        <v>48.315300000000001</v>
      </c>
      <c r="N183" s="16">
        <v>14.157</v>
      </c>
      <c r="O183" s="16">
        <f t="shared" si="18"/>
        <v>43.998862499999994</v>
      </c>
      <c r="P183" s="7"/>
      <c r="Q183" s="8">
        <f>bdrate(C183:C186,D183:D186,J183:J186,K183:K186)</f>
        <v>-0.40559283142081215</v>
      </c>
      <c r="R183" s="8">
        <f>bdrate(C183:C186,E183:E186,J183:J186,L183:L186)</f>
        <v>-0.63473870264451426</v>
      </c>
      <c r="S183" s="8">
        <f>bdrate(C183:C186,F183:F186,J183:J186,M183:M186)</f>
        <v>-0.65818499852026613</v>
      </c>
      <c r="T183" s="25">
        <f>bdrate(C183:C186,H183:H186,J183:J186,O183:O186)</f>
        <v>-0.4728326360930174</v>
      </c>
      <c r="U183" s="28">
        <f t="shared" si="22"/>
        <v>0.31815642458100557</v>
      </c>
      <c r="V183" s="57">
        <f t="shared" si="24"/>
        <v>2.1804761904761886E-2</v>
      </c>
      <c r="W183" s="57">
        <f t="shared" si="23"/>
        <v>2.9465066666666644E-2</v>
      </c>
      <c r="X183" s="56">
        <v>2100</v>
      </c>
      <c r="Y183" s="56">
        <v>1500</v>
      </c>
    </row>
    <row r="184" spans="1:25" x14ac:dyDescent="0.25">
      <c r="B184" s="9"/>
      <c r="C184" s="17">
        <v>1349.17</v>
      </c>
      <c r="D184" s="18">
        <v>41.502000000000002</v>
      </c>
      <c r="E184" s="18">
        <v>45.02</v>
      </c>
      <c r="F184" s="18">
        <v>45.692</v>
      </c>
      <c r="G184" s="18">
        <v>11.97</v>
      </c>
      <c r="H184" s="18">
        <f t="shared" si="17"/>
        <v>42.465499999999999</v>
      </c>
      <c r="I184" s="5"/>
      <c r="J184" s="17">
        <v>1010.9367999999999</v>
      </c>
      <c r="K184" s="18">
        <v>41.911299999999997</v>
      </c>
      <c r="L184" s="18">
        <v>46.728200000000001</v>
      </c>
      <c r="M184" s="18">
        <v>47.632899999999999</v>
      </c>
      <c r="N184" s="18">
        <v>17.286100000000001</v>
      </c>
      <c r="O184" s="18">
        <f t="shared" si="18"/>
        <v>43.228612499999997</v>
      </c>
      <c r="P184" s="7"/>
      <c r="Q184" s="10"/>
      <c r="R184" s="11"/>
      <c r="S184" s="11"/>
      <c r="T184" s="26"/>
      <c r="U184" s="28">
        <f t="shared" si="22"/>
        <v>0.44411862990810363</v>
      </c>
      <c r="V184" s="57">
        <f t="shared" si="24"/>
        <v>3.6307142857142802E-2</v>
      </c>
      <c r="W184" s="57">
        <f t="shared" si="23"/>
        <v>1.0936799999999948E-2</v>
      </c>
      <c r="X184" s="56">
        <v>1400</v>
      </c>
      <c r="Y184" s="56">
        <v>1000</v>
      </c>
    </row>
    <row r="185" spans="1:25" x14ac:dyDescent="0.25">
      <c r="B185" s="9"/>
      <c r="C185" s="17">
        <v>805.51</v>
      </c>
      <c r="D185" s="18">
        <v>39.713000000000001</v>
      </c>
      <c r="E185" s="18">
        <v>43.262</v>
      </c>
      <c r="F185" s="18">
        <v>44.008000000000003</v>
      </c>
      <c r="G185" s="18">
        <v>13.29</v>
      </c>
      <c r="H185" s="18">
        <f t="shared" si="17"/>
        <v>40.6935</v>
      </c>
      <c r="I185" s="5"/>
      <c r="J185" s="17">
        <v>598.10640000000001</v>
      </c>
      <c r="K185" s="18">
        <v>40.502699999999997</v>
      </c>
      <c r="L185" s="18">
        <v>45.4664</v>
      </c>
      <c r="M185" s="18">
        <v>46.348199999999999</v>
      </c>
      <c r="N185" s="18">
        <v>21.870699999999999</v>
      </c>
      <c r="O185" s="18">
        <f t="shared" si="18"/>
        <v>41.853850000000001</v>
      </c>
      <c r="P185" s="7"/>
      <c r="Q185" s="10"/>
      <c r="R185" s="11"/>
      <c r="S185" s="11"/>
      <c r="T185" s="26"/>
      <c r="U185" s="28">
        <f t="shared" si="22"/>
        <v>0.6456508653122649</v>
      </c>
      <c r="V185" s="57">
        <f t="shared" si="24"/>
        <v>5.2341176470588245E-2</v>
      </c>
      <c r="W185" s="57">
        <f t="shared" si="23"/>
        <v>3.1559999999999869E-3</v>
      </c>
      <c r="X185" s="56">
        <v>850</v>
      </c>
      <c r="Y185" s="56">
        <v>600</v>
      </c>
    </row>
    <row r="186" spans="1:25" ht="16.5" thickBot="1" x14ac:dyDescent="0.3">
      <c r="B186" s="12"/>
      <c r="C186" s="19">
        <v>372.71</v>
      </c>
      <c r="D186" s="20">
        <v>36.015000000000001</v>
      </c>
      <c r="E186" s="20">
        <v>41.088999999999999</v>
      </c>
      <c r="F186" s="20">
        <v>41.542999999999999</v>
      </c>
      <c r="G186" s="20">
        <v>15.7</v>
      </c>
      <c r="H186" s="20">
        <f t="shared" si="17"/>
        <v>37.340249999999997</v>
      </c>
      <c r="I186" s="5"/>
      <c r="J186" s="19">
        <v>295.24959999999999</v>
      </c>
      <c r="K186" s="20">
        <v>37.9788</v>
      </c>
      <c r="L186" s="20">
        <v>43.514899999999997</v>
      </c>
      <c r="M186" s="20">
        <v>44.359499999999997</v>
      </c>
      <c r="N186" s="20">
        <v>29.753</v>
      </c>
      <c r="O186" s="20">
        <f t="shared" si="18"/>
        <v>39.468400000000003</v>
      </c>
      <c r="P186" s="7"/>
      <c r="Q186" s="13"/>
      <c r="R186" s="14"/>
      <c r="S186" s="14"/>
      <c r="T186" s="27"/>
      <c r="U186" s="28">
        <f t="shared" si="22"/>
        <v>0.89509554140127401</v>
      </c>
      <c r="V186" s="57">
        <f t="shared" si="24"/>
        <v>6.8225000000000049E-2</v>
      </c>
      <c r="W186" s="57">
        <f t="shared" si="23"/>
        <v>1.5834666666666712E-2</v>
      </c>
      <c r="X186" s="56">
        <v>400</v>
      </c>
      <c r="Y186" s="56">
        <v>300</v>
      </c>
    </row>
    <row r="187" spans="1:25" x14ac:dyDescent="0.25">
      <c r="A187" s="6" t="s">
        <v>80</v>
      </c>
      <c r="B187" s="6" t="s">
        <v>81</v>
      </c>
      <c r="C187" s="15">
        <v>1525.91</v>
      </c>
      <c r="D187" s="16">
        <v>40.756</v>
      </c>
      <c r="E187" s="16">
        <v>47.040999999999997</v>
      </c>
      <c r="F187" s="16">
        <v>45.680999999999997</v>
      </c>
      <c r="G187" s="16">
        <v>5.27</v>
      </c>
      <c r="H187" s="16">
        <f t="shared" ref="H187:H209" si="25">(6*D187+E187+F187)/8</f>
        <v>42.157249999999998</v>
      </c>
      <c r="I187" s="5"/>
      <c r="J187" s="15">
        <v>1001.1624</v>
      </c>
      <c r="K187" s="16">
        <v>39.846200000000003</v>
      </c>
      <c r="L187" s="16">
        <v>46.953899999999997</v>
      </c>
      <c r="M187" s="16">
        <v>45.600999999999999</v>
      </c>
      <c r="N187" s="16">
        <v>5.7925000000000004</v>
      </c>
      <c r="O187" s="16">
        <f t="shared" ref="O187:O209" si="26">(6*K187+L187+M187)/8</f>
        <v>41.454012499999997</v>
      </c>
      <c r="P187" s="7"/>
      <c r="Q187" s="8">
        <f>bdrate(C187:C190,D187:D190,J187:J190,K187:K190)</f>
        <v>-0.33121759141347995</v>
      </c>
      <c r="R187" s="8">
        <f>bdrate(C187:C190,E187:E190,J187:J190,L187:L190)</f>
        <v>-0.47667667053348006</v>
      </c>
      <c r="S187" s="8">
        <f>bdrate(C187:C190,F187:F190,J187:J190,M187:M190)</f>
        <v>-0.45200365137391829</v>
      </c>
      <c r="T187" s="25">
        <f>bdrate(C187:C190,H187:H190,J187:J190,O187:O190)</f>
        <v>-0.35726096978282595</v>
      </c>
      <c r="U187" s="28">
        <f t="shared" ref="U187:U209" si="27">(N187-G187)/G187</f>
        <v>9.9146110056926168E-2</v>
      </c>
      <c r="V187" s="57">
        <f t="shared" ref="V187:V230" si="28">ABS(C187-X187)/X187</f>
        <v>1.7273333333333387E-2</v>
      </c>
      <c r="W187" s="57">
        <f t="shared" ref="W187:W230" si="29">ABS(J187-Y187)/Y187</f>
        <v>1.1624000000000478E-3</v>
      </c>
      <c r="X187" s="56">
        <v>1500</v>
      </c>
      <c r="Y187" s="56">
        <v>1000</v>
      </c>
    </row>
    <row r="188" spans="1:25" x14ac:dyDescent="0.25">
      <c r="A188" s="9"/>
      <c r="B188" s="9"/>
      <c r="C188" s="17">
        <v>1019.73</v>
      </c>
      <c r="D188" s="18">
        <v>38.991999999999997</v>
      </c>
      <c r="E188" s="18">
        <v>45.686</v>
      </c>
      <c r="F188" s="18">
        <v>44.338000000000001</v>
      </c>
      <c r="G188" s="18">
        <v>5.92</v>
      </c>
      <c r="H188" s="18">
        <f t="shared" si="25"/>
        <v>40.497</v>
      </c>
      <c r="I188" s="5"/>
      <c r="J188" s="17">
        <v>600.4357</v>
      </c>
      <c r="K188" s="18">
        <v>37.942799999999998</v>
      </c>
      <c r="L188" s="18">
        <v>45.744199999999999</v>
      </c>
      <c r="M188" s="18">
        <v>44.316499999999998</v>
      </c>
      <c r="N188" s="18">
        <v>7.1776</v>
      </c>
      <c r="O188" s="18">
        <f t="shared" si="26"/>
        <v>39.714687499999997</v>
      </c>
      <c r="P188" s="7"/>
      <c r="Q188" s="10"/>
      <c r="R188" s="11"/>
      <c r="S188" s="11"/>
      <c r="T188" s="26"/>
      <c r="U188" s="28">
        <f t="shared" si="27"/>
        <v>0.21243243243243246</v>
      </c>
      <c r="V188" s="57">
        <f t="shared" si="28"/>
        <v>1.9730000000000018E-2</v>
      </c>
      <c r="W188" s="57">
        <f t="shared" si="29"/>
        <v>7.2616666666666186E-4</v>
      </c>
      <c r="X188" s="56">
        <v>1000</v>
      </c>
      <c r="Y188" s="56">
        <v>600</v>
      </c>
    </row>
    <row r="189" spans="1:25" x14ac:dyDescent="0.25">
      <c r="B189" s="9"/>
      <c r="C189" s="17">
        <v>612.47</v>
      </c>
      <c r="D189" s="18">
        <v>36.411000000000001</v>
      </c>
      <c r="E189" s="18">
        <v>43.838000000000001</v>
      </c>
      <c r="F189" s="18">
        <v>42.561999999999998</v>
      </c>
      <c r="G189" s="18">
        <v>6.89</v>
      </c>
      <c r="H189" s="18">
        <f t="shared" si="25"/>
        <v>38.108250000000005</v>
      </c>
      <c r="I189" s="5"/>
      <c r="J189" s="17">
        <v>297.1671</v>
      </c>
      <c r="K189" s="18">
        <v>35.045000000000002</v>
      </c>
      <c r="L189" s="18">
        <v>44.000100000000003</v>
      </c>
      <c r="M189" s="18">
        <v>42.463700000000003</v>
      </c>
      <c r="N189" s="18">
        <v>9.9385999999999992</v>
      </c>
      <c r="O189" s="18">
        <f t="shared" si="26"/>
        <v>37.091725000000004</v>
      </c>
      <c r="P189" s="7"/>
      <c r="Q189" s="10"/>
      <c r="R189" s="11"/>
      <c r="S189" s="11"/>
      <c r="T189" s="26"/>
      <c r="U189" s="28">
        <f t="shared" si="27"/>
        <v>0.44246734397677789</v>
      </c>
      <c r="V189" s="57">
        <f t="shared" si="28"/>
        <v>2.0783333333333379E-2</v>
      </c>
      <c r="W189" s="57">
        <f t="shared" si="29"/>
        <v>9.4429999999999844E-3</v>
      </c>
      <c r="X189" s="56">
        <v>600</v>
      </c>
      <c r="Y189" s="56">
        <v>300</v>
      </c>
    </row>
    <row r="190" spans="1:25" ht="16.5" thickBot="1" x14ac:dyDescent="0.3">
      <c r="B190" s="12"/>
      <c r="C190" s="19">
        <v>302.61</v>
      </c>
      <c r="D190" s="20">
        <v>31.768000000000001</v>
      </c>
      <c r="E190" s="20">
        <v>41.215000000000003</v>
      </c>
      <c r="F190" s="20">
        <v>39.97</v>
      </c>
      <c r="G190" s="20">
        <v>8.6300000000000008</v>
      </c>
      <c r="H190" s="20">
        <f t="shared" si="25"/>
        <v>33.974125000000001</v>
      </c>
      <c r="I190" s="5"/>
      <c r="J190" s="19">
        <v>196.47730000000001</v>
      </c>
      <c r="K190" s="20">
        <v>33.165799999999997</v>
      </c>
      <c r="L190" s="20">
        <v>42.9131</v>
      </c>
      <c r="M190" s="20">
        <v>41.321399999999997</v>
      </c>
      <c r="N190" s="20">
        <v>12.2683</v>
      </c>
      <c r="O190" s="20">
        <f t="shared" si="26"/>
        <v>35.403662499999996</v>
      </c>
      <c r="P190" s="7"/>
      <c r="Q190" s="13"/>
      <c r="R190" s="14"/>
      <c r="S190" s="14"/>
      <c r="T190" s="27"/>
      <c r="U190" s="28">
        <f t="shared" si="27"/>
        <v>0.42158748551564296</v>
      </c>
      <c r="V190" s="57">
        <f t="shared" si="28"/>
        <v>8.7000000000000462E-3</v>
      </c>
      <c r="W190" s="57">
        <f t="shared" si="29"/>
        <v>1.7613499999999931E-2</v>
      </c>
      <c r="X190" s="56">
        <v>300</v>
      </c>
      <c r="Y190" s="56">
        <v>200</v>
      </c>
    </row>
    <row r="191" spans="1:25" x14ac:dyDescent="0.25">
      <c r="B191" s="6" t="s">
        <v>82</v>
      </c>
      <c r="C191" s="29">
        <v>1464.82</v>
      </c>
      <c r="D191" s="30">
        <v>41.960999999999999</v>
      </c>
      <c r="E191" s="30">
        <v>47.225000000000001</v>
      </c>
      <c r="F191" s="30">
        <v>46.945</v>
      </c>
      <c r="G191" s="16">
        <v>5.68</v>
      </c>
      <c r="H191" s="16">
        <f t="shared" si="25"/>
        <v>43.241999999999997</v>
      </c>
      <c r="I191" s="5"/>
      <c r="J191" s="29">
        <v>1005.5012</v>
      </c>
      <c r="K191" s="30">
        <v>41.066499999999998</v>
      </c>
      <c r="L191" s="30">
        <v>47.339100000000002</v>
      </c>
      <c r="M191" s="30">
        <v>47.039400000000001</v>
      </c>
      <c r="N191" s="16">
        <v>5.9471999999999996</v>
      </c>
      <c r="O191" s="16">
        <f t="shared" si="26"/>
        <v>42.597187500000004</v>
      </c>
      <c r="P191" s="7"/>
      <c r="Q191" s="8">
        <f>bdrate(C191:C194,D191:D194,J191:J194,K191:K194)</f>
        <v>-0.28775457208322108</v>
      </c>
      <c r="R191" s="8">
        <f>bdrate(C191:C194,E191:E194,J191:J194,L191:L194)</f>
        <v>-0.47811558545348032</v>
      </c>
      <c r="S191" s="8">
        <f>bdrate(C191:C194,F191:F194,J191:J194,M191:M194)</f>
        <v>-0.48666660389361205</v>
      </c>
      <c r="T191" s="25">
        <f>bdrate(C191:C194,H191:H194,J191:J194,O191:O194)</f>
        <v>-0.3266311921486631</v>
      </c>
      <c r="U191" s="28">
        <f t="shared" si="27"/>
        <v>4.7042253521126745E-2</v>
      </c>
      <c r="V191" s="57">
        <f t="shared" si="28"/>
        <v>2.3453333333333375E-2</v>
      </c>
      <c r="W191" s="57">
        <f t="shared" si="29"/>
        <v>5.5012000000000403E-3</v>
      </c>
      <c r="X191" s="56">
        <v>1500</v>
      </c>
      <c r="Y191" s="56">
        <v>1000</v>
      </c>
    </row>
    <row r="192" spans="1:25" x14ac:dyDescent="0.25">
      <c r="B192" s="9"/>
      <c r="C192" s="31">
        <v>972.65</v>
      </c>
      <c r="D192" s="32">
        <v>40.25</v>
      </c>
      <c r="E192" s="32">
        <v>46.011000000000003</v>
      </c>
      <c r="F192" s="32">
        <v>45.709000000000003</v>
      </c>
      <c r="G192" s="18">
        <v>6.35</v>
      </c>
      <c r="H192" s="18">
        <f t="shared" si="25"/>
        <v>41.652500000000003</v>
      </c>
      <c r="I192" s="5"/>
      <c r="J192" s="31">
        <v>602.59580000000005</v>
      </c>
      <c r="K192" s="32">
        <v>39.276000000000003</v>
      </c>
      <c r="L192" s="32">
        <v>46.2532</v>
      </c>
      <c r="M192" s="32">
        <v>45.993499999999997</v>
      </c>
      <c r="N192" s="18">
        <v>7.3962000000000003</v>
      </c>
      <c r="O192" s="18">
        <f t="shared" si="26"/>
        <v>40.987837499999998</v>
      </c>
      <c r="P192" s="7"/>
      <c r="Q192" s="10"/>
      <c r="R192" s="11"/>
      <c r="S192" s="11"/>
      <c r="T192" s="26"/>
      <c r="U192" s="28">
        <f t="shared" si="27"/>
        <v>0.16475590551181113</v>
      </c>
      <c r="V192" s="57">
        <f t="shared" si="28"/>
        <v>2.7350000000000024E-2</v>
      </c>
      <c r="W192" s="57">
        <f t="shared" si="29"/>
        <v>4.3263333333334233E-3</v>
      </c>
      <c r="X192" s="56">
        <v>1000</v>
      </c>
      <c r="Y192" s="56">
        <v>600</v>
      </c>
    </row>
    <row r="193" spans="2:25" x14ac:dyDescent="0.25">
      <c r="B193" s="9"/>
      <c r="C193" s="31">
        <v>580.32000000000005</v>
      </c>
      <c r="D193" s="32">
        <v>37.92</v>
      </c>
      <c r="E193" s="32">
        <v>44.375999999999998</v>
      </c>
      <c r="F193" s="32">
        <v>44.064</v>
      </c>
      <c r="G193" s="18">
        <v>7.36</v>
      </c>
      <c r="H193" s="18">
        <f t="shared" si="25"/>
        <v>39.495000000000005</v>
      </c>
      <c r="I193" s="5"/>
      <c r="J193" s="31">
        <v>301.28210000000001</v>
      </c>
      <c r="K193" s="32">
        <v>36.787599999999998</v>
      </c>
      <c r="L193" s="32">
        <v>44.677</v>
      </c>
      <c r="M193" s="32">
        <v>44.429900000000004</v>
      </c>
      <c r="N193" s="18">
        <v>10.295500000000001</v>
      </c>
      <c r="O193" s="18">
        <f t="shared" si="26"/>
        <v>38.729062499999998</v>
      </c>
      <c r="P193" s="7"/>
      <c r="Q193" s="10"/>
      <c r="R193" s="11"/>
      <c r="S193" s="11"/>
      <c r="T193" s="26"/>
      <c r="U193" s="28">
        <f t="shared" si="27"/>
        <v>0.39884510869565221</v>
      </c>
      <c r="V193" s="57">
        <f t="shared" si="28"/>
        <v>3.2799999999999919E-2</v>
      </c>
      <c r="W193" s="57">
        <f t="shared" si="29"/>
        <v>4.2736666666667138E-3</v>
      </c>
      <c r="X193" s="56">
        <v>600</v>
      </c>
      <c r="Y193" s="56">
        <v>300</v>
      </c>
    </row>
    <row r="194" spans="2:25" ht="16.5" thickBot="1" x14ac:dyDescent="0.3">
      <c r="B194" s="12"/>
      <c r="C194" s="33">
        <v>287.2</v>
      </c>
      <c r="D194" s="34">
        <v>34.048999999999999</v>
      </c>
      <c r="E194" s="34">
        <v>42.082999999999998</v>
      </c>
      <c r="F194" s="34">
        <v>41.746000000000002</v>
      </c>
      <c r="G194" s="20">
        <v>9.0399999999999991</v>
      </c>
      <c r="H194" s="20">
        <f t="shared" si="25"/>
        <v>36.015374999999999</v>
      </c>
      <c r="I194" s="5"/>
      <c r="J194" s="33">
        <v>200.0634</v>
      </c>
      <c r="K194" s="34">
        <v>35.244399999999999</v>
      </c>
      <c r="L194" s="34">
        <v>43.770699999999998</v>
      </c>
      <c r="M194" s="34">
        <v>43.492899999999999</v>
      </c>
      <c r="N194" s="20">
        <v>12.585599999999999</v>
      </c>
      <c r="O194" s="20">
        <f t="shared" si="26"/>
        <v>37.341250000000002</v>
      </c>
      <c r="P194" s="7"/>
      <c r="Q194" s="13"/>
      <c r="R194" s="14"/>
      <c r="S194" s="14"/>
      <c r="T194" s="27"/>
      <c r="U194" s="28">
        <f t="shared" si="27"/>
        <v>0.39221238938053105</v>
      </c>
      <c r="V194" s="57">
        <f t="shared" si="28"/>
        <v>4.2666666666666707E-2</v>
      </c>
      <c r="W194" s="57">
        <f t="shared" si="29"/>
        <v>3.1700000000000727E-4</v>
      </c>
      <c r="X194" s="56">
        <v>300</v>
      </c>
      <c r="Y194" s="56">
        <v>200</v>
      </c>
    </row>
    <row r="195" spans="2:25" x14ac:dyDescent="0.25">
      <c r="B195" s="6" t="s">
        <v>83</v>
      </c>
      <c r="C195" s="15">
        <v>1501.8</v>
      </c>
      <c r="D195" s="16">
        <v>38.747</v>
      </c>
      <c r="E195" s="16">
        <v>46.951000000000001</v>
      </c>
      <c r="F195" s="16">
        <v>45.264000000000003</v>
      </c>
      <c r="G195" s="16">
        <v>5.63</v>
      </c>
      <c r="H195" s="16">
        <f t="shared" si="25"/>
        <v>40.587125</v>
      </c>
      <c r="I195" s="5"/>
      <c r="J195" s="15">
        <v>1005.7179</v>
      </c>
      <c r="K195" s="16">
        <v>37.814</v>
      </c>
      <c r="L195" s="16">
        <v>46.872</v>
      </c>
      <c r="M195" s="16">
        <v>45.325000000000003</v>
      </c>
      <c r="N195" s="16">
        <v>5.6536999999999997</v>
      </c>
      <c r="O195" s="16">
        <f t="shared" si="26"/>
        <v>39.885125000000002</v>
      </c>
      <c r="P195" s="7"/>
      <c r="Q195" s="8">
        <f>bdrate(C195:C198,D195:D198,J195:J198,K195:K198)</f>
        <v>-0.29268370006045796</v>
      </c>
      <c r="R195" s="8">
        <f>bdrate(C195:C198,E195:E198,J195:J198,L195:L198)</f>
        <v>-0.43769513309599584</v>
      </c>
      <c r="S195" s="8">
        <f>bdrate(C195:C198,F195:F198,J195:J198,M195:M198)</f>
        <v>-0.47821685900146538</v>
      </c>
      <c r="T195" s="25">
        <f>bdrate(C195:C198,H195:H198,J195:J198,O195:O198)</f>
        <v>-0.32529370470478824</v>
      </c>
      <c r="U195" s="28">
        <f t="shared" si="27"/>
        <v>4.2095914742450854E-3</v>
      </c>
      <c r="V195" s="57">
        <f t="shared" si="28"/>
        <v>1.1999999999999698E-3</v>
      </c>
      <c r="W195" s="57">
        <f t="shared" si="29"/>
        <v>5.7178999999999858E-3</v>
      </c>
      <c r="X195" s="56">
        <v>1500</v>
      </c>
      <c r="Y195" s="56">
        <v>1000</v>
      </c>
    </row>
    <row r="196" spans="2:25" x14ac:dyDescent="0.25">
      <c r="B196" s="9"/>
      <c r="C196" s="17">
        <v>1000.87</v>
      </c>
      <c r="D196" s="18">
        <v>37.134999999999998</v>
      </c>
      <c r="E196" s="18">
        <v>45.881</v>
      </c>
      <c r="F196" s="18">
        <v>44.087000000000003</v>
      </c>
      <c r="G196" s="18">
        <v>6.3</v>
      </c>
      <c r="H196" s="18">
        <f t="shared" si="25"/>
        <v>39.097250000000003</v>
      </c>
      <c r="I196" s="5"/>
      <c r="J196" s="17">
        <v>602.96609999999998</v>
      </c>
      <c r="K196" s="18">
        <v>36.106499999999997</v>
      </c>
      <c r="L196" s="18">
        <v>45.853999999999999</v>
      </c>
      <c r="M196" s="18">
        <v>44.2639</v>
      </c>
      <c r="N196" s="18">
        <v>7.0404</v>
      </c>
      <c r="O196" s="18">
        <f t="shared" si="26"/>
        <v>38.344612499999997</v>
      </c>
      <c r="P196" s="7"/>
      <c r="Q196" s="10"/>
      <c r="R196" s="11"/>
      <c r="S196" s="11"/>
      <c r="T196" s="26"/>
      <c r="U196" s="28">
        <f t="shared" si="27"/>
        <v>0.11752380952380956</v>
      </c>
      <c r="V196" s="57">
        <f t="shared" si="28"/>
        <v>8.7000000000000456E-4</v>
      </c>
      <c r="W196" s="57">
        <f t="shared" si="29"/>
        <v>4.9434999999999722E-3</v>
      </c>
      <c r="X196" s="56">
        <v>1000</v>
      </c>
      <c r="Y196" s="56">
        <v>600</v>
      </c>
    </row>
    <row r="197" spans="2:25" x14ac:dyDescent="0.25">
      <c r="B197" s="9"/>
      <c r="C197" s="17">
        <v>599.66</v>
      </c>
      <c r="D197" s="18">
        <v>34.932000000000002</v>
      </c>
      <c r="E197" s="18">
        <v>44.356999999999999</v>
      </c>
      <c r="F197" s="18">
        <v>42.491</v>
      </c>
      <c r="G197" s="18">
        <v>7.24</v>
      </c>
      <c r="H197" s="18">
        <f t="shared" si="25"/>
        <v>37.055</v>
      </c>
      <c r="I197" s="5"/>
      <c r="J197" s="17">
        <v>300.77280000000002</v>
      </c>
      <c r="K197" s="18">
        <v>33.694600000000001</v>
      </c>
      <c r="L197" s="18">
        <v>44.294199999999996</v>
      </c>
      <c r="M197" s="18">
        <v>42.665999999999997</v>
      </c>
      <c r="N197" s="18">
        <v>9.6854999999999993</v>
      </c>
      <c r="O197" s="18">
        <f t="shared" si="26"/>
        <v>36.140974999999997</v>
      </c>
      <c r="P197" s="7"/>
      <c r="Q197" s="10"/>
      <c r="R197" s="11"/>
      <c r="S197" s="11"/>
      <c r="T197" s="26"/>
      <c r="U197" s="28">
        <f t="shared" si="27"/>
        <v>0.33777624309392251</v>
      </c>
      <c r="V197" s="57">
        <f t="shared" si="28"/>
        <v>5.6666666666671972E-4</v>
      </c>
      <c r="W197" s="57">
        <f t="shared" si="29"/>
        <v>2.5760000000000596E-3</v>
      </c>
      <c r="X197" s="56">
        <v>600</v>
      </c>
      <c r="Y197" s="56">
        <v>300</v>
      </c>
    </row>
    <row r="198" spans="2:25" ht="16.5" thickBot="1" x14ac:dyDescent="0.3">
      <c r="B198" s="12"/>
      <c r="C198" s="19">
        <v>297.08</v>
      </c>
      <c r="D198" s="20">
        <v>31.164999999999999</v>
      </c>
      <c r="E198" s="20">
        <v>42.168999999999997</v>
      </c>
      <c r="F198" s="20">
        <v>40.353000000000002</v>
      </c>
      <c r="G198" s="20">
        <v>8.92</v>
      </c>
      <c r="H198" s="20">
        <f t="shared" si="25"/>
        <v>33.689</v>
      </c>
      <c r="I198" s="5"/>
      <c r="J198" s="19">
        <v>200.00579999999999</v>
      </c>
      <c r="K198" s="20">
        <v>32.133699999999997</v>
      </c>
      <c r="L198" s="20">
        <v>43.423299999999998</v>
      </c>
      <c r="M198" s="20">
        <v>41.716700000000003</v>
      </c>
      <c r="N198" s="20">
        <v>11.8758</v>
      </c>
      <c r="O198" s="20">
        <f t="shared" si="26"/>
        <v>34.742774999999995</v>
      </c>
      <c r="P198" s="7"/>
      <c r="Q198" s="13"/>
      <c r="R198" s="14"/>
      <c r="S198" s="14"/>
      <c r="T198" s="27"/>
      <c r="U198" s="28">
        <f t="shared" si="27"/>
        <v>0.33136771300448431</v>
      </c>
      <c r="V198" s="57">
        <f t="shared" si="28"/>
        <v>9.7333333333333872E-3</v>
      </c>
      <c r="W198" s="57">
        <f t="shared" si="29"/>
        <v>2.8999999999967942E-5</v>
      </c>
      <c r="X198" s="56">
        <v>300</v>
      </c>
      <c r="Y198" s="56">
        <v>200</v>
      </c>
    </row>
    <row r="199" spans="2:25" x14ac:dyDescent="0.25">
      <c r="B199" s="6" t="s">
        <v>84</v>
      </c>
      <c r="C199" s="15">
        <v>1484.94</v>
      </c>
      <c r="D199" s="16">
        <v>37.712000000000003</v>
      </c>
      <c r="E199" s="16">
        <v>46.898000000000003</v>
      </c>
      <c r="F199" s="16">
        <v>45.24</v>
      </c>
      <c r="G199" s="16">
        <v>5.5</v>
      </c>
      <c r="H199" s="16">
        <f t="shared" si="25"/>
        <v>39.801250000000003</v>
      </c>
      <c r="I199" s="5"/>
      <c r="J199" s="15">
        <v>1002.8557</v>
      </c>
      <c r="K199" s="16">
        <v>36.782200000000003</v>
      </c>
      <c r="L199" s="16">
        <v>46.735599999999998</v>
      </c>
      <c r="M199" s="16">
        <v>45.241900000000001</v>
      </c>
      <c r="N199" s="16">
        <v>5.5072000000000001</v>
      </c>
      <c r="O199" s="16">
        <f t="shared" si="26"/>
        <v>39.083837500000001</v>
      </c>
      <c r="P199" s="7"/>
      <c r="Q199" s="8">
        <f>bdrate(C199:C202,D199:D202,J199:J202,K199:K202)</f>
        <v>-0.28961929383551122</v>
      </c>
      <c r="R199" s="8">
        <f>bdrate(C199:C202,E199:E202,J199:J202,L199:L202)</f>
        <v>-0.40121290880009752</v>
      </c>
      <c r="S199" s="8">
        <f>bdrate(C199:C202,F199:F202,J199:J202,M199:M202)</f>
        <v>-0.47478145787708914</v>
      </c>
      <c r="T199" s="25">
        <f>bdrate(C199:C202,H199:H202,J199:J202,O199:O202)</f>
        <v>-0.31950687406925116</v>
      </c>
      <c r="U199" s="28">
        <f t="shared" si="27"/>
        <v>1.3090909090909264E-3</v>
      </c>
      <c r="V199" s="57">
        <f t="shared" si="28"/>
        <v>1.0039999999999964E-2</v>
      </c>
      <c r="W199" s="57">
        <f t="shared" si="29"/>
        <v>2.8556999999999563E-3</v>
      </c>
      <c r="X199" s="56">
        <v>1500</v>
      </c>
      <c r="Y199" s="56">
        <v>1000</v>
      </c>
    </row>
    <row r="200" spans="2:25" x14ac:dyDescent="0.25">
      <c r="B200" s="9"/>
      <c r="C200" s="17">
        <v>988.3</v>
      </c>
      <c r="D200" s="18">
        <v>36.112000000000002</v>
      </c>
      <c r="E200" s="18">
        <v>45.889000000000003</v>
      </c>
      <c r="F200" s="18">
        <v>44.058999999999997</v>
      </c>
      <c r="G200" s="18">
        <v>6.21</v>
      </c>
      <c r="H200" s="18">
        <f t="shared" si="25"/>
        <v>38.327500000000001</v>
      </c>
      <c r="I200" s="5"/>
      <c r="J200" s="17">
        <v>600.40560000000005</v>
      </c>
      <c r="K200" s="18">
        <v>35.1265</v>
      </c>
      <c r="L200" s="18">
        <v>45.726700000000001</v>
      </c>
      <c r="M200" s="18">
        <v>44.2453</v>
      </c>
      <c r="N200" s="18">
        <v>6.8029000000000002</v>
      </c>
      <c r="O200" s="18">
        <f t="shared" si="26"/>
        <v>37.591374999999999</v>
      </c>
      <c r="P200" s="7"/>
      <c r="Q200" s="10"/>
      <c r="R200" s="11"/>
      <c r="S200" s="11"/>
      <c r="T200" s="26"/>
      <c r="U200" s="28">
        <f t="shared" si="27"/>
        <v>9.5475040257648983E-2</v>
      </c>
      <c r="V200" s="57">
        <f t="shared" si="28"/>
        <v>1.1700000000000045E-2</v>
      </c>
      <c r="W200" s="57">
        <f t="shared" si="29"/>
        <v>6.7600000000008246E-4</v>
      </c>
      <c r="X200" s="56">
        <v>1000</v>
      </c>
      <c r="Y200" s="56">
        <v>600</v>
      </c>
    </row>
    <row r="201" spans="2:25" x14ac:dyDescent="0.25">
      <c r="B201" s="9"/>
      <c r="C201" s="17">
        <v>591.79999999999995</v>
      </c>
      <c r="D201" s="18">
        <v>33.936</v>
      </c>
      <c r="E201" s="18">
        <v>44.378</v>
      </c>
      <c r="F201" s="18">
        <v>42.457999999999998</v>
      </c>
      <c r="G201" s="18">
        <v>7.2</v>
      </c>
      <c r="H201" s="18">
        <f t="shared" si="25"/>
        <v>36.3065</v>
      </c>
      <c r="I201" s="5"/>
      <c r="J201" s="17">
        <v>299.79730000000001</v>
      </c>
      <c r="K201" s="18">
        <v>32.748899999999999</v>
      </c>
      <c r="L201" s="18">
        <v>44.1526</v>
      </c>
      <c r="M201" s="18">
        <v>42.669899999999998</v>
      </c>
      <c r="N201" s="18">
        <v>9.39</v>
      </c>
      <c r="O201" s="18">
        <f t="shared" si="26"/>
        <v>35.4144875</v>
      </c>
      <c r="P201" s="7"/>
      <c r="Q201" s="10"/>
      <c r="R201" s="11"/>
      <c r="S201" s="11"/>
      <c r="T201" s="26"/>
      <c r="U201" s="28">
        <f t="shared" si="27"/>
        <v>0.3041666666666667</v>
      </c>
      <c r="V201" s="57">
        <f t="shared" si="28"/>
        <v>1.3666666666666742E-2</v>
      </c>
      <c r="W201" s="57">
        <f t="shared" si="29"/>
        <v>6.7566666666664334E-4</v>
      </c>
      <c r="X201" s="56">
        <v>600</v>
      </c>
      <c r="Y201" s="56">
        <v>300</v>
      </c>
    </row>
    <row r="202" spans="2:25" ht="16.5" thickBot="1" x14ac:dyDescent="0.3">
      <c r="B202" s="12"/>
      <c r="C202" s="19">
        <v>295.56</v>
      </c>
      <c r="D202" s="20">
        <v>30.352</v>
      </c>
      <c r="E202" s="20">
        <v>42.265999999999998</v>
      </c>
      <c r="F202" s="20">
        <v>40.28</v>
      </c>
      <c r="G202" s="20">
        <v>8.94</v>
      </c>
      <c r="H202" s="20">
        <f t="shared" si="25"/>
        <v>33.082250000000002</v>
      </c>
      <c r="I202" s="5"/>
      <c r="J202" s="19">
        <v>198.52699999999999</v>
      </c>
      <c r="K202" s="20">
        <v>31.2393</v>
      </c>
      <c r="L202" s="20">
        <v>43.393300000000004</v>
      </c>
      <c r="M202" s="20">
        <v>41.806399999999996</v>
      </c>
      <c r="N202" s="20">
        <v>11.4367</v>
      </c>
      <c r="O202" s="20">
        <f t="shared" si="26"/>
        <v>34.079437499999997</v>
      </c>
      <c r="P202" s="7"/>
      <c r="Q202" s="13"/>
      <c r="R202" s="14"/>
      <c r="S202" s="14"/>
      <c r="T202" s="27"/>
      <c r="U202" s="28">
        <f t="shared" si="27"/>
        <v>0.27927293064876968</v>
      </c>
      <c r="V202" s="57">
        <f t="shared" si="28"/>
        <v>1.4799999999999992E-2</v>
      </c>
      <c r="W202" s="57">
        <f t="shared" si="29"/>
        <v>7.3650000000000659E-3</v>
      </c>
      <c r="X202" s="56">
        <v>300</v>
      </c>
      <c r="Y202" s="56">
        <v>200</v>
      </c>
    </row>
    <row r="203" spans="2:25" x14ac:dyDescent="0.25">
      <c r="B203" s="6" t="s">
        <v>85</v>
      </c>
      <c r="C203" s="15">
        <v>1501.54</v>
      </c>
      <c r="D203" s="16">
        <v>42.512</v>
      </c>
      <c r="E203" s="16">
        <v>49.003</v>
      </c>
      <c r="F203" s="16">
        <v>48.381999999999998</v>
      </c>
      <c r="G203" s="16">
        <v>6.46</v>
      </c>
      <c r="H203" s="16">
        <f t="shared" si="25"/>
        <v>44.057124999999999</v>
      </c>
      <c r="I203" s="5"/>
      <c r="J203" s="15">
        <v>1018.5525</v>
      </c>
      <c r="K203" s="16">
        <v>41.606400000000001</v>
      </c>
      <c r="L203" s="16">
        <v>48.817100000000003</v>
      </c>
      <c r="M203" s="16">
        <v>48.298699999999997</v>
      </c>
      <c r="N203" s="16">
        <v>6.7328000000000001</v>
      </c>
      <c r="O203" s="16">
        <f t="shared" si="26"/>
        <v>43.344274999999996</v>
      </c>
      <c r="P203" s="7"/>
      <c r="Q203" s="8">
        <f>bdrate(C203:C206,D203:D206,J203:J206,K203:K206)</f>
        <v>-0.25412521229915441</v>
      </c>
      <c r="R203" s="8">
        <f>bdrate(C203:C206,E203:E206,J203:J206,L203:L206)</f>
        <v>-0.42784905935119866</v>
      </c>
      <c r="S203" s="8">
        <f>bdrate(C203:C206,F203:F206,J203:J206,M203:M206)</f>
        <v>-0.46380778807346046</v>
      </c>
      <c r="T203" s="25">
        <f>bdrate(C203:C206,H203:H206,J203:J206,O203:O206)</f>
        <v>-0.29589503604420409</v>
      </c>
      <c r="U203" s="28">
        <f t="shared" si="27"/>
        <v>4.2229102167182689E-2</v>
      </c>
      <c r="V203" s="57">
        <f t="shared" si="28"/>
        <v>1.0266666666666423E-3</v>
      </c>
      <c r="W203" s="57">
        <f t="shared" si="29"/>
        <v>1.855250000000001E-2</v>
      </c>
      <c r="X203" s="56">
        <v>1500</v>
      </c>
      <c r="Y203" s="56">
        <v>1000</v>
      </c>
    </row>
    <row r="204" spans="2:25" x14ac:dyDescent="0.25">
      <c r="B204" s="9"/>
      <c r="C204" s="17">
        <v>998.6</v>
      </c>
      <c r="D204" s="18">
        <v>41.237000000000002</v>
      </c>
      <c r="E204" s="18">
        <v>48.225999999999999</v>
      </c>
      <c r="F204" s="18">
        <v>47.542000000000002</v>
      </c>
      <c r="G204" s="18">
        <v>7.28</v>
      </c>
      <c r="H204" s="18">
        <f t="shared" si="25"/>
        <v>42.898750000000007</v>
      </c>
      <c r="I204" s="5"/>
      <c r="J204" s="17">
        <v>608.33929999999998</v>
      </c>
      <c r="K204" s="18">
        <v>40.3063</v>
      </c>
      <c r="L204" s="18">
        <v>48.089100000000002</v>
      </c>
      <c r="M204" s="18">
        <v>47.531599999999997</v>
      </c>
      <c r="N204" s="18">
        <v>8.3124000000000002</v>
      </c>
      <c r="O204" s="18">
        <f t="shared" si="26"/>
        <v>42.182312500000009</v>
      </c>
      <c r="P204" s="7"/>
      <c r="Q204" s="10"/>
      <c r="R204" s="11"/>
      <c r="S204" s="11"/>
      <c r="T204" s="26"/>
      <c r="U204" s="28">
        <f t="shared" si="27"/>
        <v>0.1418131868131868</v>
      </c>
      <c r="V204" s="57">
        <f t="shared" si="28"/>
        <v>1.3999999999999772E-3</v>
      </c>
      <c r="W204" s="57">
        <f t="shared" si="29"/>
        <v>1.38988333333333E-2</v>
      </c>
      <c r="X204" s="56">
        <v>1000</v>
      </c>
      <c r="Y204" s="56">
        <v>600</v>
      </c>
    </row>
    <row r="205" spans="2:25" x14ac:dyDescent="0.25">
      <c r="B205" s="9"/>
      <c r="C205" s="17">
        <v>600.05999999999995</v>
      </c>
      <c r="D205" s="18">
        <v>39.588999999999999</v>
      </c>
      <c r="E205" s="18">
        <v>46.981000000000002</v>
      </c>
      <c r="F205" s="18">
        <v>46.216000000000001</v>
      </c>
      <c r="G205" s="18">
        <v>8.3000000000000007</v>
      </c>
      <c r="H205" s="18">
        <f t="shared" si="25"/>
        <v>41.341374999999999</v>
      </c>
      <c r="I205" s="5"/>
      <c r="J205" s="17">
        <v>300.92169999999999</v>
      </c>
      <c r="K205" s="18">
        <v>38.500999999999998</v>
      </c>
      <c r="L205" s="18">
        <v>46.935400000000001</v>
      </c>
      <c r="M205" s="18">
        <v>46.3748</v>
      </c>
      <c r="N205" s="18">
        <v>11.3644</v>
      </c>
      <c r="O205" s="18">
        <f t="shared" si="26"/>
        <v>40.539524999999998</v>
      </c>
      <c r="P205" s="7"/>
      <c r="Q205" s="10"/>
      <c r="R205" s="11"/>
      <c r="S205" s="11"/>
      <c r="T205" s="26"/>
      <c r="U205" s="28">
        <f t="shared" si="27"/>
        <v>0.3692048192771083</v>
      </c>
      <c r="V205" s="57">
        <f t="shared" si="28"/>
        <v>9.9999999999909054E-5</v>
      </c>
      <c r="W205" s="57">
        <f t="shared" si="29"/>
        <v>3.0723333333332902E-3</v>
      </c>
      <c r="X205" s="56">
        <v>600</v>
      </c>
      <c r="Y205" s="56">
        <v>300</v>
      </c>
    </row>
    <row r="206" spans="2:25" ht="16.5" thickBot="1" x14ac:dyDescent="0.3">
      <c r="B206" s="12"/>
      <c r="C206" s="19">
        <v>300.77999999999997</v>
      </c>
      <c r="D206" s="20">
        <v>36.945999999999998</v>
      </c>
      <c r="E206" s="20">
        <v>44.924999999999997</v>
      </c>
      <c r="F206" s="20">
        <v>44.287999999999997</v>
      </c>
      <c r="G206" s="20">
        <v>9.9</v>
      </c>
      <c r="H206" s="20">
        <f t="shared" si="25"/>
        <v>38.861125000000001</v>
      </c>
      <c r="I206" s="5"/>
      <c r="J206" s="19">
        <v>196.69120000000001</v>
      </c>
      <c r="K206" s="20">
        <v>37.288200000000003</v>
      </c>
      <c r="L206" s="20">
        <v>46.122700000000002</v>
      </c>
      <c r="M206" s="20">
        <v>45.526499999999999</v>
      </c>
      <c r="N206" s="20">
        <v>13.9945</v>
      </c>
      <c r="O206" s="20">
        <f t="shared" si="26"/>
        <v>39.4223</v>
      </c>
      <c r="P206" s="7"/>
      <c r="Q206" s="13"/>
      <c r="R206" s="14"/>
      <c r="S206" s="14"/>
      <c r="T206" s="27"/>
      <c r="U206" s="28">
        <f t="shared" si="27"/>
        <v>0.41358585858585856</v>
      </c>
      <c r="V206" s="57">
        <f t="shared" si="28"/>
        <v>2.5999999999999092E-3</v>
      </c>
      <c r="W206" s="57">
        <f t="shared" si="29"/>
        <v>1.6543999999999955E-2</v>
      </c>
      <c r="X206" s="56">
        <v>300</v>
      </c>
      <c r="Y206" s="56">
        <v>200</v>
      </c>
    </row>
    <row r="207" spans="2:25" x14ac:dyDescent="0.25">
      <c r="B207" s="6" t="s">
        <v>86</v>
      </c>
      <c r="C207" s="15">
        <v>1475.99</v>
      </c>
      <c r="D207" s="16">
        <v>42.421999999999997</v>
      </c>
      <c r="E207" s="16">
        <v>49.593000000000004</v>
      </c>
      <c r="F207" s="16">
        <v>49.503</v>
      </c>
      <c r="G207" s="16">
        <v>6.53</v>
      </c>
      <c r="H207" s="16">
        <f t="shared" si="25"/>
        <v>44.203499999999998</v>
      </c>
      <c r="I207" s="5"/>
      <c r="J207" s="15">
        <v>1007.2237</v>
      </c>
      <c r="K207" s="16">
        <v>41.995100000000001</v>
      </c>
      <c r="L207" s="16">
        <v>49.659599999999998</v>
      </c>
      <c r="M207" s="16">
        <v>49.374200000000002</v>
      </c>
      <c r="N207" s="16">
        <v>7.9527000000000001</v>
      </c>
      <c r="O207" s="16">
        <f t="shared" si="26"/>
        <v>43.875550000000004</v>
      </c>
      <c r="P207" s="7"/>
      <c r="Q207" s="8">
        <f>bdrate(C207:C210,D207:D210,J207:J210,K207:K210)</f>
        <v>-0.34562585588479244</v>
      </c>
      <c r="R207" s="8">
        <f>bdrate(C207:C210,E207:E210,J207:J210,L207:L210)</f>
        <v>-0.50840847890404395</v>
      </c>
      <c r="S207" s="8">
        <f>bdrate(C207:C210,F207:F210,J207:J210,M207:M210)</f>
        <v>-0.43295815249127123</v>
      </c>
      <c r="T207" s="25">
        <f>bdrate(C207:C210,H207:H210,J207:J210,O207:O210)</f>
        <v>-0.37121078639030247</v>
      </c>
      <c r="U207" s="28">
        <f t="shared" si="27"/>
        <v>0.21787136294027562</v>
      </c>
      <c r="V207" s="57">
        <f t="shared" si="28"/>
        <v>1.6006666666666662E-2</v>
      </c>
      <c r="W207" s="57">
        <f t="shared" si="29"/>
        <v>7.2237000000000082E-3</v>
      </c>
      <c r="X207" s="56">
        <v>1500</v>
      </c>
      <c r="Y207" s="56">
        <v>1000</v>
      </c>
    </row>
    <row r="208" spans="2:25" x14ac:dyDescent="0.25">
      <c r="B208" s="9"/>
      <c r="C208" s="17">
        <v>978.62</v>
      </c>
      <c r="D208" s="18">
        <v>41.512</v>
      </c>
      <c r="E208" s="18">
        <v>48.994</v>
      </c>
      <c r="F208" s="18">
        <v>48.981999999999999</v>
      </c>
      <c r="G208" s="18">
        <v>7.47</v>
      </c>
      <c r="H208" s="18">
        <f t="shared" si="25"/>
        <v>43.381</v>
      </c>
      <c r="I208" s="5"/>
      <c r="J208" s="17">
        <v>603.46590000000003</v>
      </c>
      <c r="K208" s="18">
        <v>41.156300000000002</v>
      </c>
      <c r="L208" s="18">
        <v>49.129199999999997</v>
      </c>
      <c r="M208" s="18">
        <v>48.890900000000002</v>
      </c>
      <c r="N208" s="18">
        <v>10.006500000000001</v>
      </c>
      <c r="O208" s="18">
        <f t="shared" si="26"/>
        <v>43.119737499999999</v>
      </c>
      <c r="P208" s="7"/>
      <c r="Q208" s="10"/>
      <c r="R208" s="11"/>
      <c r="S208" s="11"/>
      <c r="T208" s="26"/>
      <c r="U208" s="28">
        <f t="shared" si="27"/>
        <v>0.33955823293172704</v>
      </c>
      <c r="V208" s="57">
        <f t="shared" si="28"/>
        <v>2.1379999999999996E-2</v>
      </c>
      <c r="W208" s="57">
        <f t="shared" si="29"/>
        <v>5.7765000000000559E-3</v>
      </c>
      <c r="X208" s="56">
        <v>1000</v>
      </c>
      <c r="Y208" s="56">
        <v>600</v>
      </c>
    </row>
    <row r="209" spans="2:25" x14ac:dyDescent="0.25">
      <c r="B209" s="9"/>
      <c r="C209" s="17">
        <v>582.86</v>
      </c>
      <c r="D209" s="18">
        <v>40.350999999999999</v>
      </c>
      <c r="E209" s="18">
        <v>48.128</v>
      </c>
      <c r="F209" s="18">
        <v>48.244</v>
      </c>
      <c r="G209" s="18">
        <v>8.69</v>
      </c>
      <c r="H209" s="18">
        <f t="shared" si="25"/>
        <v>42.309749999999994</v>
      </c>
      <c r="I209" s="5"/>
      <c r="J209" s="17">
        <v>289.60939999999999</v>
      </c>
      <c r="K209" s="18">
        <v>39.889099999999999</v>
      </c>
      <c r="L209" s="18">
        <v>48.310899999999997</v>
      </c>
      <c r="M209" s="18">
        <v>48.231999999999999</v>
      </c>
      <c r="N209" s="18">
        <v>14.332700000000001</v>
      </c>
      <c r="O209" s="18">
        <f t="shared" si="26"/>
        <v>41.984687499999993</v>
      </c>
      <c r="P209" s="7"/>
      <c r="Q209" s="10"/>
      <c r="R209" s="11"/>
      <c r="S209" s="11"/>
      <c r="T209" s="26"/>
      <c r="U209" s="28">
        <f t="shared" si="27"/>
        <v>0.64933256616800938</v>
      </c>
      <c r="V209" s="57">
        <f t="shared" si="28"/>
        <v>2.8566666666666643E-2</v>
      </c>
      <c r="W209" s="57">
        <f t="shared" si="29"/>
        <v>3.4635333333333351E-2</v>
      </c>
      <c r="X209" s="56">
        <v>600</v>
      </c>
      <c r="Y209" s="56">
        <v>300</v>
      </c>
    </row>
    <row r="210" spans="2:25" ht="16.5" thickBot="1" x14ac:dyDescent="0.3">
      <c r="B210" s="12"/>
      <c r="C210" s="19">
        <v>285.35000000000002</v>
      </c>
      <c r="D210" s="20">
        <v>38.433</v>
      </c>
      <c r="E210" s="20">
        <v>46.543999999999997</v>
      </c>
      <c r="F210" s="20">
        <v>46.850999999999999</v>
      </c>
      <c r="G210" s="20">
        <v>10.32</v>
      </c>
      <c r="H210" s="20">
        <f t="shared" ref="H210:H230" si="30">(6*D210+E210+F210)/8</f>
        <v>40.499124999999999</v>
      </c>
      <c r="I210" s="5"/>
      <c r="J210" s="19">
        <v>177.7329</v>
      </c>
      <c r="K210" s="20">
        <v>38.901600000000002</v>
      </c>
      <c r="L210" s="20">
        <v>47.6342</v>
      </c>
      <c r="M210" s="20">
        <v>47.680700000000002</v>
      </c>
      <c r="N210" s="20">
        <v>17.997499999999999</v>
      </c>
      <c r="O210" s="20">
        <f t="shared" ref="O210:O230" si="31">(6*K210+L210+M210)/8</f>
        <v>41.090562500000004</v>
      </c>
      <c r="P210" s="7"/>
      <c r="Q210" s="13"/>
      <c r="R210" s="14"/>
      <c r="S210" s="14"/>
      <c r="T210" s="27"/>
      <c r="U210" s="28">
        <f t="shared" ref="U210:U230" si="32">(N210-G210)/G210</f>
        <v>0.74394379844961223</v>
      </c>
      <c r="V210" s="57">
        <f t="shared" si="28"/>
        <v>4.8833333333333256E-2</v>
      </c>
      <c r="W210" s="57">
        <f t="shared" si="29"/>
        <v>0.11133549999999999</v>
      </c>
      <c r="X210" s="56">
        <v>300</v>
      </c>
      <c r="Y210" s="56">
        <v>200</v>
      </c>
    </row>
    <row r="211" spans="2:25" x14ac:dyDescent="0.25">
      <c r="B211" s="6" t="s">
        <v>87</v>
      </c>
      <c r="C211" s="15">
        <v>1473.96</v>
      </c>
      <c r="D211" s="16">
        <v>43.835999999999999</v>
      </c>
      <c r="E211" s="16">
        <v>51.542000000000002</v>
      </c>
      <c r="F211" s="16">
        <v>51.293999999999997</v>
      </c>
      <c r="G211" s="16">
        <v>5.91</v>
      </c>
      <c r="H211" s="16">
        <f t="shared" si="30"/>
        <v>45.731499999999997</v>
      </c>
      <c r="I211" s="5"/>
      <c r="J211" s="15">
        <v>1004.5932</v>
      </c>
      <c r="K211" s="16">
        <v>43.033900000000003</v>
      </c>
      <c r="L211" s="16">
        <v>51.240200000000002</v>
      </c>
      <c r="M211" s="16">
        <v>51.037300000000002</v>
      </c>
      <c r="N211" s="16">
        <v>7.0372000000000003</v>
      </c>
      <c r="O211" s="16">
        <f t="shared" si="31"/>
        <v>45.060112500000002</v>
      </c>
      <c r="P211" s="7"/>
      <c r="Q211" s="8">
        <f>bdrate(C211:C214,D211:D214,J211:J214,K211:K214)</f>
        <v>-0.23989080436781818</v>
      </c>
      <c r="R211" s="8">
        <f>bdrate(C211:C214,E211:E214,J211:J214,L211:L214)</f>
        <v>-0.46248791620544749</v>
      </c>
      <c r="S211" s="8">
        <f>bdrate(C211:C214,F211:F214,J211:J214,M211:M214)</f>
        <v>-0.46129053754310301</v>
      </c>
      <c r="T211" s="25">
        <f>bdrate(C211:C214,H211:H214,J211:J214,O211:O214)</f>
        <v>-0.29639561207761178</v>
      </c>
      <c r="U211" s="28">
        <f t="shared" si="32"/>
        <v>0.19072758037225046</v>
      </c>
      <c r="V211" s="57">
        <f t="shared" si="28"/>
        <v>1.7359999999999976E-2</v>
      </c>
      <c r="W211" s="57">
        <f t="shared" si="29"/>
        <v>4.5932000000000247E-3</v>
      </c>
      <c r="X211" s="56">
        <v>1500</v>
      </c>
      <c r="Y211" s="56">
        <v>1000</v>
      </c>
    </row>
    <row r="212" spans="2:25" x14ac:dyDescent="0.25">
      <c r="B212" s="9"/>
      <c r="C212" s="17">
        <v>973.71</v>
      </c>
      <c r="D212" s="18">
        <v>42.811999999999998</v>
      </c>
      <c r="E212" s="18">
        <v>50.640999999999998</v>
      </c>
      <c r="F212" s="18">
        <v>50.412999999999997</v>
      </c>
      <c r="G212" s="18">
        <v>6.82</v>
      </c>
      <c r="H212" s="18">
        <f t="shared" si="30"/>
        <v>44.740749999999998</v>
      </c>
      <c r="I212" s="5"/>
      <c r="J212" s="17">
        <v>601.36279999999999</v>
      </c>
      <c r="K212" s="18">
        <v>42.064100000000003</v>
      </c>
      <c r="L212" s="18">
        <v>50.613300000000002</v>
      </c>
      <c r="M212" s="18">
        <v>50.414099999999998</v>
      </c>
      <c r="N212" s="18">
        <v>8.9510000000000005</v>
      </c>
      <c r="O212" s="18">
        <f t="shared" si="31"/>
        <v>44.176500000000004</v>
      </c>
      <c r="P212" s="7"/>
      <c r="Q212" s="10"/>
      <c r="R212" s="11"/>
      <c r="S212" s="11"/>
      <c r="T212" s="26"/>
      <c r="U212" s="28">
        <f t="shared" si="32"/>
        <v>0.31246334310850443</v>
      </c>
      <c r="V212" s="57">
        <f t="shared" si="28"/>
        <v>2.6289999999999963E-2</v>
      </c>
      <c r="W212" s="57">
        <f t="shared" si="29"/>
        <v>2.2713333333333214E-3</v>
      </c>
      <c r="X212" s="56">
        <v>1000</v>
      </c>
      <c r="Y212" s="56">
        <v>600</v>
      </c>
    </row>
    <row r="213" spans="2:25" x14ac:dyDescent="0.25">
      <c r="B213" s="9"/>
      <c r="C213" s="17">
        <v>574.97</v>
      </c>
      <c r="D213" s="18">
        <v>41.552</v>
      </c>
      <c r="E213" s="18">
        <v>49.564</v>
      </c>
      <c r="F213" s="18">
        <v>49.347999999999999</v>
      </c>
      <c r="G213" s="18">
        <v>8.1199999999999992</v>
      </c>
      <c r="H213" s="18">
        <f t="shared" si="30"/>
        <v>43.528000000000006</v>
      </c>
      <c r="I213" s="5"/>
      <c r="J213" s="17">
        <v>294.21629999999999</v>
      </c>
      <c r="K213" s="18">
        <v>40.874400000000001</v>
      </c>
      <c r="L213" s="18">
        <v>49.843499999999999</v>
      </c>
      <c r="M213" s="18">
        <v>49.578899999999997</v>
      </c>
      <c r="N213" s="18">
        <v>12.551</v>
      </c>
      <c r="O213" s="18">
        <f t="shared" si="31"/>
        <v>43.083599999999997</v>
      </c>
      <c r="P213" s="7"/>
      <c r="Q213" s="10"/>
      <c r="R213" s="11"/>
      <c r="S213" s="11"/>
      <c r="T213" s="26"/>
      <c r="U213" s="28">
        <f t="shared" si="32"/>
        <v>0.54568965517241397</v>
      </c>
      <c r="V213" s="57">
        <f t="shared" si="28"/>
        <v>4.1716666666666624E-2</v>
      </c>
      <c r="W213" s="57">
        <f t="shared" si="29"/>
        <v>1.9279000000000036E-2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280.16000000000003</v>
      </c>
      <c r="D214" s="20">
        <v>39.670999999999999</v>
      </c>
      <c r="E214" s="20">
        <v>47.546999999999997</v>
      </c>
      <c r="F214" s="20">
        <v>47.497</v>
      </c>
      <c r="G214" s="20">
        <v>9.81</v>
      </c>
      <c r="H214" s="20">
        <f t="shared" si="30"/>
        <v>41.633749999999999</v>
      </c>
      <c r="I214" s="5"/>
      <c r="J214" s="19">
        <v>190.41149999999999</v>
      </c>
      <c r="K214" s="20">
        <v>40.107500000000002</v>
      </c>
      <c r="L214" s="20">
        <v>49.270699999999998</v>
      </c>
      <c r="M214" s="20">
        <v>49.012799999999999</v>
      </c>
      <c r="N214" s="20">
        <v>15.423500000000001</v>
      </c>
      <c r="O214" s="20">
        <f t="shared" si="31"/>
        <v>42.366062499999998</v>
      </c>
      <c r="P214" s="7"/>
      <c r="Q214" s="13"/>
      <c r="R214" s="14"/>
      <c r="S214" s="14"/>
      <c r="T214" s="27"/>
      <c r="U214" s="28">
        <f t="shared" si="32"/>
        <v>0.57222222222222219</v>
      </c>
      <c r="V214" s="57">
        <f t="shared" si="28"/>
        <v>6.6133333333333252E-2</v>
      </c>
      <c r="W214" s="57">
        <f t="shared" si="29"/>
        <v>4.7942500000000055E-2</v>
      </c>
      <c r="X214" s="56">
        <v>300</v>
      </c>
      <c r="Y214" s="56">
        <v>200</v>
      </c>
    </row>
    <row r="215" spans="2:25" x14ac:dyDescent="0.25">
      <c r="B215" s="6" t="s">
        <v>88</v>
      </c>
      <c r="C215" s="15">
        <v>1473.98</v>
      </c>
      <c r="D215" s="16">
        <v>44.186</v>
      </c>
      <c r="E215" s="16">
        <v>52.16</v>
      </c>
      <c r="F215" s="16">
        <v>52.143999999999998</v>
      </c>
      <c r="G215" s="16">
        <v>6.76</v>
      </c>
      <c r="H215" s="16">
        <f t="shared" si="30"/>
        <v>46.177499999999995</v>
      </c>
      <c r="I215" s="5"/>
      <c r="J215" s="15">
        <v>1008.192</v>
      </c>
      <c r="K215" s="16">
        <v>43.542299999999997</v>
      </c>
      <c r="L215" s="16">
        <v>51.866300000000003</v>
      </c>
      <c r="M215" s="16">
        <v>51.931600000000003</v>
      </c>
      <c r="N215" s="16">
        <v>8.4610000000000003</v>
      </c>
      <c r="O215" s="16">
        <f t="shared" si="31"/>
        <v>45.631462499999998</v>
      </c>
      <c r="P215" s="7"/>
      <c r="Q215" s="8">
        <f>bdrate(C215:C218,D215:D218,J215:J218,K215:K218)</f>
        <v>-0.24506395486431465</v>
      </c>
      <c r="R215" s="8">
        <f>bdrate(C215:C218,E215:E218,J215:J218,L215:L218)</f>
        <v>-0.36119746005616615</v>
      </c>
      <c r="S215" s="8">
        <f>bdrate(C215:C218,F215:F218,J215:J218,M215:M218)</f>
        <v>-0.39883713145713884</v>
      </c>
      <c r="T215" s="25">
        <f>bdrate(C215:C218,H215:H218,J215:J218,O215:O218)</f>
        <v>-0.27313125304375041</v>
      </c>
      <c r="U215" s="28">
        <f t="shared" si="32"/>
        <v>0.2516272189349113</v>
      </c>
      <c r="V215" s="57">
        <f t="shared" si="28"/>
        <v>1.7346666666666656E-2</v>
      </c>
      <c r="W215" s="57">
        <f t="shared" si="29"/>
        <v>8.1920000000000066E-3</v>
      </c>
      <c r="X215" s="56">
        <v>1500</v>
      </c>
      <c r="Y215" s="56">
        <v>1000</v>
      </c>
    </row>
    <row r="216" spans="2:25" x14ac:dyDescent="0.25">
      <c r="B216" s="9"/>
      <c r="C216" s="17">
        <v>978.55</v>
      </c>
      <c r="D216" s="18">
        <v>42.932000000000002</v>
      </c>
      <c r="E216" s="18">
        <v>51.372</v>
      </c>
      <c r="F216" s="18">
        <v>51.345999999999997</v>
      </c>
      <c r="G216" s="18">
        <v>7.77</v>
      </c>
      <c r="H216" s="18">
        <f t="shared" si="30"/>
        <v>45.03875</v>
      </c>
      <c r="I216" s="5"/>
      <c r="J216" s="17">
        <v>605.02359999999999</v>
      </c>
      <c r="K216" s="18">
        <v>42.119799999999998</v>
      </c>
      <c r="L216" s="18">
        <v>51.046599999999998</v>
      </c>
      <c r="M216" s="18">
        <v>51.109900000000003</v>
      </c>
      <c r="N216" s="18">
        <v>10.4322</v>
      </c>
      <c r="O216" s="18">
        <f t="shared" si="31"/>
        <v>44.359412499999998</v>
      </c>
      <c r="P216" s="7"/>
      <c r="Q216" s="10"/>
      <c r="R216" s="11"/>
      <c r="S216" s="11"/>
      <c r="T216" s="26"/>
      <c r="U216" s="28">
        <f t="shared" si="32"/>
        <v>0.3426254826254827</v>
      </c>
      <c r="V216" s="57">
        <f t="shared" si="28"/>
        <v>2.1450000000000045E-2</v>
      </c>
      <c r="W216" s="57">
        <f t="shared" si="29"/>
        <v>8.3726666666666463E-3</v>
      </c>
      <c r="X216" s="56">
        <v>1000</v>
      </c>
      <c r="Y216" s="56">
        <v>600</v>
      </c>
    </row>
    <row r="217" spans="2:25" x14ac:dyDescent="0.25">
      <c r="B217" s="9"/>
      <c r="C217" s="17">
        <v>584.17999999999995</v>
      </c>
      <c r="D217" s="18">
        <v>41.271000000000001</v>
      </c>
      <c r="E217" s="18">
        <v>50.213999999999999</v>
      </c>
      <c r="F217" s="18">
        <v>50.152999999999999</v>
      </c>
      <c r="G217" s="18">
        <v>9.0399999999999991</v>
      </c>
      <c r="H217" s="18">
        <f t="shared" si="30"/>
        <v>43.499125000000006</v>
      </c>
      <c r="I217" s="5"/>
      <c r="J217" s="17">
        <v>301.86489999999998</v>
      </c>
      <c r="K217" s="18">
        <v>40.166899999999998</v>
      </c>
      <c r="L217" s="18">
        <v>49.967100000000002</v>
      </c>
      <c r="M217" s="18">
        <v>50.094799999999999</v>
      </c>
      <c r="N217" s="18">
        <v>13.5802</v>
      </c>
      <c r="O217" s="18">
        <f t="shared" si="31"/>
        <v>42.632912500000003</v>
      </c>
      <c r="P217" s="7"/>
      <c r="Q217" s="10"/>
      <c r="R217" s="11"/>
      <c r="S217" s="11"/>
      <c r="T217" s="26"/>
      <c r="U217" s="28">
        <f t="shared" si="32"/>
        <v>0.50223451327433644</v>
      </c>
      <c r="V217" s="57">
        <f t="shared" si="28"/>
        <v>2.636666666666675E-2</v>
      </c>
      <c r="W217" s="57">
        <f t="shared" si="29"/>
        <v>6.2163333333332578E-3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289.33</v>
      </c>
      <c r="D218" s="20">
        <v>38.747999999999998</v>
      </c>
      <c r="E218" s="20">
        <v>48.128999999999998</v>
      </c>
      <c r="F218" s="20">
        <v>48.140999999999998</v>
      </c>
      <c r="G218" s="20">
        <v>10.73</v>
      </c>
      <c r="H218" s="20">
        <f t="shared" si="30"/>
        <v>41.094750000000005</v>
      </c>
      <c r="I218" s="5"/>
      <c r="J218" s="19">
        <v>197.63319999999999</v>
      </c>
      <c r="K218" s="20">
        <v>38.931199999999997</v>
      </c>
      <c r="L218" s="20">
        <v>49.127899999999997</v>
      </c>
      <c r="M218" s="20">
        <v>49.1828</v>
      </c>
      <c r="N218" s="20">
        <v>15.714600000000001</v>
      </c>
      <c r="O218" s="20">
        <f t="shared" si="31"/>
        <v>41.487237499999999</v>
      </c>
      <c r="P218" s="7"/>
      <c r="Q218" s="13"/>
      <c r="R218" s="14"/>
      <c r="S218" s="14"/>
      <c r="T218" s="27"/>
      <c r="U218" s="28">
        <f t="shared" si="32"/>
        <v>0.46454799627213422</v>
      </c>
      <c r="V218" s="57">
        <f t="shared" si="28"/>
        <v>3.5566666666666719E-2</v>
      </c>
      <c r="W218" s="57">
        <f t="shared" si="29"/>
        <v>1.183400000000006E-2</v>
      </c>
      <c r="X218" s="56">
        <v>300</v>
      </c>
      <c r="Y218" s="56">
        <v>200</v>
      </c>
    </row>
    <row r="219" spans="2:25" x14ac:dyDescent="0.25">
      <c r="B219" s="6" t="s">
        <v>89</v>
      </c>
      <c r="C219" s="15">
        <v>1496.56</v>
      </c>
      <c r="D219" s="16">
        <v>42.482999999999997</v>
      </c>
      <c r="E219" s="16">
        <v>49.893000000000001</v>
      </c>
      <c r="F219" s="16">
        <v>50.613999999999997</v>
      </c>
      <c r="G219" s="16">
        <v>6.68</v>
      </c>
      <c r="H219" s="16">
        <f t="shared" si="30"/>
        <v>44.425624999999989</v>
      </c>
      <c r="I219" s="5"/>
      <c r="J219" s="15">
        <v>1002.0367</v>
      </c>
      <c r="K219" s="16">
        <v>41.911099999999998</v>
      </c>
      <c r="L219" s="16">
        <v>49.926499999999997</v>
      </c>
      <c r="M219" s="16">
        <v>50.656100000000002</v>
      </c>
      <c r="N219" s="16">
        <v>7.2519</v>
      </c>
      <c r="O219" s="16">
        <f t="shared" si="31"/>
        <v>44.006149999999991</v>
      </c>
      <c r="P219" s="7"/>
      <c r="Q219" s="8">
        <f>bdrate(C219:C222,D219:D222,J219:J222,K219:K222)</f>
        <v>-0.32091995791054528</v>
      </c>
      <c r="R219" s="8">
        <f>bdrate(C219:C222,E219:E222,J219:J222,L219:L222)</f>
        <v>-0.47341773804206877</v>
      </c>
      <c r="S219" s="8">
        <f>bdrate(C219:C222,F219:F222,J219:J222,M219:M222)</f>
        <v>-0.48487362393798328</v>
      </c>
      <c r="T219" s="25">
        <f>bdrate(C219:C222,H219:H222,J219:J222,O219:O222)</f>
        <v>-0.35711506783414171</v>
      </c>
      <c r="U219" s="28">
        <f t="shared" si="32"/>
        <v>8.5613772455089873E-2</v>
      </c>
      <c r="V219" s="57">
        <f t="shared" si="28"/>
        <v>2.2933333333333699E-3</v>
      </c>
      <c r="W219" s="57">
        <f t="shared" si="29"/>
        <v>2.0366999999999963E-3</v>
      </c>
      <c r="X219" s="56">
        <v>1500</v>
      </c>
      <c r="Y219" s="56">
        <v>1000</v>
      </c>
    </row>
    <row r="220" spans="2:25" x14ac:dyDescent="0.25">
      <c r="B220" s="9"/>
      <c r="C220" s="17">
        <v>995.75</v>
      </c>
      <c r="D220" s="18">
        <v>41.493000000000002</v>
      </c>
      <c r="E220" s="18">
        <v>49.192</v>
      </c>
      <c r="F220" s="18">
        <v>49.963999999999999</v>
      </c>
      <c r="G220" s="18">
        <v>7.65</v>
      </c>
      <c r="H220" s="18">
        <f t="shared" si="30"/>
        <v>43.514250000000004</v>
      </c>
      <c r="I220" s="5"/>
      <c r="J220" s="17">
        <v>604.23659999999995</v>
      </c>
      <c r="K220" s="18">
        <v>41.008400000000002</v>
      </c>
      <c r="L220" s="18">
        <v>49.2913</v>
      </c>
      <c r="M220" s="18">
        <v>50.073500000000003</v>
      </c>
      <c r="N220" s="18">
        <v>8.9842999999999993</v>
      </c>
      <c r="O220" s="18">
        <f t="shared" si="31"/>
        <v>43.176900000000003</v>
      </c>
      <c r="P220" s="7"/>
      <c r="Q220" s="10"/>
      <c r="R220" s="11"/>
      <c r="S220" s="11"/>
      <c r="T220" s="26"/>
      <c r="U220" s="28">
        <f t="shared" si="32"/>
        <v>0.17441830065359462</v>
      </c>
      <c r="V220" s="57">
        <f t="shared" si="28"/>
        <v>4.2500000000000003E-3</v>
      </c>
      <c r="W220" s="57">
        <f t="shared" si="29"/>
        <v>7.0609999999999215E-3</v>
      </c>
      <c r="X220" s="56">
        <v>1000</v>
      </c>
      <c r="Y220" s="56">
        <v>600</v>
      </c>
    </row>
    <row r="221" spans="2:25" x14ac:dyDescent="0.25">
      <c r="B221" s="9"/>
      <c r="C221" s="17">
        <v>596.33000000000004</v>
      </c>
      <c r="D221" s="18">
        <v>40.286000000000001</v>
      </c>
      <c r="E221" s="18">
        <v>48.204999999999998</v>
      </c>
      <c r="F221" s="18">
        <v>49.006999999999998</v>
      </c>
      <c r="G221" s="18">
        <v>8.89</v>
      </c>
      <c r="H221" s="18">
        <f t="shared" si="30"/>
        <v>42.366</v>
      </c>
      <c r="I221" s="5"/>
      <c r="J221" s="17">
        <v>287.28149999999999</v>
      </c>
      <c r="K221" s="18">
        <v>39.660400000000003</v>
      </c>
      <c r="L221" s="18">
        <v>48.165700000000001</v>
      </c>
      <c r="M221" s="18">
        <v>49.018999999999998</v>
      </c>
      <c r="N221" s="18">
        <v>12.694699999999999</v>
      </c>
      <c r="O221" s="18">
        <f t="shared" si="31"/>
        <v>41.893387500000003</v>
      </c>
      <c r="P221" s="7"/>
      <c r="Q221" s="10"/>
      <c r="R221" s="11"/>
      <c r="S221" s="11"/>
      <c r="T221" s="26"/>
      <c r="U221" s="28">
        <f t="shared" si="32"/>
        <v>0.42797525309336315</v>
      </c>
      <c r="V221" s="57">
        <f t="shared" si="28"/>
        <v>6.1166666666665984E-3</v>
      </c>
      <c r="W221" s="57">
        <f t="shared" si="29"/>
        <v>4.2395000000000023E-2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296.83</v>
      </c>
      <c r="D222" s="20">
        <v>38.417000000000002</v>
      </c>
      <c r="E222" s="20">
        <v>46.536000000000001</v>
      </c>
      <c r="F222" s="20">
        <v>47.313000000000002</v>
      </c>
      <c r="G222" s="20">
        <v>10.57</v>
      </c>
      <c r="H222" s="20">
        <f t="shared" si="30"/>
        <v>40.543875</v>
      </c>
      <c r="I222" s="5"/>
      <c r="J222" s="19">
        <v>185.29239999999999</v>
      </c>
      <c r="K222" s="20">
        <v>38.716799999999999</v>
      </c>
      <c r="L222" s="20">
        <v>47.340899999999998</v>
      </c>
      <c r="M222" s="20">
        <v>48.221200000000003</v>
      </c>
      <c r="N222" s="20">
        <v>15.4962</v>
      </c>
      <c r="O222" s="20">
        <f t="shared" si="31"/>
        <v>40.982862499999996</v>
      </c>
      <c r="P222" s="7"/>
      <c r="Q222" s="13"/>
      <c r="R222" s="14"/>
      <c r="S222" s="14"/>
      <c r="T222" s="27"/>
      <c r="U222" s="28">
        <f t="shared" si="32"/>
        <v>0.46605487228003778</v>
      </c>
      <c r="V222" s="57">
        <f t="shared" si="28"/>
        <v>1.0566666666666719E-2</v>
      </c>
      <c r="W222" s="57">
        <f t="shared" si="29"/>
        <v>7.3538000000000062E-2</v>
      </c>
      <c r="X222" s="56">
        <v>300</v>
      </c>
      <c r="Y222" s="56">
        <v>200</v>
      </c>
    </row>
    <row r="223" spans="2:25" x14ac:dyDescent="0.25">
      <c r="B223" s="6" t="s">
        <v>90</v>
      </c>
      <c r="C223" s="15">
        <v>1505.91</v>
      </c>
      <c r="D223" s="16">
        <v>41.713000000000001</v>
      </c>
      <c r="E223" s="16">
        <v>49.662999999999997</v>
      </c>
      <c r="F223" s="16">
        <v>48.813000000000002</v>
      </c>
      <c r="G223" s="16">
        <v>6.39</v>
      </c>
      <c r="H223" s="16">
        <f t="shared" si="30"/>
        <v>43.594250000000002</v>
      </c>
      <c r="I223" s="5"/>
      <c r="J223" s="15">
        <v>1004.0343</v>
      </c>
      <c r="K223" s="16">
        <v>40.784399999999998</v>
      </c>
      <c r="L223" s="16">
        <v>49.641399999999997</v>
      </c>
      <c r="M223" s="16">
        <v>48.972000000000001</v>
      </c>
      <c r="N223" s="16">
        <v>6.7571000000000003</v>
      </c>
      <c r="O223" s="16">
        <f t="shared" si="31"/>
        <v>42.914974999999991</v>
      </c>
      <c r="P223" s="7"/>
      <c r="Q223" s="8">
        <f>bdrate(C223:C226,D223:D226,J223:J226,K223:K226)</f>
        <v>-0.26475192437529249</v>
      </c>
      <c r="R223" s="8">
        <f>bdrate(C223:C226,E223:E226,J223:J226,L223:L226)</f>
        <v>-0.4669746783533254</v>
      </c>
      <c r="S223" s="8">
        <f>bdrate(C223:C226,F223:F226,J223:J226,M223:M226)</f>
        <v>-0.50821696596811017</v>
      </c>
      <c r="T223" s="25">
        <f>bdrate(C223:C226,H223:H226,J223:J226,O223:O226)</f>
        <v>-0.31440179571807203</v>
      </c>
      <c r="U223" s="28">
        <f t="shared" si="32"/>
        <v>5.7449139280125301E-2</v>
      </c>
      <c r="V223" s="57">
        <f t="shared" si="28"/>
        <v>3.9400000000000546E-3</v>
      </c>
      <c r="W223" s="57">
        <f t="shared" si="29"/>
        <v>4.0343000000000306E-3</v>
      </c>
      <c r="X223" s="56">
        <v>1500</v>
      </c>
      <c r="Y223" s="56">
        <v>1000</v>
      </c>
    </row>
    <row r="224" spans="2:25" x14ac:dyDescent="0.25">
      <c r="B224" s="9"/>
      <c r="C224" s="17">
        <v>1008.96</v>
      </c>
      <c r="D224" s="18">
        <v>40.395000000000003</v>
      </c>
      <c r="E224" s="18">
        <v>48.723999999999997</v>
      </c>
      <c r="F224" s="18">
        <v>47.777999999999999</v>
      </c>
      <c r="G224" s="18">
        <v>7.27</v>
      </c>
      <c r="H224" s="18">
        <f t="shared" si="30"/>
        <v>42.359000000000002</v>
      </c>
      <c r="I224" s="5"/>
      <c r="J224" s="17">
        <v>603.10749999999996</v>
      </c>
      <c r="K224" s="18">
        <v>39.377000000000002</v>
      </c>
      <c r="L224" s="18">
        <v>48.787100000000002</v>
      </c>
      <c r="M224" s="18">
        <v>48.034799999999997</v>
      </c>
      <c r="N224" s="18">
        <v>8.4916999999999998</v>
      </c>
      <c r="O224" s="18">
        <f t="shared" si="31"/>
        <v>41.635487500000004</v>
      </c>
      <c r="P224" s="7"/>
      <c r="Q224" s="10"/>
      <c r="R224" s="11"/>
      <c r="S224" s="11"/>
      <c r="T224" s="26"/>
      <c r="U224" s="28">
        <f t="shared" si="32"/>
        <v>0.16804676753782671</v>
      </c>
      <c r="V224" s="57">
        <f t="shared" si="28"/>
        <v>8.9600000000000356E-3</v>
      </c>
      <c r="W224" s="57">
        <f t="shared" si="29"/>
        <v>5.1791666666665985E-3</v>
      </c>
      <c r="X224" s="56">
        <v>1000</v>
      </c>
      <c r="Y224" s="56">
        <v>600</v>
      </c>
    </row>
    <row r="225" spans="2:25" x14ac:dyDescent="0.25">
      <c r="B225" s="9"/>
      <c r="C225" s="17">
        <v>604.87</v>
      </c>
      <c r="D225" s="18">
        <v>38.57</v>
      </c>
      <c r="E225" s="18">
        <v>47.36</v>
      </c>
      <c r="F225" s="18">
        <v>46.287999999999997</v>
      </c>
      <c r="G225" s="18">
        <v>8.26</v>
      </c>
      <c r="H225" s="18">
        <f t="shared" si="30"/>
        <v>40.633500000000005</v>
      </c>
      <c r="I225" s="5"/>
      <c r="J225" s="17">
        <v>291.70999999999998</v>
      </c>
      <c r="K225" s="18">
        <v>37.1751</v>
      </c>
      <c r="L225" s="18">
        <v>47.305700000000002</v>
      </c>
      <c r="M225" s="18">
        <v>46.456899999999997</v>
      </c>
      <c r="N225" s="18">
        <v>11.593500000000001</v>
      </c>
      <c r="O225" s="18">
        <f t="shared" si="31"/>
        <v>39.601650000000006</v>
      </c>
      <c r="P225" s="7"/>
      <c r="Q225" s="10"/>
      <c r="R225" s="11"/>
      <c r="S225" s="11"/>
      <c r="T225" s="26"/>
      <c r="U225" s="28">
        <f t="shared" si="32"/>
        <v>0.40357142857142869</v>
      </c>
      <c r="V225" s="57">
        <f t="shared" si="28"/>
        <v>8.1166666666666748E-3</v>
      </c>
      <c r="W225" s="57">
        <f t="shared" si="29"/>
        <v>2.7633333333333402E-2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302.64</v>
      </c>
      <c r="D226" s="20">
        <v>35.555</v>
      </c>
      <c r="E226" s="20">
        <v>45.125</v>
      </c>
      <c r="F226" s="20">
        <v>43.997</v>
      </c>
      <c r="G226" s="20">
        <v>9.65</v>
      </c>
      <c r="H226" s="20">
        <f t="shared" si="30"/>
        <v>37.8065</v>
      </c>
      <c r="I226" s="5"/>
      <c r="J226" s="19">
        <v>188.9529</v>
      </c>
      <c r="K226" s="20">
        <v>35.6706</v>
      </c>
      <c r="L226" s="20">
        <v>46.297499999999999</v>
      </c>
      <c r="M226" s="20">
        <v>45.316800000000001</v>
      </c>
      <c r="N226" s="20">
        <v>14.105700000000001</v>
      </c>
      <c r="O226" s="20">
        <f t="shared" si="31"/>
        <v>38.2047375</v>
      </c>
      <c r="P226" s="7"/>
      <c r="Q226" s="13"/>
      <c r="R226" s="14"/>
      <c r="S226" s="14"/>
      <c r="T226" s="27"/>
      <c r="U226" s="28">
        <f t="shared" si="32"/>
        <v>0.46173056994818651</v>
      </c>
      <c r="V226" s="57">
        <f t="shared" si="28"/>
        <v>8.7999999999999537E-3</v>
      </c>
      <c r="W226" s="57">
        <f t="shared" si="29"/>
        <v>5.52355E-2</v>
      </c>
      <c r="X226" s="56">
        <v>300</v>
      </c>
      <c r="Y226" s="56">
        <v>200</v>
      </c>
    </row>
    <row r="227" spans="2:25" x14ac:dyDescent="0.25">
      <c r="B227" s="6" t="s">
        <v>91</v>
      </c>
      <c r="C227" s="29">
        <v>1470.62</v>
      </c>
      <c r="D227" s="30">
        <v>37.39</v>
      </c>
      <c r="E227" s="30">
        <v>46.435000000000002</v>
      </c>
      <c r="F227" s="30">
        <v>45.237000000000002</v>
      </c>
      <c r="G227" s="16">
        <v>6.1</v>
      </c>
      <c r="H227" s="16">
        <f t="shared" si="30"/>
        <v>39.5015</v>
      </c>
      <c r="I227" s="5"/>
      <c r="J227" s="29">
        <v>1009.9381</v>
      </c>
      <c r="K227" s="30">
        <v>36.5304</v>
      </c>
      <c r="L227" s="30">
        <v>46.9863</v>
      </c>
      <c r="M227" s="30">
        <v>45.774299999999997</v>
      </c>
      <c r="N227" s="16">
        <v>5.9991000000000003</v>
      </c>
      <c r="O227" s="16">
        <f t="shared" si="31"/>
        <v>38.992874999999998</v>
      </c>
      <c r="P227" s="7"/>
      <c r="Q227" s="8">
        <f>bdrate(C227:C230,D227:D230,J227:J230,K227:K230)</f>
        <v>-0.24703479898494685</v>
      </c>
      <c r="R227" s="8">
        <f>bdrate(C227:C230,E227:E230,J227:J230,L227:L230)</f>
        <v>-0.53262629364937708</v>
      </c>
      <c r="S227" s="8">
        <f>bdrate(C227:C230,F227:F230,J227:J230,M227:M230)</f>
        <v>-0.51540212211596814</v>
      </c>
      <c r="T227" s="25">
        <f>bdrate(C227:C230,H227:H230,J227:J230,O227:O230)</f>
        <v>-0.30451447458830372</v>
      </c>
      <c r="U227" s="28">
        <f t="shared" si="32"/>
        <v>-1.6540983606557268E-2</v>
      </c>
      <c r="V227" s="57">
        <f t="shared" si="28"/>
        <v>1.9586666666666738E-2</v>
      </c>
      <c r="W227" s="57">
        <f t="shared" si="29"/>
        <v>9.9380999999999636E-3</v>
      </c>
      <c r="X227" s="56">
        <v>1500</v>
      </c>
      <c r="Y227" s="56">
        <v>1000</v>
      </c>
    </row>
    <row r="228" spans="2:25" x14ac:dyDescent="0.25">
      <c r="B228" s="9"/>
      <c r="C228" s="31">
        <v>971.64</v>
      </c>
      <c r="D228" s="32">
        <v>36.261000000000003</v>
      </c>
      <c r="E228" s="32">
        <v>45.558999999999997</v>
      </c>
      <c r="F228" s="32">
        <v>44.401000000000003</v>
      </c>
      <c r="G228" s="18">
        <v>6.77</v>
      </c>
      <c r="H228" s="18">
        <f t="shared" si="30"/>
        <v>38.440750000000001</v>
      </c>
      <c r="I228" s="5"/>
      <c r="J228" s="31">
        <v>605.2414</v>
      </c>
      <c r="K228" s="32">
        <v>35.363500000000002</v>
      </c>
      <c r="L228" s="32">
        <v>46.120399999999997</v>
      </c>
      <c r="M228" s="32">
        <v>44.877299999999998</v>
      </c>
      <c r="N228" s="18">
        <v>7.38</v>
      </c>
      <c r="O228" s="18">
        <f t="shared" si="31"/>
        <v>37.897337499999999</v>
      </c>
      <c r="P228" s="7"/>
      <c r="Q228" s="10"/>
      <c r="R228" s="11"/>
      <c r="S228" s="11"/>
      <c r="T228" s="26"/>
      <c r="U228" s="28">
        <f t="shared" si="32"/>
        <v>9.0103397341211283E-2</v>
      </c>
      <c r="V228" s="57">
        <f t="shared" si="28"/>
        <v>2.8360000000000014E-2</v>
      </c>
      <c r="W228" s="57">
        <f t="shared" si="29"/>
        <v>8.7356666666666642E-3</v>
      </c>
      <c r="X228" s="56">
        <v>1000</v>
      </c>
      <c r="Y228" s="56">
        <v>600</v>
      </c>
    </row>
    <row r="229" spans="2:25" x14ac:dyDescent="0.25">
      <c r="B229" s="9"/>
      <c r="C229" s="31">
        <v>574.91</v>
      </c>
      <c r="D229" s="32">
        <v>34.607999999999997</v>
      </c>
      <c r="E229" s="32">
        <v>44.374000000000002</v>
      </c>
      <c r="F229" s="32">
        <v>43.265999999999998</v>
      </c>
      <c r="G229" s="18">
        <v>7.68</v>
      </c>
      <c r="H229" s="18">
        <f t="shared" si="30"/>
        <v>36.910999999999994</v>
      </c>
      <c r="I229" s="5"/>
      <c r="J229" s="31">
        <v>297.03820000000002</v>
      </c>
      <c r="K229" s="32">
        <v>33.514800000000001</v>
      </c>
      <c r="L229" s="32">
        <v>44.626899999999999</v>
      </c>
      <c r="M229" s="32">
        <v>43.436900000000001</v>
      </c>
      <c r="N229" s="18">
        <v>10.3132</v>
      </c>
      <c r="O229" s="18">
        <f t="shared" si="31"/>
        <v>36.144075000000001</v>
      </c>
      <c r="P229" s="7"/>
      <c r="Q229" s="10"/>
      <c r="R229" s="11"/>
      <c r="S229" s="11"/>
      <c r="T229" s="26"/>
      <c r="U229" s="28">
        <f t="shared" si="32"/>
        <v>0.34286458333333342</v>
      </c>
      <c r="V229" s="57">
        <f t="shared" si="28"/>
        <v>4.1816666666666717E-2</v>
      </c>
      <c r="W229" s="57">
        <f t="shared" si="29"/>
        <v>9.8726666666666078E-3</v>
      </c>
      <c r="X229" s="56">
        <v>600</v>
      </c>
      <c r="Y229" s="56">
        <v>300</v>
      </c>
    </row>
    <row r="230" spans="2:25" ht="16.5" thickBot="1" x14ac:dyDescent="0.3">
      <c r="B230" s="12"/>
      <c r="C230" s="33">
        <v>281.55</v>
      </c>
      <c r="D230" s="34">
        <v>31.516999999999999</v>
      </c>
      <c r="E230" s="34">
        <v>42.427</v>
      </c>
      <c r="F230" s="34">
        <v>41.488</v>
      </c>
      <c r="G230" s="20">
        <v>9.2799999999999994</v>
      </c>
      <c r="H230" s="20">
        <f t="shared" si="30"/>
        <v>34.127124999999999</v>
      </c>
      <c r="I230" s="5"/>
      <c r="J230" s="33">
        <v>192.27539999999999</v>
      </c>
      <c r="K230" s="34">
        <v>32.125999999999998</v>
      </c>
      <c r="L230" s="34">
        <v>43.583500000000001</v>
      </c>
      <c r="M230" s="34">
        <v>42.372300000000003</v>
      </c>
      <c r="N230" s="20">
        <v>12.632899999999999</v>
      </c>
      <c r="O230" s="20">
        <f t="shared" si="31"/>
        <v>34.838974999999998</v>
      </c>
      <c r="P230" s="7"/>
      <c r="Q230" s="13"/>
      <c r="R230" s="14"/>
      <c r="S230" s="14"/>
      <c r="T230" s="27"/>
      <c r="U230" s="28">
        <f t="shared" si="32"/>
        <v>0.36130387931034486</v>
      </c>
      <c r="V230" s="57">
        <f t="shared" si="28"/>
        <v>6.1499999999999964E-2</v>
      </c>
      <c r="W230" s="57">
        <f t="shared" si="29"/>
        <v>3.8623000000000046E-2</v>
      </c>
      <c r="X230" s="56">
        <v>300</v>
      </c>
      <c r="Y230" s="56">
        <v>200</v>
      </c>
    </row>
    <row r="231" spans="2:25" ht="16.5" thickBot="1" x14ac:dyDescent="0.3">
      <c r="B231" s="22" t="s">
        <v>22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1">
        <f t="shared" ref="Q231:W231" si="33">AVERAGE(Q123:Q230)</f>
        <v>-0.32282688131057646</v>
      </c>
      <c r="R231" s="21">
        <f t="shared" si="33"/>
        <v>-0.54161377826871016</v>
      </c>
      <c r="S231" s="21">
        <f t="shared" si="33"/>
        <v>-0.54497813281999841</v>
      </c>
      <c r="T231" s="21">
        <f t="shared" si="33"/>
        <v>-0.36800640818916319</v>
      </c>
      <c r="U231" s="21">
        <f t="shared" si="33"/>
        <v>0.17417205892734408</v>
      </c>
      <c r="V231" s="57">
        <f t="shared" si="33"/>
        <v>4.424913405568396E-2</v>
      </c>
      <c r="W231" s="57">
        <f t="shared" si="33"/>
        <v>1.5519630246913592E-2</v>
      </c>
      <c r="X231" s="57"/>
      <c r="Y231" s="56"/>
    </row>
  </sheetData>
  <mergeCells count="14">
    <mergeCell ref="V7:Y7"/>
    <mergeCell ref="V121:Y121"/>
    <mergeCell ref="C5:Y6"/>
    <mergeCell ref="C119:Y120"/>
    <mergeCell ref="B5:B6"/>
    <mergeCell ref="C7:H7"/>
    <mergeCell ref="J7:O7"/>
    <mergeCell ref="Q7:S7"/>
    <mergeCell ref="U7:U8"/>
    <mergeCell ref="B119:B120"/>
    <mergeCell ref="C121:H121"/>
    <mergeCell ref="J121:O121"/>
    <mergeCell ref="Q121:S121"/>
    <mergeCell ref="U121:U122"/>
  </mergeCells>
  <phoneticPr fontId="5" type="noConversion"/>
  <conditionalFormatting sqref="Q21:T24 Q29:T36 Q9:T12 Q123:T126">
    <cfRule type="cellIs" dxfId="195" priority="477" operator="greaterThan">
      <formula>0.03</formula>
    </cfRule>
    <cfRule type="cellIs" dxfId="194" priority="478" stopIfTrue="1" operator="lessThan">
      <formula>-0.03</formula>
    </cfRule>
  </conditionalFormatting>
  <conditionalFormatting sqref="Q25:T28">
    <cfRule type="cellIs" dxfId="193" priority="475" operator="greaterThan">
      <formula>0.03</formula>
    </cfRule>
    <cfRule type="cellIs" dxfId="192" priority="476" stopIfTrue="1" operator="lessThan">
      <formula>-0.03</formula>
    </cfRule>
  </conditionalFormatting>
  <conditionalFormatting sqref="Q38:T40 Q54:T56">
    <cfRule type="cellIs" dxfId="191" priority="473" operator="greaterThan">
      <formula>0.03</formula>
    </cfRule>
    <cfRule type="cellIs" dxfId="190" priority="474" stopIfTrue="1" operator="lessThan">
      <formula>-0.03</formula>
    </cfRule>
  </conditionalFormatting>
  <conditionalFormatting sqref="Q42:T44 Q46:T48 Q50:T52">
    <cfRule type="cellIs" dxfId="189" priority="471" operator="greaterThan">
      <formula>0.03</formula>
    </cfRule>
    <cfRule type="cellIs" dxfId="188" priority="472" stopIfTrue="1" operator="lessThan">
      <formula>-0.03</formula>
    </cfRule>
  </conditionalFormatting>
  <conditionalFormatting sqref="Q62:T64 Q66:T68">
    <cfRule type="cellIs" dxfId="187" priority="469" operator="greaterThan">
      <formula>0.03</formula>
    </cfRule>
    <cfRule type="cellIs" dxfId="186" priority="470" stopIfTrue="1" operator="lessThan">
      <formula>-0.03</formula>
    </cfRule>
  </conditionalFormatting>
  <conditionalFormatting sqref="Q58:T60">
    <cfRule type="cellIs" dxfId="185" priority="467" operator="greaterThan">
      <formula>0.03</formula>
    </cfRule>
    <cfRule type="cellIs" dxfId="184" priority="468" stopIfTrue="1" operator="lessThan">
      <formula>-0.03</formula>
    </cfRule>
  </conditionalFormatting>
  <conditionalFormatting sqref="Q70:T72">
    <cfRule type="cellIs" dxfId="183" priority="465" operator="greaterThan">
      <formula>0.03</formula>
    </cfRule>
    <cfRule type="cellIs" dxfId="182" priority="466" stopIfTrue="1" operator="lessThan">
      <formula>-0.03</formula>
    </cfRule>
  </conditionalFormatting>
  <conditionalFormatting sqref="Q13:T20">
    <cfRule type="cellIs" dxfId="181" priority="447" operator="greaterThan">
      <formula>0.03</formula>
    </cfRule>
    <cfRule type="cellIs" dxfId="180" priority="448" stopIfTrue="1" operator="lessThan">
      <formula>-0.03</formula>
    </cfRule>
  </conditionalFormatting>
  <conditionalFormatting sqref="Q135:T138 Q143:T150">
    <cfRule type="cellIs" dxfId="179" priority="443" operator="greaterThan">
      <formula>0.03</formula>
    </cfRule>
    <cfRule type="cellIs" dxfId="178" priority="444" stopIfTrue="1" operator="lessThan">
      <formula>-0.03</formula>
    </cfRule>
  </conditionalFormatting>
  <conditionalFormatting sqref="Q139:T142">
    <cfRule type="cellIs" dxfId="177" priority="441" operator="greaterThan">
      <formula>0.03</formula>
    </cfRule>
    <cfRule type="cellIs" dxfId="176" priority="442" stopIfTrue="1" operator="lessThan">
      <formula>-0.03</formula>
    </cfRule>
  </conditionalFormatting>
  <conditionalFormatting sqref="Q151:T154 Q167:T170">
    <cfRule type="cellIs" dxfId="175" priority="439" operator="greaterThan">
      <formula>0.03</formula>
    </cfRule>
    <cfRule type="cellIs" dxfId="174" priority="440" stopIfTrue="1" operator="lessThan">
      <formula>-0.03</formula>
    </cfRule>
  </conditionalFormatting>
  <conditionalFormatting sqref="Q155:T166">
    <cfRule type="cellIs" dxfId="173" priority="437" operator="greaterThan">
      <formula>0.03</formula>
    </cfRule>
    <cfRule type="cellIs" dxfId="172" priority="438" stopIfTrue="1" operator="lessThan">
      <formula>-0.03</formula>
    </cfRule>
  </conditionalFormatting>
  <conditionalFormatting sqref="Q175:T182">
    <cfRule type="cellIs" dxfId="171" priority="435" operator="greaterThan">
      <formula>0.03</formula>
    </cfRule>
    <cfRule type="cellIs" dxfId="170" priority="436" stopIfTrue="1" operator="lessThan">
      <formula>-0.03</formula>
    </cfRule>
  </conditionalFormatting>
  <conditionalFormatting sqref="Q171:T174">
    <cfRule type="cellIs" dxfId="169" priority="433" operator="greaterThan">
      <formula>0.03</formula>
    </cfRule>
    <cfRule type="cellIs" dxfId="168" priority="434" stopIfTrue="1" operator="lessThan">
      <formula>-0.03</formula>
    </cfRule>
  </conditionalFormatting>
  <conditionalFormatting sqref="Q183:T186">
    <cfRule type="cellIs" dxfId="167" priority="431" operator="greaterThan">
      <formula>0.03</formula>
    </cfRule>
    <cfRule type="cellIs" dxfId="166" priority="432" stopIfTrue="1" operator="lessThan">
      <formula>-0.03</formula>
    </cfRule>
  </conditionalFormatting>
  <conditionalFormatting sqref="Q127:T134">
    <cfRule type="cellIs" dxfId="165" priority="429" operator="greaterThan">
      <formula>0.03</formula>
    </cfRule>
    <cfRule type="cellIs" dxfId="164" priority="430" stopIfTrue="1" operator="lessThan">
      <formula>-0.03</formula>
    </cfRule>
  </conditionalFormatting>
  <conditionalFormatting sqref="Q37:T37">
    <cfRule type="cellIs" dxfId="163" priority="427" operator="greaterThan">
      <formula>0.03</formula>
    </cfRule>
    <cfRule type="cellIs" dxfId="162" priority="428" stopIfTrue="1" operator="lessThan">
      <formula>-0.03</formula>
    </cfRule>
  </conditionalFormatting>
  <conditionalFormatting sqref="Q41:T41">
    <cfRule type="cellIs" dxfId="161" priority="425" operator="greaterThan">
      <formula>0.03</formula>
    </cfRule>
    <cfRule type="cellIs" dxfId="160" priority="426" stopIfTrue="1" operator="lessThan">
      <formula>-0.03</formula>
    </cfRule>
  </conditionalFormatting>
  <conditionalFormatting sqref="Q45:T45">
    <cfRule type="cellIs" dxfId="159" priority="423" operator="greaterThan">
      <formula>0.03</formula>
    </cfRule>
    <cfRule type="cellIs" dxfId="158" priority="424" stopIfTrue="1" operator="lessThan">
      <formula>-0.03</formula>
    </cfRule>
  </conditionalFormatting>
  <conditionalFormatting sqref="Q49:T49">
    <cfRule type="cellIs" dxfId="157" priority="421" operator="greaterThan">
      <formula>0.03</formula>
    </cfRule>
    <cfRule type="cellIs" dxfId="156" priority="422" stopIfTrue="1" operator="lessThan">
      <formula>-0.03</formula>
    </cfRule>
  </conditionalFormatting>
  <conditionalFormatting sqref="Q53:T53">
    <cfRule type="cellIs" dxfId="155" priority="419" operator="greaterThan">
      <formula>0.03</formula>
    </cfRule>
    <cfRule type="cellIs" dxfId="154" priority="420" stopIfTrue="1" operator="lessThan">
      <formula>-0.03</formula>
    </cfRule>
  </conditionalFormatting>
  <conditionalFormatting sqref="Q57:T57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Q61:T61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Q65:T65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Q69:T6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Q97:T97">
    <cfRule type="cellIs" dxfId="145" priority="105" operator="greaterThan">
      <formula>0.03</formula>
    </cfRule>
    <cfRule type="cellIs" dxfId="144" priority="106" stopIfTrue="1" operator="lessThan">
      <formula>-0.03</formula>
    </cfRule>
  </conditionalFormatting>
  <conditionalFormatting sqref="Q109:T109">
    <cfRule type="cellIs" dxfId="143" priority="93" operator="greaterThan">
      <formula>0.03</formula>
    </cfRule>
    <cfRule type="cellIs" dxfId="142" priority="94" stopIfTrue="1" operator="lessThan">
      <formula>-0.03</formula>
    </cfRule>
  </conditionalFormatting>
  <conditionalFormatting sqref="Q85:T92 Q73:T80">
    <cfRule type="cellIs" dxfId="141" priority="119" operator="greaterThan">
      <formula>0.03</formula>
    </cfRule>
    <cfRule type="cellIs" dxfId="140" priority="120" stopIfTrue="1" operator="lessThan">
      <formula>-0.03</formula>
    </cfRule>
  </conditionalFormatting>
  <conditionalFormatting sqref="Q81:T84">
    <cfRule type="cellIs" dxfId="139" priority="117" operator="greaterThan">
      <formula>0.03</formula>
    </cfRule>
    <cfRule type="cellIs" dxfId="138" priority="118" stopIfTrue="1" operator="lessThan">
      <formula>-0.03</formula>
    </cfRule>
  </conditionalFormatting>
  <conditionalFormatting sqref="Q94:T96 Q114:T116">
    <cfRule type="cellIs" dxfId="137" priority="115" operator="greaterThan">
      <formula>0.03</formula>
    </cfRule>
    <cfRule type="cellIs" dxfId="136" priority="116" stopIfTrue="1" operator="lessThan">
      <formula>-0.03</formula>
    </cfRule>
  </conditionalFormatting>
  <conditionalFormatting sqref="Q98:T100">
    <cfRule type="cellIs" dxfId="135" priority="113" operator="greaterThan">
      <formula>0.03</formula>
    </cfRule>
    <cfRule type="cellIs" dxfId="134" priority="114" stopIfTrue="1" operator="lessThan">
      <formula>-0.03</formula>
    </cfRule>
  </conditionalFormatting>
  <conditionalFormatting sqref="Q93:T93">
    <cfRule type="cellIs" dxfId="133" priority="109" operator="greaterThan">
      <formula>0.03</formula>
    </cfRule>
    <cfRule type="cellIs" dxfId="132" priority="110" stopIfTrue="1" operator="lessThan">
      <formula>-0.03</formula>
    </cfRule>
  </conditionalFormatting>
  <conditionalFormatting sqref="Q113:T113">
    <cfRule type="cellIs" dxfId="131" priority="103" operator="greaterThan">
      <formula>0.03</formula>
    </cfRule>
    <cfRule type="cellIs" dxfId="130" priority="104" stopIfTrue="1" operator="lessThan">
      <formula>-0.03</formula>
    </cfRule>
  </conditionalFormatting>
  <conditionalFormatting sqref="Q101:T104">
    <cfRule type="cellIs" dxfId="129" priority="101" operator="greaterThan">
      <formula>0.03</formula>
    </cfRule>
    <cfRule type="cellIs" dxfId="128" priority="102" stopIfTrue="1" operator="lessThan">
      <formula>-0.03</formula>
    </cfRule>
  </conditionalFormatting>
  <conditionalFormatting sqref="Q106:T108">
    <cfRule type="cellIs" dxfId="127" priority="99" operator="greaterThan">
      <formula>0.03</formula>
    </cfRule>
    <cfRule type="cellIs" dxfId="126" priority="100" stopIfTrue="1" operator="lessThan">
      <formula>-0.03</formula>
    </cfRule>
  </conditionalFormatting>
  <conditionalFormatting sqref="Q110:T112">
    <cfRule type="cellIs" dxfId="125" priority="97" operator="greaterThan">
      <formula>0.03</formula>
    </cfRule>
    <cfRule type="cellIs" dxfId="124" priority="98" stopIfTrue="1" operator="lessThan">
      <formula>-0.03</formula>
    </cfRule>
  </conditionalFormatting>
  <conditionalFormatting sqref="Q105:T105">
    <cfRule type="cellIs" dxfId="123" priority="95" operator="greaterThan">
      <formula>0.03</formula>
    </cfRule>
    <cfRule type="cellIs" dxfId="122" priority="96" stopIfTrue="1" operator="lessThan">
      <formula>-0.03</formula>
    </cfRule>
  </conditionalFormatting>
  <conditionalFormatting sqref="Q211:T211">
    <cfRule type="cellIs" dxfId="121" priority="39" operator="greaterThan">
      <formula>0.03</formula>
    </cfRule>
    <cfRule type="cellIs" dxfId="120" priority="40" stopIfTrue="1" operator="lessThan">
      <formula>-0.03</formula>
    </cfRule>
  </conditionalFormatting>
  <conditionalFormatting sqref="Q223:T223">
    <cfRule type="cellIs" dxfId="119" priority="27" operator="greaterThan">
      <formula>0.03</formula>
    </cfRule>
    <cfRule type="cellIs" dxfId="118" priority="28" stopIfTrue="1" operator="lessThan">
      <formula>-0.03</formula>
    </cfRule>
  </conditionalFormatting>
  <conditionalFormatting sqref="Q199:T206 Q187:T194">
    <cfRule type="cellIs" dxfId="117" priority="53" operator="greaterThan">
      <formula>0.03</formula>
    </cfRule>
    <cfRule type="cellIs" dxfId="116" priority="54" stopIfTrue="1" operator="lessThan">
      <formula>-0.03</formula>
    </cfRule>
  </conditionalFormatting>
  <conditionalFormatting sqref="Q195:T198">
    <cfRule type="cellIs" dxfId="115" priority="51" operator="greaterThan">
      <formula>0.03</formula>
    </cfRule>
    <cfRule type="cellIs" dxfId="114" priority="52" stopIfTrue="1" operator="lessThan">
      <formula>-0.03</formula>
    </cfRule>
  </conditionalFormatting>
  <conditionalFormatting sqref="Q208:T210 Q228:T230">
    <cfRule type="cellIs" dxfId="113" priority="49" operator="greaterThan">
      <formula>0.03</formula>
    </cfRule>
    <cfRule type="cellIs" dxfId="112" priority="50" stopIfTrue="1" operator="lessThan">
      <formula>-0.03</formula>
    </cfRule>
  </conditionalFormatting>
  <conditionalFormatting sqref="Q212:T214">
    <cfRule type="cellIs" dxfId="111" priority="47" operator="greaterThan">
      <formula>0.03</formula>
    </cfRule>
    <cfRule type="cellIs" dxfId="110" priority="48" stopIfTrue="1" operator="lessThan">
      <formula>-0.03</formula>
    </cfRule>
  </conditionalFormatting>
  <conditionalFormatting sqref="Q207:T207">
    <cfRule type="cellIs" dxfId="109" priority="43" operator="greaterThan">
      <formula>0.03</formula>
    </cfRule>
    <cfRule type="cellIs" dxfId="108" priority="44" stopIfTrue="1" operator="lessThan">
      <formula>-0.03</formula>
    </cfRule>
  </conditionalFormatting>
  <conditionalFormatting sqref="Q227:T227">
    <cfRule type="cellIs" dxfId="107" priority="37" operator="greaterThan">
      <formula>0.03</formula>
    </cfRule>
    <cfRule type="cellIs" dxfId="106" priority="38" stopIfTrue="1" operator="lessThan">
      <formula>-0.03</formula>
    </cfRule>
  </conditionalFormatting>
  <conditionalFormatting sqref="Q215:T218">
    <cfRule type="cellIs" dxfId="105" priority="35" operator="greaterThan">
      <formula>0.03</formula>
    </cfRule>
    <cfRule type="cellIs" dxfId="104" priority="36" stopIfTrue="1" operator="lessThan">
      <formula>-0.03</formula>
    </cfRule>
  </conditionalFormatting>
  <conditionalFormatting sqref="Q220:T222">
    <cfRule type="cellIs" dxfId="103" priority="33" operator="greaterThan">
      <formula>0.03</formula>
    </cfRule>
    <cfRule type="cellIs" dxfId="102" priority="34" stopIfTrue="1" operator="lessThan">
      <formula>-0.03</formula>
    </cfRule>
  </conditionalFormatting>
  <conditionalFormatting sqref="Q224:T226">
    <cfRule type="cellIs" dxfId="101" priority="31" operator="greaterThan">
      <formula>0.03</formula>
    </cfRule>
    <cfRule type="cellIs" dxfId="100" priority="32" stopIfTrue="1" operator="lessThan">
      <formula>-0.03</formula>
    </cfRule>
  </conditionalFormatting>
  <conditionalFormatting sqref="Q219:T219">
    <cfRule type="cellIs" dxfId="99" priority="29" operator="greaterThan">
      <formula>0.03</formula>
    </cfRule>
    <cfRule type="cellIs" dxfId="98" priority="3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31"/>
  <sheetViews>
    <sheetView tabSelected="1" workbookViewId="0">
      <selection activeCell="M17" sqref="M17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113</v>
      </c>
    </row>
    <row r="2" spans="1:25" x14ac:dyDescent="0.25">
      <c r="A2" t="s">
        <v>77</v>
      </c>
    </row>
    <row r="3" spans="1:25" x14ac:dyDescent="0.25">
      <c r="A3" t="s">
        <v>114</v>
      </c>
    </row>
    <row r="4" spans="1:25" x14ac:dyDescent="0.25">
      <c r="A4" t="s">
        <v>78</v>
      </c>
    </row>
    <row r="5" spans="1:25" s="35" customFormat="1" ht="15.75" customHeight="1" x14ac:dyDescent="0.25">
      <c r="B5" s="73" t="s">
        <v>29</v>
      </c>
      <c r="C5" s="67" t="s">
        <v>123</v>
      </c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9"/>
    </row>
    <row r="6" spans="1:25" s="35" customFormat="1" x14ac:dyDescent="0.25">
      <c r="B6" s="74"/>
      <c r="C6" s="70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2"/>
    </row>
    <row r="7" spans="1:25" ht="16.5" customHeight="1" thickBot="1" x14ac:dyDescent="0.3">
      <c r="C7" s="75" t="s">
        <v>62</v>
      </c>
      <c r="D7" s="76"/>
      <c r="E7" s="76"/>
      <c r="F7" s="76"/>
      <c r="G7" s="76"/>
      <c r="H7" s="76"/>
      <c r="I7" s="5"/>
      <c r="J7" s="75" t="s">
        <v>102</v>
      </c>
      <c r="K7" s="76"/>
      <c r="L7" s="76"/>
      <c r="M7" s="76"/>
      <c r="N7" s="76"/>
      <c r="O7" s="76"/>
      <c r="Q7" s="75" t="s">
        <v>7</v>
      </c>
      <c r="R7" s="76"/>
      <c r="S7" s="77"/>
      <c r="T7" s="36"/>
      <c r="U7" s="78" t="s">
        <v>43</v>
      </c>
      <c r="V7" s="66" t="s">
        <v>92</v>
      </c>
      <c r="W7" s="66"/>
      <c r="X7" s="66"/>
      <c r="Y7" s="66"/>
    </row>
    <row r="8" spans="1:25" ht="16.5" thickBot="1" x14ac:dyDescent="0.3">
      <c r="C8" s="2" t="s">
        <v>60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60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8"/>
      <c r="V8" s="55" t="s">
        <v>100</v>
      </c>
      <c r="W8" s="55" t="s">
        <v>93</v>
      </c>
      <c r="X8" s="56" t="s">
        <v>101</v>
      </c>
      <c r="Y8" s="56" t="s">
        <v>94</v>
      </c>
    </row>
    <row r="9" spans="1:25" x14ac:dyDescent="0.25">
      <c r="A9" s="6" t="s">
        <v>35</v>
      </c>
      <c r="B9" s="6" t="s">
        <v>44</v>
      </c>
      <c r="C9" s="15">
        <v>3046.27</v>
      </c>
      <c r="D9" s="16">
        <v>39.186</v>
      </c>
      <c r="E9" s="16">
        <v>41.914999999999999</v>
      </c>
      <c r="F9" s="16">
        <v>43.037999999999997</v>
      </c>
      <c r="G9" s="16">
        <v>1.37</v>
      </c>
      <c r="H9" s="16">
        <f t="shared" ref="H9:H72" si="0">(6*D9+E9+F9)/8</f>
        <v>40.008625000000002</v>
      </c>
      <c r="I9" s="5"/>
      <c r="J9" s="15">
        <v>2382.2199999999998</v>
      </c>
      <c r="K9" s="16">
        <v>39.544600000000003</v>
      </c>
      <c r="L9" s="16">
        <v>42.369399999999999</v>
      </c>
      <c r="M9" s="16">
        <v>43.970100000000002</v>
      </c>
      <c r="N9" s="16">
        <v>1.5044</v>
      </c>
      <c r="O9" s="16">
        <f t="shared" ref="O9:O72" si="1">(6*K9+L9+M9)/8</f>
        <v>40.4508875</v>
      </c>
      <c r="P9" s="7"/>
      <c r="Q9" s="8">
        <f>bdrate(C9:C12,D9:D12,J9:J12,K9:K12)</f>
        <v>-0.36980158933379126</v>
      </c>
      <c r="R9" s="8">
        <f>bdrate(C9:C12,E9:E12,J9:J12,L9:L12)</f>
        <v>-0.44916792657155591</v>
      </c>
      <c r="S9" s="8">
        <f>bdrate(C9:C12,F9:F12,J9:J12,M9:M12)</f>
        <v>-0.53243225696884122</v>
      </c>
      <c r="T9" s="25">
        <f>bdrate(C9:C12,H9:H12,J9:J12,O9:O12)</f>
        <v>-0.3896016455783613</v>
      </c>
      <c r="U9" s="28">
        <f t="shared" ref="U9:U64" si="2">(N9-G9)/G9</f>
        <v>9.8102189781021781E-2</v>
      </c>
      <c r="V9" s="57">
        <f t="shared" ref="V9:V65" si="3">ABS(C9-X9)/X9</f>
        <v>0.15381388888888889</v>
      </c>
      <c r="W9" s="57">
        <f t="shared" ref="W9:W64" si="4">ABS(J9-Y9)/Y9</f>
        <v>7.4083333333334169E-3</v>
      </c>
      <c r="X9" s="56">
        <v>3600</v>
      </c>
      <c r="Y9" s="56">
        <v>2400</v>
      </c>
    </row>
    <row r="10" spans="1:25" x14ac:dyDescent="0.25">
      <c r="A10" s="9" t="s">
        <v>36</v>
      </c>
      <c r="B10" s="9"/>
      <c r="C10" s="17">
        <v>2008.64</v>
      </c>
      <c r="D10" s="18">
        <v>37.758000000000003</v>
      </c>
      <c r="E10" s="18">
        <v>41.186</v>
      </c>
      <c r="F10" s="18">
        <v>42.154000000000003</v>
      </c>
      <c r="G10" s="18">
        <v>1.59</v>
      </c>
      <c r="H10" s="18">
        <f t="shared" si="0"/>
        <v>38.735999999999997</v>
      </c>
      <c r="I10" s="5"/>
      <c r="J10" s="17">
        <v>1575.912</v>
      </c>
      <c r="K10" s="18">
        <v>38.318199999999997</v>
      </c>
      <c r="L10" s="18">
        <v>41.723399999999998</v>
      </c>
      <c r="M10" s="18">
        <v>43.1297</v>
      </c>
      <c r="N10" s="18">
        <v>1.7847</v>
      </c>
      <c r="O10" s="18">
        <f t="shared" si="1"/>
        <v>39.345287500000005</v>
      </c>
      <c r="P10" s="7"/>
      <c r="Q10" s="10"/>
      <c r="R10" s="11"/>
      <c r="S10" s="11"/>
      <c r="T10" s="26"/>
      <c r="U10" s="28">
        <f t="shared" si="2"/>
        <v>0.12245283018867915</v>
      </c>
      <c r="V10" s="57">
        <f t="shared" si="3"/>
        <v>0.16306666666666664</v>
      </c>
      <c r="W10" s="57">
        <f t="shared" si="4"/>
        <v>1.5054999999999978E-2</v>
      </c>
      <c r="X10" s="56">
        <v>2400</v>
      </c>
      <c r="Y10" s="56">
        <v>1600</v>
      </c>
    </row>
    <row r="11" spans="1:25" x14ac:dyDescent="0.25">
      <c r="B11" s="9"/>
      <c r="C11" s="17">
        <v>1249.25</v>
      </c>
      <c r="D11" s="18">
        <v>35.872</v>
      </c>
      <c r="E11" s="18">
        <v>40.314999999999998</v>
      </c>
      <c r="F11" s="18">
        <v>41.234999999999999</v>
      </c>
      <c r="G11" s="18">
        <v>1.92</v>
      </c>
      <c r="H11" s="18">
        <f t="shared" si="0"/>
        <v>37.097749999999998</v>
      </c>
      <c r="I11" s="5"/>
      <c r="J11" s="17">
        <v>973.30719999999997</v>
      </c>
      <c r="K11" s="18">
        <v>36.771500000000003</v>
      </c>
      <c r="L11" s="18">
        <v>40.921399999999998</v>
      </c>
      <c r="M11" s="18">
        <v>42.176000000000002</v>
      </c>
      <c r="N11" s="18">
        <v>2.1524999999999999</v>
      </c>
      <c r="O11" s="18">
        <f t="shared" si="1"/>
        <v>37.965800000000002</v>
      </c>
      <c r="P11" s="7"/>
      <c r="Q11" s="10"/>
      <c r="R11" s="11"/>
      <c r="S11" s="11"/>
      <c r="T11" s="26"/>
      <c r="U11" s="28">
        <f t="shared" si="2"/>
        <v>0.12109374999999997</v>
      </c>
      <c r="V11" s="57">
        <f t="shared" si="3"/>
        <v>0.16716666666666666</v>
      </c>
      <c r="W11" s="57">
        <f t="shared" si="4"/>
        <v>2.6692800000000034E-2</v>
      </c>
      <c r="X11" s="56">
        <v>1500</v>
      </c>
      <c r="Y11" s="56">
        <v>1000</v>
      </c>
    </row>
    <row r="12" spans="1:25" ht="16.5" thickBot="1" x14ac:dyDescent="0.3">
      <c r="B12" s="12"/>
      <c r="C12" s="19">
        <v>740.92</v>
      </c>
      <c r="D12" s="20">
        <v>33.497999999999998</v>
      </c>
      <c r="E12" s="20">
        <v>39.408000000000001</v>
      </c>
      <c r="F12" s="20">
        <v>40.353999999999999</v>
      </c>
      <c r="G12" s="20">
        <v>2.4</v>
      </c>
      <c r="H12" s="20">
        <f t="shared" si="0"/>
        <v>35.09375</v>
      </c>
      <c r="I12" s="5"/>
      <c r="J12" s="19">
        <v>559.8664</v>
      </c>
      <c r="K12" s="20">
        <v>34.9114</v>
      </c>
      <c r="L12" s="20">
        <v>40.230400000000003</v>
      </c>
      <c r="M12" s="20">
        <v>41.468499999999999</v>
      </c>
      <c r="N12" s="20">
        <v>2.7378</v>
      </c>
      <c r="O12" s="20">
        <f t="shared" si="1"/>
        <v>36.395912500000001</v>
      </c>
      <c r="P12" s="7"/>
      <c r="Q12" s="13"/>
      <c r="R12" s="14"/>
      <c r="S12" s="14"/>
      <c r="T12" s="27"/>
      <c r="U12" s="28">
        <f t="shared" si="2"/>
        <v>0.14075000000000004</v>
      </c>
      <c r="V12" s="57">
        <f t="shared" si="3"/>
        <v>0.17675555555555561</v>
      </c>
      <c r="W12" s="57">
        <f t="shared" si="4"/>
        <v>6.6889333333333342E-2</v>
      </c>
      <c r="X12" s="56">
        <v>900</v>
      </c>
      <c r="Y12" s="56">
        <v>600</v>
      </c>
    </row>
    <row r="13" spans="1:25" x14ac:dyDescent="0.25">
      <c r="B13" s="6" t="s">
        <v>45</v>
      </c>
      <c r="C13" s="15">
        <v>3440.28</v>
      </c>
      <c r="D13" s="16">
        <v>36.726999999999997</v>
      </c>
      <c r="E13" s="16">
        <v>39.518000000000001</v>
      </c>
      <c r="F13" s="16">
        <v>40.662999999999997</v>
      </c>
      <c r="G13" s="16">
        <v>1.46</v>
      </c>
      <c r="H13" s="16">
        <f t="shared" si="0"/>
        <v>37.567875000000001</v>
      </c>
      <c r="I13" s="5"/>
      <c r="J13" s="15">
        <v>2551.0688</v>
      </c>
      <c r="K13" s="16">
        <v>36.490900000000003</v>
      </c>
      <c r="L13" s="16">
        <v>40.642200000000003</v>
      </c>
      <c r="M13" s="16">
        <v>41.896799999999999</v>
      </c>
      <c r="N13" s="16">
        <v>1.4950000000000001</v>
      </c>
      <c r="O13" s="16">
        <f t="shared" si="1"/>
        <v>37.685549999999999</v>
      </c>
      <c r="P13" s="7"/>
      <c r="Q13" s="8">
        <f>bdrate(C13:C16,D13:D16,J13:J16,K13:K16)</f>
        <v>-0.28766718780401934</v>
      </c>
      <c r="R13" s="8">
        <f>bdrate(C13:C16,E13:E16,J13:J16,L13:L16)</f>
        <v>-0.58940790710598323</v>
      </c>
      <c r="S13" s="8">
        <f>bdrate(C13:C16,F13:F16,J13:J16,M13:M16)</f>
        <v>-0.58813353825139536</v>
      </c>
      <c r="T13" s="25">
        <f>bdrate(C13:C16,H13:H16,J13:J16,O13:O16)</f>
        <v>-0.34024639047724903</v>
      </c>
      <c r="U13" s="28">
        <f t="shared" si="2"/>
        <v>2.3972602739726127E-2</v>
      </c>
      <c r="V13" s="57">
        <f t="shared" si="3"/>
        <v>4.436666666666661E-2</v>
      </c>
      <c r="W13" s="57">
        <f t="shared" si="4"/>
        <v>6.2945333333333339E-2</v>
      </c>
      <c r="X13" s="56">
        <v>3600</v>
      </c>
      <c r="Y13" s="56">
        <v>2400</v>
      </c>
    </row>
    <row r="14" spans="1:25" x14ac:dyDescent="0.25">
      <c r="B14" s="9"/>
      <c r="C14" s="17">
        <v>2275.88</v>
      </c>
      <c r="D14" s="18">
        <v>35.28</v>
      </c>
      <c r="E14" s="18">
        <v>38.747999999999998</v>
      </c>
      <c r="F14" s="18">
        <v>40.030999999999999</v>
      </c>
      <c r="G14" s="18">
        <v>1.63</v>
      </c>
      <c r="H14" s="18">
        <f t="shared" si="0"/>
        <v>36.307375</v>
      </c>
      <c r="I14" s="5"/>
      <c r="J14" s="17">
        <v>1674.7431999999999</v>
      </c>
      <c r="K14" s="18">
        <v>35.214700000000001</v>
      </c>
      <c r="L14" s="18">
        <v>39.861600000000003</v>
      </c>
      <c r="M14" s="18">
        <v>41.067999999999998</v>
      </c>
      <c r="N14" s="18">
        <v>1.7968999999999999</v>
      </c>
      <c r="O14" s="18">
        <f t="shared" si="1"/>
        <v>36.527225000000001</v>
      </c>
      <c r="P14" s="7"/>
      <c r="Q14" s="10"/>
      <c r="R14" s="11"/>
      <c r="S14" s="11"/>
      <c r="T14" s="26"/>
      <c r="U14" s="28">
        <f t="shared" si="2"/>
        <v>0.10239263803680985</v>
      </c>
      <c r="V14" s="57">
        <f t="shared" si="3"/>
        <v>5.1716666666666619E-2</v>
      </c>
      <c r="W14" s="57">
        <f t="shared" si="4"/>
        <v>4.671449999999993E-2</v>
      </c>
      <c r="X14" s="56">
        <v>2400</v>
      </c>
      <c r="Y14" s="56">
        <v>1600</v>
      </c>
    </row>
    <row r="15" spans="1:25" x14ac:dyDescent="0.25">
      <c r="B15" s="9"/>
      <c r="C15" s="17">
        <v>1417.03</v>
      </c>
      <c r="D15" s="18">
        <v>33.518999999999998</v>
      </c>
      <c r="E15" s="18">
        <v>37.950000000000003</v>
      </c>
      <c r="F15" s="18">
        <v>39.365000000000002</v>
      </c>
      <c r="G15" s="18">
        <v>1.92</v>
      </c>
      <c r="H15" s="18">
        <f t="shared" si="0"/>
        <v>34.803624999999997</v>
      </c>
      <c r="I15" s="5"/>
      <c r="J15" s="17">
        <v>1037.6384</v>
      </c>
      <c r="K15" s="18">
        <v>33.731499999999997</v>
      </c>
      <c r="L15" s="18">
        <v>38.957299999999996</v>
      </c>
      <c r="M15" s="18">
        <v>40.198599999999999</v>
      </c>
      <c r="N15" s="18">
        <v>2.2158000000000002</v>
      </c>
      <c r="O15" s="18">
        <f t="shared" si="1"/>
        <v>35.193112499999998</v>
      </c>
      <c r="P15" s="7"/>
      <c r="Q15" s="10"/>
      <c r="R15" s="11"/>
      <c r="S15" s="11"/>
      <c r="T15" s="26"/>
      <c r="U15" s="28">
        <f t="shared" si="2"/>
        <v>0.15406250000000016</v>
      </c>
      <c r="V15" s="57">
        <f t="shared" si="3"/>
        <v>5.5313333333333353E-2</v>
      </c>
      <c r="W15" s="57">
        <f t="shared" si="4"/>
        <v>3.7638400000000044E-2</v>
      </c>
      <c r="X15" s="56">
        <v>1500</v>
      </c>
      <c r="Y15" s="56">
        <v>1000</v>
      </c>
    </row>
    <row r="16" spans="1:25" ht="16.5" thickBot="1" x14ac:dyDescent="0.3">
      <c r="B16" s="12"/>
      <c r="C16" s="19">
        <v>844.7</v>
      </c>
      <c r="D16" s="20">
        <v>31.571999999999999</v>
      </c>
      <c r="E16" s="20">
        <v>37.174999999999997</v>
      </c>
      <c r="F16" s="20">
        <v>38.752000000000002</v>
      </c>
      <c r="G16" s="20">
        <v>2.31</v>
      </c>
      <c r="H16" s="20">
        <f t="shared" si="0"/>
        <v>33.169874999999998</v>
      </c>
      <c r="I16" s="5"/>
      <c r="J16" s="19">
        <v>615.32560000000001</v>
      </c>
      <c r="K16" s="20">
        <v>32.1036</v>
      </c>
      <c r="L16" s="20">
        <v>37.976799999999997</v>
      </c>
      <c r="M16" s="20">
        <v>39.373199999999997</v>
      </c>
      <c r="N16" s="20">
        <v>2.7715000000000001</v>
      </c>
      <c r="O16" s="20">
        <f t="shared" si="1"/>
        <v>33.746449999999996</v>
      </c>
      <c r="P16" s="7"/>
      <c r="Q16" s="13"/>
      <c r="R16" s="14"/>
      <c r="S16" s="14"/>
      <c r="T16" s="27"/>
      <c r="U16" s="28">
        <f t="shared" si="2"/>
        <v>0.19978354978354979</v>
      </c>
      <c r="V16" s="57">
        <f t="shared" si="3"/>
        <v>6.1444444444444392E-2</v>
      </c>
      <c r="W16" s="57">
        <f t="shared" si="4"/>
        <v>2.5542666666666682E-2</v>
      </c>
      <c r="X16" s="56">
        <v>900</v>
      </c>
      <c r="Y16" s="56">
        <v>600</v>
      </c>
    </row>
    <row r="17" spans="1:25" x14ac:dyDescent="0.25">
      <c r="B17" s="6" t="s">
        <v>46</v>
      </c>
      <c r="C17" s="15">
        <v>3545.38</v>
      </c>
      <c r="D17" s="16">
        <v>34.551000000000002</v>
      </c>
      <c r="E17" s="16">
        <v>38.103999999999999</v>
      </c>
      <c r="F17" s="16">
        <v>39.823</v>
      </c>
      <c r="G17" s="16">
        <v>1.8</v>
      </c>
      <c r="H17" s="16">
        <f t="shared" si="0"/>
        <v>35.654125000000001</v>
      </c>
      <c r="I17" s="5"/>
      <c r="J17" s="15">
        <v>2410.0944</v>
      </c>
      <c r="K17" s="16">
        <v>34.842100000000002</v>
      </c>
      <c r="L17" s="16">
        <v>38.635800000000003</v>
      </c>
      <c r="M17" s="16">
        <v>41.014899999999997</v>
      </c>
      <c r="N17" s="16">
        <v>2.1200999999999999</v>
      </c>
      <c r="O17" s="16">
        <f t="shared" si="1"/>
        <v>36.087912500000002</v>
      </c>
      <c r="P17" s="7"/>
      <c r="Q17" s="8">
        <f>bdrate(C17:C20,D17:D20,J17:J20,K17:K20)</f>
        <v>-0.43753954634828551</v>
      </c>
      <c r="R17" s="8">
        <f>bdrate(C17:C20,E17:E20,J17:J20,L17:L20)</f>
        <v>-0.6061603714316478</v>
      </c>
      <c r="S17" s="8">
        <f>bdrate(C17:C20,F17:F20,J17:J20,M17:M20)</f>
        <v>-0.63376422926361131</v>
      </c>
      <c r="T17" s="25">
        <f>bdrate(C17:C20,H17:H20,J17:J20,O17:O20)</f>
        <v>-0.46817493662699705</v>
      </c>
      <c r="U17" s="28">
        <f t="shared" si="2"/>
        <v>0.17783333333333323</v>
      </c>
      <c r="V17" s="57">
        <f t="shared" si="3"/>
        <v>1.5172222222222191E-2</v>
      </c>
      <c r="W17" s="57">
        <f t="shared" si="4"/>
        <v>4.2059999999999797E-3</v>
      </c>
      <c r="X17" s="56">
        <v>3600</v>
      </c>
      <c r="Y17" s="56">
        <v>2400</v>
      </c>
    </row>
    <row r="18" spans="1:25" x14ac:dyDescent="0.25">
      <c r="B18" s="9"/>
      <c r="C18" s="17">
        <v>2361.3000000000002</v>
      </c>
      <c r="D18" s="18">
        <v>33.136000000000003</v>
      </c>
      <c r="E18" s="18">
        <v>37.537999999999997</v>
      </c>
      <c r="F18" s="18">
        <v>38.866999999999997</v>
      </c>
      <c r="G18" s="18">
        <v>2.09</v>
      </c>
      <c r="H18" s="18">
        <f t="shared" si="0"/>
        <v>34.402625000000008</v>
      </c>
      <c r="I18" s="5"/>
      <c r="J18" s="17">
        <v>1603.9256</v>
      </c>
      <c r="K18" s="18">
        <v>33.673200000000001</v>
      </c>
      <c r="L18" s="18">
        <v>38.180100000000003</v>
      </c>
      <c r="M18" s="18">
        <v>40.158099999999997</v>
      </c>
      <c r="N18" s="18">
        <v>2.5162</v>
      </c>
      <c r="O18" s="18">
        <f t="shared" si="1"/>
        <v>35.047175000000003</v>
      </c>
      <c r="P18" s="7"/>
      <c r="Q18" s="10"/>
      <c r="R18" s="11"/>
      <c r="S18" s="11"/>
      <c r="T18" s="26"/>
      <c r="U18" s="28">
        <f t="shared" si="2"/>
        <v>0.20392344497607665</v>
      </c>
      <c r="V18" s="57">
        <f t="shared" si="3"/>
        <v>1.6124999999999924E-2</v>
      </c>
      <c r="W18" s="57">
        <f t="shared" si="4"/>
        <v>2.4535000000000195E-3</v>
      </c>
      <c r="X18" s="56">
        <v>2400</v>
      </c>
      <c r="Y18" s="56">
        <v>1600</v>
      </c>
    </row>
    <row r="19" spans="1:25" x14ac:dyDescent="0.25">
      <c r="B19" s="9"/>
      <c r="C19" s="17">
        <v>1468.59</v>
      </c>
      <c r="D19" s="18">
        <v>31.297000000000001</v>
      </c>
      <c r="E19" s="18">
        <v>36.865000000000002</v>
      </c>
      <c r="F19" s="18">
        <v>37.795999999999999</v>
      </c>
      <c r="G19" s="18">
        <v>2.54</v>
      </c>
      <c r="H19" s="18">
        <f t="shared" si="0"/>
        <v>32.805375000000005</v>
      </c>
      <c r="I19" s="5"/>
      <c r="J19" s="17">
        <v>1001.3816</v>
      </c>
      <c r="K19" s="18">
        <v>32.061799999999998</v>
      </c>
      <c r="L19" s="18">
        <v>37.621499999999997</v>
      </c>
      <c r="M19" s="18">
        <v>39.1663</v>
      </c>
      <c r="N19" s="18">
        <v>3.0497000000000001</v>
      </c>
      <c r="O19" s="18">
        <f t="shared" si="1"/>
        <v>33.644824999999997</v>
      </c>
      <c r="P19" s="7"/>
      <c r="Q19" s="10"/>
      <c r="R19" s="11"/>
      <c r="S19" s="11"/>
      <c r="T19" s="26"/>
      <c r="U19" s="28">
        <f t="shared" si="2"/>
        <v>0.20066929133858269</v>
      </c>
      <c r="V19" s="57">
        <f t="shared" si="3"/>
        <v>2.0940000000000056E-2</v>
      </c>
      <c r="W19" s="57">
        <f t="shared" si="4"/>
        <v>1.3816000000000485E-3</v>
      </c>
      <c r="X19" s="56">
        <v>1500</v>
      </c>
      <c r="Y19" s="56">
        <v>1000</v>
      </c>
    </row>
    <row r="20" spans="1:25" ht="16.5" thickBot="1" x14ac:dyDescent="0.3">
      <c r="B20" s="12"/>
      <c r="C20" s="19">
        <v>885.01</v>
      </c>
      <c r="D20" s="20">
        <v>29.113</v>
      </c>
      <c r="E20" s="20">
        <v>36.195</v>
      </c>
      <c r="F20" s="20">
        <v>36.67</v>
      </c>
      <c r="G20" s="20">
        <v>3.11</v>
      </c>
      <c r="H20" s="20">
        <f t="shared" si="0"/>
        <v>30.942875000000001</v>
      </c>
      <c r="I20" s="5"/>
      <c r="J20" s="19">
        <v>583.07360000000006</v>
      </c>
      <c r="K20" s="20">
        <v>30.2973</v>
      </c>
      <c r="L20" s="20">
        <v>36.994399999999999</v>
      </c>
      <c r="M20" s="20">
        <v>38.131599999999999</v>
      </c>
      <c r="N20" s="20">
        <v>3.8641000000000001</v>
      </c>
      <c r="O20" s="20">
        <f t="shared" si="1"/>
        <v>32.113724999999995</v>
      </c>
      <c r="P20" s="7"/>
      <c r="Q20" s="13"/>
      <c r="R20" s="14"/>
      <c r="S20" s="14"/>
      <c r="T20" s="27"/>
      <c r="U20" s="28">
        <f t="shared" si="2"/>
        <v>0.24247588424437308</v>
      </c>
      <c r="V20" s="57">
        <f t="shared" si="3"/>
        <v>1.6655555555555566E-2</v>
      </c>
      <c r="W20" s="57">
        <f t="shared" si="4"/>
        <v>2.8210666666666575E-2</v>
      </c>
      <c r="X20" s="56">
        <v>900</v>
      </c>
      <c r="Y20" s="56">
        <v>600</v>
      </c>
    </row>
    <row r="21" spans="1:25" x14ac:dyDescent="0.25">
      <c r="B21" s="6" t="s">
        <v>47</v>
      </c>
      <c r="C21" s="29">
        <v>3579.92</v>
      </c>
      <c r="D21" s="30">
        <v>34.185000000000002</v>
      </c>
      <c r="E21" s="30">
        <v>39.875999999999998</v>
      </c>
      <c r="F21" s="30">
        <v>39.591999999999999</v>
      </c>
      <c r="G21" s="16">
        <v>1.66</v>
      </c>
      <c r="H21" s="16">
        <f t="shared" si="0"/>
        <v>35.572250000000004</v>
      </c>
      <c r="I21" s="5"/>
      <c r="J21" s="29">
        <v>2413.4023999999999</v>
      </c>
      <c r="K21" s="30">
        <v>34.496299999999998</v>
      </c>
      <c r="L21" s="30">
        <v>40.978900000000003</v>
      </c>
      <c r="M21" s="30">
        <v>40.730499999999999</v>
      </c>
      <c r="N21" s="16">
        <v>1.8399000000000001</v>
      </c>
      <c r="O21" s="16">
        <f t="shared" si="1"/>
        <v>36.085900000000002</v>
      </c>
      <c r="P21" s="7"/>
      <c r="Q21" s="8">
        <f>bdrate(C21:C24,D21:D24,J21:J24,K21:K24)</f>
        <v>-0.46937075892423463</v>
      </c>
      <c r="R21" s="8">
        <f>bdrate(C21:C24,E21:E24,J21:J24,L21:L24)</f>
        <v>-0.67755177474095885</v>
      </c>
      <c r="S21" s="8">
        <f>bdrate(C21:C24,F21:F24,J21:J24,M21:M24)</f>
        <v>-0.61180083117485995</v>
      </c>
      <c r="T21" s="25">
        <f>bdrate(C21:C24,H21:H24,J21:J24,O21:O24)</f>
        <v>-0.50207249744706806</v>
      </c>
      <c r="U21" s="28">
        <f t="shared" si="2"/>
        <v>0.10837349397590372</v>
      </c>
      <c r="V21" s="57">
        <f t="shared" si="3"/>
        <v>5.5777777777777579E-3</v>
      </c>
      <c r="W21" s="57">
        <f t="shared" si="4"/>
        <v>5.5843333333333101E-3</v>
      </c>
      <c r="X21" s="56">
        <v>3600</v>
      </c>
      <c r="Y21" s="56">
        <v>2400</v>
      </c>
    </row>
    <row r="22" spans="1:25" x14ac:dyDescent="0.25">
      <c r="B22" s="9"/>
      <c r="C22" s="31">
        <v>2381.64</v>
      </c>
      <c r="D22" s="32">
        <v>32.47</v>
      </c>
      <c r="E22" s="32">
        <v>38.975999999999999</v>
      </c>
      <c r="F22" s="32">
        <v>38.439</v>
      </c>
      <c r="G22" s="18">
        <v>1.99</v>
      </c>
      <c r="H22" s="18">
        <f t="shared" si="0"/>
        <v>34.029375000000002</v>
      </c>
      <c r="I22" s="5"/>
      <c r="J22" s="31">
        <v>1606.6736000000001</v>
      </c>
      <c r="K22" s="32">
        <v>33.146099999999997</v>
      </c>
      <c r="L22" s="32">
        <v>40.314399999999999</v>
      </c>
      <c r="M22" s="32">
        <v>39.796599999999998</v>
      </c>
      <c r="N22" s="18">
        <v>2.1991000000000001</v>
      </c>
      <c r="O22" s="18">
        <f t="shared" si="1"/>
        <v>34.873449999999998</v>
      </c>
      <c r="P22" s="7"/>
      <c r="Q22" s="10"/>
      <c r="R22" s="11"/>
      <c r="S22" s="11"/>
      <c r="T22" s="26"/>
      <c r="U22" s="28">
        <f t="shared" si="2"/>
        <v>0.10507537688442214</v>
      </c>
      <c r="V22" s="57">
        <f t="shared" si="3"/>
        <v>7.6500000000000535E-3</v>
      </c>
      <c r="W22" s="57">
        <f t="shared" si="4"/>
        <v>4.1710000000000488E-3</v>
      </c>
      <c r="X22" s="56">
        <v>2400</v>
      </c>
      <c r="Y22" s="56">
        <v>1600</v>
      </c>
    </row>
    <row r="23" spans="1:25" x14ac:dyDescent="0.25">
      <c r="B23" s="9"/>
      <c r="C23" s="31">
        <v>1473.9</v>
      </c>
      <c r="D23" s="32">
        <v>30.119</v>
      </c>
      <c r="E23" s="32">
        <v>37.951000000000001</v>
      </c>
      <c r="F23" s="32">
        <v>37.003</v>
      </c>
      <c r="G23" s="18">
        <v>2.52</v>
      </c>
      <c r="H23" s="18">
        <f t="shared" si="0"/>
        <v>31.958500000000001</v>
      </c>
      <c r="I23" s="5"/>
      <c r="J23" s="31">
        <v>1002.0632000000001</v>
      </c>
      <c r="K23" s="32">
        <v>31.482399999999998</v>
      </c>
      <c r="L23" s="32">
        <v>39.5411</v>
      </c>
      <c r="M23" s="32">
        <v>38.677500000000002</v>
      </c>
      <c r="N23" s="18">
        <v>2.6901000000000002</v>
      </c>
      <c r="O23" s="18">
        <f t="shared" si="1"/>
        <v>33.389125</v>
      </c>
      <c r="P23" s="7"/>
      <c r="Q23" s="10"/>
      <c r="R23" s="11"/>
      <c r="S23" s="11"/>
      <c r="T23" s="26"/>
      <c r="U23" s="28">
        <f t="shared" si="2"/>
        <v>6.750000000000006E-2</v>
      </c>
      <c r="V23" s="57">
        <f t="shared" si="3"/>
        <v>1.739999999999994E-2</v>
      </c>
      <c r="W23" s="57">
        <f t="shared" si="4"/>
        <v>2.0632000000000515E-3</v>
      </c>
      <c r="X23" s="56">
        <v>1500</v>
      </c>
      <c r="Y23" s="56">
        <v>1000</v>
      </c>
    </row>
    <row r="24" spans="1:25" ht="16.5" thickBot="1" x14ac:dyDescent="0.3">
      <c r="B24" s="12"/>
      <c r="C24" s="33">
        <v>882.12</v>
      </c>
      <c r="D24" s="34">
        <v>27.155000000000001</v>
      </c>
      <c r="E24" s="34">
        <v>36.768999999999998</v>
      </c>
      <c r="F24" s="34">
        <v>35.183</v>
      </c>
      <c r="G24" s="20">
        <v>3.1</v>
      </c>
      <c r="H24" s="20">
        <f t="shared" si="0"/>
        <v>29.360250000000001</v>
      </c>
      <c r="I24" s="5"/>
      <c r="J24" s="33">
        <v>599.73440000000005</v>
      </c>
      <c r="K24" s="34">
        <v>29.677299999999999</v>
      </c>
      <c r="L24" s="34">
        <v>38.434800000000003</v>
      </c>
      <c r="M24" s="34">
        <v>37.2029</v>
      </c>
      <c r="N24" s="20">
        <v>3.3111000000000002</v>
      </c>
      <c r="O24" s="20">
        <f t="shared" si="1"/>
        <v>31.712687499999998</v>
      </c>
      <c r="P24" s="7"/>
      <c r="Q24" s="13"/>
      <c r="R24" s="14"/>
      <c r="S24" s="14"/>
      <c r="T24" s="27"/>
      <c r="U24" s="28">
        <f t="shared" si="2"/>
        <v>6.8096774193548412E-2</v>
      </c>
      <c r="V24" s="57">
        <f t="shared" si="3"/>
        <v>1.9866666666666661E-2</v>
      </c>
      <c r="W24" s="57">
        <f t="shared" si="4"/>
        <v>4.4266666666658238E-4</v>
      </c>
      <c r="X24" s="56">
        <v>900</v>
      </c>
      <c r="Y24" s="56">
        <v>600</v>
      </c>
    </row>
    <row r="25" spans="1:25" x14ac:dyDescent="0.25">
      <c r="B25" s="6" t="s">
        <v>48</v>
      </c>
      <c r="C25" s="15">
        <v>3617.89</v>
      </c>
      <c r="D25" s="16">
        <v>33.302999999999997</v>
      </c>
      <c r="E25" s="16">
        <v>39.042999999999999</v>
      </c>
      <c r="F25" s="16">
        <v>41.8</v>
      </c>
      <c r="G25" s="16">
        <v>1.92</v>
      </c>
      <c r="H25" s="16">
        <f t="shared" si="0"/>
        <v>35.082625</v>
      </c>
      <c r="I25" s="5"/>
      <c r="J25" s="15">
        <v>2387.7008000000001</v>
      </c>
      <c r="K25" s="16">
        <v>33.938499999999998</v>
      </c>
      <c r="L25" s="16">
        <v>40.304499999999997</v>
      </c>
      <c r="M25" s="16">
        <v>42.711100000000002</v>
      </c>
      <c r="N25" s="16">
        <v>2.2623000000000002</v>
      </c>
      <c r="O25" s="16">
        <f t="shared" si="1"/>
        <v>35.830824999999997</v>
      </c>
      <c r="P25" s="7"/>
      <c r="Q25" s="8">
        <f>bdrate(C25:C28,D25:D28,J25:J28,K25:K28)</f>
        <v>-0.57345064982232574</v>
      </c>
      <c r="R25" s="8">
        <f>bdrate(C25:C28,E25:E28,J25:J28,L25:L28)</f>
        <v>-0.7264161259186912</v>
      </c>
      <c r="S25" s="8">
        <f>bdrate(C25:C28,F25:F28,J25:J28,M25:M28)</f>
        <v>-0.68136497100176041</v>
      </c>
      <c r="T25" s="25">
        <f>bdrate(C25:C28,H25:H28,J25:J28,O25:O28)</f>
        <v>-0.59434094949836525</v>
      </c>
      <c r="U25" s="28">
        <f t="shared" si="2"/>
        <v>0.17828125000000014</v>
      </c>
      <c r="V25" s="57">
        <f t="shared" si="3"/>
        <v>4.9694444444444092E-3</v>
      </c>
      <c r="W25" s="57">
        <f t="shared" si="4"/>
        <v>5.1246666666666368E-3</v>
      </c>
      <c r="X25" s="56">
        <v>3600</v>
      </c>
      <c r="Y25" s="56">
        <v>2400</v>
      </c>
    </row>
    <row r="26" spans="1:25" x14ac:dyDescent="0.25">
      <c r="B26" s="9"/>
      <c r="C26" s="17">
        <v>2385.4899999999998</v>
      </c>
      <c r="D26" s="18">
        <v>32.316000000000003</v>
      </c>
      <c r="E26" s="18">
        <v>38.6</v>
      </c>
      <c r="F26" s="18">
        <v>41.323</v>
      </c>
      <c r="G26" s="18">
        <v>2.17</v>
      </c>
      <c r="H26" s="18">
        <f t="shared" si="0"/>
        <v>34.227375000000002</v>
      </c>
      <c r="I26" s="5"/>
      <c r="J26" s="17">
        <v>1601.8568</v>
      </c>
      <c r="K26" s="18">
        <v>33.286000000000001</v>
      </c>
      <c r="L26" s="18">
        <v>39.834099999999999</v>
      </c>
      <c r="M26" s="18">
        <v>42.334899999999998</v>
      </c>
      <c r="N26" s="18">
        <v>2.7454999999999998</v>
      </c>
      <c r="O26" s="18">
        <f t="shared" si="1"/>
        <v>35.235624999999999</v>
      </c>
      <c r="P26" s="7"/>
      <c r="Q26" s="10"/>
      <c r="R26" s="11"/>
      <c r="S26" s="11"/>
      <c r="T26" s="26"/>
      <c r="U26" s="28">
        <f t="shared" si="2"/>
        <v>0.26520737327188937</v>
      </c>
      <c r="V26" s="57">
        <f t="shared" si="3"/>
        <v>6.0458333333334247E-3</v>
      </c>
      <c r="W26" s="57">
        <f t="shared" si="4"/>
        <v>1.1605000000000131E-3</v>
      </c>
      <c r="X26" s="56">
        <v>2400</v>
      </c>
      <c r="Y26" s="56">
        <v>1600</v>
      </c>
    </row>
    <row r="27" spans="1:25" x14ac:dyDescent="0.25">
      <c r="B27" s="9"/>
      <c r="C27" s="17">
        <v>1475.97</v>
      </c>
      <c r="D27" s="18">
        <v>30.884</v>
      </c>
      <c r="E27" s="18">
        <v>38.055</v>
      </c>
      <c r="F27" s="18">
        <v>40.76</v>
      </c>
      <c r="G27" s="18">
        <v>2.52</v>
      </c>
      <c r="H27" s="18">
        <f t="shared" si="0"/>
        <v>33.014875000000004</v>
      </c>
      <c r="I27" s="5"/>
      <c r="J27" s="17">
        <v>1026.8968</v>
      </c>
      <c r="K27" s="18">
        <v>32.305100000000003</v>
      </c>
      <c r="L27" s="18">
        <v>39.119999999999997</v>
      </c>
      <c r="M27" s="18">
        <v>41.648400000000002</v>
      </c>
      <c r="N27" s="18">
        <v>3.3126000000000002</v>
      </c>
      <c r="O27" s="18">
        <f t="shared" si="1"/>
        <v>34.324874999999999</v>
      </c>
      <c r="P27" s="7"/>
      <c r="Q27" s="10"/>
      <c r="R27" s="11"/>
      <c r="S27" s="11"/>
      <c r="T27" s="26"/>
      <c r="U27" s="28">
        <f t="shared" si="2"/>
        <v>0.31452380952380959</v>
      </c>
      <c r="V27" s="57">
        <f t="shared" si="3"/>
        <v>1.6019999999999982E-2</v>
      </c>
      <c r="W27" s="57">
        <f t="shared" si="4"/>
        <v>2.6896799999999985E-2</v>
      </c>
      <c r="X27" s="56">
        <v>1500</v>
      </c>
      <c r="Y27" s="56">
        <v>1000</v>
      </c>
    </row>
    <row r="28" spans="1:25" ht="16.5" thickBot="1" x14ac:dyDescent="0.3">
      <c r="B28" s="12"/>
      <c r="C28" s="19">
        <v>869.03</v>
      </c>
      <c r="D28" s="20">
        <v>28.88</v>
      </c>
      <c r="E28" s="20">
        <v>37.42</v>
      </c>
      <c r="F28" s="20">
        <v>40.130000000000003</v>
      </c>
      <c r="G28" s="20">
        <v>3.03</v>
      </c>
      <c r="H28" s="20">
        <f t="shared" si="0"/>
        <v>31.353749999999998</v>
      </c>
      <c r="I28" s="5"/>
      <c r="J28" s="19">
        <v>601.67439999999999</v>
      </c>
      <c r="K28" s="20">
        <v>30.907599999999999</v>
      </c>
      <c r="L28" s="20">
        <v>38.515000000000001</v>
      </c>
      <c r="M28" s="20">
        <v>41.115900000000003</v>
      </c>
      <c r="N28" s="20">
        <v>3.9721000000000002</v>
      </c>
      <c r="O28" s="20">
        <f t="shared" si="1"/>
        <v>33.134562500000001</v>
      </c>
      <c r="P28" s="7"/>
      <c r="Q28" s="13"/>
      <c r="R28" s="14"/>
      <c r="S28" s="14"/>
      <c r="T28" s="27"/>
      <c r="U28" s="28">
        <f t="shared" si="2"/>
        <v>0.31092409240924107</v>
      </c>
      <c r="V28" s="57">
        <f t="shared" si="3"/>
        <v>3.4411111111111142E-2</v>
      </c>
      <c r="W28" s="57">
        <f t="shared" si="4"/>
        <v>2.7906666666666522E-3</v>
      </c>
      <c r="X28" s="56">
        <v>900</v>
      </c>
      <c r="Y28" s="56">
        <v>600</v>
      </c>
    </row>
    <row r="29" spans="1:25" x14ac:dyDescent="0.25">
      <c r="A29" s="6" t="s">
        <v>37</v>
      </c>
      <c r="B29" s="6" t="s">
        <v>49</v>
      </c>
      <c r="C29" s="15">
        <v>1553.14</v>
      </c>
      <c r="D29" s="16">
        <v>35.223999999999997</v>
      </c>
      <c r="E29" s="16">
        <v>38.588999999999999</v>
      </c>
      <c r="F29" s="16">
        <v>38.524000000000001</v>
      </c>
      <c r="G29" s="16">
        <v>7.22</v>
      </c>
      <c r="H29" s="16">
        <f t="shared" si="0"/>
        <v>36.057124999999999</v>
      </c>
      <c r="I29" s="5"/>
      <c r="J29" s="15">
        <v>1219.9079999999999</v>
      </c>
      <c r="K29" s="16">
        <v>36.082700000000003</v>
      </c>
      <c r="L29" s="16">
        <v>40.485700000000001</v>
      </c>
      <c r="M29" s="16">
        <v>40.5152</v>
      </c>
      <c r="N29" s="16">
        <v>5.7790999999999997</v>
      </c>
      <c r="O29" s="16">
        <f t="shared" si="1"/>
        <v>37.187137499999999</v>
      </c>
      <c r="P29" s="7"/>
      <c r="Q29" s="8">
        <f>bdrate(C29:C32,D29:D32,J29:J32,K29:K32)</f>
        <v>-0.34175011276536793</v>
      </c>
      <c r="R29" s="8">
        <f>bdrate(C29:C32,E29:E32,J29:J32,L29:L32)</f>
        <v>-0.57829780967359257</v>
      </c>
      <c r="S29" s="8">
        <f>bdrate(C29:C32,F29:F32,J29:J32,M29:M32)</f>
        <v>-0.55020105101656025</v>
      </c>
      <c r="T29" s="25">
        <f>bdrate(C29:C32,H29:H32,J29:J32,O29:O32)</f>
        <v>-0.39173258515455112</v>
      </c>
      <c r="U29" s="28">
        <f t="shared" si="2"/>
        <v>-0.1995706371191136</v>
      </c>
      <c r="V29" s="57">
        <f t="shared" si="3"/>
        <v>2.0258064516129677E-3</v>
      </c>
      <c r="W29" s="57">
        <f t="shared" si="4"/>
        <v>1.6589999999999917E-2</v>
      </c>
      <c r="X29" s="56">
        <v>1550</v>
      </c>
      <c r="Y29" s="56">
        <v>1200</v>
      </c>
    </row>
    <row r="30" spans="1:25" x14ac:dyDescent="0.25">
      <c r="A30" s="9" t="s">
        <v>38</v>
      </c>
      <c r="B30" s="9"/>
      <c r="C30" s="17">
        <v>1049.8599999999999</v>
      </c>
      <c r="D30" s="18">
        <v>33.679000000000002</v>
      </c>
      <c r="E30" s="18">
        <v>37.387999999999998</v>
      </c>
      <c r="F30" s="18">
        <v>37.270000000000003</v>
      </c>
      <c r="G30" s="18">
        <v>8.3800000000000008</v>
      </c>
      <c r="H30" s="18">
        <f t="shared" si="0"/>
        <v>34.591500000000003</v>
      </c>
      <c r="I30" s="5"/>
      <c r="J30" s="17">
        <v>814.33519999999999</v>
      </c>
      <c r="K30" s="18">
        <v>34.277500000000003</v>
      </c>
      <c r="L30" s="18">
        <v>39.139600000000002</v>
      </c>
      <c r="M30" s="18">
        <v>39.015999999999998</v>
      </c>
      <c r="N30" s="18">
        <v>6.7937000000000003</v>
      </c>
      <c r="O30" s="18">
        <f t="shared" si="1"/>
        <v>35.477575000000002</v>
      </c>
      <c r="P30" s="7"/>
      <c r="Q30" s="10"/>
      <c r="R30" s="11"/>
      <c r="S30" s="11"/>
      <c r="T30" s="26"/>
      <c r="U30" s="28">
        <f t="shared" si="2"/>
        <v>-0.18929594272076378</v>
      </c>
      <c r="V30" s="57">
        <f t="shared" si="3"/>
        <v>1.3333333333342861E-4</v>
      </c>
      <c r="W30" s="57">
        <f t="shared" si="4"/>
        <v>1.7918999999999984E-2</v>
      </c>
      <c r="X30" s="56">
        <v>1050</v>
      </c>
      <c r="Y30" s="56">
        <v>800</v>
      </c>
    </row>
    <row r="31" spans="1:25" x14ac:dyDescent="0.25">
      <c r="B31" s="9"/>
      <c r="C31" s="17">
        <v>647.07000000000005</v>
      </c>
      <c r="D31" s="18">
        <v>31.696000000000002</v>
      </c>
      <c r="E31" s="18">
        <v>36.090000000000003</v>
      </c>
      <c r="F31" s="18">
        <v>35.802999999999997</v>
      </c>
      <c r="G31" s="18">
        <v>10.16</v>
      </c>
      <c r="H31" s="18">
        <f t="shared" si="0"/>
        <v>32.758625000000002</v>
      </c>
      <c r="I31" s="5"/>
      <c r="J31" s="17">
        <v>508.41759999999999</v>
      </c>
      <c r="K31" s="18">
        <v>32.404899999999998</v>
      </c>
      <c r="L31" s="18">
        <v>37.775300000000001</v>
      </c>
      <c r="M31" s="18">
        <v>37.469299999999997</v>
      </c>
      <c r="N31" s="18">
        <v>8.3536999999999999</v>
      </c>
      <c r="O31" s="18">
        <f t="shared" si="1"/>
        <v>33.709249999999997</v>
      </c>
      <c r="P31" s="7"/>
      <c r="Q31" s="10"/>
      <c r="R31" s="11"/>
      <c r="S31" s="11"/>
      <c r="T31" s="26"/>
      <c r="U31" s="28">
        <f t="shared" si="2"/>
        <v>-0.17778543307086617</v>
      </c>
      <c r="V31" s="57">
        <f t="shared" si="3"/>
        <v>4.5076923076922308E-3</v>
      </c>
      <c r="W31" s="57">
        <f t="shared" si="4"/>
        <v>1.6835199999999988E-2</v>
      </c>
      <c r="X31" s="56">
        <v>650</v>
      </c>
      <c r="Y31" s="56">
        <v>500</v>
      </c>
    </row>
    <row r="32" spans="1:25" ht="16.5" thickBot="1" x14ac:dyDescent="0.3">
      <c r="B32" s="12"/>
      <c r="C32" s="19">
        <v>396.65</v>
      </c>
      <c r="D32" s="20">
        <v>29.501999999999999</v>
      </c>
      <c r="E32" s="20">
        <v>34.905999999999999</v>
      </c>
      <c r="F32" s="20">
        <v>34.366</v>
      </c>
      <c r="G32" s="20">
        <v>12.85</v>
      </c>
      <c r="H32" s="20">
        <f t="shared" si="0"/>
        <v>30.785499999999999</v>
      </c>
      <c r="I32" s="5"/>
      <c r="J32" s="19">
        <v>304.98160000000001</v>
      </c>
      <c r="K32" s="20">
        <v>30.453499999999998</v>
      </c>
      <c r="L32" s="20">
        <v>36.450800000000001</v>
      </c>
      <c r="M32" s="20">
        <v>36.056899999999999</v>
      </c>
      <c r="N32" s="20">
        <v>10.636900000000001</v>
      </c>
      <c r="O32" s="20">
        <f t="shared" si="1"/>
        <v>31.9035875</v>
      </c>
      <c r="P32" s="7"/>
      <c r="Q32" s="13"/>
      <c r="R32" s="14"/>
      <c r="S32" s="14"/>
      <c r="T32" s="27"/>
      <c r="U32" s="28">
        <f t="shared" si="2"/>
        <v>-0.17222568093385207</v>
      </c>
      <c r="V32" s="57">
        <f t="shared" si="3"/>
        <v>8.375000000000056E-3</v>
      </c>
      <c r="W32" s="57">
        <f t="shared" si="4"/>
        <v>1.6605333333333382E-2</v>
      </c>
      <c r="X32" s="56">
        <v>400</v>
      </c>
      <c r="Y32" s="56">
        <v>300</v>
      </c>
    </row>
    <row r="33" spans="1:25" x14ac:dyDescent="0.25">
      <c r="B33" s="6" t="s">
        <v>50</v>
      </c>
      <c r="C33" s="15">
        <v>1557.29</v>
      </c>
      <c r="D33" s="16">
        <v>35.588999999999999</v>
      </c>
      <c r="E33" s="16">
        <v>40.069000000000003</v>
      </c>
      <c r="F33" s="16">
        <v>40.895000000000003</v>
      </c>
      <c r="G33" s="16">
        <v>8</v>
      </c>
      <c r="H33" s="16">
        <f t="shared" si="0"/>
        <v>36.812249999999999</v>
      </c>
      <c r="I33" s="5"/>
      <c r="J33" s="15">
        <v>1248.4872</v>
      </c>
      <c r="K33" s="16">
        <v>35.984099999999998</v>
      </c>
      <c r="L33" s="16">
        <v>41.385399999999997</v>
      </c>
      <c r="M33" s="16">
        <v>42.409700000000001</v>
      </c>
      <c r="N33" s="16">
        <v>6.4999000000000002</v>
      </c>
      <c r="O33" s="16">
        <f t="shared" si="1"/>
        <v>37.462462499999994</v>
      </c>
      <c r="P33" s="7"/>
      <c r="Q33" s="8">
        <f>bdrate(C33:C36,D33:D36,J33:J36,K33:K36)</f>
        <v>-0.34238450995371505</v>
      </c>
      <c r="R33" s="8">
        <f>bdrate(C33:C36,E33:E36,J33:J36,L33:L36)</f>
        <v>-0.54048391713632937</v>
      </c>
      <c r="S33" s="8">
        <f>bdrate(C33:C36,F33:F36,J33:J36,M33:M36)</f>
        <v>-0.54109375759052702</v>
      </c>
      <c r="T33" s="25">
        <f>bdrate(C33:C36,H33:H36,J33:J36,O33:O36)</f>
        <v>-0.37808853476552029</v>
      </c>
      <c r="U33" s="28">
        <f t="shared" si="2"/>
        <v>-0.18751249999999997</v>
      </c>
      <c r="V33" s="57">
        <f t="shared" si="3"/>
        <v>4.7032258064515896E-3</v>
      </c>
      <c r="W33" s="57">
        <f t="shared" si="4"/>
        <v>4.0406000000000025E-2</v>
      </c>
      <c r="X33" s="56">
        <v>1550</v>
      </c>
      <c r="Y33" s="56">
        <v>1200</v>
      </c>
    </row>
    <row r="34" spans="1:25" x14ac:dyDescent="0.25">
      <c r="B34" s="9"/>
      <c r="C34" s="17">
        <v>1055.3900000000001</v>
      </c>
      <c r="D34" s="18">
        <v>33.856000000000002</v>
      </c>
      <c r="E34" s="18">
        <v>39.188000000000002</v>
      </c>
      <c r="F34" s="18">
        <v>39.927999999999997</v>
      </c>
      <c r="G34" s="18">
        <v>9.27</v>
      </c>
      <c r="H34" s="18">
        <f t="shared" si="0"/>
        <v>35.281500000000001</v>
      </c>
      <c r="I34" s="5"/>
      <c r="J34" s="17">
        <v>831.14</v>
      </c>
      <c r="K34" s="18">
        <v>34.458500000000001</v>
      </c>
      <c r="L34" s="18">
        <v>40.410899999999998</v>
      </c>
      <c r="M34" s="18">
        <v>41.280799999999999</v>
      </c>
      <c r="N34" s="18">
        <v>7.6540999999999997</v>
      </c>
      <c r="O34" s="18">
        <f t="shared" si="1"/>
        <v>36.0553375</v>
      </c>
      <c r="P34" s="7"/>
      <c r="Q34" s="10"/>
      <c r="R34" s="11"/>
      <c r="S34" s="11"/>
      <c r="T34" s="26"/>
      <c r="U34" s="28">
        <f t="shared" si="2"/>
        <v>-0.17431499460625674</v>
      </c>
      <c r="V34" s="57">
        <f t="shared" si="3"/>
        <v>5.1333333333334289E-3</v>
      </c>
      <c r="W34" s="57">
        <f t="shared" si="4"/>
        <v>3.892499999999998E-2</v>
      </c>
      <c r="X34" s="56">
        <v>1050</v>
      </c>
      <c r="Y34" s="56">
        <v>800</v>
      </c>
    </row>
    <row r="35" spans="1:25" x14ac:dyDescent="0.25">
      <c r="B35" s="9"/>
      <c r="C35" s="17">
        <v>653.73</v>
      </c>
      <c r="D35" s="18">
        <v>31.640999999999998</v>
      </c>
      <c r="E35" s="18">
        <v>38.158000000000001</v>
      </c>
      <c r="F35" s="18">
        <v>38.814</v>
      </c>
      <c r="G35" s="18">
        <v>10.92</v>
      </c>
      <c r="H35" s="18">
        <f t="shared" si="0"/>
        <v>33.352250000000005</v>
      </c>
      <c r="I35" s="5"/>
      <c r="J35" s="17">
        <v>520.33040000000005</v>
      </c>
      <c r="K35" s="18">
        <v>32.6051</v>
      </c>
      <c r="L35" s="18">
        <v>39.3431</v>
      </c>
      <c r="M35" s="18">
        <v>40.103499999999997</v>
      </c>
      <c r="N35" s="18">
        <v>9.35</v>
      </c>
      <c r="O35" s="18">
        <f t="shared" si="1"/>
        <v>34.384650000000001</v>
      </c>
      <c r="P35" s="7"/>
      <c r="Q35" s="10"/>
      <c r="R35" s="11"/>
      <c r="S35" s="11"/>
      <c r="T35" s="26"/>
      <c r="U35" s="28">
        <f t="shared" si="2"/>
        <v>-0.14377289377289379</v>
      </c>
      <c r="V35" s="57">
        <f t="shared" si="3"/>
        <v>5.7384615384615664E-3</v>
      </c>
      <c r="W35" s="57">
        <f t="shared" si="4"/>
        <v>4.0660800000000108E-2</v>
      </c>
      <c r="X35" s="56">
        <v>650</v>
      </c>
      <c r="Y35" s="56">
        <v>500</v>
      </c>
    </row>
    <row r="36" spans="1:25" ht="16.5" thickBot="1" x14ac:dyDescent="0.3">
      <c r="B36" s="12"/>
      <c r="C36" s="19">
        <v>404.35</v>
      </c>
      <c r="D36" s="20">
        <v>29.257000000000001</v>
      </c>
      <c r="E36" s="20">
        <v>37.234000000000002</v>
      </c>
      <c r="F36" s="20">
        <v>37.706000000000003</v>
      </c>
      <c r="G36" s="20">
        <v>12.98</v>
      </c>
      <c r="H36" s="20">
        <f t="shared" si="0"/>
        <v>31.310250000000003</v>
      </c>
      <c r="I36" s="5"/>
      <c r="J36" s="19">
        <v>310.8168</v>
      </c>
      <c r="K36" s="20">
        <v>30.4833</v>
      </c>
      <c r="L36" s="20">
        <v>38.228400000000001</v>
      </c>
      <c r="M36" s="20">
        <v>38.898099999999999</v>
      </c>
      <c r="N36" s="20">
        <v>11.627700000000001</v>
      </c>
      <c r="O36" s="20">
        <f t="shared" si="1"/>
        <v>32.503287499999999</v>
      </c>
      <c r="P36" s="7"/>
      <c r="Q36" s="13"/>
      <c r="R36" s="14"/>
      <c r="S36" s="14"/>
      <c r="T36" s="27"/>
      <c r="U36" s="28">
        <f t="shared" si="2"/>
        <v>-0.10418335901386745</v>
      </c>
      <c r="V36" s="57">
        <f t="shared" si="3"/>
        <v>1.0875000000000056E-2</v>
      </c>
      <c r="W36" s="57">
        <f t="shared" si="4"/>
        <v>3.6056000000000005E-2</v>
      </c>
      <c r="X36" s="56">
        <v>400</v>
      </c>
      <c r="Y36" s="56">
        <v>300</v>
      </c>
    </row>
    <row r="37" spans="1:25" x14ac:dyDescent="0.25">
      <c r="B37" s="6" t="s">
        <v>51</v>
      </c>
      <c r="C37" s="15">
        <v>1422.01</v>
      </c>
      <c r="D37" s="16">
        <v>30.105</v>
      </c>
      <c r="E37" s="16">
        <v>35.779000000000003</v>
      </c>
      <c r="F37" s="16">
        <v>36.524999999999999</v>
      </c>
      <c r="G37" s="16">
        <v>7.29</v>
      </c>
      <c r="H37" s="16">
        <f t="shared" si="0"/>
        <v>31.61675</v>
      </c>
      <c r="I37" s="5"/>
      <c r="J37" s="15">
        <v>1226.2736</v>
      </c>
      <c r="K37" s="16">
        <v>30.895199999999999</v>
      </c>
      <c r="L37" s="16">
        <v>37.403599999999997</v>
      </c>
      <c r="M37" s="16">
        <v>38.235199999999999</v>
      </c>
      <c r="N37" s="16">
        <v>5.5522</v>
      </c>
      <c r="O37" s="16">
        <f t="shared" si="1"/>
        <v>32.626249999999999</v>
      </c>
      <c r="P37" s="7"/>
      <c r="Q37" s="8">
        <f>bdrate(C37:C40,D37:D40,J37:J40,K37:K40)</f>
        <v>-0.34284218764122121</v>
      </c>
      <c r="R37" s="8">
        <f>bdrate(C37:C40,E37:E40,J37:J40,L37:L40)</f>
        <v>-0.61686737349300413</v>
      </c>
      <c r="S37" s="8">
        <f>bdrate(C37:C40,F37:F40,J37:J40,M37:M40)</f>
        <v>-0.60731612331231566</v>
      </c>
      <c r="T37" s="25">
        <f>bdrate(C37:C40,H37:H40,J37:J40,O37:O40)</f>
        <v>-0.38885773527813439</v>
      </c>
      <c r="U37" s="28">
        <f t="shared" si="2"/>
        <v>-0.23838134430727023</v>
      </c>
      <c r="V37" s="57">
        <f t="shared" si="3"/>
        <v>8.2574193548387104E-2</v>
      </c>
      <c r="W37" s="57">
        <f t="shared" si="4"/>
        <v>2.1894666666666656E-2</v>
      </c>
      <c r="X37" s="56">
        <v>1550</v>
      </c>
      <c r="Y37" s="56">
        <v>1200</v>
      </c>
    </row>
    <row r="38" spans="1:25" x14ac:dyDescent="0.25">
      <c r="B38" s="9"/>
      <c r="C38" s="17">
        <v>966.08</v>
      </c>
      <c r="D38" s="18">
        <v>28.687999999999999</v>
      </c>
      <c r="E38" s="18">
        <v>35.195</v>
      </c>
      <c r="F38" s="18">
        <v>35.923000000000002</v>
      </c>
      <c r="G38" s="18">
        <v>8.25</v>
      </c>
      <c r="H38" s="18">
        <f t="shared" si="0"/>
        <v>30.405749999999998</v>
      </c>
      <c r="I38" s="5"/>
      <c r="J38" s="17">
        <v>817.024</v>
      </c>
      <c r="K38" s="18">
        <v>29.510400000000001</v>
      </c>
      <c r="L38" s="18">
        <v>36.581800000000001</v>
      </c>
      <c r="M38" s="18">
        <v>37.351100000000002</v>
      </c>
      <c r="N38" s="18">
        <v>6.6177999999999999</v>
      </c>
      <c r="O38" s="18">
        <f t="shared" si="1"/>
        <v>31.374412500000002</v>
      </c>
      <c r="P38" s="7"/>
      <c r="Q38" s="10"/>
      <c r="R38" s="11"/>
      <c r="S38" s="11"/>
      <c r="T38" s="26"/>
      <c r="U38" s="28">
        <f t="shared" si="2"/>
        <v>-0.19784242424242426</v>
      </c>
      <c r="V38" s="57">
        <f t="shared" si="3"/>
        <v>7.992380952380948E-2</v>
      </c>
      <c r="W38" s="57">
        <f t="shared" si="4"/>
        <v>2.128E-2</v>
      </c>
      <c r="X38" s="56">
        <v>1050</v>
      </c>
      <c r="Y38" s="56">
        <v>800</v>
      </c>
    </row>
    <row r="39" spans="1:25" x14ac:dyDescent="0.25">
      <c r="B39" s="9"/>
      <c r="C39" s="17">
        <v>601.34</v>
      </c>
      <c r="D39" s="18">
        <v>27.077999999999999</v>
      </c>
      <c r="E39" s="18">
        <v>34.563000000000002</v>
      </c>
      <c r="F39" s="18">
        <v>35.311</v>
      </c>
      <c r="G39" s="18">
        <v>9.58</v>
      </c>
      <c r="H39" s="18">
        <f t="shared" si="0"/>
        <v>29.042750000000002</v>
      </c>
      <c r="I39" s="5"/>
      <c r="J39" s="17">
        <v>513.33360000000005</v>
      </c>
      <c r="K39" s="18">
        <v>27.9697</v>
      </c>
      <c r="L39" s="18">
        <v>35.703499999999998</v>
      </c>
      <c r="M39" s="18">
        <v>36.405999999999999</v>
      </c>
      <c r="N39" s="18">
        <v>8.1465999999999994</v>
      </c>
      <c r="O39" s="18">
        <f t="shared" si="1"/>
        <v>29.990962499999998</v>
      </c>
      <c r="P39" s="7"/>
      <c r="Q39" s="10"/>
      <c r="R39" s="11"/>
      <c r="S39" s="11"/>
      <c r="T39" s="26"/>
      <c r="U39" s="28">
        <f t="shared" si="2"/>
        <v>-0.14962421711899798</v>
      </c>
      <c r="V39" s="57">
        <f t="shared" si="3"/>
        <v>7.486153846153841E-2</v>
      </c>
      <c r="W39" s="57">
        <f t="shared" si="4"/>
        <v>2.6667200000000092E-2</v>
      </c>
      <c r="X39" s="56">
        <v>650</v>
      </c>
      <c r="Y39" s="56">
        <v>500</v>
      </c>
    </row>
    <row r="40" spans="1:25" ht="16.5" thickBot="1" x14ac:dyDescent="0.3">
      <c r="B40" s="12"/>
      <c r="C40" s="19">
        <v>372.31</v>
      </c>
      <c r="D40" s="20">
        <v>25.553999999999998</v>
      </c>
      <c r="E40" s="20">
        <v>34.005000000000003</v>
      </c>
      <c r="F40" s="20">
        <v>34.738999999999997</v>
      </c>
      <c r="G40" s="20">
        <v>11.26</v>
      </c>
      <c r="H40" s="20">
        <f t="shared" si="0"/>
        <v>27.758499999999998</v>
      </c>
      <c r="I40" s="5"/>
      <c r="J40" s="19">
        <v>308.85199999999998</v>
      </c>
      <c r="K40" s="20">
        <v>26.400600000000001</v>
      </c>
      <c r="L40" s="20">
        <v>34.926400000000001</v>
      </c>
      <c r="M40" s="20">
        <v>35.618099999999998</v>
      </c>
      <c r="N40" s="20">
        <v>10.102399999999999</v>
      </c>
      <c r="O40" s="20">
        <f t="shared" si="1"/>
        <v>28.618512500000001</v>
      </c>
      <c r="P40" s="7"/>
      <c r="Q40" s="13"/>
      <c r="R40" s="14"/>
      <c r="S40" s="14"/>
      <c r="T40" s="27"/>
      <c r="U40" s="28">
        <f t="shared" si="2"/>
        <v>-0.10280639431616345</v>
      </c>
      <c r="V40" s="57">
        <f t="shared" si="3"/>
        <v>6.9224999999999995E-2</v>
      </c>
      <c r="W40" s="57">
        <f t="shared" si="4"/>
        <v>2.9506666666666584E-2</v>
      </c>
      <c r="X40" s="56">
        <v>400</v>
      </c>
      <c r="Y40" s="56">
        <v>300</v>
      </c>
    </row>
    <row r="41" spans="1:25" x14ac:dyDescent="0.25">
      <c r="B41" s="6" t="s">
        <v>52</v>
      </c>
      <c r="C41" s="15">
        <v>1425.63</v>
      </c>
      <c r="D41" s="16">
        <v>33.378999999999998</v>
      </c>
      <c r="E41" s="16">
        <v>36.947000000000003</v>
      </c>
      <c r="F41" s="16">
        <v>38.64</v>
      </c>
      <c r="G41" s="16">
        <v>5.47</v>
      </c>
      <c r="H41" s="16">
        <f t="shared" si="0"/>
        <v>34.482624999999999</v>
      </c>
      <c r="I41" s="5"/>
      <c r="J41" s="15">
        <v>1217.0088000000001</v>
      </c>
      <c r="K41" s="16">
        <v>32.985399999999998</v>
      </c>
      <c r="L41" s="16">
        <v>37.643999999999998</v>
      </c>
      <c r="M41" s="16">
        <v>39.2864</v>
      </c>
      <c r="N41" s="16">
        <v>3.8532999999999999</v>
      </c>
      <c r="O41" s="16">
        <f t="shared" si="1"/>
        <v>34.355350000000001</v>
      </c>
      <c r="P41" s="7"/>
      <c r="Q41" s="8">
        <f>bdrate(C41:C44,D41:D44,J41:J44,K41:K44)</f>
        <v>-0.13292871451770139</v>
      </c>
      <c r="R41" s="8">
        <f>bdrate(C41:C44,E41:E44,J41:J44,L41:L44)</f>
        <v>-0.40312492830508906</v>
      </c>
      <c r="S41" s="8">
        <f>bdrate(C41:C44,F41:F44,J41:J44,M41:M44)</f>
        <v>-0.40800832401857046</v>
      </c>
      <c r="T41" s="25">
        <f>bdrate(C41:C44,H41:H44,J41:J44,O41:O44)</f>
        <v>-0.17812449684665499</v>
      </c>
      <c r="U41" s="28">
        <f t="shared" si="2"/>
        <v>-0.29555758683729433</v>
      </c>
      <c r="V41" s="57">
        <f t="shared" si="3"/>
        <v>8.0238709677419279E-2</v>
      </c>
      <c r="W41" s="57">
        <f t="shared" si="4"/>
        <v>1.4174000000000055E-2</v>
      </c>
      <c r="X41" s="56">
        <v>1550</v>
      </c>
      <c r="Y41" s="56">
        <v>1200</v>
      </c>
    </row>
    <row r="42" spans="1:25" x14ac:dyDescent="0.25">
      <c r="B42" s="9"/>
      <c r="C42" s="17">
        <v>976.96</v>
      </c>
      <c r="D42" s="18">
        <v>31.815999999999999</v>
      </c>
      <c r="E42" s="18">
        <v>36.159999999999997</v>
      </c>
      <c r="F42" s="18">
        <v>37.822000000000003</v>
      </c>
      <c r="G42" s="18">
        <v>6.31</v>
      </c>
      <c r="H42" s="18">
        <f t="shared" si="0"/>
        <v>33.109749999999998</v>
      </c>
      <c r="I42" s="5"/>
      <c r="J42" s="17">
        <v>811.31679999999994</v>
      </c>
      <c r="K42" s="18">
        <v>31.461400000000001</v>
      </c>
      <c r="L42" s="18">
        <v>36.796500000000002</v>
      </c>
      <c r="M42" s="18">
        <v>38.424599999999998</v>
      </c>
      <c r="N42" s="18">
        <v>4.5915999999999997</v>
      </c>
      <c r="O42" s="18">
        <f t="shared" si="1"/>
        <v>32.998687500000003</v>
      </c>
      <c r="P42" s="7"/>
      <c r="Q42" s="10"/>
      <c r="R42" s="11"/>
      <c r="S42" s="11"/>
      <c r="T42" s="26"/>
      <c r="U42" s="28">
        <f t="shared" si="2"/>
        <v>-0.27232963549920763</v>
      </c>
      <c r="V42" s="57">
        <f t="shared" si="3"/>
        <v>6.9561904761904728E-2</v>
      </c>
      <c r="W42" s="57">
        <f t="shared" si="4"/>
        <v>1.4145999999999929E-2</v>
      </c>
      <c r="X42" s="56">
        <v>1050</v>
      </c>
      <c r="Y42" s="56">
        <v>800</v>
      </c>
    </row>
    <row r="43" spans="1:25" x14ac:dyDescent="0.25">
      <c r="B43" s="9"/>
      <c r="C43" s="17">
        <v>615.29</v>
      </c>
      <c r="D43" s="18">
        <v>29.888999999999999</v>
      </c>
      <c r="E43" s="18">
        <v>35.244999999999997</v>
      </c>
      <c r="F43" s="18">
        <v>36.808</v>
      </c>
      <c r="G43" s="18">
        <v>7.41</v>
      </c>
      <c r="H43" s="18">
        <f t="shared" si="0"/>
        <v>31.423375</v>
      </c>
      <c r="I43" s="5"/>
      <c r="J43" s="17">
        <v>508.29759999999999</v>
      </c>
      <c r="K43" s="18">
        <v>29.782299999999999</v>
      </c>
      <c r="L43" s="18">
        <v>35.878599999999999</v>
      </c>
      <c r="M43" s="18">
        <v>37.552999999999997</v>
      </c>
      <c r="N43" s="18">
        <v>5.6478999999999999</v>
      </c>
      <c r="O43" s="18">
        <f t="shared" si="1"/>
        <v>31.515675000000002</v>
      </c>
      <c r="P43" s="7"/>
      <c r="Q43" s="10"/>
      <c r="R43" s="11"/>
      <c r="S43" s="11"/>
      <c r="T43" s="26"/>
      <c r="U43" s="28">
        <f t="shared" si="2"/>
        <v>-0.2378002699055331</v>
      </c>
      <c r="V43" s="57">
        <f t="shared" si="3"/>
        <v>5.3400000000000059E-2</v>
      </c>
      <c r="W43" s="57">
        <f t="shared" si="4"/>
        <v>1.6595199999999977E-2</v>
      </c>
      <c r="X43" s="56">
        <v>650</v>
      </c>
      <c r="Y43" s="56">
        <v>500</v>
      </c>
    </row>
    <row r="44" spans="1:25" ht="16.5" thickBot="1" x14ac:dyDescent="0.3">
      <c r="B44" s="12"/>
      <c r="C44" s="19">
        <v>383.86</v>
      </c>
      <c r="D44" s="20">
        <v>27.972000000000001</v>
      </c>
      <c r="E44" s="20">
        <v>34.270000000000003</v>
      </c>
      <c r="F44" s="20">
        <v>35.679000000000002</v>
      </c>
      <c r="G44" s="20">
        <v>9.0299999999999994</v>
      </c>
      <c r="H44" s="20">
        <f t="shared" si="0"/>
        <v>29.722625000000001</v>
      </c>
      <c r="I44" s="5"/>
      <c r="J44" s="19">
        <v>305.30160000000001</v>
      </c>
      <c r="K44" s="20">
        <v>28.120200000000001</v>
      </c>
      <c r="L44" s="20">
        <v>34.977699999999999</v>
      </c>
      <c r="M44" s="20">
        <v>36.594700000000003</v>
      </c>
      <c r="N44" s="20">
        <v>7.23</v>
      </c>
      <c r="O44" s="20">
        <f t="shared" si="1"/>
        <v>30.036700000000003</v>
      </c>
      <c r="P44" s="7"/>
      <c r="Q44" s="13"/>
      <c r="R44" s="14"/>
      <c r="S44" s="14"/>
      <c r="T44" s="27"/>
      <c r="U44" s="28">
        <f t="shared" si="2"/>
        <v>-0.19933554817275737</v>
      </c>
      <c r="V44" s="57">
        <f t="shared" si="3"/>
        <v>4.0349999999999969E-2</v>
      </c>
      <c r="W44" s="57">
        <f t="shared" si="4"/>
        <v>1.7672000000000024E-2</v>
      </c>
      <c r="X44" s="56">
        <v>400</v>
      </c>
      <c r="Y44" s="56">
        <v>300</v>
      </c>
    </row>
    <row r="45" spans="1:25" x14ac:dyDescent="0.25">
      <c r="A45" s="6" t="s">
        <v>39</v>
      </c>
      <c r="B45" s="6" t="s">
        <v>53</v>
      </c>
      <c r="C45" s="15">
        <v>848.35</v>
      </c>
      <c r="D45" s="16">
        <v>36.012</v>
      </c>
      <c r="E45" s="16">
        <v>39.902000000000001</v>
      </c>
      <c r="F45" s="16">
        <v>38.68</v>
      </c>
      <c r="G45" s="16">
        <v>22.13</v>
      </c>
      <c r="H45" s="16">
        <f t="shared" si="0"/>
        <v>36.83175</v>
      </c>
      <c r="I45" s="5"/>
      <c r="J45" s="15">
        <v>610.46799999999996</v>
      </c>
      <c r="K45" s="16">
        <v>35.085000000000001</v>
      </c>
      <c r="L45" s="16">
        <v>40.780999999999999</v>
      </c>
      <c r="M45" s="16">
        <v>39.257599999999996</v>
      </c>
      <c r="N45" s="16">
        <v>16.8691</v>
      </c>
      <c r="O45" s="16">
        <f t="shared" si="1"/>
        <v>36.318574999999996</v>
      </c>
      <c r="P45" s="7"/>
      <c r="Q45" s="8">
        <f>bdrate(C45:C48,D45:D48,J45:J48,K45:K48)</f>
        <v>-0.17939628305375432</v>
      </c>
      <c r="R45" s="8">
        <f>bdrate(C45:C48,E45:E48,J45:J48,L45:L48)</f>
        <v>-0.48168671402148211</v>
      </c>
      <c r="S45" s="8">
        <f>bdrate(C45:C48,F45:F48,J45:J48,M45:M48)</f>
        <v>-0.41761486102539624</v>
      </c>
      <c r="T45" s="25">
        <f>bdrate(C45:C48,H45:H48,J45:J48,O45:O48)</f>
        <v>-0.2301450793390678</v>
      </c>
      <c r="U45" s="28">
        <f t="shared" si="2"/>
        <v>-0.23772706732941706</v>
      </c>
      <c r="V45" s="57">
        <f t="shared" si="3"/>
        <v>6.0437500000000026E-2</v>
      </c>
      <c r="W45" s="57">
        <f t="shared" si="4"/>
        <v>1.74466666666666E-2</v>
      </c>
      <c r="X45" s="56">
        <v>800</v>
      </c>
      <c r="Y45" s="56">
        <v>600</v>
      </c>
    </row>
    <row r="46" spans="1:25" x14ac:dyDescent="0.25">
      <c r="A46" s="9" t="s">
        <v>40</v>
      </c>
      <c r="B46" s="9"/>
      <c r="C46" s="17">
        <v>533.77</v>
      </c>
      <c r="D46" s="18">
        <v>33.707000000000001</v>
      </c>
      <c r="E46" s="18">
        <v>38.566000000000003</v>
      </c>
      <c r="F46" s="18">
        <v>37.128</v>
      </c>
      <c r="G46" s="18">
        <v>25.47</v>
      </c>
      <c r="H46" s="18">
        <f t="shared" si="0"/>
        <v>34.742000000000004</v>
      </c>
      <c r="I46" s="5"/>
      <c r="J46" s="17">
        <v>408.01679999999999</v>
      </c>
      <c r="K46" s="18">
        <v>33.223300000000002</v>
      </c>
      <c r="L46" s="18">
        <v>39.561100000000003</v>
      </c>
      <c r="M46" s="18">
        <v>37.909300000000002</v>
      </c>
      <c r="N46" s="18">
        <v>19.822399999999998</v>
      </c>
      <c r="O46" s="18">
        <f t="shared" si="1"/>
        <v>34.601275000000001</v>
      </c>
      <c r="P46" s="7"/>
      <c r="Q46" s="10"/>
      <c r="R46" s="11"/>
      <c r="S46" s="11"/>
      <c r="T46" s="26"/>
      <c r="U46" s="28">
        <f t="shared" si="2"/>
        <v>-0.22173537495092269</v>
      </c>
      <c r="V46" s="57">
        <f t="shared" si="3"/>
        <v>6.7539999999999961E-2</v>
      </c>
      <c r="W46" s="57">
        <f t="shared" si="4"/>
        <v>2.0041999999999973E-2</v>
      </c>
      <c r="X46" s="56">
        <v>500</v>
      </c>
      <c r="Y46" s="56">
        <v>400</v>
      </c>
    </row>
    <row r="47" spans="1:25" x14ac:dyDescent="0.25">
      <c r="B47" s="9"/>
      <c r="C47" s="17">
        <v>321.58999999999997</v>
      </c>
      <c r="D47" s="18">
        <v>31.347999999999999</v>
      </c>
      <c r="E47" s="18">
        <v>37.371000000000002</v>
      </c>
      <c r="F47" s="18">
        <v>35.689</v>
      </c>
      <c r="G47" s="18">
        <v>30.3</v>
      </c>
      <c r="H47" s="18">
        <f t="shared" si="0"/>
        <v>32.643500000000003</v>
      </c>
      <c r="I47" s="5"/>
      <c r="J47" s="17">
        <v>253.8408</v>
      </c>
      <c r="K47" s="18">
        <v>31.174900000000001</v>
      </c>
      <c r="L47" s="18">
        <v>38.378700000000002</v>
      </c>
      <c r="M47" s="18">
        <v>36.573700000000002</v>
      </c>
      <c r="N47" s="18">
        <v>24.599</v>
      </c>
      <c r="O47" s="18">
        <f t="shared" si="1"/>
        <v>32.750225</v>
      </c>
      <c r="P47" s="7"/>
      <c r="Q47" s="10"/>
      <c r="R47" s="11"/>
      <c r="S47" s="11"/>
      <c r="T47" s="26"/>
      <c r="U47" s="28">
        <f t="shared" si="2"/>
        <v>-0.18815181518151816</v>
      </c>
      <c r="V47" s="57">
        <f t="shared" si="3"/>
        <v>7.1966666666666582E-2</v>
      </c>
      <c r="W47" s="57">
        <f t="shared" si="4"/>
        <v>1.5363200000000006E-2</v>
      </c>
      <c r="X47" s="56">
        <v>300</v>
      </c>
      <c r="Y47" s="56">
        <v>250</v>
      </c>
    </row>
    <row r="48" spans="1:25" ht="16.5" thickBot="1" x14ac:dyDescent="0.3">
      <c r="B48" s="12"/>
      <c r="C48" s="19">
        <v>162.22</v>
      </c>
      <c r="D48" s="20">
        <v>28.306999999999999</v>
      </c>
      <c r="E48" s="20">
        <v>35.951000000000001</v>
      </c>
      <c r="F48" s="20">
        <v>33.874000000000002</v>
      </c>
      <c r="G48" s="20">
        <v>40.21</v>
      </c>
      <c r="H48" s="20">
        <f t="shared" si="0"/>
        <v>29.958374999999997</v>
      </c>
      <c r="I48" s="5"/>
      <c r="J48" s="19">
        <v>122.648</v>
      </c>
      <c r="K48" s="20">
        <v>28.314599999999999</v>
      </c>
      <c r="L48" s="20">
        <v>36.731200000000001</v>
      </c>
      <c r="M48" s="20">
        <v>34.6006</v>
      </c>
      <c r="N48" s="20">
        <v>35.878300000000003</v>
      </c>
      <c r="O48" s="20">
        <f t="shared" si="1"/>
        <v>30.152425000000001</v>
      </c>
      <c r="P48" s="7"/>
      <c r="Q48" s="13"/>
      <c r="R48" s="14"/>
      <c r="S48" s="14"/>
      <c r="T48" s="27"/>
      <c r="U48" s="28">
        <f t="shared" si="2"/>
        <v>-0.10772693359860726</v>
      </c>
      <c r="V48" s="57">
        <f t="shared" si="3"/>
        <v>8.1466666666666659E-2</v>
      </c>
      <c r="W48" s="57">
        <f t="shared" si="4"/>
        <v>2.2066666666666634E-2</v>
      </c>
      <c r="X48" s="56">
        <v>150</v>
      </c>
      <c r="Y48" s="56">
        <v>120</v>
      </c>
    </row>
    <row r="49" spans="1:25" x14ac:dyDescent="0.25">
      <c r="B49" s="6" t="s">
        <v>54</v>
      </c>
      <c r="C49" s="15">
        <v>744.38</v>
      </c>
      <c r="D49" s="16">
        <v>32.966999999999999</v>
      </c>
      <c r="E49" s="16">
        <v>39.737000000000002</v>
      </c>
      <c r="F49" s="16">
        <v>40.511000000000003</v>
      </c>
      <c r="G49" s="16">
        <v>29.35</v>
      </c>
      <c r="H49" s="16">
        <f t="shared" si="0"/>
        <v>34.756250000000001</v>
      </c>
      <c r="I49" s="5"/>
      <c r="J49" s="15">
        <v>608.79920000000004</v>
      </c>
      <c r="K49" s="16">
        <v>34.004399999999997</v>
      </c>
      <c r="L49" s="16">
        <v>41.730200000000004</v>
      </c>
      <c r="M49" s="16">
        <v>42.674199999999999</v>
      </c>
      <c r="N49" s="16">
        <v>21.4011</v>
      </c>
      <c r="O49" s="16">
        <f t="shared" si="1"/>
        <v>36.053849999999997</v>
      </c>
      <c r="P49" s="7"/>
      <c r="Q49" s="8">
        <f>bdrate(C49:C52,D49:D52,J49:J52,K49:K52)</f>
        <v>-0.44627500142641341</v>
      </c>
      <c r="R49" s="8">
        <f>bdrate(C49:C52,E49:E52,J49:J52,L49:L52)</f>
        <v>-0.69048954662634299</v>
      </c>
      <c r="S49" s="8">
        <f>bdrate(C49:C52,F49:F52,J49:J52,M49:M52)</f>
        <v>-0.7102691753481456</v>
      </c>
      <c r="T49" s="25">
        <f>bdrate(C49:C52,H49:H52,J49:J52,O49:O52)</f>
        <v>-0.49016336053826448</v>
      </c>
      <c r="U49" s="28">
        <f t="shared" si="2"/>
        <v>-0.27083134582623514</v>
      </c>
      <c r="V49" s="57">
        <f t="shared" si="3"/>
        <v>6.9525000000000003E-2</v>
      </c>
      <c r="W49" s="57">
        <f t="shared" si="4"/>
        <v>1.4665333333333403E-2</v>
      </c>
      <c r="X49" s="56">
        <v>800</v>
      </c>
      <c r="Y49" s="56">
        <v>600</v>
      </c>
    </row>
    <row r="50" spans="1:25" x14ac:dyDescent="0.25">
      <c r="B50" s="9"/>
      <c r="C50" s="17">
        <v>458.17</v>
      </c>
      <c r="D50" s="18">
        <v>31.242999999999999</v>
      </c>
      <c r="E50" s="18">
        <v>39.182000000000002</v>
      </c>
      <c r="F50" s="18">
        <v>39.749000000000002</v>
      </c>
      <c r="G50" s="18">
        <v>33.71</v>
      </c>
      <c r="H50" s="18">
        <f t="shared" si="0"/>
        <v>33.298625000000001</v>
      </c>
      <c r="I50" s="5"/>
      <c r="J50" s="17">
        <v>405.20319999999998</v>
      </c>
      <c r="K50" s="18">
        <v>32.728499999999997</v>
      </c>
      <c r="L50" s="18">
        <v>40.968200000000003</v>
      </c>
      <c r="M50" s="18">
        <v>41.8568</v>
      </c>
      <c r="N50" s="18">
        <v>25.707999999999998</v>
      </c>
      <c r="O50" s="18">
        <f t="shared" si="1"/>
        <v>34.899499999999996</v>
      </c>
      <c r="P50" s="7"/>
      <c r="Q50" s="10"/>
      <c r="R50" s="11"/>
      <c r="S50" s="11"/>
      <c r="T50" s="26"/>
      <c r="U50" s="28">
        <f t="shared" si="2"/>
        <v>-0.2373776327499259</v>
      </c>
      <c r="V50" s="57">
        <f t="shared" si="3"/>
        <v>8.365999999999997E-2</v>
      </c>
      <c r="W50" s="57">
        <f t="shared" si="4"/>
        <v>1.3007999999999954E-2</v>
      </c>
      <c r="X50" s="56">
        <v>500</v>
      </c>
      <c r="Y50" s="56">
        <v>400</v>
      </c>
    </row>
    <row r="51" spans="1:25" x14ac:dyDescent="0.25">
      <c r="B51" s="9"/>
      <c r="C51" s="17">
        <v>272.3</v>
      </c>
      <c r="D51" s="18">
        <v>29.378</v>
      </c>
      <c r="E51" s="18">
        <v>38.655000000000001</v>
      </c>
      <c r="F51" s="18">
        <v>38.947000000000003</v>
      </c>
      <c r="G51" s="18">
        <v>38.69</v>
      </c>
      <c r="H51" s="18">
        <f t="shared" si="0"/>
        <v>31.733750000000001</v>
      </c>
      <c r="I51" s="5"/>
      <c r="J51" s="17">
        <v>253.4752</v>
      </c>
      <c r="K51" s="18">
        <v>31.2315</v>
      </c>
      <c r="L51" s="18">
        <v>40.069899999999997</v>
      </c>
      <c r="M51" s="18">
        <v>40.856400000000001</v>
      </c>
      <c r="N51" s="18">
        <v>33.5608</v>
      </c>
      <c r="O51" s="18">
        <f t="shared" si="1"/>
        <v>33.539412499999997</v>
      </c>
      <c r="P51" s="7"/>
      <c r="Q51" s="10"/>
      <c r="R51" s="11"/>
      <c r="S51" s="11"/>
      <c r="T51" s="26"/>
      <c r="U51" s="28">
        <f t="shared" si="2"/>
        <v>-0.13257172395967945</v>
      </c>
      <c r="V51" s="57">
        <f t="shared" si="3"/>
        <v>9.2333333333333295E-2</v>
      </c>
      <c r="W51" s="57">
        <f t="shared" si="4"/>
        <v>1.3900800000000003E-2</v>
      </c>
      <c r="X51" s="56">
        <v>300</v>
      </c>
      <c r="Y51" s="56">
        <v>250</v>
      </c>
    </row>
    <row r="52" spans="1:25" ht="16.5" thickBot="1" x14ac:dyDescent="0.3">
      <c r="B52" s="12"/>
      <c r="C52" s="19">
        <v>135.02000000000001</v>
      </c>
      <c r="D52" s="20">
        <v>26.782</v>
      </c>
      <c r="E52" s="20">
        <v>37.929000000000002</v>
      </c>
      <c r="F52" s="20">
        <v>38.151000000000003</v>
      </c>
      <c r="G52" s="20">
        <v>46.94</v>
      </c>
      <c r="H52" s="20">
        <f t="shared" si="0"/>
        <v>29.596500000000002</v>
      </c>
      <c r="I52" s="5"/>
      <c r="J52" s="19">
        <v>121.2672</v>
      </c>
      <c r="K52" s="20">
        <v>28.715499999999999</v>
      </c>
      <c r="L52" s="20">
        <v>38.904200000000003</v>
      </c>
      <c r="M52" s="20">
        <v>39.590400000000002</v>
      </c>
      <c r="N52" s="20">
        <v>51.0899</v>
      </c>
      <c r="O52" s="20">
        <f t="shared" si="1"/>
        <v>31.34845</v>
      </c>
      <c r="P52" s="7"/>
      <c r="Q52" s="13"/>
      <c r="R52" s="14"/>
      <c r="S52" s="14"/>
      <c r="T52" s="27"/>
      <c r="U52" s="28">
        <f t="shared" si="2"/>
        <v>8.8408606731998352E-2</v>
      </c>
      <c r="V52" s="57">
        <f t="shared" si="3"/>
        <v>9.9866666666666604E-2</v>
      </c>
      <c r="W52" s="57">
        <f t="shared" si="4"/>
        <v>1.0560000000000021E-2</v>
      </c>
      <c r="X52" s="56">
        <v>150</v>
      </c>
      <c r="Y52" s="56">
        <v>120</v>
      </c>
    </row>
    <row r="53" spans="1:25" x14ac:dyDescent="0.25">
      <c r="B53" s="6" t="s">
        <v>55</v>
      </c>
      <c r="C53" s="29">
        <v>829.63</v>
      </c>
      <c r="D53" s="30">
        <v>34.011000000000003</v>
      </c>
      <c r="E53" s="30">
        <v>37.466000000000001</v>
      </c>
      <c r="F53" s="30">
        <v>37.941000000000003</v>
      </c>
      <c r="G53" s="16">
        <v>24.54</v>
      </c>
      <c r="H53" s="16">
        <f t="shared" si="0"/>
        <v>34.934125000000009</v>
      </c>
      <c r="I53" s="5"/>
      <c r="J53" s="29">
        <v>629.8424</v>
      </c>
      <c r="K53" s="30">
        <v>33.468299999999999</v>
      </c>
      <c r="L53" s="30">
        <v>38.927199999999999</v>
      </c>
      <c r="M53" s="30">
        <v>39.7288</v>
      </c>
      <c r="N53" s="16">
        <v>20.342600000000001</v>
      </c>
      <c r="O53" s="16">
        <f t="shared" si="1"/>
        <v>34.933225</v>
      </c>
      <c r="P53" s="7"/>
      <c r="Q53" s="8">
        <f>bdrate(C53:C56,D53:D56,J53:J56,K53:K56)</f>
        <v>-0.18718803178891985</v>
      </c>
      <c r="R53" s="8">
        <f>bdrate(C53:C56,E53:E56,J53:J56,L53:L56)</f>
        <v>-0.60698310876649764</v>
      </c>
      <c r="S53" s="8">
        <f>bdrate(C53:C56,F53:F56,J53:J56,M53:M56)</f>
        <v>-0.63677972217969758</v>
      </c>
      <c r="T53" s="25">
        <f>bdrate(C53:C56,H53:H56,J53:J56,O53:O56)</f>
        <v>-0.27917460397439642</v>
      </c>
      <c r="U53" s="28">
        <f t="shared" si="2"/>
        <v>-0.17104319478402602</v>
      </c>
      <c r="V53" s="57">
        <f t="shared" si="3"/>
        <v>3.7037499999999994E-2</v>
      </c>
      <c r="W53" s="57">
        <f t="shared" si="4"/>
        <v>4.9737333333333328E-2</v>
      </c>
      <c r="X53" s="56">
        <v>800</v>
      </c>
      <c r="Y53" s="56">
        <v>600</v>
      </c>
    </row>
    <row r="54" spans="1:25" x14ac:dyDescent="0.25">
      <c r="B54" s="9"/>
      <c r="C54" s="31">
        <v>517.23</v>
      </c>
      <c r="D54" s="32">
        <v>32.042999999999999</v>
      </c>
      <c r="E54" s="32">
        <v>36.228999999999999</v>
      </c>
      <c r="F54" s="32">
        <v>36.726999999999997</v>
      </c>
      <c r="G54" s="18">
        <v>27.53</v>
      </c>
      <c r="H54" s="18">
        <f t="shared" si="0"/>
        <v>33.151749999999993</v>
      </c>
      <c r="I54" s="5"/>
      <c r="J54" s="31">
        <v>420.84320000000002</v>
      </c>
      <c r="K54" s="32">
        <v>31.891100000000002</v>
      </c>
      <c r="L54" s="32">
        <v>37.939799999999998</v>
      </c>
      <c r="M54" s="32">
        <v>38.686300000000003</v>
      </c>
      <c r="N54" s="18">
        <v>24.168600000000001</v>
      </c>
      <c r="O54" s="18">
        <f t="shared" si="1"/>
        <v>33.496587500000004</v>
      </c>
      <c r="P54" s="7"/>
      <c r="Q54" s="10"/>
      <c r="R54" s="11"/>
      <c r="S54" s="11"/>
      <c r="T54" s="26"/>
      <c r="U54" s="28">
        <f t="shared" si="2"/>
        <v>-0.12209952778786777</v>
      </c>
      <c r="V54" s="57">
        <f t="shared" si="3"/>
        <v>3.4460000000000039E-2</v>
      </c>
      <c r="W54" s="57">
        <f t="shared" si="4"/>
        <v>5.2108000000000064E-2</v>
      </c>
      <c r="X54" s="56">
        <v>500</v>
      </c>
      <c r="Y54" s="56">
        <v>400</v>
      </c>
    </row>
    <row r="55" spans="1:25" x14ac:dyDescent="0.25">
      <c r="B55" s="9"/>
      <c r="C55" s="31">
        <v>308.2</v>
      </c>
      <c r="D55" s="32">
        <v>30.04</v>
      </c>
      <c r="E55" s="32">
        <v>35.235999999999997</v>
      </c>
      <c r="F55" s="32">
        <v>35.743000000000002</v>
      </c>
      <c r="G55" s="18">
        <v>31.48</v>
      </c>
      <c r="H55" s="18">
        <f t="shared" si="0"/>
        <v>31.402374999999999</v>
      </c>
      <c r="I55" s="5"/>
      <c r="J55" s="31">
        <v>263.08879999999999</v>
      </c>
      <c r="K55" s="32">
        <v>30.261500000000002</v>
      </c>
      <c r="L55" s="32">
        <v>36.802799999999998</v>
      </c>
      <c r="M55" s="32">
        <v>37.494999999999997</v>
      </c>
      <c r="N55" s="18">
        <v>29.5229</v>
      </c>
      <c r="O55" s="18">
        <f t="shared" si="1"/>
        <v>31.983350000000002</v>
      </c>
      <c r="P55" s="7"/>
      <c r="Q55" s="10"/>
      <c r="R55" s="11"/>
      <c r="S55" s="11"/>
      <c r="T55" s="26"/>
      <c r="U55" s="28">
        <f t="shared" si="2"/>
        <v>-6.2169631512071173E-2</v>
      </c>
      <c r="V55" s="57">
        <f t="shared" si="3"/>
        <v>2.7333333333333296E-2</v>
      </c>
      <c r="W55" s="57">
        <f t="shared" si="4"/>
        <v>5.235519999999997E-2</v>
      </c>
      <c r="X55" s="56">
        <v>300</v>
      </c>
      <c r="Y55" s="56">
        <v>250</v>
      </c>
    </row>
    <row r="56" spans="1:25" ht="16.5" thickBot="1" x14ac:dyDescent="0.3">
      <c r="B56" s="12"/>
      <c r="C56" s="33">
        <v>151.5</v>
      </c>
      <c r="D56" s="34">
        <v>27.553999999999998</v>
      </c>
      <c r="E56" s="34">
        <v>34.116</v>
      </c>
      <c r="F56" s="34">
        <v>34.683</v>
      </c>
      <c r="G56" s="20">
        <v>38.880000000000003</v>
      </c>
      <c r="H56" s="20">
        <f t="shared" si="0"/>
        <v>29.265374999999999</v>
      </c>
      <c r="I56" s="5"/>
      <c r="J56" s="33">
        <v>125.49120000000001</v>
      </c>
      <c r="K56" s="34">
        <v>27.8718</v>
      </c>
      <c r="L56" s="34">
        <v>35.360799999999998</v>
      </c>
      <c r="M56" s="34">
        <v>35.964199999999998</v>
      </c>
      <c r="N56" s="20">
        <v>41.390700000000002</v>
      </c>
      <c r="O56" s="20">
        <f t="shared" si="1"/>
        <v>29.819474999999997</v>
      </c>
      <c r="P56" s="7"/>
      <c r="Q56" s="13"/>
      <c r="R56" s="14"/>
      <c r="S56" s="14"/>
      <c r="T56" s="27"/>
      <c r="U56" s="28">
        <f t="shared" si="2"/>
        <v>6.4575617283950615E-2</v>
      </c>
      <c r="V56" s="57">
        <f t="shared" si="3"/>
        <v>0.01</v>
      </c>
      <c r="W56" s="57">
        <f t="shared" si="4"/>
        <v>4.5760000000000051E-2</v>
      </c>
      <c r="X56" s="56">
        <v>150</v>
      </c>
      <c r="Y56" s="56">
        <v>120</v>
      </c>
    </row>
    <row r="57" spans="1:25" x14ac:dyDescent="0.25">
      <c r="B57" s="6" t="s">
        <v>56</v>
      </c>
      <c r="C57" s="15">
        <v>762.92</v>
      </c>
      <c r="D57" s="16">
        <v>35.722000000000001</v>
      </c>
      <c r="E57" s="16">
        <v>37.878</v>
      </c>
      <c r="F57" s="16">
        <v>39.021000000000001</v>
      </c>
      <c r="G57" s="16">
        <v>17.12</v>
      </c>
      <c r="H57" s="16">
        <f t="shared" si="0"/>
        <v>36.403874999999999</v>
      </c>
      <c r="I57" s="5"/>
      <c r="J57" s="15">
        <v>610.61599999999999</v>
      </c>
      <c r="K57" s="16">
        <v>34.513399999999997</v>
      </c>
      <c r="L57" s="16">
        <v>38.649099999999997</v>
      </c>
      <c r="M57" s="16">
        <v>39.813299999999998</v>
      </c>
      <c r="N57" s="16">
        <v>12.1335</v>
      </c>
      <c r="O57" s="16">
        <f t="shared" si="1"/>
        <v>35.69285</v>
      </c>
      <c r="P57" s="7"/>
      <c r="Q57" s="8">
        <f>bdrate(C57:C60,D57:D60,J57:J60,K57:K60)</f>
        <v>-3.2090358844386713E-2</v>
      </c>
      <c r="R57" s="8">
        <f>bdrate(C57:C60,E57:E60,J57:J60,L57:L60)</f>
        <v>-0.40448679611039573</v>
      </c>
      <c r="S57" s="8">
        <f>bdrate(C57:C60,F57:F60,J57:J60,M57:M60)</f>
        <v>-0.40708259107298317</v>
      </c>
      <c r="T57" s="25">
        <f>bdrate(C57:C60,H57:H60,J57:J60,O57:O60)</f>
        <v>-0.10560755116941889</v>
      </c>
      <c r="U57" s="28">
        <f t="shared" si="2"/>
        <v>-0.29126752336448603</v>
      </c>
      <c r="V57" s="57">
        <f t="shared" si="3"/>
        <v>4.6350000000000051E-2</v>
      </c>
      <c r="W57" s="57">
        <f t="shared" si="4"/>
        <v>1.7693333333333307E-2</v>
      </c>
      <c r="X57" s="56">
        <v>800</v>
      </c>
      <c r="Y57" s="56">
        <v>600</v>
      </c>
    </row>
    <row r="58" spans="1:25" x14ac:dyDescent="0.25">
      <c r="B58" s="9"/>
      <c r="C58" s="17">
        <v>480.71</v>
      </c>
      <c r="D58" s="18">
        <v>33.395000000000003</v>
      </c>
      <c r="E58" s="18">
        <v>36.564999999999998</v>
      </c>
      <c r="F58" s="18">
        <v>37.704000000000001</v>
      </c>
      <c r="G58" s="18">
        <v>19.64</v>
      </c>
      <c r="H58" s="18">
        <f t="shared" si="0"/>
        <v>34.329875000000001</v>
      </c>
      <c r="I58" s="5"/>
      <c r="J58" s="17">
        <v>406.63440000000003</v>
      </c>
      <c r="K58" s="18">
        <v>32.610300000000002</v>
      </c>
      <c r="L58" s="18">
        <v>37.470199999999998</v>
      </c>
      <c r="M58" s="18">
        <v>38.624000000000002</v>
      </c>
      <c r="N58" s="18">
        <v>14.584300000000001</v>
      </c>
      <c r="O58" s="18">
        <f t="shared" si="1"/>
        <v>33.969500000000004</v>
      </c>
      <c r="P58" s="7"/>
      <c r="Q58" s="10"/>
      <c r="R58" s="11"/>
      <c r="S58" s="11"/>
      <c r="T58" s="26"/>
      <c r="U58" s="28">
        <f t="shared" si="2"/>
        <v>-0.25741853360488798</v>
      </c>
      <c r="V58" s="57">
        <f t="shared" si="3"/>
        <v>3.8580000000000038E-2</v>
      </c>
      <c r="W58" s="57">
        <f t="shared" si="4"/>
        <v>1.6586000000000069E-2</v>
      </c>
      <c r="X58" s="56">
        <v>500</v>
      </c>
      <c r="Y58" s="56">
        <v>400</v>
      </c>
    </row>
    <row r="59" spans="1:25" x14ac:dyDescent="0.25">
      <c r="B59" s="9"/>
      <c r="C59" s="17">
        <v>289.55</v>
      </c>
      <c r="D59" s="18">
        <v>31.105</v>
      </c>
      <c r="E59" s="18">
        <v>35.322000000000003</v>
      </c>
      <c r="F59" s="18">
        <v>36.466000000000001</v>
      </c>
      <c r="G59" s="18">
        <v>22.91</v>
      </c>
      <c r="H59" s="18">
        <f t="shared" si="0"/>
        <v>32.302250000000001</v>
      </c>
      <c r="I59" s="5"/>
      <c r="J59" s="17">
        <v>254.80879999999999</v>
      </c>
      <c r="K59" s="18">
        <v>30.719000000000001</v>
      </c>
      <c r="L59" s="18">
        <v>36.225900000000003</v>
      </c>
      <c r="M59" s="18">
        <v>37.389600000000002</v>
      </c>
      <c r="N59" s="18">
        <v>18.078800000000001</v>
      </c>
      <c r="O59" s="18">
        <f t="shared" si="1"/>
        <v>32.241187500000002</v>
      </c>
      <c r="P59" s="7"/>
      <c r="Q59" s="10"/>
      <c r="R59" s="11"/>
      <c r="S59" s="11"/>
      <c r="T59" s="26"/>
      <c r="U59" s="28">
        <f t="shared" si="2"/>
        <v>-0.210877346137058</v>
      </c>
      <c r="V59" s="57">
        <f t="shared" si="3"/>
        <v>3.4833333333333293E-2</v>
      </c>
      <c r="W59" s="57">
        <f t="shared" si="4"/>
        <v>1.9235199999999963E-2</v>
      </c>
      <c r="X59" s="56">
        <v>300</v>
      </c>
      <c r="Y59" s="56">
        <v>250</v>
      </c>
    </row>
    <row r="60" spans="1:25" ht="16.5" thickBot="1" x14ac:dyDescent="0.3">
      <c r="B60" s="12"/>
      <c r="C60" s="19">
        <v>145.68</v>
      </c>
      <c r="D60" s="20">
        <v>28.297000000000001</v>
      </c>
      <c r="E60" s="20">
        <v>33.890999999999998</v>
      </c>
      <c r="F60" s="20">
        <v>34.868000000000002</v>
      </c>
      <c r="G60" s="20">
        <v>30.21</v>
      </c>
      <c r="H60" s="20">
        <f t="shared" si="0"/>
        <v>29.817625</v>
      </c>
      <c r="I60" s="5"/>
      <c r="J60" s="19">
        <v>123.592</v>
      </c>
      <c r="K60" s="20">
        <v>28.161999999999999</v>
      </c>
      <c r="L60" s="20">
        <v>34.768099999999997</v>
      </c>
      <c r="M60" s="20">
        <v>35.8752</v>
      </c>
      <c r="N60" s="20">
        <v>26.348099999999999</v>
      </c>
      <c r="O60" s="20">
        <f t="shared" si="1"/>
        <v>29.951912499999999</v>
      </c>
      <c r="P60" s="7"/>
      <c r="Q60" s="13"/>
      <c r="R60" s="14"/>
      <c r="S60" s="14"/>
      <c r="T60" s="27"/>
      <c r="U60" s="28">
        <f t="shared" si="2"/>
        <v>-0.12783515392254227</v>
      </c>
      <c r="V60" s="57">
        <f t="shared" si="3"/>
        <v>2.8799999999999954E-2</v>
      </c>
      <c r="W60" s="57">
        <f t="shared" si="4"/>
        <v>2.9933333333333322E-2</v>
      </c>
      <c r="X60" s="56">
        <v>150</v>
      </c>
      <c r="Y60" s="56">
        <v>120</v>
      </c>
    </row>
    <row r="61" spans="1:25" x14ac:dyDescent="0.25">
      <c r="A61" s="6" t="s">
        <v>41</v>
      </c>
      <c r="B61" s="6" t="s">
        <v>57</v>
      </c>
      <c r="C61" s="15">
        <v>1916.86</v>
      </c>
      <c r="D61" s="16">
        <v>41.454999999999998</v>
      </c>
      <c r="E61" s="16">
        <v>45.018000000000001</v>
      </c>
      <c r="F61" s="16">
        <v>46.085999999999999</v>
      </c>
      <c r="G61" s="16">
        <v>5</v>
      </c>
      <c r="H61" s="16">
        <f t="shared" si="0"/>
        <v>42.47925</v>
      </c>
      <c r="I61" s="5"/>
      <c r="J61" s="15">
        <v>1506.2608</v>
      </c>
      <c r="K61" s="16">
        <v>41.8645</v>
      </c>
      <c r="L61" s="16">
        <v>46.559899999999999</v>
      </c>
      <c r="M61" s="16">
        <v>47.8309</v>
      </c>
      <c r="N61" s="16">
        <v>5.9728000000000003</v>
      </c>
      <c r="O61" s="16">
        <f t="shared" si="1"/>
        <v>43.197224999999996</v>
      </c>
      <c r="P61" s="7"/>
      <c r="Q61" s="8">
        <f>bdrate(C61:C64,D61:D64,J61:J64,K61:K64)</f>
        <v>-0.38442874256621085</v>
      </c>
      <c r="R61" s="8">
        <f>bdrate(C61:C64,E61:E64,J61:J64,L61:L64)</f>
        <v>-0.59796840167203746</v>
      </c>
      <c r="S61" s="8">
        <f>bdrate(C61:C64,F61:F64,J61:J64,M61:M64)</f>
        <v>-0.60930684856619832</v>
      </c>
      <c r="T61" s="25">
        <f>bdrate(C61:C64,H61:H64,J61:J64,O61:O64)</f>
        <v>-0.43610068800781931</v>
      </c>
      <c r="U61" s="28">
        <f t="shared" si="2"/>
        <v>0.19456000000000007</v>
      </c>
      <c r="V61" s="57">
        <f t="shared" si="3"/>
        <v>8.7209523809523862E-2</v>
      </c>
      <c r="W61" s="57">
        <f t="shared" si="4"/>
        <v>4.1738666666666785E-3</v>
      </c>
      <c r="X61" s="56">
        <v>2100</v>
      </c>
      <c r="Y61" s="56">
        <v>1500</v>
      </c>
    </row>
    <row r="62" spans="1:25" x14ac:dyDescent="0.25">
      <c r="A62" s="9" t="s">
        <v>42</v>
      </c>
      <c r="B62" s="9"/>
      <c r="C62" s="17">
        <v>1248.48</v>
      </c>
      <c r="D62" s="18">
        <v>40.273000000000003</v>
      </c>
      <c r="E62" s="18">
        <v>43.929000000000002</v>
      </c>
      <c r="F62" s="18">
        <v>45.036999999999999</v>
      </c>
      <c r="G62" s="18">
        <v>5.65</v>
      </c>
      <c r="H62" s="18">
        <f t="shared" si="0"/>
        <v>41.325499999999998</v>
      </c>
      <c r="I62" s="5"/>
      <c r="J62" s="17">
        <v>982.5376</v>
      </c>
      <c r="K62" s="18">
        <v>40.847000000000001</v>
      </c>
      <c r="L62" s="18">
        <v>45.716200000000001</v>
      </c>
      <c r="M62" s="18">
        <v>46.955199999999998</v>
      </c>
      <c r="N62" s="18">
        <v>7.0049999999999999</v>
      </c>
      <c r="O62" s="18">
        <f t="shared" si="1"/>
        <v>42.219175</v>
      </c>
      <c r="P62" s="7"/>
      <c r="Q62" s="10"/>
      <c r="R62" s="11"/>
      <c r="S62" s="11"/>
      <c r="T62" s="26"/>
      <c r="U62" s="28">
        <f t="shared" si="2"/>
        <v>0.23982300884955743</v>
      </c>
      <c r="V62" s="57">
        <f t="shared" si="3"/>
        <v>0.10822857142857141</v>
      </c>
      <c r="W62" s="57">
        <f t="shared" si="4"/>
        <v>1.7462400000000003E-2</v>
      </c>
      <c r="X62" s="56">
        <v>1400</v>
      </c>
      <c r="Y62" s="56">
        <v>1000</v>
      </c>
    </row>
    <row r="63" spans="1:25" x14ac:dyDescent="0.25">
      <c r="B63" s="9"/>
      <c r="C63" s="17">
        <v>741.94</v>
      </c>
      <c r="D63" s="18">
        <v>38.104999999999997</v>
      </c>
      <c r="E63" s="18">
        <v>42.314999999999998</v>
      </c>
      <c r="F63" s="18">
        <v>43.463999999999999</v>
      </c>
      <c r="G63" s="18">
        <v>6.56</v>
      </c>
      <c r="H63" s="18">
        <f t="shared" si="0"/>
        <v>39.301124999999999</v>
      </c>
      <c r="I63" s="5"/>
      <c r="J63" s="17">
        <v>565.80319999999995</v>
      </c>
      <c r="K63" s="18">
        <v>39.013500000000001</v>
      </c>
      <c r="L63" s="18">
        <v>44.176900000000003</v>
      </c>
      <c r="M63" s="18">
        <v>45.380800000000001</v>
      </c>
      <c r="N63" s="18">
        <v>8.7150999999999996</v>
      </c>
      <c r="O63" s="18">
        <f t="shared" si="1"/>
        <v>40.454837500000004</v>
      </c>
      <c r="P63" s="7"/>
      <c r="Q63" s="10"/>
      <c r="R63" s="11"/>
      <c r="S63" s="11"/>
      <c r="T63" s="26"/>
      <c r="U63" s="28">
        <f t="shared" si="2"/>
        <v>0.32852134146341466</v>
      </c>
      <c r="V63" s="57">
        <f t="shared" si="3"/>
        <v>0.12712941176470582</v>
      </c>
      <c r="W63" s="57">
        <f t="shared" si="4"/>
        <v>5.6994666666666756E-2</v>
      </c>
      <c r="X63" s="56">
        <v>850</v>
      </c>
      <c r="Y63" s="56">
        <v>600</v>
      </c>
    </row>
    <row r="64" spans="1:25" ht="16.5" thickBot="1" x14ac:dyDescent="0.3">
      <c r="B64" s="12"/>
      <c r="C64" s="19">
        <v>341.62</v>
      </c>
      <c r="D64" s="20">
        <v>33.898000000000003</v>
      </c>
      <c r="E64" s="20">
        <v>40.201000000000001</v>
      </c>
      <c r="F64" s="20">
        <v>41.262</v>
      </c>
      <c r="G64" s="20">
        <v>8.34</v>
      </c>
      <c r="H64" s="20">
        <f t="shared" si="0"/>
        <v>35.606375</v>
      </c>
      <c r="I64" s="5"/>
      <c r="J64" s="19">
        <v>281.5</v>
      </c>
      <c r="K64" s="20">
        <v>36.072200000000002</v>
      </c>
      <c r="L64" s="20">
        <v>42.305599999999998</v>
      </c>
      <c r="M64" s="20">
        <v>43.488399999999999</v>
      </c>
      <c r="N64" s="20">
        <v>11.381500000000001</v>
      </c>
      <c r="O64" s="20">
        <f t="shared" si="1"/>
        <v>37.778399999999998</v>
      </c>
      <c r="P64" s="7"/>
      <c r="Q64" s="13"/>
      <c r="R64" s="14"/>
      <c r="S64" s="14"/>
      <c r="T64" s="27"/>
      <c r="U64" s="28">
        <f t="shared" si="2"/>
        <v>0.36468824940047972</v>
      </c>
      <c r="V64" s="57">
        <f t="shared" si="3"/>
        <v>0.14595</v>
      </c>
      <c r="W64" s="57">
        <f t="shared" si="4"/>
        <v>6.1666666666666668E-2</v>
      </c>
      <c r="X64" s="56">
        <v>400</v>
      </c>
      <c r="Y64" s="56">
        <v>300</v>
      </c>
    </row>
    <row r="65" spans="1:25" x14ac:dyDescent="0.25">
      <c r="B65" s="6" t="s">
        <v>58</v>
      </c>
      <c r="C65" s="15">
        <v>1980.49</v>
      </c>
      <c r="D65" s="16">
        <v>42.436999999999998</v>
      </c>
      <c r="E65" s="16">
        <v>46.962000000000003</v>
      </c>
      <c r="F65" s="16">
        <v>47.424999999999997</v>
      </c>
      <c r="G65" s="16">
        <v>4.8</v>
      </c>
      <c r="H65" s="16">
        <f t="shared" si="0"/>
        <v>43.626125000000002</v>
      </c>
      <c r="I65" s="5"/>
      <c r="J65" s="15">
        <v>1537.9888000000001</v>
      </c>
      <c r="K65" s="16">
        <v>42.880200000000002</v>
      </c>
      <c r="L65" s="16">
        <v>48.381599999999999</v>
      </c>
      <c r="M65" s="16">
        <v>49.053600000000003</v>
      </c>
      <c r="N65" s="16">
        <v>6.1905000000000001</v>
      </c>
      <c r="O65" s="16">
        <f t="shared" si="1"/>
        <v>44.339550000000003</v>
      </c>
      <c r="P65" s="7"/>
      <c r="Q65" s="8">
        <f>bdrate(C65:C68,D65:D68,J65:J68,K65:K68)</f>
        <v>-0.50911752781018638</v>
      </c>
      <c r="R65" s="8">
        <f>bdrate(C65:C68,E65:E68,J65:J68,L65:L68)</f>
        <v>-0.73937361494304243</v>
      </c>
      <c r="S65" s="8">
        <f>bdrate(C65:C68,F65:F68,J65:J68,M65:M68)</f>
        <v>-0.76923632894640392</v>
      </c>
      <c r="T65" s="25">
        <f>bdrate(C65:C68,H65:H68,J65:J68,O65:O68)</f>
        <v>-0.59250366030491675</v>
      </c>
      <c r="U65" s="28">
        <f t="shared" ref="U65:U72" si="5">(N65-G65)/G65</f>
        <v>0.2896875000000001</v>
      </c>
      <c r="V65" s="57">
        <f t="shared" si="3"/>
        <v>5.6909523809523806E-2</v>
      </c>
      <c r="W65" s="57">
        <f t="shared" ref="W65:W72" si="6">ABS(J65-Y65)/Y65</f>
        <v>2.5325866666666721E-2</v>
      </c>
      <c r="X65" s="56">
        <v>2100</v>
      </c>
      <c r="Y65" s="56">
        <v>1500</v>
      </c>
    </row>
    <row r="66" spans="1:25" x14ac:dyDescent="0.25">
      <c r="B66" s="9"/>
      <c r="C66" s="17">
        <v>1300.6500000000001</v>
      </c>
      <c r="D66" s="18">
        <v>41.767000000000003</v>
      </c>
      <c r="E66" s="18">
        <v>46.036999999999999</v>
      </c>
      <c r="F66" s="18">
        <v>46.420999999999999</v>
      </c>
      <c r="G66" s="18">
        <v>5.22</v>
      </c>
      <c r="H66" s="18">
        <f t="shared" si="0"/>
        <v>42.8825</v>
      </c>
      <c r="I66" s="5"/>
      <c r="J66" s="17">
        <v>986.81679999999994</v>
      </c>
      <c r="K66" s="18">
        <v>42.434600000000003</v>
      </c>
      <c r="L66" s="18">
        <v>47.957599999999999</v>
      </c>
      <c r="M66" s="18">
        <v>48.667499999999997</v>
      </c>
      <c r="N66" s="18">
        <v>7.2378</v>
      </c>
      <c r="O66" s="18">
        <f t="shared" si="1"/>
        <v>43.904087500000003</v>
      </c>
      <c r="P66" s="7"/>
      <c r="Q66" s="10"/>
      <c r="R66" s="11"/>
      <c r="S66" s="11"/>
      <c r="T66" s="26"/>
      <c r="U66" s="28">
        <f t="shared" si="5"/>
        <v>0.3865517241379311</v>
      </c>
      <c r="V66" s="57">
        <f t="shared" ref="V66:V72" si="7">ABS(C66-X66)/X66</f>
        <v>7.0964285714285646E-2</v>
      </c>
      <c r="W66" s="57">
        <f t="shared" si="6"/>
        <v>1.3183200000000056E-2</v>
      </c>
      <c r="X66" s="56">
        <v>1400</v>
      </c>
      <c r="Y66" s="56">
        <v>1000</v>
      </c>
    </row>
    <row r="67" spans="1:25" x14ac:dyDescent="0.25">
      <c r="B67" s="9"/>
      <c r="C67" s="17">
        <v>762.73</v>
      </c>
      <c r="D67" s="18">
        <v>40.659999999999997</v>
      </c>
      <c r="E67" s="18">
        <v>44.582000000000001</v>
      </c>
      <c r="F67" s="18">
        <v>45.170999999999999</v>
      </c>
      <c r="G67" s="18">
        <v>5.91</v>
      </c>
      <c r="H67" s="18">
        <f t="shared" si="0"/>
        <v>41.714124999999996</v>
      </c>
      <c r="I67" s="5"/>
      <c r="J67" s="17">
        <v>580.26639999999998</v>
      </c>
      <c r="K67" s="18">
        <v>41.603200000000001</v>
      </c>
      <c r="L67" s="18">
        <v>47.202599999999997</v>
      </c>
      <c r="M67" s="18">
        <v>47.921799999999998</v>
      </c>
      <c r="N67" s="18">
        <v>9.2667000000000002</v>
      </c>
      <c r="O67" s="18">
        <f t="shared" si="1"/>
        <v>43.092950000000002</v>
      </c>
      <c r="P67" s="7"/>
      <c r="Q67" s="10"/>
      <c r="R67" s="11"/>
      <c r="S67" s="11"/>
      <c r="T67" s="26"/>
      <c r="U67" s="28">
        <f t="shared" si="5"/>
        <v>0.56796954314720816</v>
      </c>
      <c r="V67" s="57">
        <f t="shared" si="7"/>
        <v>0.1026705882352941</v>
      </c>
      <c r="W67" s="57">
        <f t="shared" si="6"/>
        <v>3.2889333333333375E-2</v>
      </c>
      <c r="X67" s="56">
        <v>850</v>
      </c>
      <c r="Y67" s="56">
        <v>600</v>
      </c>
    </row>
    <row r="68" spans="1:25" ht="16.5" thickBot="1" x14ac:dyDescent="0.3">
      <c r="B68" s="12"/>
      <c r="C68" s="19">
        <v>337.3</v>
      </c>
      <c r="D68" s="20">
        <v>37.67</v>
      </c>
      <c r="E68" s="20">
        <v>42.156999999999996</v>
      </c>
      <c r="F68" s="20">
        <v>43.167000000000002</v>
      </c>
      <c r="G68" s="20">
        <v>7.48</v>
      </c>
      <c r="H68" s="20">
        <f t="shared" si="0"/>
        <v>38.918000000000006</v>
      </c>
      <c r="I68" s="5"/>
      <c r="J68" s="19">
        <v>288.608</v>
      </c>
      <c r="K68" s="20">
        <v>39.871099999999998</v>
      </c>
      <c r="L68" s="20">
        <v>45.479199999999999</v>
      </c>
      <c r="M68" s="20">
        <v>46.1325</v>
      </c>
      <c r="N68" s="20">
        <v>12.1974</v>
      </c>
      <c r="O68" s="20">
        <f t="shared" si="1"/>
        <v>41.3547875</v>
      </c>
      <c r="P68" s="7"/>
      <c r="Q68" s="13"/>
      <c r="R68" s="14"/>
      <c r="S68" s="14"/>
      <c r="T68" s="27"/>
      <c r="U68" s="28">
        <f t="shared" si="5"/>
        <v>0.63066844919786091</v>
      </c>
      <c r="V68" s="57">
        <f t="shared" si="7"/>
        <v>0.15674999999999997</v>
      </c>
      <c r="W68" s="57">
        <f t="shared" si="6"/>
        <v>3.7973333333333317E-2</v>
      </c>
      <c r="X68" s="56">
        <v>400</v>
      </c>
      <c r="Y68" s="56">
        <v>300</v>
      </c>
    </row>
    <row r="69" spans="1:25" x14ac:dyDescent="0.25">
      <c r="B69" s="6" t="s">
        <v>59</v>
      </c>
      <c r="C69" s="15">
        <v>2058.15</v>
      </c>
      <c r="D69" s="16">
        <v>42.521999999999998</v>
      </c>
      <c r="E69" s="16">
        <v>46.265000000000001</v>
      </c>
      <c r="F69" s="16">
        <v>46.887999999999998</v>
      </c>
      <c r="G69" s="16">
        <v>4.5999999999999996</v>
      </c>
      <c r="H69" s="16">
        <f t="shared" si="0"/>
        <v>43.535624999999996</v>
      </c>
      <c r="I69" s="5"/>
      <c r="J69" s="15">
        <v>1541.1128000000001</v>
      </c>
      <c r="K69" s="16">
        <v>42.850299999999997</v>
      </c>
      <c r="L69" s="16">
        <v>47.5276</v>
      </c>
      <c r="M69" s="16">
        <v>48.429499999999997</v>
      </c>
      <c r="N69" s="16">
        <v>5.6536999999999997</v>
      </c>
      <c r="O69" s="16">
        <f t="shared" si="1"/>
        <v>44.132362499999999</v>
      </c>
      <c r="P69" s="7"/>
      <c r="Q69" s="8">
        <f>bdrate(C69:C72,D69:D72,J69:J72,K69:K72)</f>
        <v>-0.42994246563133498</v>
      </c>
      <c r="R69" s="8">
        <f>bdrate(C69:C72,E69:E72,J69:J72,L69:L72)</f>
        <v>-0.65597676696471618</v>
      </c>
      <c r="S69" s="8">
        <f>bdrate(C69:C72,F69:F72,J69:J72,M69:M72)</f>
        <v>-0.69043858677955561</v>
      </c>
      <c r="T69" s="25">
        <f>bdrate(C69:C72,H69:H72,J69:J72,O69:O72)</f>
        <v>-0.49904348123927544</v>
      </c>
      <c r="U69" s="28">
        <f t="shared" si="5"/>
        <v>0.22906521739130439</v>
      </c>
      <c r="V69" s="57">
        <f t="shared" si="7"/>
        <v>1.9928571428571386E-2</v>
      </c>
      <c r="W69" s="57">
        <f t="shared" si="6"/>
        <v>2.7408533333333405E-2</v>
      </c>
      <c r="X69" s="56">
        <v>2100</v>
      </c>
      <c r="Y69" s="56">
        <v>1500</v>
      </c>
    </row>
    <row r="70" spans="1:25" x14ac:dyDescent="0.25">
      <c r="B70" s="9"/>
      <c r="C70" s="17">
        <v>1356.56</v>
      </c>
      <c r="D70" s="18">
        <v>41.637</v>
      </c>
      <c r="E70" s="18">
        <v>45.219000000000001</v>
      </c>
      <c r="F70" s="18">
        <v>45.79</v>
      </c>
      <c r="G70" s="18">
        <v>5</v>
      </c>
      <c r="H70" s="18">
        <f t="shared" si="0"/>
        <v>42.603875000000002</v>
      </c>
      <c r="I70" s="5"/>
      <c r="J70" s="17">
        <v>1013.836</v>
      </c>
      <c r="K70" s="18">
        <v>42.095100000000002</v>
      </c>
      <c r="L70" s="18">
        <v>46.857300000000002</v>
      </c>
      <c r="M70" s="18">
        <v>47.749299999999998</v>
      </c>
      <c r="N70" s="18">
        <v>6.7073</v>
      </c>
      <c r="O70" s="18">
        <f t="shared" si="1"/>
        <v>43.397150000000003</v>
      </c>
      <c r="P70" s="7"/>
      <c r="Q70" s="10"/>
      <c r="R70" s="11"/>
      <c r="S70" s="11"/>
      <c r="T70" s="26"/>
      <c r="U70" s="28">
        <f t="shared" si="5"/>
        <v>0.34145999999999999</v>
      </c>
      <c r="V70" s="57">
        <f t="shared" si="7"/>
        <v>3.1028571428571468E-2</v>
      </c>
      <c r="W70" s="57">
        <f t="shared" si="6"/>
        <v>1.3836000000000013E-2</v>
      </c>
      <c r="X70" s="56">
        <v>1400</v>
      </c>
      <c r="Y70" s="56">
        <v>1000</v>
      </c>
    </row>
    <row r="71" spans="1:25" x14ac:dyDescent="0.25">
      <c r="B71" s="9"/>
      <c r="C71" s="17">
        <v>807.82</v>
      </c>
      <c r="D71" s="18">
        <v>39.979999999999997</v>
      </c>
      <c r="E71" s="18">
        <v>43.540999999999997</v>
      </c>
      <c r="F71" s="18">
        <v>44.222000000000001</v>
      </c>
      <c r="G71" s="18">
        <v>5.9</v>
      </c>
      <c r="H71" s="18">
        <f t="shared" si="0"/>
        <v>40.955374999999997</v>
      </c>
      <c r="I71" s="5"/>
      <c r="J71" s="17">
        <v>600.67200000000003</v>
      </c>
      <c r="K71" s="18">
        <v>40.858400000000003</v>
      </c>
      <c r="L71" s="18">
        <v>45.832900000000002</v>
      </c>
      <c r="M71" s="18">
        <v>46.7149</v>
      </c>
      <c r="N71" s="18">
        <v>8.6252999999999993</v>
      </c>
      <c r="O71" s="18">
        <f t="shared" si="1"/>
        <v>42.212275000000005</v>
      </c>
      <c r="P71" s="7"/>
      <c r="Q71" s="10"/>
      <c r="R71" s="11"/>
      <c r="S71" s="11"/>
      <c r="T71" s="26"/>
      <c r="U71" s="28">
        <f t="shared" si="5"/>
        <v>0.46191525423728791</v>
      </c>
      <c r="V71" s="57">
        <f t="shared" si="7"/>
        <v>4.962352941176465E-2</v>
      </c>
      <c r="W71" s="57">
        <f t="shared" si="6"/>
        <v>1.1200000000000424E-3</v>
      </c>
      <c r="X71" s="56">
        <v>850</v>
      </c>
      <c r="Y71" s="56">
        <v>600</v>
      </c>
    </row>
    <row r="72" spans="1:25" ht="16.5" thickBot="1" x14ac:dyDescent="0.3">
      <c r="B72" s="12"/>
      <c r="C72" s="19">
        <v>370.28</v>
      </c>
      <c r="D72" s="20">
        <v>36.398000000000003</v>
      </c>
      <c r="E72" s="20">
        <v>41.204999999999998</v>
      </c>
      <c r="F72" s="20">
        <v>41.521000000000001</v>
      </c>
      <c r="G72" s="20">
        <v>7.93</v>
      </c>
      <c r="H72" s="20">
        <f t="shared" si="0"/>
        <v>37.639250000000004</v>
      </c>
      <c r="I72" s="5"/>
      <c r="J72" s="19">
        <v>298.94639999999998</v>
      </c>
      <c r="K72" s="20">
        <v>38.499699999999997</v>
      </c>
      <c r="L72" s="20">
        <v>43.791699999999999</v>
      </c>
      <c r="M72" s="20">
        <v>44.722099999999998</v>
      </c>
      <c r="N72" s="20">
        <v>11.1526</v>
      </c>
      <c r="O72" s="20">
        <f t="shared" si="1"/>
        <v>39.939</v>
      </c>
      <c r="P72" s="7"/>
      <c r="Q72" s="13"/>
      <c r="R72" s="14"/>
      <c r="S72" s="14"/>
      <c r="T72" s="27"/>
      <c r="U72" s="28">
        <f t="shared" si="5"/>
        <v>0.40638083228247163</v>
      </c>
      <c r="V72" s="57">
        <f t="shared" si="7"/>
        <v>7.4300000000000074E-2</v>
      </c>
      <c r="W72" s="57">
        <f t="shared" si="6"/>
        <v>3.5120000000000572E-3</v>
      </c>
      <c r="X72" s="56">
        <v>400</v>
      </c>
      <c r="Y72" s="56">
        <v>300</v>
      </c>
    </row>
    <row r="73" spans="1:25" s="43" customFormat="1" x14ac:dyDescent="0.25">
      <c r="A73" s="40" t="s">
        <v>80</v>
      </c>
      <c r="B73" s="40" t="s">
        <v>81</v>
      </c>
      <c r="C73" s="15">
        <v>1527.79</v>
      </c>
      <c r="D73" s="16">
        <v>40.941000000000003</v>
      </c>
      <c r="E73" s="16">
        <v>47.164000000000001</v>
      </c>
      <c r="F73" s="16">
        <v>45.8</v>
      </c>
      <c r="G73" s="16">
        <v>2.37</v>
      </c>
      <c r="H73" s="41">
        <f t="shared" ref="H73:H95" si="8">(6*D73+E73+F73)/8</f>
        <v>42.326250000000002</v>
      </c>
      <c r="I73" s="42"/>
      <c r="J73" s="15">
        <v>1001.2255</v>
      </c>
      <c r="K73" s="16">
        <v>40.057600000000001</v>
      </c>
      <c r="L73" s="16">
        <v>47.04</v>
      </c>
      <c r="M73" s="16">
        <v>45.649500000000003</v>
      </c>
      <c r="N73" s="16">
        <v>2.4434</v>
      </c>
      <c r="O73" s="41">
        <f t="shared" ref="O73:O95" si="9">(6*K73+L73+M73)/8</f>
        <v>41.6293875</v>
      </c>
      <c r="P73" s="42"/>
      <c r="Q73" s="8">
        <f>bdrate(C73:C76,D73:D76,J73:J76,K73:K76)</f>
        <v>-0.31266156913456822</v>
      </c>
      <c r="R73" s="8">
        <f>bdrate(C73:C76,E73:E76,J73:J76,L73:L76)</f>
        <v>-0.44793264017414525</v>
      </c>
      <c r="S73" s="8">
        <f>bdrate(C73:C76,F73:F76,J73:J76,M73:M76)</f>
        <v>-0.42325946967516581</v>
      </c>
      <c r="T73" s="25">
        <f>bdrate(C73:C76,H73:H76,J73:J76,O73:O76)</f>
        <v>-0.33657972552053117</v>
      </c>
      <c r="U73" s="28">
        <f t="shared" ref="U73:U95" si="10">(N73-G73)/G73</f>
        <v>3.0970464135021056E-2</v>
      </c>
      <c r="V73" s="57">
        <f t="shared" ref="V73:V116" si="11">ABS(C73-X73)/X73</f>
        <v>1.8526666666666643E-2</v>
      </c>
      <c r="W73" s="57">
        <f t="shared" ref="W73:W116" si="12">ABS(J73-Y73)/Y73</f>
        <v>1.2255000000000109E-3</v>
      </c>
      <c r="X73" s="56">
        <v>1500</v>
      </c>
      <c r="Y73" s="56">
        <v>1000</v>
      </c>
    </row>
    <row r="74" spans="1:25" s="43" customFormat="1" x14ac:dyDescent="0.25">
      <c r="A74" s="44"/>
      <c r="B74" s="44"/>
      <c r="C74" s="17">
        <v>1019.97</v>
      </c>
      <c r="D74" s="18">
        <v>39.223999999999997</v>
      </c>
      <c r="E74" s="18">
        <v>45.923000000000002</v>
      </c>
      <c r="F74" s="18">
        <v>44.56</v>
      </c>
      <c r="G74" s="18">
        <v>2.72</v>
      </c>
      <c r="H74" s="45">
        <f t="shared" si="8"/>
        <v>40.728375</v>
      </c>
      <c r="I74" s="42"/>
      <c r="J74" s="17">
        <v>600.64859999999999</v>
      </c>
      <c r="K74" s="18">
        <v>38.148699999999998</v>
      </c>
      <c r="L74" s="18">
        <v>45.833199999999998</v>
      </c>
      <c r="M74" s="18">
        <v>44.382199999999997</v>
      </c>
      <c r="N74" s="18">
        <v>3.0379</v>
      </c>
      <c r="O74" s="45">
        <f t="shared" si="9"/>
        <v>39.888449999999999</v>
      </c>
      <c r="P74" s="42"/>
      <c r="Q74" s="49"/>
      <c r="R74" s="50"/>
      <c r="S74" s="50"/>
      <c r="T74" s="51"/>
      <c r="U74" s="28">
        <f t="shared" si="10"/>
        <v>0.11687499999999994</v>
      </c>
      <c r="V74" s="57">
        <f t="shared" si="11"/>
        <v>1.9970000000000026E-2</v>
      </c>
      <c r="W74" s="57">
        <f t="shared" si="12"/>
        <v>1.0809999999999793E-3</v>
      </c>
      <c r="X74" s="56">
        <v>1000</v>
      </c>
      <c r="Y74" s="56">
        <v>600</v>
      </c>
    </row>
    <row r="75" spans="1:25" s="43" customFormat="1" x14ac:dyDescent="0.25">
      <c r="B75" s="44"/>
      <c r="C75" s="17">
        <v>612.79999999999995</v>
      </c>
      <c r="D75" s="18">
        <v>36.784999999999997</v>
      </c>
      <c r="E75" s="18">
        <v>44.188000000000002</v>
      </c>
      <c r="F75" s="18">
        <v>42.878</v>
      </c>
      <c r="G75" s="18">
        <v>3.27</v>
      </c>
      <c r="H75" s="45">
        <f t="shared" si="8"/>
        <v>38.471999999999994</v>
      </c>
      <c r="I75" s="42"/>
      <c r="J75" s="17">
        <v>297.37529999999998</v>
      </c>
      <c r="K75" s="18">
        <v>35.3187</v>
      </c>
      <c r="L75" s="18">
        <v>44.116</v>
      </c>
      <c r="M75" s="18">
        <v>42.5867</v>
      </c>
      <c r="N75" s="18">
        <v>4.1672000000000002</v>
      </c>
      <c r="O75" s="45">
        <f t="shared" si="9"/>
        <v>37.326862499999997</v>
      </c>
      <c r="P75" s="42"/>
      <c r="Q75" s="49"/>
      <c r="R75" s="50"/>
      <c r="S75" s="50"/>
      <c r="T75" s="51"/>
      <c r="U75" s="28">
        <f t="shared" si="10"/>
        <v>0.27437308868501536</v>
      </c>
      <c r="V75" s="57">
        <f t="shared" si="11"/>
        <v>2.1333333333333256E-2</v>
      </c>
      <c r="W75" s="57">
        <f t="shared" si="12"/>
        <v>8.7490000000000623E-3</v>
      </c>
      <c r="X75" s="56">
        <v>600</v>
      </c>
      <c r="Y75" s="56">
        <v>300</v>
      </c>
    </row>
    <row r="76" spans="1:25" s="43" customFormat="1" ht="16.5" thickBot="1" x14ac:dyDescent="0.3">
      <c r="B76" s="46"/>
      <c r="C76" s="19">
        <v>305.12</v>
      </c>
      <c r="D76" s="20">
        <v>32.685000000000002</v>
      </c>
      <c r="E76" s="20">
        <v>41.738</v>
      </c>
      <c r="F76" s="20">
        <v>40.372</v>
      </c>
      <c r="G76" s="20">
        <v>4.3600000000000003</v>
      </c>
      <c r="H76" s="47">
        <f t="shared" si="8"/>
        <v>34.777500000000003</v>
      </c>
      <c r="I76" s="42"/>
      <c r="J76" s="19">
        <v>195.86420000000001</v>
      </c>
      <c r="K76" s="20">
        <v>33.468699999999998</v>
      </c>
      <c r="L76" s="20">
        <v>43.0792</v>
      </c>
      <c r="M76" s="20">
        <v>41.483400000000003</v>
      </c>
      <c r="N76" s="20">
        <v>5.0956000000000001</v>
      </c>
      <c r="O76" s="47">
        <f t="shared" si="9"/>
        <v>35.671849999999999</v>
      </c>
      <c r="P76" s="42"/>
      <c r="Q76" s="52"/>
      <c r="R76" s="53"/>
      <c r="S76" s="53"/>
      <c r="T76" s="54"/>
      <c r="U76" s="28">
        <f t="shared" si="10"/>
        <v>0.16871559633027516</v>
      </c>
      <c r="V76" s="57">
        <f t="shared" si="11"/>
        <v>1.7066666666666681E-2</v>
      </c>
      <c r="W76" s="57">
        <f t="shared" si="12"/>
        <v>2.0678999999999944E-2</v>
      </c>
      <c r="X76" s="56">
        <v>300</v>
      </c>
      <c r="Y76" s="56">
        <v>200</v>
      </c>
    </row>
    <row r="77" spans="1:25" s="43" customFormat="1" x14ac:dyDescent="0.25">
      <c r="B77" s="40" t="s">
        <v>82</v>
      </c>
      <c r="C77" s="29">
        <v>1466.21</v>
      </c>
      <c r="D77" s="30">
        <v>42.146999999999998</v>
      </c>
      <c r="E77" s="30">
        <v>47.313000000000002</v>
      </c>
      <c r="F77" s="30">
        <v>47.058</v>
      </c>
      <c r="G77" s="16">
        <v>2.57</v>
      </c>
      <c r="H77" s="41">
        <f t="shared" si="8"/>
        <v>43.406624999999998</v>
      </c>
      <c r="I77" s="42"/>
      <c r="J77" s="29">
        <v>1005.942</v>
      </c>
      <c r="K77" s="30">
        <v>41.2562</v>
      </c>
      <c r="L77" s="30">
        <v>47.384599999999999</v>
      </c>
      <c r="M77" s="30">
        <v>47.051000000000002</v>
      </c>
      <c r="N77" s="16">
        <v>2.4683999999999999</v>
      </c>
      <c r="O77" s="41">
        <f t="shared" si="9"/>
        <v>42.746599999999994</v>
      </c>
      <c r="P77" s="42"/>
      <c r="Q77" s="8">
        <f>bdrate(C77:C80,D77:D80,J77:J80,K77:K80)</f>
        <v>-0.27639949341158032</v>
      </c>
      <c r="R77" s="8">
        <f>bdrate(C77:C80,E77:E80,J77:J80,L77:L80)</f>
        <v>-0.44728220378734551</v>
      </c>
      <c r="S77" s="8">
        <f>bdrate(C77:C80,F77:F80,J77:J80,M77:M80)</f>
        <v>-0.44408452281037469</v>
      </c>
      <c r="T77" s="25">
        <f>bdrate(C77:C80,H77:H80,J77:J80,O77:O80)</f>
        <v>-0.30937735278736644</v>
      </c>
      <c r="U77" s="28">
        <f t="shared" si="10"/>
        <v>-3.9533073929961055E-2</v>
      </c>
      <c r="V77" s="57">
        <f t="shared" si="11"/>
        <v>2.2526666666666643E-2</v>
      </c>
      <c r="W77" s="57">
        <f t="shared" si="12"/>
        <v>5.9420000000000072E-3</v>
      </c>
      <c r="X77" s="56">
        <v>1500</v>
      </c>
      <c r="Y77" s="56">
        <v>1000</v>
      </c>
    </row>
    <row r="78" spans="1:25" s="43" customFormat="1" x14ac:dyDescent="0.25">
      <c r="B78" s="44"/>
      <c r="C78" s="31">
        <v>973.54</v>
      </c>
      <c r="D78" s="32">
        <v>40.472000000000001</v>
      </c>
      <c r="E78" s="32">
        <v>46.223999999999997</v>
      </c>
      <c r="F78" s="32">
        <v>45.96</v>
      </c>
      <c r="G78" s="18">
        <v>2.98</v>
      </c>
      <c r="H78" s="45">
        <f t="shared" si="8"/>
        <v>41.876999999999995</v>
      </c>
      <c r="I78" s="42"/>
      <c r="J78" s="31">
        <v>602.721</v>
      </c>
      <c r="K78" s="32">
        <v>39.501100000000001</v>
      </c>
      <c r="L78" s="32">
        <v>46.314799999999998</v>
      </c>
      <c r="M78" s="32">
        <v>46.040399999999998</v>
      </c>
      <c r="N78" s="18">
        <v>3.0966</v>
      </c>
      <c r="O78" s="45">
        <f t="shared" si="9"/>
        <v>41.170224999999995</v>
      </c>
      <c r="P78" s="42"/>
      <c r="Q78" s="49"/>
      <c r="R78" s="50"/>
      <c r="S78" s="50"/>
      <c r="T78" s="51"/>
      <c r="U78" s="28">
        <f t="shared" si="10"/>
        <v>3.9127516778523504E-2</v>
      </c>
      <c r="V78" s="57">
        <f t="shared" si="11"/>
        <v>2.6460000000000036E-2</v>
      </c>
      <c r="W78" s="57">
        <f t="shared" si="12"/>
        <v>4.535000000000006E-3</v>
      </c>
      <c r="X78" s="56">
        <v>1000</v>
      </c>
      <c r="Y78" s="56">
        <v>600</v>
      </c>
    </row>
    <row r="79" spans="1:25" s="43" customFormat="1" x14ac:dyDescent="0.25">
      <c r="B79" s="44"/>
      <c r="C79" s="31">
        <v>581.75</v>
      </c>
      <c r="D79" s="32">
        <v>38.249000000000002</v>
      </c>
      <c r="E79" s="32">
        <v>44.712000000000003</v>
      </c>
      <c r="F79" s="32">
        <v>44.457000000000001</v>
      </c>
      <c r="G79" s="18">
        <v>3.63</v>
      </c>
      <c r="H79" s="45">
        <f t="shared" si="8"/>
        <v>39.832875000000001</v>
      </c>
      <c r="I79" s="42"/>
      <c r="J79" s="31">
        <v>301.02</v>
      </c>
      <c r="K79" s="32">
        <v>37.055</v>
      </c>
      <c r="L79" s="32">
        <v>44.780200000000001</v>
      </c>
      <c r="M79" s="32">
        <v>44.519500000000001</v>
      </c>
      <c r="N79" s="18">
        <v>4.2317999999999998</v>
      </c>
      <c r="O79" s="45">
        <f t="shared" si="9"/>
        <v>38.953712499999995</v>
      </c>
      <c r="P79" s="42"/>
      <c r="Q79" s="49"/>
      <c r="R79" s="50"/>
      <c r="S79" s="50"/>
      <c r="T79" s="51"/>
      <c r="U79" s="28">
        <f t="shared" si="10"/>
        <v>0.16578512396694212</v>
      </c>
      <c r="V79" s="57">
        <f t="shared" si="11"/>
        <v>3.0416666666666668E-2</v>
      </c>
      <c r="W79" s="57">
        <f t="shared" si="12"/>
        <v>3.3999999999999395E-3</v>
      </c>
      <c r="X79" s="56">
        <v>600</v>
      </c>
      <c r="Y79" s="56">
        <v>300</v>
      </c>
    </row>
    <row r="80" spans="1:25" s="43" customFormat="1" ht="16.5" thickBot="1" x14ac:dyDescent="0.3">
      <c r="B80" s="46"/>
      <c r="C80" s="33">
        <v>290</v>
      </c>
      <c r="D80" s="34">
        <v>34.728999999999999</v>
      </c>
      <c r="E80" s="34">
        <v>42.515000000000001</v>
      </c>
      <c r="F80" s="34">
        <v>42.235999999999997</v>
      </c>
      <c r="G80" s="20">
        <v>4.71</v>
      </c>
      <c r="H80" s="47">
        <f t="shared" si="8"/>
        <v>36.640625</v>
      </c>
      <c r="I80" s="42"/>
      <c r="J80" s="33">
        <v>200.1994</v>
      </c>
      <c r="K80" s="34">
        <v>35.544800000000002</v>
      </c>
      <c r="L80" s="34">
        <v>43.900399999999998</v>
      </c>
      <c r="M80" s="34">
        <v>43.605400000000003</v>
      </c>
      <c r="N80" s="20">
        <v>5.0961999999999996</v>
      </c>
      <c r="O80" s="47">
        <f t="shared" si="9"/>
        <v>37.596824999999995</v>
      </c>
      <c r="P80" s="42"/>
      <c r="Q80" s="52"/>
      <c r="R80" s="53"/>
      <c r="S80" s="53"/>
      <c r="T80" s="54"/>
      <c r="U80" s="28">
        <f t="shared" si="10"/>
        <v>8.1995753715498859E-2</v>
      </c>
      <c r="V80" s="57">
        <f t="shared" si="11"/>
        <v>3.3333333333333333E-2</v>
      </c>
      <c r="W80" s="57">
        <f t="shared" si="12"/>
        <v>9.9699999999998574E-4</v>
      </c>
      <c r="X80" s="56">
        <v>300</v>
      </c>
      <c r="Y80" s="56">
        <v>200</v>
      </c>
    </row>
    <row r="81" spans="2:25" s="43" customFormat="1" x14ac:dyDescent="0.25">
      <c r="B81" s="40" t="s">
        <v>83</v>
      </c>
      <c r="C81" s="15">
        <v>1501.08</v>
      </c>
      <c r="D81" s="16">
        <v>38.881999999999998</v>
      </c>
      <c r="E81" s="16">
        <v>47.072000000000003</v>
      </c>
      <c r="F81" s="16">
        <v>45.405000000000001</v>
      </c>
      <c r="G81" s="16">
        <v>2.59</v>
      </c>
      <c r="H81" s="41">
        <f t="shared" si="8"/>
        <v>40.721125000000001</v>
      </c>
      <c r="I81" s="42"/>
      <c r="J81" s="15">
        <v>1004.264</v>
      </c>
      <c r="K81" s="16">
        <v>37.988100000000003</v>
      </c>
      <c r="L81" s="16">
        <v>46.922199999999997</v>
      </c>
      <c r="M81" s="16">
        <v>45.333100000000002</v>
      </c>
      <c r="N81" s="16">
        <v>2.3847999999999998</v>
      </c>
      <c r="O81" s="41">
        <f t="shared" si="9"/>
        <v>40.022987499999999</v>
      </c>
      <c r="P81" s="42"/>
      <c r="Q81" s="8">
        <f>bdrate(C81:C84,D81:D84,J81:J84,K81:K84)</f>
        <v>-0.2857412919420621</v>
      </c>
      <c r="R81" s="8">
        <f>bdrate(C81:C84,E81:E84,J81:J84,L81:L84)</f>
        <v>-0.41004456004148693</v>
      </c>
      <c r="S81" s="8">
        <f>bdrate(C81:C84,F81:F84,J81:J84,M81:M84)</f>
        <v>-0.44380455668825569</v>
      </c>
      <c r="T81" s="25">
        <f>bdrate(C81:C84,H81:H84,J81:J84,O81:O84)</f>
        <v>-0.31326200428703743</v>
      </c>
      <c r="U81" s="28">
        <f t="shared" si="10"/>
        <v>-7.9227799227799253E-2</v>
      </c>
      <c r="V81" s="57">
        <f t="shared" si="11"/>
        <v>7.1999999999995147E-4</v>
      </c>
      <c r="W81" s="57">
        <f t="shared" si="12"/>
        <v>4.26400000000001E-3</v>
      </c>
      <c r="X81" s="56">
        <v>1500</v>
      </c>
      <c r="Y81" s="56">
        <v>1000</v>
      </c>
    </row>
    <row r="82" spans="2:25" s="43" customFormat="1" x14ac:dyDescent="0.25">
      <c r="B82" s="44"/>
      <c r="C82" s="17">
        <v>1001.7</v>
      </c>
      <c r="D82" s="18">
        <v>37.314</v>
      </c>
      <c r="E82" s="18">
        <v>46.064</v>
      </c>
      <c r="F82" s="18">
        <v>44.29</v>
      </c>
      <c r="G82" s="18">
        <v>2.98</v>
      </c>
      <c r="H82" s="45">
        <f t="shared" si="8"/>
        <v>39.279750000000007</v>
      </c>
      <c r="I82" s="42"/>
      <c r="J82" s="17">
        <v>603.16660000000002</v>
      </c>
      <c r="K82" s="18">
        <v>36.315800000000003</v>
      </c>
      <c r="L82" s="18">
        <v>45.933999999999997</v>
      </c>
      <c r="M82" s="18">
        <v>44.336300000000001</v>
      </c>
      <c r="N82" s="18">
        <v>2.9409000000000001</v>
      </c>
      <c r="O82" s="45">
        <f t="shared" si="9"/>
        <v>38.520637499999999</v>
      </c>
      <c r="P82" s="42"/>
      <c r="Q82" s="49"/>
      <c r="R82" s="50"/>
      <c r="S82" s="50"/>
      <c r="T82" s="51"/>
      <c r="U82" s="28">
        <f t="shared" si="10"/>
        <v>-1.3120805369127488E-2</v>
      </c>
      <c r="V82" s="57">
        <f t="shared" si="11"/>
        <v>1.7000000000000454E-3</v>
      </c>
      <c r="W82" s="57">
        <f t="shared" si="12"/>
        <v>5.2776666666666944E-3</v>
      </c>
      <c r="X82" s="56">
        <v>1000</v>
      </c>
      <c r="Y82" s="56">
        <v>600</v>
      </c>
    </row>
    <row r="83" spans="2:25" s="43" customFormat="1" x14ac:dyDescent="0.25">
      <c r="B83" s="44"/>
      <c r="C83" s="17">
        <v>600.91999999999996</v>
      </c>
      <c r="D83" s="18">
        <v>35.195</v>
      </c>
      <c r="E83" s="18">
        <v>44.634999999999998</v>
      </c>
      <c r="F83" s="18">
        <v>42.798000000000002</v>
      </c>
      <c r="G83" s="18">
        <v>3.55</v>
      </c>
      <c r="H83" s="45">
        <f t="shared" si="8"/>
        <v>37.325375000000001</v>
      </c>
      <c r="I83" s="42"/>
      <c r="J83" s="17">
        <v>301.23759999999999</v>
      </c>
      <c r="K83" s="18">
        <v>33.918500000000002</v>
      </c>
      <c r="L83" s="18">
        <v>44.397199999999998</v>
      </c>
      <c r="M83" s="18">
        <v>42.722099999999998</v>
      </c>
      <c r="N83" s="18">
        <v>4.0340999999999996</v>
      </c>
      <c r="O83" s="45">
        <f t="shared" si="9"/>
        <v>36.328787500000004</v>
      </c>
      <c r="P83" s="42"/>
      <c r="Q83" s="49"/>
      <c r="R83" s="50"/>
      <c r="S83" s="50"/>
      <c r="T83" s="51"/>
      <c r="U83" s="28">
        <f t="shared" si="10"/>
        <v>0.13636619718309853</v>
      </c>
      <c r="V83" s="57">
        <f t="shared" si="11"/>
        <v>1.5333333333332651E-3</v>
      </c>
      <c r="W83" s="57">
        <f t="shared" si="12"/>
        <v>4.1253333333332873E-3</v>
      </c>
      <c r="X83" s="56">
        <v>600</v>
      </c>
      <c r="Y83" s="56">
        <v>300</v>
      </c>
    </row>
    <row r="84" spans="2:25" s="43" customFormat="1" ht="16.5" thickBot="1" x14ac:dyDescent="0.3">
      <c r="B84" s="46"/>
      <c r="C84" s="19">
        <v>298.64999999999998</v>
      </c>
      <c r="D84" s="20">
        <v>31.690999999999999</v>
      </c>
      <c r="E84" s="20">
        <v>42.46</v>
      </c>
      <c r="F84" s="20">
        <v>40.662999999999997</v>
      </c>
      <c r="G84" s="20">
        <v>4.68</v>
      </c>
      <c r="H84" s="47">
        <f t="shared" si="8"/>
        <v>34.158625000000001</v>
      </c>
      <c r="I84" s="42"/>
      <c r="J84" s="19">
        <v>199.12039999999999</v>
      </c>
      <c r="K84" s="20">
        <v>32.370800000000003</v>
      </c>
      <c r="L84" s="20">
        <v>43.580500000000001</v>
      </c>
      <c r="M84" s="20">
        <v>41.849800000000002</v>
      </c>
      <c r="N84" s="20">
        <v>4.9454000000000002</v>
      </c>
      <c r="O84" s="47">
        <f t="shared" si="9"/>
        <v>34.956887500000001</v>
      </c>
      <c r="P84" s="42"/>
      <c r="Q84" s="52"/>
      <c r="R84" s="53"/>
      <c r="S84" s="53"/>
      <c r="T84" s="54"/>
      <c r="U84" s="28">
        <f t="shared" si="10"/>
        <v>5.6709401709401822E-2</v>
      </c>
      <c r="V84" s="57">
        <f t="shared" si="11"/>
        <v>4.500000000000076E-3</v>
      </c>
      <c r="W84" s="57">
        <f t="shared" si="12"/>
        <v>4.3980000000000529E-3</v>
      </c>
      <c r="X84" s="56">
        <v>300</v>
      </c>
      <c r="Y84" s="56">
        <v>200</v>
      </c>
    </row>
    <row r="85" spans="2:25" s="43" customFormat="1" x14ac:dyDescent="0.25">
      <c r="B85" s="40" t="s">
        <v>84</v>
      </c>
      <c r="C85" s="15">
        <v>1484.1</v>
      </c>
      <c r="D85" s="16">
        <v>37.838000000000001</v>
      </c>
      <c r="E85" s="16">
        <v>47.000999999999998</v>
      </c>
      <c r="F85" s="16">
        <v>45.366</v>
      </c>
      <c r="G85" s="16">
        <v>2.4900000000000002</v>
      </c>
      <c r="H85" s="41">
        <f t="shared" si="8"/>
        <v>39.924374999999998</v>
      </c>
      <c r="I85" s="42"/>
      <c r="J85" s="15">
        <v>1002.8824</v>
      </c>
      <c r="K85" s="16">
        <v>36.963500000000003</v>
      </c>
      <c r="L85" s="16">
        <v>46.7714</v>
      </c>
      <c r="M85" s="16">
        <v>45.259700000000002</v>
      </c>
      <c r="N85" s="16">
        <v>2.3056000000000001</v>
      </c>
      <c r="O85" s="41">
        <f t="shared" si="9"/>
        <v>39.226512500000005</v>
      </c>
      <c r="P85" s="42"/>
      <c r="Q85" s="8">
        <f>bdrate(C85:C88,D85:D88,J85:J88,K85:K88)</f>
        <v>-0.28267370713026541</v>
      </c>
      <c r="R85" s="8">
        <f>bdrate(C85:C88,E85:E88,J85:J88,L85:L88)</f>
        <v>-0.37076747465452986</v>
      </c>
      <c r="S85" s="8">
        <f>bdrate(C85:C88,F85:F88,J85:J88,M85:M88)</f>
        <v>-0.44553219724156201</v>
      </c>
      <c r="T85" s="25">
        <f>bdrate(C85:C88,H85:H88,J85:J88,O85:O88)</f>
        <v>-0.30738733094762338</v>
      </c>
      <c r="U85" s="28">
        <f t="shared" si="10"/>
        <v>-7.4056224899598441E-2</v>
      </c>
      <c r="V85" s="57">
        <f t="shared" si="11"/>
        <v>1.0600000000000061E-2</v>
      </c>
      <c r="W85" s="57">
        <f t="shared" si="12"/>
        <v>2.8823999999999616E-3</v>
      </c>
      <c r="X85" s="56">
        <v>1500</v>
      </c>
      <c r="Y85" s="56">
        <v>1000</v>
      </c>
    </row>
    <row r="86" spans="2:25" s="43" customFormat="1" x14ac:dyDescent="0.25">
      <c r="B86" s="44"/>
      <c r="C86" s="17">
        <v>988.38</v>
      </c>
      <c r="D86" s="18">
        <v>36.281999999999996</v>
      </c>
      <c r="E86" s="18">
        <v>46.036000000000001</v>
      </c>
      <c r="F86" s="18">
        <v>44.256999999999998</v>
      </c>
      <c r="G86" s="18">
        <v>2.85</v>
      </c>
      <c r="H86" s="45">
        <f t="shared" si="8"/>
        <v>38.498124999999995</v>
      </c>
      <c r="I86" s="42"/>
      <c r="J86" s="17">
        <v>601.41780000000006</v>
      </c>
      <c r="K86" s="18">
        <v>35.312800000000003</v>
      </c>
      <c r="L86" s="18">
        <v>45.779000000000003</v>
      </c>
      <c r="M86" s="18">
        <v>44.283999999999999</v>
      </c>
      <c r="N86" s="18">
        <v>2.8506999999999998</v>
      </c>
      <c r="O86" s="45">
        <f t="shared" si="9"/>
        <v>37.742474999999999</v>
      </c>
      <c r="P86" s="42"/>
      <c r="Q86" s="49"/>
      <c r="R86" s="50"/>
      <c r="S86" s="50"/>
      <c r="T86" s="51"/>
      <c r="U86" s="28">
        <f t="shared" si="10"/>
        <v>2.4561403508761436E-4</v>
      </c>
      <c r="V86" s="57">
        <f t="shared" si="11"/>
        <v>1.1620000000000005E-2</v>
      </c>
      <c r="W86" s="57">
        <f t="shared" si="12"/>
        <v>2.3630000000000942E-3</v>
      </c>
      <c r="X86" s="56">
        <v>1000</v>
      </c>
      <c r="Y86" s="56">
        <v>600</v>
      </c>
    </row>
    <row r="87" spans="2:25" s="43" customFormat="1" x14ac:dyDescent="0.25">
      <c r="B87" s="44"/>
      <c r="C87" s="17">
        <v>592.34</v>
      </c>
      <c r="D87" s="18">
        <v>34.189</v>
      </c>
      <c r="E87" s="18">
        <v>44.655999999999999</v>
      </c>
      <c r="F87" s="18">
        <v>42.737000000000002</v>
      </c>
      <c r="G87" s="18">
        <v>3.41</v>
      </c>
      <c r="H87" s="45">
        <f t="shared" si="8"/>
        <v>36.565875000000005</v>
      </c>
      <c r="I87" s="42"/>
      <c r="J87" s="17">
        <v>299.553</v>
      </c>
      <c r="K87" s="18">
        <v>32.984900000000003</v>
      </c>
      <c r="L87" s="18">
        <v>44.2712</v>
      </c>
      <c r="M87" s="18">
        <v>42.763800000000003</v>
      </c>
      <c r="N87" s="18">
        <v>3.9723000000000002</v>
      </c>
      <c r="O87" s="45">
        <f t="shared" si="9"/>
        <v>35.618049999999997</v>
      </c>
      <c r="P87" s="42"/>
      <c r="Q87" s="49"/>
      <c r="R87" s="50"/>
      <c r="S87" s="50"/>
      <c r="T87" s="51"/>
      <c r="U87" s="28">
        <f t="shared" si="10"/>
        <v>0.16489736070381231</v>
      </c>
      <c r="V87" s="57">
        <f t="shared" si="11"/>
        <v>1.2766666666666614E-2</v>
      </c>
      <c r="W87" s="57">
        <f t="shared" si="12"/>
        <v>1.4900000000000091E-3</v>
      </c>
      <c r="X87" s="56">
        <v>600</v>
      </c>
      <c r="Y87" s="56">
        <v>300</v>
      </c>
    </row>
    <row r="88" spans="2:25" s="43" customFormat="1" ht="16.5" thickBot="1" x14ac:dyDescent="0.3">
      <c r="B88" s="46"/>
      <c r="C88" s="19">
        <v>295.93</v>
      </c>
      <c r="D88" s="20">
        <v>30.812999999999999</v>
      </c>
      <c r="E88" s="20">
        <v>42.642000000000003</v>
      </c>
      <c r="F88" s="20">
        <v>40.604999999999997</v>
      </c>
      <c r="G88" s="20">
        <v>4.4800000000000004</v>
      </c>
      <c r="H88" s="47">
        <f t="shared" si="8"/>
        <v>33.515625</v>
      </c>
      <c r="I88" s="42"/>
      <c r="J88" s="19">
        <v>197.96270000000001</v>
      </c>
      <c r="K88" s="20">
        <v>31.506599999999999</v>
      </c>
      <c r="L88" s="20">
        <v>43.507399999999997</v>
      </c>
      <c r="M88" s="20">
        <v>41.909700000000001</v>
      </c>
      <c r="N88" s="20">
        <v>4.8048000000000002</v>
      </c>
      <c r="O88" s="47">
        <f t="shared" si="9"/>
        <v>34.307087500000002</v>
      </c>
      <c r="P88" s="42"/>
      <c r="Q88" s="52"/>
      <c r="R88" s="53"/>
      <c r="S88" s="53"/>
      <c r="T88" s="54"/>
      <c r="U88" s="28">
        <f t="shared" si="10"/>
        <v>7.2499999999999939E-2</v>
      </c>
      <c r="V88" s="57">
        <f t="shared" si="11"/>
        <v>1.3566666666666644E-2</v>
      </c>
      <c r="W88" s="57">
        <f t="shared" si="12"/>
        <v>1.0186499999999939E-2</v>
      </c>
      <c r="X88" s="56">
        <v>300</v>
      </c>
      <c r="Y88" s="56">
        <v>200</v>
      </c>
    </row>
    <row r="89" spans="2:25" s="43" customFormat="1" x14ac:dyDescent="0.25">
      <c r="B89" s="40" t="s">
        <v>85</v>
      </c>
      <c r="C89" s="15">
        <v>1497.01</v>
      </c>
      <c r="D89" s="16">
        <v>42.627000000000002</v>
      </c>
      <c r="E89" s="16">
        <v>48.960999999999999</v>
      </c>
      <c r="F89" s="16">
        <v>48.384999999999998</v>
      </c>
      <c r="G89" s="16">
        <v>2.96</v>
      </c>
      <c r="H89" s="41">
        <f t="shared" si="8"/>
        <v>44.138500000000001</v>
      </c>
      <c r="I89" s="42"/>
      <c r="J89" s="15">
        <v>1012.6316</v>
      </c>
      <c r="K89" s="16">
        <v>41.765099999999997</v>
      </c>
      <c r="L89" s="16">
        <v>48.883899999999997</v>
      </c>
      <c r="M89" s="16">
        <v>48.315300000000001</v>
      </c>
      <c r="N89" s="16">
        <v>2.7955000000000001</v>
      </c>
      <c r="O89" s="41">
        <f t="shared" si="9"/>
        <v>43.473724999999995</v>
      </c>
      <c r="P89" s="42"/>
      <c r="Q89" s="8">
        <f>bdrate(C89:C92,D89:D92,J89:J92,K89:K92)</f>
        <v>-0.24519891689228601</v>
      </c>
      <c r="R89" s="8">
        <f>bdrate(C89:C92,E89:E92,J89:J92,L89:L92)</f>
        <v>-0.43792014913888178</v>
      </c>
      <c r="S89" s="8">
        <f>bdrate(C89:C92,F89:F92,J89:J92,M89:M92)</f>
        <v>-0.45842827185954393</v>
      </c>
      <c r="T89" s="25">
        <f>bdrate(C89:C92,H89:H92,J89:J92,O89:O92)</f>
        <v>-0.28866309818563585</v>
      </c>
      <c r="U89" s="28">
        <f t="shared" si="10"/>
        <v>-5.5574324324324284E-2</v>
      </c>
      <c r="V89" s="57">
        <f t="shared" si="11"/>
        <v>1.9933333333333396E-3</v>
      </c>
      <c r="W89" s="57">
        <f t="shared" si="12"/>
        <v>1.2631600000000048E-2</v>
      </c>
      <c r="X89" s="56">
        <v>1500</v>
      </c>
      <c r="Y89" s="56">
        <v>1000</v>
      </c>
    </row>
    <row r="90" spans="2:25" s="43" customFormat="1" x14ac:dyDescent="0.25">
      <c r="B90" s="44"/>
      <c r="C90" s="17">
        <v>1000.28</v>
      </c>
      <c r="D90" s="18">
        <v>41.398000000000003</v>
      </c>
      <c r="E90" s="18">
        <v>48.234000000000002</v>
      </c>
      <c r="F90" s="18">
        <v>47.61</v>
      </c>
      <c r="G90" s="18">
        <v>3.41</v>
      </c>
      <c r="H90" s="45">
        <f t="shared" si="8"/>
        <v>43.029000000000003</v>
      </c>
      <c r="I90" s="42"/>
      <c r="J90" s="17">
        <v>608.98509999999999</v>
      </c>
      <c r="K90" s="18">
        <v>40.478499999999997</v>
      </c>
      <c r="L90" s="18">
        <v>48.164000000000001</v>
      </c>
      <c r="M90" s="18">
        <v>47.582900000000002</v>
      </c>
      <c r="N90" s="18">
        <v>3.4603999999999999</v>
      </c>
      <c r="O90" s="45">
        <f t="shared" si="9"/>
        <v>42.327237499999995</v>
      </c>
      <c r="P90" s="42"/>
      <c r="Q90" s="49"/>
      <c r="R90" s="50"/>
      <c r="S90" s="50"/>
      <c r="T90" s="51"/>
      <c r="U90" s="28">
        <f t="shared" si="10"/>
        <v>1.4780058651026327E-2</v>
      </c>
      <c r="V90" s="57">
        <f t="shared" si="11"/>
        <v>2.7999999999997271E-4</v>
      </c>
      <c r="W90" s="57">
        <f t="shared" si="12"/>
        <v>1.4975166666666647E-2</v>
      </c>
      <c r="X90" s="56">
        <v>1000</v>
      </c>
      <c r="Y90" s="56">
        <v>600</v>
      </c>
    </row>
    <row r="91" spans="2:25" s="43" customFormat="1" x14ac:dyDescent="0.25">
      <c r="B91" s="44"/>
      <c r="C91" s="17">
        <v>599.25</v>
      </c>
      <c r="D91" s="18">
        <v>39.813000000000002</v>
      </c>
      <c r="E91" s="18">
        <v>47.072000000000003</v>
      </c>
      <c r="F91" s="18">
        <v>46.351999999999997</v>
      </c>
      <c r="G91" s="18">
        <v>4.0599999999999996</v>
      </c>
      <c r="H91" s="45">
        <f t="shared" si="8"/>
        <v>41.537750000000003</v>
      </c>
      <c r="I91" s="42"/>
      <c r="J91" s="17">
        <v>300.18799999999999</v>
      </c>
      <c r="K91" s="18">
        <v>38.710999999999999</v>
      </c>
      <c r="L91" s="18">
        <v>47.047199999999997</v>
      </c>
      <c r="M91" s="18">
        <v>46.464399999999998</v>
      </c>
      <c r="N91" s="18">
        <v>4.6513999999999998</v>
      </c>
      <c r="O91" s="45">
        <f t="shared" si="9"/>
        <v>40.722200000000001</v>
      </c>
      <c r="P91" s="42"/>
      <c r="Q91" s="49"/>
      <c r="R91" s="50"/>
      <c r="S91" s="50"/>
      <c r="T91" s="51"/>
      <c r="U91" s="28">
        <f t="shared" si="10"/>
        <v>0.14566502463054193</v>
      </c>
      <c r="V91" s="57">
        <f t="shared" si="11"/>
        <v>1.25E-3</v>
      </c>
      <c r="W91" s="57">
        <f t="shared" si="12"/>
        <v>6.2666666666662729E-4</v>
      </c>
      <c r="X91" s="56">
        <v>600</v>
      </c>
      <c r="Y91" s="56">
        <v>300</v>
      </c>
    </row>
    <row r="92" spans="2:25" s="43" customFormat="1" ht="16.5" thickBot="1" x14ac:dyDescent="0.3">
      <c r="B92" s="46"/>
      <c r="C92" s="19">
        <v>299.89999999999998</v>
      </c>
      <c r="D92" s="20">
        <v>37.293999999999997</v>
      </c>
      <c r="E92" s="20">
        <v>45.212000000000003</v>
      </c>
      <c r="F92" s="20">
        <v>44.548000000000002</v>
      </c>
      <c r="G92" s="20">
        <v>5.2</v>
      </c>
      <c r="H92" s="47">
        <f t="shared" si="8"/>
        <v>39.1905</v>
      </c>
      <c r="I92" s="42"/>
      <c r="J92" s="19">
        <v>196.08680000000001</v>
      </c>
      <c r="K92" s="20">
        <v>37.534300000000002</v>
      </c>
      <c r="L92" s="20">
        <v>46.268099999999997</v>
      </c>
      <c r="M92" s="20">
        <v>45.6631</v>
      </c>
      <c r="N92" s="20">
        <v>5.6379000000000001</v>
      </c>
      <c r="O92" s="47">
        <f t="shared" si="9"/>
        <v>39.642125</v>
      </c>
      <c r="P92" s="42"/>
      <c r="Q92" s="52"/>
      <c r="R92" s="53"/>
      <c r="S92" s="53"/>
      <c r="T92" s="54"/>
      <c r="U92" s="28">
        <f t="shared" si="10"/>
        <v>8.4211538461538449E-2</v>
      </c>
      <c r="V92" s="57">
        <f t="shared" si="11"/>
        <v>3.3333333333340911E-4</v>
      </c>
      <c r="W92" s="57">
        <f t="shared" si="12"/>
        <v>1.9565999999999945E-2</v>
      </c>
      <c r="X92" s="56">
        <v>300</v>
      </c>
      <c r="Y92" s="56">
        <v>200</v>
      </c>
    </row>
    <row r="93" spans="2:25" s="43" customFormat="1" x14ac:dyDescent="0.25">
      <c r="B93" s="40" t="s">
        <v>86</v>
      </c>
      <c r="C93" s="15">
        <v>1480.43</v>
      </c>
      <c r="D93" s="16">
        <v>42.512</v>
      </c>
      <c r="E93" s="16">
        <v>49.643999999999998</v>
      </c>
      <c r="F93" s="16">
        <v>49.548999999999999</v>
      </c>
      <c r="G93" s="16">
        <v>2.9</v>
      </c>
      <c r="H93" s="41">
        <f t="shared" si="8"/>
        <v>44.283124999999998</v>
      </c>
      <c r="I93" s="42"/>
      <c r="J93" s="15">
        <v>1007.6693</v>
      </c>
      <c r="K93" s="16">
        <v>42.136800000000001</v>
      </c>
      <c r="L93" s="16">
        <v>49.776299999999999</v>
      </c>
      <c r="M93" s="16">
        <v>49.488</v>
      </c>
      <c r="N93" s="16">
        <v>3.2946</v>
      </c>
      <c r="O93" s="41">
        <f t="shared" si="9"/>
        <v>44.010637500000001</v>
      </c>
      <c r="P93" s="42"/>
      <c r="Q93" s="8">
        <f>bdrate(C93:C96,D93:D96,J93:J96,K93:K96)</f>
        <v>-0.33816040808384706</v>
      </c>
      <c r="R93" s="8">
        <f>bdrate(C93:C96,E93:E96,J93:J96,L93:L96)</f>
        <v>-0.5377077199513649</v>
      </c>
      <c r="S93" s="8">
        <f>bdrate(C93:C96,F93:F96,J93:J96,M93:M96)</f>
        <v>-0.44041806888824986</v>
      </c>
      <c r="T93" s="25">
        <f>bdrate(C93:C96,H93:H96,J93:J96,O93:O96)</f>
        <v>-0.36778662625687863</v>
      </c>
      <c r="U93" s="28">
        <f t="shared" si="10"/>
        <v>0.1360689655172414</v>
      </c>
      <c r="V93" s="57">
        <f t="shared" si="11"/>
        <v>1.3046666666666625E-2</v>
      </c>
      <c r="W93" s="57">
        <f t="shared" si="12"/>
        <v>7.6693000000000212E-3</v>
      </c>
      <c r="X93" s="56">
        <v>1500</v>
      </c>
      <c r="Y93" s="56">
        <v>1000</v>
      </c>
    </row>
    <row r="94" spans="2:25" s="43" customFormat="1" x14ac:dyDescent="0.25">
      <c r="B94" s="44"/>
      <c r="C94" s="17">
        <v>983.53</v>
      </c>
      <c r="D94" s="18">
        <v>41.64</v>
      </c>
      <c r="E94" s="18">
        <v>49.101999999999997</v>
      </c>
      <c r="F94" s="18">
        <v>49.104999999999997</v>
      </c>
      <c r="G94" s="18">
        <v>3.32</v>
      </c>
      <c r="H94" s="45">
        <f t="shared" si="8"/>
        <v>43.505875000000003</v>
      </c>
      <c r="I94" s="42"/>
      <c r="J94" s="17">
        <v>603.68269999999995</v>
      </c>
      <c r="K94" s="18">
        <v>41.296100000000003</v>
      </c>
      <c r="L94" s="18">
        <v>49.295999999999999</v>
      </c>
      <c r="M94" s="18">
        <v>49.041899999999998</v>
      </c>
      <c r="N94" s="18">
        <v>4.1798999999999999</v>
      </c>
      <c r="O94" s="45">
        <f t="shared" si="9"/>
        <v>43.264312500000003</v>
      </c>
      <c r="P94" s="42"/>
      <c r="Q94" s="49"/>
      <c r="R94" s="50"/>
      <c r="S94" s="50"/>
      <c r="T94" s="51"/>
      <c r="U94" s="28">
        <f t="shared" si="10"/>
        <v>0.25900602409638557</v>
      </c>
      <c r="V94" s="57">
        <f t="shared" si="11"/>
        <v>1.6470000000000026E-2</v>
      </c>
      <c r="W94" s="57">
        <f t="shared" si="12"/>
        <v>6.1378333333332574E-3</v>
      </c>
      <c r="X94" s="56">
        <v>1000</v>
      </c>
      <c r="Y94" s="56">
        <v>600</v>
      </c>
    </row>
    <row r="95" spans="2:25" s="43" customFormat="1" x14ac:dyDescent="0.25">
      <c r="B95" s="44"/>
      <c r="C95" s="17">
        <v>587.65</v>
      </c>
      <c r="D95" s="18">
        <v>40.552</v>
      </c>
      <c r="E95" s="18">
        <v>48.33</v>
      </c>
      <c r="F95" s="18">
        <v>48.465000000000003</v>
      </c>
      <c r="G95" s="18">
        <v>3.99</v>
      </c>
      <c r="H95" s="45">
        <f t="shared" si="8"/>
        <v>42.513374999999996</v>
      </c>
      <c r="I95" s="42"/>
      <c r="J95" s="17">
        <v>290.47859999999997</v>
      </c>
      <c r="K95" s="18">
        <v>40.056100000000001</v>
      </c>
      <c r="L95" s="18">
        <v>48.5518</v>
      </c>
      <c r="M95" s="18">
        <v>48.449599999999997</v>
      </c>
      <c r="N95" s="18">
        <v>5.8276000000000003</v>
      </c>
      <c r="O95" s="45">
        <f t="shared" si="9"/>
        <v>42.167249999999996</v>
      </c>
      <c r="P95" s="42"/>
      <c r="Q95" s="49"/>
      <c r="R95" s="50"/>
      <c r="S95" s="50"/>
      <c r="T95" s="51"/>
      <c r="U95" s="28">
        <f t="shared" si="10"/>
        <v>0.46055137844611527</v>
      </c>
      <c r="V95" s="57">
        <f t="shared" si="11"/>
        <v>2.058333333333337E-2</v>
      </c>
      <c r="W95" s="57">
        <f t="shared" si="12"/>
        <v>3.1738000000000093E-2</v>
      </c>
      <c r="X95" s="56">
        <v>600</v>
      </c>
      <c r="Y95" s="56">
        <v>300</v>
      </c>
    </row>
    <row r="96" spans="2:25" s="43" customFormat="1" ht="16.5" thickBot="1" x14ac:dyDescent="0.3">
      <c r="B96" s="46"/>
      <c r="C96" s="19">
        <v>289.82</v>
      </c>
      <c r="D96" s="20">
        <v>38.81</v>
      </c>
      <c r="E96" s="20">
        <v>46.887999999999998</v>
      </c>
      <c r="F96" s="20">
        <v>47.341999999999999</v>
      </c>
      <c r="G96" s="20">
        <v>5.04</v>
      </c>
      <c r="H96" s="47">
        <f t="shared" ref="H96:H116" si="13">(6*D96+E96+F96)/8</f>
        <v>40.886249999999997</v>
      </c>
      <c r="I96" s="42"/>
      <c r="J96" s="19">
        <v>175.4041</v>
      </c>
      <c r="K96" s="20">
        <v>39.105200000000004</v>
      </c>
      <c r="L96" s="20">
        <v>47.889200000000002</v>
      </c>
      <c r="M96" s="20">
        <v>47.908700000000003</v>
      </c>
      <c r="N96" s="20">
        <v>7.1970999999999998</v>
      </c>
      <c r="O96" s="47">
        <f t="shared" ref="O96:O116" si="14">(6*K96+L96+M96)/8</f>
        <v>41.303637500000008</v>
      </c>
      <c r="P96" s="42"/>
      <c r="Q96" s="52"/>
      <c r="R96" s="53"/>
      <c r="S96" s="53"/>
      <c r="T96" s="54"/>
      <c r="U96" s="28">
        <f t="shared" ref="U96:U116" si="15">(N96-G96)/G96</f>
        <v>0.42799603174603168</v>
      </c>
      <c r="V96" s="57">
        <f t="shared" si="11"/>
        <v>3.3933333333333357E-2</v>
      </c>
      <c r="W96" s="57">
        <f t="shared" si="12"/>
        <v>0.12297950000000001</v>
      </c>
      <c r="X96" s="56">
        <v>300</v>
      </c>
      <c r="Y96" s="56">
        <v>200</v>
      </c>
    </row>
    <row r="97" spans="2:25" s="43" customFormat="1" x14ac:dyDescent="0.25">
      <c r="B97" s="40" t="s">
        <v>87</v>
      </c>
      <c r="C97" s="15">
        <v>1475.02</v>
      </c>
      <c r="D97" s="16">
        <v>43.933999999999997</v>
      </c>
      <c r="E97" s="16">
        <v>51.683999999999997</v>
      </c>
      <c r="F97" s="16">
        <v>51.447000000000003</v>
      </c>
      <c r="G97" s="16">
        <v>2.6</v>
      </c>
      <c r="H97" s="41">
        <f t="shared" si="13"/>
        <v>45.841875000000002</v>
      </c>
      <c r="I97" s="42"/>
      <c r="J97" s="15">
        <v>1003.6165</v>
      </c>
      <c r="K97" s="16">
        <v>43.156199999999998</v>
      </c>
      <c r="L97" s="16">
        <v>51.392899999999997</v>
      </c>
      <c r="M97" s="16">
        <v>51.212800000000001</v>
      </c>
      <c r="N97" s="16">
        <v>2.9479000000000002</v>
      </c>
      <c r="O97" s="41">
        <f t="shared" si="14"/>
        <v>45.192862499999997</v>
      </c>
      <c r="P97" s="42"/>
      <c r="Q97" s="8">
        <f>bdrate(C97:C100,D97:D100,J97:J100,K97:K100)</f>
        <v>-0.23317629597548861</v>
      </c>
      <c r="R97" s="8">
        <f>bdrate(C97:C100,E97:E100,J97:J100,L97:L100)</f>
        <v>-0.47342546183578837</v>
      </c>
      <c r="S97" s="8">
        <f>bdrate(C97:C100,F97:F100,J97:J100,M97:M100)</f>
        <v>-0.47820452309146222</v>
      </c>
      <c r="T97" s="25">
        <f>bdrate(C97:C100,H97:H100,J97:J100,O97:O100)</f>
        <v>-0.2930497130797014</v>
      </c>
      <c r="U97" s="28">
        <f t="shared" si="15"/>
        <v>0.13380769230769235</v>
      </c>
      <c r="V97" s="57">
        <f t="shared" si="11"/>
        <v>1.6653333333333346E-2</v>
      </c>
      <c r="W97" s="57">
        <f t="shared" si="12"/>
        <v>3.6164999999999735E-3</v>
      </c>
      <c r="X97" s="56">
        <v>1500</v>
      </c>
      <c r="Y97" s="56">
        <v>1000</v>
      </c>
    </row>
    <row r="98" spans="2:25" s="43" customFormat="1" x14ac:dyDescent="0.25">
      <c r="B98" s="44"/>
      <c r="C98" s="17">
        <v>974.96</v>
      </c>
      <c r="D98" s="18">
        <v>42.912999999999997</v>
      </c>
      <c r="E98" s="18">
        <v>50.722000000000001</v>
      </c>
      <c r="F98" s="18">
        <v>50.5</v>
      </c>
      <c r="G98" s="18">
        <v>3.07</v>
      </c>
      <c r="H98" s="45">
        <f t="shared" si="13"/>
        <v>44.837499999999991</v>
      </c>
      <c r="I98" s="42"/>
      <c r="J98" s="17">
        <v>601.27940000000001</v>
      </c>
      <c r="K98" s="18">
        <v>42.186599999999999</v>
      </c>
      <c r="L98" s="18">
        <v>50.792499999999997</v>
      </c>
      <c r="M98" s="18">
        <v>50.606499999999997</v>
      </c>
      <c r="N98" s="18">
        <v>3.7456999999999998</v>
      </c>
      <c r="O98" s="45">
        <f t="shared" si="14"/>
        <v>44.314824999999999</v>
      </c>
      <c r="P98" s="42"/>
      <c r="Q98" s="49"/>
      <c r="R98" s="50"/>
      <c r="S98" s="50"/>
      <c r="T98" s="51"/>
      <c r="U98" s="28">
        <f t="shared" si="15"/>
        <v>0.22009771986970683</v>
      </c>
      <c r="V98" s="57">
        <f t="shared" si="11"/>
        <v>2.5039999999999965E-2</v>
      </c>
      <c r="W98" s="57">
        <f t="shared" si="12"/>
        <v>2.1323333333333493E-3</v>
      </c>
      <c r="X98" s="56">
        <v>1000</v>
      </c>
      <c r="Y98" s="56">
        <v>600</v>
      </c>
    </row>
    <row r="99" spans="2:25" s="43" customFormat="1" x14ac:dyDescent="0.25">
      <c r="B99" s="44"/>
      <c r="C99" s="17">
        <v>579.24</v>
      </c>
      <c r="D99" s="18">
        <v>41.707000000000001</v>
      </c>
      <c r="E99" s="18">
        <v>49.805999999999997</v>
      </c>
      <c r="F99" s="18">
        <v>49.564</v>
      </c>
      <c r="G99" s="18">
        <v>3.71</v>
      </c>
      <c r="H99" s="45">
        <f t="shared" si="13"/>
        <v>43.701500000000003</v>
      </c>
      <c r="I99" s="42"/>
      <c r="J99" s="17">
        <v>296.41219999999998</v>
      </c>
      <c r="K99" s="18">
        <v>41.016599999999997</v>
      </c>
      <c r="L99" s="18">
        <v>50.060400000000001</v>
      </c>
      <c r="M99" s="18">
        <v>49.819400000000002</v>
      </c>
      <c r="N99" s="18">
        <v>5.1094999999999997</v>
      </c>
      <c r="O99" s="45">
        <f t="shared" si="14"/>
        <v>43.247424999999993</v>
      </c>
      <c r="P99" s="42"/>
      <c r="Q99" s="49"/>
      <c r="R99" s="50"/>
      <c r="S99" s="50"/>
      <c r="T99" s="51"/>
      <c r="U99" s="28">
        <f t="shared" si="15"/>
        <v>0.37722371967654977</v>
      </c>
      <c r="V99" s="57">
        <f t="shared" si="11"/>
        <v>3.4599999999999985E-2</v>
      </c>
      <c r="W99" s="57">
        <f t="shared" si="12"/>
        <v>1.1959333333333386E-2</v>
      </c>
      <c r="X99" s="56">
        <v>600</v>
      </c>
      <c r="Y99" s="56">
        <v>300</v>
      </c>
    </row>
    <row r="100" spans="2:25" s="43" customFormat="1" ht="16.5" thickBot="1" x14ac:dyDescent="0.3">
      <c r="B100" s="46"/>
      <c r="C100" s="19">
        <v>283.06</v>
      </c>
      <c r="D100" s="20">
        <v>39.950000000000003</v>
      </c>
      <c r="E100" s="20">
        <v>48.115000000000002</v>
      </c>
      <c r="F100" s="20">
        <v>47.951000000000001</v>
      </c>
      <c r="G100" s="20">
        <v>4.79</v>
      </c>
      <c r="H100" s="47">
        <f t="shared" si="13"/>
        <v>41.970750000000002</v>
      </c>
      <c r="I100" s="42"/>
      <c r="J100" s="19">
        <v>191.08070000000001</v>
      </c>
      <c r="K100" s="20">
        <v>40.277900000000002</v>
      </c>
      <c r="L100" s="20">
        <v>49.563099999999999</v>
      </c>
      <c r="M100" s="20">
        <v>49.323999999999998</v>
      </c>
      <c r="N100" s="20">
        <v>6.165</v>
      </c>
      <c r="O100" s="47">
        <f t="shared" si="14"/>
        <v>42.569312500000002</v>
      </c>
      <c r="P100" s="42"/>
      <c r="Q100" s="52"/>
      <c r="R100" s="53"/>
      <c r="S100" s="53"/>
      <c r="T100" s="54"/>
      <c r="U100" s="28">
        <f t="shared" si="15"/>
        <v>0.28705636743215029</v>
      </c>
      <c r="V100" s="57">
        <f t="shared" si="11"/>
        <v>5.6466666666666658E-2</v>
      </c>
      <c r="W100" s="57">
        <f t="shared" si="12"/>
        <v>4.4596499999999963E-2</v>
      </c>
      <c r="X100" s="56">
        <v>300</v>
      </c>
      <c r="Y100" s="56">
        <v>200</v>
      </c>
    </row>
    <row r="101" spans="2:25" s="43" customFormat="1" x14ac:dyDescent="0.25">
      <c r="B101" s="40" t="s">
        <v>88</v>
      </c>
      <c r="C101" s="15">
        <v>1477.88</v>
      </c>
      <c r="D101" s="16">
        <v>44.347999999999999</v>
      </c>
      <c r="E101" s="16">
        <v>52.048999999999999</v>
      </c>
      <c r="F101" s="16">
        <v>52.095999999999997</v>
      </c>
      <c r="G101" s="16">
        <v>3.09</v>
      </c>
      <c r="H101" s="41">
        <f t="shared" si="13"/>
        <v>46.279124999999993</v>
      </c>
      <c r="I101" s="42"/>
      <c r="J101" s="15">
        <v>1011.3742</v>
      </c>
      <c r="K101" s="16">
        <v>43.693100000000001</v>
      </c>
      <c r="L101" s="16">
        <v>52.123399999999997</v>
      </c>
      <c r="M101" s="16">
        <v>52.231499999999997</v>
      </c>
      <c r="N101" s="16">
        <v>3.4912999999999998</v>
      </c>
      <c r="O101" s="41">
        <f t="shared" si="14"/>
        <v>45.814187499999996</v>
      </c>
      <c r="P101" s="42"/>
      <c r="Q101" s="8">
        <f>bdrate(C101:C104,D101:D104,J101:J104,K101:K104)</f>
        <v>-0.24194587687477742</v>
      </c>
      <c r="R101" s="8">
        <f>bdrate(C101:C104,E101:E104,J101:J104,L101:L104)</f>
        <v>-0.41792525950693205</v>
      </c>
      <c r="S101" s="8">
        <f>bdrate(C101:C104,F101:F104,J101:J104,M101:M104)</f>
        <v>-0.45655777442358836</v>
      </c>
      <c r="T101" s="25">
        <f>bdrate(C101:C104,H101:H104,J101:J104,O101:O104)</f>
        <v>-0.28057818240836385</v>
      </c>
      <c r="U101" s="28">
        <f t="shared" si="15"/>
        <v>0.12987055016181229</v>
      </c>
      <c r="V101" s="57">
        <f t="shared" si="11"/>
        <v>1.4746666666666594E-2</v>
      </c>
      <c r="W101" s="57">
        <f t="shared" si="12"/>
        <v>1.1374199999999973E-2</v>
      </c>
      <c r="X101" s="56">
        <v>1500</v>
      </c>
      <c r="Y101" s="56">
        <v>1000</v>
      </c>
    </row>
    <row r="102" spans="2:25" s="43" customFormat="1" x14ac:dyDescent="0.25">
      <c r="B102" s="44"/>
      <c r="C102" s="17">
        <v>980.29</v>
      </c>
      <c r="D102" s="18">
        <v>43.113</v>
      </c>
      <c r="E102" s="18">
        <v>51.439</v>
      </c>
      <c r="F102" s="18">
        <v>51.438000000000002</v>
      </c>
      <c r="G102" s="18">
        <v>3.62</v>
      </c>
      <c r="H102" s="45">
        <f t="shared" si="13"/>
        <v>45.194375000000001</v>
      </c>
      <c r="I102" s="42"/>
      <c r="J102" s="17">
        <v>606.06029999999998</v>
      </c>
      <c r="K102" s="18">
        <v>42.307499999999997</v>
      </c>
      <c r="L102" s="18">
        <v>51.369100000000003</v>
      </c>
      <c r="M102" s="18">
        <v>51.473100000000002</v>
      </c>
      <c r="N102" s="18">
        <v>4.2584999999999997</v>
      </c>
      <c r="O102" s="45">
        <f t="shared" si="14"/>
        <v>44.585899999999995</v>
      </c>
      <c r="P102" s="42"/>
      <c r="Q102" s="49"/>
      <c r="R102" s="50"/>
      <c r="S102" s="50"/>
      <c r="T102" s="51"/>
      <c r="U102" s="28">
        <f t="shared" si="15"/>
        <v>0.17638121546961316</v>
      </c>
      <c r="V102" s="57">
        <f t="shared" si="11"/>
        <v>1.9710000000000037E-2</v>
      </c>
      <c r="W102" s="57">
        <f t="shared" si="12"/>
        <v>1.0100499999999972E-2</v>
      </c>
      <c r="X102" s="56">
        <v>1000</v>
      </c>
      <c r="Y102" s="56">
        <v>600</v>
      </c>
    </row>
    <row r="103" spans="2:25" s="43" customFormat="1" x14ac:dyDescent="0.25">
      <c r="B103" s="44"/>
      <c r="C103" s="17">
        <v>584.89</v>
      </c>
      <c r="D103" s="18">
        <v>41.482999999999997</v>
      </c>
      <c r="E103" s="18">
        <v>50.418999999999997</v>
      </c>
      <c r="F103" s="18">
        <v>50.314</v>
      </c>
      <c r="G103" s="18">
        <v>4.2300000000000004</v>
      </c>
      <c r="H103" s="45">
        <f t="shared" si="13"/>
        <v>43.703874999999996</v>
      </c>
      <c r="I103" s="42"/>
      <c r="J103" s="17">
        <v>302.28039999999999</v>
      </c>
      <c r="K103" s="18">
        <v>40.3812</v>
      </c>
      <c r="L103" s="18">
        <v>50.292900000000003</v>
      </c>
      <c r="M103" s="18">
        <v>50.373199999999997</v>
      </c>
      <c r="N103" s="18">
        <v>5.4474</v>
      </c>
      <c r="O103" s="45">
        <f t="shared" si="14"/>
        <v>42.869162500000002</v>
      </c>
      <c r="P103" s="42"/>
      <c r="Q103" s="49"/>
      <c r="R103" s="50"/>
      <c r="S103" s="50"/>
      <c r="T103" s="51"/>
      <c r="U103" s="28">
        <f t="shared" si="15"/>
        <v>0.28780141843971618</v>
      </c>
      <c r="V103" s="57">
        <f t="shared" si="11"/>
        <v>2.5183333333333356E-2</v>
      </c>
      <c r="W103" s="57">
        <f t="shared" si="12"/>
        <v>7.6013333333332864E-3</v>
      </c>
      <c r="X103" s="56">
        <v>600</v>
      </c>
      <c r="Y103" s="56">
        <v>300</v>
      </c>
    </row>
    <row r="104" spans="2:25" s="43" customFormat="1" ht="16.5" thickBot="1" x14ac:dyDescent="0.3">
      <c r="B104" s="46"/>
      <c r="C104" s="19">
        <v>290.27999999999997</v>
      </c>
      <c r="D104" s="20">
        <v>39.015000000000001</v>
      </c>
      <c r="E104" s="20">
        <v>48.395000000000003</v>
      </c>
      <c r="F104" s="20">
        <v>48.454000000000001</v>
      </c>
      <c r="G104" s="20">
        <v>5.35</v>
      </c>
      <c r="H104" s="47">
        <f t="shared" si="13"/>
        <v>41.367375000000003</v>
      </c>
      <c r="I104" s="42"/>
      <c r="J104" s="19">
        <v>197.3621</v>
      </c>
      <c r="K104" s="20">
        <v>39.156799999999997</v>
      </c>
      <c r="L104" s="20">
        <v>49.353900000000003</v>
      </c>
      <c r="M104" s="20">
        <v>49.5657</v>
      </c>
      <c r="N104" s="20">
        <v>6.3651999999999997</v>
      </c>
      <c r="O104" s="47">
        <f t="shared" si="14"/>
        <v>41.732549999999996</v>
      </c>
      <c r="P104" s="42"/>
      <c r="Q104" s="52"/>
      <c r="R104" s="53"/>
      <c r="S104" s="53"/>
      <c r="T104" s="54"/>
      <c r="U104" s="28">
        <f t="shared" si="15"/>
        <v>0.18975700934579443</v>
      </c>
      <c r="V104" s="57">
        <f t="shared" si="11"/>
        <v>3.2400000000000088E-2</v>
      </c>
      <c r="W104" s="57">
        <f t="shared" si="12"/>
        <v>1.318950000000001E-2</v>
      </c>
      <c r="X104" s="56">
        <v>300</v>
      </c>
      <c r="Y104" s="56">
        <v>200</v>
      </c>
    </row>
    <row r="105" spans="2:25" s="43" customFormat="1" x14ac:dyDescent="0.25">
      <c r="B105" s="40" t="s">
        <v>89</v>
      </c>
      <c r="C105" s="15">
        <v>1494.31</v>
      </c>
      <c r="D105" s="16">
        <v>42.566000000000003</v>
      </c>
      <c r="E105" s="16">
        <v>49.94</v>
      </c>
      <c r="F105" s="16">
        <v>50.648000000000003</v>
      </c>
      <c r="G105" s="16">
        <v>2.92</v>
      </c>
      <c r="H105" s="41">
        <f t="shared" si="13"/>
        <v>44.498000000000005</v>
      </c>
      <c r="I105" s="42"/>
      <c r="J105" s="15">
        <v>1006.4945</v>
      </c>
      <c r="K105" s="16">
        <v>42.057600000000001</v>
      </c>
      <c r="L105" s="16">
        <v>50.037199999999999</v>
      </c>
      <c r="M105" s="16">
        <v>50.808199999999999</v>
      </c>
      <c r="N105" s="16">
        <v>3.0548000000000002</v>
      </c>
      <c r="O105" s="41">
        <f t="shared" si="14"/>
        <v>44.148874999999997</v>
      </c>
      <c r="P105" s="42"/>
      <c r="Q105" s="8">
        <f>bdrate(C105:C108,D105:D108,J105:J108,K105:K108)</f>
        <v>-0.31581283288983741</v>
      </c>
      <c r="R105" s="8">
        <f>bdrate(C105:C108,E105:E108,J105:J108,L105:L108)</f>
        <v>-0.49114055709445603</v>
      </c>
      <c r="S105" s="8">
        <f>bdrate(C105:C108,F105:F108,J105:J108,M105:M108)</f>
        <v>-0.50511423484108287</v>
      </c>
      <c r="T105" s="25">
        <f>bdrate(C105:C108,H105:H108,J105:J108,O105:O108)</f>
        <v>-0.35601168999830335</v>
      </c>
      <c r="U105" s="28">
        <f t="shared" si="15"/>
        <v>4.6164383561643922E-2</v>
      </c>
      <c r="V105" s="57">
        <f t="shared" si="11"/>
        <v>3.7933333333333699E-3</v>
      </c>
      <c r="W105" s="57">
        <f t="shared" si="12"/>
        <v>6.4945000000000168E-3</v>
      </c>
      <c r="X105" s="56">
        <v>1500</v>
      </c>
      <c r="Y105" s="56">
        <v>1000</v>
      </c>
    </row>
    <row r="106" spans="2:25" s="43" customFormat="1" x14ac:dyDescent="0.25">
      <c r="B106" s="44"/>
      <c r="C106" s="17">
        <v>996.46</v>
      </c>
      <c r="D106" s="18">
        <v>41.615000000000002</v>
      </c>
      <c r="E106" s="18">
        <v>49.313000000000002</v>
      </c>
      <c r="F106" s="18">
        <v>50.085999999999999</v>
      </c>
      <c r="G106" s="18">
        <v>3.4</v>
      </c>
      <c r="H106" s="45">
        <f t="shared" si="13"/>
        <v>43.636125</v>
      </c>
      <c r="I106" s="42"/>
      <c r="J106" s="17">
        <v>603.23839999999996</v>
      </c>
      <c r="K106" s="18">
        <v>41.131300000000003</v>
      </c>
      <c r="L106" s="18">
        <v>49.441000000000003</v>
      </c>
      <c r="M106" s="18">
        <v>50.241399999999999</v>
      </c>
      <c r="N106" s="18">
        <v>3.8262999999999998</v>
      </c>
      <c r="O106" s="45">
        <f t="shared" si="14"/>
        <v>43.308774999999997</v>
      </c>
      <c r="P106" s="42"/>
      <c r="Q106" s="49"/>
      <c r="R106" s="50"/>
      <c r="S106" s="50"/>
      <c r="T106" s="51"/>
      <c r="U106" s="28">
        <f t="shared" si="15"/>
        <v>0.12538235294117644</v>
      </c>
      <c r="V106" s="57">
        <f t="shared" si="11"/>
        <v>3.5399999999999637E-3</v>
      </c>
      <c r="W106" s="57">
        <f t="shared" si="12"/>
        <v>5.3973333333332601E-3</v>
      </c>
      <c r="X106" s="56">
        <v>1000</v>
      </c>
      <c r="Y106" s="56">
        <v>600</v>
      </c>
    </row>
    <row r="107" spans="2:25" s="43" customFormat="1" x14ac:dyDescent="0.25">
      <c r="B107" s="44"/>
      <c r="C107" s="17">
        <v>598.29</v>
      </c>
      <c r="D107" s="18">
        <v>40.454999999999998</v>
      </c>
      <c r="E107" s="18">
        <v>48.381</v>
      </c>
      <c r="F107" s="18">
        <v>49.226999999999997</v>
      </c>
      <c r="G107" s="18">
        <v>4.0999999999999996</v>
      </c>
      <c r="H107" s="45">
        <f t="shared" si="13"/>
        <v>42.542249999999996</v>
      </c>
      <c r="I107" s="42"/>
      <c r="J107" s="17">
        <v>288.51420000000002</v>
      </c>
      <c r="K107" s="18">
        <v>39.846200000000003</v>
      </c>
      <c r="L107" s="18">
        <v>48.406599999999997</v>
      </c>
      <c r="M107" s="18">
        <v>49.279699999999998</v>
      </c>
      <c r="N107" s="18">
        <v>5.1692</v>
      </c>
      <c r="O107" s="45">
        <f t="shared" si="14"/>
        <v>42.095437499999996</v>
      </c>
      <c r="P107" s="42"/>
      <c r="Q107" s="49"/>
      <c r="R107" s="50"/>
      <c r="S107" s="50"/>
      <c r="T107" s="51"/>
      <c r="U107" s="28">
        <f t="shared" si="15"/>
        <v>0.26078048780487817</v>
      </c>
      <c r="V107" s="57">
        <f t="shared" si="11"/>
        <v>2.8500000000000608E-3</v>
      </c>
      <c r="W107" s="57">
        <f t="shared" si="12"/>
        <v>3.8285999999999945E-2</v>
      </c>
      <c r="X107" s="56">
        <v>600</v>
      </c>
      <c r="Y107" s="56">
        <v>300</v>
      </c>
    </row>
    <row r="108" spans="2:25" s="43" customFormat="1" ht="16.5" thickBot="1" x14ac:dyDescent="0.3">
      <c r="B108" s="46"/>
      <c r="C108" s="19">
        <v>298.72000000000003</v>
      </c>
      <c r="D108" s="20">
        <v>38.710999999999999</v>
      </c>
      <c r="E108" s="20">
        <v>46.854999999999997</v>
      </c>
      <c r="F108" s="20">
        <v>47.662999999999997</v>
      </c>
      <c r="G108" s="20">
        <v>5.32</v>
      </c>
      <c r="H108" s="47">
        <f t="shared" si="13"/>
        <v>40.847999999999999</v>
      </c>
      <c r="I108" s="42"/>
      <c r="J108" s="19">
        <v>185.35120000000001</v>
      </c>
      <c r="K108" s="20">
        <v>38.935499999999998</v>
      </c>
      <c r="L108" s="20">
        <v>47.597999999999999</v>
      </c>
      <c r="M108" s="20">
        <v>48.4649</v>
      </c>
      <c r="N108" s="20">
        <v>6.3460000000000001</v>
      </c>
      <c r="O108" s="47">
        <f t="shared" si="14"/>
        <v>41.209487500000002</v>
      </c>
      <c r="P108" s="42"/>
      <c r="Q108" s="52"/>
      <c r="R108" s="53"/>
      <c r="S108" s="53"/>
      <c r="T108" s="54"/>
      <c r="U108" s="28">
        <f t="shared" si="15"/>
        <v>0.19285714285714281</v>
      </c>
      <c r="V108" s="57">
        <f t="shared" si="11"/>
        <v>4.2666666666665758E-3</v>
      </c>
      <c r="W108" s="57">
        <f t="shared" si="12"/>
        <v>7.3243999999999976E-2</v>
      </c>
      <c r="X108" s="56">
        <v>300</v>
      </c>
      <c r="Y108" s="56">
        <v>200</v>
      </c>
    </row>
    <row r="109" spans="2:25" s="43" customFormat="1" x14ac:dyDescent="0.25">
      <c r="B109" s="40" t="s">
        <v>90</v>
      </c>
      <c r="C109" s="15">
        <v>1510.11</v>
      </c>
      <c r="D109" s="16">
        <v>41.868000000000002</v>
      </c>
      <c r="E109" s="16">
        <v>49.756999999999998</v>
      </c>
      <c r="F109" s="16">
        <v>48.930999999999997</v>
      </c>
      <c r="G109" s="16">
        <v>2.87</v>
      </c>
      <c r="H109" s="41">
        <f t="shared" si="13"/>
        <v>43.737000000000002</v>
      </c>
      <c r="I109" s="42"/>
      <c r="J109" s="15">
        <v>1002.6044000000001</v>
      </c>
      <c r="K109" s="16">
        <v>40.9514</v>
      </c>
      <c r="L109" s="16">
        <v>49.762799999999999</v>
      </c>
      <c r="M109" s="16">
        <v>49.070399999999999</v>
      </c>
      <c r="N109" s="16">
        <v>2.8460999999999999</v>
      </c>
      <c r="O109" s="41">
        <f t="shared" si="14"/>
        <v>43.067699999999995</v>
      </c>
      <c r="P109" s="42"/>
      <c r="Q109" s="8">
        <f>bdrate(C109:C112,D109:D112,J109:J112,K109:K112)</f>
        <v>-0.25787353725053752</v>
      </c>
      <c r="R109" s="8">
        <f>bdrate(C109:C112,E109:E112,J109:J112,L109:L112)</f>
        <v>-0.4559099428513359</v>
      </c>
      <c r="S109" s="8">
        <f>bdrate(C109:C112,F109:F112,J109:J112,M109:M112)</f>
        <v>-0.500942795635962</v>
      </c>
      <c r="T109" s="25">
        <f>bdrate(C109:C112,H109:H112,J109:J112,O109:O112)</f>
        <v>-0.30690790032860704</v>
      </c>
      <c r="U109" s="28">
        <f t="shared" si="15"/>
        <v>-8.3275261324042699E-3</v>
      </c>
      <c r="V109" s="57">
        <f t="shared" si="11"/>
        <v>6.7399999999999335E-3</v>
      </c>
      <c r="W109" s="57">
        <f t="shared" si="12"/>
        <v>2.6044000000000553E-3</v>
      </c>
      <c r="X109" s="56">
        <v>1500</v>
      </c>
      <c r="Y109" s="56">
        <v>1000</v>
      </c>
    </row>
    <row r="110" spans="2:25" s="43" customFormat="1" x14ac:dyDescent="0.25">
      <c r="B110" s="44"/>
      <c r="C110" s="17">
        <v>1007.73</v>
      </c>
      <c r="D110" s="18">
        <v>40.593000000000004</v>
      </c>
      <c r="E110" s="18">
        <v>48.892000000000003</v>
      </c>
      <c r="F110" s="18">
        <v>47.957000000000001</v>
      </c>
      <c r="G110" s="18">
        <v>3.33</v>
      </c>
      <c r="H110" s="45">
        <f t="shared" si="13"/>
        <v>42.550875000000005</v>
      </c>
      <c r="I110" s="42"/>
      <c r="J110" s="17">
        <v>604.03120000000001</v>
      </c>
      <c r="K110" s="18">
        <v>39.606900000000003</v>
      </c>
      <c r="L110" s="18">
        <v>48.919800000000002</v>
      </c>
      <c r="M110" s="18">
        <v>48.191200000000002</v>
      </c>
      <c r="N110" s="18">
        <v>3.4990999999999999</v>
      </c>
      <c r="O110" s="45">
        <f t="shared" si="14"/>
        <v>41.844050000000003</v>
      </c>
      <c r="P110" s="42"/>
      <c r="Q110" s="49"/>
      <c r="R110" s="50"/>
      <c r="S110" s="50"/>
      <c r="T110" s="51"/>
      <c r="U110" s="28">
        <f t="shared" si="15"/>
        <v>5.0780780780780722E-2</v>
      </c>
      <c r="V110" s="57">
        <f t="shared" si="11"/>
        <v>7.7300000000000181E-3</v>
      </c>
      <c r="W110" s="57">
        <f t="shared" si="12"/>
        <v>6.7186666666666879E-3</v>
      </c>
      <c r="X110" s="56">
        <v>1000</v>
      </c>
      <c r="Y110" s="56">
        <v>600</v>
      </c>
    </row>
    <row r="111" spans="2:25" s="43" customFormat="1" x14ac:dyDescent="0.25">
      <c r="B111" s="44"/>
      <c r="C111" s="17">
        <v>606.79999999999995</v>
      </c>
      <c r="D111" s="18">
        <v>38.85</v>
      </c>
      <c r="E111" s="18">
        <v>47.603000000000002</v>
      </c>
      <c r="F111" s="18">
        <v>46.514000000000003</v>
      </c>
      <c r="G111" s="18">
        <v>3.99</v>
      </c>
      <c r="H111" s="45">
        <f t="shared" si="13"/>
        <v>40.902125000000005</v>
      </c>
      <c r="I111" s="42"/>
      <c r="J111" s="17">
        <v>290.99020000000002</v>
      </c>
      <c r="K111" s="18">
        <v>37.444000000000003</v>
      </c>
      <c r="L111" s="18">
        <v>47.456899999999997</v>
      </c>
      <c r="M111" s="18">
        <v>46.605200000000004</v>
      </c>
      <c r="N111" s="18">
        <v>4.7587999999999999</v>
      </c>
      <c r="O111" s="45">
        <f t="shared" si="14"/>
        <v>39.840762500000004</v>
      </c>
      <c r="P111" s="42"/>
      <c r="Q111" s="49"/>
      <c r="R111" s="50"/>
      <c r="S111" s="50"/>
      <c r="T111" s="51"/>
      <c r="U111" s="28">
        <f t="shared" si="15"/>
        <v>0.19268170426065154</v>
      </c>
      <c r="V111" s="57">
        <f t="shared" si="11"/>
        <v>1.1333333333333258E-2</v>
      </c>
      <c r="W111" s="57">
        <f t="shared" si="12"/>
        <v>3.0032666666666614E-2</v>
      </c>
      <c r="X111" s="56">
        <v>600</v>
      </c>
      <c r="Y111" s="56">
        <v>300</v>
      </c>
    </row>
    <row r="112" spans="2:25" s="43" customFormat="1" ht="16.5" thickBot="1" x14ac:dyDescent="0.3">
      <c r="B112" s="46"/>
      <c r="C112" s="19">
        <v>303.56</v>
      </c>
      <c r="D112" s="20">
        <v>35.985999999999997</v>
      </c>
      <c r="E112" s="20">
        <v>45.46</v>
      </c>
      <c r="F112" s="20">
        <v>44.436999999999998</v>
      </c>
      <c r="G112" s="20">
        <v>5.1100000000000003</v>
      </c>
      <c r="H112" s="47">
        <f t="shared" si="13"/>
        <v>38.226624999999999</v>
      </c>
      <c r="I112" s="42"/>
      <c r="J112" s="19">
        <v>189.61580000000001</v>
      </c>
      <c r="K112" s="20">
        <v>35.971400000000003</v>
      </c>
      <c r="L112" s="20">
        <v>46.432299999999998</v>
      </c>
      <c r="M112" s="20">
        <v>45.502600000000001</v>
      </c>
      <c r="N112" s="20">
        <v>5.6711</v>
      </c>
      <c r="O112" s="47">
        <f t="shared" si="14"/>
        <v>38.470412500000009</v>
      </c>
      <c r="P112" s="42"/>
      <c r="Q112" s="52"/>
      <c r="R112" s="53"/>
      <c r="S112" s="53"/>
      <c r="T112" s="54"/>
      <c r="U112" s="28">
        <f t="shared" si="15"/>
        <v>0.10980430528375727</v>
      </c>
      <c r="V112" s="57">
        <f t="shared" si="11"/>
        <v>1.1866666666666675E-2</v>
      </c>
      <c r="W112" s="57">
        <f t="shared" si="12"/>
        <v>5.1920999999999967E-2</v>
      </c>
      <c r="X112" s="56">
        <v>300</v>
      </c>
      <c r="Y112" s="56">
        <v>200</v>
      </c>
    </row>
    <row r="113" spans="1:25" s="43" customFormat="1" x14ac:dyDescent="0.25">
      <c r="B113" s="40" t="s">
        <v>91</v>
      </c>
      <c r="C113" s="29">
        <v>1470.73</v>
      </c>
      <c r="D113" s="30">
        <v>37.497999999999998</v>
      </c>
      <c r="E113" s="30">
        <v>46.581000000000003</v>
      </c>
      <c r="F113" s="30">
        <v>45.35</v>
      </c>
      <c r="G113" s="16">
        <v>2.79</v>
      </c>
      <c r="H113" s="41">
        <f t="shared" si="13"/>
        <v>39.614875000000005</v>
      </c>
      <c r="I113" s="42"/>
      <c r="J113" s="29">
        <v>1010.2376</v>
      </c>
      <c r="K113" s="30">
        <v>36.676299999999998</v>
      </c>
      <c r="L113" s="30">
        <v>47.063299999999998</v>
      </c>
      <c r="M113" s="30">
        <v>45.831699999999998</v>
      </c>
      <c r="N113" s="16">
        <v>2.5844999999999998</v>
      </c>
      <c r="O113" s="41">
        <f t="shared" si="14"/>
        <v>39.119099999999996</v>
      </c>
      <c r="P113" s="42"/>
      <c r="Q113" s="8">
        <f>bdrate(C113:C116,D113:D116,J113:J116,K113:K116)</f>
        <v>-0.23672495892161316</v>
      </c>
      <c r="R113" s="8">
        <f>bdrate(C113:C116,E113:E116,J113:J116,L113:L116)</f>
        <v>-0.5199152454296766</v>
      </c>
      <c r="S113" s="8">
        <f>bdrate(C113:C116,F113:F116,J113:J116,M113:M116)</f>
        <v>-0.50834726320849277</v>
      </c>
      <c r="T113" s="25">
        <f>bdrate(C113:C116,H113:H116,J113:J116,O113:O116)</f>
        <v>-0.29466913889594226</v>
      </c>
      <c r="U113" s="28">
        <f t="shared" si="15"/>
        <v>-7.3655913978494705E-2</v>
      </c>
      <c r="V113" s="57">
        <f t="shared" si="11"/>
        <v>1.951333333333332E-2</v>
      </c>
      <c r="W113" s="57">
        <f t="shared" si="12"/>
        <v>1.0237600000000043E-2</v>
      </c>
      <c r="X113" s="56">
        <v>1500</v>
      </c>
      <c r="Y113" s="56">
        <v>1000</v>
      </c>
    </row>
    <row r="114" spans="1:25" s="43" customFormat="1" x14ac:dyDescent="0.25">
      <c r="B114" s="44"/>
      <c r="C114" s="31">
        <v>973.39</v>
      </c>
      <c r="D114" s="32">
        <v>36.398000000000003</v>
      </c>
      <c r="E114" s="32">
        <v>45.720999999999997</v>
      </c>
      <c r="F114" s="32">
        <v>44.527000000000001</v>
      </c>
      <c r="G114" s="18">
        <v>3.19</v>
      </c>
      <c r="H114" s="45">
        <f t="shared" si="13"/>
        <v>38.579500000000003</v>
      </c>
      <c r="I114" s="42"/>
      <c r="J114" s="31">
        <v>605.75509999999997</v>
      </c>
      <c r="K114" s="32">
        <v>35.522500000000001</v>
      </c>
      <c r="L114" s="32">
        <v>46.197299999999998</v>
      </c>
      <c r="M114" s="32">
        <v>44.9602</v>
      </c>
      <c r="N114" s="18">
        <v>3.1739999999999999</v>
      </c>
      <c r="O114" s="45">
        <f t="shared" si="14"/>
        <v>38.036562499999995</v>
      </c>
      <c r="P114" s="42"/>
      <c r="Q114" s="49"/>
      <c r="R114" s="50"/>
      <c r="S114" s="50"/>
      <c r="T114" s="51"/>
      <c r="U114" s="28">
        <f t="shared" si="15"/>
        <v>-5.0156739811912272E-3</v>
      </c>
      <c r="V114" s="57">
        <f t="shared" si="11"/>
        <v>2.6610000000000012E-2</v>
      </c>
      <c r="W114" s="57">
        <f t="shared" si="12"/>
        <v>9.5918333333332838E-3</v>
      </c>
      <c r="X114" s="56">
        <v>1000</v>
      </c>
      <c r="Y114" s="56">
        <v>600</v>
      </c>
    </row>
    <row r="115" spans="1:25" s="43" customFormat="1" x14ac:dyDescent="0.25">
      <c r="B115" s="44"/>
      <c r="C115" s="31">
        <v>576.47</v>
      </c>
      <c r="D115" s="32">
        <v>34.819000000000003</v>
      </c>
      <c r="E115" s="32">
        <v>44.566000000000003</v>
      </c>
      <c r="F115" s="32">
        <v>43.430999999999997</v>
      </c>
      <c r="G115" s="18">
        <v>3.75</v>
      </c>
      <c r="H115" s="45">
        <f t="shared" si="13"/>
        <v>37.113875</v>
      </c>
      <c r="I115" s="42"/>
      <c r="J115" s="31">
        <v>298.2826</v>
      </c>
      <c r="K115" s="32">
        <v>33.706400000000002</v>
      </c>
      <c r="L115" s="32">
        <v>44.768799999999999</v>
      </c>
      <c r="M115" s="32">
        <v>43.559199999999997</v>
      </c>
      <c r="N115" s="18">
        <v>4.3259999999999996</v>
      </c>
      <c r="O115" s="45">
        <f t="shared" si="14"/>
        <v>36.320799999999998</v>
      </c>
      <c r="P115" s="42"/>
      <c r="Q115" s="49"/>
      <c r="R115" s="50"/>
      <c r="S115" s="50"/>
      <c r="T115" s="51"/>
      <c r="U115" s="28">
        <f t="shared" si="15"/>
        <v>0.1535999999999999</v>
      </c>
      <c r="V115" s="57">
        <f t="shared" si="11"/>
        <v>3.9216666666666622E-2</v>
      </c>
      <c r="W115" s="57">
        <f t="shared" si="12"/>
        <v>5.7246666666666592E-3</v>
      </c>
      <c r="X115" s="56">
        <v>600</v>
      </c>
      <c r="Y115" s="56">
        <v>300</v>
      </c>
    </row>
    <row r="116" spans="1:25" s="43" customFormat="1" ht="16.5" thickBot="1" x14ac:dyDescent="0.3">
      <c r="B116" s="46"/>
      <c r="C116" s="33">
        <v>283.75</v>
      </c>
      <c r="D116" s="34">
        <v>31.920999999999999</v>
      </c>
      <c r="E116" s="34">
        <v>42.789000000000001</v>
      </c>
      <c r="F116" s="34">
        <v>41.744999999999997</v>
      </c>
      <c r="G116" s="20">
        <v>4.74</v>
      </c>
      <c r="H116" s="47">
        <f t="shared" si="13"/>
        <v>34.5075</v>
      </c>
      <c r="I116" s="42"/>
      <c r="J116" s="33">
        <v>192.114</v>
      </c>
      <c r="K116" s="34">
        <v>32.426400000000001</v>
      </c>
      <c r="L116" s="34">
        <v>43.779699999999998</v>
      </c>
      <c r="M116" s="34">
        <v>42.600299999999997</v>
      </c>
      <c r="N116" s="20">
        <v>5.2873000000000001</v>
      </c>
      <c r="O116" s="47">
        <f t="shared" si="14"/>
        <v>35.1173</v>
      </c>
      <c r="P116" s="42"/>
      <c r="Q116" s="52"/>
      <c r="R116" s="53"/>
      <c r="S116" s="53"/>
      <c r="T116" s="54"/>
      <c r="U116" s="28">
        <f t="shared" si="15"/>
        <v>0.11546413502109702</v>
      </c>
      <c r="V116" s="57">
        <f t="shared" si="11"/>
        <v>5.4166666666666669E-2</v>
      </c>
      <c r="W116" s="57">
        <f t="shared" si="12"/>
        <v>3.9429999999999979E-2</v>
      </c>
      <c r="X116" s="56">
        <v>300</v>
      </c>
      <c r="Y116" s="56">
        <v>200</v>
      </c>
    </row>
    <row r="117" spans="1:25" ht="16.5" thickBot="1" x14ac:dyDescent="0.3">
      <c r="B117" s="22" t="s">
        <v>22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1">
        <f t="shared" ref="Q117:W117" si="16">AVERAGE(Q9:Q116)</f>
        <v>-0.31453861321254561</v>
      </c>
      <c r="R117" s="21">
        <f t="shared" si="16"/>
        <v>-0.53238571473878915</v>
      </c>
      <c r="S117" s="21">
        <f t="shared" si="16"/>
        <v>-0.5370198842548356</v>
      </c>
      <c r="T117" s="21">
        <f t="shared" si="16"/>
        <v>-0.35993522070155742</v>
      </c>
      <c r="U117" s="21">
        <f t="shared" si="16"/>
        <v>7.0892941153895772E-2</v>
      </c>
      <c r="V117" s="57">
        <f t="shared" si="16"/>
        <v>3.9925405115198348E-2</v>
      </c>
      <c r="W117" s="57">
        <f t="shared" si="16"/>
        <v>1.9884113888888888E-2</v>
      </c>
      <c r="X117" s="57"/>
      <c r="Y117" s="56"/>
    </row>
    <row r="119" spans="1:25" s="35" customFormat="1" ht="15.75" customHeight="1" x14ac:dyDescent="0.25">
      <c r="B119" s="73" t="s">
        <v>29</v>
      </c>
      <c r="C119" s="67" t="s">
        <v>124</v>
      </c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9"/>
    </row>
    <row r="120" spans="1:25" s="35" customFormat="1" x14ac:dyDescent="0.25">
      <c r="B120" s="74"/>
      <c r="C120" s="70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2"/>
    </row>
    <row r="121" spans="1:25" ht="16.5" customHeight="1" thickBot="1" x14ac:dyDescent="0.3">
      <c r="C121" s="75" t="s">
        <v>73</v>
      </c>
      <c r="D121" s="76"/>
      <c r="E121" s="76"/>
      <c r="F121" s="76"/>
      <c r="G121" s="76"/>
      <c r="H121" s="76"/>
      <c r="I121" s="5"/>
      <c r="J121" s="75" t="s">
        <v>103</v>
      </c>
      <c r="K121" s="76"/>
      <c r="L121" s="76"/>
      <c r="M121" s="76"/>
      <c r="N121" s="76"/>
      <c r="O121" s="76"/>
      <c r="Q121" s="75" t="s">
        <v>7</v>
      </c>
      <c r="R121" s="76"/>
      <c r="S121" s="77"/>
      <c r="T121" s="36"/>
      <c r="U121" s="78" t="s">
        <v>43</v>
      </c>
      <c r="V121" s="66" t="s">
        <v>95</v>
      </c>
      <c r="W121" s="66"/>
      <c r="X121" s="66"/>
      <c r="Y121" s="66"/>
    </row>
    <row r="122" spans="1:25" ht="16.5" thickBot="1" x14ac:dyDescent="0.3">
      <c r="C122" s="2" t="s">
        <v>60</v>
      </c>
      <c r="D122" s="3" t="s">
        <v>30</v>
      </c>
      <c r="E122" s="3" t="s">
        <v>31</v>
      </c>
      <c r="F122" s="3" t="s">
        <v>32</v>
      </c>
      <c r="G122" s="3" t="s">
        <v>33</v>
      </c>
      <c r="H122" s="3" t="s">
        <v>34</v>
      </c>
      <c r="I122" s="1"/>
      <c r="J122" s="2" t="s">
        <v>60</v>
      </c>
      <c r="K122" s="3" t="s">
        <v>30</v>
      </c>
      <c r="L122" s="3" t="s">
        <v>31</v>
      </c>
      <c r="M122" s="3" t="s">
        <v>32</v>
      </c>
      <c r="N122" s="3" t="s">
        <v>33</v>
      </c>
      <c r="O122" s="3" t="s">
        <v>34</v>
      </c>
      <c r="Q122" s="2" t="s">
        <v>4</v>
      </c>
      <c r="R122" s="3" t="s">
        <v>5</v>
      </c>
      <c r="S122" s="4" t="s">
        <v>6</v>
      </c>
      <c r="T122" s="24" t="s">
        <v>21</v>
      </c>
      <c r="U122" s="78"/>
      <c r="V122" s="55" t="s">
        <v>100</v>
      </c>
      <c r="W122" s="55" t="s">
        <v>96</v>
      </c>
      <c r="X122" s="56" t="s">
        <v>101</v>
      </c>
      <c r="Y122" s="56" t="s">
        <v>97</v>
      </c>
    </row>
    <row r="123" spans="1:25" x14ac:dyDescent="0.25">
      <c r="A123" s="6" t="s">
        <v>35</v>
      </c>
      <c r="B123" s="6" t="s">
        <v>44</v>
      </c>
      <c r="C123" s="15">
        <v>3028.66</v>
      </c>
      <c r="D123" s="16">
        <v>39.130000000000003</v>
      </c>
      <c r="E123" s="16">
        <v>41.892000000000003</v>
      </c>
      <c r="F123" s="16">
        <v>43.014000000000003</v>
      </c>
      <c r="G123" s="16">
        <v>2.56</v>
      </c>
      <c r="H123" s="16">
        <f t="shared" ref="H123:H186" si="17">(6*D123+E123+F123)/8</f>
        <v>39.960750000000004</v>
      </c>
      <c r="I123" s="5"/>
      <c r="J123" s="15">
        <v>2387.0472</v>
      </c>
      <c r="K123" s="16">
        <v>39.513800000000003</v>
      </c>
      <c r="L123" s="16">
        <v>42.351399999999998</v>
      </c>
      <c r="M123" s="16">
        <v>43.927599999999998</v>
      </c>
      <c r="N123" s="16">
        <v>2.9062999999999999</v>
      </c>
      <c r="O123" s="16">
        <f t="shared" ref="O123:O186" si="18">(6*K123+L123+M123)/8</f>
        <v>40.420225000000002</v>
      </c>
      <c r="P123" s="7"/>
      <c r="Q123" s="8">
        <f>bdrate(C123:C126,D123:D126,J123:J126,K123:K126)</f>
        <v>-0.36398598268022031</v>
      </c>
      <c r="R123" s="8">
        <f>bdrate(C123:C126,E123:E126,J123:J126,L123:L126)</f>
        <v>-0.44637343491362769</v>
      </c>
      <c r="S123" s="8">
        <f>bdrate(C123:C126,F123:F126,J123:J126,M123:M126)</f>
        <v>-0.52871292313035667</v>
      </c>
      <c r="T123" s="25">
        <f>bdrate(C123:C126,H123:H126,J123:J126,O123:O126)</f>
        <v>-0.3839056223824624</v>
      </c>
      <c r="U123" s="28">
        <f t="shared" ref="U123:U178" si="19">(N123-G123)/G123</f>
        <v>0.13527343749999993</v>
      </c>
      <c r="V123" s="57">
        <f t="shared" ref="V123:V179" si="20">ABS(C123-X123)/X123</f>
        <v>0.1587055555555556</v>
      </c>
      <c r="W123" s="57">
        <f t="shared" ref="W123:W178" si="21">ABS(J123-Y123)/Y123</f>
        <v>5.3970000000000103E-3</v>
      </c>
      <c r="X123" s="56">
        <v>3600</v>
      </c>
      <c r="Y123" s="56">
        <v>2400</v>
      </c>
    </row>
    <row r="124" spans="1:25" x14ac:dyDescent="0.25">
      <c r="A124" s="9" t="s">
        <v>36</v>
      </c>
      <c r="B124" s="9"/>
      <c r="C124" s="17">
        <v>1990.32</v>
      </c>
      <c r="D124" s="18">
        <v>37.674999999999997</v>
      </c>
      <c r="E124" s="18">
        <v>41.146000000000001</v>
      </c>
      <c r="F124" s="18">
        <v>42.113</v>
      </c>
      <c r="G124" s="18">
        <v>3.05</v>
      </c>
      <c r="H124" s="18">
        <f t="shared" si="17"/>
        <v>38.663624999999996</v>
      </c>
      <c r="I124" s="5"/>
      <c r="J124" s="17">
        <v>1574.9616000000001</v>
      </c>
      <c r="K124" s="18">
        <v>38.261499999999998</v>
      </c>
      <c r="L124" s="18">
        <v>41.696300000000001</v>
      </c>
      <c r="M124" s="18">
        <v>43.089700000000001</v>
      </c>
      <c r="N124" s="18">
        <v>3.4285000000000001</v>
      </c>
      <c r="O124" s="18">
        <f t="shared" si="18"/>
        <v>39.294374999999995</v>
      </c>
      <c r="P124" s="7"/>
      <c r="Q124" s="10"/>
      <c r="R124" s="11"/>
      <c r="S124" s="11"/>
      <c r="T124" s="26"/>
      <c r="U124" s="28">
        <f t="shared" si="19"/>
        <v>0.1240983606557378</v>
      </c>
      <c r="V124" s="57">
        <f t="shared" si="20"/>
        <v>0.17070000000000002</v>
      </c>
      <c r="W124" s="57">
        <f t="shared" si="21"/>
        <v>1.5648999999999944E-2</v>
      </c>
      <c r="X124" s="56">
        <v>2400</v>
      </c>
      <c r="Y124" s="56">
        <v>1600</v>
      </c>
    </row>
    <row r="125" spans="1:25" x14ac:dyDescent="0.25">
      <c r="B125" s="9"/>
      <c r="C125" s="17">
        <v>1236.27</v>
      </c>
      <c r="D125" s="18">
        <v>35.776000000000003</v>
      </c>
      <c r="E125" s="18">
        <v>40.277999999999999</v>
      </c>
      <c r="F125" s="18">
        <v>41.206000000000003</v>
      </c>
      <c r="G125" s="18">
        <v>3.67</v>
      </c>
      <c r="H125" s="18">
        <f t="shared" si="17"/>
        <v>37.017499999999998</v>
      </c>
      <c r="I125" s="5"/>
      <c r="J125" s="17">
        <v>977.5992</v>
      </c>
      <c r="K125" s="18">
        <v>36.692399999999999</v>
      </c>
      <c r="L125" s="18">
        <v>40.905900000000003</v>
      </c>
      <c r="M125" s="18">
        <v>42.157400000000003</v>
      </c>
      <c r="N125" s="18">
        <v>4.2069000000000001</v>
      </c>
      <c r="O125" s="18">
        <f t="shared" si="18"/>
        <v>37.902212499999997</v>
      </c>
      <c r="P125" s="7"/>
      <c r="Q125" s="10"/>
      <c r="R125" s="11"/>
      <c r="S125" s="11"/>
      <c r="T125" s="26"/>
      <c r="U125" s="28">
        <f t="shared" si="19"/>
        <v>0.14629427792915536</v>
      </c>
      <c r="V125" s="57">
        <f t="shared" si="20"/>
        <v>0.17582</v>
      </c>
      <c r="W125" s="57">
        <f t="shared" si="21"/>
        <v>2.2400800000000005E-2</v>
      </c>
      <c r="X125" s="56">
        <v>1500</v>
      </c>
      <c r="Y125" s="56">
        <v>1000</v>
      </c>
    </row>
    <row r="126" spans="1:25" ht="16.5" thickBot="1" x14ac:dyDescent="0.3">
      <c r="B126" s="12"/>
      <c r="C126" s="19">
        <v>736.8</v>
      </c>
      <c r="D126" s="20">
        <v>33.450000000000003</v>
      </c>
      <c r="E126" s="20">
        <v>39.392000000000003</v>
      </c>
      <c r="F126" s="20">
        <v>40.329000000000001</v>
      </c>
      <c r="G126" s="20">
        <v>4.67</v>
      </c>
      <c r="H126" s="20">
        <f t="shared" si="17"/>
        <v>35.052624999999999</v>
      </c>
      <c r="I126" s="5"/>
      <c r="J126" s="19">
        <v>565.28160000000003</v>
      </c>
      <c r="K126" s="20">
        <v>34.833300000000001</v>
      </c>
      <c r="L126" s="20">
        <v>40.169199999999996</v>
      </c>
      <c r="M126" s="20">
        <v>41.411999999999999</v>
      </c>
      <c r="N126" s="20">
        <v>5.3070000000000004</v>
      </c>
      <c r="O126" s="20">
        <f t="shared" si="18"/>
        <v>36.322624999999995</v>
      </c>
      <c r="P126" s="7"/>
      <c r="Q126" s="13"/>
      <c r="R126" s="14"/>
      <c r="S126" s="14"/>
      <c r="T126" s="27"/>
      <c r="U126" s="28">
        <f t="shared" si="19"/>
        <v>0.13640256959314784</v>
      </c>
      <c r="V126" s="57">
        <f t="shared" si="20"/>
        <v>0.18133333333333337</v>
      </c>
      <c r="W126" s="57">
        <f t="shared" si="21"/>
        <v>5.7863999999999957E-2</v>
      </c>
      <c r="X126" s="56">
        <v>900</v>
      </c>
      <c r="Y126" s="56">
        <v>600</v>
      </c>
    </row>
    <row r="127" spans="1:25" x14ac:dyDescent="0.25">
      <c r="B127" s="6" t="s">
        <v>45</v>
      </c>
      <c r="C127" s="15">
        <v>3417.66</v>
      </c>
      <c r="D127" s="16">
        <v>36.676000000000002</v>
      </c>
      <c r="E127" s="16">
        <v>39.494999999999997</v>
      </c>
      <c r="F127" s="16">
        <v>40.648000000000003</v>
      </c>
      <c r="G127" s="16">
        <v>2.75</v>
      </c>
      <c r="H127" s="16">
        <f t="shared" si="17"/>
        <v>37.524875000000002</v>
      </c>
      <c r="I127" s="5"/>
      <c r="J127" s="15">
        <v>2499.6615999999999</v>
      </c>
      <c r="K127" s="16">
        <v>36.446100000000001</v>
      </c>
      <c r="L127" s="16">
        <v>40.606000000000002</v>
      </c>
      <c r="M127" s="16">
        <v>41.851100000000002</v>
      </c>
      <c r="N127" s="16">
        <v>2.8936000000000002</v>
      </c>
      <c r="O127" s="16">
        <f t="shared" si="18"/>
        <v>37.641712499999997</v>
      </c>
      <c r="P127" s="7"/>
      <c r="Q127" s="8">
        <f>bdrate(C127:C130,D127:D130,J127:J130,K127:K130)</f>
        <v>-0.27786715775832516</v>
      </c>
      <c r="R127" s="8">
        <f>bdrate(C127:C130,E127:E130,J127:J130,L127:L130)</f>
        <v>-0.58501468997357264</v>
      </c>
      <c r="S127" s="8">
        <f>bdrate(C127:C130,F127:F130,J127:J130,M127:M130)</f>
        <v>-0.58251719559493509</v>
      </c>
      <c r="T127" s="25">
        <f>bdrate(C127:C130,H127:H130,J127:J130,O127:O130)</f>
        <v>-0.33079996337460105</v>
      </c>
      <c r="U127" s="28">
        <f t="shared" si="19"/>
        <v>5.2218181818181879E-2</v>
      </c>
      <c r="V127" s="57">
        <f t="shared" si="20"/>
        <v>5.0650000000000042E-2</v>
      </c>
      <c r="W127" s="57">
        <f t="shared" si="21"/>
        <v>4.1525666666666627E-2</v>
      </c>
      <c r="X127" s="56">
        <v>3600</v>
      </c>
      <c r="Y127" s="56">
        <v>2400</v>
      </c>
    </row>
    <row r="128" spans="1:25" x14ac:dyDescent="0.25">
      <c r="B128" s="9"/>
      <c r="C128" s="17">
        <v>2258.37</v>
      </c>
      <c r="D128" s="18">
        <v>35.225999999999999</v>
      </c>
      <c r="E128" s="18">
        <v>38.710999999999999</v>
      </c>
      <c r="F128" s="18">
        <v>40.015000000000001</v>
      </c>
      <c r="G128" s="18">
        <v>3.14</v>
      </c>
      <c r="H128" s="18">
        <f t="shared" si="17"/>
        <v>36.260249999999999</v>
      </c>
      <c r="I128" s="5"/>
      <c r="J128" s="17">
        <v>1701.7983999999999</v>
      </c>
      <c r="K128" s="18">
        <v>35.189399999999999</v>
      </c>
      <c r="L128" s="18">
        <v>39.842799999999997</v>
      </c>
      <c r="M128" s="18">
        <v>41.060699999999997</v>
      </c>
      <c r="N128" s="18">
        <v>3.4036</v>
      </c>
      <c r="O128" s="18">
        <f t="shared" si="18"/>
        <v>36.504987499999999</v>
      </c>
      <c r="P128" s="7"/>
      <c r="Q128" s="10"/>
      <c r="R128" s="11"/>
      <c r="S128" s="11"/>
      <c r="T128" s="26"/>
      <c r="U128" s="28">
        <f t="shared" si="19"/>
        <v>8.3949044585987204E-2</v>
      </c>
      <c r="V128" s="57">
        <f t="shared" si="20"/>
        <v>5.9012500000000044E-2</v>
      </c>
      <c r="W128" s="57">
        <f t="shared" si="21"/>
        <v>6.3623999999999944E-2</v>
      </c>
      <c r="X128" s="56">
        <v>2400</v>
      </c>
      <c r="Y128" s="56">
        <v>1600</v>
      </c>
    </row>
    <row r="129" spans="1:25" x14ac:dyDescent="0.25">
      <c r="B129" s="9"/>
      <c r="C129" s="17">
        <v>1408.28</v>
      </c>
      <c r="D129" s="18">
        <v>33.5</v>
      </c>
      <c r="E129" s="18">
        <v>37.938000000000002</v>
      </c>
      <c r="F129" s="18">
        <v>39.36</v>
      </c>
      <c r="G129" s="18">
        <v>3.68</v>
      </c>
      <c r="H129" s="18">
        <f t="shared" si="17"/>
        <v>34.78725</v>
      </c>
      <c r="I129" s="5"/>
      <c r="J129" s="17">
        <v>1049.1759999999999</v>
      </c>
      <c r="K129" s="18">
        <v>33.701599999999999</v>
      </c>
      <c r="L129" s="18">
        <v>38.934100000000001</v>
      </c>
      <c r="M129" s="18">
        <v>40.191800000000001</v>
      </c>
      <c r="N129" s="18">
        <v>4.2419000000000002</v>
      </c>
      <c r="O129" s="18">
        <f t="shared" si="18"/>
        <v>35.166937500000003</v>
      </c>
      <c r="P129" s="7"/>
      <c r="Q129" s="10"/>
      <c r="R129" s="11"/>
      <c r="S129" s="11"/>
      <c r="T129" s="26"/>
      <c r="U129" s="28">
        <f t="shared" si="19"/>
        <v>0.15269021739130437</v>
      </c>
      <c r="V129" s="57">
        <f t="shared" si="20"/>
        <v>6.1146666666666682E-2</v>
      </c>
      <c r="W129" s="57">
        <f t="shared" si="21"/>
        <v>4.9175999999999928E-2</v>
      </c>
      <c r="X129" s="56">
        <v>1500</v>
      </c>
      <c r="Y129" s="56">
        <v>1000</v>
      </c>
    </row>
    <row r="130" spans="1:25" ht="16.5" thickBot="1" x14ac:dyDescent="0.3">
      <c r="B130" s="12"/>
      <c r="C130" s="19">
        <v>836.07</v>
      </c>
      <c r="D130" s="20">
        <v>31.532</v>
      </c>
      <c r="E130" s="20">
        <v>37.164000000000001</v>
      </c>
      <c r="F130" s="20">
        <v>38.734999999999999</v>
      </c>
      <c r="G130" s="20">
        <v>4.46</v>
      </c>
      <c r="H130" s="20">
        <f t="shared" si="17"/>
        <v>33.136375000000001</v>
      </c>
      <c r="I130" s="5"/>
      <c r="J130" s="19">
        <v>617.57920000000001</v>
      </c>
      <c r="K130" s="20">
        <v>32.055</v>
      </c>
      <c r="L130" s="20">
        <v>37.971499999999999</v>
      </c>
      <c r="M130" s="20">
        <v>39.362699999999997</v>
      </c>
      <c r="N130" s="20">
        <v>5.2248999999999999</v>
      </c>
      <c r="O130" s="20">
        <f t="shared" si="18"/>
        <v>33.708024999999999</v>
      </c>
      <c r="P130" s="7"/>
      <c r="Q130" s="13"/>
      <c r="R130" s="14"/>
      <c r="S130" s="14"/>
      <c r="T130" s="27"/>
      <c r="U130" s="28">
        <f t="shared" si="19"/>
        <v>0.17150224215246634</v>
      </c>
      <c r="V130" s="57">
        <f t="shared" si="20"/>
        <v>7.1033333333333282E-2</v>
      </c>
      <c r="W130" s="57">
        <f t="shared" si="21"/>
        <v>2.9298666666666692E-2</v>
      </c>
      <c r="X130" s="56">
        <v>900</v>
      </c>
      <c r="Y130" s="56">
        <v>600</v>
      </c>
    </row>
    <row r="131" spans="1:25" x14ac:dyDescent="0.25">
      <c r="B131" s="6" t="s">
        <v>46</v>
      </c>
      <c r="C131" s="15">
        <v>3534.11</v>
      </c>
      <c r="D131" s="16">
        <v>34.536999999999999</v>
      </c>
      <c r="E131" s="16">
        <v>38.095999999999997</v>
      </c>
      <c r="F131" s="16">
        <v>39.804000000000002</v>
      </c>
      <c r="G131" s="16">
        <v>3.51</v>
      </c>
      <c r="H131" s="16">
        <f t="shared" si="17"/>
        <v>35.640249999999995</v>
      </c>
      <c r="I131" s="5"/>
      <c r="J131" s="15">
        <v>2411.0423999999998</v>
      </c>
      <c r="K131" s="16">
        <v>34.796700000000001</v>
      </c>
      <c r="L131" s="16">
        <v>38.618000000000002</v>
      </c>
      <c r="M131" s="16">
        <v>40.972099999999998</v>
      </c>
      <c r="N131" s="16">
        <v>4.1367000000000003</v>
      </c>
      <c r="O131" s="16">
        <f t="shared" si="18"/>
        <v>36.046287499999998</v>
      </c>
      <c r="P131" s="7"/>
      <c r="Q131" s="8">
        <f>bdrate(C131:C134,D131:D134,J131:J134,K131:K134)</f>
        <v>-0.41922124552863083</v>
      </c>
      <c r="R131" s="8">
        <f>bdrate(C131:C134,E131:E134,J131:J134,L131:L134)</f>
        <v>-0.59226652724847151</v>
      </c>
      <c r="S131" s="8">
        <f>bdrate(C131:C134,F131:F134,J131:J134,M131:M134)</f>
        <v>-0.61598551564162518</v>
      </c>
      <c r="T131" s="25">
        <f>bdrate(C131:C134,H131:H134,J131:J134,O131:O134)</f>
        <v>-0.45029538689239101</v>
      </c>
      <c r="U131" s="28">
        <f t="shared" si="19"/>
        <v>0.1785470085470087</v>
      </c>
      <c r="V131" s="57">
        <f t="shared" si="20"/>
        <v>1.8302777777777741E-2</v>
      </c>
      <c r="W131" s="57">
        <f t="shared" si="21"/>
        <v>4.6009999999999237E-3</v>
      </c>
      <c r="X131" s="56">
        <v>3600</v>
      </c>
      <c r="Y131" s="56">
        <v>2400</v>
      </c>
    </row>
    <row r="132" spans="1:25" x14ac:dyDescent="0.25">
      <c r="B132" s="9"/>
      <c r="C132" s="17">
        <v>2351.33</v>
      </c>
      <c r="D132" s="18">
        <v>33.118000000000002</v>
      </c>
      <c r="E132" s="18">
        <v>37.529000000000003</v>
      </c>
      <c r="F132" s="18">
        <v>38.857999999999997</v>
      </c>
      <c r="G132" s="18">
        <v>4.04</v>
      </c>
      <c r="H132" s="18">
        <f t="shared" si="17"/>
        <v>34.386875000000003</v>
      </c>
      <c r="I132" s="5"/>
      <c r="J132" s="17">
        <v>1607.7224000000001</v>
      </c>
      <c r="K132" s="18">
        <v>33.597900000000003</v>
      </c>
      <c r="L132" s="18">
        <v>38.169199999999996</v>
      </c>
      <c r="M132" s="18">
        <v>40.115900000000003</v>
      </c>
      <c r="N132" s="18">
        <v>4.9283000000000001</v>
      </c>
      <c r="O132" s="18">
        <f t="shared" si="18"/>
        <v>34.9840625</v>
      </c>
      <c r="P132" s="7"/>
      <c r="Q132" s="10"/>
      <c r="R132" s="11"/>
      <c r="S132" s="11"/>
      <c r="T132" s="26"/>
      <c r="U132" s="28">
        <f t="shared" si="19"/>
        <v>0.2198762376237624</v>
      </c>
      <c r="V132" s="57">
        <f t="shared" si="20"/>
        <v>2.0279166666666695E-2</v>
      </c>
      <c r="W132" s="57">
        <f t="shared" si="21"/>
        <v>4.8265000000000668E-3</v>
      </c>
      <c r="X132" s="56">
        <v>2400</v>
      </c>
      <c r="Y132" s="56">
        <v>1600</v>
      </c>
    </row>
    <row r="133" spans="1:25" x14ac:dyDescent="0.25">
      <c r="B133" s="9"/>
      <c r="C133" s="17">
        <v>1462.81</v>
      </c>
      <c r="D133" s="18">
        <v>31.285</v>
      </c>
      <c r="E133" s="18">
        <v>36.866</v>
      </c>
      <c r="F133" s="18">
        <v>37.779000000000003</v>
      </c>
      <c r="G133" s="18">
        <v>4.9800000000000004</v>
      </c>
      <c r="H133" s="18">
        <f t="shared" si="17"/>
        <v>32.794375000000002</v>
      </c>
      <c r="I133" s="5"/>
      <c r="J133" s="17">
        <v>1002.872</v>
      </c>
      <c r="K133" s="18">
        <v>31.947399999999998</v>
      </c>
      <c r="L133" s="18">
        <v>37.573099999999997</v>
      </c>
      <c r="M133" s="18">
        <v>39.060299999999998</v>
      </c>
      <c r="N133" s="18">
        <v>6.0266000000000002</v>
      </c>
      <c r="O133" s="18">
        <f t="shared" si="18"/>
        <v>33.539724999999997</v>
      </c>
      <c r="P133" s="7"/>
      <c r="Q133" s="10"/>
      <c r="R133" s="11"/>
      <c r="S133" s="11"/>
      <c r="T133" s="26"/>
      <c r="U133" s="28">
        <f t="shared" si="19"/>
        <v>0.21016064257028105</v>
      </c>
      <c r="V133" s="57">
        <f t="shared" si="20"/>
        <v>2.4793333333333369E-2</v>
      </c>
      <c r="W133" s="57">
        <f t="shared" si="21"/>
        <v>2.8719999999999571E-3</v>
      </c>
      <c r="X133" s="56">
        <v>1500</v>
      </c>
      <c r="Y133" s="56">
        <v>1000</v>
      </c>
    </row>
    <row r="134" spans="1:25" ht="16.5" thickBot="1" x14ac:dyDescent="0.3">
      <c r="B134" s="12"/>
      <c r="C134" s="19">
        <v>880.52</v>
      </c>
      <c r="D134" s="20">
        <v>29.114000000000001</v>
      </c>
      <c r="E134" s="20">
        <v>36.18</v>
      </c>
      <c r="F134" s="20">
        <v>36.673000000000002</v>
      </c>
      <c r="G134" s="20">
        <v>6.16</v>
      </c>
      <c r="H134" s="20">
        <f t="shared" si="17"/>
        <v>30.942125000000001</v>
      </c>
      <c r="I134" s="5"/>
      <c r="J134" s="19">
        <v>597.58799999999997</v>
      </c>
      <c r="K134" s="20">
        <v>30.1891</v>
      </c>
      <c r="L134" s="20">
        <v>36.973199999999999</v>
      </c>
      <c r="M134" s="20">
        <v>38.069400000000002</v>
      </c>
      <c r="N134" s="20">
        <v>7.4218999999999999</v>
      </c>
      <c r="O134" s="20">
        <f t="shared" si="18"/>
        <v>32.022149999999996</v>
      </c>
      <c r="P134" s="7"/>
      <c r="Q134" s="13"/>
      <c r="R134" s="14"/>
      <c r="S134" s="14"/>
      <c r="T134" s="27"/>
      <c r="U134" s="28">
        <f t="shared" si="19"/>
        <v>0.20485389610389607</v>
      </c>
      <c r="V134" s="57">
        <f t="shared" si="20"/>
        <v>2.1644444444444466E-2</v>
      </c>
      <c r="W134" s="57">
        <f t="shared" si="21"/>
        <v>4.0200000000000574E-3</v>
      </c>
      <c r="X134" s="56">
        <v>900</v>
      </c>
      <c r="Y134" s="56">
        <v>600</v>
      </c>
    </row>
    <row r="135" spans="1:25" x14ac:dyDescent="0.25">
      <c r="B135" s="6" t="s">
        <v>47</v>
      </c>
      <c r="C135" s="29">
        <v>3571.4</v>
      </c>
      <c r="D135" s="30">
        <v>34.177999999999997</v>
      </c>
      <c r="E135" s="30">
        <v>39.860999999999997</v>
      </c>
      <c r="F135" s="30">
        <v>39.584000000000003</v>
      </c>
      <c r="G135" s="16">
        <v>3.23</v>
      </c>
      <c r="H135" s="16">
        <f t="shared" si="17"/>
        <v>35.564124999999997</v>
      </c>
      <c r="I135" s="5"/>
      <c r="J135" s="29">
        <v>2419.1655999999998</v>
      </c>
      <c r="K135" s="30">
        <v>34.447800000000001</v>
      </c>
      <c r="L135" s="30">
        <v>40.9298</v>
      </c>
      <c r="M135" s="30">
        <v>40.657200000000003</v>
      </c>
      <c r="N135" s="16">
        <v>3.5693999999999999</v>
      </c>
      <c r="O135" s="16">
        <f t="shared" si="18"/>
        <v>36.034224999999999</v>
      </c>
      <c r="P135" s="7"/>
      <c r="Q135" s="8">
        <f>bdrate(C135:C138,D135:D138,J135:J138,K135:K138)</f>
        <v>-0.4521363734774152</v>
      </c>
      <c r="R135" s="8">
        <f>bdrate(C135:C138,E135:E138,J135:J138,L135:L138)</f>
        <v>-0.65453299248094965</v>
      </c>
      <c r="S135" s="8">
        <f>bdrate(C135:C138,F135:F138,J135:J138,M135:M138)</f>
        <v>-0.58665546042547345</v>
      </c>
      <c r="T135" s="25">
        <f>bdrate(C135:C138,H135:H138,J135:J138,O135:O138)</f>
        <v>-0.48352822554579844</v>
      </c>
      <c r="U135" s="28">
        <f t="shared" si="19"/>
        <v>0.10507739938080493</v>
      </c>
      <c r="V135" s="57">
        <f t="shared" si="20"/>
        <v>7.9444444444444189E-3</v>
      </c>
      <c r="W135" s="57">
        <f t="shared" si="21"/>
        <v>7.9856666666665889E-3</v>
      </c>
      <c r="X135" s="56">
        <v>3600</v>
      </c>
      <c r="Y135" s="56">
        <v>2400</v>
      </c>
    </row>
    <row r="136" spans="1:25" x14ac:dyDescent="0.25">
      <c r="B136" s="9"/>
      <c r="C136" s="31">
        <v>2378</v>
      </c>
      <c r="D136" s="32">
        <v>32.468000000000004</v>
      </c>
      <c r="E136" s="32">
        <v>38.966999999999999</v>
      </c>
      <c r="F136" s="32">
        <v>38.438000000000002</v>
      </c>
      <c r="G136" s="18">
        <v>3.88</v>
      </c>
      <c r="H136" s="18">
        <f t="shared" si="17"/>
        <v>34.026625000000003</v>
      </c>
      <c r="I136" s="5"/>
      <c r="J136" s="31">
        <v>1609.3488</v>
      </c>
      <c r="K136" s="32">
        <v>33.054699999999997</v>
      </c>
      <c r="L136" s="32">
        <v>40.253300000000003</v>
      </c>
      <c r="M136" s="32">
        <v>39.706699999999998</v>
      </c>
      <c r="N136" s="18">
        <v>4.2679</v>
      </c>
      <c r="O136" s="18">
        <f t="shared" si="18"/>
        <v>34.786024999999995</v>
      </c>
      <c r="P136" s="7"/>
      <c r="Q136" s="10"/>
      <c r="R136" s="11"/>
      <c r="S136" s="11"/>
      <c r="T136" s="26"/>
      <c r="U136" s="28">
        <f t="shared" si="19"/>
        <v>9.9974226804123753E-2</v>
      </c>
      <c r="V136" s="57">
        <f t="shared" si="20"/>
        <v>9.1666666666666667E-3</v>
      </c>
      <c r="W136" s="57">
        <f t="shared" si="21"/>
        <v>5.8429999999999897E-3</v>
      </c>
      <c r="X136" s="56">
        <v>2400</v>
      </c>
      <c r="Y136" s="56">
        <v>1600</v>
      </c>
    </row>
    <row r="137" spans="1:25" x14ac:dyDescent="0.25">
      <c r="B137" s="9"/>
      <c r="C137" s="31">
        <v>1471.59</v>
      </c>
      <c r="D137" s="32">
        <v>30.128</v>
      </c>
      <c r="E137" s="32">
        <v>37.973999999999997</v>
      </c>
      <c r="F137" s="32">
        <v>37.036999999999999</v>
      </c>
      <c r="G137" s="18">
        <v>4.91</v>
      </c>
      <c r="H137" s="18">
        <f t="shared" si="17"/>
        <v>31.972375</v>
      </c>
      <c r="I137" s="5"/>
      <c r="J137" s="31">
        <v>1003.1392</v>
      </c>
      <c r="K137" s="32">
        <v>31.337</v>
      </c>
      <c r="L137" s="32">
        <v>39.421300000000002</v>
      </c>
      <c r="M137" s="32">
        <v>38.533799999999999</v>
      </c>
      <c r="N137" s="18">
        <v>5.2351999999999999</v>
      </c>
      <c r="O137" s="18">
        <f t="shared" si="18"/>
        <v>33.247137500000001</v>
      </c>
      <c r="P137" s="7"/>
      <c r="Q137" s="10"/>
      <c r="R137" s="11"/>
      <c r="S137" s="11"/>
      <c r="T137" s="26"/>
      <c r="U137" s="28">
        <f t="shared" si="19"/>
        <v>6.6232179226069179E-2</v>
      </c>
      <c r="V137" s="57">
        <f t="shared" si="20"/>
        <v>1.8940000000000054E-2</v>
      </c>
      <c r="W137" s="57">
        <f t="shared" si="21"/>
        <v>3.1391999999999596E-3</v>
      </c>
      <c r="X137" s="56">
        <v>1500</v>
      </c>
      <c r="Y137" s="56">
        <v>1000</v>
      </c>
    </row>
    <row r="138" spans="1:25" ht="16.5" thickBot="1" x14ac:dyDescent="0.3">
      <c r="B138" s="12"/>
      <c r="C138" s="33">
        <v>879.6</v>
      </c>
      <c r="D138" s="34">
        <v>27.134</v>
      </c>
      <c r="E138" s="34">
        <v>36.744</v>
      </c>
      <c r="F138" s="34">
        <v>35.165999999999997</v>
      </c>
      <c r="G138" s="20">
        <v>6.06</v>
      </c>
      <c r="H138" s="20">
        <f t="shared" si="17"/>
        <v>29.33925</v>
      </c>
      <c r="I138" s="5"/>
      <c r="J138" s="33">
        <v>600.86400000000003</v>
      </c>
      <c r="K138" s="34">
        <v>29.472899999999999</v>
      </c>
      <c r="L138" s="34">
        <v>38.2453</v>
      </c>
      <c r="M138" s="34">
        <v>36.953400000000002</v>
      </c>
      <c r="N138" s="20">
        <v>6.4894999999999996</v>
      </c>
      <c r="O138" s="20">
        <f t="shared" si="18"/>
        <v>31.504512499999997</v>
      </c>
      <c r="P138" s="7"/>
      <c r="Q138" s="13"/>
      <c r="R138" s="14"/>
      <c r="S138" s="14"/>
      <c r="T138" s="27"/>
      <c r="U138" s="28">
        <f t="shared" si="19"/>
        <v>7.0874587458745877E-2</v>
      </c>
      <c r="V138" s="57">
        <f t="shared" si="20"/>
        <v>2.2666666666666641E-2</v>
      </c>
      <c r="W138" s="57">
        <f t="shared" si="21"/>
        <v>1.4400000000000545E-3</v>
      </c>
      <c r="X138" s="56">
        <v>900</v>
      </c>
      <c r="Y138" s="56">
        <v>600</v>
      </c>
    </row>
    <row r="139" spans="1:25" x14ac:dyDescent="0.25">
      <c r="B139" s="6" t="s">
        <v>48</v>
      </c>
      <c r="C139" s="15">
        <v>3602.3</v>
      </c>
      <c r="D139" s="16">
        <v>33.283999999999999</v>
      </c>
      <c r="E139" s="16">
        <v>39.042000000000002</v>
      </c>
      <c r="F139" s="16">
        <v>41.781999999999996</v>
      </c>
      <c r="G139" s="16">
        <v>3.78</v>
      </c>
      <c r="H139" s="16">
        <f t="shared" si="17"/>
        <v>35.066000000000003</v>
      </c>
      <c r="I139" s="5"/>
      <c r="J139" s="15">
        <v>2388.62</v>
      </c>
      <c r="K139" s="16">
        <v>33.918500000000002</v>
      </c>
      <c r="L139" s="16">
        <v>40.2883</v>
      </c>
      <c r="M139" s="16">
        <v>42.69</v>
      </c>
      <c r="N139" s="16">
        <v>4.3494999999999999</v>
      </c>
      <c r="O139" s="16">
        <f t="shared" si="18"/>
        <v>35.811162500000002</v>
      </c>
      <c r="P139" s="7"/>
      <c r="Q139" s="8">
        <f>bdrate(C139:C142,D139:D142,J139:J142,K139:K142)</f>
        <v>-0.55993463276402822</v>
      </c>
      <c r="R139" s="8">
        <f>bdrate(C139:C142,E139:E142,J139:J142,L139:L142)</f>
        <v>-0.72251784094927907</v>
      </c>
      <c r="S139" s="8">
        <f>bdrate(C139:C142,F139:F142,J139:J142,M139:M142)</f>
        <v>-0.67922791923899006</v>
      </c>
      <c r="T139" s="25">
        <f>bdrate(C139:C142,H139:H142,J139:J142,O139:O142)</f>
        <v>-0.58190091821150958</v>
      </c>
      <c r="U139" s="28">
        <f t="shared" si="19"/>
        <v>0.15066137566137569</v>
      </c>
      <c r="V139" s="57">
        <f t="shared" si="20"/>
        <v>6.3888888888893945E-4</v>
      </c>
      <c r="W139" s="57">
        <f t="shared" si="21"/>
        <v>4.7416666666667126E-3</v>
      </c>
      <c r="X139" s="56">
        <v>3600</v>
      </c>
      <c r="Y139" s="56">
        <v>2400</v>
      </c>
    </row>
    <row r="140" spans="1:25" x14ac:dyDescent="0.25">
      <c r="B140" s="9"/>
      <c r="C140" s="17">
        <v>2372.3200000000002</v>
      </c>
      <c r="D140" s="18">
        <v>32.298000000000002</v>
      </c>
      <c r="E140" s="18">
        <v>38.582999999999998</v>
      </c>
      <c r="F140" s="18">
        <v>41.298999999999999</v>
      </c>
      <c r="G140" s="18">
        <v>4.26</v>
      </c>
      <c r="H140" s="18">
        <f t="shared" si="17"/>
        <v>34.208750000000002</v>
      </c>
      <c r="I140" s="5"/>
      <c r="J140" s="17">
        <v>1595.9567999999999</v>
      </c>
      <c r="K140" s="18">
        <v>33.251899999999999</v>
      </c>
      <c r="L140" s="18">
        <v>39.814</v>
      </c>
      <c r="M140" s="18">
        <v>42.307600000000001</v>
      </c>
      <c r="N140" s="18">
        <v>5.3117999999999999</v>
      </c>
      <c r="O140" s="18">
        <f t="shared" si="18"/>
        <v>35.204124999999998</v>
      </c>
      <c r="P140" s="7"/>
      <c r="Q140" s="10"/>
      <c r="R140" s="11"/>
      <c r="S140" s="11"/>
      <c r="T140" s="26"/>
      <c r="U140" s="28">
        <f t="shared" si="19"/>
        <v>0.24690140845070424</v>
      </c>
      <c r="V140" s="57">
        <f t="shared" si="20"/>
        <v>1.1533333333333265E-2</v>
      </c>
      <c r="W140" s="57">
        <f t="shared" si="21"/>
        <v>2.5270000000000435E-3</v>
      </c>
      <c r="X140" s="56">
        <v>2400</v>
      </c>
      <c r="Y140" s="56">
        <v>1600</v>
      </c>
    </row>
    <row r="141" spans="1:25" x14ac:dyDescent="0.25">
      <c r="B141" s="9"/>
      <c r="C141" s="17">
        <v>1467.05</v>
      </c>
      <c r="D141" s="18">
        <v>30.852</v>
      </c>
      <c r="E141" s="18">
        <v>38.048999999999999</v>
      </c>
      <c r="F141" s="18">
        <v>40.728999999999999</v>
      </c>
      <c r="G141" s="18">
        <v>4.9800000000000004</v>
      </c>
      <c r="H141" s="18">
        <f t="shared" si="17"/>
        <v>32.986249999999998</v>
      </c>
      <c r="I141" s="5"/>
      <c r="J141" s="17">
        <v>1032.4672</v>
      </c>
      <c r="K141" s="18">
        <v>32.214300000000001</v>
      </c>
      <c r="L141" s="18">
        <v>39.080300000000001</v>
      </c>
      <c r="M141" s="18">
        <v>41.6389</v>
      </c>
      <c r="N141" s="18">
        <v>6.391</v>
      </c>
      <c r="O141" s="18">
        <f t="shared" si="18"/>
        <v>34.250624999999999</v>
      </c>
      <c r="P141" s="7"/>
      <c r="Q141" s="10"/>
      <c r="R141" s="11"/>
      <c r="S141" s="11"/>
      <c r="T141" s="26"/>
      <c r="U141" s="28">
        <f t="shared" si="19"/>
        <v>0.28333333333333321</v>
      </c>
      <c r="V141" s="57">
        <f t="shared" si="20"/>
        <v>2.1966666666666697E-2</v>
      </c>
      <c r="W141" s="57">
        <f t="shared" si="21"/>
        <v>3.246720000000005E-2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864.42</v>
      </c>
      <c r="D142" s="20">
        <v>28.867999999999999</v>
      </c>
      <c r="E142" s="20">
        <v>37.420999999999999</v>
      </c>
      <c r="F142" s="20">
        <v>40.064999999999998</v>
      </c>
      <c r="G142" s="20">
        <v>6.05</v>
      </c>
      <c r="H142" s="20">
        <f t="shared" si="17"/>
        <v>31.336749999999999</v>
      </c>
      <c r="I142" s="5"/>
      <c r="J142" s="19">
        <v>598.90160000000003</v>
      </c>
      <c r="K142" s="20">
        <v>30.798300000000001</v>
      </c>
      <c r="L142" s="20">
        <v>38.5167</v>
      </c>
      <c r="M142" s="20">
        <v>41.071199999999997</v>
      </c>
      <c r="N142" s="20">
        <v>7.8826999999999998</v>
      </c>
      <c r="O142" s="20">
        <f t="shared" si="18"/>
        <v>33.047212500000001</v>
      </c>
      <c r="P142" s="7"/>
      <c r="Q142" s="13"/>
      <c r="R142" s="14"/>
      <c r="S142" s="14"/>
      <c r="T142" s="27"/>
      <c r="U142" s="28">
        <f t="shared" si="19"/>
        <v>0.30292561983471072</v>
      </c>
      <c r="V142" s="57">
        <f t="shared" si="20"/>
        <v>3.9533333333333379E-2</v>
      </c>
      <c r="W142" s="57">
        <f t="shared" si="21"/>
        <v>1.8306666666666161E-3</v>
      </c>
      <c r="X142" s="56">
        <v>900</v>
      </c>
      <c r="Y142" s="56">
        <v>600</v>
      </c>
    </row>
    <row r="143" spans="1:25" x14ac:dyDescent="0.25">
      <c r="A143" s="6" t="s">
        <v>37</v>
      </c>
      <c r="B143" s="6" t="s">
        <v>49</v>
      </c>
      <c r="C143" s="15">
        <v>1548.44</v>
      </c>
      <c r="D143" s="16">
        <v>35.209000000000003</v>
      </c>
      <c r="E143" s="16">
        <v>38.567</v>
      </c>
      <c r="F143" s="16">
        <v>38.527999999999999</v>
      </c>
      <c r="G143" s="16">
        <v>13.54</v>
      </c>
      <c r="H143" s="16">
        <f t="shared" si="17"/>
        <v>36.043625000000006</v>
      </c>
      <c r="I143" s="5"/>
      <c r="J143" s="15">
        <v>1222.8304000000001</v>
      </c>
      <c r="K143" s="16">
        <v>35.996200000000002</v>
      </c>
      <c r="L143" s="16">
        <v>40.412999999999997</v>
      </c>
      <c r="M143" s="16">
        <v>40.465000000000003</v>
      </c>
      <c r="N143" s="16">
        <v>11.2181</v>
      </c>
      <c r="O143" s="16">
        <f t="shared" si="18"/>
        <v>37.106899999999996</v>
      </c>
      <c r="P143" s="7"/>
      <c r="Q143" s="8">
        <f>bdrate(C143:C146,D143:D146,J143:J146,K143:K146)</f>
        <v>-0.32970014844204898</v>
      </c>
      <c r="R143" s="8">
        <f>bdrate(C143:C146,E143:E146,J143:J146,L143:L146)</f>
        <v>-0.56355644133691718</v>
      </c>
      <c r="S143" s="8">
        <f>bdrate(C143:C146,F143:F146,J143:J146,M143:M146)</f>
        <v>-0.5323133476713251</v>
      </c>
      <c r="T143" s="25">
        <f>bdrate(C143:C146,H143:H146,J143:J146,O143:O146)</f>
        <v>-0.3785659405291214</v>
      </c>
      <c r="U143" s="28">
        <f t="shared" si="19"/>
        <v>-0.17148449039881827</v>
      </c>
      <c r="V143" s="57">
        <f t="shared" si="20"/>
        <v>1.0064516129031907E-3</v>
      </c>
      <c r="W143" s="57">
        <f t="shared" si="21"/>
        <v>1.902533333333338E-2</v>
      </c>
      <c r="X143" s="56">
        <v>1550</v>
      </c>
      <c r="Y143" s="56">
        <v>1200</v>
      </c>
    </row>
    <row r="144" spans="1:25" x14ac:dyDescent="0.25">
      <c r="A144" s="9" t="s">
        <v>38</v>
      </c>
      <c r="B144" s="9"/>
      <c r="C144" s="17">
        <v>1047.57</v>
      </c>
      <c r="D144" s="18">
        <v>33.671999999999997</v>
      </c>
      <c r="E144" s="18">
        <v>37.380000000000003</v>
      </c>
      <c r="F144" s="18">
        <v>37.264000000000003</v>
      </c>
      <c r="G144" s="18">
        <v>15.44</v>
      </c>
      <c r="H144" s="18">
        <f t="shared" si="17"/>
        <v>34.584499999999998</v>
      </c>
      <c r="I144" s="5"/>
      <c r="J144" s="17">
        <v>806.27440000000001</v>
      </c>
      <c r="K144" s="18">
        <v>34.193800000000003</v>
      </c>
      <c r="L144" s="18">
        <v>39.027099999999997</v>
      </c>
      <c r="M144" s="18">
        <v>38.934600000000003</v>
      </c>
      <c r="N144" s="18">
        <v>13.289</v>
      </c>
      <c r="O144" s="18">
        <f t="shared" si="18"/>
        <v>35.390562500000001</v>
      </c>
      <c r="P144" s="7"/>
      <c r="Q144" s="10"/>
      <c r="R144" s="11"/>
      <c r="S144" s="11"/>
      <c r="T144" s="26"/>
      <c r="U144" s="28">
        <f t="shared" si="19"/>
        <v>-0.13931347150259066</v>
      </c>
      <c r="V144" s="57">
        <f t="shared" si="20"/>
        <v>2.3142857142857748E-3</v>
      </c>
      <c r="W144" s="57">
        <f t="shared" si="21"/>
        <v>7.8430000000000184E-3</v>
      </c>
      <c r="X144" s="56">
        <v>1050</v>
      </c>
      <c r="Y144" s="56">
        <v>800</v>
      </c>
    </row>
    <row r="145" spans="1:25" x14ac:dyDescent="0.25">
      <c r="B145" s="9"/>
      <c r="C145" s="17">
        <v>646.29999999999995</v>
      </c>
      <c r="D145" s="18">
        <v>31.693000000000001</v>
      </c>
      <c r="E145" s="18">
        <v>36.081000000000003</v>
      </c>
      <c r="F145" s="18">
        <v>35.807000000000002</v>
      </c>
      <c r="G145" s="18">
        <v>18.71</v>
      </c>
      <c r="H145" s="18">
        <f t="shared" si="17"/>
        <v>32.755750000000006</v>
      </c>
      <c r="I145" s="5"/>
      <c r="J145" s="17">
        <v>503.4024</v>
      </c>
      <c r="K145" s="18">
        <v>32.287300000000002</v>
      </c>
      <c r="L145" s="18">
        <v>37.664000000000001</v>
      </c>
      <c r="M145" s="18">
        <v>37.3367</v>
      </c>
      <c r="N145" s="18">
        <v>16.387</v>
      </c>
      <c r="O145" s="18">
        <f t="shared" si="18"/>
        <v>33.590562500000004</v>
      </c>
      <c r="P145" s="7"/>
      <c r="Q145" s="10"/>
      <c r="R145" s="11"/>
      <c r="S145" s="11"/>
      <c r="T145" s="26"/>
      <c r="U145" s="28">
        <f t="shared" si="19"/>
        <v>-0.12415820416889366</v>
      </c>
      <c r="V145" s="57">
        <f t="shared" si="20"/>
        <v>5.6923076923077621E-3</v>
      </c>
      <c r="W145" s="57">
        <f t="shared" si="21"/>
        <v>6.8048000000000006E-3</v>
      </c>
      <c r="X145" s="56">
        <v>650</v>
      </c>
      <c r="Y145" s="56">
        <v>500</v>
      </c>
    </row>
    <row r="146" spans="1:25" ht="16.5" thickBot="1" x14ac:dyDescent="0.3">
      <c r="B146" s="12"/>
      <c r="C146" s="19">
        <v>395.97</v>
      </c>
      <c r="D146" s="20">
        <v>29.5</v>
      </c>
      <c r="E146" s="20">
        <v>34.887</v>
      </c>
      <c r="F146" s="20">
        <v>34.323</v>
      </c>
      <c r="G146" s="20">
        <v>23.43</v>
      </c>
      <c r="H146" s="20">
        <f t="shared" si="17"/>
        <v>30.776250000000001</v>
      </c>
      <c r="I146" s="5"/>
      <c r="J146" s="19">
        <v>302.71199999999999</v>
      </c>
      <c r="K146" s="20">
        <v>30.276599999999998</v>
      </c>
      <c r="L146" s="20">
        <v>36.275300000000001</v>
      </c>
      <c r="M146" s="20">
        <v>35.842300000000002</v>
      </c>
      <c r="N146" s="20">
        <v>20.6723</v>
      </c>
      <c r="O146" s="20">
        <f t="shared" si="18"/>
        <v>31.722149999999996</v>
      </c>
      <c r="P146" s="7"/>
      <c r="Q146" s="13"/>
      <c r="R146" s="14"/>
      <c r="S146" s="14"/>
      <c r="T146" s="27"/>
      <c r="U146" s="28">
        <f t="shared" si="19"/>
        <v>-0.11769953051643192</v>
      </c>
      <c r="V146" s="57">
        <f t="shared" si="20"/>
        <v>1.0074999999999931E-2</v>
      </c>
      <c r="W146" s="57">
        <f t="shared" si="21"/>
        <v>9.039999999999963E-3</v>
      </c>
      <c r="X146" s="56">
        <v>400</v>
      </c>
      <c r="Y146" s="56">
        <v>300</v>
      </c>
    </row>
    <row r="147" spans="1:25" x14ac:dyDescent="0.25">
      <c r="B147" s="6" t="s">
        <v>50</v>
      </c>
      <c r="C147" s="15">
        <v>1551.97</v>
      </c>
      <c r="D147" s="16">
        <v>35.575000000000003</v>
      </c>
      <c r="E147" s="16">
        <v>40.072000000000003</v>
      </c>
      <c r="F147" s="16">
        <v>40.901000000000003</v>
      </c>
      <c r="G147" s="16">
        <v>15.04</v>
      </c>
      <c r="H147" s="16">
        <f t="shared" si="17"/>
        <v>36.802875</v>
      </c>
      <c r="I147" s="5"/>
      <c r="J147" s="15">
        <v>1224.8463999999999</v>
      </c>
      <c r="K147" s="16">
        <v>35.847000000000001</v>
      </c>
      <c r="L147" s="16">
        <v>41.373600000000003</v>
      </c>
      <c r="M147" s="16">
        <v>42.385599999999997</v>
      </c>
      <c r="N147" s="16">
        <v>13.010999999999999</v>
      </c>
      <c r="O147" s="16">
        <f t="shared" si="18"/>
        <v>37.355150000000002</v>
      </c>
      <c r="P147" s="7"/>
      <c r="Q147" s="8">
        <f>bdrate(C147:C150,D147:D150,J147:J150,K147:K150)</f>
        <v>-0.33007191104250522</v>
      </c>
      <c r="R147" s="8">
        <f>bdrate(C147:C150,E147:E150,J147:J150,L147:L150)</f>
        <v>-0.53782103169802153</v>
      </c>
      <c r="S147" s="8">
        <f>bdrate(C147:C150,F147:F150,J147:J150,M147:M150)</f>
        <v>-0.53622607862103577</v>
      </c>
      <c r="T147" s="25">
        <f>bdrate(C147:C150,H147:H150,J147:J150,O147:O150)</f>
        <v>-0.36792518103349636</v>
      </c>
      <c r="U147" s="28">
        <f t="shared" si="19"/>
        <v>-0.13490691489361703</v>
      </c>
      <c r="V147" s="57">
        <f t="shared" si="20"/>
        <v>1.2709677419355016E-3</v>
      </c>
      <c r="W147" s="57">
        <f t="shared" si="21"/>
        <v>2.0705333333333253E-2</v>
      </c>
      <c r="X147" s="56">
        <v>1550</v>
      </c>
      <c r="Y147" s="56">
        <v>1200</v>
      </c>
    </row>
    <row r="148" spans="1:25" x14ac:dyDescent="0.25">
      <c r="B148" s="9"/>
      <c r="C148" s="17">
        <v>1051.8499999999999</v>
      </c>
      <c r="D148" s="18">
        <v>33.840000000000003</v>
      </c>
      <c r="E148" s="18">
        <v>39.182000000000002</v>
      </c>
      <c r="F148" s="18">
        <v>39.893000000000001</v>
      </c>
      <c r="G148" s="18">
        <v>17.11</v>
      </c>
      <c r="H148" s="18">
        <f t="shared" si="17"/>
        <v>35.264375000000001</v>
      </c>
      <c r="I148" s="5"/>
      <c r="J148" s="17">
        <v>815.80160000000001</v>
      </c>
      <c r="K148" s="18">
        <v>34.306899999999999</v>
      </c>
      <c r="L148" s="18">
        <v>40.389699999999998</v>
      </c>
      <c r="M148" s="18">
        <v>41.279899999999998</v>
      </c>
      <c r="N148" s="18">
        <v>15.3292</v>
      </c>
      <c r="O148" s="18">
        <f t="shared" si="18"/>
        <v>35.938874999999996</v>
      </c>
      <c r="P148" s="7"/>
      <c r="Q148" s="10"/>
      <c r="R148" s="11"/>
      <c r="S148" s="11"/>
      <c r="T148" s="26"/>
      <c r="U148" s="28">
        <f t="shared" si="19"/>
        <v>-0.10407948568088833</v>
      </c>
      <c r="V148" s="57">
        <f t="shared" si="20"/>
        <v>1.7619047619046753E-3</v>
      </c>
      <c r="W148" s="57">
        <f t="shared" si="21"/>
        <v>1.9752000000000009E-2</v>
      </c>
      <c r="X148" s="56">
        <v>1050</v>
      </c>
      <c r="Y148" s="56">
        <v>800</v>
      </c>
    </row>
    <row r="149" spans="1:25" x14ac:dyDescent="0.25">
      <c r="B149" s="9"/>
      <c r="C149" s="17">
        <v>651.78</v>
      </c>
      <c r="D149" s="18">
        <v>31.608000000000001</v>
      </c>
      <c r="E149" s="18">
        <v>38.151000000000003</v>
      </c>
      <c r="F149" s="18">
        <v>38.793999999999997</v>
      </c>
      <c r="G149" s="18">
        <v>19.989999999999998</v>
      </c>
      <c r="H149" s="18">
        <f t="shared" si="17"/>
        <v>33.324125000000002</v>
      </c>
      <c r="I149" s="5"/>
      <c r="J149" s="17">
        <v>508.28480000000002</v>
      </c>
      <c r="K149" s="18">
        <v>32.408099999999997</v>
      </c>
      <c r="L149" s="18">
        <v>39.281300000000002</v>
      </c>
      <c r="M149" s="18">
        <v>40.0169</v>
      </c>
      <c r="N149" s="18">
        <v>18.7758</v>
      </c>
      <c r="O149" s="18">
        <f t="shared" si="18"/>
        <v>34.218350000000001</v>
      </c>
      <c r="P149" s="7"/>
      <c r="Q149" s="10"/>
      <c r="R149" s="11"/>
      <c r="S149" s="11"/>
      <c r="T149" s="26"/>
      <c r="U149" s="28">
        <f t="shared" si="19"/>
        <v>-6.0740370185092457E-2</v>
      </c>
      <c r="V149" s="57">
        <f t="shared" si="20"/>
        <v>2.7384615384614965E-3</v>
      </c>
      <c r="W149" s="57">
        <f t="shared" si="21"/>
        <v>1.6569600000000038E-2</v>
      </c>
      <c r="X149" s="56">
        <v>650</v>
      </c>
      <c r="Y149" s="56">
        <v>500</v>
      </c>
    </row>
    <row r="150" spans="1:25" ht="16.5" thickBot="1" x14ac:dyDescent="0.3">
      <c r="B150" s="12"/>
      <c r="C150" s="19">
        <v>402.95</v>
      </c>
      <c r="D150" s="20">
        <v>29.219000000000001</v>
      </c>
      <c r="E150" s="20">
        <v>37.219000000000001</v>
      </c>
      <c r="F150" s="20">
        <v>37.719000000000001</v>
      </c>
      <c r="G150" s="20">
        <v>23.92</v>
      </c>
      <c r="H150" s="20">
        <f t="shared" si="17"/>
        <v>31.281500000000001</v>
      </c>
      <c r="I150" s="5"/>
      <c r="J150" s="19">
        <v>304.28960000000001</v>
      </c>
      <c r="K150" s="20">
        <v>30.251899999999999</v>
      </c>
      <c r="L150" s="20">
        <v>38.161499999999997</v>
      </c>
      <c r="M150" s="20">
        <v>38.738</v>
      </c>
      <c r="N150" s="20">
        <v>23.485199999999999</v>
      </c>
      <c r="O150" s="20">
        <f t="shared" si="18"/>
        <v>32.301362499999996</v>
      </c>
      <c r="P150" s="7"/>
      <c r="Q150" s="13"/>
      <c r="R150" s="14"/>
      <c r="S150" s="14"/>
      <c r="T150" s="27"/>
      <c r="U150" s="28">
        <f t="shared" si="19"/>
        <v>-1.8177257525083725E-2</v>
      </c>
      <c r="V150" s="57">
        <f t="shared" si="20"/>
        <v>7.3749999999999719E-3</v>
      </c>
      <c r="W150" s="57">
        <f t="shared" si="21"/>
        <v>1.429866666666669E-2</v>
      </c>
      <c r="X150" s="56">
        <v>400</v>
      </c>
      <c r="Y150" s="56">
        <v>300</v>
      </c>
    </row>
    <row r="151" spans="1:25" x14ac:dyDescent="0.25">
      <c r="B151" s="6" t="s">
        <v>51</v>
      </c>
      <c r="C151" s="15">
        <v>1420.72</v>
      </c>
      <c r="D151" s="16">
        <v>30.085999999999999</v>
      </c>
      <c r="E151" s="16">
        <v>35.78</v>
      </c>
      <c r="F151" s="16">
        <v>36.514000000000003</v>
      </c>
      <c r="G151" s="16">
        <v>13.74</v>
      </c>
      <c r="H151" s="16">
        <f t="shared" si="17"/>
        <v>31.60125</v>
      </c>
      <c r="I151" s="5"/>
      <c r="J151" s="15">
        <v>1214.4936</v>
      </c>
      <c r="K151" s="16">
        <v>30.8431</v>
      </c>
      <c r="L151" s="16">
        <v>37.345300000000002</v>
      </c>
      <c r="M151" s="16">
        <v>38.179000000000002</v>
      </c>
      <c r="N151" s="16">
        <v>10.783300000000001</v>
      </c>
      <c r="O151" s="16">
        <f t="shared" si="18"/>
        <v>32.572862499999999</v>
      </c>
      <c r="P151" s="7"/>
      <c r="Q151" s="8">
        <f>bdrate(C151:C154,D151:D154,J151:J154,K151:K154)</f>
        <v>-0.33336810155785845</v>
      </c>
      <c r="R151" s="8">
        <f>bdrate(C151:C154,E151:E154,J151:J154,L151:L154)</f>
        <v>-0.60398688565355552</v>
      </c>
      <c r="S151" s="8">
        <f>bdrate(C151:C154,F151:F154,J151:J154,M151:M154)</f>
        <v>-0.60586619352177706</v>
      </c>
      <c r="T151" s="25">
        <f>bdrate(C151:C154,H151:H154,J151:J154,O151:O154)</f>
        <v>-0.37990959922748035</v>
      </c>
      <c r="U151" s="28">
        <f t="shared" si="19"/>
        <v>-0.21518922852983985</v>
      </c>
      <c r="V151" s="57">
        <f t="shared" si="20"/>
        <v>8.3406451612903207E-2</v>
      </c>
      <c r="W151" s="57">
        <f t="shared" si="21"/>
        <v>1.2078000000000012E-2</v>
      </c>
      <c r="X151" s="56">
        <v>1550</v>
      </c>
      <c r="Y151" s="56">
        <v>1200</v>
      </c>
    </row>
    <row r="152" spans="1:25" x14ac:dyDescent="0.25">
      <c r="B152" s="9"/>
      <c r="C152" s="17">
        <v>964.44</v>
      </c>
      <c r="D152" s="18">
        <v>28.672999999999998</v>
      </c>
      <c r="E152" s="18">
        <v>35.188000000000002</v>
      </c>
      <c r="F152" s="18">
        <v>35.911999999999999</v>
      </c>
      <c r="G152" s="18">
        <v>15.32</v>
      </c>
      <c r="H152" s="18">
        <f t="shared" si="17"/>
        <v>30.392250000000001</v>
      </c>
      <c r="I152" s="5"/>
      <c r="J152" s="17">
        <v>809.02959999999996</v>
      </c>
      <c r="K152" s="18">
        <v>29.439800000000002</v>
      </c>
      <c r="L152" s="18">
        <v>36.543199999999999</v>
      </c>
      <c r="M152" s="18">
        <v>37.340200000000003</v>
      </c>
      <c r="N152" s="18">
        <v>12.9436</v>
      </c>
      <c r="O152" s="18">
        <f t="shared" si="18"/>
        <v>31.315275000000003</v>
      </c>
      <c r="P152" s="7"/>
      <c r="Q152" s="10"/>
      <c r="R152" s="11"/>
      <c r="S152" s="11"/>
      <c r="T152" s="26"/>
      <c r="U152" s="28">
        <f t="shared" si="19"/>
        <v>-0.15511749347258488</v>
      </c>
      <c r="V152" s="57">
        <f t="shared" si="20"/>
        <v>8.1485714285714231E-2</v>
      </c>
      <c r="W152" s="57">
        <f t="shared" si="21"/>
        <v>1.128699999999995E-2</v>
      </c>
      <c r="X152" s="56">
        <v>1050</v>
      </c>
      <c r="Y152" s="56">
        <v>800</v>
      </c>
    </row>
    <row r="153" spans="1:25" x14ac:dyDescent="0.25">
      <c r="B153" s="9"/>
      <c r="C153" s="17">
        <v>600.16</v>
      </c>
      <c r="D153" s="18">
        <v>27.065000000000001</v>
      </c>
      <c r="E153" s="18">
        <v>34.567999999999998</v>
      </c>
      <c r="F153" s="18">
        <v>35.319000000000003</v>
      </c>
      <c r="G153" s="18">
        <v>17.59</v>
      </c>
      <c r="H153" s="18">
        <f t="shared" si="17"/>
        <v>29.034625000000005</v>
      </c>
      <c r="I153" s="5"/>
      <c r="J153" s="17">
        <v>506.80799999999999</v>
      </c>
      <c r="K153" s="18">
        <v>27.866099999999999</v>
      </c>
      <c r="L153" s="18">
        <v>35.642899999999997</v>
      </c>
      <c r="M153" s="18">
        <v>36.409399999999998</v>
      </c>
      <c r="N153" s="18">
        <v>15.8927</v>
      </c>
      <c r="O153" s="18">
        <f t="shared" si="18"/>
        <v>29.906112499999999</v>
      </c>
      <c r="P153" s="7"/>
      <c r="Q153" s="10"/>
      <c r="R153" s="11"/>
      <c r="S153" s="11"/>
      <c r="T153" s="26"/>
      <c r="U153" s="28">
        <f t="shared" si="19"/>
        <v>-9.6492325184764083E-2</v>
      </c>
      <c r="V153" s="57">
        <f t="shared" si="20"/>
        <v>7.6676923076923129E-2</v>
      </c>
      <c r="W153" s="57">
        <f t="shared" si="21"/>
        <v>1.3615999999999986E-2</v>
      </c>
      <c r="X153" s="56">
        <v>650</v>
      </c>
      <c r="Y153" s="56">
        <v>500</v>
      </c>
    </row>
    <row r="154" spans="1:25" ht="16.5" thickBot="1" x14ac:dyDescent="0.3">
      <c r="B154" s="12"/>
      <c r="C154" s="19">
        <v>371.38</v>
      </c>
      <c r="D154" s="20">
        <v>25.553999999999998</v>
      </c>
      <c r="E154" s="20">
        <v>34.000999999999998</v>
      </c>
      <c r="F154" s="20">
        <v>34.722999999999999</v>
      </c>
      <c r="G154" s="20">
        <v>20.64</v>
      </c>
      <c r="H154" s="20">
        <f t="shared" si="17"/>
        <v>27.756</v>
      </c>
      <c r="I154" s="5"/>
      <c r="J154" s="19">
        <v>305.24160000000001</v>
      </c>
      <c r="K154" s="20">
        <v>26.275200000000002</v>
      </c>
      <c r="L154" s="20">
        <v>34.841299999999997</v>
      </c>
      <c r="M154" s="20">
        <v>35.539700000000003</v>
      </c>
      <c r="N154" s="20">
        <v>19.653300000000002</v>
      </c>
      <c r="O154" s="20">
        <f t="shared" si="18"/>
        <v>28.504025000000002</v>
      </c>
      <c r="P154" s="7"/>
      <c r="Q154" s="13"/>
      <c r="R154" s="14"/>
      <c r="S154" s="14"/>
      <c r="T154" s="27"/>
      <c r="U154" s="28">
        <f t="shared" si="19"/>
        <v>-4.7805232558139489E-2</v>
      </c>
      <c r="V154" s="57">
        <f t="shared" si="20"/>
        <v>7.1550000000000016E-2</v>
      </c>
      <c r="W154" s="57">
        <f t="shared" si="21"/>
        <v>1.7472000000000019E-2</v>
      </c>
      <c r="X154" s="56">
        <v>400</v>
      </c>
      <c r="Y154" s="56">
        <v>300</v>
      </c>
    </row>
    <row r="155" spans="1:25" x14ac:dyDescent="0.25">
      <c r="B155" s="6" t="s">
        <v>52</v>
      </c>
      <c r="C155" s="15">
        <v>1424.64</v>
      </c>
      <c r="D155" s="16">
        <v>33.32</v>
      </c>
      <c r="E155" s="16">
        <v>36.92</v>
      </c>
      <c r="F155" s="16">
        <v>38.622</v>
      </c>
      <c r="G155" s="16">
        <v>10.39</v>
      </c>
      <c r="H155" s="16">
        <f t="shared" si="17"/>
        <v>34.432750000000006</v>
      </c>
      <c r="I155" s="5"/>
      <c r="J155" s="15">
        <v>1191.8416</v>
      </c>
      <c r="K155" s="16">
        <v>32.8401</v>
      </c>
      <c r="L155" s="16">
        <v>37.613999999999997</v>
      </c>
      <c r="M155" s="16">
        <v>39.237200000000001</v>
      </c>
      <c r="N155" s="16">
        <v>7.5034000000000001</v>
      </c>
      <c r="O155" s="16">
        <f t="shared" si="18"/>
        <v>34.236474999999999</v>
      </c>
      <c r="P155" s="7"/>
      <c r="Q155" s="8">
        <f>bdrate(C155:C158,D155:D158,J155:J158,K155:K158)</f>
        <v>-0.12400775966267374</v>
      </c>
      <c r="R155" s="8">
        <f>bdrate(C155:C158,E155:E158,J155:J158,L155:L158)</f>
        <v>-0.40339403748559932</v>
      </c>
      <c r="S155" s="8">
        <f>bdrate(C155:C158,F155:F158,J155:J158,M155:M158)</f>
        <v>-0.40408283821546676</v>
      </c>
      <c r="T155" s="25">
        <f>bdrate(C155:C158,H155:H158,J155:J158,O155:O158)</f>
        <v>-0.1715687656832996</v>
      </c>
      <c r="U155" s="28">
        <f t="shared" si="19"/>
        <v>-0.27782483156881621</v>
      </c>
      <c r="V155" s="57">
        <f t="shared" si="20"/>
        <v>8.0877419354838651E-2</v>
      </c>
      <c r="W155" s="57">
        <f t="shared" si="21"/>
        <v>6.7986666666666907E-3</v>
      </c>
      <c r="X155" s="56">
        <v>1550</v>
      </c>
      <c r="Y155" s="56">
        <v>1200</v>
      </c>
    </row>
    <row r="156" spans="1:25" x14ac:dyDescent="0.25">
      <c r="B156" s="9"/>
      <c r="C156" s="17">
        <v>974.02</v>
      </c>
      <c r="D156" s="18">
        <v>31.74</v>
      </c>
      <c r="E156" s="18">
        <v>36.134</v>
      </c>
      <c r="F156" s="18">
        <v>37.795000000000002</v>
      </c>
      <c r="G156" s="18">
        <v>11.76</v>
      </c>
      <c r="H156" s="18">
        <f t="shared" si="17"/>
        <v>33.046125000000004</v>
      </c>
      <c r="I156" s="5"/>
      <c r="J156" s="17">
        <v>801.03599999999994</v>
      </c>
      <c r="K156" s="18">
        <v>31.351099999999999</v>
      </c>
      <c r="L156" s="18">
        <v>36.770499999999998</v>
      </c>
      <c r="M156" s="18">
        <v>38.409700000000001</v>
      </c>
      <c r="N156" s="18">
        <v>8.9595000000000002</v>
      </c>
      <c r="O156" s="18">
        <f t="shared" si="18"/>
        <v>32.910849999999996</v>
      </c>
      <c r="P156" s="7"/>
      <c r="Q156" s="10"/>
      <c r="R156" s="11"/>
      <c r="S156" s="11"/>
      <c r="T156" s="26"/>
      <c r="U156" s="28">
        <f t="shared" si="19"/>
        <v>-0.23813775510204077</v>
      </c>
      <c r="V156" s="57">
        <f t="shared" si="20"/>
        <v>7.236190476190478E-2</v>
      </c>
      <c r="W156" s="57">
        <f t="shared" si="21"/>
        <v>1.2949999999999308E-3</v>
      </c>
      <c r="X156" s="56">
        <v>1050</v>
      </c>
      <c r="Y156" s="56">
        <v>800</v>
      </c>
    </row>
    <row r="157" spans="1:25" x14ac:dyDescent="0.25">
      <c r="B157" s="9"/>
      <c r="C157" s="17">
        <v>614.14</v>
      </c>
      <c r="D157" s="18">
        <v>29.844999999999999</v>
      </c>
      <c r="E157" s="18">
        <v>35.228999999999999</v>
      </c>
      <c r="F157" s="18">
        <v>36.792999999999999</v>
      </c>
      <c r="G157" s="18">
        <v>13.72</v>
      </c>
      <c r="H157" s="18">
        <f t="shared" si="17"/>
        <v>31.386499999999998</v>
      </c>
      <c r="I157" s="5"/>
      <c r="J157" s="17">
        <v>502.31119999999999</v>
      </c>
      <c r="K157" s="18">
        <v>29.618200000000002</v>
      </c>
      <c r="L157" s="18">
        <v>35.846299999999999</v>
      </c>
      <c r="M157" s="18">
        <v>37.492800000000003</v>
      </c>
      <c r="N157" s="18">
        <v>11.0375</v>
      </c>
      <c r="O157" s="18">
        <f t="shared" si="18"/>
        <v>31.381037499999998</v>
      </c>
      <c r="P157" s="7"/>
      <c r="Q157" s="10"/>
      <c r="R157" s="11"/>
      <c r="S157" s="11"/>
      <c r="T157" s="26"/>
      <c r="U157" s="28">
        <f t="shared" si="19"/>
        <v>-0.19551749271137034</v>
      </c>
      <c r="V157" s="57">
        <f t="shared" si="20"/>
        <v>5.516923076923079E-2</v>
      </c>
      <c r="W157" s="57">
        <f t="shared" si="21"/>
        <v>4.6223999999999701E-3</v>
      </c>
      <c r="X157" s="56">
        <v>650</v>
      </c>
      <c r="Y157" s="56">
        <v>500</v>
      </c>
    </row>
    <row r="158" spans="1:25" ht="16.5" thickBot="1" x14ac:dyDescent="0.3">
      <c r="B158" s="12"/>
      <c r="C158" s="19">
        <v>382.15</v>
      </c>
      <c r="D158" s="20">
        <v>27.945</v>
      </c>
      <c r="E158" s="20">
        <v>34.256</v>
      </c>
      <c r="F158" s="20">
        <v>35.627000000000002</v>
      </c>
      <c r="G158" s="20">
        <v>16.54</v>
      </c>
      <c r="H158" s="20">
        <f t="shared" si="17"/>
        <v>29.694125000000003</v>
      </c>
      <c r="I158" s="5"/>
      <c r="J158" s="19">
        <v>302.60239999999999</v>
      </c>
      <c r="K158" s="20">
        <v>27.9986</v>
      </c>
      <c r="L158" s="20">
        <v>34.887099999999997</v>
      </c>
      <c r="M158" s="20">
        <v>36.474600000000002</v>
      </c>
      <c r="N158" s="20">
        <v>14.071300000000001</v>
      </c>
      <c r="O158" s="20">
        <f t="shared" si="18"/>
        <v>29.919162500000002</v>
      </c>
      <c r="P158" s="7"/>
      <c r="Q158" s="13"/>
      <c r="R158" s="14"/>
      <c r="S158" s="14"/>
      <c r="T158" s="27"/>
      <c r="U158" s="28">
        <f t="shared" si="19"/>
        <v>-0.14925634824667464</v>
      </c>
      <c r="V158" s="57">
        <f t="shared" si="20"/>
        <v>4.4625000000000054E-2</v>
      </c>
      <c r="W158" s="57">
        <f t="shared" si="21"/>
        <v>8.6746666666666292E-3</v>
      </c>
      <c r="X158" s="56">
        <v>400</v>
      </c>
      <c r="Y158" s="56">
        <v>300</v>
      </c>
    </row>
    <row r="159" spans="1:25" x14ac:dyDescent="0.25">
      <c r="A159" s="6" t="s">
        <v>39</v>
      </c>
      <c r="B159" s="6" t="s">
        <v>53</v>
      </c>
      <c r="C159" s="15">
        <v>846.61</v>
      </c>
      <c r="D159" s="16">
        <v>36.006</v>
      </c>
      <c r="E159" s="16">
        <v>39.893000000000001</v>
      </c>
      <c r="F159" s="16">
        <v>38.67</v>
      </c>
      <c r="G159" s="16">
        <v>40.6</v>
      </c>
      <c r="H159" s="16">
        <f t="shared" si="17"/>
        <v>36.824874999999999</v>
      </c>
      <c r="I159" s="5"/>
      <c r="J159" s="15">
        <v>609.67520000000002</v>
      </c>
      <c r="K159" s="16">
        <v>35.027999999999999</v>
      </c>
      <c r="L159" s="16">
        <v>40.783099999999997</v>
      </c>
      <c r="M159" s="16">
        <v>39.210099999999997</v>
      </c>
      <c r="N159" s="16">
        <v>31.784400000000002</v>
      </c>
      <c r="O159" s="16">
        <f t="shared" si="18"/>
        <v>36.270150000000001</v>
      </c>
      <c r="P159" s="7"/>
      <c r="Q159" s="8">
        <f>bdrate(C159:C162,D159:D162,J159:J162,K159:K162)</f>
        <v>-0.15669966508922362</v>
      </c>
      <c r="R159" s="8">
        <f>bdrate(C159:C162,E159:E162,J159:J162,L159:L162)</f>
        <v>-0.47523456660957852</v>
      </c>
      <c r="S159" s="8">
        <f>bdrate(C159:C162,F159:F162,J159:J162,M159:M162)</f>
        <v>-0.39978583523923727</v>
      </c>
      <c r="T159" s="25">
        <f>bdrate(C159:C162,H159:H162,J159:J162,O159:O162)</f>
        <v>-0.21113072121894982</v>
      </c>
      <c r="U159" s="28">
        <f t="shared" si="19"/>
        <v>-0.21713300492610837</v>
      </c>
      <c r="V159" s="57">
        <f t="shared" si="20"/>
        <v>5.8262500000000016E-2</v>
      </c>
      <c r="W159" s="57">
        <f t="shared" si="21"/>
        <v>1.6125333333333363E-2</v>
      </c>
      <c r="X159" s="56">
        <v>800</v>
      </c>
      <c r="Y159" s="56">
        <v>600</v>
      </c>
    </row>
    <row r="160" spans="1:25" x14ac:dyDescent="0.25">
      <c r="A160" s="9" t="s">
        <v>40</v>
      </c>
      <c r="B160" s="9"/>
      <c r="C160" s="17">
        <v>533.21</v>
      </c>
      <c r="D160" s="18">
        <v>33.71</v>
      </c>
      <c r="E160" s="18">
        <v>38.552999999999997</v>
      </c>
      <c r="F160" s="18">
        <v>37.116999999999997</v>
      </c>
      <c r="G160" s="18">
        <v>46.02</v>
      </c>
      <c r="H160" s="18">
        <f t="shared" si="17"/>
        <v>34.741250000000001</v>
      </c>
      <c r="I160" s="5"/>
      <c r="J160" s="17">
        <v>405.88560000000001</v>
      </c>
      <c r="K160" s="18">
        <v>33.119</v>
      </c>
      <c r="L160" s="18">
        <v>39.552100000000003</v>
      </c>
      <c r="M160" s="18">
        <v>37.837000000000003</v>
      </c>
      <c r="N160" s="18">
        <v>37.6053</v>
      </c>
      <c r="O160" s="18">
        <f t="shared" si="18"/>
        <v>34.512887499999998</v>
      </c>
      <c r="P160" s="7"/>
      <c r="Q160" s="10"/>
      <c r="R160" s="11"/>
      <c r="S160" s="11"/>
      <c r="T160" s="26"/>
      <c r="U160" s="28">
        <f t="shared" si="19"/>
        <v>-0.18284876140808351</v>
      </c>
      <c r="V160" s="57">
        <f t="shared" si="20"/>
        <v>6.6420000000000076E-2</v>
      </c>
      <c r="W160" s="57">
        <f t="shared" si="21"/>
        <v>1.4714000000000027E-2</v>
      </c>
      <c r="X160" s="56">
        <v>500</v>
      </c>
      <c r="Y160" s="56">
        <v>400</v>
      </c>
    </row>
    <row r="161" spans="1:25" x14ac:dyDescent="0.25">
      <c r="B161" s="9"/>
      <c r="C161" s="17">
        <v>321.25</v>
      </c>
      <c r="D161" s="18">
        <v>31.356999999999999</v>
      </c>
      <c r="E161" s="18">
        <v>37.344000000000001</v>
      </c>
      <c r="F161" s="18">
        <v>35.695999999999998</v>
      </c>
      <c r="G161" s="18">
        <v>54.23</v>
      </c>
      <c r="H161" s="18">
        <f t="shared" si="17"/>
        <v>32.647750000000002</v>
      </c>
      <c r="I161" s="5"/>
      <c r="J161" s="17">
        <v>252.58799999999999</v>
      </c>
      <c r="K161" s="18">
        <v>31.036899999999999</v>
      </c>
      <c r="L161" s="18">
        <v>38.331499999999998</v>
      </c>
      <c r="M161" s="18">
        <v>36.4724</v>
      </c>
      <c r="N161" s="18">
        <v>46.589599999999997</v>
      </c>
      <c r="O161" s="18">
        <f t="shared" si="18"/>
        <v>32.628162500000002</v>
      </c>
      <c r="P161" s="7"/>
      <c r="Q161" s="10"/>
      <c r="R161" s="11"/>
      <c r="S161" s="11"/>
      <c r="T161" s="26"/>
      <c r="U161" s="28">
        <f t="shared" si="19"/>
        <v>-0.14088880693343167</v>
      </c>
      <c r="V161" s="57">
        <f t="shared" si="20"/>
        <v>7.0833333333333331E-2</v>
      </c>
      <c r="W161" s="57">
        <f t="shared" si="21"/>
        <v>1.0351999999999976E-2</v>
      </c>
      <c r="X161" s="56">
        <v>300</v>
      </c>
      <c r="Y161" s="56">
        <v>250</v>
      </c>
    </row>
    <row r="162" spans="1:25" ht="16.5" thickBot="1" x14ac:dyDescent="0.3">
      <c r="B162" s="12"/>
      <c r="C162" s="19">
        <v>162.11000000000001</v>
      </c>
      <c r="D162" s="20">
        <v>28.321999999999999</v>
      </c>
      <c r="E162" s="20">
        <v>35.978999999999999</v>
      </c>
      <c r="F162" s="20">
        <v>33.884</v>
      </c>
      <c r="G162" s="20">
        <v>72.47</v>
      </c>
      <c r="H162" s="20">
        <f t="shared" si="17"/>
        <v>29.974375000000002</v>
      </c>
      <c r="I162" s="5"/>
      <c r="J162" s="19">
        <v>121.524</v>
      </c>
      <c r="K162" s="20">
        <v>28.136500000000002</v>
      </c>
      <c r="L162" s="20">
        <v>36.6021</v>
      </c>
      <c r="M162" s="20">
        <v>34.452300000000001</v>
      </c>
      <c r="N162" s="20">
        <v>66.934399999999997</v>
      </c>
      <c r="O162" s="20">
        <f t="shared" si="18"/>
        <v>29.984175000000004</v>
      </c>
      <c r="P162" s="7"/>
      <c r="Q162" s="13"/>
      <c r="R162" s="14"/>
      <c r="S162" s="14"/>
      <c r="T162" s="27"/>
      <c r="U162" s="28">
        <f t="shared" si="19"/>
        <v>-7.6384710914861348E-2</v>
      </c>
      <c r="V162" s="57">
        <f t="shared" si="20"/>
        <v>8.0733333333333421E-2</v>
      </c>
      <c r="W162" s="57">
        <f t="shared" si="21"/>
        <v>1.2700000000000008E-2</v>
      </c>
      <c r="X162" s="56">
        <v>150</v>
      </c>
      <c r="Y162" s="56">
        <v>120</v>
      </c>
    </row>
    <row r="163" spans="1:25" x14ac:dyDescent="0.25">
      <c r="B163" s="6" t="s">
        <v>54</v>
      </c>
      <c r="C163" s="15">
        <v>741.98</v>
      </c>
      <c r="D163" s="16">
        <v>32.948</v>
      </c>
      <c r="E163" s="16">
        <v>39.75</v>
      </c>
      <c r="F163" s="16">
        <v>40.506999999999998</v>
      </c>
      <c r="G163" s="16">
        <v>50.48</v>
      </c>
      <c r="H163" s="16">
        <f t="shared" si="17"/>
        <v>34.743124999999999</v>
      </c>
      <c r="I163" s="5"/>
      <c r="J163" s="15">
        <v>602.83519999999999</v>
      </c>
      <c r="K163" s="16">
        <v>33.9422</v>
      </c>
      <c r="L163" s="16">
        <v>41.738100000000003</v>
      </c>
      <c r="M163" s="16">
        <v>42.686599999999999</v>
      </c>
      <c r="N163" s="16">
        <v>40.053400000000003</v>
      </c>
      <c r="O163" s="16">
        <f t="shared" si="18"/>
        <v>36.0097375</v>
      </c>
      <c r="P163" s="7"/>
      <c r="Q163" s="8">
        <f>bdrate(C163:C166,D163:D166,J163:J166,K163:K166)</f>
        <v>-0.43499211865863652</v>
      </c>
      <c r="R163" s="8">
        <f>bdrate(C163:C166,E163:E166,J163:J166,L163:L166)</f>
        <v>-0.67704002199373392</v>
      </c>
      <c r="S163" s="8">
        <f>bdrate(C163:C166,F163:F166,J163:J166,M163:M166)</f>
        <v>-0.71040810333018789</v>
      </c>
      <c r="T163" s="25">
        <f>bdrate(C163:C166,H163:H166,J163:J166,O163:O166)</f>
        <v>-0.48035949178001414</v>
      </c>
      <c r="U163" s="28">
        <f t="shared" si="19"/>
        <v>-0.20654912836767025</v>
      </c>
      <c r="V163" s="57">
        <f t="shared" si="20"/>
        <v>7.2524999999999978E-2</v>
      </c>
      <c r="W163" s="57">
        <f t="shared" si="21"/>
        <v>4.7253333333333106E-3</v>
      </c>
      <c r="X163" s="56">
        <v>800</v>
      </c>
      <c r="Y163" s="56">
        <v>600</v>
      </c>
    </row>
    <row r="164" spans="1:25" x14ac:dyDescent="0.25">
      <c r="B164" s="9"/>
      <c r="C164" s="17">
        <v>456.36</v>
      </c>
      <c r="D164" s="18">
        <v>31.216999999999999</v>
      </c>
      <c r="E164" s="18">
        <v>39.159999999999997</v>
      </c>
      <c r="F164" s="18">
        <v>39.710999999999999</v>
      </c>
      <c r="G164" s="18">
        <v>58.24</v>
      </c>
      <c r="H164" s="18">
        <f t="shared" si="17"/>
        <v>33.271625</v>
      </c>
      <c r="I164" s="5"/>
      <c r="J164" s="17">
        <v>400.71199999999999</v>
      </c>
      <c r="K164" s="18">
        <v>32.643999999999998</v>
      </c>
      <c r="L164" s="18">
        <v>40.931600000000003</v>
      </c>
      <c r="M164" s="18">
        <v>41.844799999999999</v>
      </c>
      <c r="N164" s="18">
        <v>50.066800000000001</v>
      </c>
      <c r="O164" s="18">
        <f t="shared" si="18"/>
        <v>34.83005</v>
      </c>
      <c r="P164" s="7"/>
      <c r="Q164" s="10"/>
      <c r="R164" s="11"/>
      <c r="S164" s="11"/>
      <c r="T164" s="26"/>
      <c r="U164" s="28">
        <f t="shared" si="19"/>
        <v>-0.14033653846153848</v>
      </c>
      <c r="V164" s="57">
        <f t="shared" si="20"/>
        <v>8.7279999999999969E-2</v>
      </c>
      <c r="W164" s="57">
        <f t="shared" si="21"/>
        <v>1.7799999999999728E-3</v>
      </c>
      <c r="X164" s="56">
        <v>500</v>
      </c>
      <c r="Y164" s="56">
        <v>400</v>
      </c>
    </row>
    <row r="165" spans="1:25" x14ac:dyDescent="0.25">
      <c r="B165" s="9"/>
      <c r="C165" s="17">
        <v>271.57</v>
      </c>
      <c r="D165" s="18">
        <v>29.364999999999998</v>
      </c>
      <c r="E165" s="18">
        <v>38.658000000000001</v>
      </c>
      <c r="F165" s="18">
        <v>38.936</v>
      </c>
      <c r="G165" s="18">
        <v>67.959999999999994</v>
      </c>
      <c r="H165" s="18">
        <f t="shared" si="17"/>
        <v>31.723000000000003</v>
      </c>
      <c r="I165" s="5"/>
      <c r="J165" s="17">
        <v>250.27760000000001</v>
      </c>
      <c r="K165" s="18">
        <v>31.117100000000001</v>
      </c>
      <c r="L165" s="18">
        <v>40.06</v>
      </c>
      <c r="M165" s="18">
        <v>40.8292</v>
      </c>
      <c r="N165" s="18">
        <v>65.188999999999993</v>
      </c>
      <c r="O165" s="18">
        <f t="shared" si="18"/>
        <v>33.448975000000004</v>
      </c>
      <c r="P165" s="7"/>
      <c r="Q165" s="10"/>
      <c r="R165" s="11"/>
      <c r="S165" s="11"/>
      <c r="T165" s="26"/>
      <c r="U165" s="28">
        <f t="shared" si="19"/>
        <v>-4.0773984696880532E-2</v>
      </c>
      <c r="V165" s="57">
        <f t="shared" si="20"/>
        <v>9.4766666666666693E-2</v>
      </c>
      <c r="W165" s="57">
        <f t="shared" si="21"/>
        <v>1.110400000000027E-3</v>
      </c>
      <c r="X165" s="56">
        <v>300</v>
      </c>
      <c r="Y165" s="56">
        <v>250</v>
      </c>
    </row>
    <row r="166" spans="1:25" ht="16.5" thickBot="1" x14ac:dyDescent="0.3">
      <c r="B166" s="12"/>
      <c r="C166" s="19">
        <v>134.54</v>
      </c>
      <c r="D166" s="20">
        <v>26.771000000000001</v>
      </c>
      <c r="E166" s="20">
        <v>37.966000000000001</v>
      </c>
      <c r="F166" s="20">
        <v>38.164999999999999</v>
      </c>
      <c r="G166" s="20">
        <v>82.77</v>
      </c>
      <c r="H166" s="20">
        <f t="shared" si="17"/>
        <v>29.594625000000001</v>
      </c>
      <c r="I166" s="5"/>
      <c r="J166" s="19">
        <v>119.96720000000001</v>
      </c>
      <c r="K166" s="20">
        <v>28.555099999999999</v>
      </c>
      <c r="L166" s="20">
        <v>38.776400000000002</v>
      </c>
      <c r="M166" s="20">
        <v>39.539900000000003</v>
      </c>
      <c r="N166" s="20">
        <v>96.649500000000003</v>
      </c>
      <c r="O166" s="20">
        <f t="shared" si="18"/>
        <v>31.205862500000002</v>
      </c>
      <c r="P166" s="7"/>
      <c r="Q166" s="13"/>
      <c r="R166" s="14"/>
      <c r="S166" s="14"/>
      <c r="T166" s="27"/>
      <c r="U166" s="28">
        <f t="shared" si="19"/>
        <v>0.16768756795940568</v>
      </c>
      <c r="V166" s="57">
        <f t="shared" si="20"/>
        <v>0.10306666666666672</v>
      </c>
      <c r="W166" s="57">
        <f t="shared" si="21"/>
        <v>2.7333333333328844E-4</v>
      </c>
      <c r="X166" s="56">
        <v>150</v>
      </c>
      <c r="Y166" s="56">
        <v>120</v>
      </c>
    </row>
    <row r="167" spans="1:25" x14ac:dyDescent="0.25">
      <c r="B167" s="6" t="s">
        <v>55</v>
      </c>
      <c r="C167" s="29">
        <v>828.45</v>
      </c>
      <c r="D167" s="30">
        <v>34.011000000000003</v>
      </c>
      <c r="E167" s="30">
        <v>37.448</v>
      </c>
      <c r="F167" s="30">
        <v>37.951000000000001</v>
      </c>
      <c r="G167" s="16">
        <v>41.66</v>
      </c>
      <c r="H167" s="16">
        <f t="shared" si="17"/>
        <v>34.933125000000004</v>
      </c>
      <c r="I167" s="5"/>
      <c r="J167" s="29">
        <v>616.38239999999996</v>
      </c>
      <c r="K167" s="30">
        <v>33.316499999999998</v>
      </c>
      <c r="L167" s="30">
        <v>38.829300000000003</v>
      </c>
      <c r="M167" s="30">
        <v>39.619700000000002</v>
      </c>
      <c r="N167" s="16">
        <v>39.429099999999998</v>
      </c>
      <c r="O167" s="16">
        <f t="shared" si="18"/>
        <v>34.793500000000002</v>
      </c>
      <c r="P167" s="7"/>
      <c r="Q167" s="8">
        <f>bdrate(C167:C170,D167:D170,J167:J170,K167:K170)</f>
        <v>-0.17742369982895279</v>
      </c>
      <c r="R167" s="8">
        <f>bdrate(C167:C170,E167:E170,J167:J170,L167:L170)</f>
        <v>-0.58795182824027703</v>
      </c>
      <c r="S167" s="8">
        <f>bdrate(C167:C170,F167:F170,J167:J170,M167:M170)</f>
        <v>-0.62741068855724591</v>
      </c>
      <c r="T167" s="25">
        <f>bdrate(C167:C170,H167:H170,J167:J170,O167:O170)</f>
        <v>-0.26831475145586048</v>
      </c>
      <c r="U167" s="28">
        <f t="shared" si="19"/>
        <v>-5.3550168026884268E-2</v>
      </c>
      <c r="V167" s="57">
        <f t="shared" si="20"/>
        <v>3.5562500000000059E-2</v>
      </c>
      <c r="W167" s="57">
        <f t="shared" si="21"/>
        <v>2.7303999999999936E-2</v>
      </c>
      <c r="X167" s="56">
        <v>800</v>
      </c>
      <c r="Y167" s="56">
        <v>600</v>
      </c>
    </row>
    <row r="168" spans="1:25" x14ac:dyDescent="0.25">
      <c r="B168" s="9"/>
      <c r="C168" s="31">
        <v>515.94000000000005</v>
      </c>
      <c r="D168" s="32">
        <v>32.042000000000002</v>
      </c>
      <c r="E168" s="32">
        <v>36.241</v>
      </c>
      <c r="F168" s="32">
        <v>36.735999999999997</v>
      </c>
      <c r="G168" s="18">
        <v>46.44</v>
      </c>
      <c r="H168" s="18">
        <f t="shared" si="17"/>
        <v>33.153624999999998</v>
      </c>
      <c r="I168" s="5"/>
      <c r="J168" s="31">
        <v>411.41359999999997</v>
      </c>
      <c r="K168" s="32">
        <v>31.786100000000001</v>
      </c>
      <c r="L168" s="32">
        <v>37.805799999999998</v>
      </c>
      <c r="M168" s="32">
        <v>38.612000000000002</v>
      </c>
      <c r="N168" s="18">
        <v>46.546300000000002</v>
      </c>
      <c r="O168" s="18">
        <f t="shared" si="18"/>
        <v>33.391800000000003</v>
      </c>
      <c r="P168" s="7"/>
      <c r="Q168" s="10"/>
      <c r="R168" s="11"/>
      <c r="S168" s="11"/>
      <c r="T168" s="26"/>
      <c r="U168" s="28">
        <f t="shared" si="19"/>
        <v>2.2889750215332582E-3</v>
      </c>
      <c r="V168" s="57">
        <f t="shared" si="20"/>
        <v>3.188000000000011E-2</v>
      </c>
      <c r="W168" s="57">
        <f t="shared" si="21"/>
        <v>2.8533999999999934E-2</v>
      </c>
      <c r="X168" s="56">
        <v>500</v>
      </c>
      <c r="Y168" s="56">
        <v>400</v>
      </c>
    </row>
    <row r="169" spans="1:25" x14ac:dyDescent="0.25">
      <c r="B169" s="9"/>
      <c r="C169" s="31">
        <v>307.56</v>
      </c>
      <c r="D169" s="32">
        <v>30.03</v>
      </c>
      <c r="E169" s="32">
        <v>35.222999999999999</v>
      </c>
      <c r="F169" s="32">
        <v>35.741999999999997</v>
      </c>
      <c r="G169" s="18">
        <v>53.87</v>
      </c>
      <c r="H169" s="18">
        <f t="shared" si="17"/>
        <v>31.393125000000001</v>
      </c>
      <c r="I169" s="5"/>
      <c r="J169" s="31">
        <v>258.30959999999999</v>
      </c>
      <c r="K169" s="32">
        <v>30.146899999999999</v>
      </c>
      <c r="L169" s="32">
        <v>36.685099999999998</v>
      </c>
      <c r="M169" s="32">
        <v>37.412999999999997</v>
      </c>
      <c r="N169" s="18">
        <v>55.9848</v>
      </c>
      <c r="O169" s="18">
        <f t="shared" si="18"/>
        <v>31.872437499999997</v>
      </c>
      <c r="P169" s="7"/>
      <c r="Q169" s="10"/>
      <c r="R169" s="11"/>
      <c r="S169" s="11"/>
      <c r="T169" s="26"/>
      <c r="U169" s="28">
        <f t="shared" si="19"/>
        <v>3.925747169110827E-2</v>
      </c>
      <c r="V169" s="57">
        <f t="shared" si="20"/>
        <v>2.5200000000000007E-2</v>
      </c>
      <c r="W169" s="57">
        <f t="shared" si="21"/>
        <v>3.3238399999999953E-2</v>
      </c>
      <c r="X169" s="56">
        <v>300</v>
      </c>
      <c r="Y169" s="56">
        <v>250</v>
      </c>
    </row>
    <row r="170" spans="1:25" ht="16.5" thickBot="1" x14ac:dyDescent="0.3">
      <c r="B170" s="12"/>
      <c r="C170" s="33">
        <v>151.12</v>
      </c>
      <c r="D170" s="34">
        <v>27.561</v>
      </c>
      <c r="E170" s="34">
        <v>34.103000000000002</v>
      </c>
      <c r="F170" s="34">
        <v>34.683</v>
      </c>
      <c r="G170" s="20">
        <v>66.459999999999994</v>
      </c>
      <c r="H170" s="20">
        <f t="shared" si="17"/>
        <v>29.268999999999998</v>
      </c>
      <c r="I170" s="5"/>
      <c r="J170" s="33">
        <v>123.5288</v>
      </c>
      <c r="K170" s="34">
        <v>27.754999999999999</v>
      </c>
      <c r="L170" s="34">
        <v>35.191099999999999</v>
      </c>
      <c r="M170" s="34">
        <v>35.887099999999997</v>
      </c>
      <c r="N170" s="20">
        <v>77.291700000000006</v>
      </c>
      <c r="O170" s="20">
        <f t="shared" si="18"/>
        <v>29.701025000000001</v>
      </c>
      <c r="P170" s="7"/>
      <c r="Q170" s="13"/>
      <c r="R170" s="14"/>
      <c r="S170" s="14"/>
      <c r="T170" s="27"/>
      <c r="U170" s="28">
        <f t="shared" si="19"/>
        <v>0.16298074029491444</v>
      </c>
      <c r="V170" s="57">
        <f t="shared" si="20"/>
        <v>7.4666666666666969E-3</v>
      </c>
      <c r="W170" s="57">
        <f t="shared" si="21"/>
        <v>2.9406666666666699E-2</v>
      </c>
      <c r="X170" s="56">
        <v>150</v>
      </c>
      <c r="Y170" s="56">
        <v>120</v>
      </c>
    </row>
    <row r="171" spans="1:25" x14ac:dyDescent="0.25">
      <c r="B171" s="6" t="s">
        <v>56</v>
      </c>
      <c r="C171" s="15">
        <v>760.76</v>
      </c>
      <c r="D171" s="16">
        <v>35.686</v>
      </c>
      <c r="E171" s="16">
        <v>37.841000000000001</v>
      </c>
      <c r="F171" s="16">
        <v>38.994999999999997</v>
      </c>
      <c r="G171" s="16">
        <v>31.79</v>
      </c>
      <c r="H171" s="16">
        <f t="shared" si="17"/>
        <v>36.369</v>
      </c>
      <c r="I171" s="5"/>
      <c r="J171" s="15">
        <v>604.39679999999998</v>
      </c>
      <c r="K171" s="16">
        <v>34.403100000000002</v>
      </c>
      <c r="L171" s="16">
        <v>38.586799999999997</v>
      </c>
      <c r="M171" s="16">
        <v>39.740900000000003</v>
      </c>
      <c r="N171" s="16">
        <v>22.5547</v>
      </c>
      <c r="O171" s="16">
        <f t="shared" si="18"/>
        <v>35.593287500000002</v>
      </c>
      <c r="P171" s="7"/>
      <c r="Q171" s="8">
        <f>bdrate(C171:C174,D171:D174,J171:J174,K171:K174)</f>
        <v>-1.8290946952554288E-2</v>
      </c>
      <c r="R171" s="8">
        <f>bdrate(C171:C174,E171:E174,J171:J174,L171:L174)</f>
        <v>-0.39482360076221257</v>
      </c>
      <c r="S171" s="8">
        <f>bdrate(C171:C174,F171:F174,J171:J174,M171:M174)</f>
        <v>-0.4015206739177748</v>
      </c>
      <c r="T171" s="25">
        <f>bdrate(C171:C174,H171:H174,J171:J174,O171:O174)</f>
        <v>-9.3636055904767979E-2</v>
      </c>
      <c r="U171" s="28">
        <f t="shared" si="19"/>
        <v>-0.29050959421201633</v>
      </c>
      <c r="V171" s="57">
        <f t="shared" si="20"/>
        <v>4.905000000000001E-2</v>
      </c>
      <c r="W171" s="57">
        <f t="shared" si="21"/>
        <v>7.3279999999999743E-3</v>
      </c>
      <c r="X171" s="56">
        <v>800</v>
      </c>
      <c r="Y171" s="56">
        <v>600</v>
      </c>
    </row>
    <row r="172" spans="1:25" x14ac:dyDescent="0.25">
      <c r="B172" s="9"/>
      <c r="C172" s="17">
        <v>479.22</v>
      </c>
      <c r="D172" s="18">
        <v>33.372999999999998</v>
      </c>
      <c r="E172" s="18">
        <v>36.54</v>
      </c>
      <c r="F172" s="18">
        <v>37.683</v>
      </c>
      <c r="G172" s="18">
        <v>35.630000000000003</v>
      </c>
      <c r="H172" s="18">
        <f t="shared" si="17"/>
        <v>34.307625000000002</v>
      </c>
      <c r="I172" s="5"/>
      <c r="J172" s="17">
        <v>404.96800000000002</v>
      </c>
      <c r="K172" s="18">
        <v>32.499000000000002</v>
      </c>
      <c r="L172" s="18">
        <v>37.400300000000001</v>
      </c>
      <c r="M172" s="18">
        <v>38.578899999999997</v>
      </c>
      <c r="N172" s="18">
        <v>26.939699999999998</v>
      </c>
      <c r="O172" s="18">
        <f t="shared" si="18"/>
        <v>33.871650000000002</v>
      </c>
      <c r="P172" s="7"/>
      <c r="Q172" s="10"/>
      <c r="R172" s="11"/>
      <c r="S172" s="11"/>
      <c r="T172" s="26"/>
      <c r="U172" s="28">
        <f t="shared" si="19"/>
        <v>-0.24390401347179352</v>
      </c>
      <c r="V172" s="57">
        <f t="shared" si="20"/>
        <v>4.1559999999999944E-2</v>
      </c>
      <c r="W172" s="57">
        <f t="shared" si="21"/>
        <v>1.2420000000000044E-2</v>
      </c>
      <c r="X172" s="56">
        <v>500</v>
      </c>
      <c r="Y172" s="56">
        <v>400</v>
      </c>
    </row>
    <row r="173" spans="1:25" x14ac:dyDescent="0.25">
      <c r="B173" s="9"/>
      <c r="C173" s="17">
        <v>288.61</v>
      </c>
      <c r="D173" s="18">
        <v>31.074999999999999</v>
      </c>
      <c r="E173" s="18">
        <v>35.308999999999997</v>
      </c>
      <c r="F173" s="18">
        <v>36.430999999999997</v>
      </c>
      <c r="G173" s="18">
        <v>41.72</v>
      </c>
      <c r="H173" s="18">
        <f t="shared" si="17"/>
        <v>32.27375</v>
      </c>
      <c r="I173" s="5"/>
      <c r="J173" s="17">
        <v>251.2328</v>
      </c>
      <c r="K173" s="18">
        <v>30.604500000000002</v>
      </c>
      <c r="L173" s="18">
        <v>36.145499999999998</v>
      </c>
      <c r="M173" s="18">
        <v>37.320300000000003</v>
      </c>
      <c r="N173" s="18">
        <v>33.692700000000002</v>
      </c>
      <c r="O173" s="18">
        <f t="shared" si="18"/>
        <v>32.136600000000001</v>
      </c>
      <c r="P173" s="7"/>
      <c r="Q173" s="10"/>
      <c r="R173" s="11"/>
      <c r="S173" s="11"/>
      <c r="T173" s="26"/>
      <c r="U173" s="28">
        <f t="shared" si="19"/>
        <v>-0.19240891658676887</v>
      </c>
      <c r="V173" s="57">
        <f t="shared" si="20"/>
        <v>3.7966666666666621E-2</v>
      </c>
      <c r="W173" s="57">
        <f t="shared" si="21"/>
        <v>4.9311999999999898E-3</v>
      </c>
      <c r="X173" s="56">
        <v>300</v>
      </c>
      <c r="Y173" s="56">
        <v>250</v>
      </c>
    </row>
    <row r="174" spans="1:25" ht="16.5" thickBot="1" x14ac:dyDescent="0.3">
      <c r="B174" s="12"/>
      <c r="C174" s="19">
        <v>144.46</v>
      </c>
      <c r="D174" s="20">
        <v>28.242999999999999</v>
      </c>
      <c r="E174" s="20">
        <v>33.871000000000002</v>
      </c>
      <c r="F174" s="20">
        <v>34.872</v>
      </c>
      <c r="G174" s="20">
        <v>54.44</v>
      </c>
      <c r="H174" s="20">
        <f t="shared" si="17"/>
        <v>29.775125000000003</v>
      </c>
      <c r="I174" s="5"/>
      <c r="J174" s="19">
        <v>122.1784</v>
      </c>
      <c r="K174" s="20">
        <v>28.0261</v>
      </c>
      <c r="L174" s="20">
        <v>34.673299999999998</v>
      </c>
      <c r="M174" s="20">
        <v>35.771599999999999</v>
      </c>
      <c r="N174" s="20">
        <v>49.269199999999998</v>
      </c>
      <c r="O174" s="20">
        <f t="shared" si="18"/>
        <v>29.825187500000002</v>
      </c>
      <c r="P174" s="7"/>
      <c r="Q174" s="13"/>
      <c r="R174" s="14"/>
      <c r="S174" s="14"/>
      <c r="T174" s="27"/>
      <c r="U174" s="28">
        <f t="shared" si="19"/>
        <v>-9.4981631153563562E-2</v>
      </c>
      <c r="V174" s="57">
        <f t="shared" si="20"/>
        <v>3.6933333333333283E-2</v>
      </c>
      <c r="W174" s="57">
        <f t="shared" si="21"/>
        <v>1.8153333333333303E-2</v>
      </c>
      <c r="X174" s="56">
        <v>150</v>
      </c>
      <c r="Y174" s="56">
        <v>120</v>
      </c>
    </row>
    <row r="175" spans="1:25" x14ac:dyDescent="0.25">
      <c r="A175" s="6" t="s">
        <v>41</v>
      </c>
      <c r="B175" s="6" t="s">
        <v>57</v>
      </c>
      <c r="C175" s="15">
        <v>1909.59</v>
      </c>
      <c r="D175" s="16">
        <v>41.438000000000002</v>
      </c>
      <c r="E175" s="16">
        <v>45.01</v>
      </c>
      <c r="F175" s="16">
        <v>46.07</v>
      </c>
      <c r="G175" s="16">
        <v>9.4600000000000009</v>
      </c>
      <c r="H175" s="16">
        <f t="shared" si="17"/>
        <v>42.463500000000003</v>
      </c>
      <c r="I175" s="5"/>
      <c r="J175" s="15">
        <v>1505.86</v>
      </c>
      <c r="K175" s="16">
        <v>41.83</v>
      </c>
      <c r="L175" s="16">
        <v>46.506500000000003</v>
      </c>
      <c r="M175" s="16">
        <v>47.8048</v>
      </c>
      <c r="N175" s="16">
        <v>11.379799999999999</v>
      </c>
      <c r="O175" s="16">
        <f t="shared" si="18"/>
        <v>43.161412499999997</v>
      </c>
      <c r="P175" s="7"/>
      <c r="Q175" s="8">
        <f>bdrate(C175:C178,D175:D178,J175:J178,K175:K178)</f>
        <v>-0.35668446808984289</v>
      </c>
      <c r="R175" s="8">
        <f>bdrate(C175:C178,E175:E178,J175:J178,L175:L178)</f>
        <v>-0.58205017301931528</v>
      </c>
      <c r="S175" s="8">
        <f>bdrate(C175:C178,F175:F178,J175:J178,M175:M178)</f>
        <v>-0.58851803250610502</v>
      </c>
      <c r="T175" s="25">
        <f>bdrate(C175:C178,H175:H178,J175:J178,O175:O178)</f>
        <v>-0.40953626316440905</v>
      </c>
      <c r="U175" s="28">
        <f t="shared" si="19"/>
        <v>0.20293868921775882</v>
      </c>
      <c r="V175" s="57">
        <f t="shared" si="20"/>
        <v>9.0671428571428611E-2</v>
      </c>
      <c r="W175" s="57">
        <f t="shared" si="21"/>
        <v>3.9066666666666E-3</v>
      </c>
      <c r="X175" s="56">
        <v>2100</v>
      </c>
      <c r="Y175" s="56">
        <v>1500</v>
      </c>
    </row>
    <row r="176" spans="1:25" x14ac:dyDescent="0.25">
      <c r="A176" s="9" t="s">
        <v>42</v>
      </c>
      <c r="B176" s="9"/>
      <c r="C176" s="17">
        <v>1243.1500000000001</v>
      </c>
      <c r="D176" s="18">
        <v>40.256999999999998</v>
      </c>
      <c r="E176" s="18">
        <v>43.929000000000002</v>
      </c>
      <c r="F176" s="18">
        <v>45.024999999999999</v>
      </c>
      <c r="G176" s="18">
        <v>10.81</v>
      </c>
      <c r="H176" s="18">
        <f t="shared" si="17"/>
        <v>41.311999999999998</v>
      </c>
      <c r="I176" s="5"/>
      <c r="J176" s="17">
        <v>990.95039999999995</v>
      </c>
      <c r="K176" s="18">
        <v>40.740200000000002</v>
      </c>
      <c r="L176" s="18">
        <v>45.595300000000002</v>
      </c>
      <c r="M176" s="18">
        <v>46.838099999999997</v>
      </c>
      <c r="N176" s="18">
        <v>13.8399</v>
      </c>
      <c r="O176" s="18">
        <f t="shared" si="18"/>
        <v>42.109324999999998</v>
      </c>
      <c r="P176" s="7"/>
      <c r="Q176" s="10"/>
      <c r="R176" s="11"/>
      <c r="S176" s="11"/>
      <c r="T176" s="26"/>
      <c r="U176" s="28">
        <f t="shared" si="19"/>
        <v>0.28028677150786302</v>
      </c>
      <c r="V176" s="57">
        <f t="shared" si="20"/>
        <v>0.11203571428571422</v>
      </c>
      <c r="W176" s="57">
        <f t="shared" si="21"/>
        <v>9.0496000000000552E-3</v>
      </c>
      <c r="X176" s="56">
        <v>1400</v>
      </c>
      <c r="Y176" s="56">
        <v>1000</v>
      </c>
    </row>
    <row r="177" spans="1:25" x14ac:dyDescent="0.25">
      <c r="B177" s="9"/>
      <c r="C177" s="17">
        <v>737.66</v>
      </c>
      <c r="D177" s="18">
        <v>38.094000000000001</v>
      </c>
      <c r="E177" s="18">
        <v>42.320999999999998</v>
      </c>
      <c r="F177" s="18">
        <v>43.414000000000001</v>
      </c>
      <c r="G177" s="18">
        <v>12.93</v>
      </c>
      <c r="H177" s="18">
        <f t="shared" si="17"/>
        <v>39.287374999999997</v>
      </c>
      <c r="I177" s="5"/>
      <c r="J177" s="17">
        <v>567.78</v>
      </c>
      <c r="K177" s="18">
        <v>38.882399999999997</v>
      </c>
      <c r="L177" s="18">
        <v>44.120800000000003</v>
      </c>
      <c r="M177" s="18">
        <v>45.313499999999998</v>
      </c>
      <c r="N177" s="18">
        <v>16.834499999999998</v>
      </c>
      <c r="O177" s="18">
        <f t="shared" si="18"/>
        <v>40.3410875</v>
      </c>
      <c r="P177" s="7"/>
      <c r="Q177" s="10"/>
      <c r="R177" s="11"/>
      <c r="S177" s="11"/>
      <c r="T177" s="26"/>
      <c r="U177" s="28">
        <f t="shared" si="19"/>
        <v>0.30197215777262171</v>
      </c>
      <c r="V177" s="57">
        <f t="shared" si="20"/>
        <v>0.13216470588235299</v>
      </c>
      <c r="W177" s="57">
        <f t="shared" si="21"/>
        <v>5.3700000000000046E-2</v>
      </c>
      <c r="X177" s="56">
        <v>850</v>
      </c>
      <c r="Y177" s="56">
        <v>600</v>
      </c>
    </row>
    <row r="178" spans="1:25" ht="16.5" thickBot="1" x14ac:dyDescent="0.3">
      <c r="B178" s="12"/>
      <c r="C178" s="19">
        <v>340.36</v>
      </c>
      <c r="D178" s="20">
        <v>33.856999999999999</v>
      </c>
      <c r="E178" s="20">
        <v>40.223999999999997</v>
      </c>
      <c r="F178" s="20">
        <v>41.252000000000002</v>
      </c>
      <c r="G178" s="20">
        <v>16.670000000000002</v>
      </c>
      <c r="H178" s="20">
        <f t="shared" si="17"/>
        <v>35.577249999999999</v>
      </c>
      <c r="I178" s="5"/>
      <c r="J178" s="19">
        <v>279.47519999999997</v>
      </c>
      <c r="K178" s="20">
        <v>35.657499999999999</v>
      </c>
      <c r="L178" s="20">
        <v>42.088200000000001</v>
      </c>
      <c r="M178" s="20">
        <v>43.081099999999999</v>
      </c>
      <c r="N178" s="20">
        <v>22.311499999999999</v>
      </c>
      <c r="O178" s="20">
        <f t="shared" si="18"/>
        <v>37.389287499999995</v>
      </c>
      <c r="P178" s="7"/>
      <c r="Q178" s="13"/>
      <c r="R178" s="14"/>
      <c r="S178" s="14"/>
      <c r="T178" s="27"/>
      <c r="U178" s="28">
        <f t="shared" si="19"/>
        <v>0.33842231553689239</v>
      </c>
      <c r="V178" s="57">
        <f t="shared" si="20"/>
        <v>0.14909999999999995</v>
      </c>
      <c r="W178" s="57">
        <f t="shared" si="21"/>
        <v>6.8416000000000088E-2</v>
      </c>
      <c r="X178" s="56">
        <v>400</v>
      </c>
      <c r="Y178" s="56">
        <v>300</v>
      </c>
    </row>
    <row r="179" spans="1:25" x14ac:dyDescent="0.25">
      <c r="B179" s="6" t="s">
        <v>58</v>
      </c>
      <c r="C179" s="15">
        <v>1970.49</v>
      </c>
      <c r="D179" s="16">
        <v>42.412999999999997</v>
      </c>
      <c r="E179" s="16">
        <v>46.887999999999998</v>
      </c>
      <c r="F179" s="16">
        <v>47.328000000000003</v>
      </c>
      <c r="G179" s="16">
        <v>9.25</v>
      </c>
      <c r="H179" s="16">
        <f t="shared" si="17"/>
        <v>43.586749999999995</v>
      </c>
      <c r="I179" s="5"/>
      <c r="J179" s="15">
        <v>1535.1656</v>
      </c>
      <c r="K179" s="16">
        <v>42.846400000000003</v>
      </c>
      <c r="L179" s="16">
        <v>48.341200000000001</v>
      </c>
      <c r="M179" s="16">
        <v>49.054400000000001</v>
      </c>
      <c r="N179" s="16">
        <v>12.2461</v>
      </c>
      <c r="O179" s="16">
        <f t="shared" si="18"/>
        <v>44.309249999999999</v>
      </c>
      <c r="P179" s="7"/>
      <c r="Q179" s="8">
        <f>bdrate(C179:C182,D179:D182,J179:J182,K179:K182)</f>
        <v>-0.50386739974638028</v>
      </c>
      <c r="R179" s="8">
        <f>bdrate(C179:C182,E179:E182,J179:J182,L179:L182)</f>
        <v>-0.7364657357970914</v>
      </c>
      <c r="S179" s="8">
        <f>bdrate(C179:C182,F179:F182,J179:J182,M179:M182)</f>
        <v>-0.7569263714450829</v>
      </c>
      <c r="T179" s="25">
        <f>bdrate(C179:C182,H179:H182,J179:J182,O179:O182)</f>
        <v>-0.58379249224701402</v>
      </c>
      <c r="U179" s="28">
        <f t="shared" ref="U179:U186" si="22">(N179-G179)/G179</f>
        <v>0.32390270270270272</v>
      </c>
      <c r="V179" s="57">
        <f t="shared" si="20"/>
        <v>6.1671428571428565E-2</v>
      </c>
      <c r="W179" s="57">
        <f t="shared" ref="W179:W186" si="23">ABS(J179-Y179)/Y179</f>
        <v>2.3443733333333359E-2</v>
      </c>
      <c r="X179" s="56">
        <v>2100</v>
      </c>
      <c r="Y179" s="56">
        <v>1500</v>
      </c>
    </row>
    <row r="180" spans="1:25" x14ac:dyDescent="0.25">
      <c r="B180" s="9"/>
      <c r="C180" s="17">
        <v>1292.28</v>
      </c>
      <c r="D180" s="18">
        <v>41.776000000000003</v>
      </c>
      <c r="E180" s="18">
        <v>45.978999999999999</v>
      </c>
      <c r="F180" s="18">
        <v>46.396000000000001</v>
      </c>
      <c r="G180" s="18">
        <v>10.14</v>
      </c>
      <c r="H180" s="18">
        <f t="shared" si="17"/>
        <v>42.878875000000001</v>
      </c>
      <c r="I180" s="5"/>
      <c r="J180" s="17">
        <v>982.63599999999997</v>
      </c>
      <c r="K180" s="18">
        <v>42.409100000000002</v>
      </c>
      <c r="L180" s="18">
        <v>47.926200000000001</v>
      </c>
      <c r="M180" s="18">
        <v>48.602499999999999</v>
      </c>
      <c r="N180" s="18">
        <v>14.9734</v>
      </c>
      <c r="O180" s="18">
        <f t="shared" si="18"/>
        <v>43.872912500000005</v>
      </c>
      <c r="P180" s="7"/>
      <c r="Q180" s="10"/>
      <c r="R180" s="11"/>
      <c r="S180" s="11"/>
      <c r="T180" s="26"/>
      <c r="U180" s="28">
        <f t="shared" si="22"/>
        <v>0.47666666666666657</v>
      </c>
      <c r="V180" s="57">
        <f t="shared" ref="V180:V186" si="24">ABS(C180-X180)/X180</f>
        <v>7.694285714285716E-2</v>
      </c>
      <c r="W180" s="57">
        <f t="shared" si="23"/>
        <v>1.7364000000000032E-2</v>
      </c>
      <c r="X180" s="56">
        <v>1400</v>
      </c>
      <c r="Y180" s="56">
        <v>1000</v>
      </c>
    </row>
    <row r="181" spans="1:25" x14ac:dyDescent="0.25">
      <c r="B181" s="9"/>
      <c r="C181" s="17">
        <v>758.24</v>
      </c>
      <c r="D181" s="18">
        <v>40.593000000000004</v>
      </c>
      <c r="E181" s="18">
        <v>44.607999999999997</v>
      </c>
      <c r="F181" s="18">
        <v>45.176000000000002</v>
      </c>
      <c r="G181" s="18">
        <v>11.59</v>
      </c>
      <c r="H181" s="18">
        <f t="shared" si="17"/>
        <v>41.667749999999998</v>
      </c>
      <c r="I181" s="5"/>
      <c r="J181" s="17">
        <v>579.8768</v>
      </c>
      <c r="K181" s="18">
        <v>41.588299999999997</v>
      </c>
      <c r="L181" s="18">
        <v>47.182499999999997</v>
      </c>
      <c r="M181" s="18">
        <v>47.868899999999996</v>
      </c>
      <c r="N181" s="18">
        <v>18.693300000000001</v>
      </c>
      <c r="O181" s="18">
        <f t="shared" si="18"/>
        <v>43.072649999999996</v>
      </c>
      <c r="P181" s="7"/>
      <c r="Q181" s="10"/>
      <c r="R181" s="11"/>
      <c r="S181" s="11"/>
      <c r="T181" s="26"/>
      <c r="U181" s="28">
        <f t="shared" si="22"/>
        <v>0.61288179465056092</v>
      </c>
      <c r="V181" s="57">
        <f t="shared" si="24"/>
        <v>0.10795294117647057</v>
      </c>
      <c r="W181" s="57">
        <f t="shared" si="23"/>
        <v>3.3538666666666661E-2</v>
      </c>
      <c r="X181" s="56">
        <v>850</v>
      </c>
      <c r="Y181" s="56">
        <v>600</v>
      </c>
    </row>
    <row r="182" spans="1:25" ht="16.5" thickBot="1" x14ac:dyDescent="0.3">
      <c r="B182" s="12"/>
      <c r="C182" s="19">
        <v>334.84</v>
      </c>
      <c r="D182" s="20">
        <v>37.567</v>
      </c>
      <c r="E182" s="20">
        <v>42.122999999999998</v>
      </c>
      <c r="F182" s="20">
        <v>43.14</v>
      </c>
      <c r="G182" s="20">
        <v>15.04</v>
      </c>
      <c r="H182" s="20">
        <f t="shared" si="17"/>
        <v>38.833124999999995</v>
      </c>
      <c r="I182" s="5"/>
      <c r="J182" s="19">
        <v>287.73680000000002</v>
      </c>
      <c r="K182" s="20">
        <v>39.692999999999998</v>
      </c>
      <c r="L182" s="20">
        <v>45.311799999999998</v>
      </c>
      <c r="M182" s="20">
        <v>45.8416</v>
      </c>
      <c r="N182" s="20">
        <v>23.9693</v>
      </c>
      <c r="O182" s="20">
        <f t="shared" si="18"/>
        <v>41.163924999999992</v>
      </c>
      <c r="P182" s="7"/>
      <c r="Q182" s="13"/>
      <c r="R182" s="14"/>
      <c r="S182" s="14"/>
      <c r="T182" s="27"/>
      <c r="U182" s="28">
        <f t="shared" si="22"/>
        <v>0.59370345744680864</v>
      </c>
      <c r="V182" s="57">
        <f t="shared" si="24"/>
        <v>0.16290000000000007</v>
      </c>
      <c r="W182" s="57">
        <f t="shared" si="23"/>
        <v>4.0877333333333279E-2</v>
      </c>
      <c r="X182" s="56">
        <v>400</v>
      </c>
      <c r="Y182" s="56">
        <v>300</v>
      </c>
    </row>
    <row r="183" spans="1:25" x14ac:dyDescent="0.25">
      <c r="B183" s="6" t="s">
        <v>59</v>
      </c>
      <c r="C183" s="15">
        <v>2049.98</v>
      </c>
      <c r="D183" s="16">
        <v>42.506</v>
      </c>
      <c r="E183" s="16">
        <v>46.267000000000003</v>
      </c>
      <c r="F183" s="16">
        <v>46.883000000000003</v>
      </c>
      <c r="G183" s="16">
        <v>8.7899999999999991</v>
      </c>
      <c r="H183" s="16">
        <f t="shared" si="17"/>
        <v>43.523249999999997</v>
      </c>
      <c r="I183" s="5"/>
      <c r="J183" s="15">
        <v>1558.9143999999999</v>
      </c>
      <c r="K183" s="16">
        <v>42.811300000000003</v>
      </c>
      <c r="L183" s="16">
        <v>47.515599999999999</v>
      </c>
      <c r="M183" s="16">
        <v>48.394599999999997</v>
      </c>
      <c r="N183" s="16">
        <v>10.859500000000001</v>
      </c>
      <c r="O183" s="16">
        <f t="shared" si="18"/>
        <v>44.097250000000003</v>
      </c>
      <c r="P183" s="7"/>
      <c r="Q183" s="8">
        <f>bdrate(C183:C186,D183:D186,J183:J186,K183:K186)</f>
        <v>-0.41187885018399562</v>
      </c>
      <c r="R183" s="8">
        <f>bdrate(C183:C186,E183:E186,J183:J186,L183:L186)</f>
        <v>-0.64333699443680703</v>
      </c>
      <c r="S183" s="8">
        <f>bdrate(C183:C186,F183:F186,J183:J186,M183:M186)</f>
        <v>-0.67359479547123513</v>
      </c>
      <c r="T183" s="25">
        <f>bdrate(C183:C186,H183:H186,J183:J186,O183:O186)</f>
        <v>-0.48173898454377651</v>
      </c>
      <c r="U183" s="28">
        <f t="shared" si="22"/>
        <v>0.23543799772468732</v>
      </c>
      <c r="V183" s="57">
        <f t="shared" si="24"/>
        <v>2.3819047619047611E-2</v>
      </c>
      <c r="W183" s="57">
        <f t="shared" si="23"/>
        <v>3.9276266666666594E-2</v>
      </c>
      <c r="X183" s="56">
        <v>2100</v>
      </c>
      <c r="Y183" s="56">
        <v>1500</v>
      </c>
    </row>
    <row r="184" spans="1:25" x14ac:dyDescent="0.25">
      <c r="B184" s="9"/>
      <c r="C184" s="17">
        <v>1350.37</v>
      </c>
      <c r="D184" s="18">
        <v>41.616</v>
      </c>
      <c r="E184" s="18">
        <v>45.165999999999997</v>
      </c>
      <c r="F184" s="18">
        <v>45.792999999999999</v>
      </c>
      <c r="G184" s="18">
        <v>9.83</v>
      </c>
      <c r="H184" s="18">
        <f t="shared" si="17"/>
        <v>42.581874999999997</v>
      </c>
      <c r="I184" s="5"/>
      <c r="J184" s="17">
        <v>1017.8312</v>
      </c>
      <c r="K184" s="18">
        <v>42.067599999999999</v>
      </c>
      <c r="L184" s="18">
        <v>46.851599999999998</v>
      </c>
      <c r="M184" s="18">
        <v>47.7455</v>
      </c>
      <c r="N184" s="18">
        <v>13.0824</v>
      </c>
      <c r="O184" s="18">
        <f t="shared" si="18"/>
        <v>43.375337500000001</v>
      </c>
      <c r="P184" s="7"/>
      <c r="Q184" s="10"/>
      <c r="R184" s="11"/>
      <c r="S184" s="11"/>
      <c r="T184" s="26"/>
      <c r="U184" s="28">
        <f t="shared" si="22"/>
        <v>0.33086469989827055</v>
      </c>
      <c r="V184" s="57">
        <f t="shared" si="24"/>
        <v>3.5450000000000079E-2</v>
      </c>
      <c r="W184" s="57">
        <f t="shared" si="23"/>
        <v>1.7831199999999967E-2</v>
      </c>
      <c r="X184" s="56">
        <v>1400</v>
      </c>
      <c r="Y184" s="56">
        <v>1000</v>
      </c>
    </row>
    <row r="185" spans="1:25" x14ac:dyDescent="0.25">
      <c r="B185" s="9"/>
      <c r="C185" s="17">
        <v>803.38</v>
      </c>
      <c r="D185" s="18">
        <v>39.945</v>
      </c>
      <c r="E185" s="18">
        <v>43.475000000000001</v>
      </c>
      <c r="F185" s="18">
        <v>44.164000000000001</v>
      </c>
      <c r="G185" s="18">
        <v>11.59</v>
      </c>
      <c r="H185" s="18">
        <f t="shared" si="17"/>
        <v>40.913625000000003</v>
      </c>
      <c r="I185" s="5"/>
      <c r="J185" s="17">
        <v>600.32479999999998</v>
      </c>
      <c r="K185" s="18">
        <v>40.739899999999999</v>
      </c>
      <c r="L185" s="18">
        <v>45.691600000000001</v>
      </c>
      <c r="M185" s="18">
        <v>46.5687</v>
      </c>
      <c r="N185" s="18">
        <v>16.403300000000002</v>
      </c>
      <c r="O185" s="18">
        <f t="shared" si="18"/>
        <v>42.087462499999994</v>
      </c>
      <c r="P185" s="7"/>
      <c r="Q185" s="10"/>
      <c r="R185" s="11"/>
      <c r="S185" s="11"/>
      <c r="T185" s="26"/>
      <c r="U185" s="28">
        <f t="shared" si="22"/>
        <v>0.41529767040552218</v>
      </c>
      <c r="V185" s="57">
        <f t="shared" si="24"/>
        <v>5.4847058823529415E-2</v>
      </c>
      <c r="W185" s="57">
        <f t="shared" si="23"/>
        <v>5.413333333333033E-4</v>
      </c>
      <c r="X185" s="56">
        <v>850</v>
      </c>
      <c r="Y185" s="56">
        <v>600</v>
      </c>
    </row>
    <row r="186" spans="1:25" ht="16.5" thickBot="1" x14ac:dyDescent="0.3">
      <c r="B186" s="12"/>
      <c r="C186" s="19">
        <v>368.79</v>
      </c>
      <c r="D186" s="20">
        <v>36.353000000000002</v>
      </c>
      <c r="E186" s="20">
        <v>41.216999999999999</v>
      </c>
      <c r="F186" s="20">
        <v>41.473999999999997</v>
      </c>
      <c r="G186" s="20">
        <v>15.48</v>
      </c>
      <c r="H186" s="20">
        <f t="shared" si="17"/>
        <v>37.601124999999996</v>
      </c>
      <c r="I186" s="5"/>
      <c r="J186" s="19">
        <v>295.084</v>
      </c>
      <c r="K186" s="20">
        <v>38.238100000000003</v>
      </c>
      <c r="L186" s="20">
        <v>43.709200000000003</v>
      </c>
      <c r="M186" s="20">
        <v>44.636299999999999</v>
      </c>
      <c r="N186" s="20">
        <v>22.192599999999999</v>
      </c>
      <c r="O186" s="20">
        <f t="shared" si="18"/>
        <v>39.721762500000004</v>
      </c>
      <c r="P186" s="7"/>
      <c r="Q186" s="13"/>
      <c r="R186" s="14"/>
      <c r="S186" s="14"/>
      <c r="T186" s="27"/>
      <c r="U186" s="28">
        <f t="shared" si="22"/>
        <v>0.43363049095607226</v>
      </c>
      <c r="V186" s="57">
        <f t="shared" si="24"/>
        <v>7.8024999999999956E-2</v>
      </c>
      <c r="W186" s="57">
        <f t="shared" si="23"/>
        <v>1.6386666666666657E-2</v>
      </c>
      <c r="X186" s="56">
        <v>400</v>
      </c>
      <c r="Y186" s="56">
        <v>300</v>
      </c>
    </row>
    <row r="187" spans="1:25" x14ac:dyDescent="0.25">
      <c r="A187" s="6" t="s">
        <v>80</v>
      </c>
      <c r="B187" s="6" t="s">
        <v>81</v>
      </c>
      <c r="C187" s="15">
        <v>1526.48</v>
      </c>
      <c r="D187" s="16">
        <v>40.923000000000002</v>
      </c>
      <c r="E187" s="16">
        <v>47.15</v>
      </c>
      <c r="F187" s="16">
        <v>45.792999999999999</v>
      </c>
      <c r="G187" s="16">
        <v>4.45</v>
      </c>
      <c r="H187" s="16">
        <f t="shared" ref="H187:H209" si="25">(6*D187+E187+F187)/8</f>
        <v>42.310124999999999</v>
      </c>
      <c r="I187" s="5"/>
      <c r="J187" s="15">
        <v>1001.2471</v>
      </c>
      <c r="K187" s="16">
        <v>40.014499999999998</v>
      </c>
      <c r="L187" s="16">
        <v>46.997300000000003</v>
      </c>
      <c r="M187" s="16">
        <v>45.617699999999999</v>
      </c>
      <c r="N187" s="16">
        <v>4.6748000000000003</v>
      </c>
      <c r="O187" s="16">
        <f t="shared" ref="O187:O209" si="26">(6*K187+L187+M187)/8</f>
        <v>41.58775</v>
      </c>
      <c r="P187" s="7"/>
      <c r="Q187" s="8">
        <f>bdrate(C187:C190,D187:D190,J187:J190,K187:K190)</f>
        <v>-0.30351903563938198</v>
      </c>
      <c r="R187" s="8">
        <f>bdrate(C187:C190,E187:E190,J187:J190,L187:L190)</f>
        <v>-0.43966513133180152</v>
      </c>
      <c r="S187" s="8">
        <f>bdrate(C187:C190,F187:F190,J187:J190,M187:M190)</f>
        <v>-0.41430480720434271</v>
      </c>
      <c r="T187" s="25">
        <f>bdrate(C187:C190,H187:H190,J187:J190,O187:O190)</f>
        <v>-0.32742417277538682</v>
      </c>
      <c r="U187" s="28">
        <f t="shared" ref="U187:U209" si="27">(N187-G187)/G187</f>
        <v>5.0516853932584295E-2</v>
      </c>
      <c r="V187" s="57">
        <f t="shared" ref="V187:V230" si="28">ABS(C187-X187)/X187</f>
        <v>1.7653333333333344E-2</v>
      </c>
      <c r="W187" s="57">
        <f t="shared" ref="W187:W230" si="29">ABS(J187-Y187)/Y187</f>
        <v>1.2471000000000459E-3</v>
      </c>
      <c r="X187" s="56">
        <v>1500</v>
      </c>
      <c r="Y187" s="56">
        <v>1000</v>
      </c>
    </row>
    <row r="188" spans="1:25" x14ac:dyDescent="0.25">
      <c r="A188" s="9"/>
      <c r="B188" s="9"/>
      <c r="C188" s="17">
        <v>1018.85</v>
      </c>
      <c r="D188" s="18">
        <v>39.206000000000003</v>
      </c>
      <c r="E188" s="18">
        <v>45.9</v>
      </c>
      <c r="F188" s="18">
        <v>44.542999999999999</v>
      </c>
      <c r="G188" s="18">
        <v>5.0999999999999996</v>
      </c>
      <c r="H188" s="18">
        <f t="shared" si="25"/>
        <v>40.709875000000004</v>
      </c>
      <c r="I188" s="5"/>
      <c r="J188" s="17">
        <v>600.33209999999997</v>
      </c>
      <c r="K188" s="18">
        <v>38.085900000000002</v>
      </c>
      <c r="L188" s="18">
        <v>45.776400000000002</v>
      </c>
      <c r="M188" s="18">
        <v>44.334400000000002</v>
      </c>
      <c r="N188" s="18">
        <v>5.8467000000000002</v>
      </c>
      <c r="O188" s="18">
        <f t="shared" si="26"/>
        <v>39.828275000000005</v>
      </c>
      <c r="P188" s="7"/>
      <c r="Q188" s="10"/>
      <c r="R188" s="11"/>
      <c r="S188" s="11"/>
      <c r="T188" s="26"/>
      <c r="U188" s="28">
        <f t="shared" si="27"/>
        <v>0.14641176470588249</v>
      </c>
      <c r="V188" s="57">
        <f t="shared" si="28"/>
        <v>1.8850000000000023E-2</v>
      </c>
      <c r="W188" s="57">
        <f t="shared" si="29"/>
        <v>5.5349999999994759E-4</v>
      </c>
      <c r="X188" s="56">
        <v>1000</v>
      </c>
      <c r="Y188" s="56">
        <v>600</v>
      </c>
    </row>
    <row r="189" spans="1:25" x14ac:dyDescent="0.25">
      <c r="B189" s="9"/>
      <c r="C189" s="17">
        <v>611.92999999999995</v>
      </c>
      <c r="D189" s="18">
        <v>36.753999999999998</v>
      </c>
      <c r="E189" s="18">
        <v>44.170999999999999</v>
      </c>
      <c r="F189" s="18">
        <v>42.859000000000002</v>
      </c>
      <c r="G189" s="18">
        <v>6.14</v>
      </c>
      <c r="H189" s="18">
        <f t="shared" si="25"/>
        <v>38.444249999999997</v>
      </c>
      <c r="I189" s="5"/>
      <c r="J189" s="17">
        <v>298.47590000000002</v>
      </c>
      <c r="K189" s="18">
        <v>35.206800000000001</v>
      </c>
      <c r="L189" s="18">
        <v>44.049599999999998</v>
      </c>
      <c r="M189" s="18">
        <v>42.511000000000003</v>
      </c>
      <c r="N189" s="18">
        <v>8.0753000000000004</v>
      </c>
      <c r="O189" s="18">
        <f t="shared" si="26"/>
        <v>37.225175</v>
      </c>
      <c r="P189" s="7"/>
      <c r="Q189" s="10"/>
      <c r="R189" s="11"/>
      <c r="S189" s="11"/>
      <c r="T189" s="26"/>
      <c r="U189" s="28">
        <f t="shared" si="27"/>
        <v>0.31519543973941383</v>
      </c>
      <c r="V189" s="57">
        <f t="shared" si="28"/>
        <v>1.9883333333333249E-2</v>
      </c>
      <c r="W189" s="57">
        <f t="shared" si="29"/>
        <v>5.0803333333332527E-3</v>
      </c>
      <c r="X189" s="56">
        <v>600</v>
      </c>
      <c r="Y189" s="56">
        <v>300</v>
      </c>
    </row>
    <row r="190" spans="1:25" ht="16.5" thickBot="1" x14ac:dyDescent="0.3">
      <c r="B190" s="12"/>
      <c r="C190" s="19">
        <v>304.52999999999997</v>
      </c>
      <c r="D190" s="20">
        <v>32.631999999999998</v>
      </c>
      <c r="E190" s="20">
        <v>41.7</v>
      </c>
      <c r="F190" s="20">
        <v>40.353999999999999</v>
      </c>
      <c r="G190" s="20">
        <v>8.15</v>
      </c>
      <c r="H190" s="20">
        <f t="shared" si="25"/>
        <v>34.730749999999993</v>
      </c>
      <c r="I190" s="5"/>
      <c r="J190" s="19">
        <v>196.5471</v>
      </c>
      <c r="K190" s="20">
        <v>33.314100000000003</v>
      </c>
      <c r="L190" s="20">
        <v>42.994999999999997</v>
      </c>
      <c r="M190" s="20">
        <v>41.378599999999999</v>
      </c>
      <c r="N190" s="20">
        <v>9.8780999999999999</v>
      </c>
      <c r="O190" s="20">
        <f t="shared" si="26"/>
        <v>35.532275000000006</v>
      </c>
      <c r="P190" s="7"/>
      <c r="Q190" s="13"/>
      <c r="R190" s="14"/>
      <c r="S190" s="14"/>
      <c r="T190" s="27"/>
      <c r="U190" s="28">
        <f t="shared" si="27"/>
        <v>0.21203680981595086</v>
      </c>
      <c r="V190" s="57">
        <f t="shared" si="28"/>
        <v>1.5099999999999909E-2</v>
      </c>
      <c r="W190" s="57">
        <f t="shared" si="29"/>
        <v>1.7264499999999999E-2</v>
      </c>
      <c r="X190" s="56">
        <v>300</v>
      </c>
      <c r="Y190" s="56">
        <v>200</v>
      </c>
    </row>
    <row r="191" spans="1:25" x14ac:dyDescent="0.25">
      <c r="B191" s="6" t="s">
        <v>82</v>
      </c>
      <c r="C191" s="29">
        <v>1465.08</v>
      </c>
      <c r="D191" s="30">
        <v>42.143999999999998</v>
      </c>
      <c r="E191" s="30">
        <v>47.308999999999997</v>
      </c>
      <c r="F191" s="30">
        <v>47.058999999999997</v>
      </c>
      <c r="G191" s="16">
        <v>4.8600000000000003</v>
      </c>
      <c r="H191" s="16">
        <f t="shared" si="25"/>
        <v>43.403999999999996</v>
      </c>
      <c r="I191" s="5"/>
      <c r="J191" s="29">
        <v>1005.9893</v>
      </c>
      <c r="K191" s="30">
        <v>41.253100000000003</v>
      </c>
      <c r="L191" s="30">
        <v>47.3581</v>
      </c>
      <c r="M191" s="30">
        <v>47.0383</v>
      </c>
      <c r="N191" s="16">
        <v>4.7324000000000002</v>
      </c>
      <c r="O191" s="16">
        <f t="shared" si="26"/>
        <v>42.739375000000003</v>
      </c>
      <c r="P191" s="7"/>
      <c r="Q191" s="8">
        <f>bdrate(C191:C194,D191:D194,J191:J194,K191:K194)</f>
        <v>-0.26679732580322413</v>
      </c>
      <c r="R191" s="8">
        <f>bdrate(C191:C194,E191:E194,J191:J194,L191:L194)</f>
        <v>-0.43843106524617681</v>
      </c>
      <c r="S191" s="8">
        <f>bdrate(C191:C194,F191:F194,J191:J194,M191:M194)</f>
        <v>-0.43311268152611604</v>
      </c>
      <c r="T191" s="25">
        <f>bdrate(C191:C194,H191:H194,J191:J194,O191:O194)</f>
        <v>-0.2998886563965405</v>
      </c>
      <c r="U191" s="28">
        <f t="shared" si="27"/>
        <v>-2.625514403292184E-2</v>
      </c>
      <c r="V191" s="57">
        <f t="shared" si="28"/>
        <v>2.3280000000000047E-2</v>
      </c>
      <c r="W191" s="57">
        <f t="shared" si="29"/>
        <v>5.9892999999999579E-3</v>
      </c>
      <c r="X191" s="56">
        <v>1500</v>
      </c>
      <c r="Y191" s="56">
        <v>1000</v>
      </c>
    </row>
    <row r="192" spans="1:25" x14ac:dyDescent="0.25">
      <c r="B192" s="9"/>
      <c r="C192" s="31">
        <v>972.92</v>
      </c>
      <c r="D192" s="32">
        <v>40.466000000000001</v>
      </c>
      <c r="E192" s="32">
        <v>46.220999999999997</v>
      </c>
      <c r="F192" s="32">
        <v>45.969000000000001</v>
      </c>
      <c r="G192" s="18">
        <v>5.59</v>
      </c>
      <c r="H192" s="18">
        <f t="shared" si="25"/>
        <v>41.873249999999999</v>
      </c>
      <c r="I192" s="5"/>
      <c r="J192" s="31">
        <v>602.52430000000004</v>
      </c>
      <c r="K192" s="32">
        <v>39.453699999999998</v>
      </c>
      <c r="L192" s="32">
        <v>46.269799999999996</v>
      </c>
      <c r="M192" s="32">
        <v>45.993000000000002</v>
      </c>
      <c r="N192" s="18">
        <v>5.9538000000000002</v>
      </c>
      <c r="O192" s="18">
        <f t="shared" si="26"/>
        <v>41.123124999999995</v>
      </c>
      <c r="P192" s="7"/>
      <c r="Q192" s="10"/>
      <c r="R192" s="11"/>
      <c r="S192" s="11"/>
      <c r="T192" s="26"/>
      <c r="U192" s="28">
        <f t="shared" si="27"/>
        <v>6.5080500894454441E-2</v>
      </c>
      <c r="V192" s="57">
        <f t="shared" si="28"/>
        <v>2.7080000000000042E-2</v>
      </c>
      <c r="W192" s="57">
        <f t="shared" si="29"/>
        <v>4.2071666666667323E-3</v>
      </c>
      <c r="X192" s="56">
        <v>1000</v>
      </c>
      <c r="Y192" s="56">
        <v>600</v>
      </c>
    </row>
    <row r="193" spans="2:25" x14ac:dyDescent="0.25">
      <c r="B193" s="9"/>
      <c r="C193" s="31">
        <v>581.32000000000005</v>
      </c>
      <c r="D193" s="32">
        <v>38.241</v>
      </c>
      <c r="E193" s="32">
        <v>44.691000000000003</v>
      </c>
      <c r="F193" s="32">
        <v>44.441000000000003</v>
      </c>
      <c r="G193" s="18">
        <v>6.73</v>
      </c>
      <c r="H193" s="18">
        <f t="shared" si="25"/>
        <v>39.822249999999997</v>
      </c>
      <c r="I193" s="5"/>
      <c r="J193" s="31">
        <v>301.15519999999998</v>
      </c>
      <c r="K193" s="32">
        <v>36.964799999999997</v>
      </c>
      <c r="L193" s="32">
        <v>44.719000000000001</v>
      </c>
      <c r="M193" s="32">
        <v>44.4542</v>
      </c>
      <c r="N193" s="18">
        <v>8.1416000000000004</v>
      </c>
      <c r="O193" s="18">
        <f t="shared" si="26"/>
        <v>38.870249999999999</v>
      </c>
      <c r="P193" s="7"/>
      <c r="Q193" s="10"/>
      <c r="R193" s="11"/>
      <c r="S193" s="11"/>
      <c r="T193" s="26"/>
      <c r="U193" s="28">
        <f t="shared" si="27"/>
        <v>0.20974739970282316</v>
      </c>
      <c r="V193" s="57">
        <f t="shared" si="28"/>
        <v>3.1133333333333249E-2</v>
      </c>
      <c r="W193" s="57">
        <f t="shared" si="29"/>
        <v>3.8506666666665978E-3</v>
      </c>
      <c r="X193" s="56">
        <v>600</v>
      </c>
      <c r="Y193" s="56">
        <v>300</v>
      </c>
    </row>
    <row r="194" spans="2:25" ht="16.5" thickBot="1" x14ac:dyDescent="0.3">
      <c r="B194" s="12"/>
      <c r="C194" s="33">
        <v>289.77</v>
      </c>
      <c r="D194" s="34">
        <v>34.72</v>
      </c>
      <c r="E194" s="34">
        <v>42.497</v>
      </c>
      <c r="F194" s="34">
        <v>42.212000000000003</v>
      </c>
      <c r="G194" s="20">
        <v>8.7899999999999991</v>
      </c>
      <c r="H194" s="20">
        <f t="shared" si="25"/>
        <v>36.628625</v>
      </c>
      <c r="I194" s="5"/>
      <c r="J194" s="33">
        <v>200.3605</v>
      </c>
      <c r="K194" s="34">
        <v>35.426299999999998</v>
      </c>
      <c r="L194" s="34">
        <v>43.818300000000001</v>
      </c>
      <c r="M194" s="34">
        <v>43.558199999999999</v>
      </c>
      <c r="N194" s="20">
        <v>9.8096999999999994</v>
      </c>
      <c r="O194" s="20">
        <f t="shared" si="26"/>
        <v>37.491787500000001</v>
      </c>
      <c r="P194" s="7"/>
      <c r="Q194" s="13"/>
      <c r="R194" s="14"/>
      <c r="S194" s="14"/>
      <c r="T194" s="27"/>
      <c r="U194" s="28">
        <f t="shared" si="27"/>
        <v>0.11600682593856659</v>
      </c>
      <c r="V194" s="57">
        <f t="shared" si="28"/>
        <v>3.4100000000000061E-2</v>
      </c>
      <c r="W194" s="57">
        <f t="shared" si="29"/>
        <v>1.8025000000000092E-3</v>
      </c>
      <c r="X194" s="56">
        <v>300</v>
      </c>
      <c r="Y194" s="56">
        <v>200</v>
      </c>
    </row>
    <row r="195" spans="2:25" x14ac:dyDescent="0.25">
      <c r="B195" s="6" t="s">
        <v>83</v>
      </c>
      <c r="C195" s="15">
        <v>1500.42</v>
      </c>
      <c r="D195" s="16">
        <v>38.875999999999998</v>
      </c>
      <c r="E195" s="16">
        <v>47.064</v>
      </c>
      <c r="F195" s="16">
        <v>45.402000000000001</v>
      </c>
      <c r="G195" s="16">
        <v>4.88</v>
      </c>
      <c r="H195" s="16">
        <f t="shared" si="25"/>
        <v>40.715249999999997</v>
      </c>
      <c r="I195" s="5"/>
      <c r="J195" s="15">
        <v>1004.816</v>
      </c>
      <c r="K195" s="16">
        <v>37.956600000000002</v>
      </c>
      <c r="L195" s="16">
        <v>46.890900000000002</v>
      </c>
      <c r="M195" s="16">
        <v>45.313000000000002</v>
      </c>
      <c r="N195" s="16">
        <v>4.5934999999999997</v>
      </c>
      <c r="O195" s="16">
        <f t="shared" si="26"/>
        <v>39.992937499999996</v>
      </c>
      <c r="P195" s="7"/>
      <c r="Q195" s="8">
        <f>bdrate(C195:C198,D195:D198,J195:J198,K195:K198)</f>
        <v>-0.2759929836304289</v>
      </c>
      <c r="R195" s="8">
        <f>bdrate(C195:C198,E195:E198,J195:J198,L195:L198)</f>
        <v>-0.39854284502217818</v>
      </c>
      <c r="S195" s="8">
        <f>bdrate(C195:C198,F195:F198,J195:J198,M195:M198)</f>
        <v>-0.43815723200869949</v>
      </c>
      <c r="T195" s="25">
        <f>bdrate(C195:C198,H195:H198,J195:J198,O195:O198)</f>
        <v>-0.30379724379413509</v>
      </c>
      <c r="U195" s="28">
        <f t="shared" si="27"/>
        <v>-5.8709016393442663E-2</v>
      </c>
      <c r="V195" s="57">
        <f t="shared" si="28"/>
        <v>2.8000000000004849E-4</v>
      </c>
      <c r="W195" s="57">
        <f t="shared" si="29"/>
        <v>4.8160000000000312E-3</v>
      </c>
      <c r="X195" s="56">
        <v>1500</v>
      </c>
      <c r="Y195" s="56">
        <v>1000</v>
      </c>
    </row>
    <row r="196" spans="2:25" x14ac:dyDescent="0.25">
      <c r="B196" s="9"/>
      <c r="C196" s="17">
        <v>1000.87</v>
      </c>
      <c r="D196" s="18">
        <v>37.302999999999997</v>
      </c>
      <c r="E196" s="18">
        <v>46.067999999999998</v>
      </c>
      <c r="F196" s="18">
        <v>44.298999999999999</v>
      </c>
      <c r="G196" s="18">
        <v>5.59</v>
      </c>
      <c r="H196" s="18">
        <f t="shared" si="25"/>
        <v>39.273124999999993</v>
      </c>
      <c r="I196" s="5"/>
      <c r="J196" s="17">
        <v>602.61530000000005</v>
      </c>
      <c r="K196" s="18">
        <v>36.262599999999999</v>
      </c>
      <c r="L196" s="18">
        <v>45.897799999999997</v>
      </c>
      <c r="M196" s="18">
        <v>44.303100000000001</v>
      </c>
      <c r="N196" s="18">
        <v>5.6464999999999996</v>
      </c>
      <c r="O196" s="18">
        <f t="shared" si="26"/>
        <v>38.472062500000007</v>
      </c>
      <c r="P196" s="7"/>
      <c r="Q196" s="10"/>
      <c r="R196" s="11"/>
      <c r="S196" s="11"/>
      <c r="T196" s="26"/>
      <c r="U196" s="28">
        <f t="shared" si="27"/>
        <v>1.0107334525939137E-2</v>
      </c>
      <c r="V196" s="57">
        <f t="shared" si="28"/>
        <v>8.7000000000000456E-4</v>
      </c>
      <c r="W196" s="57">
        <f t="shared" si="29"/>
        <v>4.3588333333334124E-3</v>
      </c>
      <c r="X196" s="56">
        <v>1000</v>
      </c>
      <c r="Y196" s="56">
        <v>600</v>
      </c>
    </row>
    <row r="197" spans="2:25" x14ac:dyDescent="0.25">
      <c r="B197" s="9"/>
      <c r="C197" s="17">
        <v>600.34</v>
      </c>
      <c r="D197" s="18">
        <v>35.183</v>
      </c>
      <c r="E197" s="18">
        <v>44.628999999999998</v>
      </c>
      <c r="F197" s="18">
        <v>42.793999999999997</v>
      </c>
      <c r="G197" s="18">
        <v>6.72</v>
      </c>
      <c r="H197" s="18">
        <f t="shared" si="25"/>
        <v>37.315125000000002</v>
      </c>
      <c r="I197" s="5"/>
      <c r="J197" s="17">
        <v>301.15809999999999</v>
      </c>
      <c r="K197" s="18">
        <v>33.831099999999999</v>
      </c>
      <c r="L197" s="18">
        <v>44.330399999999997</v>
      </c>
      <c r="M197" s="18">
        <v>42.698599999999999</v>
      </c>
      <c r="N197" s="18">
        <v>7.8197999999999999</v>
      </c>
      <c r="O197" s="18">
        <f t="shared" si="26"/>
        <v>36.251950000000001</v>
      </c>
      <c r="P197" s="7"/>
      <c r="Q197" s="10"/>
      <c r="R197" s="11"/>
      <c r="S197" s="11"/>
      <c r="T197" s="26"/>
      <c r="U197" s="28">
        <f t="shared" si="27"/>
        <v>0.1636607142857143</v>
      </c>
      <c r="V197" s="57">
        <f t="shared" si="28"/>
        <v>5.6666666666671972E-4</v>
      </c>
      <c r="W197" s="57">
        <f t="shared" si="29"/>
        <v>3.8603333333333011E-3</v>
      </c>
      <c r="X197" s="56">
        <v>600</v>
      </c>
      <c r="Y197" s="56">
        <v>300</v>
      </c>
    </row>
    <row r="198" spans="2:25" ht="16.5" thickBot="1" x14ac:dyDescent="0.3">
      <c r="B198" s="12"/>
      <c r="C198" s="19">
        <v>298.33</v>
      </c>
      <c r="D198" s="20">
        <v>31.683</v>
      </c>
      <c r="E198" s="20">
        <v>42.494</v>
      </c>
      <c r="F198" s="20">
        <v>40.616</v>
      </c>
      <c r="G198" s="20">
        <v>8.8000000000000007</v>
      </c>
      <c r="H198" s="20">
        <f t="shared" si="25"/>
        <v>34.151000000000003</v>
      </c>
      <c r="I198" s="5"/>
      <c r="J198" s="19">
        <v>200.1557</v>
      </c>
      <c r="K198" s="20">
        <v>32.269100000000002</v>
      </c>
      <c r="L198" s="20">
        <v>43.544199999999996</v>
      </c>
      <c r="M198" s="20">
        <v>41.785699999999999</v>
      </c>
      <c r="N198" s="20">
        <v>9.5343999999999998</v>
      </c>
      <c r="O198" s="20">
        <f t="shared" si="26"/>
        <v>34.868062500000001</v>
      </c>
      <c r="P198" s="7"/>
      <c r="Q198" s="13"/>
      <c r="R198" s="14"/>
      <c r="S198" s="14"/>
      <c r="T198" s="27"/>
      <c r="U198" s="28">
        <f t="shared" si="27"/>
        <v>8.3454545454545337E-2</v>
      </c>
      <c r="V198" s="57">
        <f t="shared" si="28"/>
        <v>5.5666666666667197E-3</v>
      </c>
      <c r="W198" s="57">
        <f t="shared" si="29"/>
        <v>7.7849999999997973E-4</v>
      </c>
      <c r="X198" s="56">
        <v>300</v>
      </c>
      <c r="Y198" s="56">
        <v>200</v>
      </c>
    </row>
    <row r="199" spans="2:25" x14ac:dyDescent="0.25">
      <c r="B199" s="6" t="s">
        <v>84</v>
      </c>
      <c r="C199" s="15">
        <v>1482.78</v>
      </c>
      <c r="D199" s="16">
        <v>37.835000000000001</v>
      </c>
      <c r="E199" s="16">
        <v>46.994</v>
      </c>
      <c r="F199" s="16">
        <v>45.368000000000002</v>
      </c>
      <c r="G199" s="16">
        <v>4.68</v>
      </c>
      <c r="H199" s="16">
        <f t="shared" si="25"/>
        <v>39.921500000000002</v>
      </c>
      <c r="I199" s="5"/>
      <c r="J199" s="15">
        <v>1002.5051</v>
      </c>
      <c r="K199" s="16">
        <v>36.931100000000001</v>
      </c>
      <c r="L199" s="16">
        <v>46.715200000000003</v>
      </c>
      <c r="M199" s="16">
        <v>45.218000000000004</v>
      </c>
      <c r="N199" s="16">
        <v>4.4592000000000001</v>
      </c>
      <c r="O199" s="16">
        <f t="shared" si="26"/>
        <v>39.189975000000004</v>
      </c>
      <c r="P199" s="7"/>
      <c r="Q199" s="8">
        <f>bdrate(C199:C202,D199:D202,J199:J202,K199:K202)</f>
        <v>-0.27293465028593011</v>
      </c>
      <c r="R199" s="8">
        <f>bdrate(C199:C202,E199:E202,J199:J202,L199:L202)</f>
        <v>-0.35564835962840302</v>
      </c>
      <c r="S199" s="8">
        <f>bdrate(C199:C202,F199:F202,J199:J202,M199:M202)</f>
        <v>-0.43577382653404551</v>
      </c>
      <c r="T199" s="25">
        <f>bdrate(C199:C202,H199:H202,J199:J202,O199:O202)</f>
        <v>-0.29706863859135113</v>
      </c>
      <c r="U199" s="28">
        <f t="shared" si="27"/>
        <v>-4.7179487179487112E-2</v>
      </c>
      <c r="V199" s="57">
        <f t="shared" si="28"/>
        <v>1.1480000000000018E-2</v>
      </c>
      <c r="W199" s="57">
        <f t="shared" si="29"/>
        <v>2.5050999999999702E-3</v>
      </c>
      <c r="X199" s="56">
        <v>1500</v>
      </c>
      <c r="Y199" s="56">
        <v>1000</v>
      </c>
    </row>
    <row r="200" spans="2:25" x14ac:dyDescent="0.25">
      <c r="B200" s="9"/>
      <c r="C200" s="17">
        <v>987.7</v>
      </c>
      <c r="D200" s="18">
        <v>36.274999999999999</v>
      </c>
      <c r="E200" s="18">
        <v>46.021000000000001</v>
      </c>
      <c r="F200" s="18">
        <v>44.253999999999998</v>
      </c>
      <c r="G200" s="18">
        <v>5.36</v>
      </c>
      <c r="H200" s="18">
        <f t="shared" si="25"/>
        <v>38.490625000000001</v>
      </c>
      <c r="I200" s="5"/>
      <c r="J200" s="17">
        <v>601.34079999999994</v>
      </c>
      <c r="K200" s="18">
        <v>35.274299999999997</v>
      </c>
      <c r="L200" s="18">
        <v>45.723799999999997</v>
      </c>
      <c r="M200" s="18">
        <v>44.228200000000001</v>
      </c>
      <c r="N200" s="18">
        <v>5.4916999999999998</v>
      </c>
      <c r="O200" s="18">
        <f t="shared" si="26"/>
        <v>37.699725000000001</v>
      </c>
      <c r="P200" s="7"/>
      <c r="Q200" s="10"/>
      <c r="R200" s="11"/>
      <c r="S200" s="11"/>
      <c r="T200" s="26"/>
      <c r="U200" s="28">
        <f t="shared" si="27"/>
        <v>2.4570895522387962E-2</v>
      </c>
      <c r="V200" s="57">
        <f t="shared" si="28"/>
        <v>1.2299999999999955E-2</v>
      </c>
      <c r="W200" s="57">
        <f t="shared" si="29"/>
        <v>2.2346666666665745E-3</v>
      </c>
      <c r="X200" s="56">
        <v>1000</v>
      </c>
      <c r="Y200" s="56">
        <v>600</v>
      </c>
    </row>
    <row r="201" spans="2:25" x14ac:dyDescent="0.25">
      <c r="B201" s="9"/>
      <c r="C201" s="17">
        <v>592</v>
      </c>
      <c r="D201" s="18">
        <v>34.183</v>
      </c>
      <c r="E201" s="18">
        <v>44.648000000000003</v>
      </c>
      <c r="F201" s="18">
        <v>42.728000000000002</v>
      </c>
      <c r="G201" s="18">
        <v>6.41</v>
      </c>
      <c r="H201" s="18">
        <f t="shared" si="25"/>
        <v>36.559249999999999</v>
      </c>
      <c r="I201" s="5"/>
      <c r="J201" s="17">
        <v>300.2081</v>
      </c>
      <c r="K201" s="18">
        <v>32.897300000000001</v>
      </c>
      <c r="L201" s="18">
        <v>44.182499999999997</v>
      </c>
      <c r="M201" s="18">
        <v>42.717300000000002</v>
      </c>
      <c r="N201" s="18">
        <v>7.6418999999999997</v>
      </c>
      <c r="O201" s="18">
        <f t="shared" si="26"/>
        <v>35.535450000000004</v>
      </c>
      <c r="P201" s="7"/>
      <c r="Q201" s="10"/>
      <c r="R201" s="11"/>
      <c r="S201" s="11"/>
      <c r="T201" s="26"/>
      <c r="U201" s="28">
        <f t="shared" si="27"/>
        <v>0.19218408736349446</v>
      </c>
      <c r="V201" s="57">
        <f t="shared" si="28"/>
        <v>1.3333333333333334E-2</v>
      </c>
      <c r="W201" s="57">
        <f t="shared" si="29"/>
        <v>6.936666666666724E-4</v>
      </c>
      <c r="X201" s="56">
        <v>600</v>
      </c>
      <c r="Y201" s="56">
        <v>300</v>
      </c>
    </row>
    <row r="202" spans="2:25" ht="16.5" thickBot="1" x14ac:dyDescent="0.3">
      <c r="B202" s="12"/>
      <c r="C202" s="19">
        <v>295.72000000000003</v>
      </c>
      <c r="D202" s="20">
        <v>30.798999999999999</v>
      </c>
      <c r="E202" s="20">
        <v>42.628999999999998</v>
      </c>
      <c r="F202" s="20">
        <v>40.616999999999997</v>
      </c>
      <c r="G202" s="20">
        <v>8.4700000000000006</v>
      </c>
      <c r="H202" s="20">
        <f t="shared" si="25"/>
        <v>33.504999999999995</v>
      </c>
      <c r="I202" s="5"/>
      <c r="J202" s="19">
        <v>198.61060000000001</v>
      </c>
      <c r="K202" s="20">
        <v>31.393699999999999</v>
      </c>
      <c r="L202" s="20">
        <v>43.423999999999999</v>
      </c>
      <c r="M202" s="20">
        <v>41.848999999999997</v>
      </c>
      <c r="N202" s="20">
        <v>9.3274000000000008</v>
      </c>
      <c r="O202" s="20">
        <f t="shared" si="26"/>
        <v>34.2044</v>
      </c>
      <c r="P202" s="7"/>
      <c r="Q202" s="13"/>
      <c r="R202" s="14"/>
      <c r="S202" s="14"/>
      <c r="T202" s="27"/>
      <c r="U202" s="28">
        <f t="shared" si="27"/>
        <v>0.10122786304604488</v>
      </c>
      <c r="V202" s="57">
        <f t="shared" si="28"/>
        <v>1.4266666666666575E-2</v>
      </c>
      <c r="W202" s="57">
        <f t="shared" si="29"/>
        <v>6.946999999999974E-3</v>
      </c>
      <c r="X202" s="56">
        <v>300</v>
      </c>
      <c r="Y202" s="56">
        <v>200</v>
      </c>
    </row>
    <row r="203" spans="2:25" x14ac:dyDescent="0.25">
      <c r="B203" s="6" t="s">
        <v>85</v>
      </c>
      <c r="C203" s="15">
        <v>1496.37</v>
      </c>
      <c r="D203" s="16">
        <v>42.621000000000002</v>
      </c>
      <c r="E203" s="16">
        <v>48.965000000000003</v>
      </c>
      <c r="F203" s="16">
        <v>48.386000000000003</v>
      </c>
      <c r="G203" s="16">
        <v>5.59</v>
      </c>
      <c r="H203" s="16">
        <f t="shared" si="25"/>
        <v>44.134625000000007</v>
      </c>
      <c r="I203" s="5"/>
      <c r="J203" s="15">
        <v>1016.2796</v>
      </c>
      <c r="K203" s="16">
        <v>41.747700000000002</v>
      </c>
      <c r="L203" s="16">
        <v>48.866100000000003</v>
      </c>
      <c r="M203" s="16">
        <v>48.304099999999998</v>
      </c>
      <c r="N203" s="16">
        <v>5.3628</v>
      </c>
      <c r="O203" s="16">
        <f t="shared" si="26"/>
        <v>43.457050000000002</v>
      </c>
      <c r="P203" s="7"/>
      <c r="Q203" s="8">
        <f>bdrate(C203:C206,D203:D206,J203:J206,K203:K206)</f>
        <v>-0.23686620197777497</v>
      </c>
      <c r="R203" s="8">
        <f>bdrate(C203:C206,E203:E206,J203:J206,L203:L206)</f>
        <v>-0.42802772688313895</v>
      </c>
      <c r="S203" s="8">
        <f>bdrate(C203:C206,F203:F206,J203:J206,M203:M206)</f>
        <v>-0.45197202543605186</v>
      </c>
      <c r="T203" s="25">
        <f>bdrate(C203:C206,H203:H206,J203:J206,O203:O206)</f>
        <v>-0.27983652647389867</v>
      </c>
      <c r="U203" s="28">
        <f t="shared" si="27"/>
        <v>-4.0644007155635035E-2</v>
      </c>
      <c r="V203" s="57">
        <f t="shared" si="28"/>
        <v>2.4200000000000727E-3</v>
      </c>
      <c r="W203" s="57">
        <f t="shared" si="29"/>
        <v>1.627959999999996E-2</v>
      </c>
      <c r="X203" s="56">
        <v>1500</v>
      </c>
      <c r="Y203" s="56">
        <v>1000</v>
      </c>
    </row>
    <row r="204" spans="2:25" x14ac:dyDescent="0.25">
      <c r="B204" s="9"/>
      <c r="C204" s="17">
        <v>999.46</v>
      </c>
      <c r="D204" s="18">
        <v>41.384999999999998</v>
      </c>
      <c r="E204" s="18">
        <v>48.223999999999997</v>
      </c>
      <c r="F204" s="18">
        <v>47.603000000000002</v>
      </c>
      <c r="G204" s="18">
        <v>6.41</v>
      </c>
      <c r="H204" s="18">
        <f t="shared" si="25"/>
        <v>43.017125</v>
      </c>
      <c r="I204" s="5"/>
      <c r="J204" s="17">
        <v>609.47360000000003</v>
      </c>
      <c r="K204" s="18">
        <v>40.442300000000003</v>
      </c>
      <c r="L204" s="18">
        <v>48.138399999999997</v>
      </c>
      <c r="M204" s="18">
        <v>47.564700000000002</v>
      </c>
      <c r="N204" s="18">
        <v>6.6441999999999997</v>
      </c>
      <c r="O204" s="18">
        <f t="shared" si="26"/>
        <v>42.294612500000007</v>
      </c>
      <c r="P204" s="7"/>
      <c r="Q204" s="10"/>
      <c r="R204" s="11"/>
      <c r="S204" s="11"/>
      <c r="T204" s="26"/>
      <c r="U204" s="28">
        <f t="shared" si="27"/>
        <v>3.6536661466458585E-2</v>
      </c>
      <c r="V204" s="57">
        <f t="shared" si="28"/>
        <v>5.3999999999996358E-4</v>
      </c>
      <c r="W204" s="57">
        <f t="shared" si="29"/>
        <v>1.5789333333333388E-2</v>
      </c>
      <c r="X204" s="56">
        <v>1000</v>
      </c>
      <c r="Y204" s="56">
        <v>600</v>
      </c>
    </row>
    <row r="205" spans="2:25" x14ac:dyDescent="0.25">
      <c r="B205" s="9"/>
      <c r="C205" s="17">
        <v>598.39</v>
      </c>
      <c r="D205" s="18">
        <v>39.795999999999999</v>
      </c>
      <c r="E205" s="18">
        <v>47.085999999999999</v>
      </c>
      <c r="F205" s="18">
        <v>46.363999999999997</v>
      </c>
      <c r="G205" s="18">
        <v>7.6</v>
      </c>
      <c r="H205" s="18">
        <f t="shared" si="25"/>
        <v>41.52825</v>
      </c>
      <c r="I205" s="5"/>
      <c r="J205" s="17">
        <v>300.69799999999998</v>
      </c>
      <c r="K205" s="18">
        <v>38.641399999999997</v>
      </c>
      <c r="L205" s="18">
        <v>47.006799999999998</v>
      </c>
      <c r="M205" s="18">
        <v>46.439399999999999</v>
      </c>
      <c r="N205" s="18">
        <v>8.9626999999999999</v>
      </c>
      <c r="O205" s="18">
        <f t="shared" si="26"/>
        <v>40.661824999999993</v>
      </c>
      <c r="P205" s="7"/>
      <c r="Q205" s="10"/>
      <c r="R205" s="11"/>
      <c r="S205" s="11"/>
      <c r="T205" s="26"/>
      <c r="U205" s="28">
        <f t="shared" si="27"/>
        <v>0.17930263157894741</v>
      </c>
      <c r="V205" s="57">
        <f t="shared" si="28"/>
        <v>2.6833333333333561E-3</v>
      </c>
      <c r="W205" s="57">
        <f t="shared" si="29"/>
        <v>2.3266666666665967E-3</v>
      </c>
      <c r="X205" s="56">
        <v>600</v>
      </c>
      <c r="Y205" s="56">
        <v>300</v>
      </c>
    </row>
    <row r="206" spans="2:25" ht="16.5" thickBot="1" x14ac:dyDescent="0.3">
      <c r="B206" s="12"/>
      <c r="C206" s="19">
        <v>299.62</v>
      </c>
      <c r="D206" s="20">
        <v>37.244</v>
      </c>
      <c r="E206" s="20">
        <v>45.201000000000001</v>
      </c>
      <c r="F206" s="20">
        <v>44.564</v>
      </c>
      <c r="G206" s="20">
        <v>9.7100000000000009</v>
      </c>
      <c r="H206" s="20">
        <f t="shared" si="25"/>
        <v>39.153625000000005</v>
      </c>
      <c r="I206" s="5"/>
      <c r="J206" s="19">
        <v>196.21039999999999</v>
      </c>
      <c r="K206" s="20">
        <v>37.431899999999999</v>
      </c>
      <c r="L206" s="20">
        <v>46.190100000000001</v>
      </c>
      <c r="M206" s="20">
        <v>45.598700000000001</v>
      </c>
      <c r="N206" s="20">
        <v>10.863</v>
      </c>
      <c r="O206" s="20">
        <f t="shared" si="26"/>
        <v>39.547525</v>
      </c>
      <c r="P206" s="7"/>
      <c r="Q206" s="13"/>
      <c r="R206" s="14"/>
      <c r="S206" s="14"/>
      <c r="T206" s="27"/>
      <c r="U206" s="28">
        <f t="shared" si="27"/>
        <v>0.11874356333676607</v>
      </c>
      <c r="V206" s="57">
        <f t="shared" si="28"/>
        <v>1.2666666666666514E-3</v>
      </c>
      <c r="W206" s="57">
        <f t="shared" si="29"/>
        <v>1.8948000000000034E-2</v>
      </c>
      <c r="X206" s="56">
        <v>300</v>
      </c>
      <c r="Y206" s="56">
        <v>200</v>
      </c>
    </row>
    <row r="207" spans="2:25" x14ac:dyDescent="0.25">
      <c r="B207" s="6" t="s">
        <v>86</v>
      </c>
      <c r="C207" s="15">
        <v>1479.04</v>
      </c>
      <c r="D207" s="16">
        <v>42.503</v>
      </c>
      <c r="E207" s="16">
        <v>49.628999999999998</v>
      </c>
      <c r="F207" s="16">
        <v>49.534999999999997</v>
      </c>
      <c r="G207" s="16">
        <v>5.49</v>
      </c>
      <c r="H207" s="16">
        <f t="shared" si="25"/>
        <v>44.272750000000002</v>
      </c>
      <c r="I207" s="5"/>
      <c r="J207" s="15">
        <v>1006.7954999999999</v>
      </c>
      <c r="K207" s="16">
        <v>42.110599999999998</v>
      </c>
      <c r="L207" s="16">
        <v>49.784799999999997</v>
      </c>
      <c r="M207" s="16">
        <v>49.476799999999997</v>
      </c>
      <c r="N207" s="16">
        <v>6.2942999999999998</v>
      </c>
      <c r="O207" s="16">
        <f t="shared" si="26"/>
        <v>43.990650000000002</v>
      </c>
      <c r="P207" s="7"/>
      <c r="Q207" s="8">
        <f>bdrate(C207:C210,D207:D210,J207:J210,K207:K210)</f>
        <v>-0.32963384490787973</v>
      </c>
      <c r="R207" s="8">
        <f>bdrate(C207:C210,E207:E210,J207:J210,L207:L210)</f>
        <v>-0.54273013613445609</v>
      </c>
      <c r="S207" s="8">
        <f>bdrate(C207:C210,F207:F210,J207:J210,M207:M210)</f>
        <v>-0.432462203769576</v>
      </c>
      <c r="T207" s="25">
        <f>bdrate(C207:C210,H207:H210,J207:J210,O207:O210)</f>
        <v>-0.36106940451410996</v>
      </c>
      <c r="U207" s="28">
        <f t="shared" si="27"/>
        <v>0.14650273224043708</v>
      </c>
      <c r="V207" s="57">
        <f t="shared" si="28"/>
        <v>1.3973333333333358E-2</v>
      </c>
      <c r="W207" s="57">
        <f t="shared" si="29"/>
        <v>6.7954999999999474E-3</v>
      </c>
      <c r="X207" s="56">
        <v>1500</v>
      </c>
      <c r="Y207" s="56">
        <v>1000</v>
      </c>
    </row>
    <row r="208" spans="2:25" x14ac:dyDescent="0.25">
      <c r="B208" s="9"/>
      <c r="C208" s="17">
        <v>981.98</v>
      </c>
      <c r="D208" s="18">
        <v>41.631</v>
      </c>
      <c r="E208" s="18">
        <v>49.078000000000003</v>
      </c>
      <c r="F208" s="18">
        <v>49.087000000000003</v>
      </c>
      <c r="G208" s="18">
        <v>6.35</v>
      </c>
      <c r="H208" s="18">
        <f t="shared" si="25"/>
        <v>43.493875000000003</v>
      </c>
      <c r="I208" s="5"/>
      <c r="J208" s="17">
        <v>604.77689999999996</v>
      </c>
      <c r="K208" s="18">
        <v>41.275700000000001</v>
      </c>
      <c r="L208" s="18">
        <v>49.294699999999999</v>
      </c>
      <c r="M208" s="18">
        <v>49.045400000000001</v>
      </c>
      <c r="N208" s="18">
        <v>7.9988999999999999</v>
      </c>
      <c r="O208" s="18">
        <f t="shared" si="26"/>
        <v>43.249287499999994</v>
      </c>
      <c r="P208" s="7"/>
      <c r="Q208" s="10"/>
      <c r="R208" s="11"/>
      <c r="S208" s="11"/>
      <c r="T208" s="26"/>
      <c r="U208" s="28">
        <f t="shared" si="27"/>
        <v>0.25966929133858274</v>
      </c>
      <c r="V208" s="57">
        <f t="shared" si="28"/>
        <v>1.801999999999998E-2</v>
      </c>
      <c r="W208" s="57">
        <f t="shared" si="29"/>
        <v>7.9614999999999252E-3</v>
      </c>
      <c r="X208" s="56">
        <v>1000</v>
      </c>
      <c r="Y208" s="56">
        <v>600</v>
      </c>
    </row>
    <row r="209" spans="2:25" x14ac:dyDescent="0.25">
      <c r="B209" s="9"/>
      <c r="C209" s="17">
        <v>586.63</v>
      </c>
      <c r="D209" s="18">
        <v>40.537999999999997</v>
      </c>
      <c r="E209" s="18">
        <v>48.29</v>
      </c>
      <c r="F209" s="18">
        <v>48.470999999999997</v>
      </c>
      <c r="G209" s="18">
        <v>7.55</v>
      </c>
      <c r="H209" s="18">
        <f t="shared" si="25"/>
        <v>42.498624999999997</v>
      </c>
      <c r="I209" s="5"/>
      <c r="J209" s="17">
        <v>290.11779999999999</v>
      </c>
      <c r="K209" s="18">
        <v>40.008600000000001</v>
      </c>
      <c r="L209" s="18">
        <v>48.533900000000003</v>
      </c>
      <c r="M209" s="18">
        <v>48.407400000000003</v>
      </c>
      <c r="N209" s="18">
        <v>11.104100000000001</v>
      </c>
      <c r="O209" s="18">
        <f t="shared" si="26"/>
        <v>42.124112500000003</v>
      </c>
      <c r="P209" s="7"/>
      <c r="Q209" s="10"/>
      <c r="R209" s="11"/>
      <c r="S209" s="11"/>
      <c r="T209" s="26"/>
      <c r="U209" s="28">
        <f t="shared" si="27"/>
        <v>0.4707417218543048</v>
      </c>
      <c r="V209" s="57">
        <f t="shared" si="28"/>
        <v>2.2283333333333342E-2</v>
      </c>
      <c r="W209" s="57">
        <f t="shared" si="29"/>
        <v>3.2940666666666708E-2</v>
      </c>
      <c r="X209" s="56">
        <v>600</v>
      </c>
      <c r="Y209" s="56">
        <v>300</v>
      </c>
    </row>
    <row r="210" spans="2:25" ht="16.5" thickBot="1" x14ac:dyDescent="0.3">
      <c r="B210" s="12"/>
      <c r="C210" s="19">
        <v>289</v>
      </c>
      <c r="D210" s="20">
        <v>38.795000000000002</v>
      </c>
      <c r="E210" s="20">
        <v>46.865000000000002</v>
      </c>
      <c r="F210" s="20">
        <v>47.307000000000002</v>
      </c>
      <c r="G210" s="20">
        <v>9.58</v>
      </c>
      <c r="H210" s="20">
        <f t="shared" ref="H210:H230" si="30">(6*D210+E210+F210)/8</f>
        <v>40.867750000000001</v>
      </c>
      <c r="I210" s="5"/>
      <c r="J210" s="19">
        <v>178.06979999999999</v>
      </c>
      <c r="K210" s="20">
        <v>39.038800000000002</v>
      </c>
      <c r="L210" s="20">
        <v>47.841099999999997</v>
      </c>
      <c r="M210" s="20">
        <v>47.878399999999999</v>
      </c>
      <c r="N210" s="20">
        <v>13.7172</v>
      </c>
      <c r="O210" s="20">
        <f t="shared" ref="O210:O230" si="31">(6*K210+L210+M210)/8</f>
        <v>41.244037499999997</v>
      </c>
      <c r="P210" s="7"/>
      <c r="Q210" s="13"/>
      <c r="R210" s="14"/>
      <c r="S210" s="14"/>
      <c r="T210" s="27"/>
      <c r="U210" s="28">
        <f t="shared" ref="U210:U230" si="32">(N210-G210)/G210</f>
        <v>0.43185803757828811</v>
      </c>
      <c r="V210" s="57">
        <f t="shared" si="28"/>
        <v>3.6666666666666667E-2</v>
      </c>
      <c r="W210" s="57">
        <f t="shared" si="29"/>
        <v>0.10965100000000007</v>
      </c>
      <c r="X210" s="56">
        <v>300</v>
      </c>
      <c r="Y210" s="56">
        <v>200</v>
      </c>
    </row>
    <row r="211" spans="2:25" x14ac:dyDescent="0.25">
      <c r="B211" s="6" t="s">
        <v>87</v>
      </c>
      <c r="C211" s="15">
        <v>1474.27</v>
      </c>
      <c r="D211" s="16">
        <v>43.932000000000002</v>
      </c>
      <c r="E211" s="16">
        <v>51.682000000000002</v>
      </c>
      <c r="F211" s="16">
        <v>51.441000000000003</v>
      </c>
      <c r="G211" s="16">
        <v>5.03</v>
      </c>
      <c r="H211" s="16">
        <f t="shared" si="30"/>
        <v>45.839375000000004</v>
      </c>
      <c r="I211" s="5"/>
      <c r="J211" s="15">
        <v>1003.3197</v>
      </c>
      <c r="K211" s="16">
        <v>43.138100000000001</v>
      </c>
      <c r="L211" s="16">
        <v>51.389499999999998</v>
      </c>
      <c r="M211" s="16">
        <v>51.199599999999997</v>
      </c>
      <c r="N211" s="16">
        <v>5.6439000000000004</v>
      </c>
      <c r="O211" s="16">
        <f t="shared" si="31"/>
        <v>45.177212499999996</v>
      </c>
      <c r="P211" s="7"/>
      <c r="Q211" s="8">
        <f>bdrate(C211:C214,D211:D214,J211:J214,K211:K214)</f>
        <v>-0.22477139006101388</v>
      </c>
      <c r="R211" s="8">
        <f>bdrate(C211:C214,E211:E214,J211:J214,L211:L214)</f>
        <v>-0.47107626866774244</v>
      </c>
      <c r="S211" s="8">
        <f>bdrate(C211:C214,F211:F214,J211:J214,M211:M214)</f>
        <v>-0.47861689783755801</v>
      </c>
      <c r="T211" s="25">
        <f>bdrate(C211:C214,H211:H214,J211:J214,O211:O214)</f>
        <v>-0.28756736698424545</v>
      </c>
      <c r="U211" s="28">
        <f t="shared" si="32"/>
        <v>0.12204771371769385</v>
      </c>
      <c r="V211" s="57">
        <f t="shared" si="28"/>
        <v>1.7153333333333347E-2</v>
      </c>
      <c r="W211" s="57">
        <f t="shared" si="29"/>
        <v>3.3197000000000118E-3</v>
      </c>
      <c r="X211" s="56">
        <v>1500</v>
      </c>
      <c r="Y211" s="56">
        <v>1000</v>
      </c>
    </row>
    <row r="212" spans="2:25" x14ac:dyDescent="0.25">
      <c r="B212" s="9"/>
      <c r="C212" s="17">
        <v>974.39</v>
      </c>
      <c r="D212" s="18">
        <v>42.91</v>
      </c>
      <c r="E212" s="18">
        <v>50.753999999999998</v>
      </c>
      <c r="F212" s="18">
        <v>50.506999999999998</v>
      </c>
      <c r="G212" s="18">
        <v>5.98</v>
      </c>
      <c r="H212" s="18">
        <f t="shared" si="30"/>
        <v>44.840125</v>
      </c>
      <c r="I212" s="5"/>
      <c r="J212" s="17">
        <v>601.31290000000001</v>
      </c>
      <c r="K212" s="18">
        <v>42.166499999999999</v>
      </c>
      <c r="L212" s="18">
        <v>50.789400000000001</v>
      </c>
      <c r="M212" s="18">
        <v>50.5961</v>
      </c>
      <c r="N212" s="18">
        <v>7.2098000000000004</v>
      </c>
      <c r="O212" s="18">
        <f t="shared" si="31"/>
        <v>44.2980625</v>
      </c>
      <c r="P212" s="7"/>
      <c r="Q212" s="10"/>
      <c r="R212" s="11"/>
      <c r="S212" s="11"/>
      <c r="T212" s="26"/>
      <c r="U212" s="28">
        <f t="shared" si="32"/>
        <v>0.20565217391304347</v>
      </c>
      <c r="V212" s="57">
        <f t="shared" si="28"/>
        <v>2.5610000000000015E-2</v>
      </c>
      <c r="W212" s="57">
        <f t="shared" si="29"/>
        <v>2.1881666666666889E-3</v>
      </c>
      <c r="X212" s="56">
        <v>1000</v>
      </c>
      <c r="Y212" s="56">
        <v>600</v>
      </c>
    </row>
    <row r="213" spans="2:25" x14ac:dyDescent="0.25">
      <c r="B213" s="9"/>
      <c r="C213" s="17">
        <v>578.4</v>
      </c>
      <c r="D213" s="18">
        <v>41.706000000000003</v>
      </c>
      <c r="E213" s="18">
        <v>49.784999999999997</v>
      </c>
      <c r="F213" s="18">
        <v>49.55</v>
      </c>
      <c r="G213" s="18">
        <v>7.18</v>
      </c>
      <c r="H213" s="18">
        <f t="shared" si="30"/>
        <v>43.696375000000003</v>
      </c>
      <c r="I213" s="5"/>
      <c r="J213" s="17">
        <v>296.8655</v>
      </c>
      <c r="K213" s="18">
        <v>40.986600000000003</v>
      </c>
      <c r="L213" s="18">
        <v>50.057600000000001</v>
      </c>
      <c r="M213" s="18">
        <v>49.823999999999998</v>
      </c>
      <c r="N213" s="18">
        <v>9.8475999999999999</v>
      </c>
      <c r="O213" s="18">
        <f t="shared" si="31"/>
        <v>43.225149999999999</v>
      </c>
      <c r="P213" s="7"/>
      <c r="Q213" s="10"/>
      <c r="R213" s="11"/>
      <c r="S213" s="11"/>
      <c r="T213" s="26"/>
      <c r="U213" s="28">
        <f t="shared" si="32"/>
        <v>0.37153203342618391</v>
      </c>
      <c r="V213" s="57">
        <f t="shared" si="28"/>
        <v>3.6000000000000039E-2</v>
      </c>
      <c r="W213" s="57">
        <f t="shared" si="29"/>
        <v>1.0448333333333342E-2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282.81</v>
      </c>
      <c r="D214" s="20">
        <v>39.951000000000001</v>
      </c>
      <c r="E214" s="20">
        <v>48.043999999999997</v>
      </c>
      <c r="F214" s="20">
        <v>47.951000000000001</v>
      </c>
      <c r="G214" s="20">
        <v>9.27</v>
      </c>
      <c r="H214" s="20">
        <f t="shared" si="30"/>
        <v>41.962625000000003</v>
      </c>
      <c r="I214" s="5"/>
      <c r="J214" s="19">
        <v>191.5849</v>
      </c>
      <c r="K214" s="20">
        <v>40.2271</v>
      </c>
      <c r="L214" s="20">
        <v>49.524500000000003</v>
      </c>
      <c r="M214" s="20">
        <v>49.298999999999999</v>
      </c>
      <c r="N214" s="20">
        <v>11.975300000000001</v>
      </c>
      <c r="O214" s="20">
        <f t="shared" si="31"/>
        <v>42.523262499999994</v>
      </c>
      <c r="P214" s="7"/>
      <c r="Q214" s="13"/>
      <c r="R214" s="14"/>
      <c r="S214" s="14"/>
      <c r="T214" s="27"/>
      <c r="U214" s="28">
        <f t="shared" si="32"/>
        <v>0.29183387270765926</v>
      </c>
      <c r="V214" s="57">
        <f t="shared" si="28"/>
        <v>5.729999999999999E-2</v>
      </c>
      <c r="W214" s="57">
        <f t="shared" si="29"/>
        <v>4.2075499999999974E-2</v>
      </c>
      <c r="X214" s="56">
        <v>300</v>
      </c>
      <c r="Y214" s="56">
        <v>200</v>
      </c>
    </row>
    <row r="215" spans="2:25" x14ac:dyDescent="0.25">
      <c r="B215" s="6" t="s">
        <v>88</v>
      </c>
      <c r="C215" s="15">
        <v>1477.24</v>
      </c>
      <c r="D215" s="16">
        <v>44.344000000000001</v>
      </c>
      <c r="E215" s="16">
        <v>52.067999999999998</v>
      </c>
      <c r="F215" s="16">
        <v>52.088000000000001</v>
      </c>
      <c r="G215" s="16">
        <v>5.88</v>
      </c>
      <c r="H215" s="16">
        <f t="shared" si="30"/>
        <v>46.277500000000003</v>
      </c>
      <c r="I215" s="5"/>
      <c r="J215" s="15">
        <v>1005.9294</v>
      </c>
      <c r="K215" s="16">
        <v>43.665700000000001</v>
      </c>
      <c r="L215" s="16">
        <v>52.136099999999999</v>
      </c>
      <c r="M215" s="16">
        <v>52.209699999999998</v>
      </c>
      <c r="N215" s="16">
        <v>6.6418999999999997</v>
      </c>
      <c r="O215" s="16">
        <f t="shared" si="31"/>
        <v>45.792499999999997</v>
      </c>
      <c r="P215" s="7"/>
      <c r="Q215" s="8">
        <f>bdrate(C215:C218,D215:D218,J215:J218,K215:K218)</f>
        <v>-0.23191110713136953</v>
      </c>
      <c r="R215" s="8">
        <f>bdrate(C215:C218,E215:E218,J215:J218,L215:L218)</f>
        <v>-0.40340678838587207</v>
      </c>
      <c r="S215" s="8">
        <f>bdrate(C215:C218,F215:F218,J215:J218,M215:M218)</f>
        <v>-0.45243541517715558</v>
      </c>
      <c r="T215" s="25">
        <f>bdrate(C215:C218,H215:H218,J215:J218,O215:O218)</f>
        <v>-0.27101447340189866</v>
      </c>
      <c r="U215" s="28">
        <f t="shared" si="32"/>
        <v>0.12957482993197275</v>
      </c>
      <c r="V215" s="57">
        <f t="shared" si="28"/>
        <v>1.5173333333333327E-2</v>
      </c>
      <c r="W215" s="57">
        <f t="shared" si="29"/>
        <v>5.9293999999999866E-3</v>
      </c>
      <c r="X215" s="56">
        <v>1500</v>
      </c>
      <c r="Y215" s="56">
        <v>1000</v>
      </c>
    </row>
    <row r="216" spans="2:25" x14ac:dyDescent="0.25">
      <c r="B216" s="9"/>
      <c r="C216" s="17">
        <v>979.41</v>
      </c>
      <c r="D216" s="18">
        <v>43.106999999999999</v>
      </c>
      <c r="E216" s="18">
        <v>51.438000000000002</v>
      </c>
      <c r="F216" s="18">
        <v>51.418999999999997</v>
      </c>
      <c r="G216" s="18">
        <v>6.86</v>
      </c>
      <c r="H216" s="18">
        <f t="shared" si="30"/>
        <v>45.187374999999996</v>
      </c>
      <c r="I216" s="5"/>
      <c r="J216" s="17">
        <v>605.30939999999998</v>
      </c>
      <c r="K216" s="18">
        <v>42.276699999999998</v>
      </c>
      <c r="L216" s="18">
        <v>51.3324</v>
      </c>
      <c r="M216" s="18">
        <v>51.4679</v>
      </c>
      <c r="N216" s="18">
        <v>8.0442</v>
      </c>
      <c r="O216" s="18">
        <f t="shared" si="31"/>
        <v>44.557562499999996</v>
      </c>
      <c r="P216" s="7"/>
      <c r="Q216" s="10"/>
      <c r="R216" s="11"/>
      <c r="S216" s="11"/>
      <c r="T216" s="26"/>
      <c r="U216" s="28">
        <f t="shared" si="32"/>
        <v>0.17262390670553932</v>
      </c>
      <c r="V216" s="57">
        <f t="shared" si="28"/>
        <v>2.0590000000000032E-2</v>
      </c>
      <c r="W216" s="57">
        <f t="shared" si="29"/>
        <v>8.8489999999999697E-3</v>
      </c>
      <c r="X216" s="56">
        <v>1000</v>
      </c>
      <c r="Y216" s="56">
        <v>600</v>
      </c>
    </row>
    <row r="217" spans="2:25" x14ac:dyDescent="0.25">
      <c r="B217" s="9"/>
      <c r="C217" s="17">
        <v>584.47</v>
      </c>
      <c r="D217" s="18">
        <v>41.484000000000002</v>
      </c>
      <c r="E217" s="18">
        <v>50.432000000000002</v>
      </c>
      <c r="F217" s="18">
        <v>50.33</v>
      </c>
      <c r="G217" s="18">
        <v>8.16</v>
      </c>
      <c r="H217" s="18">
        <f t="shared" si="30"/>
        <v>43.70825</v>
      </c>
      <c r="I217" s="5"/>
      <c r="J217" s="17">
        <v>302.3082</v>
      </c>
      <c r="K217" s="18">
        <v>40.318100000000001</v>
      </c>
      <c r="L217" s="18">
        <v>50.247799999999998</v>
      </c>
      <c r="M217" s="18">
        <v>50.347999999999999</v>
      </c>
      <c r="N217" s="18">
        <v>10.450699999999999</v>
      </c>
      <c r="O217" s="18">
        <f t="shared" si="31"/>
        <v>42.813050000000004</v>
      </c>
      <c r="P217" s="7"/>
      <c r="Q217" s="10"/>
      <c r="R217" s="11"/>
      <c r="S217" s="11"/>
      <c r="T217" s="26"/>
      <c r="U217" s="28">
        <f t="shared" si="32"/>
        <v>0.2807230392156862</v>
      </c>
      <c r="V217" s="57">
        <f t="shared" si="28"/>
        <v>2.5883333333333289E-2</v>
      </c>
      <c r="W217" s="57">
        <f t="shared" si="29"/>
        <v>7.6939999999999977E-3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290</v>
      </c>
      <c r="D218" s="20">
        <v>39.014000000000003</v>
      </c>
      <c r="E218" s="20">
        <v>48.396999999999998</v>
      </c>
      <c r="F218" s="20">
        <v>48.435000000000002</v>
      </c>
      <c r="G218" s="20">
        <v>10.3</v>
      </c>
      <c r="H218" s="20">
        <f t="shared" si="30"/>
        <v>41.3645</v>
      </c>
      <c r="I218" s="5"/>
      <c r="J218" s="19">
        <v>197.56639999999999</v>
      </c>
      <c r="K218" s="20">
        <v>39.037599999999998</v>
      </c>
      <c r="L218" s="20">
        <v>49.381</v>
      </c>
      <c r="M218" s="20">
        <v>49.577100000000002</v>
      </c>
      <c r="N218" s="20">
        <v>12.1485</v>
      </c>
      <c r="O218" s="20">
        <f t="shared" si="31"/>
        <v>41.647962499999991</v>
      </c>
      <c r="P218" s="7"/>
      <c r="Q218" s="13"/>
      <c r="R218" s="14"/>
      <c r="S218" s="14"/>
      <c r="T218" s="27"/>
      <c r="U218" s="28">
        <f t="shared" si="32"/>
        <v>0.17946601941747567</v>
      </c>
      <c r="V218" s="57">
        <f t="shared" si="28"/>
        <v>3.3333333333333333E-2</v>
      </c>
      <c r="W218" s="57">
        <f t="shared" si="29"/>
        <v>1.2168000000000062E-2</v>
      </c>
      <c r="X218" s="56">
        <v>300</v>
      </c>
      <c r="Y218" s="56">
        <v>200</v>
      </c>
    </row>
    <row r="219" spans="2:25" x14ac:dyDescent="0.25">
      <c r="B219" s="6" t="s">
        <v>89</v>
      </c>
      <c r="C219" s="15">
        <v>1493.53</v>
      </c>
      <c r="D219" s="16">
        <v>42.563000000000002</v>
      </c>
      <c r="E219" s="16">
        <v>49.933</v>
      </c>
      <c r="F219" s="16">
        <v>50.656999999999996</v>
      </c>
      <c r="G219" s="16">
        <v>5.63</v>
      </c>
      <c r="H219" s="16">
        <f t="shared" si="30"/>
        <v>44.496000000000002</v>
      </c>
      <c r="I219" s="5"/>
      <c r="J219" s="15">
        <v>1004.4189</v>
      </c>
      <c r="K219" s="16">
        <v>42.048900000000003</v>
      </c>
      <c r="L219" s="16">
        <v>50.0518</v>
      </c>
      <c r="M219" s="16">
        <v>50.817399999999999</v>
      </c>
      <c r="N219" s="16">
        <v>5.7690000000000001</v>
      </c>
      <c r="O219" s="16">
        <f t="shared" si="31"/>
        <v>44.145325000000007</v>
      </c>
      <c r="P219" s="7"/>
      <c r="Q219" s="8">
        <f>bdrate(C219:C222,D219:D222,J219:J222,K219:K222)</f>
        <v>-0.30959707072631915</v>
      </c>
      <c r="R219" s="8">
        <f>bdrate(C219:C222,E219:E222,J219:J222,L219:L222)</f>
        <v>-0.49057911954708544</v>
      </c>
      <c r="S219" s="8">
        <f>bdrate(C219:C222,F219:F222,J219:J222,M219:M222)</f>
        <v>-0.49945679653379949</v>
      </c>
      <c r="T219" s="25">
        <f>bdrate(C219:C222,H219:H222,J219:J222,O219:O222)</f>
        <v>-0.35065615723986809</v>
      </c>
      <c r="U219" s="28">
        <f t="shared" si="32"/>
        <v>2.4689165186500932E-2</v>
      </c>
      <c r="V219" s="57">
        <f t="shared" si="28"/>
        <v>4.3133333333333513E-3</v>
      </c>
      <c r="W219" s="57">
        <f t="shared" si="29"/>
        <v>4.4189000000000077E-3</v>
      </c>
      <c r="X219" s="56">
        <v>1500</v>
      </c>
      <c r="Y219" s="56">
        <v>1000</v>
      </c>
    </row>
    <row r="220" spans="2:25" x14ac:dyDescent="0.25">
      <c r="B220" s="9"/>
      <c r="C220" s="17">
        <v>995.32</v>
      </c>
      <c r="D220" s="18">
        <v>41.607999999999997</v>
      </c>
      <c r="E220" s="18">
        <v>49.317999999999998</v>
      </c>
      <c r="F220" s="18">
        <v>50.109000000000002</v>
      </c>
      <c r="G220" s="18">
        <v>6.5</v>
      </c>
      <c r="H220" s="18">
        <f t="shared" si="30"/>
        <v>43.634374999999991</v>
      </c>
      <c r="I220" s="5"/>
      <c r="J220" s="17">
        <v>603.3886</v>
      </c>
      <c r="K220" s="18">
        <v>41.120699999999999</v>
      </c>
      <c r="L220" s="18">
        <v>49.439500000000002</v>
      </c>
      <c r="M220" s="18">
        <v>50.236800000000002</v>
      </c>
      <c r="N220" s="18">
        <v>7.1976000000000004</v>
      </c>
      <c r="O220" s="18">
        <f t="shared" si="31"/>
        <v>43.300062500000003</v>
      </c>
      <c r="P220" s="7"/>
      <c r="Q220" s="10"/>
      <c r="R220" s="11"/>
      <c r="S220" s="11"/>
      <c r="T220" s="26"/>
      <c r="U220" s="28">
        <f t="shared" si="32"/>
        <v>0.10732307692307699</v>
      </c>
      <c r="V220" s="57">
        <f t="shared" si="28"/>
        <v>4.6799999999999498E-3</v>
      </c>
      <c r="W220" s="57">
        <f t="shared" si="29"/>
        <v>5.6476666666666611E-3</v>
      </c>
      <c r="X220" s="56">
        <v>1000</v>
      </c>
      <c r="Y220" s="56">
        <v>600</v>
      </c>
    </row>
    <row r="221" spans="2:25" x14ac:dyDescent="0.25">
      <c r="B221" s="9"/>
      <c r="C221" s="17">
        <v>597.48</v>
      </c>
      <c r="D221" s="18">
        <v>40.450000000000003</v>
      </c>
      <c r="E221" s="18">
        <v>48.384</v>
      </c>
      <c r="F221" s="18">
        <v>49.238</v>
      </c>
      <c r="G221" s="18">
        <v>7.8</v>
      </c>
      <c r="H221" s="18">
        <f t="shared" si="30"/>
        <v>42.54025</v>
      </c>
      <c r="I221" s="5"/>
      <c r="J221" s="17">
        <v>288.58800000000002</v>
      </c>
      <c r="K221" s="18">
        <v>39.805</v>
      </c>
      <c r="L221" s="18">
        <v>48.409300000000002</v>
      </c>
      <c r="M221" s="18">
        <v>49.281999999999996</v>
      </c>
      <c r="N221" s="18">
        <v>9.8724000000000007</v>
      </c>
      <c r="O221" s="18">
        <f t="shared" si="31"/>
        <v>42.065162499999992</v>
      </c>
      <c r="P221" s="7"/>
      <c r="Q221" s="10"/>
      <c r="R221" s="11"/>
      <c r="S221" s="11"/>
      <c r="T221" s="26"/>
      <c r="U221" s="28">
        <f t="shared" si="32"/>
        <v>0.26569230769230784</v>
      </c>
      <c r="V221" s="57">
        <f t="shared" si="28"/>
        <v>4.1999999999999694E-3</v>
      </c>
      <c r="W221" s="57">
        <f t="shared" si="29"/>
        <v>3.8039999999999928E-2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298.19</v>
      </c>
      <c r="D222" s="20">
        <v>38.700000000000003</v>
      </c>
      <c r="E222" s="20">
        <v>46.817999999999998</v>
      </c>
      <c r="F222" s="20">
        <v>47.651000000000003</v>
      </c>
      <c r="G222" s="20">
        <v>10.119999999999999</v>
      </c>
      <c r="H222" s="20">
        <f t="shared" si="30"/>
        <v>40.833625000000005</v>
      </c>
      <c r="I222" s="5"/>
      <c r="J222" s="19">
        <v>185.75919999999999</v>
      </c>
      <c r="K222" s="20">
        <v>38.858800000000002</v>
      </c>
      <c r="L222" s="20">
        <v>47.563299999999998</v>
      </c>
      <c r="M222" s="20">
        <v>48.463099999999997</v>
      </c>
      <c r="N222" s="20">
        <v>12.133599999999999</v>
      </c>
      <c r="O222" s="20">
        <f t="shared" si="31"/>
        <v>41.147399999999998</v>
      </c>
      <c r="P222" s="7"/>
      <c r="Q222" s="13"/>
      <c r="R222" s="14"/>
      <c r="S222" s="14"/>
      <c r="T222" s="27"/>
      <c r="U222" s="28">
        <f t="shared" si="32"/>
        <v>0.19897233201581033</v>
      </c>
      <c r="V222" s="57">
        <f t="shared" si="28"/>
        <v>6.0333333333333411E-3</v>
      </c>
      <c r="W222" s="57">
        <f t="shared" si="29"/>
        <v>7.1204000000000031E-2</v>
      </c>
      <c r="X222" s="56">
        <v>300</v>
      </c>
      <c r="Y222" s="56">
        <v>200</v>
      </c>
    </row>
    <row r="223" spans="2:25" x14ac:dyDescent="0.25">
      <c r="B223" s="6" t="s">
        <v>90</v>
      </c>
      <c r="C223" s="15">
        <v>1509.01</v>
      </c>
      <c r="D223" s="16">
        <v>41.860999999999997</v>
      </c>
      <c r="E223" s="16">
        <v>49.768000000000001</v>
      </c>
      <c r="F223" s="16">
        <v>48.917999999999999</v>
      </c>
      <c r="G223" s="16">
        <v>5.46</v>
      </c>
      <c r="H223" s="16">
        <f t="shared" si="30"/>
        <v>43.731499999999997</v>
      </c>
      <c r="I223" s="5"/>
      <c r="J223" s="15">
        <v>1005.5205999999999</v>
      </c>
      <c r="K223" s="16">
        <v>40.931600000000003</v>
      </c>
      <c r="L223" s="16">
        <v>49.758400000000002</v>
      </c>
      <c r="M223" s="16">
        <v>49.083399999999997</v>
      </c>
      <c r="N223" s="16">
        <v>5.4684999999999997</v>
      </c>
      <c r="O223" s="16">
        <f t="shared" si="31"/>
        <v>43.053925</v>
      </c>
      <c r="P223" s="7"/>
      <c r="Q223" s="8">
        <f>bdrate(C223:C226,D223:D226,J223:J226,K223:K226)</f>
        <v>-0.24532461894188662</v>
      </c>
      <c r="R223" s="8">
        <f>bdrate(C223:C226,E223:E226,J223:J226,L223:L226)</f>
        <v>-0.44092729206823522</v>
      </c>
      <c r="S223" s="8">
        <f>bdrate(C223:C226,F223:F226,J223:J226,M223:M226)</f>
        <v>-0.49279280100489931</v>
      </c>
      <c r="T223" s="25">
        <f>bdrate(C223:C226,H223:H226,J223:J226,O223:O226)</f>
        <v>-0.29608433692276948</v>
      </c>
      <c r="U223" s="28">
        <f t="shared" si="32"/>
        <v>1.5567765567765072E-3</v>
      </c>
      <c r="V223" s="57">
        <f t="shared" si="28"/>
        <v>6.006666666666661E-3</v>
      </c>
      <c r="W223" s="57">
        <f t="shared" si="29"/>
        <v>5.520599999999945E-3</v>
      </c>
      <c r="X223" s="56">
        <v>1500</v>
      </c>
      <c r="Y223" s="56">
        <v>1000</v>
      </c>
    </row>
    <row r="224" spans="2:25" x14ac:dyDescent="0.25">
      <c r="B224" s="9"/>
      <c r="C224" s="17">
        <v>1007.01</v>
      </c>
      <c r="D224" s="18">
        <v>40.582999999999998</v>
      </c>
      <c r="E224" s="18">
        <v>48.902999999999999</v>
      </c>
      <c r="F224" s="18">
        <v>47.927999999999997</v>
      </c>
      <c r="G224" s="18">
        <v>6.25</v>
      </c>
      <c r="H224" s="18">
        <f t="shared" si="30"/>
        <v>42.541125000000001</v>
      </c>
      <c r="I224" s="5"/>
      <c r="J224" s="17">
        <v>606.23030000000006</v>
      </c>
      <c r="K224" s="18">
        <v>39.573500000000003</v>
      </c>
      <c r="L224" s="18">
        <v>48.892200000000003</v>
      </c>
      <c r="M224" s="18">
        <v>48.174900000000001</v>
      </c>
      <c r="N224" s="18">
        <v>6.6958000000000002</v>
      </c>
      <c r="O224" s="18">
        <f t="shared" si="31"/>
        <v>41.813512500000002</v>
      </c>
      <c r="P224" s="7"/>
      <c r="Q224" s="10"/>
      <c r="R224" s="11"/>
      <c r="S224" s="11"/>
      <c r="T224" s="26"/>
      <c r="U224" s="28">
        <f t="shared" si="32"/>
        <v>7.132800000000003E-2</v>
      </c>
      <c r="V224" s="57">
        <f t="shared" si="28"/>
        <v>7.0099999999999911E-3</v>
      </c>
      <c r="W224" s="57">
        <f t="shared" si="29"/>
        <v>1.0383833333333427E-2</v>
      </c>
      <c r="X224" s="56">
        <v>1000</v>
      </c>
      <c r="Y224" s="56">
        <v>600</v>
      </c>
    </row>
    <row r="225" spans="2:25" x14ac:dyDescent="0.25">
      <c r="B225" s="9"/>
      <c r="C225" s="17">
        <v>606.08000000000004</v>
      </c>
      <c r="D225" s="18">
        <v>38.834000000000003</v>
      </c>
      <c r="E225" s="18">
        <v>47.616</v>
      </c>
      <c r="F225" s="18">
        <v>46.533000000000001</v>
      </c>
      <c r="G225" s="18">
        <v>7.53</v>
      </c>
      <c r="H225" s="18">
        <f t="shared" si="30"/>
        <v>40.894125000000003</v>
      </c>
      <c r="I225" s="5"/>
      <c r="J225" s="17">
        <v>292.90559999999999</v>
      </c>
      <c r="K225" s="18">
        <v>37.382399999999997</v>
      </c>
      <c r="L225" s="18">
        <v>47.398600000000002</v>
      </c>
      <c r="M225" s="18">
        <v>46.555300000000003</v>
      </c>
      <c r="N225" s="18">
        <v>9.1647999999999996</v>
      </c>
      <c r="O225" s="18">
        <f t="shared" si="31"/>
        <v>39.781037499999996</v>
      </c>
      <c r="P225" s="7"/>
      <c r="Q225" s="10"/>
      <c r="R225" s="11"/>
      <c r="S225" s="11"/>
      <c r="T225" s="26"/>
      <c r="U225" s="28">
        <f t="shared" si="32"/>
        <v>0.21710491367861876</v>
      </c>
      <c r="V225" s="57">
        <f t="shared" si="28"/>
        <v>1.0133333333333402E-2</v>
      </c>
      <c r="W225" s="57">
        <f t="shared" si="29"/>
        <v>2.3648000000000023E-2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303.39</v>
      </c>
      <c r="D226" s="20">
        <v>35.972999999999999</v>
      </c>
      <c r="E226" s="20">
        <v>45.448</v>
      </c>
      <c r="F226" s="20">
        <v>44.448999999999998</v>
      </c>
      <c r="G226" s="20">
        <v>9.65</v>
      </c>
      <c r="H226" s="20">
        <f t="shared" si="30"/>
        <v>38.216875000000002</v>
      </c>
      <c r="I226" s="5"/>
      <c r="J226" s="19">
        <v>189.6404</v>
      </c>
      <c r="K226" s="20">
        <v>35.8581</v>
      </c>
      <c r="L226" s="20">
        <v>46.403500000000001</v>
      </c>
      <c r="M226" s="20">
        <v>45.4557</v>
      </c>
      <c r="N226" s="20">
        <v>11.0518</v>
      </c>
      <c r="O226" s="20">
        <f t="shared" si="31"/>
        <v>38.375974999999997</v>
      </c>
      <c r="P226" s="7"/>
      <c r="Q226" s="13"/>
      <c r="R226" s="14"/>
      <c r="S226" s="14"/>
      <c r="T226" s="27"/>
      <c r="U226" s="28">
        <f t="shared" si="32"/>
        <v>0.14526424870466317</v>
      </c>
      <c r="V226" s="57">
        <f t="shared" si="28"/>
        <v>1.1299999999999954E-2</v>
      </c>
      <c r="W226" s="57">
        <f t="shared" si="29"/>
        <v>5.1798000000000004E-2</v>
      </c>
      <c r="X226" s="56">
        <v>300</v>
      </c>
      <c r="Y226" s="56">
        <v>200</v>
      </c>
    </row>
    <row r="227" spans="2:25" x14ac:dyDescent="0.25">
      <c r="B227" s="6" t="s">
        <v>91</v>
      </c>
      <c r="C227" s="29">
        <v>1469.88</v>
      </c>
      <c r="D227" s="30">
        <v>37.493000000000002</v>
      </c>
      <c r="E227" s="30">
        <v>46.567</v>
      </c>
      <c r="F227" s="30">
        <v>45.347000000000001</v>
      </c>
      <c r="G227" s="16">
        <v>5.26</v>
      </c>
      <c r="H227" s="16">
        <f t="shared" si="30"/>
        <v>39.609000000000002</v>
      </c>
      <c r="I227" s="5"/>
      <c r="J227" s="29">
        <v>1008.8943</v>
      </c>
      <c r="K227" s="30">
        <v>36.649000000000001</v>
      </c>
      <c r="L227" s="30">
        <v>47.039000000000001</v>
      </c>
      <c r="M227" s="30">
        <v>45.794899999999998</v>
      </c>
      <c r="N227" s="16">
        <v>4.8830999999999998</v>
      </c>
      <c r="O227" s="16">
        <f t="shared" si="31"/>
        <v>39.090987499999997</v>
      </c>
      <c r="P227" s="7"/>
      <c r="Q227" s="8">
        <f>bdrate(C227:C230,D227:D230,J227:J230,K227:K230)</f>
        <v>-0.23034961726106018</v>
      </c>
      <c r="R227" s="8">
        <f>bdrate(C227:C230,E227:E230,J227:J230,L227:L230)</f>
        <v>-0.51862171926907907</v>
      </c>
      <c r="S227" s="8">
        <f>bdrate(C227:C230,F227:F230,J227:J230,M227:M230)</f>
        <v>-0.50264692536485989</v>
      </c>
      <c r="T227" s="25">
        <f>bdrate(C227:C230,H227:H230,J227:J230,O227:O230)</f>
        <v>-0.2884604184284999</v>
      </c>
      <c r="U227" s="28">
        <f t="shared" si="32"/>
        <v>-7.1653992395437266E-2</v>
      </c>
      <c r="V227" s="57">
        <f t="shared" si="28"/>
        <v>2.0079999999999928E-2</v>
      </c>
      <c r="W227" s="57">
        <f t="shared" si="29"/>
        <v>8.8943000000000442E-3</v>
      </c>
      <c r="X227" s="56">
        <v>1500</v>
      </c>
      <c r="Y227" s="56">
        <v>1000</v>
      </c>
    </row>
    <row r="228" spans="2:25" x14ac:dyDescent="0.25">
      <c r="B228" s="9"/>
      <c r="C228" s="31">
        <v>972.51</v>
      </c>
      <c r="D228" s="32">
        <v>36.390999999999998</v>
      </c>
      <c r="E228" s="32">
        <v>45.728000000000002</v>
      </c>
      <c r="F228" s="32">
        <v>44.524000000000001</v>
      </c>
      <c r="G228" s="18">
        <v>6</v>
      </c>
      <c r="H228" s="18">
        <f t="shared" si="30"/>
        <v>38.574750000000002</v>
      </c>
      <c r="I228" s="5"/>
      <c r="J228" s="31">
        <v>605.17399999999998</v>
      </c>
      <c r="K228" s="32">
        <v>35.479300000000002</v>
      </c>
      <c r="L228" s="32">
        <v>46.148499999999999</v>
      </c>
      <c r="M228" s="32">
        <v>44.903300000000002</v>
      </c>
      <c r="N228" s="18">
        <v>6.0395000000000003</v>
      </c>
      <c r="O228" s="18">
        <f t="shared" si="31"/>
        <v>37.990950000000005</v>
      </c>
      <c r="P228" s="7"/>
      <c r="Q228" s="10"/>
      <c r="R228" s="11"/>
      <c r="S228" s="11"/>
      <c r="T228" s="26"/>
      <c r="U228" s="28">
        <f t="shared" si="32"/>
        <v>6.5833333333333854E-3</v>
      </c>
      <c r="V228" s="57">
        <f t="shared" si="28"/>
        <v>2.7490000000000007E-2</v>
      </c>
      <c r="W228" s="57">
        <f t="shared" si="29"/>
        <v>8.6233333333332971E-3</v>
      </c>
      <c r="X228" s="56">
        <v>1000</v>
      </c>
      <c r="Y228" s="56">
        <v>600</v>
      </c>
    </row>
    <row r="229" spans="2:25" x14ac:dyDescent="0.25">
      <c r="B229" s="9"/>
      <c r="C229" s="31">
        <v>575.75</v>
      </c>
      <c r="D229" s="32">
        <v>34.801000000000002</v>
      </c>
      <c r="E229" s="32">
        <v>44.58</v>
      </c>
      <c r="F229" s="32">
        <v>43.43</v>
      </c>
      <c r="G229" s="18">
        <v>7.05</v>
      </c>
      <c r="H229" s="18">
        <f t="shared" si="30"/>
        <v>37.102000000000004</v>
      </c>
      <c r="I229" s="5"/>
      <c r="J229" s="31">
        <v>296.75400000000002</v>
      </c>
      <c r="K229" s="32">
        <v>33.647199999999998</v>
      </c>
      <c r="L229" s="32">
        <v>44.8095</v>
      </c>
      <c r="M229" s="32">
        <v>43.555900000000001</v>
      </c>
      <c r="N229" s="18">
        <v>8.3008000000000006</v>
      </c>
      <c r="O229" s="18">
        <f t="shared" si="31"/>
        <v>36.281075000000001</v>
      </c>
      <c r="P229" s="7"/>
      <c r="Q229" s="10"/>
      <c r="R229" s="11"/>
      <c r="S229" s="11"/>
      <c r="T229" s="26"/>
      <c r="U229" s="28">
        <f t="shared" si="32"/>
        <v>0.17741843971631219</v>
      </c>
      <c r="V229" s="57">
        <f t="shared" si="28"/>
        <v>4.0416666666666663E-2</v>
      </c>
      <c r="W229" s="57">
        <f t="shared" si="29"/>
        <v>1.0819999999999936E-2</v>
      </c>
      <c r="X229" s="56">
        <v>600</v>
      </c>
      <c r="Y229" s="56">
        <v>300</v>
      </c>
    </row>
    <row r="230" spans="2:25" ht="16.5" thickBot="1" x14ac:dyDescent="0.3">
      <c r="B230" s="12"/>
      <c r="C230" s="33">
        <v>283.17</v>
      </c>
      <c r="D230" s="34">
        <v>31.911000000000001</v>
      </c>
      <c r="E230" s="34">
        <v>42.741999999999997</v>
      </c>
      <c r="F230" s="34">
        <v>41.734000000000002</v>
      </c>
      <c r="G230" s="20">
        <v>8.99</v>
      </c>
      <c r="H230" s="20">
        <f t="shared" si="30"/>
        <v>34.492750000000001</v>
      </c>
      <c r="I230" s="5"/>
      <c r="J230" s="33">
        <v>192.20410000000001</v>
      </c>
      <c r="K230" s="34">
        <v>32.325099999999999</v>
      </c>
      <c r="L230" s="34">
        <v>43.74</v>
      </c>
      <c r="M230" s="34">
        <v>42.561700000000002</v>
      </c>
      <c r="N230" s="20">
        <v>10.117100000000001</v>
      </c>
      <c r="O230" s="20">
        <f t="shared" si="31"/>
        <v>35.031537499999999</v>
      </c>
      <c r="P230" s="7"/>
      <c r="Q230" s="13"/>
      <c r="R230" s="14"/>
      <c r="S230" s="14"/>
      <c r="T230" s="27"/>
      <c r="U230" s="28">
        <f t="shared" si="32"/>
        <v>0.12537263626251394</v>
      </c>
      <c r="V230" s="57">
        <f t="shared" si="28"/>
        <v>5.6099999999999949E-2</v>
      </c>
      <c r="W230" s="57">
        <f t="shared" si="29"/>
        <v>3.8979499999999945E-2</v>
      </c>
      <c r="X230" s="56">
        <v>300</v>
      </c>
      <c r="Y230" s="56">
        <v>200</v>
      </c>
    </row>
    <row r="231" spans="2:25" ht="16.5" thickBot="1" x14ac:dyDescent="0.3">
      <c r="B231" s="22" t="s">
        <v>22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1">
        <f t="shared" ref="Q231:W231" si="33">AVERAGE(Q123:Q230)</f>
        <v>-0.30288252991961334</v>
      </c>
      <c r="R231" s="21">
        <f t="shared" si="33"/>
        <v>-0.52348234276974726</v>
      </c>
      <c r="S231" s="21">
        <f t="shared" si="33"/>
        <v>-0.52820309573796143</v>
      </c>
      <c r="T231" s="21">
        <f t="shared" si="33"/>
        <v>-0.34888058365620939</v>
      </c>
      <c r="U231" s="21">
        <f t="shared" si="33"/>
        <v>9.368305158276638E-2</v>
      </c>
      <c r="V231" s="57">
        <f t="shared" si="33"/>
        <v>4.1682299223215313E-2</v>
      </c>
      <c r="W231" s="57">
        <f t="shared" si="33"/>
        <v>1.6167320679012345E-2</v>
      </c>
      <c r="X231" s="57"/>
      <c r="Y231" s="56"/>
    </row>
  </sheetData>
  <mergeCells count="14">
    <mergeCell ref="V7:Y7"/>
    <mergeCell ref="V121:Y121"/>
    <mergeCell ref="C5:Y6"/>
    <mergeCell ref="C119:Y120"/>
    <mergeCell ref="B5:B6"/>
    <mergeCell ref="C7:H7"/>
    <mergeCell ref="J7:O7"/>
    <mergeCell ref="Q7:S7"/>
    <mergeCell ref="U7:U8"/>
    <mergeCell ref="B119:B120"/>
    <mergeCell ref="C121:H121"/>
    <mergeCell ref="J121:O121"/>
    <mergeCell ref="Q121:S121"/>
    <mergeCell ref="U121:U122"/>
  </mergeCells>
  <phoneticPr fontId="5" type="noConversion"/>
  <conditionalFormatting sqref="Q21:T24 Q29:T36 Q123:T126 Q9:T12">
    <cfRule type="cellIs" dxfId="97" priority="477" operator="greaterThan">
      <formula>0.03</formula>
    </cfRule>
    <cfRule type="cellIs" dxfId="96" priority="478" stopIfTrue="1" operator="lessThan">
      <formula>-0.03</formula>
    </cfRule>
  </conditionalFormatting>
  <conditionalFormatting sqref="Q25:T28">
    <cfRule type="cellIs" dxfId="95" priority="475" operator="greaterThan">
      <formula>0.03</formula>
    </cfRule>
    <cfRule type="cellIs" dxfId="94" priority="476" stopIfTrue="1" operator="lessThan">
      <formula>-0.03</formula>
    </cfRule>
  </conditionalFormatting>
  <conditionalFormatting sqref="Q38:T40 Q54:T56">
    <cfRule type="cellIs" dxfId="93" priority="473" operator="greaterThan">
      <formula>0.03</formula>
    </cfRule>
    <cfRule type="cellIs" dxfId="92" priority="474" stopIfTrue="1" operator="lessThan">
      <formula>-0.03</formula>
    </cfRule>
  </conditionalFormatting>
  <conditionalFormatting sqref="Q42:T44 Q46:T48 Q50:T52">
    <cfRule type="cellIs" dxfId="91" priority="471" operator="greaterThan">
      <formula>0.03</formula>
    </cfRule>
    <cfRule type="cellIs" dxfId="90" priority="472" stopIfTrue="1" operator="lessThan">
      <formula>-0.03</formula>
    </cfRule>
  </conditionalFormatting>
  <conditionalFormatting sqref="Q62:T64 Q66:T68">
    <cfRule type="cellIs" dxfId="89" priority="469" operator="greaterThan">
      <formula>0.03</formula>
    </cfRule>
    <cfRule type="cellIs" dxfId="88" priority="470" stopIfTrue="1" operator="lessThan">
      <formula>-0.03</formula>
    </cfRule>
  </conditionalFormatting>
  <conditionalFormatting sqref="Q58:T60">
    <cfRule type="cellIs" dxfId="87" priority="467" operator="greaterThan">
      <formula>0.03</formula>
    </cfRule>
    <cfRule type="cellIs" dxfId="86" priority="468" stopIfTrue="1" operator="lessThan">
      <formula>-0.03</formula>
    </cfRule>
  </conditionalFormatting>
  <conditionalFormatting sqref="Q70:T72">
    <cfRule type="cellIs" dxfId="85" priority="465" operator="greaterThan">
      <formula>0.03</formula>
    </cfRule>
    <cfRule type="cellIs" dxfId="84" priority="466" stopIfTrue="1" operator="lessThan">
      <formula>-0.03</formula>
    </cfRule>
  </conditionalFormatting>
  <conditionalFormatting sqref="Q13:T20">
    <cfRule type="cellIs" dxfId="83" priority="447" operator="greaterThan">
      <formula>0.03</formula>
    </cfRule>
    <cfRule type="cellIs" dxfId="82" priority="448" stopIfTrue="1" operator="lessThan">
      <formula>-0.03</formula>
    </cfRule>
  </conditionalFormatting>
  <conditionalFormatting sqref="Q135:T138 Q143:T150">
    <cfRule type="cellIs" dxfId="81" priority="443" operator="greaterThan">
      <formula>0.03</formula>
    </cfRule>
    <cfRule type="cellIs" dxfId="80" priority="444" stopIfTrue="1" operator="lessThan">
      <formula>-0.03</formula>
    </cfRule>
  </conditionalFormatting>
  <conditionalFormatting sqref="Q139:T142">
    <cfRule type="cellIs" dxfId="79" priority="441" operator="greaterThan">
      <formula>0.03</formula>
    </cfRule>
    <cfRule type="cellIs" dxfId="78" priority="442" stopIfTrue="1" operator="lessThan">
      <formula>-0.03</formula>
    </cfRule>
  </conditionalFormatting>
  <conditionalFormatting sqref="Q151:T154 Q167:T170">
    <cfRule type="cellIs" dxfId="77" priority="439" operator="greaterThan">
      <formula>0.03</formula>
    </cfRule>
    <cfRule type="cellIs" dxfId="76" priority="440" stopIfTrue="1" operator="lessThan">
      <formula>-0.03</formula>
    </cfRule>
  </conditionalFormatting>
  <conditionalFormatting sqref="Q155:T166">
    <cfRule type="cellIs" dxfId="75" priority="437" operator="greaterThan">
      <formula>0.03</formula>
    </cfRule>
    <cfRule type="cellIs" dxfId="74" priority="438" stopIfTrue="1" operator="lessThan">
      <formula>-0.03</formula>
    </cfRule>
  </conditionalFormatting>
  <conditionalFormatting sqref="Q175:T182">
    <cfRule type="cellIs" dxfId="73" priority="435" operator="greaterThan">
      <formula>0.03</formula>
    </cfRule>
    <cfRule type="cellIs" dxfId="72" priority="436" stopIfTrue="1" operator="lessThan">
      <formula>-0.03</formula>
    </cfRule>
  </conditionalFormatting>
  <conditionalFormatting sqref="Q171:T174">
    <cfRule type="cellIs" dxfId="71" priority="433" operator="greaterThan">
      <formula>0.03</formula>
    </cfRule>
    <cfRule type="cellIs" dxfId="70" priority="434" stopIfTrue="1" operator="lessThan">
      <formula>-0.03</formula>
    </cfRule>
  </conditionalFormatting>
  <conditionalFormatting sqref="Q183:T186">
    <cfRule type="cellIs" dxfId="69" priority="431" operator="greaterThan">
      <formula>0.03</formula>
    </cfRule>
    <cfRule type="cellIs" dxfId="68" priority="432" stopIfTrue="1" operator="lessThan">
      <formula>-0.03</formula>
    </cfRule>
  </conditionalFormatting>
  <conditionalFormatting sqref="Q127:T134">
    <cfRule type="cellIs" dxfId="67" priority="429" operator="greaterThan">
      <formula>0.03</formula>
    </cfRule>
    <cfRule type="cellIs" dxfId="66" priority="430" stopIfTrue="1" operator="lessThan">
      <formula>-0.03</formula>
    </cfRule>
  </conditionalFormatting>
  <conditionalFormatting sqref="Q37:T37">
    <cfRule type="cellIs" dxfId="65" priority="427" operator="greaterThan">
      <formula>0.03</formula>
    </cfRule>
    <cfRule type="cellIs" dxfId="64" priority="428" stopIfTrue="1" operator="lessThan">
      <formula>-0.03</formula>
    </cfRule>
  </conditionalFormatting>
  <conditionalFormatting sqref="Q41:T41">
    <cfRule type="cellIs" dxfId="63" priority="425" operator="greaterThan">
      <formula>0.03</formula>
    </cfRule>
    <cfRule type="cellIs" dxfId="62" priority="426" stopIfTrue="1" operator="lessThan">
      <formula>-0.03</formula>
    </cfRule>
  </conditionalFormatting>
  <conditionalFormatting sqref="Q45:T45">
    <cfRule type="cellIs" dxfId="61" priority="423" operator="greaterThan">
      <formula>0.03</formula>
    </cfRule>
    <cfRule type="cellIs" dxfId="60" priority="424" stopIfTrue="1" operator="lessThan">
      <formula>-0.03</formula>
    </cfRule>
  </conditionalFormatting>
  <conditionalFormatting sqref="Q49:T49">
    <cfRule type="cellIs" dxfId="59" priority="421" operator="greaterThan">
      <formula>0.03</formula>
    </cfRule>
    <cfRule type="cellIs" dxfId="58" priority="422" stopIfTrue="1" operator="lessThan">
      <formula>-0.03</formula>
    </cfRule>
  </conditionalFormatting>
  <conditionalFormatting sqref="Q53:T53">
    <cfRule type="cellIs" dxfId="57" priority="419" operator="greaterThan">
      <formula>0.03</formula>
    </cfRule>
    <cfRule type="cellIs" dxfId="56" priority="420" stopIfTrue="1" operator="lessThan">
      <formula>-0.03</formula>
    </cfRule>
  </conditionalFormatting>
  <conditionalFormatting sqref="Q57:T57">
    <cfRule type="cellIs" dxfId="55" priority="417" operator="greaterThan">
      <formula>0.03</formula>
    </cfRule>
    <cfRule type="cellIs" dxfId="54" priority="418" stopIfTrue="1" operator="lessThan">
      <formula>-0.03</formula>
    </cfRule>
  </conditionalFormatting>
  <conditionalFormatting sqref="Q61:T61">
    <cfRule type="cellIs" dxfId="53" priority="415" operator="greaterThan">
      <formula>0.03</formula>
    </cfRule>
    <cfRule type="cellIs" dxfId="52" priority="416" stopIfTrue="1" operator="lessThan">
      <formula>-0.03</formula>
    </cfRule>
  </conditionalFormatting>
  <conditionalFormatting sqref="Q65:T65">
    <cfRule type="cellIs" dxfId="51" priority="413" operator="greaterThan">
      <formula>0.03</formula>
    </cfRule>
    <cfRule type="cellIs" dxfId="50" priority="414" stopIfTrue="1" operator="lessThan">
      <formula>-0.03</formula>
    </cfRule>
  </conditionalFormatting>
  <conditionalFormatting sqref="Q69:T69">
    <cfRule type="cellIs" dxfId="49" priority="411" operator="greaterThan">
      <formula>0.03</formula>
    </cfRule>
    <cfRule type="cellIs" dxfId="48" priority="412" stopIfTrue="1" operator="lessThan">
      <formula>-0.03</formula>
    </cfRule>
  </conditionalFormatting>
  <conditionalFormatting sqref="Q97:T97">
    <cfRule type="cellIs" dxfId="47" priority="105" operator="greaterThan">
      <formula>0.03</formula>
    </cfRule>
    <cfRule type="cellIs" dxfId="46" priority="106" stopIfTrue="1" operator="lessThan">
      <formula>-0.03</formula>
    </cfRule>
  </conditionalFormatting>
  <conditionalFormatting sqref="Q109:T109">
    <cfRule type="cellIs" dxfId="45" priority="93" operator="greaterThan">
      <formula>0.03</formula>
    </cfRule>
    <cfRule type="cellIs" dxfId="44" priority="94" stopIfTrue="1" operator="lessThan">
      <formula>-0.03</formula>
    </cfRule>
  </conditionalFormatting>
  <conditionalFormatting sqref="Q85:T92 Q73:T80">
    <cfRule type="cellIs" dxfId="43" priority="119" operator="greaterThan">
      <formula>0.03</formula>
    </cfRule>
    <cfRule type="cellIs" dxfId="42" priority="120" stopIfTrue="1" operator="lessThan">
      <formula>-0.03</formula>
    </cfRule>
  </conditionalFormatting>
  <conditionalFormatting sqref="Q81:T84">
    <cfRule type="cellIs" dxfId="41" priority="117" operator="greaterThan">
      <formula>0.03</formula>
    </cfRule>
    <cfRule type="cellIs" dxfId="40" priority="118" stopIfTrue="1" operator="lessThan">
      <formula>-0.03</formula>
    </cfRule>
  </conditionalFormatting>
  <conditionalFormatting sqref="Q94:T96 Q114:T116">
    <cfRule type="cellIs" dxfId="39" priority="115" operator="greaterThan">
      <formula>0.03</formula>
    </cfRule>
    <cfRule type="cellIs" dxfId="38" priority="116" stopIfTrue="1" operator="lessThan">
      <formula>-0.03</formula>
    </cfRule>
  </conditionalFormatting>
  <conditionalFormatting sqref="Q98:T100">
    <cfRule type="cellIs" dxfId="37" priority="113" operator="greaterThan">
      <formula>0.03</formula>
    </cfRule>
    <cfRule type="cellIs" dxfId="36" priority="114" stopIfTrue="1" operator="lessThan">
      <formula>-0.03</formula>
    </cfRule>
  </conditionalFormatting>
  <conditionalFormatting sqref="Q93:T93">
    <cfRule type="cellIs" dxfId="35" priority="109" operator="greaterThan">
      <formula>0.03</formula>
    </cfRule>
    <cfRule type="cellIs" dxfId="34" priority="110" stopIfTrue="1" operator="lessThan">
      <formula>-0.03</formula>
    </cfRule>
  </conditionalFormatting>
  <conditionalFormatting sqref="Q113:T113">
    <cfRule type="cellIs" dxfId="33" priority="103" operator="greaterThan">
      <formula>0.03</formula>
    </cfRule>
    <cfRule type="cellIs" dxfId="32" priority="104" stopIfTrue="1" operator="lessThan">
      <formula>-0.03</formula>
    </cfRule>
  </conditionalFormatting>
  <conditionalFormatting sqref="Q101:T104">
    <cfRule type="cellIs" dxfId="31" priority="101" operator="greaterThan">
      <formula>0.03</formula>
    </cfRule>
    <cfRule type="cellIs" dxfId="30" priority="102" stopIfTrue="1" operator="lessThan">
      <formula>-0.03</formula>
    </cfRule>
  </conditionalFormatting>
  <conditionalFormatting sqref="Q106:T108">
    <cfRule type="cellIs" dxfId="29" priority="99" operator="greaterThan">
      <formula>0.03</formula>
    </cfRule>
    <cfRule type="cellIs" dxfId="28" priority="100" stopIfTrue="1" operator="lessThan">
      <formula>-0.03</formula>
    </cfRule>
  </conditionalFormatting>
  <conditionalFormatting sqref="Q110:T112">
    <cfRule type="cellIs" dxfId="27" priority="97" operator="greaterThan">
      <formula>0.03</formula>
    </cfRule>
    <cfRule type="cellIs" dxfId="26" priority="98" stopIfTrue="1" operator="lessThan">
      <formula>-0.03</formula>
    </cfRule>
  </conditionalFormatting>
  <conditionalFormatting sqref="Q105:T105">
    <cfRule type="cellIs" dxfId="25" priority="95" operator="greaterThan">
      <formula>0.03</formula>
    </cfRule>
    <cfRule type="cellIs" dxfId="24" priority="96" stopIfTrue="1" operator="lessThan">
      <formula>-0.03</formula>
    </cfRule>
  </conditionalFormatting>
  <conditionalFormatting sqref="Q211:T211">
    <cfRule type="cellIs" dxfId="23" priority="39" operator="greaterThan">
      <formula>0.03</formula>
    </cfRule>
    <cfRule type="cellIs" dxfId="22" priority="40" stopIfTrue="1" operator="lessThan">
      <formula>-0.03</formula>
    </cfRule>
  </conditionalFormatting>
  <conditionalFormatting sqref="Q223:T223">
    <cfRule type="cellIs" dxfId="21" priority="27" operator="greaterThan">
      <formula>0.03</formula>
    </cfRule>
    <cfRule type="cellIs" dxfId="20" priority="28" stopIfTrue="1" operator="lessThan">
      <formula>-0.03</formula>
    </cfRule>
  </conditionalFormatting>
  <conditionalFormatting sqref="Q199:T206 Q187:T194">
    <cfRule type="cellIs" dxfId="19" priority="53" operator="greaterThan">
      <formula>0.03</formula>
    </cfRule>
    <cfRule type="cellIs" dxfId="18" priority="54" stopIfTrue="1" operator="lessThan">
      <formula>-0.03</formula>
    </cfRule>
  </conditionalFormatting>
  <conditionalFormatting sqref="Q195:T198">
    <cfRule type="cellIs" dxfId="17" priority="51" operator="greaterThan">
      <formula>0.03</formula>
    </cfRule>
    <cfRule type="cellIs" dxfId="16" priority="52" stopIfTrue="1" operator="lessThan">
      <formula>-0.03</formula>
    </cfRule>
  </conditionalFormatting>
  <conditionalFormatting sqref="Q208:T210 Q228:T230">
    <cfRule type="cellIs" dxfId="15" priority="49" operator="greaterThan">
      <formula>0.03</formula>
    </cfRule>
    <cfRule type="cellIs" dxfId="14" priority="50" stopIfTrue="1" operator="lessThan">
      <formula>-0.03</formula>
    </cfRule>
  </conditionalFormatting>
  <conditionalFormatting sqref="Q212:T214">
    <cfRule type="cellIs" dxfId="13" priority="47" operator="greaterThan">
      <formula>0.03</formula>
    </cfRule>
    <cfRule type="cellIs" dxfId="12" priority="48" stopIfTrue="1" operator="lessThan">
      <formula>-0.03</formula>
    </cfRule>
  </conditionalFormatting>
  <conditionalFormatting sqref="Q207:T207">
    <cfRule type="cellIs" dxfId="11" priority="43" operator="greaterThan">
      <formula>0.03</formula>
    </cfRule>
    <cfRule type="cellIs" dxfId="10" priority="44" stopIfTrue="1" operator="lessThan">
      <formula>-0.03</formula>
    </cfRule>
  </conditionalFormatting>
  <conditionalFormatting sqref="Q227:T227">
    <cfRule type="cellIs" dxfId="9" priority="37" operator="greaterThan">
      <formula>0.03</formula>
    </cfRule>
    <cfRule type="cellIs" dxfId="8" priority="38" stopIfTrue="1" operator="lessThan">
      <formula>-0.03</formula>
    </cfRule>
  </conditionalFormatting>
  <conditionalFormatting sqref="Q215:T218">
    <cfRule type="cellIs" dxfId="7" priority="35" operator="greaterThan">
      <formula>0.03</formula>
    </cfRule>
    <cfRule type="cellIs" dxfId="6" priority="36" stopIfTrue="1" operator="lessThan">
      <formula>-0.03</formula>
    </cfRule>
  </conditionalFormatting>
  <conditionalFormatting sqref="Q220:T222">
    <cfRule type="cellIs" dxfId="5" priority="33" operator="greaterThan">
      <formula>0.03</formula>
    </cfRule>
    <cfRule type="cellIs" dxfId="4" priority="34" stopIfTrue="1" operator="lessThan">
      <formula>-0.03</formula>
    </cfRule>
  </conditionalFormatting>
  <conditionalFormatting sqref="Q224:T226">
    <cfRule type="cellIs" dxfId="3" priority="31" operator="greaterThan">
      <formula>0.03</formula>
    </cfRule>
    <cfRule type="cellIs" dxfId="2" priority="32" stopIfTrue="1" operator="lessThan">
      <formula>-0.03</formula>
    </cfRule>
  </conditionalFormatting>
  <conditionalFormatting sqref="Q219:T219">
    <cfRule type="cellIs" dxfId="1" priority="29" operator="greaterThan">
      <formula>0.03</formula>
    </cfRule>
    <cfRule type="cellIs" dxfId="0" priority="3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Intra All-I</vt:lpstr>
      <vt:lpstr>Summary</vt:lpstr>
      <vt:lpstr>X264vsQY265_superfast</vt:lpstr>
      <vt:lpstr>X264vsQY265_veryfast</vt:lpstr>
      <vt:lpstr>X264vsQY265_fast</vt:lpstr>
      <vt:lpstr>X264vsQY265_medium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dcterms:created xsi:type="dcterms:W3CDTF">2011-06-30T00:09:01Z</dcterms:created>
  <dcterms:modified xsi:type="dcterms:W3CDTF">2017-09-14T02:11:11Z</dcterms:modified>
</cp:coreProperties>
</file>