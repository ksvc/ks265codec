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材料\金山云材料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veryfast" sheetId="150" r:id="rId6"/>
    <sheet name="X265vsQY265_offline_slow" sheetId="126" r:id="rId7"/>
    <sheet name="X265vsQY265_offline_veryslow" sheetId="153" r:id="rId8"/>
    <sheet name="VP9vsQY265_offline_veryfast" sheetId="156" r:id="rId9"/>
    <sheet name="VP9vsQY265_offline_slow" sheetId="155" r:id="rId10"/>
    <sheet name="VP9vsQY265_offline_veryslow" sheetId="154" r:id="rId11"/>
  </sheets>
  <functionGroups builtInGroupCount="18"/>
  <calcPr calcId="152511"/>
</workbook>
</file>

<file path=xl/calcChain.xml><?xml version="1.0" encoding="utf-8"?>
<calcChain xmlns="http://schemas.openxmlformats.org/spreadsheetml/2006/main">
  <c r="U9" i="154" l="1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W41" i="135"/>
  <c r="W40" i="135"/>
  <c r="W39" i="135"/>
  <c r="W38" i="135"/>
  <c r="W37" i="135"/>
  <c r="W36" i="135"/>
  <c r="W35" i="135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W32" i="135"/>
  <c r="W31" i="135"/>
  <c r="W30" i="135"/>
  <c r="W29" i="135"/>
  <c r="W28" i="135"/>
  <c r="W27" i="135"/>
  <c r="W26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W25" i="135"/>
  <c r="W24" i="135"/>
  <c r="W23" i="135"/>
  <c r="W22" i="135"/>
  <c r="W21" i="135"/>
  <c r="W20" i="135"/>
  <c r="W19" i="135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W16" i="135"/>
  <c r="W15" i="135"/>
  <c r="W14" i="135"/>
  <c r="W13" i="135"/>
  <c r="W12" i="135"/>
  <c r="W11" i="135"/>
  <c r="W10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W9" i="135"/>
  <c r="W8" i="135"/>
  <c r="W7" i="135"/>
  <c r="W6" i="135"/>
  <c r="W5" i="135"/>
  <c r="W4" i="135"/>
  <c r="W3" i="135"/>
  <c r="H9" i="154"/>
  <c r="H10" i="154"/>
  <c r="H11" i="154"/>
  <c r="H12" i="154"/>
  <c r="H13" i="154"/>
  <c r="H14" i="154"/>
  <c r="H15" i="154"/>
  <c r="H16" i="154"/>
  <c r="H17" i="154"/>
  <c r="H18" i="154"/>
  <c r="H19" i="154"/>
  <c r="H20" i="154"/>
  <c r="H21" i="154"/>
  <c r="H22" i="154"/>
  <c r="H23" i="154"/>
  <c r="H24" i="154"/>
  <c r="H25" i="154"/>
  <c r="H26" i="154"/>
  <c r="H27" i="154"/>
  <c r="H28" i="154"/>
  <c r="H29" i="154"/>
  <c r="H30" i="154"/>
  <c r="H31" i="154"/>
  <c r="H32" i="154"/>
  <c r="H33" i="154"/>
  <c r="H34" i="154"/>
  <c r="H35" i="154"/>
  <c r="H36" i="154"/>
  <c r="H37" i="154"/>
  <c r="H38" i="154"/>
  <c r="H39" i="154"/>
  <c r="H40" i="154"/>
  <c r="H41" i="154"/>
  <c r="H42" i="154"/>
  <c r="H43" i="154"/>
  <c r="H44" i="154"/>
  <c r="H45" i="154"/>
  <c r="H46" i="154"/>
  <c r="H47" i="154"/>
  <c r="H48" i="154"/>
  <c r="H49" i="154"/>
  <c r="H50" i="154"/>
  <c r="H51" i="154"/>
  <c r="H52" i="154"/>
  <c r="H53" i="154"/>
  <c r="H54" i="154"/>
  <c r="H55" i="154"/>
  <c r="H56" i="154"/>
  <c r="H57" i="154"/>
  <c r="H58" i="154"/>
  <c r="H59" i="154"/>
  <c r="H60" i="154"/>
  <c r="H61" i="154"/>
  <c r="H62" i="154"/>
  <c r="H63" i="154"/>
  <c r="H64" i="154"/>
  <c r="H65" i="154"/>
  <c r="H66" i="154"/>
  <c r="H67" i="154"/>
  <c r="H68" i="154"/>
  <c r="H69" i="154"/>
  <c r="H70" i="154"/>
  <c r="H71" i="154"/>
  <c r="H72" i="154"/>
  <c r="H73" i="154"/>
  <c r="H74" i="154"/>
  <c r="H75" i="154"/>
  <c r="H76" i="154"/>
  <c r="H77" i="154"/>
  <c r="H78" i="154"/>
  <c r="H79" i="154"/>
  <c r="H80" i="154"/>
  <c r="H81" i="154"/>
  <c r="H82" i="154"/>
  <c r="H83" i="154"/>
  <c r="H84" i="154"/>
  <c r="H85" i="154"/>
  <c r="H86" i="154"/>
  <c r="H87" i="154"/>
  <c r="H88" i="154"/>
  <c r="H89" i="154"/>
  <c r="H90" i="154"/>
  <c r="H91" i="154"/>
  <c r="H92" i="154"/>
  <c r="H93" i="154"/>
  <c r="H94" i="154"/>
  <c r="H95" i="154"/>
  <c r="H96" i="154"/>
  <c r="H97" i="154"/>
  <c r="H98" i="154"/>
  <c r="H99" i="154"/>
  <c r="H100" i="154"/>
  <c r="H101" i="154"/>
  <c r="H102" i="154"/>
  <c r="H103" i="154"/>
  <c r="H104" i="154"/>
  <c r="H105" i="154"/>
  <c r="H106" i="154"/>
  <c r="H107" i="154"/>
  <c r="H108" i="154"/>
  <c r="H109" i="154"/>
  <c r="H110" i="154"/>
  <c r="H111" i="154"/>
  <c r="H112" i="154"/>
  <c r="H113" i="154"/>
  <c r="H114" i="154"/>
  <c r="H115" i="154"/>
  <c r="H116" i="154"/>
  <c r="H117" i="154"/>
  <c r="H118" i="154"/>
  <c r="H119" i="154"/>
  <c r="H120" i="154"/>
  <c r="H121" i="154"/>
  <c r="H122" i="154"/>
  <c r="H123" i="154"/>
  <c r="H124" i="154"/>
  <c r="H131" i="155"/>
  <c r="H132" i="155"/>
  <c r="H133" i="155"/>
  <c r="H134" i="155"/>
  <c r="H135" i="155"/>
  <c r="H136" i="155"/>
  <c r="H137" i="155"/>
  <c r="H138" i="155"/>
  <c r="H139" i="155"/>
  <c r="H140" i="155"/>
  <c r="H141" i="155"/>
  <c r="H142" i="155"/>
  <c r="H143" i="155"/>
  <c r="H144" i="155"/>
  <c r="H145" i="155"/>
  <c r="H146" i="155"/>
  <c r="H147" i="155"/>
  <c r="H148" i="155"/>
  <c r="H149" i="155"/>
  <c r="H150" i="155"/>
  <c r="H151" i="155"/>
  <c r="H152" i="155"/>
  <c r="H153" i="155"/>
  <c r="H154" i="155"/>
  <c r="H155" i="155"/>
  <c r="H156" i="155"/>
  <c r="H157" i="155"/>
  <c r="H158" i="155"/>
  <c r="H159" i="155"/>
  <c r="H160" i="155"/>
  <c r="H161" i="155"/>
  <c r="H162" i="155"/>
  <c r="H163" i="155"/>
  <c r="H164" i="155"/>
  <c r="H165" i="155"/>
  <c r="H166" i="155"/>
  <c r="H167" i="155"/>
  <c r="H168" i="155"/>
  <c r="H169" i="155"/>
  <c r="H170" i="155"/>
  <c r="H171" i="155"/>
  <c r="H172" i="155"/>
  <c r="H173" i="155"/>
  <c r="H174" i="155"/>
  <c r="H175" i="155"/>
  <c r="H176" i="155"/>
  <c r="H177" i="155"/>
  <c r="H178" i="155"/>
  <c r="H179" i="155"/>
  <c r="H180" i="155"/>
  <c r="H181" i="155"/>
  <c r="H182" i="155"/>
  <c r="H183" i="155"/>
  <c r="H184" i="155"/>
  <c r="H185" i="155"/>
  <c r="H186" i="155"/>
  <c r="H187" i="155"/>
  <c r="H188" i="155"/>
  <c r="H189" i="155"/>
  <c r="H190" i="155"/>
  <c r="H191" i="155"/>
  <c r="H192" i="155"/>
  <c r="H193" i="155"/>
  <c r="H194" i="155"/>
  <c r="H195" i="155"/>
  <c r="H196" i="155"/>
  <c r="H197" i="155"/>
  <c r="H198" i="155"/>
  <c r="H199" i="155"/>
  <c r="H200" i="155"/>
  <c r="H201" i="155"/>
  <c r="H202" i="155"/>
  <c r="H203" i="155"/>
  <c r="H204" i="155"/>
  <c r="H205" i="155"/>
  <c r="H206" i="155"/>
  <c r="H207" i="155"/>
  <c r="H208" i="155"/>
  <c r="H209" i="155"/>
  <c r="H210" i="155"/>
  <c r="H211" i="155"/>
  <c r="H212" i="155"/>
  <c r="H213" i="155"/>
  <c r="H214" i="155"/>
  <c r="H215" i="155"/>
  <c r="H216" i="155"/>
  <c r="H217" i="155"/>
  <c r="H218" i="155"/>
  <c r="H219" i="155"/>
  <c r="H220" i="155"/>
  <c r="H221" i="155"/>
  <c r="H222" i="155"/>
  <c r="H223" i="155"/>
  <c r="H224" i="155"/>
  <c r="H225" i="155"/>
  <c r="H226" i="155"/>
  <c r="H227" i="155"/>
  <c r="H228" i="155"/>
  <c r="H229" i="155"/>
  <c r="H230" i="155"/>
  <c r="H231" i="155"/>
  <c r="H232" i="155"/>
  <c r="H233" i="155"/>
  <c r="H234" i="155"/>
  <c r="H235" i="155"/>
  <c r="H236" i="155"/>
  <c r="H237" i="155"/>
  <c r="H238" i="155"/>
  <c r="H239" i="155"/>
  <c r="H240" i="155"/>
  <c r="H241" i="155"/>
  <c r="H242" i="155"/>
  <c r="H243" i="155"/>
  <c r="H244" i="155"/>
  <c r="H245" i="155"/>
  <c r="H246" i="155"/>
  <c r="H9" i="155"/>
  <c r="H10" i="155"/>
  <c r="H11" i="155"/>
  <c r="H12" i="155"/>
  <c r="H13" i="155"/>
  <c r="H14" i="155"/>
  <c r="H15" i="155"/>
  <c r="H16" i="155"/>
  <c r="H17" i="155"/>
  <c r="H18" i="155"/>
  <c r="H19" i="155"/>
  <c r="H20" i="155"/>
  <c r="H21" i="155"/>
  <c r="H22" i="155"/>
  <c r="H23" i="155"/>
  <c r="H24" i="155"/>
  <c r="H25" i="155"/>
  <c r="H26" i="155"/>
  <c r="H27" i="155"/>
  <c r="H28" i="155"/>
  <c r="H29" i="155"/>
  <c r="H30" i="155"/>
  <c r="H31" i="155"/>
  <c r="H32" i="155"/>
  <c r="H33" i="155"/>
  <c r="H34" i="155"/>
  <c r="H35" i="155"/>
  <c r="H36" i="155"/>
  <c r="H37" i="155"/>
  <c r="H38" i="155"/>
  <c r="H39" i="155"/>
  <c r="H40" i="155"/>
  <c r="H41" i="155"/>
  <c r="H42" i="155"/>
  <c r="H43" i="155"/>
  <c r="H44" i="155"/>
  <c r="H45" i="155"/>
  <c r="H46" i="155"/>
  <c r="H47" i="155"/>
  <c r="H48" i="155"/>
  <c r="H49" i="155"/>
  <c r="H50" i="155"/>
  <c r="H51" i="155"/>
  <c r="H52" i="155"/>
  <c r="H53" i="155"/>
  <c r="H54" i="155"/>
  <c r="H55" i="155"/>
  <c r="H56" i="155"/>
  <c r="H57" i="155"/>
  <c r="H58" i="155"/>
  <c r="H59" i="155"/>
  <c r="H60" i="155"/>
  <c r="H61" i="155"/>
  <c r="H62" i="155"/>
  <c r="H63" i="155"/>
  <c r="H64" i="155"/>
  <c r="H65" i="155"/>
  <c r="H66" i="155"/>
  <c r="H67" i="155"/>
  <c r="H68" i="155"/>
  <c r="H69" i="155"/>
  <c r="H70" i="155"/>
  <c r="H71" i="155"/>
  <c r="H72" i="155"/>
  <c r="H73" i="155"/>
  <c r="H74" i="155"/>
  <c r="H75" i="155"/>
  <c r="H76" i="155"/>
  <c r="H77" i="155"/>
  <c r="H78" i="155"/>
  <c r="H79" i="155"/>
  <c r="H80" i="155"/>
  <c r="H81" i="155"/>
  <c r="H82" i="155"/>
  <c r="H83" i="155"/>
  <c r="H84" i="155"/>
  <c r="H85" i="155"/>
  <c r="H86" i="155"/>
  <c r="H87" i="155"/>
  <c r="H88" i="155"/>
  <c r="H89" i="155"/>
  <c r="H90" i="155"/>
  <c r="H91" i="155"/>
  <c r="H92" i="155"/>
  <c r="H93" i="155"/>
  <c r="H94" i="155"/>
  <c r="H95" i="155"/>
  <c r="H96" i="155"/>
  <c r="H97" i="155"/>
  <c r="H98" i="155"/>
  <c r="H99" i="155"/>
  <c r="H100" i="155"/>
  <c r="H101" i="155"/>
  <c r="H102" i="155"/>
  <c r="H103" i="155"/>
  <c r="H104" i="155"/>
  <c r="H105" i="155"/>
  <c r="H106" i="155"/>
  <c r="H107" i="155"/>
  <c r="H108" i="155"/>
  <c r="H109" i="155"/>
  <c r="H110" i="155"/>
  <c r="H111" i="155"/>
  <c r="H112" i="155"/>
  <c r="H113" i="155"/>
  <c r="H114" i="155"/>
  <c r="H115" i="155"/>
  <c r="H116" i="155"/>
  <c r="H117" i="155"/>
  <c r="H118" i="155"/>
  <c r="H119" i="155"/>
  <c r="H120" i="155"/>
  <c r="H121" i="155"/>
  <c r="H122" i="155"/>
  <c r="H123" i="155"/>
  <c r="H124" i="155"/>
  <c r="H131" i="156"/>
  <c r="H132" i="156"/>
  <c r="H133" i="156"/>
  <c r="H134" i="156"/>
  <c r="H135" i="156"/>
  <c r="H136" i="156"/>
  <c r="H137" i="156"/>
  <c r="H138" i="156"/>
  <c r="H139" i="156"/>
  <c r="H140" i="156"/>
  <c r="H141" i="156"/>
  <c r="H142" i="156"/>
  <c r="H143" i="156"/>
  <c r="H144" i="156"/>
  <c r="H145" i="156"/>
  <c r="H146" i="156"/>
  <c r="H147" i="156"/>
  <c r="H148" i="156"/>
  <c r="H149" i="156"/>
  <c r="H150" i="156"/>
  <c r="H151" i="156"/>
  <c r="H152" i="156"/>
  <c r="H153" i="156"/>
  <c r="H154" i="156"/>
  <c r="H155" i="156"/>
  <c r="H156" i="156"/>
  <c r="H157" i="156"/>
  <c r="H158" i="156"/>
  <c r="H159" i="156"/>
  <c r="H160" i="156"/>
  <c r="H161" i="156"/>
  <c r="H162" i="156"/>
  <c r="H163" i="156"/>
  <c r="H164" i="156"/>
  <c r="H165" i="156"/>
  <c r="H166" i="156"/>
  <c r="H167" i="156"/>
  <c r="H168" i="156"/>
  <c r="H169" i="156"/>
  <c r="H170" i="156"/>
  <c r="H171" i="156"/>
  <c r="H172" i="156"/>
  <c r="H173" i="156"/>
  <c r="H174" i="156"/>
  <c r="H175" i="156"/>
  <c r="H176" i="156"/>
  <c r="H177" i="156"/>
  <c r="H178" i="156"/>
  <c r="H179" i="156"/>
  <c r="H180" i="156"/>
  <c r="H181" i="156"/>
  <c r="H182" i="156"/>
  <c r="H183" i="156"/>
  <c r="H184" i="156"/>
  <c r="H185" i="156"/>
  <c r="H186" i="156"/>
  <c r="H187" i="156"/>
  <c r="H188" i="156"/>
  <c r="H189" i="156"/>
  <c r="H190" i="156"/>
  <c r="H191" i="156"/>
  <c r="H192" i="156"/>
  <c r="H193" i="156"/>
  <c r="H194" i="156"/>
  <c r="H195" i="156"/>
  <c r="H196" i="156"/>
  <c r="H197" i="156"/>
  <c r="H198" i="156"/>
  <c r="H199" i="156"/>
  <c r="H200" i="156"/>
  <c r="H201" i="156"/>
  <c r="H202" i="156"/>
  <c r="H203" i="156"/>
  <c r="H204" i="156"/>
  <c r="H205" i="156"/>
  <c r="H206" i="156"/>
  <c r="H207" i="156"/>
  <c r="H208" i="156"/>
  <c r="H209" i="156"/>
  <c r="H210" i="156"/>
  <c r="H211" i="156"/>
  <c r="H212" i="156"/>
  <c r="H213" i="156"/>
  <c r="H214" i="156"/>
  <c r="H215" i="156"/>
  <c r="H216" i="156"/>
  <c r="H217" i="156"/>
  <c r="H218" i="156"/>
  <c r="H219" i="156"/>
  <c r="H220" i="156"/>
  <c r="H221" i="156"/>
  <c r="H222" i="156"/>
  <c r="H223" i="156"/>
  <c r="H224" i="156"/>
  <c r="H225" i="156"/>
  <c r="H226" i="156"/>
  <c r="H227" i="156"/>
  <c r="H228" i="156"/>
  <c r="H229" i="156"/>
  <c r="H230" i="156"/>
  <c r="H231" i="156"/>
  <c r="H232" i="156"/>
  <c r="H233" i="156"/>
  <c r="H234" i="156"/>
  <c r="H235" i="156"/>
  <c r="H236" i="156"/>
  <c r="H237" i="156"/>
  <c r="H238" i="156"/>
  <c r="H239" i="156"/>
  <c r="H240" i="156"/>
  <c r="H241" i="156"/>
  <c r="H242" i="156"/>
  <c r="H243" i="156"/>
  <c r="H244" i="156"/>
  <c r="H245" i="156"/>
  <c r="H246" i="156"/>
  <c r="H9" i="156"/>
  <c r="H10" i="156"/>
  <c r="H11" i="156"/>
  <c r="H12" i="156"/>
  <c r="H13" i="156"/>
  <c r="H14" i="156"/>
  <c r="H15" i="156"/>
  <c r="H16" i="156"/>
  <c r="H17" i="156"/>
  <c r="H18" i="156"/>
  <c r="H19" i="156"/>
  <c r="H20" i="156"/>
  <c r="H21" i="156"/>
  <c r="H22" i="156"/>
  <c r="H23" i="156"/>
  <c r="H24" i="156"/>
  <c r="H25" i="156"/>
  <c r="H26" i="156"/>
  <c r="H27" i="156"/>
  <c r="H28" i="156"/>
  <c r="H29" i="156"/>
  <c r="H30" i="156"/>
  <c r="H31" i="156"/>
  <c r="H32" i="156"/>
  <c r="H33" i="156"/>
  <c r="H34" i="156"/>
  <c r="H35" i="156"/>
  <c r="H36" i="156"/>
  <c r="H37" i="156"/>
  <c r="H38" i="156"/>
  <c r="H39" i="156"/>
  <c r="H40" i="156"/>
  <c r="H41" i="156"/>
  <c r="H42" i="156"/>
  <c r="H43" i="156"/>
  <c r="H44" i="156"/>
  <c r="H45" i="156"/>
  <c r="H46" i="156"/>
  <c r="H47" i="156"/>
  <c r="H48" i="156"/>
  <c r="H49" i="156"/>
  <c r="H50" i="156"/>
  <c r="H51" i="156"/>
  <c r="H52" i="156"/>
  <c r="H53" i="156"/>
  <c r="H54" i="156"/>
  <c r="H55" i="156"/>
  <c r="H56" i="156"/>
  <c r="H57" i="156"/>
  <c r="H58" i="156"/>
  <c r="H59" i="156"/>
  <c r="H60" i="156"/>
  <c r="H61" i="156"/>
  <c r="H62" i="156"/>
  <c r="H63" i="156"/>
  <c r="H64" i="156"/>
  <c r="H65" i="156"/>
  <c r="H66" i="156"/>
  <c r="H67" i="156"/>
  <c r="H68" i="156"/>
  <c r="H69" i="156"/>
  <c r="H70" i="156"/>
  <c r="H71" i="156"/>
  <c r="H72" i="156"/>
  <c r="H73" i="156"/>
  <c r="H74" i="156"/>
  <c r="H75" i="156"/>
  <c r="H76" i="156"/>
  <c r="H77" i="156"/>
  <c r="H78" i="156"/>
  <c r="H79" i="156"/>
  <c r="H80" i="156"/>
  <c r="H81" i="156"/>
  <c r="H82" i="156"/>
  <c r="H83" i="156"/>
  <c r="H84" i="156"/>
  <c r="H85" i="156"/>
  <c r="H86" i="156"/>
  <c r="H87" i="156"/>
  <c r="H88" i="156"/>
  <c r="H89" i="156"/>
  <c r="H90" i="156"/>
  <c r="H91" i="156"/>
  <c r="H92" i="156"/>
  <c r="H93" i="156"/>
  <c r="H94" i="156"/>
  <c r="H95" i="156"/>
  <c r="H96" i="156"/>
  <c r="H97" i="156"/>
  <c r="H98" i="156"/>
  <c r="H99" i="156"/>
  <c r="H100" i="156"/>
  <c r="H101" i="156"/>
  <c r="H102" i="156"/>
  <c r="H103" i="156"/>
  <c r="H104" i="156"/>
  <c r="H105" i="156"/>
  <c r="H106" i="156"/>
  <c r="H107" i="156"/>
  <c r="H108" i="156"/>
  <c r="H109" i="156"/>
  <c r="H110" i="156"/>
  <c r="H111" i="156"/>
  <c r="H112" i="156"/>
  <c r="H113" i="156"/>
  <c r="H114" i="156"/>
  <c r="H115" i="156"/>
  <c r="H116" i="156"/>
  <c r="H117" i="156"/>
  <c r="H118" i="156"/>
  <c r="H119" i="156"/>
  <c r="H120" i="156"/>
  <c r="H121" i="156"/>
  <c r="H122" i="156"/>
  <c r="H123" i="156"/>
  <c r="H124" i="156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31" i="155"/>
  <c r="O132" i="155"/>
  <c r="O133" i="155"/>
  <c r="O134" i="155"/>
  <c r="O135" i="155"/>
  <c r="O136" i="155"/>
  <c r="O137" i="155"/>
  <c r="O138" i="155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9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O42" i="155"/>
  <c r="O43" i="155"/>
  <c r="O44" i="155"/>
  <c r="O45" i="155"/>
  <c r="O46" i="155"/>
  <c r="O47" i="155"/>
  <c r="O48" i="155"/>
  <c r="O49" i="155"/>
  <c r="O50" i="155"/>
  <c r="O51" i="155"/>
  <c r="O52" i="155"/>
  <c r="O53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O131" i="156"/>
  <c r="O132" i="156"/>
  <c r="O133" i="156"/>
  <c r="O134" i="156"/>
  <c r="O135" i="156"/>
  <c r="O136" i="156"/>
  <c r="O137" i="156"/>
  <c r="O138" i="156"/>
  <c r="O139" i="156"/>
  <c r="O140" i="156"/>
  <c r="O141" i="156"/>
  <c r="O142" i="156"/>
  <c r="O143" i="156"/>
  <c r="O144" i="156"/>
  <c r="O145" i="156"/>
  <c r="O146" i="156"/>
  <c r="O147" i="156"/>
  <c r="O148" i="156"/>
  <c r="O149" i="156"/>
  <c r="O150" i="156"/>
  <c r="O151" i="156"/>
  <c r="O152" i="156"/>
  <c r="O153" i="156"/>
  <c r="O154" i="156"/>
  <c r="O155" i="156"/>
  <c r="O156" i="156"/>
  <c r="O157" i="156"/>
  <c r="O158" i="156"/>
  <c r="O159" i="156"/>
  <c r="O160" i="156"/>
  <c r="O161" i="156"/>
  <c r="O162" i="156"/>
  <c r="O163" i="156"/>
  <c r="O164" i="156"/>
  <c r="O165" i="156"/>
  <c r="O166" i="156"/>
  <c r="O167" i="156"/>
  <c r="O168" i="156"/>
  <c r="O169" i="156"/>
  <c r="O170" i="156"/>
  <c r="O171" i="156"/>
  <c r="O172" i="156"/>
  <c r="O173" i="156"/>
  <c r="O174" i="156"/>
  <c r="O175" i="156"/>
  <c r="O176" i="156"/>
  <c r="O177" i="156"/>
  <c r="O178" i="156"/>
  <c r="O179" i="156"/>
  <c r="O180" i="156"/>
  <c r="O181" i="156"/>
  <c r="O182" i="156"/>
  <c r="O183" i="156"/>
  <c r="O184" i="156"/>
  <c r="O185" i="156"/>
  <c r="O186" i="156"/>
  <c r="O187" i="156"/>
  <c r="O188" i="156"/>
  <c r="O189" i="156"/>
  <c r="O190" i="156"/>
  <c r="O191" i="156"/>
  <c r="O192" i="156"/>
  <c r="O193" i="156"/>
  <c r="O194" i="156"/>
  <c r="O195" i="156"/>
  <c r="O196" i="156"/>
  <c r="O197" i="156"/>
  <c r="O198" i="156"/>
  <c r="O199" i="156"/>
  <c r="O200" i="156"/>
  <c r="O201" i="156"/>
  <c r="O202" i="156"/>
  <c r="O203" i="156"/>
  <c r="O204" i="156"/>
  <c r="O205" i="156"/>
  <c r="O206" i="156"/>
  <c r="O207" i="156"/>
  <c r="O208" i="156"/>
  <c r="O209" i="156"/>
  <c r="O210" i="156"/>
  <c r="O211" i="156"/>
  <c r="O212" i="156"/>
  <c r="O213" i="156"/>
  <c r="O214" i="156"/>
  <c r="O215" i="156"/>
  <c r="O216" i="156"/>
  <c r="O217" i="156"/>
  <c r="O218" i="156"/>
  <c r="O219" i="156"/>
  <c r="O220" i="156"/>
  <c r="O221" i="156"/>
  <c r="O222" i="156"/>
  <c r="O223" i="156"/>
  <c r="O224" i="156"/>
  <c r="O225" i="156"/>
  <c r="O226" i="156"/>
  <c r="O227" i="156"/>
  <c r="O228" i="156"/>
  <c r="O229" i="156"/>
  <c r="O230" i="156"/>
  <c r="O231" i="156"/>
  <c r="O232" i="156"/>
  <c r="O233" i="156"/>
  <c r="O234" i="156"/>
  <c r="O235" i="156"/>
  <c r="O236" i="156"/>
  <c r="O237" i="156"/>
  <c r="O238" i="156"/>
  <c r="O239" i="156"/>
  <c r="O240" i="156"/>
  <c r="O241" i="156"/>
  <c r="O242" i="156"/>
  <c r="O243" i="156"/>
  <c r="O244" i="156"/>
  <c r="O245" i="156"/>
  <c r="O246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O42" i="156"/>
  <c r="O43" i="156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O106" i="156"/>
  <c r="O107" i="156"/>
  <c r="O108" i="156"/>
  <c r="O109" i="156"/>
  <c r="O110" i="156"/>
  <c r="O111" i="156"/>
  <c r="O112" i="156"/>
  <c r="O113" i="156"/>
  <c r="O114" i="156"/>
  <c r="O115" i="156"/>
  <c r="O116" i="156"/>
  <c r="O117" i="156"/>
  <c r="O118" i="156"/>
  <c r="O119" i="156"/>
  <c r="O120" i="156"/>
  <c r="O121" i="156"/>
  <c r="O122" i="156"/>
  <c r="O123" i="156"/>
  <c r="O124" i="156"/>
  <c r="H246" i="150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O31" i="135"/>
  <c r="O203" i="126"/>
  <c r="O204" i="126"/>
  <c r="O205" i="126"/>
  <c r="O206" i="126"/>
  <c r="H203" i="126"/>
  <c r="H204" i="126"/>
  <c r="H205" i="126"/>
  <c r="H206" i="126"/>
  <c r="O207" i="126"/>
  <c r="O208" i="126"/>
  <c r="O209" i="126"/>
  <c r="O210" i="126"/>
  <c r="H207" i="126"/>
  <c r="H208" i="126"/>
  <c r="H209" i="126"/>
  <c r="H210" i="126"/>
  <c r="O211" i="126"/>
  <c r="O212" i="126"/>
  <c r="O213" i="126"/>
  <c r="O214" i="126"/>
  <c r="H211" i="126"/>
  <c r="H212" i="126"/>
  <c r="H213" i="126"/>
  <c r="H214" i="126"/>
  <c r="O215" i="126"/>
  <c r="O216" i="126"/>
  <c r="O217" i="126"/>
  <c r="O218" i="126"/>
  <c r="H215" i="126"/>
  <c r="H216" i="126"/>
  <c r="H217" i="126"/>
  <c r="H218" i="126"/>
  <c r="O219" i="126"/>
  <c r="O220" i="126"/>
  <c r="O221" i="126"/>
  <c r="O222" i="126"/>
  <c r="H219" i="126"/>
  <c r="H220" i="126"/>
  <c r="H221" i="126"/>
  <c r="H222" i="126"/>
  <c r="O223" i="126"/>
  <c r="O224" i="126"/>
  <c r="O225" i="126"/>
  <c r="O226" i="126"/>
  <c r="H223" i="126"/>
  <c r="H224" i="126"/>
  <c r="H225" i="126"/>
  <c r="H226" i="126"/>
  <c r="O227" i="126"/>
  <c r="O228" i="126"/>
  <c r="O229" i="126"/>
  <c r="O230" i="126"/>
  <c r="H227" i="126"/>
  <c r="H228" i="126"/>
  <c r="H229" i="126"/>
  <c r="H230" i="126"/>
  <c r="O231" i="126"/>
  <c r="O232" i="126"/>
  <c r="O233" i="126"/>
  <c r="O234" i="126"/>
  <c r="H231" i="126"/>
  <c r="H232" i="126"/>
  <c r="H233" i="126"/>
  <c r="H234" i="126"/>
  <c r="O235" i="126"/>
  <c r="O236" i="126"/>
  <c r="O237" i="126"/>
  <c r="O238" i="126"/>
  <c r="H235" i="126"/>
  <c r="H236" i="126"/>
  <c r="H237" i="126"/>
  <c r="H238" i="126"/>
  <c r="O239" i="126"/>
  <c r="O240" i="126"/>
  <c r="O241" i="126"/>
  <c r="O242" i="126"/>
  <c r="H239" i="126"/>
  <c r="H240" i="126"/>
  <c r="H241" i="126"/>
  <c r="H242" i="126"/>
  <c r="O243" i="126"/>
  <c r="O244" i="126"/>
  <c r="O245" i="126"/>
  <c r="O246" i="126"/>
  <c r="H243" i="126"/>
  <c r="H244" i="126"/>
  <c r="H245" i="126"/>
  <c r="H246" i="126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G31" i="135"/>
  <c r="O203" i="118"/>
  <c r="O204" i="118"/>
  <c r="O205" i="118"/>
  <c r="O206" i="118"/>
  <c r="H203" i="118"/>
  <c r="H204" i="118"/>
  <c r="H205" i="118"/>
  <c r="H206" i="118"/>
  <c r="O207" i="118"/>
  <c r="O208" i="118"/>
  <c r="O209" i="118"/>
  <c r="O210" i="118"/>
  <c r="H207" i="118"/>
  <c r="H208" i="118"/>
  <c r="H209" i="118"/>
  <c r="H210" i="118"/>
  <c r="O211" i="118"/>
  <c r="O212" i="118"/>
  <c r="O213" i="118"/>
  <c r="O214" i="118"/>
  <c r="H211" i="118"/>
  <c r="H212" i="118"/>
  <c r="H213" i="118"/>
  <c r="H214" i="118"/>
  <c r="O215" i="118"/>
  <c r="O216" i="118"/>
  <c r="O217" i="118"/>
  <c r="O218" i="118"/>
  <c r="H215" i="118"/>
  <c r="H216" i="118"/>
  <c r="H217" i="118"/>
  <c r="H218" i="118"/>
  <c r="O219" i="118"/>
  <c r="O220" i="118"/>
  <c r="O221" i="118"/>
  <c r="O222" i="118"/>
  <c r="H219" i="118"/>
  <c r="H220" i="118"/>
  <c r="H221" i="118"/>
  <c r="H222" i="118"/>
  <c r="O223" i="118"/>
  <c r="O224" i="118"/>
  <c r="O225" i="118"/>
  <c r="O226" i="118"/>
  <c r="H223" i="118"/>
  <c r="H224" i="118"/>
  <c r="H225" i="118"/>
  <c r="H226" i="118"/>
  <c r="O227" i="118"/>
  <c r="O228" i="118"/>
  <c r="O229" i="118"/>
  <c r="O230" i="118"/>
  <c r="H227" i="118"/>
  <c r="H228" i="118"/>
  <c r="H229" i="118"/>
  <c r="H230" i="118"/>
  <c r="O231" i="118"/>
  <c r="O232" i="118"/>
  <c r="O233" i="118"/>
  <c r="O234" i="118"/>
  <c r="H231" i="118"/>
  <c r="H232" i="118"/>
  <c r="H233" i="118"/>
  <c r="H234" i="118"/>
  <c r="O235" i="118"/>
  <c r="O236" i="118"/>
  <c r="O237" i="118"/>
  <c r="O238" i="118"/>
  <c r="H235" i="118"/>
  <c r="H236" i="118"/>
  <c r="H237" i="118"/>
  <c r="H238" i="118"/>
  <c r="O239" i="118"/>
  <c r="O240" i="118"/>
  <c r="O241" i="118"/>
  <c r="O242" i="118"/>
  <c r="H239" i="118"/>
  <c r="H240" i="118"/>
  <c r="H241" i="118"/>
  <c r="H242" i="118"/>
  <c r="O243" i="118"/>
  <c r="O244" i="118"/>
  <c r="O245" i="118"/>
  <c r="O246" i="118"/>
  <c r="H243" i="118"/>
  <c r="H244" i="118"/>
  <c r="H245" i="118"/>
  <c r="H246" i="118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O24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24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O40" i="135"/>
  <c r="O81" i="153"/>
  <c r="O82" i="153"/>
  <c r="O83" i="153"/>
  <c r="O84" i="153"/>
  <c r="H81" i="153"/>
  <c r="H82" i="153"/>
  <c r="H83" i="153"/>
  <c r="H84" i="153"/>
  <c r="O85" i="153"/>
  <c r="O86" i="153"/>
  <c r="O87" i="153"/>
  <c r="O88" i="153"/>
  <c r="H85" i="153"/>
  <c r="H86" i="153"/>
  <c r="H87" i="153"/>
  <c r="H88" i="153"/>
  <c r="O89" i="153"/>
  <c r="O90" i="153"/>
  <c r="O91" i="153"/>
  <c r="O92" i="153"/>
  <c r="H89" i="153"/>
  <c r="H90" i="153"/>
  <c r="H91" i="153"/>
  <c r="H92" i="153"/>
  <c r="O93" i="153"/>
  <c r="O94" i="153"/>
  <c r="O95" i="153"/>
  <c r="O96" i="153"/>
  <c r="H93" i="153"/>
  <c r="H94" i="153"/>
  <c r="H95" i="153"/>
  <c r="H96" i="153"/>
  <c r="O97" i="153"/>
  <c r="O98" i="153"/>
  <c r="O99" i="153"/>
  <c r="O100" i="153"/>
  <c r="H97" i="153"/>
  <c r="H98" i="153"/>
  <c r="H99" i="153"/>
  <c r="H100" i="153"/>
  <c r="O101" i="153"/>
  <c r="O102" i="153"/>
  <c r="O103" i="153"/>
  <c r="O104" i="153"/>
  <c r="H101" i="153"/>
  <c r="H102" i="153"/>
  <c r="H103" i="153"/>
  <c r="H104" i="153"/>
  <c r="O105" i="153"/>
  <c r="O106" i="153"/>
  <c r="O107" i="153"/>
  <c r="O108" i="153"/>
  <c r="H105" i="153"/>
  <c r="H106" i="153"/>
  <c r="H107" i="153"/>
  <c r="H108" i="153"/>
  <c r="O109" i="153"/>
  <c r="O110" i="153"/>
  <c r="O111" i="153"/>
  <c r="O112" i="153"/>
  <c r="H109" i="153"/>
  <c r="H110" i="153"/>
  <c r="H111" i="153"/>
  <c r="H112" i="153"/>
  <c r="O113" i="153"/>
  <c r="O114" i="153"/>
  <c r="O115" i="153"/>
  <c r="O116" i="153"/>
  <c r="H113" i="153"/>
  <c r="H114" i="153"/>
  <c r="H115" i="153"/>
  <c r="H116" i="153"/>
  <c r="O117" i="153"/>
  <c r="O118" i="153"/>
  <c r="O119" i="153"/>
  <c r="O120" i="153"/>
  <c r="H117" i="153"/>
  <c r="H118" i="153"/>
  <c r="H119" i="153"/>
  <c r="H120" i="153"/>
  <c r="O121" i="153"/>
  <c r="O122" i="153"/>
  <c r="O123" i="153"/>
  <c r="O124" i="153"/>
  <c r="H121" i="153"/>
  <c r="H122" i="153"/>
  <c r="H123" i="153"/>
  <c r="H124" i="153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G40" i="135"/>
  <c r="O81" i="144"/>
  <c r="O82" i="144"/>
  <c r="O83" i="144"/>
  <c r="O84" i="144"/>
  <c r="H81" i="144"/>
  <c r="H82" i="144"/>
  <c r="H83" i="144"/>
  <c r="H84" i="144"/>
  <c r="O85" i="144"/>
  <c r="O86" i="144"/>
  <c r="O87" i="144"/>
  <c r="O88" i="144"/>
  <c r="H85" i="144"/>
  <c r="H86" i="144"/>
  <c r="H87" i="144"/>
  <c r="H88" i="144"/>
  <c r="O89" i="144"/>
  <c r="O90" i="144"/>
  <c r="O91" i="144"/>
  <c r="O92" i="144"/>
  <c r="H89" i="144"/>
  <c r="H90" i="144"/>
  <c r="H91" i="144"/>
  <c r="H92" i="144"/>
  <c r="O93" i="144"/>
  <c r="O94" i="144"/>
  <c r="O95" i="144"/>
  <c r="O96" i="144"/>
  <c r="H93" i="144"/>
  <c r="H94" i="144"/>
  <c r="H95" i="144"/>
  <c r="H96" i="144"/>
  <c r="O97" i="144"/>
  <c r="O98" i="144"/>
  <c r="O99" i="144"/>
  <c r="O100" i="144"/>
  <c r="H97" i="144"/>
  <c r="H98" i="144"/>
  <c r="H99" i="144"/>
  <c r="H100" i="144"/>
  <c r="O101" i="144"/>
  <c r="O102" i="144"/>
  <c r="O103" i="144"/>
  <c r="O104" i="144"/>
  <c r="H101" i="144"/>
  <c r="H102" i="144"/>
  <c r="H103" i="144"/>
  <c r="H104" i="144"/>
  <c r="O105" i="144"/>
  <c r="O106" i="144"/>
  <c r="O107" i="144"/>
  <c r="O108" i="144"/>
  <c r="H105" i="144"/>
  <c r="H106" i="144"/>
  <c r="H107" i="144"/>
  <c r="H108" i="144"/>
  <c r="O109" i="144"/>
  <c r="O110" i="144"/>
  <c r="O111" i="144"/>
  <c r="O112" i="144"/>
  <c r="H109" i="144"/>
  <c r="H110" i="144"/>
  <c r="H111" i="144"/>
  <c r="H112" i="144"/>
  <c r="O113" i="144"/>
  <c r="O114" i="144"/>
  <c r="O115" i="144"/>
  <c r="O116" i="144"/>
  <c r="H113" i="144"/>
  <c r="H114" i="144"/>
  <c r="H115" i="144"/>
  <c r="H116" i="144"/>
  <c r="O117" i="144"/>
  <c r="O118" i="144"/>
  <c r="O119" i="144"/>
  <c r="O120" i="144"/>
  <c r="H117" i="144"/>
  <c r="H118" i="144"/>
  <c r="H119" i="144"/>
  <c r="H120" i="144"/>
  <c r="O121" i="144"/>
  <c r="O122" i="144"/>
  <c r="O123" i="144"/>
  <c r="O124" i="144"/>
  <c r="H121" i="144"/>
  <c r="H122" i="144"/>
  <c r="H123" i="144"/>
  <c r="H124" i="144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O15" i="135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15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O8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8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125" i="153"/>
  <c r="O41" i="135"/>
  <c r="O39" i="135"/>
  <c r="O38" i="135"/>
  <c r="O37" i="135"/>
  <c r="O36" i="135"/>
  <c r="O35" i="135"/>
  <c r="O9" i="153"/>
  <c r="O10" i="153"/>
  <c r="O11" i="153"/>
  <c r="O12" i="153"/>
  <c r="H9" i="153"/>
  <c r="H10" i="153"/>
  <c r="H11" i="153"/>
  <c r="H12" i="153"/>
  <c r="O13" i="153"/>
  <c r="O14" i="153"/>
  <c r="O15" i="153"/>
  <c r="O16" i="153"/>
  <c r="H13" i="153"/>
  <c r="H14" i="153"/>
  <c r="H15" i="153"/>
  <c r="H16" i="153"/>
  <c r="O17" i="153"/>
  <c r="O18" i="153"/>
  <c r="O19" i="153"/>
  <c r="O20" i="153"/>
  <c r="H17" i="153"/>
  <c r="H18" i="153"/>
  <c r="H19" i="153"/>
  <c r="H20" i="153"/>
  <c r="O21" i="153"/>
  <c r="O22" i="153"/>
  <c r="O23" i="153"/>
  <c r="O24" i="153"/>
  <c r="H21" i="153"/>
  <c r="H22" i="153"/>
  <c r="H23" i="153"/>
  <c r="H24" i="153"/>
  <c r="O25" i="153"/>
  <c r="O26" i="153"/>
  <c r="O27" i="153"/>
  <c r="O28" i="153"/>
  <c r="H25" i="153"/>
  <c r="H26" i="153"/>
  <c r="H27" i="153"/>
  <c r="H28" i="153"/>
  <c r="O29" i="153"/>
  <c r="O30" i="153"/>
  <c r="O31" i="153"/>
  <c r="O32" i="153"/>
  <c r="H29" i="153"/>
  <c r="H30" i="153"/>
  <c r="H31" i="153"/>
  <c r="H32" i="153"/>
  <c r="O33" i="153"/>
  <c r="O34" i="153"/>
  <c r="O35" i="153"/>
  <c r="O36" i="153"/>
  <c r="H33" i="153"/>
  <c r="H34" i="153"/>
  <c r="H35" i="153"/>
  <c r="H36" i="153"/>
  <c r="O37" i="153"/>
  <c r="O38" i="153"/>
  <c r="O39" i="153"/>
  <c r="O40" i="153"/>
  <c r="H37" i="153"/>
  <c r="H38" i="153"/>
  <c r="H39" i="153"/>
  <c r="H40" i="153"/>
  <c r="O41" i="153"/>
  <c r="O42" i="153"/>
  <c r="O43" i="153"/>
  <c r="O44" i="153"/>
  <c r="H41" i="153"/>
  <c r="H42" i="153"/>
  <c r="H43" i="153"/>
  <c r="H44" i="153"/>
  <c r="O45" i="153"/>
  <c r="O46" i="153"/>
  <c r="O47" i="153"/>
  <c r="O48" i="153"/>
  <c r="H45" i="153"/>
  <c r="H46" i="153"/>
  <c r="H47" i="153"/>
  <c r="H48" i="153"/>
  <c r="O49" i="153"/>
  <c r="O50" i="153"/>
  <c r="O51" i="153"/>
  <c r="O52" i="153"/>
  <c r="H49" i="153"/>
  <c r="H50" i="153"/>
  <c r="H51" i="153"/>
  <c r="H52" i="153"/>
  <c r="O53" i="153"/>
  <c r="O54" i="153"/>
  <c r="O55" i="153"/>
  <c r="O56" i="153"/>
  <c r="H53" i="153"/>
  <c r="H54" i="153"/>
  <c r="H55" i="153"/>
  <c r="H56" i="153"/>
  <c r="O57" i="153"/>
  <c r="O58" i="153"/>
  <c r="O59" i="153"/>
  <c r="O60" i="153"/>
  <c r="H57" i="153"/>
  <c r="H58" i="153"/>
  <c r="H59" i="153"/>
  <c r="H60" i="153"/>
  <c r="O61" i="153"/>
  <c r="O62" i="153"/>
  <c r="O63" i="153"/>
  <c r="O64" i="153"/>
  <c r="H61" i="153"/>
  <c r="H62" i="153"/>
  <c r="H63" i="153"/>
  <c r="H64" i="153"/>
  <c r="O65" i="153"/>
  <c r="O66" i="153"/>
  <c r="O67" i="153"/>
  <c r="O68" i="153"/>
  <c r="H65" i="153"/>
  <c r="H66" i="153"/>
  <c r="H67" i="153"/>
  <c r="H68" i="153"/>
  <c r="O69" i="153"/>
  <c r="O70" i="153"/>
  <c r="O71" i="153"/>
  <c r="O72" i="153"/>
  <c r="H69" i="153"/>
  <c r="H70" i="153"/>
  <c r="H71" i="153"/>
  <c r="H72" i="153"/>
  <c r="O73" i="153"/>
  <c r="O74" i="153"/>
  <c r="O75" i="153"/>
  <c r="O76" i="153"/>
  <c r="H73" i="153"/>
  <c r="H74" i="153"/>
  <c r="H75" i="153"/>
  <c r="H76" i="153"/>
  <c r="O77" i="153"/>
  <c r="O78" i="153"/>
  <c r="O79" i="153"/>
  <c r="O80" i="153"/>
  <c r="H77" i="153"/>
  <c r="H78" i="153"/>
  <c r="H79" i="153"/>
  <c r="H80" i="153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47" i="126"/>
  <c r="O32" i="135"/>
  <c r="O30" i="135"/>
  <c r="O29" i="135"/>
  <c r="O28" i="135"/>
  <c r="O27" i="135"/>
  <c r="O26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O25" i="135"/>
  <c r="O23" i="135"/>
  <c r="O22" i="135"/>
  <c r="O21" i="135"/>
  <c r="O20" i="135"/>
  <c r="O19" i="135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47" i="150"/>
  <c r="O16" i="135"/>
  <c r="O14" i="135"/>
  <c r="O13" i="135"/>
  <c r="O12" i="135"/>
  <c r="O11" i="135"/>
  <c r="O10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O9" i="135"/>
  <c r="O7" i="135"/>
  <c r="O6" i="135"/>
  <c r="O5" i="135"/>
  <c r="O4" i="135"/>
  <c r="O3" i="135"/>
  <c r="O131" i="126"/>
  <c r="O132" i="126"/>
  <c r="O133" i="126"/>
  <c r="O134" i="126"/>
  <c r="H131" i="126"/>
  <c r="H132" i="126"/>
  <c r="H133" i="126"/>
  <c r="H134" i="126"/>
  <c r="O135" i="126"/>
  <c r="O136" i="126"/>
  <c r="O137" i="126"/>
  <c r="O138" i="126"/>
  <c r="H135" i="126"/>
  <c r="H136" i="126"/>
  <c r="H137" i="126"/>
  <c r="H138" i="126"/>
  <c r="O139" i="126"/>
  <c r="O140" i="126"/>
  <c r="O141" i="126"/>
  <c r="O142" i="126"/>
  <c r="H139" i="126"/>
  <c r="H140" i="126"/>
  <c r="H141" i="126"/>
  <c r="H142" i="126"/>
  <c r="O143" i="126"/>
  <c r="O144" i="126"/>
  <c r="O145" i="126"/>
  <c r="O146" i="126"/>
  <c r="H143" i="126"/>
  <c r="H144" i="126"/>
  <c r="H145" i="126"/>
  <c r="H146" i="126"/>
  <c r="O147" i="126"/>
  <c r="O148" i="126"/>
  <c r="O149" i="126"/>
  <c r="O150" i="126"/>
  <c r="H147" i="126"/>
  <c r="H148" i="126"/>
  <c r="H149" i="126"/>
  <c r="H150" i="126"/>
  <c r="O151" i="126"/>
  <c r="O152" i="126"/>
  <c r="O153" i="126"/>
  <c r="O154" i="126"/>
  <c r="H151" i="126"/>
  <c r="H152" i="126"/>
  <c r="H153" i="126"/>
  <c r="H154" i="126"/>
  <c r="O155" i="126"/>
  <c r="O156" i="126"/>
  <c r="O157" i="126"/>
  <c r="O158" i="126"/>
  <c r="H155" i="126"/>
  <c r="H156" i="126"/>
  <c r="H157" i="126"/>
  <c r="H158" i="126"/>
  <c r="O159" i="126"/>
  <c r="O160" i="126"/>
  <c r="O161" i="126"/>
  <c r="O162" i="126"/>
  <c r="H159" i="126"/>
  <c r="H160" i="126"/>
  <c r="H161" i="126"/>
  <c r="H162" i="126"/>
  <c r="O163" i="126"/>
  <c r="O164" i="126"/>
  <c r="O165" i="126"/>
  <c r="O166" i="126"/>
  <c r="H163" i="126"/>
  <c r="H164" i="126"/>
  <c r="H165" i="126"/>
  <c r="H166" i="126"/>
  <c r="O167" i="126"/>
  <c r="O168" i="126"/>
  <c r="O169" i="126"/>
  <c r="O170" i="126"/>
  <c r="H167" i="126"/>
  <c r="H168" i="126"/>
  <c r="H169" i="126"/>
  <c r="H170" i="126"/>
  <c r="O171" i="126"/>
  <c r="O172" i="126"/>
  <c r="O173" i="126"/>
  <c r="O174" i="126"/>
  <c r="H171" i="126"/>
  <c r="H172" i="126"/>
  <c r="H173" i="126"/>
  <c r="H174" i="126"/>
  <c r="O175" i="126"/>
  <c r="O176" i="126"/>
  <c r="O177" i="126"/>
  <c r="O178" i="126"/>
  <c r="H175" i="126"/>
  <c r="H176" i="126"/>
  <c r="H177" i="126"/>
  <c r="H178" i="126"/>
  <c r="O179" i="126"/>
  <c r="O180" i="126"/>
  <c r="O181" i="126"/>
  <c r="O182" i="126"/>
  <c r="H179" i="126"/>
  <c r="H180" i="126"/>
  <c r="H181" i="126"/>
  <c r="H182" i="126"/>
  <c r="O183" i="126"/>
  <c r="O184" i="126"/>
  <c r="O185" i="126"/>
  <c r="O186" i="126"/>
  <c r="H183" i="126"/>
  <c r="H184" i="126"/>
  <c r="H185" i="126"/>
  <c r="H186" i="126"/>
  <c r="O187" i="126"/>
  <c r="O188" i="126"/>
  <c r="O189" i="126"/>
  <c r="O190" i="126"/>
  <c r="H187" i="126"/>
  <c r="H188" i="126"/>
  <c r="H189" i="126"/>
  <c r="H190" i="126"/>
  <c r="O191" i="126"/>
  <c r="O192" i="126"/>
  <c r="O193" i="126"/>
  <c r="O194" i="126"/>
  <c r="H191" i="126"/>
  <c r="H192" i="126"/>
  <c r="H193" i="126"/>
  <c r="H194" i="126"/>
  <c r="O195" i="126"/>
  <c r="O196" i="126"/>
  <c r="O197" i="126"/>
  <c r="O198" i="126"/>
  <c r="H195" i="126"/>
  <c r="H196" i="126"/>
  <c r="H197" i="126"/>
  <c r="H198" i="126"/>
  <c r="O199" i="126"/>
  <c r="O200" i="126"/>
  <c r="O201" i="126"/>
  <c r="O202" i="126"/>
  <c r="H199" i="126"/>
  <c r="H200" i="126"/>
  <c r="H201" i="126"/>
  <c r="H202" i="126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131" i="150"/>
  <c r="O132" i="150"/>
  <c r="O133" i="150"/>
  <c r="O134" i="150"/>
  <c r="O135" i="150"/>
  <c r="O136" i="150"/>
  <c r="O137" i="150"/>
  <c r="O138" i="150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125" i="144"/>
  <c r="G41" i="135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G39" i="135"/>
  <c r="G38" i="135"/>
  <c r="G37" i="135"/>
  <c r="G36" i="135"/>
  <c r="G35" i="135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G19" i="135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20" i="135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21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22" i="135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23" i="135"/>
  <c r="U125" i="118"/>
  <c r="G25" i="135"/>
  <c r="O131" i="118"/>
  <c r="O132" i="118"/>
  <c r="O133" i="118"/>
  <c r="O134" i="118"/>
  <c r="H131" i="118"/>
  <c r="H132" i="118"/>
  <c r="H133" i="118"/>
  <c r="H134" i="118"/>
  <c r="O135" i="118"/>
  <c r="O136" i="118"/>
  <c r="O137" i="118"/>
  <c r="O138" i="118"/>
  <c r="H135" i="118"/>
  <c r="H136" i="118"/>
  <c r="H137" i="118"/>
  <c r="H138" i="118"/>
  <c r="U131" i="118"/>
  <c r="U132" i="118"/>
  <c r="U133" i="118"/>
  <c r="U134" i="118"/>
  <c r="U135" i="118"/>
  <c r="U136" i="118"/>
  <c r="U137" i="118"/>
  <c r="U138" i="118"/>
  <c r="G26" i="135"/>
  <c r="O139" i="118"/>
  <c r="O140" i="118"/>
  <c r="O141" i="118"/>
  <c r="O142" i="118"/>
  <c r="H139" i="118"/>
  <c r="H140" i="118"/>
  <c r="H141" i="118"/>
  <c r="H142" i="118"/>
  <c r="O143" i="118"/>
  <c r="O144" i="118"/>
  <c r="O145" i="118"/>
  <c r="O146" i="118"/>
  <c r="H143" i="118"/>
  <c r="H144" i="118"/>
  <c r="H145" i="118"/>
  <c r="H146" i="118"/>
  <c r="O147" i="118"/>
  <c r="O148" i="118"/>
  <c r="O149" i="118"/>
  <c r="O150" i="118"/>
  <c r="H147" i="118"/>
  <c r="H148" i="118"/>
  <c r="H149" i="118"/>
  <c r="H150" i="118"/>
  <c r="O151" i="118"/>
  <c r="O152" i="118"/>
  <c r="O153" i="118"/>
  <c r="O154" i="118"/>
  <c r="H151" i="118"/>
  <c r="H152" i="118"/>
  <c r="H153" i="118"/>
  <c r="H154" i="118"/>
  <c r="O155" i="118"/>
  <c r="O156" i="118"/>
  <c r="O157" i="118"/>
  <c r="O158" i="118"/>
  <c r="H155" i="118"/>
  <c r="H156" i="118"/>
  <c r="H157" i="118"/>
  <c r="H15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27" i="135"/>
  <c r="O159" i="118"/>
  <c r="O160" i="118"/>
  <c r="O161" i="118"/>
  <c r="O162" i="118"/>
  <c r="H159" i="118"/>
  <c r="H160" i="118"/>
  <c r="H161" i="118"/>
  <c r="H162" i="118"/>
  <c r="O163" i="118"/>
  <c r="O164" i="118"/>
  <c r="O165" i="118"/>
  <c r="O166" i="118"/>
  <c r="H163" i="118"/>
  <c r="H164" i="118"/>
  <c r="H165" i="118"/>
  <c r="H166" i="118"/>
  <c r="O167" i="118"/>
  <c r="O168" i="118"/>
  <c r="O169" i="118"/>
  <c r="O170" i="118"/>
  <c r="H167" i="118"/>
  <c r="H168" i="118"/>
  <c r="H169" i="118"/>
  <c r="H170" i="118"/>
  <c r="O171" i="118"/>
  <c r="O172" i="118"/>
  <c r="O173" i="118"/>
  <c r="O174" i="118"/>
  <c r="H171" i="118"/>
  <c r="H172" i="118"/>
  <c r="H173" i="118"/>
  <c r="H174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G28" i="135"/>
  <c r="O175" i="118"/>
  <c r="O176" i="118"/>
  <c r="O177" i="118"/>
  <c r="O178" i="118"/>
  <c r="H175" i="118"/>
  <c r="H176" i="118"/>
  <c r="H177" i="118"/>
  <c r="H178" i="118"/>
  <c r="O179" i="118"/>
  <c r="O180" i="118"/>
  <c r="O181" i="118"/>
  <c r="O182" i="118"/>
  <c r="H179" i="118"/>
  <c r="H180" i="118"/>
  <c r="H181" i="118"/>
  <c r="H182" i="118"/>
  <c r="O183" i="118"/>
  <c r="O184" i="118"/>
  <c r="O185" i="118"/>
  <c r="O186" i="118"/>
  <c r="H183" i="118"/>
  <c r="H184" i="118"/>
  <c r="H185" i="118"/>
  <c r="H186" i="118"/>
  <c r="O187" i="118"/>
  <c r="O188" i="118"/>
  <c r="O189" i="118"/>
  <c r="O190" i="118"/>
  <c r="H187" i="118"/>
  <c r="H188" i="118"/>
  <c r="H189" i="118"/>
  <c r="H190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G29" i="135"/>
  <c r="O191" i="118"/>
  <c r="O192" i="118"/>
  <c r="O193" i="118"/>
  <c r="O194" i="118"/>
  <c r="H191" i="118"/>
  <c r="H192" i="118"/>
  <c r="H193" i="118"/>
  <c r="H194" i="118"/>
  <c r="O195" i="118"/>
  <c r="O196" i="118"/>
  <c r="O197" i="118"/>
  <c r="O198" i="118"/>
  <c r="H195" i="118"/>
  <c r="H196" i="118"/>
  <c r="H197" i="118"/>
  <c r="H198" i="118"/>
  <c r="O199" i="118"/>
  <c r="O200" i="118"/>
  <c r="O201" i="118"/>
  <c r="O202" i="118"/>
  <c r="H199" i="118"/>
  <c r="H200" i="118"/>
  <c r="H201" i="118"/>
  <c r="H202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G30" i="135"/>
  <c r="U247" i="118"/>
  <c r="G32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3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4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5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6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7" i="135"/>
  <c r="U125" i="112"/>
  <c r="G9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U131" i="112"/>
  <c r="U132" i="112"/>
  <c r="U133" i="112"/>
  <c r="U134" i="112"/>
  <c r="U135" i="112"/>
  <c r="U136" i="112"/>
  <c r="U137" i="112"/>
  <c r="U138" i="112"/>
  <c r="G10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11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G12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G13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G14" i="135"/>
  <c r="U247" i="112"/>
  <c r="G16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T9" i="154"/>
  <c r="T25" i="154"/>
  <c r="T41" i="154"/>
  <c r="T57" i="154"/>
  <c r="T73" i="154"/>
  <c r="T89" i="154"/>
  <c r="T105" i="154"/>
  <c r="T121" i="154"/>
  <c r="T143" i="155"/>
  <c r="T159" i="155"/>
  <c r="T175" i="155"/>
  <c r="T191" i="155"/>
  <c r="T207" i="155"/>
  <c r="T223" i="155"/>
  <c r="T239" i="155"/>
  <c r="T17" i="155"/>
  <c r="T33" i="155"/>
  <c r="T49" i="155"/>
  <c r="T65" i="155"/>
  <c r="T81" i="155"/>
  <c r="T97" i="155"/>
  <c r="T113" i="155"/>
  <c r="T135" i="156"/>
  <c r="T151" i="156"/>
  <c r="T167" i="156"/>
  <c r="T183" i="156"/>
  <c r="T199" i="156"/>
  <c r="T215" i="156"/>
  <c r="T231" i="156"/>
  <c r="T9" i="156"/>
  <c r="T25" i="156"/>
  <c r="T41" i="156"/>
  <c r="T57" i="156"/>
  <c r="T73" i="156"/>
  <c r="T89" i="156"/>
  <c r="T105" i="156"/>
  <c r="T121" i="156"/>
  <c r="S21" i="154"/>
  <c r="S37" i="154"/>
  <c r="S53" i="154"/>
  <c r="S69" i="154"/>
  <c r="S85" i="154"/>
  <c r="S101" i="154"/>
  <c r="S117" i="154"/>
  <c r="S139" i="155"/>
  <c r="S155" i="155"/>
  <c r="S171" i="155"/>
  <c r="S187" i="155"/>
  <c r="S203" i="155"/>
  <c r="S219" i="155"/>
  <c r="S235" i="155"/>
  <c r="S13" i="155"/>
  <c r="S29" i="155"/>
  <c r="S45" i="155"/>
  <c r="S61" i="155"/>
  <c r="S77" i="155"/>
  <c r="S93" i="155"/>
  <c r="S109" i="155"/>
  <c r="S131" i="156"/>
  <c r="S147" i="156"/>
  <c r="S163" i="156"/>
  <c r="S179" i="156"/>
  <c r="S195" i="156"/>
  <c r="S211" i="156"/>
  <c r="S227" i="156"/>
  <c r="S243" i="156"/>
  <c r="S21" i="156"/>
  <c r="S37" i="156"/>
  <c r="S53" i="156"/>
  <c r="S69" i="156"/>
  <c r="S85" i="156"/>
  <c r="S101" i="156"/>
  <c r="S117" i="156"/>
  <c r="R17" i="154"/>
  <c r="R33" i="154"/>
  <c r="R49" i="154"/>
  <c r="R65" i="154"/>
  <c r="R81" i="154"/>
  <c r="R97" i="154"/>
  <c r="R113" i="154"/>
  <c r="R135" i="155"/>
  <c r="R151" i="155"/>
  <c r="R167" i="155"/>
  <c r="R183" i="155"/>
  <c r="R199" i="155"/>
  <c r="R215" i="155"/>
  <c r="R231" i="155"/>
  <c r="R9" i="155"/>
  <c r="R25" i="155"/>
  <c r="R41" i="155"/>
  <c r="R57" i="155"/>
  <c r="T13" i="154"/>
  <c r="T33" i="154"/>
  <c r="T53" i="154"/>
  <c r="T77" i="154"/>
  <c r="T97" i="154"/>
  <c r="T117" i="154"/>
  <c r="T135" i="155"/>
  <c r="T155" i="155"/>
  <c r="T179" i="155"/>
  <c r="T199" i="155"/>
  <c r="T219" i="155"/>
  <c r="T243" i="155"/>
  <c r="T13" i="155"/>
  <c r="T37" i="155"/>
  <c r="T57" i="155"/>
  <c r="T77" i="155"/>
  <c r="T101" i="155"/>
  <c r="T121" i="155"/>
  <c r="T139" i="156"/>
  <c r="T159" i="156"/>
  <c r="T179" i="156"/>
  <c r="T203" i="156"/>
  <c r="T223" i="156"/>
  <c r="T243" i="156"/>
  <c r="T17" i="156"/>
  <c r="T37" i="156"/>
  <c r="T61" i="156"/>
  <c r="T81" i="156"/>
  <c r="T101" i="156"/>
  <c r="S17" i="154"/>
  <c r="S41" i="154"/>
  <c r="S61" i="154"/>
  <c r="S81" i="154"/>
  <c r="S105" i="154"/>
  <c r="S143" i="155"/>
  <c r="S163" i="155"/>
  <c r="S183" i="155"/>
  <c r="S207" i="155"/>
  <c r="S227" i="155"/>
  <c r="S21" i="155"/>
  <c r="S41" i="155"/>
  <c r="S65" i="155"/>
  <c r="S85" i="155"/>
  <c r="S105" i="155"/>
  <c r="S143" i="156"/>
  <c r="S167" i="156"/>
  <c r="S187" i="156"/>
  <c r="S207" i="156"/>
  <c r="S231" i="156"/>
  <c r="S25" i="156"/>
  <c r="S45" i="156"/>
  <c r="S65" i="156"/>
  <c r="S89" i="156"/>
  <c r="S109" i="156"/>
  <c r="R25" i="154"/>
  <c r="R45" i="154"/>
  <c r="R69" i="154"/>
  <c r="R89" i="154"/>
  <c r="R109" i="154"/>
  <c r="R147" i="155"/>
  <c r="R171" i="155"/>
  <c r="R191" i="155"/>
  <c r="R211" i="155"/>
  <c r="R235" i="155"/>
  <c r="R29" i="155"/>
  <c r="R49" i="155"/>
  <c r="R69" i="155"/>
  <c r="R85" i="155"/>
  <c r="R101" i="155"/>
  <c r="R117" i="155"/>
  <c r="R139" i="156"/>
  <c r="R155" i="156"/>
  <c r="R171" i="156"/>
  <c r="R187" i="156"/>
  <c r="R203" i="156"/>
  <c r="R219" i="156"/>
  <c r="R235" i="156"/>
  <c r="R13" i="156"/>
  <c r="R29" i="156"/>
  <c r="R45" i="156"/>
  <c r="R61" i="156"/>
  <c r="R77" i="156"/>
  <c r="R93" i="156"/>
  <c r="R109" i="156"/>
  <c r="Q9" i="154"/>
  <c r="Q25" i="154"/>
  <c r="Q41" i="154"/>
  <c r="Q57" i="154"/>
  <c r="Q73" i="154"/>
  <c r="Q89" i="154"/>
  <c r="Q105" i="154"/>
  <c r="Q121" i="154"/>
  <c r="Q143" i="155"/>
  <c r="Q159" i="155"/>
  <c r="Q175" i="155"/>
  <c r="Q191" i="155"/>
  <c r="Q207" i="155"/>
  <c r="Q223" i="155"/>
  <c r="Q239" i="155"/>
  <c r="Q17" i="155"/>
  <c r="Q33" i="155"/>
  <c r="Q49" i="155"/>
  <c r="Q65" i="155"/>
  <c r="Q81" i="155"/>
  <c r="Q97" i="155"/>
  <c r="Q113" i="155"/>
  <c r="Q135" i="156"/>
  <c r="Q151" i="156"/>
  <c r="Q167" i="156"/>
  <c r="Q183" i="156"/>
  <c r="Q199" i="156"/>
  <c r="Q215" i="156"/>
  <c r="Q231" i="156"/>
  <c r="Q9" i="156"/>
  <c r="Q25" i="156"/>
  <c r="Q41" i="156"/>
  <c r="Q57" i="156"/>
  <c r="Q73" i="156"/>
  <c r="Q89" i="156"/>
  <c r="Q105" i="156"/>
  <c r="Q121" i="156"/>
  <c r="T211" i="126"/>
  <c r="T227" i="126"/>
  <c r="T243" i="126"/>
  <c r="S211" i="126"/>
  <c r="S227" i="126"/>
  <c r="S243" i="126"/>
  <c r="R211" i="126"/>
  <c r="R227" i="126"/>
  <c r="R243" i="126"/>
  <c r="Q211" i="126"/>
  <c r="Q227" i="126"/>
  <c r="Q243" i="126"/>
  <c r="T207" i="118"/>
  <c r="T223" i="118"/>
  <c r="T239" i="118"/>
  <c r="S207" i="118"/>
  <c r="S223" i="118"/>
  <c r="S239" i="118"/>
  <c r="R207" i="118"/>
  <c r="R223" i="118"/>
  <c r="R239" i="118"/>
  <c r="Q207" i="118"/>
  <c r="Q223" i="118"/>
  <c r="Q239" i="118"/>
  <c r="T81" i="126"/>
  <c r="T97" i="126"/>
  <c r="T113" i="126"/>
  <c r="S81" i="126"/>
  <c r="S97" i="126"/>
  <c r="S113" i="126"/>
  <c r="R81" i="126"/>
  <c r="R97" i="126"/>
  <c r="R113" i="126"/>
  <c r="Q81" i="126"/>
  <c r="Q97" i="126"/>
  <c r="Q113" i="126"/>
  <c r="T21" i="154"/>
  <c r="T45" i="154"/>
  <c r="T65" i="154"/>
  <c r="T85" i="154"/>
  <c r="T109" i="154"/>
  <c r="T147" i="155"/>
  <c r="T167" i="155"/>
  <c r="T187" i="155"/>
  <c r="T211" i="155"/>
  <c r="T231" i="155"/>
  <c r="T25" i="155"/>
  <c r="T45" i="155"/>
  <c r="T69" i="155"/>
  <c r="T89" i="155"/>
  <c r="T109" i="155"/>
  <c r="T147" i="156"/>
  <c r="T171" i="156"/>
  <c r="T191" i="156"/>
  <c r="T211" i="156"/>
  <c r="T235" i="156"/>
  <c r="T29" i="156"/>
  <c r="T49" i="156"/>
  <c r="T69" i="156"/>
  <c r="T93" i="156"/>
  <c r="T113" i="156"/>
  <c r="S9" i="154"/>
  <c r="S29" i="154"/>
  <c r="S49" i="154"/>
  <c r="S73" i="154"/>
  <c r="S93" i="154"/>
  <c r="S113" i="154"/>
  <c r="S131" i="155"/>
  <c r="S151" i="155"/>
  <c r="S175" i="155"/>
  <c r="S195" i="155"/>
  <c r="S215" i="155"/>
  <c r="S239" i="155"/>
  <c r="S9" i="155"/>
  <c r="S33" i="155"/>
  <c r="S53" i="155"/>
  <c r="S73" i="155"/>
  <c r="S97" i="155"/>
  <c r="S117" i="155"/>
  <c r="S135" i="156"/>
  <c r="S155" i="156"/>
  <c r="S175" i="156"/>
  <c r="S199" i="156"/>
  <c r="S219" i="156"/>
  <c r="S239" i="156"/>
  <c r="S13" i="156"/>
  <c r="S33" i="156"/>
  <c r="S57" i="156"/>
  <c r="S77" i="156"/>
  <c r="S97" i="156"/>
  <c r="S121" i="156"/>
  <c r="R13" i="154"/>
  <c r="R37" i="154"/>
  <c r="R57" i="154"/>
  <c r="R77" i="154"/>
  <c r="R101" i="154"/>
  <c r="R121" i="154"/>
  <c r="R139" i="155"/>
  <c r="R159" i="155"/>
  <c r="R179" i="155"/>
  <c r="R203" i="155"/>
  <c r="R223" i="155"/>
  <c r="R243" i="155"/>
  <c r="R17" i="155"/>
  <c r="R37" i="155"/>
  <c r="R61" i="155"/>
  <c r="R77" i="155"/>
  <c r="R93" i="155"/>
  <c r="R109" i="155"/>
  <c r="R131" i="156"/>
  <c r="R147" i="156"/>
  <c r="R163" i="156"/>
  <c r="R179" i="156"/>
  <c r="R195" i="156"/>
  <c r="R211" i="156"/>
  <c r="R227" i="156"/>
  <c r="R243" i="156"/>
  <c r="R21" i="156"/>
  <c r="R37" i="156"/>
  <c r="R53" i="156"/>
  <c r="R69" i="156"/>
  <c r="R85" i="156"/>
  <c r="R101" i="156"/>
  <c r="R117" i="156"/>
  <c r="Q17" i="154"/>
  <c r="Q33" i="154"/>
  <c r="Q49" i="154"/>
  <c r="Q65" i="154"/>
  <c r="Q81" i="154"/>
  <c r="Q97" i="154"/>
  <c r="T17" i="154"/>
  <c r="T61" i="154"/>
  <c r="T101" i="154"/>
  <c r="T163" i="155"/>
  <c r="T203" i="155"/>
  <c r="T21" i="155"/>
  <c r="T61" i="155"/>
  <c r="T105" i="155"/>
  <c r="T163" i="156"/>
  <c r="T207" i="156"/>
  <c r="T21" i="156"/>
  <c r="T65" i="156"/>
  <c r="T109" i="156"/>
  <c r="S45" i="154"/>
  <c r="S89" i="154"/>
  <c r="S147" i="155"/>
  <c r="S191" i="155"/>
  <c r="S231" i="155"/>
  <c r="S49" i="155"/>
  <c r="S89" i="155"/>
  <c r="S151" i="156"/>
  <c r="S191" i="156"/>
  <c r="S235" i="156"/>
  <c r="S9" i="156"/>
  <c r="S49" i="156"/>
  <c r="S93" i="156"/>
  <c r="R29" i="154"/>
  <c r="R73" i="154"/>
  <c r="R117" i="154"/>
  <c r="R131" i="155"/>
  <c r="R175" i="155"/>
  <c r="R219" i="155"/>
  <c r="R33" i="155"/>
  <c r="R73" i="155"/>
  <c r="R105" i="155"/>
  <c r="R143" i="156"/>
  <c r="R175" i="156"/>
  <c r="R207" i="156"/>
  <c r="R239" i="156"/>
  <c r="R33" i="156"/>
  <c r="R65" i="156"/>
  <c r="R97" i="156"/>
  <c r="Q13" i="154"/>
  <c r="Q45" i="154"/>
  <c r="Q77" i="154"/>
  <c r="Q109" i="154"/>
  <c r="Q147" i="155"/>
  <c r="Q167" i="155"/>
  <c r="Q187" i="155"/>
  <c r="Q211" i="155"/>
  <c r="Q231" i="155"/>
  <c r="Q25" i="155"/>
  <c r="Q45" i="155"/>
  <c r="Q69" i="155"/>
  <c r="Q89" i="155"/>
  <c r="Q109" i="155"/>
  <c r="Q147" i="156"/>
  <c r="Q171" i="156"/>
  <c r="Q191" i="156"/>
  <c r="Q211" i="156"/>
  <c r="Q235" i="156"/>
  <c r="Q29" i="156"/>
  <c r="Q49" i="156"/>
  <c r="Q69" i="156"/>
  <c r="Q93" i="156"/>
  <c r="Q113" i="156"/>
  <c r="T219" i="126"/>
  <c r="T239" i="126"/>
  <c r="S215" i="126"/>
  <c r="S235" i="126"/>
  <c r="R207" i="126"/>
  <c r="R231" i="126"/>
  <c r="Q203" i="126"/>
  <c r="Q223" i="126"/>
  <c r="T215" i="118"/>
  <c r="T235" i="118"/>
  <c r="S211" i="118"/>
  <c r="S231" i="118"/>
  <c r="R203" i="118"/>
  <c r="R227" i="118"/>
  <c r="Q219" i="118"/>
  <c r="Q243" i="118"/>
  <c r="T89" i="126"/>
  <c r="T109" i="126"/>
  <c r="S85" i="126"/>
  <c r="S105" i="126"/>
  <c r="R101" i="126"/>
  <c r="R121" i="126"/>
  <c r="Q93" i="126"/>
  <c r="Q117" i="126"/>
  <c r="T81" i="118"/>
  <c r="T97" i="118"/>
  <c r="T113" i="118"/>
  <c r="S81" i="118"/>
  <c r="S97" i="118"/>
  <c r="S113" i="118"/>
  <c r="R81" i="118"/>
  <c r="R97" i="118"/>
  <c r="R113" i="118"/>
  <c r="Q81" i="118"/>
  <c r="Q97" i="118"/>
  <c r="Q113" i="118"/>
  <c r="T93" i="153"/>
  <c r="T109" i="153"/>
  <c r="S93" i="153"/>
  <c r="S109" i="153"/>
  <c r="R93" i="153"/>
  <c r="R109" i="153"/>
  <c r="Q93" i="153"/>
  <c r="Q109" i="153"/>
  <c r="T89" i="144"/>
  <c r="T105" i="144"/>
  <c r="T121" i="144"/>
  <c r="S89" i="144"/>
  <c r="S105" i="144"/>
  <c r="S121" i="144"/>
  <c r="R89" i="144"/>
  <c r="R105" i="144"/>
  <c r="R121" i="144"/>
  <c r="Q89" i="144"/>
  <c r="Q105" i="144"/>
  <c r="Q121" i="144"/>
  <c r="T207" i="150"/>
  <c r="T223" i="150"/>
  <c r="T239" i="150"/>
  <c r="S207" i="150"/>
  <c r="S223" i="150"/>
  <c r="S239" i="150"/>
  <c r="R207" i="150"/>
  <c r="R223" i="150"/>
  <c r="R239" i="150"/>
  <c r="Q207" i="150"/>
  <c r="Q223" i="150"/>
  <c r="Q239" i="150"/>
  <c r="T203" i="112"/>
  <c r="T219" i="112"/>
  <c r="T235" i="112"/>
  <c r="S203" i="112"/>
  <c r="S219" i="112"/>
  <c r="S235" i="112"/>
  <c r="R203" i="112"/>
  <c r="R219" i="112"/>
  <c r="R235" i="112"/>
  <c r="Q203" i="112"/>
  <c r="Q219" i="112"/>
  <c r="Q235" i="112"/>
  <c r="T93" i="150"/>
  <c r="T109" i="150"/>
  <c r="S93" i="150"/>
  <c r="S109" i="150"/>
  <c r="R93" i="150"/>
  <c r="R109" i="150"/>
  <c r="Q93" i="150"/>
  <c r="Q109" i="150"/>
  <c r="T89" i="112"/>
  <c r="T105" i="112"/>
  <c r="T121" i="112"/>
  <c r="S89" i="112"/>
  <c r="S105" i="112"/>
  <c r="S121" i="112"/>
  <c r="R89" i="112"/>
  <c r="R105" i="112"/>
  <c r="R121" i="112"/>
  <c r="Q89" i="112"/>
  <c r="Q105" i="112"/>
  <c r="Q121" i="112"/>
  <c r="T21" i="153"/>
  <c r="T37" i="153"/>
  <c r="T53" i="153"/>
  <c r="T69" i="153"/>
  <c r="S17" i="153"/>
  <c r="S33" i="153"/>
  <c r="S49" i="153"/>
  <c r="S65" i="153"/>
  <c r="R13" i="153"/>
  <c r="R29" i="153"/>
  <c r="R45" i="153"/>
  <c r="R61" i="153"/>
  <c r="R77" i="153"/>
  <c r="Q9" i="153"/>
  <c r="Q25" i="153"/>
  <c r="Q41" i="153"/>
  <c r="Q57" i="153"/>
  <c r="Q73" i="153"/>
  <c r="T143" i="126"/>
  <c r="T159" i="126"/>
  <c r="T175" i="126"/>
  <c r="T191" i="126"/>
  <c r="T17" i="126"/>
  <c r="T33" i="126"/>
  <c r="T49" i="126"/>
  <c r="T65" i="126"/>
  <c r="T29" i="154"/>
  <c r="T81" i="154"/>
  <c r="T171" i="155"/>
  <c r="T227" i="155"/>
  <c r="T9" i="155"/>
  <c r="T73" i="155"/>
  <c r="T155" i="156"/>
  <c r="T219" i="156"/>
  <c r="T53" i="156"/>
  <c r="T117" i="156"/>
  <c r="S25" i="154"/>
  <c r="S77" i="154"/>
  <c r="S167" i="155"/>
  <c r="S223" i="155"/>
  <c r="S17" i="155"/>
  <c r="S69" i="155"/>
  <c r="S121" i="155"/>
  <c r="S159" i="156"/>
  <c r="S215" i="156"/>
  <c r="S61" i="156"/>
  <c r="S113" i="156"/>
  <c r="R21" i="154"/>
  <c r="R85" i="154"/>
  <c r="R163" i="155"/>
  <c r="R227" i="155"/>
  <c r="R13" i="155"/>
  <c r="R65" i="155"/>
  <c r="R113" i="155"/>
  <c r="R167" i="156"/>
  <c r="R215" i="156"/>
  <c r="R25" i="156"/>
  <c r="R73" i="156"/>
  <c r="R113" i="156"/>
  <c r="Q53" i="154"/>
  <c r="Q93" i="154"/>
  <c r="Q131" i="155"/>
  <c r="Q155" i="155"/>
  <c r="Q183" i="155"/>
  <c r="Q215" i="155"/>
  <c r="Q243" i="155"/>
  <c r="Q29" i="155"/>
  <c r="Q57" i="155"/>
  <c r="Q85" i="155"/>
  <c r="Q117" i="155"/>
  <c r="Q143" i="156"/>
  <c r="Q175" i="156"/>
  <c r="Q203" i="156"/>
  <c r="Q227" i="156"/>
  <c r="Q17" i="156"/>
  <c r="Q45" i="156"/>
  <c r="Q77" i="156"/>
  <c r="Q101" i="156"/>
  <c r="T223" i="126"/>
  <c r="S203" i="126"/>
  <c r="S231" i="126"/>
  <c r="R215" i="126"/>
  <c r="R239" i="126"/>
  <c r="Q219" i="126"/>
  <c r="T227" i="118"/>
  <c r="S203" i="118"/>
  <c r="S235" i="118"/>
  <c r="R215" i="118"/>
  <c r="R243" i="118"/>
  <c r="Q227" i="118"/>
  <c r="T105" i="126"/>
  <c r="S89" i="126"/>
  <c r="S117" i="126"/>
  <c r="R93" i="126"/>
  <c r="Q105" i="126"/>
  <c r="T101" i="118"/>
  <c r="T121" i="118"/>
  <c r="S93" i="118"/>
  <c r="S117" i="118"/>
  <c r="R89" i="118"/>
  <c r="R109" i="118"/>
  <c r="Q85" i="118"/>
  <c r="Q105" i="118"/>
  <c r="T89" i="153"/>
  <c r="T113" i="153"/>
  <c r="S85" i="153"/>
  <c r="S105" i="153"/>
  <c r="R81" i="153"/>
  <c r="R101" i="153"/>
  <c r="R121" i="153"/>
  <c r="Q97" i="153"/>
  <c r="Q117" i="153"/>
  <c r="T85" i="144"/>
  <c r="T109" i="144"/>
  <c r="S81" i="144"/>
  <c r="S101" i="144"/>
  <c r="R97" i="144"/>
  <c r="R117" i="144"/>
  <c r="Q93" i="144"/>
  <c r="Q113" i="144"/>
  <c r="T203" i="150"/>
  <c r="T227" i="150"/>
  <c r="S219" i="150"/>
  <c r="S243" i="150"/>
  <c r="R215" i="150"/>
  <c r="R235" i="150"/>
  <c r="Q211" i="150"/>
  <c r="Q231" i="150"/>
  <c r="T223" i="112"/>
  <c r="T243" i="112"/>
  <c r="S215" i="112"/>
  <c r="S239" i="112"/>
  <c r="R211" i="112"/>
  <c r="R231" i="112"/>
  <c r="Q207" i="112"/>
  <c r="Q227" i="112"/>
  <c r="T89" i="150"/>
  <c r="T113" i="150"/>
  <c r="T37" i="154"/>
  <c r="T93" i="154"/>
  <c r="T131" i="155"/>
  <c r="T183" i="155"/>
  <c r="T235" i="155"/>
  <c r="T29" i="155"/>
  <c r="T85" i="155"/>
  <c r="T175" i="156"/>
  <c r="T227" i="156"/>
  <c r="T13" i="156"/>
  <c r="T77" i="156"/>
  <c r="S33" i="154"/>
  <c r="S97" i="154"/>
  <c r="S179" i="155"/>
  <c r="S243" i="155"/>
  <c r="S25" i="155"/>
  <c r="S81" i="155"/>
  <c r="S171" i="156"/>
  <c r="S223" i="156"/>
  <c r="S17" i="156"/>
  <c r="S73" i="156"/>
  <c r="R41" i="154"/>
  <c r="R93" i="154"/>
  <c r="R187" i="155"/>
  <c r="R239" i="155"/>
  <c r="R21" i="155"/>
  <c r="R81" i="155"/>
  <c r="R121" i="155"/>
  <c r="R135" i="156"/>
  <c r="R183" i="156"/>
  <c r="R223" i="156"/>
  <c r="R41" i="156"/>
  <c r="R81" i="156"/>
  <c r="R121" i="156"/>
  <c r="Q21" i="154"/>
  <c r="Q61" i="154"/>
  <c r="Q101" i="154"/>
  <c r="Q135" i="155"/>
  <c r="Q163" i="155"/>
  <c r="Q195" i="155"/>
  <c r="Q219" i="155"/>
  <c r="Q9" i="155"/>
  <c r="Q37" i="155"/>
  <c r="Q61" i="155"/>
  <c r="Q93" i="155"/>
  <c r="Q121" i="155"/>
  <c r="Q155" i="156"/>
  <c r="Q179" i="156"/>
  <c r="Q207" i="156"/>
  <c r="Q239" i="156"/>
  <c r="Q21" i="156"/>
  <c r="Q53" i="156"/>
  <c r="Q81" i="156"/>
  <c r="Q109" i="156"/>
  <c r="T203" i="126"/>
  <c r="T231" i="126"/>
  <c r="S207" i="126"/>
  <c r="S239" i="126"/>
  <c r="R219" i="126"/>
  <c r="Q231" i="126"/>
  <c r="T203" i="118"/>
  <c r="T231" i="118"/>
  <c r="S215" i="118"/>
  <c r="S243" i="118"/>
  <c r="R219" i="118"/>
  <c r="Q203" i="118"/>
  <c r="Q231" i="118"/>
  <c r="T85" i="126"/>
  <c r="T117" i="126"/>
  <c r="S93" i="126"/>
  <c r="S121" i="126"/>
  <c r="R105" i="126"/>
  <c r="Q85" i="126"/>
  <c r="Q109" i="126"/>
  <c r="T85" i="118"/>
  <c r="T105" i="118"/>
  <c r="S101" i="118"/>
  <c r="S121" i="118"/>
  <c r="R93" i="118"/>
  <c r="R117" i="118"/>
  <c r="Q89" i="118"/>
  <c r="Q109" i="118"/>
  <c r="T97" i="153"/>
  <c r="T117" i="153"/>
  <c r="S89" i="153"/>
  <c r="S113" i="153"/>
  <c r="R85" i="153"/>
  <c r="R105" i="153"/>
  <c r="Q81" i="153"/>
  <c r="Q101" i="153"/>
  <c r="Q121" i="153"/>
  <c r="T93" i="144"/>
  <c r="T113" i="144"/>
  <c r="S85" i="144"/>
  <c r="S109" i="144"/>
  <c r="R81" i="144"/>
  <c r="R101" i="144"/>
  <c r="Q97" i="144"/>
  <c r="Q117" i="144"/>
  <c r="T211" i="150"/>
  <c r="T231" i="150"/>
  <c r="S203" i="150"/>
  <c r="S227" i="150"/>
  <c r="T49" i="154"/>
  <c r="T113" i="154"/>
  <c r="T139" i="155"/>
  <c r="T195" i="155"/>
  <c r="T41" i="155"/>
  <c r="T93" i="155"/>
  <c r="T131" i="156"/>
  <c r="T187" i="156"/>
  <c r="T239" i="156"/>
  <c r="T33" i="156"/>
  <c r="T85" i="156"/>
  <c r="S57" i="154"/>
  <c r="S109" i="154"/>
  <c r="S135" i="155"/>
  <c r="S199" i="155"/>
  <c r="S37" i="155"/>
  <c r="S101" i="155"/>
  <c r="S183" i="156"/>
  <c r="T69" i="154"/>
  <c r="T195" i="156"/>
  <c r="S13" i="154"/>
  <c r="S211" i="155"/>
  <c r="S139" i="156"/>
  <c r="S29" i="156"/>
  <c r="R105" i="154"/>
  <c r="R195" i="155"/>
  <c r="R45" i="155"/>
  <c r="R191" i="156"/>
  <c r="R9" i="156"/>
  <c r="R89" i="156"/>
  <c r="Q29" i="154"/>
  <c r="Q113" i="154"/>
  <c r="Q139" i="155"/>
  <c r="Q199" i="155"/>
  <c r="Q41" i="155"/>
  <c r="Q101" i="155"/>
  <c r="Q131" i="156"/>
  <c r="Q187" i="156"/>
  <c r="Q243" i="156"/>
  <c r="Q33" i="156"/>
  <c r="Q85" i="156"/>
  <c r="T215" i="126"/>
  <c r="S223" i="126"/>
  <c r="R235" i="126"/>
  <c r="Q239" i="126"/>
  <c r="T243" i="118"/>
  <c r="Q211" i="118"/>
  <c r="R89" i="126"/>
  <c r="Q101" i="126"/>
  <c r="T89" i="118"/>
  <c r="S85" i="118"/>
  <c r="R121" i="118"/>
  <c r="Q117" i="118"/>
  <c r="T85" i="153"/>
  <c r="S81" i="153"/>
  <c r="S121" i="153"/>
  <c r="R117" i="153"/>
  <c r="Q113" i="153"/>
  <c r="T101" i="144"/>
  <c r="S97" i="144"/>
  <c r="R93" i="144"/>
  <c r="Q85" i="144"/>
  <c r="T243" i="150"/>
  <c r="S235" i="150"/>
  <c r="R227" i="150"/>
  <c r="Q203" i="150"/>
  <c r="Q235" i="150"/>
  <c r="T207" i="112"/>
  <c r="T231" i="112"/>
  <c r="S211" i="112"/>
  <c r="S243" i="112"/>
  <c r="R223" i="112"/>
  <c r="Q231" i="112"/>
  <c r="T81" i="150"/>
  <c r="T105" i="150"/>
  <c r="S85" i="150"/>
  <c r="S105" i="150"/>
  <c r="R81" i="150"/>
  <c r="R101" i="150"/>
  <c r="R121" i="150"/>
  <c r="Q97" i="150"/>
  <c r="Q117" i="150"/>
  <c r="T85" i="112"/>
  <c r="T109" i="112"/>
  <c r="S81" i="112"/>
  <c r="S101" i="112"/>
  <c r="R97" i="112"/>
  <c r="R117" i="112"/>
  <c r="Q93" i="112"/>
  <c r="Q113" i="112"/>
  <c r="T17" i="153"/>
  <c r="T41" i="153"/>
  <c r="T61" i="153"/>
  <c r="S25" i="153"/>
  <c r="S45" i="153"/>
  <c r="S69" i="153"/>
  <c r="R9" i="153"/>
  <c r="R33" i="153"/>
  <c r="R53" i="153"/>
  <c r="R73" i="153"/>
  <c r="Q17" i="153"/>
  <c r="Q37" i="153"/>
  <c r="Q61" i="153"/>
  <c r="T147" i="126"/>
  <c r="T167" i="126"/>
  <c r="T187" i="126"/>
  <c r="T9" i="126"/>
  <c r="T29" i="126"/>
  <c r="T53" i="126"/>
  <c r="T73" i="126"/>
  <c r="T143" i="150"/>
  <c r="T159" i="150"/>
  <c r="T175" i="150"/>
  <c r="T191" i="150"/>
  <c r="T17" i="150"/>
  <c r="T33" i="150"/>
  <c r="T49" i="150"/>
  <c r="T65" i="150"/>
  <c r="S135" i="126"/>
  <c r="S151" i="126"/>
  <c r="S167" i="126"/>
  <c r="S183" i="126"/>
  <c r="S199" i="126"/>
  <c r="S9" i="126"/>
  <c r="S25" i="126"/>
  <c r="S41" i="126"/>
  <c r="S57" i="126"/>
  <c r="S73" i="126"/>
  <c r="S143" i="150"/>
  <c r="S159" i="150"/>
  <c r="S175" i="150"/>
  <c r="S191" i="150"/>
  <c r="S17" i="150"/>
  <c r="S33" i="150"/>
  <c r="S49" i="150"/>
  <c r="S65" i="150"/>
  <c r="R135" i="126"/>
  <c r="R151" i="126"/>
  <c r="R167" i="126"/>
  <c r="R183" i="126"/>
  <c r="R199" i="126"/>
  <c r="R9" i="126"/>
  <c r="R25" i="126"/>
  <c r="R41" i="126"/>
  <c r="R57" i="126"/>
  <c r="R73" i="126"/>
  <c r="R143" i="150"/>
  <c r="R159" i="150"/>
  <c r="R175" i="150"/>
  <c r="R191" i="150"/>
  <c r="R17" i="150"/>
  <c r="R33" i="150"/>
  <c r="R49" i="150"/>
  <c r="R65" i="150"/>
  <c r="Q135" i="126"/>
  <c r="Q151" i="126"/>
  <c r="Q167" i="126"/>
  <c r="Q183" i="126"/>
  <c r="Q199" i="126"/>
  <c r="Q9" i="126"/>
  <c r="Q25" i="126"/>
  <c r="Q41" i="126"/>
  <c r="Q57" i="126"/>
  <c r="Q73" i="126"/>
  <c r="Q143" i="150"/>
  <c r="Q159" i="150"/>
  <c r="Q175" i="150"/>
  <c r="Q191" i="150"/>
  <c r="Q17" i="150"/>
  <c r="Q33" i="150"/>
  <c r="Q49" i="150"/>
  <c r="Q65" i="150"/>
  <c r="T21" i="144"/>
  <c r="T37" i="144"/>
  <c r="T53" i="144"/>
  <c r="T69" i="144"/>
  <c r="S21" i="144"/>
  <c r="S37" i="144"/>
  <c r="S53" i="144"/>
  <c r="S69" i="144"/>
  <c r="R21" i="144"/>
  <c r="R37" i="144"/>
  <c r="R53" i="144"/>
  <c r="R69" i="144"/>
  <c r="Q21" i="144"/>
  <c r="Q37" i="144"/>
  <c r="Q53" i="144"/>
  <c r="Q69" i="144"/>
  <c r="T9" i="118"/>
  <c r="R17" i="118"/>
  <c r="R33" i="118"/>
  <c r="S25" i="118"/>
  <c r="T17" i="118"/>
  <c r="T33" i="118"/>
  <c r="R41" i="118"/>
  <c r="S37" i="118"/>
  <c r="T49" i="118"/>
  <c r="R57" i="118"/>
  <c r="S53" i="118"/>
  <c r="T65" i="118"/>
  <c r="R73" i="118"/>
  <c r="S73" i="118"/>
  <c r="T73" i="118"/>
  <c r="R131" i="118"/>
  <c r="S135" i="118"/>
  <c r="R147" i="118"/>
  <c r="S139" i="118"/>
  <c r="S155" i="118"/>
  <c r="T147" i="118"/>
  <c r="R171" i="118"/>
  <c r="S167" i="118"/>
  <c r="T163" i="118"/>
  <c r="R187" i="118"/>
  <c r="S183" i="118"/>
  <c r="T179" i="118"/>
  <c r="T9" i="112"/>
  <c r="R17" i="112"/>
  <c r="R33" i="112"/>
  <c r="S25" i="112"/>
  <c r="T17" i="112"/>
  <c r="T33" i="112"/>
  <c r="R41" i="112"/>
  <c r="S37" i="112"/>
  <c r="T49" i="112"/>
  <c r="R57" i="112"/>
  <c r="S53" i="112"/>
  <c r="T65" i="112"/>
  <c r="R73" i="112"/>
  <c r="S73" i="112"/>
  <c r="T73" i="112"/>
  <c r="R131" i="112"/>
  <c r="S135" i="112"/>
  <c r="R147" i="112"/>
  <c r="S139" i="112"/>
  <c r="S155" i="112"/>
  <c r="T147" i="112"/>
  <c r="R171" i="112"/>
  <c r="S167" i="112"/>
  <c r="T163" i="112"/>
  <c r="R187" i="112"/>
  <c r="S183" i="112"/>
  <c r="T179" i="112"/>
  <c r="Q139" i="118"/>
  <c r="Q155" i="118"/>
  <c r="Q171" i="118"/>
  <c r="Q187" i="118"/>
  <c r="Q13" i="118"/>
  <c r="Q29" i="118"/>
  <c r="Q45" i="118"/>
  <c r="Q61" i="118"/>
  <c r="Q77" i="118"/>
  <c r="Q131" i="112"/>
  <c r="Q147" i="112"/>
  <c r="Q163" i="112"/>
  <c r="Q179" i="112"/>
  <c r="Q195" i="112"/>
  <c r="Q21" i="112"/>
  <c r="Q37" i="112"/>
  <c r="Q53" i="112"/>
  <c r="Q69" i="112"/>
  <c r="R174" i="69"/>
  <c r="Q162" i="69"/>
  <c r="P154" i="69"/>
  <c r="Q150" i="69"/>
  <c r="S158" i="69"/>
  <c r="Q170" i="69"/>
  <c r="Q166" i="69"/>
  <c r="S174" i="69"/>
  <c r="R154" i="69"/>
  <c r="R162" i="69"/>
  <c r="R130" i="69"/>
  <c r="T53" i="155"/>
  <c r="S65" i="154"/>
  <c r="S203" i="156"/>
  <c r="S41" i="156"/>
  <c r="R9" i="154"/>
  <c r="R207" i="155"/>
  <c r="R53" i="155"/>
  <c r="R199" i="156"/>
  <c r="R17" i="156"/>
  <c r="R105" i="156"/>
  <c r="Q37" i="154"/>
  <c r="Q117" i="154"/>
  <c r="Q151" i="155"/>
  <c r="Q203" i="155"/>
  <c r="Q53" i="155"/>
  <c r="Q105" i="155"/>
  <c r="Q139" i="156"/>
  <c r="Q195" i="156"/>
  <c r="Q37" i="156"/>
  <c r="Q97" i="156"/>
  <c r="T235" i="126"/>
  <c r="Q207" i="126"/>
  <c r="R211" i="118"/>
  <c r="Q215" i="118"/>
  <c r="T93" i="126"/>
  <c r="S101" i="126"/>
  <c r="R109" i="126"/>
  <c r="Q121" i="126"/>
  <c r="T93" i="118"/>
  <c r="S89" i="118"/>
  <c r="R85" i="118"/>
  <c r="Q121" i="118"/>
  <c r="T101" i="153"/>
  <c r="S97" i="153"/>
  <c r="R89" i="153"/>
  <c r="Q85" i="153"/>
  <c r="T117" i="144"/>
  <c r="S113" i="144"/>
  <c r="R109" i="144"/>
  <c r="Q101" i="144"/>
  <c r="T215" i="150"/>
  <c r="S211" i="150"/>
  <c r="R203" i="150"/>
  <c r="R231" i="150"/>
  <c r="Q215" i="150"/>
  <c r="Q243" i="150"/>
  <c r="T211" i="112"/>
  <c r="T239" i="112"/>
  <c r="S223" i="112"/>
  <c r="R227" i="112"/>
  <c r="Q211" i="112"/>
  <c r="Q239" i="112"/>
  <c r="T85" i="150"/>
  <c r="T117" i="150"/>
  <c r="S89" i="150"/>
  <c r="S113" i="150"/>
  <c r="R85" i="150"/>
  <c r="R105" i="150"/>
  <c r="Q81" i="150"/>
  <c r="Q101" i="150"/>
  <c r="Q121" i="150"/>
  <c r="T93" i="112"/>
  <c r="T113" i="112"/>
  <c r="S85" i="112"/>
  <c r="S109" i="112"/>
  <c r="R81" i="112"/>
  <c r="R101" i="112"/>
  <c r="Q97" i="112"/>
  <c r="Q117" i="112"/>
  <c r="T25" i="153"/>
  <c r="T45" i="153"/>
  <c r="T65" i="153"/>
  <c r="S9" i="153"/>
  <c r="S29" i="153"/>
  <c r="S53" i="153"/>
  <c r="S73" i="153"/>
  <c r="R17" i="153"/>
  <c r="R37" i="153"/>
  <c r="R57" i="153"/>
  <c r="Q21" i="153"/>
  <c r="Q45" i="153"/>
  <c r="Q65" i="153"/>
  <c r="T131" i="126"/>
  <c r="T151" i="126"/>
  <c r="T171" i="126"/>
  <c r="T195" i="126"/>
  <c r="T13" i="126"/>
  <c r="T37" i="126"/>
  <c r="T57" i="126"/>
  <c r="T77" i="126"/>
  <c r="T131" i="150"/>
  <c r="T147" i="150"/>
  <c r="T163" i="150"/>
  <c r="T179" i="150"/>
  <c r="T195" i="150"/>
  <c r="T21" i="150"/>
  <c r="T37" i="150"/>
  <c r="T53" i="150"/>
  <c r="T69" i="150"/>
  <c r="S139" i="126"/>
  <c r="S155" i="126"/>
  <c r="S171" i="126"/>
  <c r="S187" i="126"/>
  <c r="S13" i="126"/>
  <c r="S29" i="126"/>
  <c r="S45" i="126"/>
  <c r="S61" i="126"/>
  <c r="S77" i="126"/>
  <c r="S131" i="150"/>
  <c r="S147" i="150"/>
  <c r="S163" i="150"/>
  <c r="S179" i="150"/>
  <c r="S195" i="150"/>
  <c r="S21" i="150"/>
  <c r="S37" i="150"/>
  <c r="S53" i="150"/>
  <c r="S69" i="150"/>
  <c r="R139" i="126"/>
  <c r="R155" i="126"/>
  <c r="R171" i="126"/>
  <c r="R187" i="126"/>
  <c r="R13" i="126"/>
  <c r="R29" i="126"/>
  <c r="R45" i="126"/>
  <c r="R61" i="126"/>
  <c r="R77" i="126"/>
  <c r="R131" i="150"/>
  <c r="R147" i="150"/>
  <c r="R163" i="150"/>
  <c r="R179" i="150"/>
  <c r="R195" i="150"/>
  <c r="R21" i="150"/>
  <c r="R37" i="150"/>
  <c r="R53" i="150"/>
  <c r="R69" i="150"/>
  <c r="Q139" i="126"/>
  <c r="Q155" i="126"/>
  <c r="Q171" i="126"/>
  <c r="Q187" i="126"/>
  <c r="Q13" i="126"/>
  <c r="Q29" i="126"/>
  <c r="Q45" i="126"/>
  <c r="Q61" i="126"/>
  <c r="Q77" i="126"/>
  <c r="Q131" i="150"/>
  <c r="Q147" i="150"/>
  <c r="Q163" i="150"/>
  <c r="Q179" i="150"/>
  <c r="Q195" i="150"/>
  <c r="Q21" i="150"/>
  <c r="Q37" i="150"/>
  <c r="Q53" i="150"/>
  <c r="Q69" i="150"/>
  <c r="T9" i="144"/>
  <c r="T25" i="144"/>
  <c r="T41" i="144"/>
  <c r="T57" i="144"/>
  <c r="T73" i="144"/>
  <c r="S9" i="144"/>
  <c r="S25" i="144"/>
  <c r="S41" i="144"/>
  <c r="S57" i="144"/>
  <c r="S73" i="144"/>
  <c r="R9" i="144"/>
  <c r="R25" i="144"/>
  <c r="R41" i="144"/>
  <c r="R57" i="144"/>
  <c r="R73" i="144"/>
  <c r="Q9" i="144"/>
  <c r="Q25" i="144"/>
  <c r="Q41" i="144"/>
  <c r="Q57" i="144"/>
  <c r="Q73" i="144"/>
  <c r="S9" i="118"/>
  <c r="T13" i="118"/>
  <c r="R21" i="118"/>
  <c r="S29" i="118"/>
  <c r="T21" i="118"/>
  <c r="T151" i="155"/>
  <c r="T45" i="156"/>
  <c r="S57" i="155"/>
  <c r="S81" i="156"/>
  <c r="R143" i="155"/>
  <c r="R89" i="155"/>
  <c r="R231" i="156"/>
  <c r="Q227" i="155"/>
  <c r="Q73" i="155"/>
  <c r="Q159" i="156"/>
  <c r="Q117" i="156"/>
  <c r="Q215" i="126"/>
  <c r="T219" i="118"/>
  <c r="R235" i="118"/>
  <c r="T101" i="126"/>
  <c r="R117" i="126"/>
  <c r="T109" i="118"/>
  <c r="R101" i="118"/>
  <c r="S101" i="153"/>
  <c r="Q89" i="153"/>
  <c r="T97" i="144"/>
  <c r="R85" i="144"/>
  <c r="S215" i="150"/>
  <c r="R243" i="150"/>
  <c r="R207" i="112"/>
  <c r="Q215" i="112"/>
  <c r="T97" i="150"/>
  <c r="S97" i="150"/>
  <c r="R89" i="150"/>
  <c r="Q85" i="150"/>
  <c r="T117" i="112"/>
  <c r="S113" i="112"/>
  <c r="R109" i="112"/>
  <c r="Q101" i="112"/>
  <c r="T29" i="153"/>
  <c r="T73" i="153"/>
  <c r="S13" i="153"/>
  <c r="S57" i="153"/>
  <c r="R41" i="153"/>
  <c r="Q29" i="153"/>
  <c r="Q69" i="153"/>
  <c r="T135" i="126"/>
  <c r="T179" i="126"/>
  <c r="T41" i="126"/>
  <c r="T135" i="150"/>
  <c r="T167" i="150"/>
  <c r="T199" i="150"/>
  <c r="T9" i="150"/>
  <c r="T41" i="150"/>
  <c r="T73" i="150"/>
  <c r="S159" i="126"/>
  <c r="S191" i="126"/>
  <c r="S33" i="126"/>
  <c r="S65" i="126"/>
  <c r="S151" i="150"/>
  <c r="S183" i="150"/>
  <c r="S25" i="150"/>
  <c r="S57" i="150"/>
  <c r="R143" i="126"/>
  <c r="R175" i="126"/>
  <c r="R17" i="126"/>
  <c r="R49" i="126"/>
  <c r="R135" i="150"/>
  <c r="R167" i="150"/>
  <c r="R199" i="150"/>
  <c r="R9" i="150"/>
  <c r="R41" i="150"/>
  <c r="R73" i="150"/>
  <c r="Q159" i="126"/>
  <c r="Q191" i="126"/>
  <c r="Q33" i="126"/>
  <c r="Q65" i="126"/>
  <c r="Q151" i="150"/>
  <c r="Q183" i="150"/>
  <c r="Q25" i="150"/>
  <c r="Q57" i="150"/>
  <c r="T33" i="144"/>
  <c r="T65" i="144"/>
  <c r="S17" i="144"/>
  <c r="S49" i="144"/>
  <c r="R33" i="144"/>
  <c r="R65" i="144"/>
  <c r="Q17" i="144"/>
  <c r="Q49" i="144"/>
  <c r="R9" i="118"/>
  <c r="S17" i="118"/>
  <c r="T25" i="118"/>
  <c r="R45" i="118"/>
  <c r="S45" i="118"/>
  <c r="T45" i="118"/>
  <c r="R61" i="118"/>
  <c r="S61" i="118"/>
  <c r="T61" i="118"/>
  <c r="R77" i="118"/>
  <c r="T135" i="118"/>
  <c r="R151" i="118"/>
  <c r="S147" i="118"/>
  <c r="T143" i="118"/>
  <c r="R183" i="118"/>
  <c r="S187" i="118"/>
  <c r="T187" i="118"/>
  <c r="R195" i="118"/>
  <c r="S199" i="118"/>
  <c r="R9" i="112"/>
  <c r="R21" i="112"/>
  <c r="S17" i="112"/>
  <c r="R49" i="112"/>
  <c r="S49" i="112"/>
  <c r="R65" i="112"/>
  <c r="S65" i="112"/>
  <c r="T69" i="112"/>
  <c r="S131" i="112"/>
  <c r="R155" i="112"/>
  <c r="S151" i="112"/>
  <c r="T151" i="112"/>
  <c r="R159" i="112"/>
  <c r="S159" i="112"/>
  <c r="T159" i="112"/>
  <c r="R199" i="112"/>
  <c r="T191" i="112"/>
  <c r="Q135" i="118"/>
  <c r="Q159" i="118"/>
  <c r="Q179" i="118"/>
  <c r="Q199" i="118"/>
  <c r="Q21" i="118"/>
  <c r="Q41" i="118"/>
  <c r="Q65" i="118"/>
  <c r="Q151" i="112"/>
  <c r="Q171" i="112"/>
  <c r="Q191" i="112"/>
  <c r="Q13" i="112"/>
  <c r="Q33" i="112"/>
  <c r="Q57" i="112"/>
  <c r="Q77" i="112"/>
  <c r="P174" i="69"/>
  <c r="P146" i="69"/>
  <c r="P142" i="69"/>
  <c r="P170" i="69"/>
  <c r="R138" i="69"/>
  <c r="R170" i="69"/>
  <c r="P166" i="69"/>
  <c r="S142" i="69"/>
  <c r="S138" i="69"/>
  <c r="R126" i="69"/>
  <c r="S102" i="69"/>
  <c r="S110" i="69"/>
  <c r="Q114" i="69"/>
  <c r="R110" i="69"/>
  <c r="S126" i="69"/>
  <c r="R106" i="69"/>
  <c r="R122" i="69"/>
  <c r="Q118" i="69"/>
  <c r="P86" i="69"/>
  <c r="S78" i="69"/>
  <c r="Q50" i="69"/>
  <c r="P66" i="69"/>
  <c r="Q58" i="69"/>
  <c r="P50" i="69"/>
  <c r="P70" i="69"/>
  <c r="P54" i="69"/>
  <c r="Q78" i="69"/>
  <c r="Q62" i="69"/>
  <c r="Q12" i="69"/>
  <c r="P16" i="69"/>
  <c r="Q20" i="69"/>
  <c r="P20" i="69"/>
  <c r="S28" i="69"/>
  <c r="P28" i="69"/>
  <c r="R16" i="69"/>
  <c r="Q8" i="69"/>
  <c r="Q28" i="69"/>
  <c r="R40" i="69"/>
  <c r="Q61" i="150"/>
  <c r="R49" i="118"/>
  <c r="S49" i="118"/>
  <c r="S65" i="118"/>
  <c r="T69" i="118"/>
  <c r="S131" i="118"/>
  <c r="R155" i="118"/>
  <c r="T151" i="118"/>
  <c r="R159" i="118"/>
  <c r="T159" i="118"/>
  <c r="R199" i="118"/>
  <c r="T191" i="118"/>
  <c r="T13" i="112"/>
  <c r="R25" i="112"/>
  <c r="S21" i="112"/>
  <c r="T21" i="112"/>
  <c r="T37" i="112"/>
  <c r="T53" i="112"/>
  <c r="S69" i="112"/>
  <c r="T77" i="112"/>
  <c r="R139" i="112"/>
  <c r="T155" i="112"/>
  <c r="R163" i="112"/>
  <c r="T167" i="112"/>
  <c r="R175" i="112"/>
  <c r="T175" i="112"/>
  <c r="S191" i="112"/>
  <c r="T195" i="112"/>
  <c r="Q143" i="118"/>
  <c r="Q183" i="118"/>
  <c r="Q49" i="118"/>
  <c r="Q69" i="118"/>
  <c r="Q135" i="112"/>
  <c r="Q155" i="112"/>
  <c r="Q175" i="112"/>
  <c r="Q17" i="112"/>
  <c r="Q61" i="112"/>
  <c r="Q174" i="69"/>
  <c r="S146" i="69"/>
  <c r="R146" i="69"/>
  <c r="R166" i="69"/>
  <c r="S170" i="69"/>
  <c r="Q130" i="69"/>
  <c r="S114" i="69"/>
  <c r="Q106" i="69"/>
  <c r="S122" i="69"/>
  <c r="S130" i="69"/>
  <c r="R114" i="69"/>
  <c r="S98" i="69"/>
  <c r="S94" i="69"/>
  <c r="R49" i="156"/>
  <c r="Q171" i="155"/>
  <c r="Q61" i="156"/>
  <c r="R203" i="126"/>
  <c r="S227" i="118"/>
  <c r="S105" i="118"/>
  <c r="Q93" i="118"/>
  <c r="T105" i="153"/>
  <c r="R97" i="153"/>
  <c r="S93" i="144"/>
  <c r="T219" i="150"/>
  <c r="Q219" i="150"/>
  <c r="T215" i="112"/>
  <c r="S227" i="112"/>
  <c r="Q243" i="112"/>
  <c r="T121" i="150"/>
  <c r="R113" i="150"/>
  <c r="Q105" i="150"/>
  <c r="S93" i="112"/>
  <c r="Q81" i="112"/>
  <c r="T9" i="153"/>
  <c r="T49" i="153"/>
  <c r="S37" i="153"/>
  <c r="S77" i="153"/>
  <c r="R21" i="153"/>
  <c r="Q49" i="153"/>
  <c r="T199" i="126"/>
  <c r="T21" i="126"/>
  <c r="T61" i="126"/>
  <c r="T183" i="150"/>
  <c r="T57" i="150"/>
  <c r="S175" i="126"/>
  <c r="S17" i="126"/>
  <c r="S49" i="126"/>
  <c r="S135" i="150"/>
  <c r="S199" i="150"/>
  <c r="S9" i="150"/>
  <c r="S73" i="150"/>
  <c r="R191" i="126"/>
  <c r="R65" i="126"/>
  <c r="R183" i="150"/>
  <c r="R57" i="150"/>
  <c r="Q175" i="126"/>
  <c r="Q49" i="126"/>
  <c r="Q167" i="150"/>
  <c r="Q199" i="150"/>
  <c r="Q41" i="150"/>
  <c r="T17" i="144"/>
  <c r="T49" i="144"/>
  <c r="S65" i="144"/>
  <c r="R49" i="144"/>
  <c r="Q65" i="144"/>
  <c r="S13" i="118"/>
  <c r="S33" i="118"/>
  <c r="T37" i="118"/>
  <c r="S69" i="118"/>
  <c r="T77" i="118"/>
  <c r="R139" i="118"/>
  <c r="R163" i="118"/>
  <c r="S163" i="118"/>
  <c r="T167" i="118"/>
  <c r="R175" i="118"/>
  <c r="T175" i="118"/>
  <c r="S191" i="118"/>
  <c r="R29" i="112"/>
  <c r="T25" i="112"/>
  <c r="R37" i="112"/>
  <c r="T41" i="112"/>
  <c r="R53" i="112"/>
  <c r="T57" i="112"/>
  <c r="R69" i="112"/>
  <c r="T131" i="112"/>
  <c r="R143" i="112"/>
  <c r="T139" i="112"/>
  <c r="R167" i="112"/>
  <c r="T171" i="112"/>
  <c r="R179" i="112"/>
  <c r="S179" i="112"/>
  <c r="T183" i="112"/>
  <c r="S195" i="112"/>
  <c r="T199" i="112"/>
  <c r="Q147" i="118"/>
  <c r="Q167" i="118"/>
  <c r="Q33" i="118"/>
  <c r="Q53" i="118"/>
  <c r="Q139" i="112"/>
  <c r="Q183" i="112"/>
  <c r="Q45" i="112"/>
  <c r="Q146" i="69"/>
  <c r="S154" i="69"/>
  <c r="P138" i="69"/>
  <c r="R158" i="69"/>
  <c r="P130" i="69"/>
  <c r="Q102" i="69"/>
  <c r="P98" i="69"/>
  <c r="P114" i="69"/>
  <c r="P126" i="69"/>
  <c r="R78" i="69"/>
  <c r="P62" i="69"/>
  <c r="R70" i="69"/>
  <c r="S86" i="69"/>
  <c r="Q32" i="69"/>
  <c r="S8" i="69"/>
  <c r="S16" i="69"/>
  <c r="S4" i="69"/>
  <c r="R28" i="69"/>
  <c r="S24" i="69"/>
  <c r="R20" i="69"/>
  <c r="T143" i="156"/>
  <c r="S159" i="155"/>
  <c r="R61" i="154"/>
  <c r="R159" i="156"/>
  <c r="R57" i="156"/>
  <c r="Q85" i="154"/>
  <c r="Q179" i="155"/>
  <c r="Q21" i="155"/>
  <c r="T215" i="155"/>
  <c r="T97" i="156"/>
  <c r="S113" i="155"/>
  <c r="S105" i="156"/>
  <c r="R155" i="155"/>
  <c r="R97" i="155"/>
  <c r="Q235" i="155"/>
  <c r="Q77" i="155"/>
  <c r="Q163" i="156"/>
  <c r="Q13" i="156"/>
  <c r="S219" i="126"/>
  <c r="Q235" i="126"/>
  <c r="S219" i="118"/>
  <c r="Q235" i="118"/>
  <c r="T121" i="126"/>
  <c r="Q89" i="126"/>
  <c r="T117" i="118"/>
  <c r="R105" i="118"/>
  <c r="T81" i="153"/>
  <c r="S117" i="153"/>
  <c r="Q105" i="153"/>
  <c r="R113" i="144"/>
  <c r="S231" i="150"/>
  <c r="S207" i="112"/>
  <c r="R215" i="112"/>
  <c r="Q223" i="112"/>
  <c r="T101" i="150"/>
  <c r="S101" i="150"/>
  <c r="R97" i="150"/>
  <c r="Q89" i="150"/>
  <c r="T81" i="112"/>
  <c r="S117" i="112"/>
  <c r="R113" i="112"/>
  <c r="Q109" i="112"/>
  <c r="T33" i="153"/>
  <c r="T77" i="153"/>
  <c r="S21" i="153"/>
  <c r="S61" i="153"/>
  <c r="R49" i="153"/>
  <c r="Q33" i="153"/>
  <c r="Q77" i="153"/>
  <c r="T139" i="126"/>
  <c r="T183" i="126"/>
  <c r="T45" i="126"/>
  <c r="T139" i="150"/>
  <c r="T171" i="150"/>
  <c r="T13" i="150"/>
  <c r="T45" i="150"/>
  <c r="T77" i="150"/>
  <c r="S131" i="126"/>
  <c r="S163" i="126"/>
  <c r="S195" i="126"/>
  <c r="S37" i="126"/>
  <c r="S69" i="126"/>
  <c r="S155" i="150"/>
  <c r="S187" i="150"/>
  <c r="S29" i="150"/>
  <c r="S61" i="150"/>
  <c r="R147" i="126"/>
  <c r="R179" i="126"/>
  <c r="R21" i="126"/>
  <c r="R53" i="126"/>
  <c r="R139" i="150"/>
  <c r="R171" i="150"/>
  <c r="R13" i="150"/>
  <c r="R45" i="150"/>
  <c r="R77" i="150"/>
  <c r="Q131" i="126"/>
  <c r="Q163" i="126"/>
  <c r="Q195" i="126"/>
  <c r="Q37" i="126"/>
  <c r="Q69" i="126"/>
  <c r="Q155" i="150"/>
  <c r="Q187" i="150"/>
  <c r="Q29" i="150"/>
  <c r="T13" i="144"/>
  <c r="T45" i="144"/>
  <c r="T77" i="144"/>
  <c r="S29" i="144"/>
  <c r="S61" i="144"/>
  <c r="R13" i="144"/>
  <c r="R45" i="144"/>
  <c r="R77" i="144"/>
  <c r="Q29" i="144"/>
  <c r="Q61" i="144"/>
  <c r="R13" i="118"/>
  <c r="S21" i="118"/>
  <c r="T29" i="118"/>
  <c r="R65" i="118"/>
  <c r="S151" i="118"/>
  <c r="S159" i="118"/>
  <c r="R13" i="112"/>
  <c r="S163" i="112"/>
  <c r="S175" i="112"/>
  <c r="Q163" i="118"/>
  <c r="Q25" i="118"/>
  <c r="Q199" i="112"/>
  <c r="Q41" i="112"/>
  <c r="S166" i="69"/>
  <c r="Q158" i="69"/>
  <c r="S118" i="69"/>
  <c r="S106" i="69"/>
  <c r="P94" i="69"/>
  <c r="S58" i="69"/>
  <c r="P74" i="69"/>
  <c r="R82" i="69"/>
  <c r="R74" i="69"/>
  <c r="R62" i="69"/>
  <c r="R54" i="69"/>
  <c r="S82" i="69"/>
  <c r="P58" i="69"/>
  <c r="R50" i="69"/>
  <c r="S20" i="69"/>
  <c r="Q36" i="69"/>
  <c r="P24" i="69"/>
  <c r="R8" i="69"/>
  <c r="P36" i="69"/>
  <c r="R32" i="69"/>
  <c r="Q24" i="69"/>
  <c r="P8" i="69"/>
  <c r="R36" i="69"/>
  <c r="S12" i="69"/>
  <c r="T117" i="155"/>
  <c r="S121" i="154"/>
  <c r="R53" i="154"/>
  <c r="R151" i="156"/>
  <c r="Q69" i="154"/>
  <c r="Q13" i="155"/>
  <c r="Q219" i="156"/>
  <c r="S109" i="126"/>
  <c r="Q81" i="144"/>
  <c r="R211" i="150"/>
  <c r="R239" i="112"/>
  <c r="S117" i="150"/>
  <c r="T97" i="112"/>
  <c r="R85" i="112"/>
  <c r="R65" i="153"/>
  <c r="T155" i="126"/>
  <c r="T151" i="150"/>
  <c r="T25" i="150"/>
  <c r="S143" i="126"/>
  <c r="S167" i="150"/>
  <c r="S41" i="150"/>
  <c r="R159" i="126"/>
  <c r="R33" i="126"/>
  <c r="R151" i="150"/>
  <c r="R25" i="150"/>
  <c r="Q143" i="126"/>
  <c r="Q17" i="126"/>
  <c r="Q135" i="150"/>
  <c r="Q9" i="150"/>
  <c r="Q73" i="150"/>
  <c r="S33" i="144"/>
  <c r="R17" i="144"/>
  <c r="Q33" i="144"/>
  <c r="R25" i="118"/>
  <c r="T53" i="118"/>
  <c r="T155" i="118"/>
  <c r="S175" i="118"/>
  <c r="T195" i="118"/>
  <c r="S9" i="112"/>
  <c r="S29" i="112"/>
  <c r="S41" i="112"/>
  <c r="S57" i="112"/>
  <c r="S77" i="112"/>
  <c r="R135" i="112"/>
  <c r="S143" i="112"/>
  <c r="S171" i="112"/>
  <c r="R191" i="112"/>
  <c r="Q191" i="118"/>
  <c r="Q9" i="118"/>
  <c r="Q73" i="118"/>
  <c r="Q159" i="112"/>
  <c r="Q25" i="112"/>
  <c r="Q65" i="112"/>
  <c r="Q138" i="69"/>
  <c r="R150" i="69"/>
  <c r="S162" i="69"/>
  <c r="R102" i="69"/>
  <c r="R98" i="69"/>
  <c r="P118" i="69"/>
  <c r="P106" i="69"/>
  <c r="P122" i="69"/>
  <c r="R86" i="69"/>
  <c r="Q82" i="69"/>
  <c r="R66" i="69"/>
  <c r="S66" i="69"/>
  <c r="S74" i="69"/>
  <c r="P78" i="69"/>
  <c r="P4" i="69"/>
  <c r="Q40" i="69"/>
  <c r="P32" i="69"/>
  <c r="Q223" i="156"/>
  <c r="R223" i="126"/>
  <c r="Q101" i="118"/>
  <c r="Q113" i="150"/>
  <c r="R93" i="112"/>
  <c r="S41" i="153"/>
  <c r="Q13" i="153"/>
  <c r="T155" i="150"/>
  <c r="T61" i="150"/>
  <c r="S139" i="150"/>
  <c r="S45" i="150"/>
  <c r="R195" i="126"/>
  <c r="R29" i="150"/>
  <c r="Q179" i="126"/>
  <c r="Q13" i="150"/>
  <c r="S45" i="144"/>
  <c r="Q13" i="144"/>
  <c r="R37" i="118"/>
  <c r="R53" i="118"/>
  <c r="R69" i="118"/>
  <c r="T131" i="118"/>
  <c r="T139" i="118"/>
  <c r="S171" i="118"/>
  <c r="S179" i="118"/>
  <c r="S195" i="118"/>
  <c r="R45" i="112"/>
  <c r="R61" i="112"/>
  <c r="R77" i="112"/>
  <c r="Q151" i="118"/>
  <c r="Q17" i="118"/>
  <c r="Q73" i="112"/>
  <c r="Q154" i="69"/>
  <c r="P158" i="69"/>
  <c r="R94" i="69"/>
  <c r="Q122" i="69"/>
  <c r="Q86" i="69"/>
  <c r="S62" i="69"/>
  <c r="S54" i="69"/>
  <c r="Q4" i="69"/>
  <c r="Q16" i="69"/>
  <c r="R151" i="112"/>
  <c r="R183" i="112"/>
  <c r="R195" i="112"/>
  <c r="Q175" i="118"/>
  <c r="Q143" i="112"/>
  <c r="Q9" i="112"/>
  <c r="Q142" i="69"/>
  <c r="Q110" i="69"/>
  <c r="P110" i="69"/>
  <c r="Q94" i="69"/>
  <c r="S70" i="69"/>
  <c r="P82" i="69"/>
  <c r="S50" i="69"/>
  <c r="R24" i="69"/>
  <c r="T61" i="144"/>
  <c r="Q77" i="144"/>
  <c r="T41" i="118"/>
  <c r="R143" i="118"/>
  <c r="S13" i="112"/>
  <c r="T29" i="112"/>
  <c r="T61" i="112"/>
  <c r="S147" i="112"/>
  <c r="S187" i="112"/>
  <c r="S199" i="112"/>
  <c r="Q57" i="118"/>
  <c r="Q167" i="112"/>
  <c r="R142" i="69"/>
  <c r="P162" i="69"/>
  <c r="R118" i="69"/>
  <c r="Q74" i="69"/>
  <c r="R58" i="69"/>
  <c r="S40" i="69"/>
  <c r="R4" i="69"/>
  <c r="T207" i="126"/>
  <c r="R231" i="118"/>
  <c r="S109" i="118"/>
  <c r="R113" i="153"/>
  <c r="Q109" i="144"/>
  <c r="Q227" i="150"/>
  <c r="R243" i="112"/>
  <c r="R117" i="150"/>
  <c r="S97" i="112"/>
  <c r="R69" i="153"/>
  <c r="T163" i="126"/>
  <c r="T29" i="150"/>
  <c r="S179" i="126"/>
  <c r="S13" i="150"/>
  <c r="R163" i="126"/>
  <c r="R69" i="126"/>
  <c r="Q147" i="126"/>
  <c r="Q53" i="126"/>
  <c r="S13" i="144"/>
  <c r="R61" i="144"/>
  <c r="R135" i="118"/>
  <c r="S143" i="118"/>
  <c r="R167" i="118"/>
  <c r="R179" i="118"/>
  <c r="R191" i="118"/>
  <c r="T135" i="112"/>
  <c r="T143" i="112"/>
  <c r="T187" i="112"/>
  <c r="Q131" i="118"/>
  <c r="Q187" i="112"/>
  <c r="Q49" i="112"/>
  <c r="P150" i="69"/>
  <c r="Q126" i="69"/>
  <c r="P102" i="69"/>
  <c r="Q70" i="69"/>
  <c r="S32" i="69"/>
  <c r="R12" i="69"/>
  <c r="S36" i="69"/>
  <c r="Q65" i="156"/>
  <c r="R85" i="126"/>
  <c r="T81" i="144"/>
  <c r="T235" i="150"/>
  <c r="T227" i="112"/>
  <c r="S81" i="150"/>
  <c r="Q85" i="112"/>
  <c r="T13" i="153"/>
  <c r="Q53" i="153"/>
  <c r="T25" i="126"/>
  <c r="T187" i="150"/>
  <c r="S21" i="126"/>
  <c r="S171" i="150"/>
  <c r="S77" i="150"/>
  <c r="R155" i="150"/>
  <c r="R61" i="150"/>
  <c r="Q139" i="150"/>
  <c r="Q45" i="150"/>
  <c r="T29" i="144"/>
  <c r="S77" i="144"/>
  <c r="Q45" i="144"/>
  <c r="R29" i="118"/>
  <c r="S41" i="118"/>
  <c r="S57" i="118"/>
  <c r="S77" i="118"/>
  <c r="T171" i="118"/>
  <c r="T183" i="118"/>
  <c r="T199" i="118"/>
  <c r="S33" i="112"/>
  <c r="S45" i="112"/>
  <c r="S61" i="112"/>
  <c r="Q37" i="118"/>
  <c r="S150" i="69"/>
  <c r="Q54" i="69"/>
  <c r="P12" i="69"/>
  <c r="Q171" i="150"/>
  <c r="Q77" i="150"/>
  <c r="R29" i="144"/>
  <c r="T57" i="118"/>
  <c r="T45" i="112"/>
  <c r="Q195" i="118"/>
  <c r="Q29" i="112"/>
  <c r="Q98" i="69"/>
  <c r="P40" i="69"/>
  <c r="T211" i="118"/>
  <c r="T121" i="153"/>
  <c r="S117" i="144"/>
  <c r="R219" i="150"/>
  <c r="S231" i="112"/>
  <c r="S121" i="150"/>
  <c r="T101" i="112"/>
  <c r="T57" i="153"/>
  <c r="R25" i="153"/>
  <c r="T69" i="126"/>
  <c r="S147" i="126"/>
  <c r="S53" i="126"/>
  <c r="R131" i="126"/>
  <c r="R37" i="126"/>
  <c r="R187" i="150"/>
  <c r="Q21" i="126"/>
  <c r="Q66" i="69"/>
  <c r="L21" i="135" l="1"/>
  <c r="M22" i="135"/>
  <c r="N23" i="135"/>
  <c r="C21" i="135"/>
  <c r="K11" i="135"/>
  <c r="K38" i="135"/>
  <c r="M8" i="135"/>
  <c r="F40" i="135"/>
  <c r="D30" i="135"/>
  <c r="K22" i="135"/>
  <c r="L23" i="135"/>
  <c r="L39" i="135"/>
  <c r="R44" i="69"/>
  <c r="S90" i="69"/>
  <c r="Q134" i="69"/>
  <c r="C29" i="135"/>
  <c r="Q44" i="69"/>
  <c r="R134" i="69"/>
  <c r="R247" i="126"/>
  <c r="L32" i="135" s="1"/>
  <c r="L26" i="135"/>
  <c r="Q247" i="118"/>
  <c r="C32" i="135" s="1"/>
  <c r="C26" i="135"/>
  <c r="C3" i="135"/>
  <c r="Q125" i="112"/>
  <c r="C9" i="135" s="1"/>
  <c r="C20" i="135"/>
  <c r="F27" i="135"/>
  <c r="F26" i="135"/>
  <c r="T247" i="118"/>
  <c r="F32" i="135" s="1"/>
  <c r="D23" i="135"/>
  <c r="D22" i="135"/>
  <c r="D21" i="135"/>
  <c r="M11" i="135"/>
  <c r="P44" i="69"/>
  <c r="Q178" i="69"/>
  <c r="C12" i="135"/>
  <c r="C19" i="135"/>
  <c r="Q125" i="118"/>
  <c r="C25" i="135" s="1"/>
  <c r="C30" i="135"/>
  <c r="D14" i="135"/>
  <c r="E3" i="135"/>
  <c r="S125" i="112"/>
  <c r="E9" i="135" s="1"/>
  <c r="E29" i="135"/>
  <c r="F22" i="135"/>
  <c r="D36" i="135"/>
  <c r="Q125" i="150"/>
  <c r="K9" i="135" s="1"/>
  <c r="K3" i="135"/>
  <c r="K20" i="135"/>
  <c r="L28" i="135"/>
  <c r="C40" i="135"/>
  <c r="S39" i="135"/>
  <c r="T38" i="135"/>
  <c r="R90" i="69"/>
  <c r="P134" i="69"/>
  <c r="E13" i="135"/>
  <c r="E28" i="135"/>
  <c r="K23" i="135"/>
  <c r="K21" i="135"/>
  <c r="Q247" i="126"/>
  <c r="K32" i="135" s="1"/>
  <c r="K26" i="135"/>
  <c r="L11" i="135"/>
  <c r="L22" i="135"/>
  <c r="M23" i="135"/>
  <c r="M21" i="135"/>
  <c r="S247" i="126"/>
  <c r="M32" i="135" s="1"/>
  <c r="M26" i="135"/>
  <c r="N11" i="135"/>
  <c r="N27" i="135"/>
  <c r="F8" i="135"/>
  <c r="N40" i="135"/>
  <c r="T12" i="135"/>
  <c r="U28" i="135"/>
  <c r="S44" i="69"/>
  <c r="P178" i="69"/>
  <c r="C11" i="135"/>
  <c r="C22" i="135"/>
  <c r="F11" i="135"/>
  <c r="F10" i="135"/>
  <c r="T247" i="112"/>
  <c r="F16" i="135" s="1"/>
  <c r="D7" i="135"/>
  <c r="D6" i="135"/>
  <c r="D5" i="135"/>
  <c r="E30" i="135"/>
  <c r="F29" i="135"/>
  <c r="D29" i="135"/>
  <c r="D27" i="135"/>
  <c r="E23" i="135"/>
  <c r="F21" i="135"/>
  <c r="F36" i="135"/>
  <c r="K29" i="135"/>
  <c r="L30" i="135"/>
  <c r="S125" i="150"/>
  <c r="M9" i="135" s="1"/>
  <c r="M3" i="135"/>
  <c r="M20" i="135"/>
  <c r="M29" i="135"/>
  <c r="M37" i="135"/>
  <c r="T125" i="153"/>
  <c r="N41" i="135" s="1"/>
  <c r="N35" i="135"/>
  <c r="C8" i="135"/>
  <c r="L31" i="135"/>
  <c r="S134" i="69"/>
  <c r="C4" i="135"/>
  <c r="C13" i="135"/>
  <c r="C23" i="135"/>
  <c r="E14" i="135"/>
  <c r="F13" i="135"/>
  <c r="D13" i="135"/>
  <c r="D11" i="135"/>
  <c r="E7" i="135"/>
  <c r="F6" i="135"/>
  <c r="F5" i="135"/>
  <c r="F30" i="135"/>
  <c r="F28" i="135"/>
  <c r="D28" i="135"/>
  <c r="S247" i="118"/>
  <c r="E32" i="135" s="1"/>
  <c r="E26" i="135"/>
  <c r="F23" i="135"/>
  <c r="P90" i="69"/>
  <c r="Q90" i="69"/>
  <c r="S178" i="69"/>
  <c r="R178" i="69"/>
  <c r="C14" i="135"/>
  <c r="C28" i="135"/>
  <c r="F14" i="135"/>
  <c r="F12" i="135"/>
  <c r="E12" i="135"/>
  <c r="D12" i="135"/>
  <c r="S247" i="112"/>
  <c r="E16" i="135" s="1"/>
  <c r="E10" i="135"/>
  <c r="F7" i="135"/>
  <c r="E4" i="135"/>
  <c r="D3" i="135"/>
  <c r="R125" i="112"/>
  <c r="D9" i="135" s="1"/>
  <c r="E20" i="135"/>
  <c r="D19" i="135"/>
  <c r="R125" i="118"/>
  <c r="D25" i="135" s="1"/>
  <c r="C36" i="135"/>
  <c r="E36" i="135"/>
  <c r="K30" i="135"/>
  <c r="K28" i="135"/>
  <c r="R125" i="150"/>
  <c r="L9" i="135" s="1"/>
  <c r="L3" i="135"/>
  <c r="L20" i="135"/>
  <c r="L29" i="135"/>
  <c r="M30" i="135"/>
  <c r="M28" i="135"/>
  <c r="T125" i="150"/>
  <c r="N9" i="135" s="1"/>
  <c r="N3" i="135"/>
  <c r="K39" i="135"/>
  <c r="S12" i="135"/>
  <c r="U8" i="135"/>
  <c r="S125" i="118"/>
  <c r="E25" i="135" s="1"/>
  <c r="E19" i="135"/>
  <c r="C35" i="135"/>
  <c r="Q125" i="144"/>
  <c r="C41" i="135" s="1"/>
  <c r="D35" i="135"/>
  <c r="R125" i="144"/>
  <c r="D41" i="135" s="1"/>
  <c r="S125" i="144"/>
  <c r="E41" i="135" s="1"/>
  <c r="E35" i="135"/>
  <c r="T125" i="144"/>
  <c r="F41" i="135" s="1"/>
  <c r="F35" i="135"/>
  <c r="K7" i="135"/>
  <c r="K6" i="135"/>
  <c r="K5" i="135"/>
  <c r="K10" i="135"/>
  <c r="Q247" i="150"/>
  <c r="K16" i="135" s="1"/>
  <c r="K27" i="135"/>
  <c r="L7" i="135"/>
  <c r="L6" i="135"/>
  <c r="L5" i="135"/>
  <c r="L10" i="135"/>
  <c r="R247" i="150"/>
  <c r="L16" i="135" s="1"/>
  <c r="L27" i="135"/>
  <c r="M7" i="135"/>
  <c r="M6" i="135"/>
  <c r="M5" i="135"/>
  <c r="M10" i="135"/>
  <c r="S247" i="150"/>
  <c r="M16" i="135" s="1"/>
  <c r="M27" i="135"/>
  <c r="N7" i="135"/>
  <c r="N6" i="135"/>
  <c r="N5" i="135"/>
  <c r="N10" i="135"/>
  <c r="T247" i="150"/>
  <c r="N16" i="135" s="1"/>
  <c r="N21" i="135"/>
  <c r="N26" i="135"/>
  <c r="T247" i="126"/>
  <c r="N32" i="135" s="1"/>
  <c r="L37" i="135"/>
  <c r="L36" i="135"/>
  <c r="M38" i="135"/>
  <c r="S125" i="153"/>
  <c r="M41" i="135" s="1"/>
  <c r="M35" i="135"/>
  <c r="D8" i="135"/>
  <c r="K8" i="135"/>
  <c r="L15" i="135"/>
  <c r="S5" i="135"/>
  <c r="S11" i="135"/>
  <c r="S22" i="135"/>
  <c r="S31" i="135"/>
  <c r="S37" i="135"/>
  <c r="T4" i="135"/>
  <c r="T22" i="135"/>
  <c r="T35" i="135"/>
  <c r="R125" i="154"/>
  <c r="T41" i="135" s="1"/>
  <c r="U15" i="135"/>
  <c r="V22" i="135"/>
  <c r="C7" i="135"/>
  <c r="C6" i="135"/>
  <c r="C5" i="135"/>
  <c r="C10" i="135"/>
  <c r="Q247" i="112"/>
  <c r="C16" i="135" s="1"/>
  <c r="C27" i="135"/>
  <c r="E11" i="135"/>
  <c r="R247" i="112"/>
  <c r="D16" i="135" s="1"/>
  <c r="D10" i="135"/>
  <c r="E6" i="135"/>
  <c r="E5" i="135"/>
  <c r="F4" i="135"/>
  <c r="D4" i="135"/>
  <c r="T125" i="112"/>
  <c r="F9" i="135" s="1"/>
  <c r="F3" i="135"/>
  <c r="E27" i="135"/>
  <c r="D26" i="135"/>
  <c r="R247" i="118"/>
  <c r="D32" i="135" s="1"/>
  <c r="E22" i="135"/>
  <c r="E21" i="135"/>
  <c r="F20" i="135"/>
  <c r="D20" i="135"/>
  <c r="T125" i="118"/>
  <c r="F25" i="135" s="1"/>
  <c r="F19" i="135"/>
  <c r="C39" i="135"/>
  <c r="C38" i="135"/>
  <c r="C37" i="135"/>
  <c r="D39" i="135"/>
  <c r="D38" i="135"/>
  <c r="D37" i="135"/>
  <c r="E39" i="135"/>
  <c r="E38" i="135"/>
  <c r="E37" i="135"/>
  <c r="F39" i="135"/>
  <c r="F38" i="135"/>
  <c r="F37" i="135"/>
  <c r="K4" i="135"/>
  <c r="K14" i="135"/>
  <c r="K13" i="135"/>
  <c r="K12" i="135"/>
  <c r="K19" i="135"/>
  <c r="Q125" i="126"/>
  <c r="K25" i="135" s="1"/>
  <c r="L4" i="135"/>
  <c r="L14" i="135"/>
  <c r="L13" i="135"/>
  <c r="L12" i="135"/>
  <c r="L19" i="135"/>
  <c r="R125" i="126"/>
  <c r="L25" i="135" s="1"/>
  <c r="M4" i="135"/>
  <c r="M14" i="135"/>
  <c r="M13" i="135"/>
  <c r="M12" i="135"/>
  <c r="M19" i="135"/>
  <c r="S125" i="126"/>
  <c r="M25" i="135" s="1"/>
  <c r="N4" i="135"/>
  <c r="N14" i="135"/>
  <c r="N13" i="135"/>
  <c r="N12" i="135"/>
  <c r="N22" i="135"/>
  <c r="N19" i="135"/>
  <c r="T125" i="126"/>
  <c r="N25" i="135" s="1"/>
  <c r="K37" i="135"/>
  <c r="K36" i="135"/>
  <c r="L38" i="135"/>
  <c r="R125" i="153"/>
  <c r="L41" i="135" s="1"/>
  <c r="L35" i="135"/>
  <c r="M39" i="135"/>
  <c r="N36" i="135"/>
  <c r="E8" i="135"/>
  <c r="L8" i="135"/>
  <c r="N8" i="135"/>
  <c r="K15" i="135"/>
  <c r="M40" i="135"/>
  <c r="Q247" i="156"/>
  <c r="S16" i="135" s="1"/>
  <c r="S10" i="135"/>
  <c r="S27" i="135"/>
  <c r="R125" i="156"/>
  <c r="T9" i="135" s="1"/>
  <c r="T3" i="135"/>
  <c r="T14" i="135"/>
  <c r="U11" i="135"/>
  <c r="V39" i="135"/>
  <c r="U21" i="135"/>
  <c r="T247" i="156"/>
  <c r="V16" i="135" s="1"/>
  <c r="V10" i="135"/>
  <c r="V27" i="135"/>
  <c r="M15" i="135"/>
  <c r="D40" i="135"/>
  <c r="K40" i="135"/>
  <c r="C31" i="135"/>
  <c r="F31" i="135"/>
  <c r="N31" i="135"/>
  <c r="S8" i="135"/>
  <c r="S6" i="135"/>
  <c r="S21" i="135"/>
  <c r="S19" i="135"/>
  <c r="Q125" i="155"/>
  <c r="S25" i="135" s="1"/>
  <c r="T8" i="135"/>
  <c r="T24" i="135"/>
  <c r="U4" i="135"/>
  <c r="U24" i="135"/>
  <c r="V13" i="135"/>
  <c r="V26" i="135"/>
  <c r="T247" i="155"/>
  <c r="V32" i="135" s="1"/>
  <c r="V37" i="135"/>
  <c r="N15" i="135"/>
  <c r="E40" i="135"/>
  <c r="L40" i="135"/>
  <c r="E31" i="135"/>
  <c r="M31" i="135"/>
  <c r="S4" i="135"/>
  <c r="S15" i="135"/>
  <c r="S13" i="135"/>
  <c r="S26" i="135"/>
  <c r="Q247" i="155"/>
  <c r="S32" i="135" s="1"/>
  <c r="S38" i="135"/>
  <c r="U12" i="135"/>
  <c r="U23" i="135"/>
  <c r="U20" i="135"/>
  <c r="V6" i="135"/>
  <c r="V19" i="135"/>
  <c r="T125" i="155"/>
  <c r="V25" i="135" s="1"/>
  <c r="V40" i="135"/>
  <c r="N20" i="135"/>
  <c r="N30" i="135"/>
  <c r="N29" i="135"/>
  <c r="N28" i="135"/>
  <c r="K35" i="135"/>
  <c r="Q125" i="153"/>
  <c r="K41" i="135" s="1"/>
  <c r="M36" i="135"/>
  <c r="N39" i="135"/>
  <c r="N38" i="135"/>
  <c r="N37" i="135"/>
  <c r="C15" i="135"/>
  <c r="D15" i="135"/>
  <c r="E15" i="135"/>
  <c r="F15" i="135"/>
  <c r="C24" i="135"/>
  <c r="D24" i="135"/>
  <c r="E24" i="135"/>
  <c r="F24" i="135"/>
  <c r="D31" i="135"/>
  <c r="K31" i="135"/>
  <c r="S7" i="135"/>
  <c r="S14" i="135"/>
  <c r="S23" i="135"/>
  <c r="T13" i="135"/>
  <c r="T29" i="135"/>
  <c r="R247" i="155"/>
  <c r="T32" i="135" s="1"/>
  <c r="T26" i="135"/>
  <c r="U3" i="135"/>
  <c r="S125" i="156"/>
  <c r="U9" i="135" s="1"/>
  <c r="U14" i="135"/>
  <c r="U30" i="135"/>
  <c r="V31" i="135"/>
  <c r="V36" i="135"/>
  <c r="S40" i="135"/>
  <c r="S36" i="135"/>
  <c r="T7" i="135"/>
  <c r="T6" i="135"/>
  <c r="T5" i="135"/>
  <c r="T10" i="135"/>
  <c r="R247" i="156"/>
  <c r="T16" i="135" s="1"/>
  <c r="T21" i="135"/>
  <c r="T20" i="135"/>
  <c r="T31" i="135"/>
  <c r="T28" i="135"/>
  <c r="T27" i="135"/>
  <c r="T37" i="135"/>
  <c r="U13" i="135"/>
  <c r="U22" i="135"/>
  <c r="S125" i="155"/>
  <c r="U25" i="135" s="1"/>
  <c r="U19" i="135"/>
  <c r="U29" i="135"/>
  <c r="S247" i="155"/>
  <c r="U32" i="135" s="1"/>
  <c r="U26" i="135"/>
  <c r="S125" i="154"/>
  <c r="U41" i="135" s="1"/>
  <c r="U35" i="135"/>
  <c r="V7" i="135"/>
  <c r="V14" i="135"/>
  <c r="V23" i="135"/>
  <c r="K24" i="135"/>
  <c r="L24" i="135"/>
  <c r="M24" i="135"/>
  <c r="N24" i="135"/>
  <c r="S3" i="135"/>
  <c r="Q125" i="156"/>
  <c r="S9" i="135" s="1"/>
  <c r="S24" i="135"/>
  <c r="S20" i="135"/>
  <c r="S30" i="135"/>
  <c r="S29" i="135"/>
  <c r="S28" i="135"/>
  <c r="S35" i="135"/>
  <c r="Q125" i="154"/>
  <c r="S41" i="135" s="1"/>
  <c r="T15" i="135"/>
  <c r="T11" i="135"/>
  <c r="T23" i="135"/>
  <c r="T30" i="135"/>
  <c r="T39" i="135"/>
  <c r="U40" i="135"/>
  <c r="U36" i="135"/>
  <c r="V8" i="135"/>
  <c r="V5" i="135"/>
  <c r="V4" i="135"/>
  <c r="V15" i="135"/>
  <c r="V12" i="135"/>
  <c r="V11" i="135"/>
  <c r="V21" i="135"/>
  <c r="V38" i="135"/>
  <c r="R125" i="155"/>
  <c r="T25" i="135" s="1"/>
  <c r="T19" i="135"/>
  <c r="T40" i="135"/>
  <c r="T36" i="135"/>
  <c r="U7" i="135"/>
  <c r="U6" i="135"/>
  <c r="U5" i="135"/>
  <c r="U10" i="135"/>
  <c r="S247" i="156"/>
  <c r="U16" i="135" s="1"/>
  <c r="U31" i="135"/>
  <c r="U27" i="135"/>
  <c r="U39" i="135"/>
  <c r="U38" i="135"/>
  <c r="U37" i="135"/>
  <c r="V3" i="135"/>
  <c r="T125" i="156"/>
  <c r="V9" i="135" s="1"/>
  <c r="V24" i="135"/>
  <c r="V20" i="135"/>
  <c r="V30" i="135"/>
  <c r="V29" i="135"/>
  <c r="V28" i="135"/>
  <c r="V35" i="135"/>
  <c r="T125" i="154"/>
  <c r="V41" i="135" s="1"/>
</calcChain>
</file>

<file path=xl/sharedStrings.xml><?xml version="1.0" encoding="utf-8"?>
<sst xmlns="http://schemas.openxmlformats.org/spreadsheetml/2006/main" count="1307" uniqueCount="155">
  <si>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</si>
  <si>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</si>
  <si>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</si>
  <si>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</si>
  <si>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</si>
  <si>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</si>
  <si>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</si>
  <si>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</si>
  <si>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</si>
  <si>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</si>
  <si>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</si>
  <si>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</si>
  <si>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</si>
  <si>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</si>
  <si>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</si>
  <si>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</si>
  <si>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</si>
  <si>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</si>
  <si>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</si>
  <si>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</si>
  <si>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</si>
  <si>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</si>
  <si>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</si>
  <si>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</si>
  <si>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</si>
  <si>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</si>
  <si>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</si>
  <si>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</si>
  <si>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</si>
  <si>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</si>
  <si>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</si>
  <si>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</si>
  <si>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</si>
  <si>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</si>
  <si>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</si>
  <si>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</si>
  <si>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</si>
  <si>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</si>
  <si>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</si>
  <si>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</si>
  <si>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</si>
  <si>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</si>
  <si>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</si>
  <si>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</si>
  <si>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</si>
  <si>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</si>
  <si>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</si>
  <si>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</si>
  <si>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</si>
  <si>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</si>
  <si>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</si>
  <si>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</si>
  <si>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</si>
  <si>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</si>
  <si>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</si>
  <si>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</si>
  <si>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</si>
  <si>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</si>
  <si>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</si>
  <si>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</si>
  <si>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</si>
  <si>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</si>
  <si>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</si>
  <si>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</si>
  <si>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</si>
  <si>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</si>
  <si>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</si>
  <si>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</si>
  <si>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</si>
  <si>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</si>
  <si>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</si>
  <si>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</si>
  <si>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</si>
  <si>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</si>
  <si>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</si>
  <si>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</si>
  <si>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</si>
  <si>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</si>
  <si>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</si>
  <si>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</si>
  <si>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</si>
  <si>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</si>
  <si>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</si>
  <si>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</si>
  <si>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</si>
  <si>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</si>
  <si>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</si>
  <si>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</si>
  <si>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</si>
  <si>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</si>
  <si>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</si>
  <si>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</si>
  <si>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</si>
  <si>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</si>
  <si>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</si>
  <si>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</si>
  <si>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</si>
  <si>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</si>
  <si>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</si>
  <si>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</si>
  <si>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</si>
  <si>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</si>
  <si>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</si>
  <si>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</si>
  <si>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</si>
  <si>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</si>
  <si>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</si>
  <si>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</si>
  <si>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</si>
  <si>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</si>
  <si>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</si>
  <si>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</si>
  <si>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</si>
  <si>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</si>
  <si>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</si>
  <si>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</si>
  <si>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</si>
  <si>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</si>
  <si>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ksc265 slow vsx264_offline_slow</t>
    <phoneticPr fontId="5" type="noConversion"/>
  </si>
  <si>
    <t>BQSquare_416x240_60</t>
    <phoneticPr fontId="5" type="noConversion"/>
  </si>
  <si>
    <t>ksc265vsx265_offline_veryfast</t>
    <phoneticPr fontId="5" type="noConversion"/>
  </si>
  <si>
    <t>ksc265vsx265_offline_slow</t>
    <phoneticPr fontId="5" type="noConversion"/>
  </si>
  <si>
    <t>本测试为X264与QY265v2.5.2.1版本离线编码对比测试，测试设备为台式机（Win7操作系统，i5-4670四核CPU，8G内存），采取cbr模式编码、veryfast档次、单线程模式编码</t>
  </si>
  <si>
    <t xml:space="preserve">q265 veryfast v2.5.2.1 threads 1 </t>
  </si>
  <si>
    <t>本测试为X264与QY265v2.5.2.1版本离线编码对比测试，测试设备为台式机（Win7操作系统，i5-4670四核CPU，8G内存），采取cbr模式编码、veryfast档次、满线程模式编码</t>
  </si>
  <si>
    <t>q265 veryfast v2.5.2.1 threads 0</t>
  </si>
  <si>
    <t>本测试为X264与QY265v2.5.2.1版本离线编码对比测试，测试设备为台式机（Win7操作系统，i5-4670四核CPU，8G内存），采取cbr模式编码、slow档次、单线程模式编码</t>
  </si>
  <si>
    <t xml:space="preserve">q265 slow v2.5.2.1 threads 1 </t>
  </si>
  <si>
    <t>本测试为X264与QY265v2.5.2.1版本离线编码对比测试，测试设备为台式机（Win7操作系统，i5-4670四核CPU，8G内存），采取cbr模式编码、slow档次、满线程模式编码</t>
  </si>
  <si>
    <t>q265 slow v2.5.2.1 threads 0</t>
  </si>
  <si>
    <t>本测试为X264与QY265v2.5.2.1版本离线编码对比测试，测试设备为台式机（Win7操作系统，i5-4670四核CPU，8G内存），采取cbr模式编码、placebo档次、满线程模式编码</t>
  </si>
  <si>
    <t>q265 veryslow v2.5.2.1 threads 0</t>
  </si>
  <si>
    <t>本测试为x265v2.3版本与QY265v2.5.2.1版本离线编码对比测试，测试设备为台式机（Win7操作系统，i5-4670四核CPU，8G内存），采取cbr模式编码、veryfast档次、单线程模式编码</t>
  </si>
  <si>
    <t>本测试为x265v2.3版本与QY265v2.5.2.1版本离线编码对比测试，测试设备为台式机（Win7操作系统，i5-4670四核CPU，8G内存），采取cbr模式编码、veryfast档次、满线程模式编码</t>
  </si>
  <si>
    <t>本测试为x265v2.3版本与QY265v2.5.2.1版本离线编码对比测试，测试设备为台式机（Win7操作系统，i5-4670四核CPU，8G内存），采取cbr模式编码、slow档次、单线程模式编码</t>
  </si>
  <si>
    <t>本测试为x265v2.3版本与QY265v2.5.2.1版本离线编码对比测试，测试设备为台式机（Win7操作系统，i5-4670四核CPU，8G内存），采取cbr模式编码、slow档次、满线程模式编码</t>
  </si>
  <si>
    <t>本测试为x265v2.3版本与QY265v2.5.2.1版本离线编码对比测试，测试设备为台式机（Win7操作系统，i5-4670四核CPU，8G内存），采取cbr模式编码、veryslow档次、满线程模式编码</t>
  </si>
  <si>
    <t>ksc265vsvp9_offline_slow</t>
    <phoneticPr fontId="5" type="noConversion"/>
  </si>
  <si>
    <t>ksc265 veryslow vsvp9_offline_veryslow</t>
    <phoneticPr fontId="5" type="noConversion"/>
  </si>
  <si>
    <t>ksc265vsvp9_offline_veryfast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</si>
  <si>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</si>
  <si>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</si>
  <si>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</si>
  <si>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</si>
  <si>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</si>
  <si>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</si>
  <si>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</si>
  <si>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</si>
  <si>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</si>
  <si>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</si>
  <si>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本测试为vp9与QY265v2.5.2.1版本离线编码对比测试，测试设备为台式机（Win7操作系统，i5-4670四核CPU，8G内存），采取cbr模式编码、veryfast档次、单线程模式编码</t>
  </si>
  <si>
    <t>本测试为vp9与QY265v2.5.2.1版本离线编码对比测试，测试设备为台式机（Win7操作系统，i5-4670四核CPU，8G内存），采取cbr模式编码、veryfast档次、满线程模式编码</t>
  </si>
  <si>
    <t>本测试为vp9与QY265v2.5.2.1版本离线编码对比测试，测试设备为台式机（Win7操作系统，i5-4670四核CPU，8G内存），采取cbr模式编码、slow档次、单线程模式编码</t>
  </si>
  <si>
    <t>本测试为vp9与QY265v2.5.2.1版本离线编码对比测试，测试设备为台式机（Win7操作系统，i5-4670四核CPU，8G内存），采取cbr模式编码、slow档次、满线程模式编码</t>
  </si>
  <si>
    <t>本测试为vp9与QY265v2.5.2.1版本离线编码对比测试，测试设备为台式机（Win7操作系统，i5-4670四核CPU，8G内存），采取cbr模式编码、veryslow档次、满线程模式编码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</si>
</sst>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6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83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2" t="s">
        <v>23</v>
      </c>
      <c r="C2" s="43"/>
      <c r="D2" s="43"/>
      <c r="E2" s="43"/>
      <c r="F2" s="43"/>
      <c r="G2" s="43"/>
      <c r="H2" s="5"/>
      <c r="I2" s="42" t="s">
        <v>24</v>
      </c>
      <c r="J2" s="43"/>
      <c r="K2" s="43"/>
      <c r="L2" s="43"/>
      <c r="M2" s="43"/>
      <c r="N2" s="43"/>
      <c r="P2" s="42" t="s">
        <v>7</v>
      </c>
      <c r="Q2" s="43"/>
      <c r="R2" s="44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2" t="s">
        <v>24</v>
      </c>
      <c r="C48" s="43"/>
      <c r="D48" s="43"/>
      <c r="E48" s="43"/>
      <c r="F48" s="43"/>
      <c r="G48" s="43"/>
      <c r="H48" s="5"/>
      <c r="I48" s="42" t="s">
        <v>26</v>
      </c>
      <c r="J48" s="43"/>
      <c r="K48" s="43"/>
      <c r="L48" s="43"/>
      <c r="M48" s="43"/>
      <c r="N48" s="43"/>
      <c r="P48" s="42" t="s">
        <v>7</v>
      </c>
      <c r="Q48" s="43"/>
      <c r="R48" s="44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2" t="s">
        <v>24</v>
      </c>
      <c r="C92" s="43"/>
      <c r="D92" s="43"/>
      <c r="E92" s="43"/>
      <c r="F92" s="43"/>
      <c r="G92" s="43"/>
      <c r="H92" s="5"/>
      <c r="I92" s="42" t="s">
        <v>27</v>
      </c>
      <c r="J92" s="43"/>
      <c r="K92" s="43"/>
      <c r="L92" s="43"/>
      <c r="M92" s="43"/>
      <c r="N92" s="43"/>
      <c r="P92" s="42" t="s">
        <v>7</v>
      </c>
      <c r="Q92" s="43"/>
      <c r="R92" s="44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2" t="s">
        <v>24</v>
      </c>
      <c r="C136" s="43"/>
      <c r="D136" s="43"/>
      <c r="E136" s="43"/>
      <c r="F136" s="43"/>
      <c r="G136" s="43"/>
      <c r="H136" s="5"/>
      <c r="I136" s="42" t="s">
        <v>28</v>
      </c>
      <c r="J136" s="43"/>
      <c r="K136" s="43"/>
      <c r="L136" s="43"/>
      <c r="M136" s="43"/>
      <c r="N136" s="43"/>
      <c r="P136" s="42" t="s">
        <v>7</v>
      </c>
      <c r="Q136" s="43"/>
      <c r="R136" s="44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829" priority="21" operator="greaterThan">
      <formula>0.03</formula>
    </cfRule>
    <cfRule type="cellIs" dxfId="828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1"/>
  <sheetViews>
    <sheetView tabSelected="1" topLeftCell="G1" zoomScale="85" zoomScaleNormal="85" workbookViewId="0">
      <selection activeCell="X43" sqref="X43"/>
    </sheetView>
  </sheetViews>
  <sheetFormatPr defaultRowHeight="15.75" x14ac:dyDescent="0.25"/>
  <cols>
    <col min="1" max="1" width="11.25" bestFit="1" customWidth="1"/>
    <col min="2" max="2" width="12.625" bestFit="1" customWidth="1"/>
    <col min="3" max="3" width="9.75" bestFit="1" customWidth="1"/>
    <col min="4" max="4" width="10.125" bestFit="1" customWidth="1"/>
    <col min="5" max="5" width="10" bestFit="1" customWidth="1"/>
    <col min="6" max="6" width="12.375" bestFit="1" customWidth="1"/>
    <col min="7" max="7" width="10.125" bestFit="1" customWidth="1"/>
    <col min="8" max="8" width="9.625" customWidth="1"/>
    <col min="9" max="9" width="11.25" bestFit="1" customWidth="1"/>
    <col min="10" max="10" width="12.625" bestFit="1" customWidth="1"/>
    <col min="11" max="11" width="9.75" bestFit="1" customWidth="1"/>
    <col min="12" max="12" width="10.125" bestFit="1" customWidth="1"/>
    <col min="13" max="13" width="10" bestFit="1" customWidth="1"/>
    <col min="14" max="14" width="12.375" bestFit="1" customWidth="1"/>
    <col min="15" max="15" width="10.125" bestFit="1" customWidth="1"/>
    <col min="17" max="17" width="10.25" bestFit="1" customWidth="1"/>
    <col min="18" max="18" width="12.625" bestFit="1" customWidth="1"/>
    <col min="19" max="19" width="9.75" bestFit="1" customWidth="1"/>
    <col min="20" max="20" width="10.125" bestFit="1" customWidth="1"/>
    <col min="21" max="21" width="10" bestFit="1" customWidth="1"/>
    <col min="22" max="22" width="12.375" bestFit="1" customWidth="1"/>
    <col min="23" max="23" width="10.5" bestFit="1" customWidth="1"/>
  </cols>
  <sheetData>
    <row r="1" spans="1:23" ht="16.5" thickBot="1" x14ac:dyDescent="0.3">
      <c r="A1" s="48" t="s">
        <v>115</v>
      </c>
      <c r="B1" s="49"/>
      <c r="C1" s="49"/>
      <c r="D1" s="49"/>
      <c r="E1" s="49"/>
      <c r="F1" s="49"/>
      <c r="G1" s="50"/>
      <c r="H1" s="40"/>
      <c r="I1" s="48" t="s">
        <v>120</v>
      </c>
      <c r="J1" s="49"/>
      <c r="K1" s="49"/>
      <c r="L1" s="49"/>
      <c r="M1" s="49"/>
      <c r="N1" s="49"/>
      <c r="O1" s="50"/>
      <c r="Q1" s="48" t="s">
        <v>139</v>
      </c>
      <c r="R1" s="49"/>
      <c r="S1" s="49"/>
      <c r="T1" s="49"/>
      <c r="U1" s="49"/>
      <c r="V1" s="49"/>
      <c r="W1" s="50"/>
    </row>
    <row r="2" spans="1:23" ht="16.5" thickBot="1" x14ac:dyDescent="0.3">
      <c r="A2" s="37" t="s">
        <v>74</v>
      </c>
      <c r="B2" s="37" t="s">
        <v>73</v>
      </c>
      <c r="C2" s="37" t="s">
        <v>69</v>
      </c>
      <c r="D2" s="37" t="s">
        <v>70</v>
      </c>
      <c r="E2" s="37" t="s">
        <v>71</v>
      </c>
      <c r="F2" s="37" t="s">
        <v>72</v>
      </c>
      <c r="G2" s="37" t="s">
        <v>75</v>
      </c>
      <c r="H2" s="40"/>
      <c r="I2" s="37" t="s">
        <v>74</v>
      </c>
      <c r="J2" s="37" t="s">
        <v>73</v>
      </c>
      <c r="K2" s="37" t="s">
        <v>69</v>
      </c>
      <c r="L2" s="37" t="s">
        <v>70</v>
      </c>
      <c r="M2" s="37" t="s">
        <v>71</v>
      </c>
      <c r="N2" s="37" t="s">
        <v>72</v>
      </c>
      <c r="O2" s="37" t="s">
        <v>75</v>
      </c>
      <c r="Q2" s="37" t="s">
        <v>144</v>
      </c>
      <c r="R2" s="37" t="s">
        <v>73</v>
      </c>
      <c r="S2" s="37" t="s">
        <v>69</v>
      </c>
      <c r="T2" s="37" t="s">
        <v>70</v>
      </c>
      <c r="U2" s="37" t="s">
        <v>71</v>
      </c>
      <c r="V2" s="37" t="s">
        <v>72</v>
      </c>
      <c r="W2" s="37" t="s">
        <v>75</v>
      </c>
    </row>
    <row r="3" spans="1:23" ht="16.5" thickBot="1" x14ac:dyDescent="0.3">
      <c r="A3" s="45">
        <v>1</v>
      </c>
      <c r="B3" s="37" t="s">
        <v>35</v>
      </c>
      <c r="C3" s="38">
        <f>AVERAGE(X264vsQY265_offline_veryfast!Q9:Q16)</f>
        <v>-0.44762986118455939</v>
      </c>
      <c r="D3" s="38">
        <f>AVERAGE(X264vsQY265_offline_veryfast!R9:R16)</f>
        <v>-0.44989211471975266</v>
      </c>
      <c r="E3" s="38">
        <f>AVERAGE(X264vsQY265_offline_veryfast!S9:S16)</f>
        <v>-0.48190890882658188</v>
      </c>
      <c r="F3" s="38">
        <f>AVERAGE(X264vsQY265_offline_veryfast!T9:T16)</f>
        <v>-0.45072492735076269</v>
      </c>
      <c r="G3" s="39">
        <f>AVERAGE(X264vsQY265_offline_veryfast!U9:U16)</f>
        <v>7.9361954167256055E-2</v>
      </c>
      <c r="H3" s="40"/>
      <c r="I3" s="45">
        <v>1</v>
      </c>
      <c r="J3" s="37" t="s">
        <v>35</v>
      </c>
      <c r="K3" s="38">
        <f>AVERAGE(X265vsQY265_offline_veryfast!Q9:Q16)</f>
        <v>-0.20524923551710356</v>
      </c>
      <c r="L3" s="38">
        <f>AVERAGE(X265vsQY265_offline_veryfast!R9:R16)</f>
        <v>-0.48906330774629136</v>
      </c>
      <c r="M3" s="38">
        <f>AVERAGE(X265vsQY265_offline_veryfast!S9:S16)</f>
        <v>-0.48809240746652488</v>
      </c>
      <c r="N3" s="38">
        <f>AVERAGE(X265vsQY265_offline_veryfast!T9:T16)</f>
        <v>-0.24993800305928826</v>
      </c>
      <c r="O3" s="39">
        <f>AVERAGE(X265vsQY265_offline_veryfast!U9:U16)</f>
        <v>0.88416755657639579</v>
      </c>
      <c r="Q3" s="45">
        <v>1</v>
      </c>
      <c r="R3" s="37" t="s">
        <v>35</v>
      </c>
      <c r="S3" s="38">
        <f>AVERAGE(VP9vsQY265_offline_veryfast!Q9:Q16)</f>
        <v>-0.35128439642591203</v>
      </c>
      <c r="T3" s="38">
        <f>AVERAGE(VP9vsQY265_offline_veryfast!R9:R16)</f>
        <v>-0.49701297088369401</v>
      </c>
      <c r="U3" s="38">
        <f>AVERAGE(VP9vsQY265_offline_veryfast!S9:S16)</f>
        <v>-0.51338338959222862</v>
      </c>
      <c r="V3" s="38">
        <f>AVERAGE(VP9vsQY265_offline_veryfast!T9:T16)</f>
        <v>-0.37856406736778597</v>
      </c>
      <c r="W3" s="39">
        <f>AVERAGE(VP9vsQY265_offline_veryfast!U9:U16)</f>
        <v>0.35410970331767644</v>
      </c>
    </row>
    <row r="4" spans="1:23" ht="16.5" thickBot="1" x14ac:dyDescent="0.3">
      <c r="A4" s="46"/>
      <c r="B4" s="37" t="s">
        <v>37</v>
      </c>
      <c r="C4" s="38">
        <f>AVERAGE(X264vsQY265_offline_veryfast!Q17:Q36)</f>
        <v>-0.55534001351682916</v>
      </c>
      <c r="D4" s="38">
        <f>AVERAGE(X264vsQY265_offline_veryfast!R17:R36)</f>
        <v>-0.57838011391795052</v>
      </c>
      <c r="E4" s="38">
        <f>AVERAGE(X264vsQY265_offline_veryfast!S17:S36)</f>
        <v>-0.5963206923185238</v>
      </c>
      <c r="F4" s="38">
        <f>AVERAGE(X264vsQY265_offline_veryfast!T17:T36)</f>
        <v>-0.56141118713022942</v>
      </c>
      <c r="G4" s="39">
        <f>AVERAGE(X264vsQY265_offline_veryfast!U17:U36)</f>
        <v>0.25968538786670503</v>
      </c>
      <c r="H4" s="40"/>
      <c r="I4" s="46"/>
      <c r="J4" s="37" t="s">
        <v>37</v>
      </c>
      <c r="K4" s="38">
        <f>AVERAGE(X265vsQY265_offline_veryfast!Q17:Q36)</f>
        <v>-0.25738432932385635</v>
      </c>
      <c r="L4" s="38">
        <f>AVERAGE(X265vsQY265_offline_veryfast!R17:R36)</f>
        <v>-0.47699984416928543</v>
      </c>
      <c r="M4" s="38">
        <f>AVERAGE(X265vsQY265_offline_veryfast!S17:S36)</f>
        <v>-0.47116790457530555</v>
      </c>
      <c r="N4" s="38">
        <f>AVERAGE(X265vsQY265_offline_veryfast!T17:T36)</f>
        <v>-0.29555460100046932</v>
      </c>
      <c r="O4" s="39">
        <f>AVERAGE(X265vsQY265_offline_veryfast!U17:U36)</f>
        <v>1.0339576868133549</v>
      </c>
      <c r="Q4" s="46"/>
      <c r="R4" s="37" t="s">
        <v>37</v>
      </c>
      <c r="S4" s="38">
        <f>AVERAGE(VP9vsQY265_offline_veryfast!Q17:Q36)</f>
        <v>-0.464877381966949</v>
      </c>
      <c r="T4" s="38">
        <f>AVERAGE(VP9vsQY265_offline_veryfast!R17:R36)</f>
        <v>-0.52078985049093429</v>
      </c>
      <c r="U4" s="38">
        <f>AVERAGE(VP9vsQY265_offline_veryfast!S17:S36)</f>
        <v>-0.5354159442571923</v>
      </c>
      <c r="V4" s="38">
        <f>AVERAGE(VP9vsQY265_offline_veryfast!T17:T36)</f>
        <v>-0.47906668435266758</v>
      </c>
      <c r="W4" s="39">
        <f>AVERAGE(VP9vsQY265_offline_veryfast!U17:U36)</f>
        <v>0.51584872502078105</v>
      </c>
    </row>
    <row r="5" spans="1:23" ht="16.5" thickBot="1" x14ac:dyDescent="0.3">
      <c r="A5" s="46"/>
      <c r="B5" s="37" t="s">
        <v>39</v>
      </c>
      <c r="C5" s="38">
        <f>AVERAGE(X264vsQY265_offline_veryfast!Q37:Q52)</f>
        <v>-0.41677249295401342</v>
      </c>
      <c r="D5" s="38">
        <f>AVERAGE(X264vsQY265_offline_veryfast!R37:R52)</f>
        <v>-0.51872931260120458</v>
      </c>
      <c r="E5" s="38">
        <f>AVERAGE(X264vsQY265_offline_veryfast!S37:S52)</f>
        <v>-0.50559469352376163</v>
      </c>
      <c r="F5" s="38">
        <f>AVERAGE(X264vsQY265_offline_veryfast!T37:T52)</f>
        <v>-0.433411539801277</v>
      </c>
      <c r="G5" s="39">
        <f>AVERAGE(X264vsQY265_offline_veryfast!U37:U52)</f>
        <v>-5.8752160682767569E-2</v>
      </c>
      <c r="H5" s="40"/>
      <c r="I5" s="46"/>
      <c r="J5" s="37" t="s">
        <v>39</v>
      </c>
      <c r="K5" s="38">
        <f>AVERAGE(X265vsQY265_offline_veryfast!Q37:Q52)</f>
        <v>-0.29462678061369535</v>
      </c>
      <c r="L5" s="38">
        <f>AVERAGE(X265vsQY265_offline_veryfast!R37:R52)</f>
        <v>-0.48230114537423385</v>
      </c>
      <c r="M5" s="38">
        <f>AVERAGE(X265vsQY265_offline_veryfast!S37:S52)</f>
        <v>-0.45855953734458266</v>
      </c>
      <c r="N5" s="38">
        <f>AVERAGE(X265vsQY265_offline_veryfast!T37:T52)</f>
        <v>-0.32800332570571883</v>
      </c>
      <c r="O5" s="39">
        <f>AVERAGE(X265vsQY265_offline_veryfast!U37:U52)</f>
        <v>1.0016544415486268</v>
      </c>
      <c r="Q5" s="46"/>
      <c r="R5" s="37" t="s">
        <v>39</v>
      </c>
      <c r="S5" s="38">
        <f>AVERAGE(VP9vsQY265_offline_veryfast!Q37:Q52)</f>
        <v>-0.39057533180173221</v>
      </c>
      <c r="T5" s="38">
        <f>AVERAGE(VP9vsQY265_offline_veryfast!R37:R52)</f>
        <v>-0.50895437425000978</v>
      </c>
      <c r="U5" s="38">
        <f>AVERAGE(VP9vsQY265_offline_veryfast!S37:S52)</f>
        <v>-0.51421975105619522</v>
      </c>
      <c r="V5" s="38">
        <f>AVERAGE(VP9vsQY265_offline_veryfast!T37:T52)</f>
        <v>-0.41729315644895482</v>
      </c>
      <c r="W5" s="39">
        <f>AVERAGE(VP9vsQY265_offline_veryfast!U37:U52)</f>
        <v>0.16239083317883557</v>
      </c>
    </row>
    <row r="6" spans="1:23" ht="16.5" thickBot="1" x14ac:dyDescent="0.3">
      <c r="A6" s="46"/>
      <c r="B6" s="37" t="s">
        <v>41</v>
      </c>
      <c r="C6" s="38">
        <f>AVERAGE(X264vsQY265_offline_veryfast!Q53:Q68)</f>
        <v>-0.37376111435369208</v>
      </c>
      <c r="D6" s="38">
        <f>AVERAGE(X264vsQY265_offline_veryfast!R53:R68)</f>
        <v>-0.55848422995064073</v>
      </c>
      <c r="E6" s="38">
        <f>AVERAGE(X264vsQY265_offline_veryfast!S53:S68)</f>
        <v>-0.55015580897054661</v>
      </c>
      <c r="F6" s="38">
        <f>AVERAGE(X264vsQY265_offline_veryfast!T53:T68)</f>
        <v>-0.40561059219438711</v>
      </c>
      <c r="G6" s="39">
        <f>AVERAGE(X264vsQY265_offline_veryfast!U53:U68)</f>
        <v>-0.23315204341092693</v>
      </c>
      <c r="H6" s="40"/>
      <c r="I6" s="46"/>
      <c r="J6" s="37" t="s">
        <v>41</v>
      </c>
      <c r="K6" s="38">
        <f>AVERAGE(X265vsQY265_offline_veryfast!Q53:Q68)</f>
        <v>-0.34115789659322349</v>
      </c>
      <c r="L6" s="38">
        <f>AVERAGE(X265vsQY265_offline_veryfast!R53:R68)</f>
        <v>-0.51849679484288791</v>
      </c>
      <c r="M6" s="38">
        <f>AVERAGE(X265vsQY265_offline_veryfast!S53:S68)</f>
        <v>-0.5040637021747556</v>
      </c>
      <c r="N6" s="38">
        <f>AVERAGE(X265vsQY265_offline_veryfast!T53:T68)</f>
        <v>-0.37450260147378545</v>
      </c>
      <c r="O6" s="39">
        <f>AVERAGE(X265vsQY265_offline_veryfast!U53:U68)</f>
        <v>0.70906652115470004</v>
      </c>
      <c r="Q6" s="46"/>
      <c r="R6" s="37" t="s">
        <v>41</v>
      </c>
      <c r="S6" s="38">
        <f>AVERAGE(VP9vsQY265_offline_veryfast!Q53:Q68)</f>
        <v>-0.43151859582103358</v>
      </c>
      <c r="T6" s="38">
        <f>AVERAGE(VP9vsQY265_offline_veryfast!R53:R68)</f>
        <v>-0.48366351296062049</v>
      </c>
      <c r="U6" s="38">
        <f>AVERAGE(VP9vsQY265_offline_veryfast!S53:S68)</f>
        <v>-0.50695560514953131</v>
      </c>
      <c r="V6" s="38">
        <f>AVERAGE(VP9vsQY265_offline_veryfast!T53:T68)</f>
        <v>-0.45149297167118285</v>
      </c>
      <c r="W6" s="39">
        <f>AVERAGE(VP9vsQY265_offline_veryfast!U53:U68)</f>
        <v>0.10558490732028183</v>
      </c>
    </row>
    <row r="7" spans="1:23" ht="16.5" thickBot="1" x14ac:dyDescent="0.3">
      <c r="A7" s="46"/>
      <c r="B7" s="37" t="s">
        <v>43</v>
      </c>
      <c r="C7" s="38">
        <f>AVERAGE(X264vsQY265_offline_veryfast!Q69:Q80)</f>
        <v>-0.51863468491747267</v>
      </c>
      <c r="D7" s="38">
        <f>AVERAGE(X264vsQY265_offline_veryfast!R69:R80)</f>
        <v>-0.624200272358028</v>
      </c>
      <c r="E7" s="38">
        <f>AVERAGE(X264vsQY265_offline_veryfast!S69:S80)</f>
        <v>-0.63964994562883315</v>
      </c>
      <c r="F7" s="38">
        <f>AVERAGE(X264vsQY265_offline_veryfast!T69:T80)</f>
        <v>-0.54588418584801801</v>
      </c>
      <c r="G7" s="39">
        <f>AVERAGE(X264vsQY265_offline_veryfast!U69:U80)</f>
        <v>0.45242373406714265</v>
      </c>
      <c r="H7" s="40"/>
      <c r="I7" s="46"/>
      <c r="J7" s="37" t="s">
        <v>43</v>
      </c>
      <c r="K7" s="38">
        <f>AVERAGE(X265vsQY265_offline_veryfast!Q69:Q80)</f>
        <v>-0.40028571330441998</v>
      </c>
      <c r="L7" s="38">
        <f>AVERAGE(X265vsQY265_offline_veryfast!R69:R80)</f>
        <v>-0.4586363000876772</v>
      </c>
      <c r="M7" s="38">
        <f>AVERAGE(X265vsQY265_offline_veryfast!S69:S80)</f>
        <v>-0.45737612328212734</v>
      </c>
      <c r="N7" s="38">
        <f>AVERAGE(X265vsQY265_offline_veryfast!T69:T80)</f>
        <v>-0.41277756120937442</v>
      </c>
      <c r="O7" s="39">
        <f>AVERAGE(X265vsQY265_offline_veryfast!U69:U80)</f>
        <v>1.1082705375796058</v>
      </c>
      <c r="Q7" s="46"/>
      <c r="R7" s="37" t="s">
        <v>43</v>
      </c>
      <c r="S7" s="38">
        <f>AVERAGE(VP9vsQY265_offline_veryfast!Q69:Q80)</f>
        <v>-0.46780608983713429</v>
      </c>
      <c r="T7" s="38">
        <f>AVERAGE(VP9vsQY265_offline_veryfast!R69:R80)</f>
        <v>-0.3258438863654281</v>
      </c>
      <c r="U7" s="38">
        <f>AVERAGE(VP9vsQY265_offline_veryfast!S69:S80)</f>
        <v>-0.32231900049960283</v>
      </c>
      <c r="V7" s="38">
        <f>AVERAGE(VP9vsQY265_offline_veryfast!T69:T80)</f>
        <v>-0.43887205249187961</v>
      </c>
      <c r="W7" s="39">
        <f>AVERAGE(VP9vsQY265_offline_veryfast!U69:U80)</f>
        <v>0.50562442761313697</v>
      </c>
    </row>
    <row r="8" spans="1:23" ht="16.5" thickBot="1" x14ac:dyDescent="0.3">
      <c r="A8" s="46"/>
      <c r="B8" s="41" t="s">
        <v>114</v>
      </c>
      <c r="C8" s="38">
        <f>AVERAGE(X264vsQY265_offline_veryfast!Q81:Q124)</f>
        <v>-0.38304927838808633</v>
      </c>
      <c r="D8" s="38">
        <f>AVERAGE(X264vsQY265_offline_veryfast!R81:R124)</f>
        <v>-0.43723891841200985</v>
      </c>
      <c r="E8" s="38">
        <f>AVERAGE(X264vsQY265_offline_veryfast!S81:S124)</f>
        <v>-0.42552804281091916</v>
      </c>
      <c r="F8" s="38">
        <f>AVERAGE(X264vsQY265_offline_veryfast!T81:T124)</f>
        <v>-0.39528101166834767</v>
      </c>
      <c r="G8" s="39">
        <f>AVERAGE(X264vsQY265_offline_veryfast!U81:U124)</f>
        <v>5.2041212298534555E-2</v>
      </c>
      <c r="H8" s="40"/>
      <c r="I8" s="46"/>
      <c r="J8" s="41" t="s">
        <v>114</v>
      </c>
      <c r="K8" s="38">
        <f>AVERAGE(X265vsQY265_offline_veryfast!Q81:Q124)</f>
        <v>-0.32717810127842428</v>
      </c>
      <c r="L8" s="38">
        <f>AVERAGE(X265vsQY265_offline_veryfast!R81:R124)</f>
        <v>-0.43832885191857796</v>
      </c>
      <c r="M8" s="38">
        <f>AVERAGE(X265vsQY265_offline_veryfast!S81:S124)</f>
        <v>-0.43612933986296465</v>
      </c>
      <c r="N8" s="38">
        <f>AVERAGE(X265vsQY265_offline_veryfast!T81:T124)</f>
        <v>-0.35092831205775504</v>
      </c>
      <c r="O8" s="39">
        <f>AVERAGE(X265vsQY265_offline_veryfast!U81:U124)</f>
        <v>0.97674714558537734</v>
      </c>
      <c r="Q8" s="46"/>
      <c r="R8" s="41" t="s">
        <v>114</v>
      </c>
      <c r="S8" s="38">
        <f>AVERAGE(VP9vsQY265_offline_veryfast!Q81:Q124)</f>
        <v>-0.37003684227535688</v>
      </c>
      <c r="T8" s="38">
        <f>AVERAGE(VP9vsQY265_offline_veryfast!R81:R124)</f>
        <v>-0.47407188900114733</v>
      </c>
      <c r="U8" s="38">
        <f>AVERAGE(VP9vsQY265_offline_veryfast!S81:S124)</f>
        <v>-0.47341447221745975</v>
      </c>
      <c r="V8" s="38">
        <f>AVERAGE(VP9vsQY265_offline_veryfast!T81:T124)</f>
        <v>-0.39471595697699408</v>
      </c>
      <c r="W8" s="39">
        <f>AVERAGE(VP9vsQY265_offline_veryfast!U81:U124)</f>
        <v>0.20680552506130903</v>
      </c>
    </row>
    <row r="9" spans="1:23" ht="16.5" thickBot="1" x14ac:dyDescent="0.3">
      <c r="A9" s="47"/>
      <c r="B9" s="37" t="s">
        <v>77</v>
      </c>
      <c r="C9" s="38">
        <f>X264vsQY265_offline_veryfast!Q125</f>
        <v>-0.43460483917949833</v>
      </c>
      <c r="D9" s="38">
        <f>X264vsQY265_offline_veryfast!R125</f>
        <v>-0.50975061685664924</v>
      </c>
      <c r="E9" s="38">
        <f>X264vsQY265_offline_veryfast!S125</f>
        <v>-0.5092476412768836</v>
      </c>
      <c r="F9" s="38">
        <f>X264vsQY265_offline_veryfast!T125</f>
        <v>-0.45001165531831744</v>
      </c>
      <c r="G9" s="39">
        <f>X264vsQY265_offline_veryfast!U125</f>
        <v>7.6526157544088591E-2</v>
      </c>
      <c r="H9" s="40"/>
      <c r="I9" s="47"/>
      <c r="J9" s="37" t="s">
        <v>77</v>
      </c>
      <c r="K9" s="38">
        <f>X265vsQY265_offline_veryfast!Q125</f>
        <v>-0.31173707173989973</v>
      </c>
      <c r="L9" s="38">
        <f>X265vsQY265_offline_veryfast!R125</f>
        <v>-0.4677187540887891</v>
      </c>
      <c r="M9" s="38">
        <f>X265vsQY265_offline_veryfast!S125</f>
        <v>-0.46041615186985951</v>
      </c>
      <c r="N9" s="38">
        <f>X265vsQY265_offline_veryfast!T125</f>
        <v>-0.34090402883111609</v>
      </c>
      <c r="O9" s="39">
        <f>X265vsQY265_offline_veryfast!U125</f>
        <v>0.96034612455899471</v>
      </c>
      <c r="Q9" s="47"/>
      <c r="R9" s="37" t="s">
        <v>77</v>
      </c>
      <c r="S9" s="38">
        <f>VP9vsQY265_offline_veryfast!Q125</f>
        <v>-0.40652258440406769</v>
      </c>
      <c r="T9" s="38">
        <f>VP9vsQY265_offline_veryfast!R125</f>
        <v>-0.47450928210943066</v>
      </c>
      <c r="U9" s="38">
        <f>VP9vsQY265_offline_veryfast!S125</f>
        <v>-0.48148496969600663</v>
      </c>
      <c r="V9" s="38">
        <f>VP9vsQY265_offline_veryfast!T125</f>
        <v>-0.4236585432138632</v>
      </c>
      <c r="W9" s="39">
        <f>VP9vsQY265_offline_veryfast!U125</f>
        <v>0.28107241559481166</v>
      </c>
    </row>
    <row r="10" spans="1:23" ht="16.5" thickBot="1" x14ac:dyDescent="0.3">
      <c r="A10" s="45" t="s">
        <v>76</v>
      </c>
      <c r="B10" s="37" t="s">
        <v>35</v>
      </c>
      <c r="C10" s="38">
        <f>AVERAGE(X264vsQY265_offline_veryfast!Q131:Q138)</f>
        <v>-0.50900997493074929</v>
      </c>
      <c r="D10" s="38">
        <f>AVERAGE(X264vsQY265_offline_veryfast!R131:R138)</f>
        <v>-0.48986709002673767</v>
      </c>
      <c r="E10" s="38">
        <f>AVERAGE(X264vsQY265_offline_veryfast!S131:S138)</f>
        <v>-0.5170907197902388</v>
      </c>
      <c r="F10" s="38">
        <f>AVERAGE(X264vsQY265_offline_veryfast!T131:T138)</f>
        <v>-0.50883275595323796</v>
      </c>
      <c r="G10" s="39">
        <f>AVERAGE(X264vsQY265_offline_veryfast!U131:U138)</f>
        <v>-3.5898733918416324E-2</v>
      </c>
      <c r="H10" s="40"/>
      <c r="I10" s="45" t="s">
        <v>76</v>
      </c>
      <c r="J10" s="37" t="s">
        <v>35</v>
      </c>
      <c r="K10" s="38">
        <f>AVERAGE(X265vsQY265_offline_veryfast!Q131:Q138)</f>
        <v>-0.21734941939743646</v>
      </c>
      <c r="L10" s="38">
        <f>AVERAGE(X265vsQY265_offline_veryfast!R131:R138)</f>
        <v>-0.48814767375876644</v>
      </c>
      <c r="M10" s="38">
        <f>AVERAGE(X265vsQY265_offline_veryfast!S131:S138)</f>
        <v>-0.48432786759241397</v>
      </c>
      <c r="N10" s="38">
        <f>AVERAGE(X265vsQY265_offline_veryfast!T131:T138)</f>
        <v>-0.26000883953295789</v>
      </c>
      <c r="O10" s="39">
        <f>AVERAGE(X265vsQY265_offline_veryfast!U131:U138)</f>
        <v>1.0128953623306078</v>
      </c>
      <c r="Q10" s="45" t="s">
        <v>76</v>
      </c>
      <c r="R10" s="37" t="s">
        <v>35</v>
      </c>
      <c r="S10" s="38">
        <f>AVERAGE(VP9vsQY265_offline_veryfast!Q131:Q138)</f>
        <v>-0.33662045682022929</v>
      </c>
      <c r="T10" s="38">
        <f>AVERAGE(VP9vsQY265_offline_veryfast!R131:R138)</f>
        <v>-0.48994242623172596</v>
      </c>
      <c r="U10" s="38">
        <f>AVERAGE(VP9vsQY265_offline_veryfast!S131:S138)</f>
        <v>-0.50840197450363256</v>
      </c>
      <c r="V10" s="38">
        <f>AVERAGE(VP9vsQY265_offline_veryfast!T131:T138)</f>
        <v>-0.36540786195351277</v>
      </c>
      <c r="W10" s="39">
        <f>AVERAGE(VP9vsQY265_offline_veryfast!U131:U138)</f>
        <v>0.32967682332296688</v>
      </c>
    </row>
    <row r="11" spans="1:23" ht="16.5" thickBot="1" x14ac:dyDescent="0.3">
      <c r="A11" s="46"/>
      <c r="B11" s="37" t="s">
        <v>37</v>
      </c>
      <c r="C11" s="38">
        <f>AVERAGE(X264vsQY265_offline_veryfast!Q139:Q158)</f>
        <v>-0.55249135304591979</v>
      </c>
      <c r="D11" s="38">
        <f>AVERAGE(X264vsQY265_offline_veryfast!R139:R158)</f>
        <v>-0.57108278066154117</v>
      </c>
      <c r="E11" s="38">
        <f>AVERAGE(X264vsQY265_offline_veryfast!S139:S158)</f>
        <v>-0.58747221754126167</v>
      </c>
      <c r="F11" s="38">
        <f>AVERAGE(X264vsQY265_offline_veryfast!T139:T158)</f>
        <v>-0.55763319026182889</v>
      </c>
      <c r="G11" s="39">
        <f>AVERAGE(X264vsQY265_offline_veryfast!U139:U158)</f>
        <v>0.12625428267673078</v>
      </c>
      <c r="H11" s="40"/>
      <c r="I11" s="46"/>
      <c r="J11" s="37" t="s">
        <v>37</v>
      </c>
      <c r="K11" s="38">
        <f>AVERAGE(X265vsQY265_offline_veryfast!Q139:Q158)</f>
        <v>-0.27294968408360998</v>
      </c>
      <c r="L11" s="38">
        <f>AVERAGE(X265vsQY265_offline_veryfast!R139:R158)</f>
        <v>-0.47717425926978996</v>
      </c>
      <c r="M11" s="38">
        <f>AVERAGE(X265vsQY265_offline_veryfast!S139:S158)</f>
        <v>-0.47024310603767672</v>
      </c>
      <c r="N11" s="38">
        <f>AVERAGE(X265vsQY265_offline_veryfast!T139:T158)</f>
        <v>-0.30805437415404541</v>
      </c>
      <c r="O11" s="39">
        <f>AVERAGE(X265vsQY265_offline_veryfast!U139:U158)</f>
        <v>1.3109801007537463</v>
      </c>
      <c r="Q11" s="46"/>
      <c r="R11" s="37" t="s">
        <v>37</v>
      </c>
      <c r="S11" s="38">
        <f>AVERAGE(VP9vsQY265_offline_veryfast!Q139:Q158)</f>
        <v>-0.44679455765767812</v>
      </c>
      <c r="T11" s="38">
        <f>AVERAGE(VP9vsQY265_offline_veryfast!R139:R158)</f>
        <v>-0.50950443380439081</v>
      </c>
      <c r="U11" s="38">
        <f>AVERAGE(VP9vsQY265_offline_veryfast!S139:S158)</f>
        <v>-0.52414891017616638</v>
      </c>
      <c r="V11" s="38">
        <f>AVERAGE(VP9vsQY265_offline_veryfast!T139:T158)</f>
        <v>-0.46227517466339607</v>
      </c>
      <c r="W11" s="39">
        <f>AVERAGE(VP9vsQY265_offline_veryfast!U139:U158)</f>
        <v>0.56074968778681045</v>
      </c>
    </row>
    <row r="12" spans="1:23" ht="16.5" thickBot="1" x14ac:dyDescent="0.3">
      <c r="A12" s="46"/>
      <c r="B12" s="37" t="s">
        <v>39</v>
      </c>
      <c r="C12" s="38">
        <f>AVERAGE(X264vsQY265_offline_veryfast!Q159:Q174)</f>
        <v>-0.4081788801248975</v>
      </c>
      <c r="D12" s="38">
        <f>AVERAGE(X264vsQY265_offline_veryfast!R159:R174)</f>
        <v>-0.50384180696433201</v>
      </c>
      <c r="E12" s="38">
        <f>AVERAGE(X264vsQY265_offline_veryfast!S159:S174)</f>
        <v>-0.4927659606256144</v>
      </c>
      <c r="F12" s="38">
        <f>AVERAGE(X264vsQY265_offline_veryfast!T159:T174)</f>
        <v>-0.42403987638194773</v>
      </c>
      <c r="G12" s="39">
        <f>AVERAGE(X264vsQY265_offline_veryfast!U159:U174)</f>
        <v>-0.10138761763442571</v>
      </c>
      <c r="H12" s="40"/>
      <c r="I12" s="46"/>
      <c r="J12" s="37" t="s">
        <v>39</v>
      </c>
      <c r="K12" s="38">
        <f>AVERAGE(X265vsQY265_offline_veryfast!Q159:Q174)</f>
        <v>-0.30258656728616495</v>
      </c>
      <c r="L12" s="38">
        <f>AVERAGE(X265vsQY265_offline_veryfast!R159:R174)</f>
        <v>-0.48385917247186311</v>
      </c>
      <c r="M12" s="38">
        <f>AVERAGE(X265vsQY265_offline_veryfast!S159:S174)</f>
        <v>-0.45897795593004098</v>
      </c>
      <c r="N12" s="38">
        <f>AVERAGE(X265vsQY265_offline_veryfast!T159:T174)</f>
        <v>-0.33442174535444902</v>
      </c>
      <c r="O12" s="39">
        <f>AVERAGE(X265vsQY265_offline_veryfast!U159:U174)</f>
        <v>1.2477122255619724</v>
      </c>
      <c r="Q12" s="46"/>
      <c r="R12" s="37" t="s">
        <v>39</v>
      </c>
      <c r="S12" s="38">
        <f>AVERAGE(VP9vsQY265_offline_veryfast!Q159:Q174)</f>
        <v>-0.36876696570885947</v>
      </c>
      <c r="T12" s="38">
        <f>AVERAGE(VP9vsQY265_offline_veryfast!R159:R174)</f>
        <v>-0.49463481684084182</v>
      </c>
      <c r="U12" s="38">
        <f>AVERAGE(VP9vsQY265_offline_veryfast!S159:S174)</f>
        <v>-0.49903221810095305</v>
      </c>
      <c r="V12" s="38">
        <f>AVERAGE(VP9vsQY265_offline_veryfast!T159:T174)</f>
        <v>-0.39719744839125615</v>
      </c>
      <c r="W12" s="39">
        <f>AVERAGE(VP9vsQY265_offline_veryfast!U159:U174)</f>
        <v>1.0557482440298285</v>
      </c>
    </row>
    <row r="13" spans="1:23" ht="16.5" thickBot="1" x14ac:dyDescent="0.3">
      <c r="A13" s="46"/>
      <c r="B13" s="37" t="s">
        <v>41</v>
      </c>
      <c r="C13" s="38">
        <f>AVERAGE(X264vsQY265_offline_veryfast!Q175:Q190)</f>
        <v>-0.36528099229768518</v>
      </c>
      <c r="D13" s="38">
        <f>AVERAGE(X264vsQY265_offline_veryfast!R175:R190)</f>
        <v>-0.54482704455007469</v>
      </c>
      <c r="E13" s="38">
        <f>AVERAGE(X264vsQY265_offline_veryfast!S175:S190)</f>
        <v>-0.53835300176871803</v>
      </c>
      <c r="F13" s="38">
        <f>AVERAGE(X264vsQY265_offline_veryfast!T175:T190)</f>
        <v>-0.39662501611253903</v>
      </c>
      <c r="G13" s="39">
        <f>AVERAGE(X264vsQY265_offline_veryfast!U175:U190)</f>
        <v>-0.21865000156215528</v>
      </c>
      <c r="H13" s="40"/>
      <c r="I13" s="46"/>
      <c r="J13" s="37" t="s">
        <v>41</v>
      </c>
      <c r="K13" s="38">
        <f>AVERAGE(X265vsQY265_offline_veryfast!Q175:Q190)</f>
        <v>-0.35377944896817987</v>
      </c>
      <c r="L13" s="38">
        <f>AVERAGE(X265vsQY265_offline_veryfast!R175:R190)</f>
        <v>-0.51922909306088694</v>
      </c>
      <c r="M13" s="38">
        <f>AVERAGE(X265vsQY265_offline_veryfast!S175:S190)</f>
        <v>-0.51189262612204711</v>
      </c>
      <c r="N13" s="38">
        <f>AVERAGE(X265vsQY265_offline_veryfast!T175:T190)</f>
        <v>-0.38569666912784595</v>
      </c>
      <c r="O13" s="39">
        <f>AVERAGE(X265vsQY265_offline_veryfast!U175:U190)</f>
        <v>0.74077265578841811</v>
      </c>
      <c r="Q13" s="46"/>
      <c r="R13" s="37" t="s">
        <v>41</v>
      </c>
      <c r="S13" s="38">
        <f>AVERAGE(VP9vsQY265_offline_veryfast!Q175:Q190)</f>
        <v>-0.41678592607592868</v>
      </c>
      <c r="T13" s="38">
        <f>AVERAGE(VP9vsQY265_offline_veryfast!R175:R190)</f>
        <v>-0.47160863097145367</v>
      </c>
      <c r="U13" s="38">
        <f>AVERAGE(VP9vsQY265_offline_veryfast!S175:S190)</f>
        <v>-0.49645701779317852</v>
      </c>
      <c r="V13" s="38">
        <f>AVERAGE(VP9vsQY265_offline_veryfast!T175:T190)</f>
        <v>-0.43732707562022211</v>
      </c>
      <c r="W13" s="39">
        <f>AVERAGE(VP9vsQY265_offline_veryfast!U175:U190)</f>
        <v>1.8871805033228304</v>
      </c>
    </row>
    <row r="14" spans="1:23" ht="16.5" thickBot="1" x14ac:dyDescent="0.3">
      <c r="A14" s="46"/>
      <c r="B14" s="37" t="s">
        <v>43</v>
      </c>
      <c r="C14" s="38">
        <f>AVERAGE(X264vsQY265_offline_veryfast!Q191:Q202)</f>
        <v>-0.50374788315054009</v>
      </c>
      <c r="D14" s="38">
        <f>AVERAGE(X264vsQY265_offline_veryfast!R191:R202)</f>
        <v>-0.61003487854582261</v>
      </c>
      <c r="E14" s="38">
        <f>AVERAGE(X264vsQY265_offline_veryfast!S191:S202)</f>
        <v>-0.62828589042165106</v>
      </c>
      <c r="F14" s="38">
        <f>AVERAGE(X264vsQY265_offline_veryfast!T191:T202)</f>
        <v>-0.53103005574983475</v>
      </c>
      <c r="G14" s="39">
        <f>AVERAGE(X264vsQY265_offline_veryfast!U191:U202)</f>
        <v>0.18899146307516079</v>
      </c>
      <c r="H14" s="40"/>
      <c r="I14" s="46"/>
      <c r="J14" s="37" t="s">
        <v>43</v>
      </c>
      <c r="K14" s="38">
        <f>AVERAGE(X265vsQY265_offline_veryfast!Q191:Q202)</f>
        <v>-0.41390380982599057</v>
      </c>
      <c r="L14" s="38">
        <f>AVERAGE(X265vsQY265_offline_veryfast!R191:R202)</f>
        <v>-0.47002899024835654</v>
      </c>
      <c r="M14" s="38">
        <f>AVERAGE(X265vsQY265_offline_veryfast!S191:S202)</f>
        <v>-0.45873571613905789</v>
      </c>
      <c r="N14" s="38">
        <f>AVERAGE(X265vsQY265_offline_veryfast!T191:T202)</f>
        <v>-0.42443638968173997</v>
      </c>
      <c r="O14" s="39">
        <f>AVERAGE(X265vsQY265_offline_veryfast!U191:U202)</f>
        <v>1.279990600849308</v>
      </c>
      <c r="Q14" s="46"/>
      <c r="R14" s="37" t="s">
        <v>43</v>
      </c>
      <c r="S14" s="38">
        <f>AVERAGE(VP9vsQY265_offline_veryfast!Q191:Q202)</f>
        <v>-0.44319431296721773</v>
      </c>
      <c r="T14" s="38">
        <f>AVERAGE(VP9vsQY265_offline_veryfast!R191:R202)</f>
        <v>-0.30348507746527836</v>
      </c>
      <c r="U14" s="38">
        <f>AVERAGE(VP9vsQY265_offline_veryfast!S191:S202)</f>
        <v>-0.3027043411560964</v>
      </c>
      <c r="V14" s="38">
        <f>AVERAGE(VP9vsQY265_offline_veryfast!T191:T202)</f>
        <v>-0.41497758961244191</v>
      </c>
      <c r="W14" s="39">
        <f>AVERAGE(VP9vsQY265_offline_veryfast!U191:U202)</f>
        <v>0.43463666628719594</v>
      </c>
    </row>
    <row r="15" spans="1:23" ht="16.5" thickBot="1" x14ac:dyDescent="0.3">
      <c r="A15" s="46"/>
      <c r="B15" s="41" t="s">
        <v>114</v>
      </c>
      <c r="C15" s="38">
        <f>AVERAGE(X264vsQY265_offline_veryfast!Q203:Q246)</f>
        <v>-0.37404059641611104</v>
      </c>
      <c r="D15" s="38">
        <f>AVERAGE(X264vsQY265_offline_veryfast!R203:R246)</f>
        <v>-0.42804591473607573</v>
      </c>
      <c r="E15" s="38">
        <f>AVERAGE(X264vsQY265_offline_veryfast!S203:S246)</f>
        <v>-0.41300148044704982</v>
      </c>
      <c r="F15" s="38">
        <f>AVERAGE(X264vsQY265_offline_veryfast!T203:T246)</f>
        <v>-0.38614754982880578</v>
      </c>
      <c r="G15" s="39">
        <f>AVERAGE(X264vsQY265_offline_veryfast!U203:U246)</f>
        <v>1.9445597291515446E-2</v>
      </c>
      <c r="H15" s="40"/>
      <c r="I15" s="46"/>
      <c r="J15" s="41" t="s">
        <v>114</v>
      </c>
      <c r="K15" s="38">
        <f>AVERAGE(X265vsQY265_offline_veryfast!Q203:Q246)</f>
        <v>-0.33776472026765397</v>
      </c>
      <c r="L15" s="38">
        <f>AVERAGE(X265vsQY265_offline_veryfast!R203:R246)</f>
        <v>-0.4448380762380344</v>
      </c>
      <c r="M15" s="38">
        <f>AVERAGE(X265vsQY265_offline_veryfast!S203:S246)</f>
        <v>-0.44119276423131359</v>
      </c>
      <c r="N15" s="38">
        <f>AVERAGE(X265vsQY265_offline_veryfast!T203:T246)</f>
        <v>-0.36024249432544148</v>
      </c>
      <c r="O15" s="39">
        <f>AVERAGE(X265vsQY265_offline_veryfast!U203:U246)</f>
        <v>1.306693248509736</v>
      </c>
      <c r="Q15" s="46"/>
      <c r="R15" s="41" t="s">
        <v>114</v>
      </c>
      <c r="S15" s="38">
        <f>AVERAGE(VP9vsQY265_offline_veryfast!Q203:Q246)</f>
        <v>-0.35403896160484721</v>
      </c>
      <c r="T15" s="38">
        <f>AVERAGE(VP9vsQY265_offline_veryfast!R203:R246)</f>
        <v>-0.46162782553709308</v>
      </c>
      <c r="U15" s="38">
        <f>AVERAGE(VP9vsQY265_offline_veryfast!S203:S246)</f>
        <v>-0.4590276565341449</v>
      </c>
      <c r="V15" s="38">
        <f>AVERAGE(VP9vsQY265_offline_veryfast!T203:T246)</f>
        <v>-0.3791633805480234</v>
      </c>
      <c r="W15" s="39">
        <f>AVERAGE(VP9vsQY265_offline_veryfast!U203:U246)</f>
        <v>0.39893159579567322</v>
      </c>
    </row>
    <row r="16" spans="1:23" ht="15.75" customHeight="1" thickBot="1" x14ac:dyDescent="0.3">
      <c r="A16" s="47"/>
      <c r="B16" s="37" t="s">
        <v>77</v>
      </c>
      <c r="C16" s="38">
        <f>X264vsQY265_offline_veryfast!Q247</f>
        <v>-0.43103470395897481</v>
      </c>
      <c r="D16" s="38">
        <f>X264vsQY265_offline_veryfast!R247</f>
        <v>-0.50235976507424518</v>
      </c>
      <c r="E16" s="38">
        <f>X264vsQY265_offline_veryfast!S247</f>
        <v>-0.50082387355333147</v>
      </c>
      <c r="F16" s="38">
        <f>X264vsQY265_offline_veryfast!T247</f>
        <v>-0.4458346292606874</v>
      </c>
      <c r="G16" s="39">
        <f>X264vsQY265_offline_veryfast!U247</f>
        <v>2.0758423514706742E-3</v>
      </c>
      <c r="H16" s="40"/>
      <c r="I16" s="47"/>
      <c r="J16" s="37" t="s">
        <v>77</v>
      </c>
      <c r="K16" s="38">
        <f>X265vsQY265_offline_veryfast!Q247</f>
        <v>-0.32351843712594719</v>
      </c>
      <c r="L16" s="38">
        <f>X265vsQY265_offline_veryfast!R247</f>
        <v>-0.47164915570210114</v>
      </c>
      <c r="M16" s="38">
        <f>X265vsQY265_offline_veryfast!S247</f>
        <v>-0.46319590167390307</v>
      </c>
      <c r="N16" s="38">
        <f>X265vsQY265_offline_veryfast!T247</f>
        <v>-0.35092206256518621</v>
      </c>
      <c r="O16" s="39">
        <f>X265vsQY265_offline_veryfast!U247</f>
        <v>1.1982147686202249</v>
      </c>
      <c r="Q16" s="47"/>
      <c r="R16" s="37" t="s">
        <v>77</v>
      </c>
      <c r="S16" s="38">
        <f>VP9vsQY265_offline_veryfast!Q247</f>
        <v>-0.38873919950424046</v>
      </c>
      <c r="T16" s="38">
        <f>VP9vsQY265_offline_veryfast!R247</f>
        <v>-0.4614049008978775</v>
      </c>
      <c r="U16" s="38">
        <f>VP9vsQY265_offline_veryfast!S247</f>
        <v>-0.46816974788994858</v>
      </c>
      <c r="V16" s="38">
        <f>VP9vsQY265_offline_veryfast!T247</f>
        <v>-0.40675929821156898</v>
      </c>
      <c r="W16" s="39">
        <f>VP9vsQY265_offline_veryfast!U247</f>
        <v>0.72161981474498682</v>
      </c>
    </row>
    <row r="17" spans="1:23" ht="16.5" thickBot="1" x14ac:dyDescent="0.3">
      <c r="A17" s="48" t="s">
        <v>118</v>
      </c>
      <c r="B17" s="49"/>
      <c r="C17" s="49"/>
      <c r="D17" s="49"/>
      <c r="E17" s="49"/>
      <c r="F17" s="49"/>
      <c r="G17" s="50"/>
      <c r="I17" s="48" t="s">
        <v>121</v>
      </c>
      <c r="J17" s="49"/>
      <c r="K17" s="49"/>
      <c r="L17" s="49"/>
      <c r="M17" s="49"/>
      <c r="N17" s="49"/>
      <c r="O17" s="50"/>
      <c r="Q17" s="48" t="s">
        <v>137</v>
      </c>
      <c r="R17" s="49"/>
      <c r="S17" s="49"/>
      <c r="T17" s="49"/>
      <c r="U17" s="49"/>
      <c r="V17" s="49"/>
      <c r="W17" s="50"/>
    </row>
    <row r="18" spans="1:23" ht="16.5" thickBot="1" x14ac:dyDescent="0.3">
      <c r="A18" s="37" t="s">
        <v>74</v>
      </c>
      <c r="B18" s="37" t="s">
        <v>73</v>
      </c>
      <c r="C18" s="37" t="s">
        <v>69</v>
      </c>
      <c r="D18" s="37" t="s">
        <v>70</v>
      </c>
      <c r="E18" s="37" t="s">
        <v>71</v>
      </c>
      <c r="F18" s="37" t="s">
        <v>72</v>
      </c>
      <c r="G18" s="37" t="s">
        <v>75</v>
      </c>
      <c r="I18" s="37" t="s">
        <v>74</v>
      </c>
      <c r="J18" s="37" t="s">
        <v>73</v>
      </c>
      <c r="K18" s="37" t="s">
        <v>69</v>
      </c>
      <c r="L18" s="37" t="s">
        <v>70</v>
      </c>
      <c r="M18" s="37" t="s">
        <v>71</v>
      </c>
      <c r="N18" s="37" t="s">
        <v>72</v>
      </c>
      <c r="O18" s="37" t="s">
        <v>75</v>
      </c>
      <c r="Q18" s="37" t="s">
        <v>144</v>
      </c>
      <c r="R18" s="37" t="s">
        <v>73</v>
      </c>
      <c r="S18" s="37" t="s">
        <v>69</v>
      </c>
      <c r="T18" s="37" t="s">
        <v>70</v>
      </c>
      <c r="U18" s="37" t="s">
        <v>71</v>
      </c>
      <c r="V18" s="37" t="s">
        <v>72</v>
      </c>
      <c r="W18" s="37" t="s">
        <v>75</v>
      </c>
    </row>
    <row r="19" spans="1:23" ht="16.5" thickBot="1" x14ac:dyDescent="0.3">
      <c r="A19" s="45">
        <v>1</v>
      </c>
      <c r="B19" s="37" t="s">
        <v>35</v>
      </c>
      <c r="C19" s="38">
        <f>AVERAGE(X264vsQY265_offline_slow!Q9:Q16)</f>
        <v>-0.33761287780855731</v>
      </c>
      <c r="D19" s="38">
        <f>AVERAGE(X264vsQY265_offline_slow!R9:R16)</f>
        <v>-0.50185311884554928</v>
      </c>
      <c r="E19" s="38">
        <f>AVERAGE(X264vsQY265_offline_slow!S9:S16)</f>
        <v>-0.53262655720368146</v>
      </c>
      <c r="F19" s="38">
        <f>AVERAGE(X264vsQY265_offline_slow!T9:T16)</f>
        <v>-0.3641130041257688</v>
      </c>
      <c r="G19" s="39">
        <f>AVERAGE(X264vsQY265_offline_slow!U9:U16)</f>
        <v>-3.3273487202399671E-2</v>
      </c>
      <c r="I19" s="45">
        <v>1</v>
      </c>
      <c r="J19" s="37" t="s">
        <v>35</v>
      </c>
      <c r="K19" s="38">
        <f>AVERAGE(X265vsQY265_offline_slow!Q9:Q16)</f>
        <v>-1.1074102672598063E-2</v>
      </c>
      <c r="L19" s="38">
        <f>AVERAGE(X265vsQY265_offline_slow!R9:R16)</f>
        <v>-0.52697027195561819</v>
      </c>
      <c r="M19" s="38">
        <f>AVERAGE(X265vsQY265_offline_slow!S9:S16)</f>
        <v>-0.49837458530921908</v>
      </c>
      <c r="N19" s="38">
        <f>AVERAGE(X265vsQY265_offline_slow!T9:T16)</f>
        <v>-0.10456926231825259</v>
      </c>
      <c r="O19" s="39">
        <f>AVERAGE(X265vsQY265_offline_slow!U9:U16)</f>
        <v>1.7297519775176957</v>
      </c>
      <c r="Q19" s="45">
        <v>1</v>
      </c>
      <c r="R19" s="37" t="s">
        <v>35</v>
      </c>
      <c r="S19" s="38">
        <f>AVERAGE(VP9vsQY265_offline_slow!Q9:Q16)</f>
        <v>-0.20301402836268539</v>
      </c>
      <c r="T19" s="38">
        <f>AVERAGE(VP9vsQY265_offline_slow!R9:R16)</f>
        <v>-0.43247817095037777</v>
      </c>
      <c r="U19" s="38">
        <f>AVERAGE(VP9vsQY265_offline_slow!S9:S16)</f>
        <v>-0.43064357056405045</v>
      </c>
      <c r="V19" s="38">
        <f>AVERAGE(VP9vsQY265_offline_slow!T9:T16)</f>
        <v>-0.24003665717251038</v>
      </c>
      <c r="W19" s="39">
        <f>AVERAGE(VP9vsQY265_offline_slow!U9:U16)</f>
        <v>1.2035684719894697</v>
      </c>
    </row>
    <row r="20" spans="1:23" ht="16.5" thickBot="1" x14ac:dyDescent="0.3">
      <c r="A20" s="46"/>
      <c r="B20" s="37" t="s">
        <v>37</v>
      </c>
      <c r="C20" s="38">
        <f>AVERAGE(X264vsQY265_offline_slow!Q17:Q36)</f>
        <v>-0.43564469982340182</v>
      </c>
      <c r="D20" s="38">
        <f>AVERAGE(X264vsQY265_offline_slow!R17:R36)</f>
        <v>-0.56652555105305424</v>
      </c>
      <c r="E20" s="38">
        <f>AVERAGE(X264vsQY265_offline_slow!S17:S36)</f>
        <v>-0.57143011641034924</v>
      </c>
      <c r="F20" s="38">
        <f>AVERAGE(X264vsQY265_offline_slow!T17:T36)</f>
        <v>-0.4576629212816809</v>
      </c>
      <c r="G20" s="39">
        <f>AVERAGE(X264vsQY265_offline_slow!U17:U36)</f>
        <v>0.20862602583741841</v>
      </c>
      <c r="I20" s="46"/>
      <c r="J20" s="37" t="s">
        <v>37</v>
      </c>
      <c r="K20" s="38">
        <f>AVERAGE(X265vsQY265_offline_slow!Q17:Q36)</f>
        <v>-2.8437442390984047E-2</v>
      </c>
      <c r="L20" s="38">
        <f>AVERAGE(X265vsQY265_offline_slow!R17:R36)</f>
        <v>-0.4211982528929335</v>
      </c>
      <c r="M20" s="38">
        <f>AVERAGE(X265vsQY265_offline_slow!S17:S36)</f>
        <v>-0.39601910322578443</v>
      </c>
      <c r="N20" s="38">
        <f>AVERAGE(X265vsQY265_offline_slow!T17:T36)</f>
        <v>-0.10333669973998642</v>
      </c>
      <c r="O20" s="39">
        <f>AVERAGE(X265vsQY265_offline_slow!U17:U36)</f>
        <v>2.5771903974148032</v>
      </c>
      <c r="Q20" s="46"/>
      <c r="R20" s="37" t="s">
        <v>37</v>
      </c>
      <c r="S20" s="38">
        <f>AVERAGE(VP9vsQY265_offline_slow!Q17:Q36)</f>
        <v>-0.22242630596941387</v>
      </c>
      <c r="T20" s="38">
        <f>AVERAGE(VP9vsQY265_offline_slow!R17:R36)</f>
        <v>-0.36202643707788296</v>
      </c>
      <c r="U20" s="38">
        <f>AVERAGE(VP9vsQY265_offline_slow!S17:S36)</f>
        <v>-0.38349660175001876</v>
      </c>
      <c r="V20" s="38">
        <f>AVERAGE(VP9vsQY265_offline_slow!T17:T36)</f>
        <v>-0.25310784741076303</v>
      </c>
      <c r="W20" s="39">
        <f>AVERAGE(VP9vsQY265_offline_slow!U17:U36)</f>
        <v>1.6382921240239803</v>
      </c>
    </row>
    <row r="21" spans="1:23" ht="16.5" thickBot="1" x14ac:dyDescent="0.3">
      <c r="A21" s="46"/>
      <c r="B21" s="37" t="s">
        <v>39</v>
      </c>
      <c r="C21" s="38">
        <f>AVERAGE(X264vsQY265_offline_slow!Q37:Q52)</f>
        <v>-0.33777116747376523</v>
      </c>
      <c r="D21" s="38">
        <f>AVERAGE(X264vsQY265_offline_slow!R37:R52)</f>
        <v>-0.49673157057575051</v>
      </c>
      <c r="E21" s="38">
        <f>AVERAGE(X264vsQY265_offline_slow!S37:S52)</f>
        <v>-0.47774514110922262</v>
      </c>
      <c r="F21" s="38">
        <f>AVERAGE(X264vsQY265_offline_slow!T37:T52)</f>
        <v>-0.36399268128907458</v>
      </c>
      <c r="G21" s="39">
        <f>AVERAGE(X264vsQY265_offline_slow!U37:U52)</f>
        <v>-0.15259643549094437</v>
      </c>
      <c r="I21" s="46"/>
      <c r="J21" s="37" t="s">
        <v>39</v>
      </c>
      <c r="K21" s="38">
        <f>AVERAGE(X265vsQY265_offline_slow!Q37:Q52)</f>
        <v>-7.4109790218716609E-2</v>
      </c>
      <c r="L21" s="38">
        <f>AVERAGE(X265vsQY265_offline_slow!R37:R52)</f>
        <v>-0.37192985382367061</v>
      </c>
      <c r="M21" s="38">
        <f>AVERAGE(X265vsQY265_offline_slow!S37:S52)</f>
        <v>-0.32355252402754531</v>
      </c>
      <c r="N21" s="38">
        <f>AVERAGE(X265vsQY265_offline_slow!T37:T52)</f>
        <v>-0.13021533207702815</v>
      </c>
      <c r="O21" s="39">
        <f>AVERAGE(X265vsQY265_offline_slow!U37:U52)</f>
        <v>1.548500970034318</v>
      </c>
      <c r="Q21" s="46"/>
      <c r="R21" s="37" t="s">
        <v>39</v>
      </c>
      <c r="S21" s="38">
        <f>AVERAGE(VP9vsQY265_offline_slow!Q37:Q52)</f>
        <v>-0.23134234338291851</v>
      </c>
      <c r="T21" s="38">
        <f>AVERAGE(VP9vsQY265_offline_slow!R37:R52)</f>
        <v>-0.2917839617921576</v>
      </c>
      <c r="U21" s="38">
        <f>AVERAGE(VP9vsQY265_offline_slow!S37:S52)</f>
        <v>-0.28436114268705659</v>
      </c>
      <c r="V21" s="38">
        <f>AVERAGE(VP9vsQY265_offline_slow!T37:T52)</f>
        <v>-0.24558941037296811</v>
      </c>
      <c r="W21" s="39">
        <f>AVERAGE(VP9vsQY265_offline_slow!U37:U52)</f>
        <v>0.96217215385593713</v>
      </c>
    </row>
    <row r="22" spans="1:23" ht="16.5" thickBot="1" x14ac:dyDescent="0.3">
      <c r="A22" s="46"/>
      <c r="B22" s="37" t="s">
        <v>41</v>
      </c>
      <c r="C22" s="38">
        <f>AVERAGE(X264vsQY265_offline_slow!Q53:Q68)</f>
        <v>-0.25961327558238007</v>
      </c>
      <c r="D22" s="38">
        <f>AVERAGE(X264vsQY265_offline_slow!R53:R68)</f>
        <v>-0.44768838289131296</v>
      </c>
      <c r="E22" s="38">
        <f>AVERAGE(X264vsQY265_offline_slow!S53:S68)</f>
        <v>-0.45888077560689455</v>
      </c>
      <c r="F22" s="38">
        <f>AVERAGE(X264vsQY265_offline_slow!T53:T68)</f>
        <v>-0.29486831795076462</v>
      </c>
      <c r="G22" s="39">
        <f>AVERAGE(X264vsQY265_offline_slow!U53:U68)</f>
        <v>-0.11633412642763</v>
      </c>
      <c r="I22" s="46"/>
      <c r="J22" s="37" t="s">
        <v>41</v>
      </c>
      <c r="K22" s="38">
        <f>AVERAGE(X265vsQY265_offline_slow!Q53:Q68)</f>
        <v>-3.664393560388593E-2</v>
      </c>
      <c r="L22" s="38">
        <f>AVERAGE(X265vsQY265_offline_slow!R53:R68)</f>
        <v>-0.2712709481481243</v>
      </c>
      <c r="M22" s="38">
        <f>AVERAGE(X265vsQY265_offline_slow!S53:S68)</f>
        <v>-0.25241694690881583</v>
      </c>
      <c r="N22" s="38">
        <f>AVERAGE(X265vsQY265_offline_slow!T53:T68)</f>
        <v>-8.3094026430493101E-2</v>
      </c>
      <c r="O22" s="39">
        <f>AVERAGE(X265vsQY265_offline_slow!U53:U68)</f>
        <v>1.6069592686790128</v>
      </c>
      <c r="Q22" s="46"/>
      <c r="R22" s="37" t="s">
        <v>41</v>
      </c>
      <c r="S22" s="38">
        <f>AVERAGE(VP9vsQY265_offline_slow!Q53:Q68)</f>
        <v>-0.19163757968023268</v>
      </c>
      <c r="T22" s="38">
        <f>AVERAGE(VP9vsQY265_offline_slow!R53:R68)</f>
        <v>-0.15224002529739927</v>
      </c>
      <c r="U22" s="38">
        <f>AVERAGE(VP9vsQY265_offline_slow!S53:S68)</f>
        <v>-0.16332805658882146</v>
      </c>
      <c r="V22" s="38">
        <f>AVERAGE(VP9vsQY265_offline_slow!T53:T68)</f>
        <v>-0.18885390295030469</v>
      </c>
      <c r="W22" s="39">
        <f>AVERAGE(VP9vsQY265_offline_slow!U53:U68)</f>
        <v>1.4185445691523597</v>
      </c>
    </row>
    <row r="23" spans="1:23" ht="16.5" thickBot="1" x14ac:dyDescent="0.3">
      <c r="A23" s="46"/>
      <c r="B23" s="37" t="s">
        <v>43</v>
      </c>
      <c r="C23" s="38">
        <f>AVERAGE(X264vsQY265_offline_slow!Q69:Q80)</f>
        <v>-0.45869938713685476</v>
      </c>
      <c r="D23" s="38">
        <f>AVERAGE(X264vsQY265_offline_slow!R69:R80)</f>
        <v>-0.63890955811797878</v>
      </c>
      <c r="E23" s="38">
        <f>AVERAGE(X264vsQY265_offline_slow!S69:S80)</f>
        <v>-0.64964481293851661</v>
      </c>
      <c r="F23" s="38">
        <f>AVERAGE(X264vsQY265_offline_slow!T69:T80)</f>
        <v>-0.51131288886042237</v>
      </c>
      <c r="G23" s="39">
        <f>AVERAGE(X264vsQY265_offline_slow!U69:U80)</f>
        <v>0.26786216873956886</v>
      </c>
      <c r="I23" s="46"/>
      <c r="J23" s="37" t="s">
        <v>43</v>
      </c>
      <c r="K23" s="38">
        <f>AVERAGE(X265vsQY265_offline_slow!Q69:Q80)</f>
        <v>-0.14089262063905614</v>
      </c>
      <c r="L23" s="38">
        <f>AVERAGE(X265vsQY265_offline_slow!R69:R80)</f>
        <v>-0.32959576184881384</v>
      </c>
      <c r="M23" s="38">
        <f>AVERAGE(X265vsQY265_offline_slow!S69:S80)</f>
        <v>-0.26629823677146613</v>
      </c>
      <c r="N23" s="38">
        <f>AVERAGE(X265vsQY265_offline_slow!T69:T80)</f>
        <v>-0.18124729458588285</v>
      </c>
      <c r="O23" s="39">
        <f>AVERAGE(X265vsQY265_offline_slow!U69:U80)</f>
        <v>2.5293600055221015</v>
      </c>
      <c r="Q23" s="46"/>
      <c r="R23" s="37" t="s">
        <v>43</v>
      </c>
      <c r="S23" s="38">
        <f>AVERAGE(VP9vsQY265_offline_slow!Q69:Q80)</f>
        <v>-0.19489986825502167</v>
      </c>
      <c r="T23" s="38">
        <f>AVERAGE(VP9vsQY265_offline_slow!R69:R80)</f>
        <v>-0.14775344889565625</v>
      </c>
      <c r="U23" s="38">
        <f>AVERAGE(VP9vsQY265_offline_slow!S69:S80)</f>
        <v>-0.12397034769010695</v>
      </c>
      <c r="V23" s="38">
        <f>AVERAGE(VP9vsQY265_offline_slow!T69:T80)</f>
        <v>-0.18207978780588963</v>
      </c>
      <c r="W23" s="39">
        <f>AVERAGE(VP9vsQY265_offline_slow!U69:U80)</f>
        <v>2.8709174345038346</v>
      </c>
    </row>
    <row r="24" spans="1:23" ht="16.5" thickBot="1" x14ac:dyDescent="0.3">
      <c r="A24" s="46"/>
      <c r="B24" s="41" t="s">
        <v>114</v>
      </c>
      <c r="C24" s="38">
        <f>AVERAGE(X264vsQY265_offline_slow!Q81:Q124)</f>
        <v>-0.31440616057719767</v>
      </c>
      <c r="D24" s="38">
        <f>AVERAGE(X264vsQY265_offline_slow!R81:R124)</f>
        <v>-0.40697350765639084</v>
      </c>
      <c r="E24" s="38">
        <f>AVERAGE(X264vsQY265_offline_slow!S81:S124)</f>
        <v>-0.39856717042822343</v>
      </c>
      <c r="F24" s="38">
        <f>AVERAGE(X264vsQY265_offline_slow!T81:T124)</f>
        <v>-0.33307828961421926</v>
      </c>
      <c r="G24" s="39">
        <f>AVERAGE(X264vsQY265_offline_slow!U81:U124)</f>
        <v>-7.8306882910284106E-2</v>
      </c>
      <c r="I24" s="46"/>
      <c r="J24" s="41" t="s">
        <v>114</v>
      </c>
      <c r="K24" s="38">
        <f>AVERAGE(X265vsQY265_offline_slow!Q81:Q124)</f>
        <v>-8.4261029821527555E-2</v>
      </c>
      <c r="L24" s="38">
        <f>AVERAGE(X265vsQY265_offline_slow!R81:R124)</f>
        <v>-0.24243378933992529</v>
      </c>
      <c r="M24" s="38">
        <f>AVERAGE(X265vsQY265_offline_slow!S81:S124)</f>
        <v>-0.2266393029150077</v>
      </c>
      <c r="N24" s="38">
        <f>AVERAGE(X265vsQY265_offline_slow!T81:T124)</f>
        <v>-0.11848570330859248</v>
      </c>
      <c r="O24" s="39">
        <f>AVERAGE(X265vsQY265_offline_slow!U81:U124)</f>
        <v>1.981295872521025</v>
      </c>
      <c r="Q24" s="46"/>
      <c r="R24" s="41" t="s">
        <v>114</v>
      </c>
      <c r="S24" s="38">
        <f>AVERAGE(VP9vsQY265_offline_slow!Q81:Q124)</f>
        <v>-0.17769049046910707</v>
      </c>
      <c r="T24" s="38">
        <f>AVERAGE(VP9vsQY265_offline_slow!R81:R124)</f>
        <v>-0.19359631223774645</v>
      </c>
      <c r="U24" s="38">
        <f>AVERAGE(VP9vsQY265_offline_slow!S81:S124)</f>
        <v>-0.19830959351574837</v>
      </c>
      <c r="V24" s="38">
        <f>AVERAGE(VP9vsQY265_offline_slow!T81:T124)</f>
        <v>-0.18196020508830008</v>
      </c>
      <c r="W24" s="39">
        <f>AVERAGE(VP9vsQY265_offline_slow!U81:U124)</f>
        <v>1.0235215714764201</v>
      </c>
    </row>
    <row r="25" spans="1:23" ht="16.5" thickBot="1" x14ac:dyDescent="0.3">
      <c r="A25" s="47"/>
      <c r="B25" s="37" t="s">
        <v>77</v>
      </c>
      <c r="C25" s="38">
        <f>X264vsQY265_offline_slow!Q125</f>
        <v>-0.34750182602477386</v>
      </c>
      <c r="D25" s="38">
        <f>X264vsQY265_offline_slow!R125</f>
        <v>-0.48301555397927093</v>
      </c>
      <c r="E25" s="38">
        <f>X264vsQY265_offline_slow!S125</f>
        <v>-0.48283036816722702</v>
      </c>
      <c r="F25" s="38">
        <f>X264vsQY265_offline_slow!T125</f>
        <v>-0.37413049875713716</v>
      </c>
      <c r="G25" s="39">
        <f>X264vsQY265_offline_slow!U125</f>
        <v>-5.4113206443594233E-3</v>
      </c>
      <c r="I25" s="47"/>
      <c r="J25" s="37" t="s">
        <v>77</v>
      </c>
      <c r="K25" s="38">
        <f>X265vsQY265_offline_slow!Q125</f>
        <v>-6.7479293467051657E-2</v>
      </c>
      <c r="L25" s="38">
        <f>X265vsQY265_offline_slow!R125</f>
        <v>-0.32373427532926563</v>
      </c>
      <c r="M25" s="38">
        <f>X265vsQY265_offline_slow!S125</f>
        <v>-0.29560860734042388</v>
      </c>
      <c r="N25" s="38">
        <f>X265vsQY265_offline_slow!T125</f>
        <v>-0.11814289922478236</v>
      </c>
      <c r="O25" s="39">
        <f>X265vsQY265_offline_slow!U125</f>
        <v>2.0120562590089754</v>
      </c>
      <c r="Q25" s="47"/>
      <c r="R25" s="37" t="s">
        <v>77</v>
      </c>
      <c r="S25" s="38">
        <f>VP9vsQY265_offline_slow!Q125</f>
        <v>-0.19825428547414781</v>
      </c>
      <c r="T25" s="38">
        <f>VP9vsQY265_offline_slow!R125</f>
        <v>-0.24220704334312335</v>
      </c>
      <c r="U25" s="38">
        <f>VP9vsQY265_offline_slow!S125</f>
        <v>-0.24561529374914692</v>
      </c>
      <c r="V25" s="38">
        <f>VP9vsQY265_offline_slow!T125</f>
        <v>-0.2079719801407206</v>
      </c>
      <c r="W25" s="39">
        <f>VP9vsQY265_offline_slow!U125</f>
        <v>1.3790673808925571</v>
      </c>
    </row>
    <row r="26" spans="1:23" ht="16.5" thickBot="1" x14ac:dyDescent="0.3">
      <c r="A26" s="45" t="s">
        <v>76</v>
      </c>
      <c r="B26" s="37" t="s">
        <v>35</v>
      </c>
      <c r="C26" s="38">
        <f>AVERAGE(X264vsQY265_offline_slow!Q131:Q138)</f>
        <v>-0.41313313128920415</v>
      </c>
      <c r="D26" s="38">
        <f>AVERAGE(X264vsQY265_offline_slow!R131:R138)</f>
        <v>-0.54122572855389928</v>
      </c>
      <c r="E26" s="38">
        <f>AVERAGE(X264vsQY265_offline_slow!S131:S138)</f>
        <v>-0.57375224898321475</v>
      </c>
      <c r="F26" s="38">
        <f>AVERAGE(X264vsQY265_offline_slow!T131:T138)</f>
        <v>-0.43496345461365754</v>
      </c>
      <c r="G26" s="39">
        <f>AVERAGE(X264vsQY265_offline_slow!U131:U138)</f>
        <v>0.15866726485072755</v>
      </c>
      <c r="I26" s="45" t="s">
        <v>76</v>
      </c>
      <c r="J26" s="37" t="s">
        <v>35</v>
      </c>
      <c r="K26" s="38">
        <f>AVERAGE(X265vsQY265_offline_slow!Q131:Q138)</f>
        <v>-2.0820903968536419E-3</v>
      </c>
      <c r="L26" s="38">
        <f>AVERAGE(X265vsQY265_offline_slow!R131:R138)</f>
        <v>-0.53483299488567115</v>
      </c>
      <c r="M26" s="38">
        <f>AVERAGE(X265vsQY265_offline_slow!S131:S138)</f>
        <v>-0.51380150552445147</v>
      </c>
      <c r="N26" s="38">
        <f>AVERAGE(X265vsQY265_offline_slow!T131:T138)</f>
        <v>-9.991605065062753E-2</v>
      </c>
      <c r="O26" s="39">
        <f>AVERAGE(X265vsQY265_offline_slow!U131:U138)</f>
        <v>2.5734796455971622</v>
      </c>
      <c r="Q26" s="45" t="s">
        <v>76</v>
      </c>
      <c r="R26" s="37" t="s">
        <v>35</v>
      </c>
      <c r="S26" s="38">
        <f>AVERAGE(VP9vsQY265_offline_slow!Q131:Q138)</f>
        <v>-0.17851518161739727</v>
      </c>
      <c r="T26" s="38">
        <f>AVERAGE(VP9vsQY265_offline_slow!R131:R138)</f>
        <v>-0.42999223199589248</v>
      </c>
      <c r="U26" s="38">
        <f>AVERAGE(VP9vsQY265_offline_slow!S131:S138)</f>
        <v>-0.43038286318613911</v>
      </c>
      <c r="V26" s="38">
        <f>AVERAGE(VP9vsQY265_offline_slow!T131:T138)</f>
        <v>-0.22012699936369767</v>
      </c>
      <c r="W26" s="39">
        <f>AVERAGE(VP9vsQY265_offline_slow!U131:U138)</f>
        <v>2.3389065746870075</v>
      </c>
    </row>
    <row r="27" spans="1:23" ht="16.5" thickBot="1" x14ac:dyDescent="0.3">
      <c r="A27" s="46"/>
      <c r="B27" s="37" t="s">
        <v>37</v>
      </c>
      <c r="C27" s="38">
        <f>AVERAGE(X264vsQY265_offline_slow!Q139:Q158)</f>
        <v>-0.42924215321412457</v>
      </c>
      <c r="D27" s="38">
        <f>AVERAGE(X264vsQY265_offline_slow!R139:R158)</f>
        <v>-0.56874917139403869</v>
      </c>
      <c r="E27" s="38">
        <f>AVERAGE(X264vsQY265_offline_slow!S139:S158)</f>
        <v>-0.57120485877194049</v>
      </c>
      <c r="F27" s="38">
        <f>AVERAGE(X264vsQY265_offline_slow!T139:T158)</f>
        <v>-0.45288166758300452</v>
      </c>
      <c r="G27" s="39">
        <f>AVERAGE(X264vsQY265_offline_slow!U139:U158)</f>
        <v>0.32587258158110899</v>
      </c>
      <c r="I27" s="46"/>
      <c r="J27" s="37" t="s">
        <v>37</v>
      </c>
      <c r="K27" s="38">
        <f>AVERAGE(X265vsQY265_offline_slow!Q139:Q158)</f>
        <v>-1.9522122568906685E-2</v>
      </c>
      <c r="L27" s="38">
        <f>AVERAGE(X265vsQY265_offline_slow!R139:R158)</f>
        <v>-0.4195663659246246</v>
      </c>
      <c r="M27" s="38">
        <f>AVERAGE(X265vsQY265_offline_slow!S139:S158)</f>
        <v>-0.40104065050724252</v>
      </c>
      <c r="N27" s="38">
        <f>AVERAGE(X265vsQY265_offline_slow!T139:T158)</f>
        <v>-9.701891446810762E-2</v>
      </c>
      <c r="O27" s="39">
        <f>AVERAGE(X265vsQY265_offline_slow!U139:U158)</f>
        <v>3.6256249438683255</v>
      </c>
      <c r="Q27" s="46"/>
      <c r="R27" s="37" t="s">
        <v>37</v>
      </c>
      <c r="S27" s="38">
        <f>AVERAGE(VP9vsQY265_offline_slow!Q139:Q158)</f>
        <v>-0.19130697467487306</v>
      </c>
      <c r="T27" s="38">
        <f>AVERAGE(VP9vsQY265_offline_slow!R139:R158)</f>
        <v>-0.35559603340832668</v>
      </c>
      <c r="U27" s="38">
        <f>AVERAGE(VP9vsQY265_offline_slow!S139:S158)</f>
        <v>-0.37812016302076817</v>
      </c>
      <c r="V27" s="38">
        <f>AVERAGE(VP9vsQY265_offline_slow!T139:T158)</f>
        <v>-0.22647716610988949</v>
      </c>
      <c r="W27" s="39">
        <f>AVERAGE(VP9vsQY265_offline_slow!U139:U158)</f>
        <v>3.5805141657294954</v>
      </c>
    </row>
    <row r="28" spans="1:23" ht="16.5" thickBot="1" x14ac:dyDescent="0.3">
      <c r="A28" s="46"/>
      <c r="B28" s="37" t="s">
        <v>39</v>
      </c>
      <c r="C28" s="38">
        <f>AVERAGE(X264vsQY265_offline_slow!Q159:Q174)</f>
        <v>-0.33307602330035835</v>
      </c>
      <c r="D28" s="38">
        <f>AVERAGE(X264vsQY265_offline_slow!R159:R174)</f>
        <v>-0.4943040885387604</v>
      </c>
      <c r="E28" s="38">
        <f>AVERAGE(X264vsQY265_offline_slow!S159:S174)</f>
        <v>-0.47662257095216742</v>
      </c>
      <c r="F28" s="38">
        <f>AVERAGE(X264vsQY265_offline_slow!T159:T174)</f>
        <v>-0.35998140652225152</v>
      </c>
      <c r="G28" s="39">
        <f>AVERAGE(X264vsQY265_offline_slow!U159:U174)</f>
        <v>-0.15550963406176085</v>
      </c>
      <c r="I28" s="46"/>
      <c r="J28" s="37" t="s">
        <v>39</v>
      </c>
      <c r="K28" s="38">
        <f>AVERAGE(X265vsQY265_offline_slow!Q159:Q174)</f>
        <v>-7.1296808750322876E-2</v>
      </c>
      <c r="L28" s="38">
        <f>AVERAGE(X265vsQY265_offline_slow!R159:R174)</f>
        <v>-0.37587376243772214</v>
      </c>
      <c r="M28" s="38">
        <f>AVERAGE(X265vsQY265_offline_slow!S159:S174)</f>
        <v>-0.33162615728503603</v>
      </c>
      <c r="N28" s="38">
        <f>AVERAGE(X265vsQY265_offline_slow!T159:T174)</f>
        <v>-0.12931611004674912</v>
      </c>
      <c r="O28" s="39">
        <f>AVERAGE(X265vsQY265_offline_slow!U159:U174)</f>
        <v>2.2904245565056045</v>
      </c>
      <c r="Q28" s="46"/>
      <c r="R28" s="37" t="s">
        <v>39</v>
      </c>
      <c r="S28" s="38">
        <f>AVERAGE(VP9vsQY265_offline_slow!Q159:Q174)</f>
        <v>-0.21195352428299372</v>
      </c>
      <c r="T28" s="38">
        <f>AVERAGE(VP9vsQY265_offline_slow!R159:R174)</f>
        <v>-0.28852481656154016</v>
      </c>
      <c r="U28" s="38">
        <f>AVERAGE(VP9vsQY265_offline_slow!S159:S174)</f>
        <v>-0.28245077825952186</v>
      </c>
      <c r="V28" s="38">
        <f>AVERAGE(VP9vsQY265_offline_slow!T159:T174)</f>
        <v>-0.22924031828779451</v>
      </c>
      <c r="W28" s="39">
        <f>AVERAGE(VP9vsQY265_offline_slow!U159:U174)</f>
        <v>3.2628155352865615</v>
      </c>
    </row>
    <row r="29" spans="1:23" ht="16.5" thickBot="1" x14ac:dyDescent="0.3">
      <c r="A29" s="46"/>
      <c r="B29" s="37" t="s">
        <v>41</v>
      </c>
      <c r="C29" s="38">
        <f>AVERAGE(X264vsQY265_offline_slow!Q175:Q190)</f>
        <v>-0.24547465274638813</v>
      </c>
      <c r="D29" s="38">
        <f>AVERAGE(X264vsQY265_offline_slow!R175:R190)</f>
        <v>-0.44382128764479939</v>
      </c>
      <c r="E29" s="38">
        <f>AVERAGE(X264vsQY265_offline_slow!S175:S190)</f>
        <v>-0.45580317295261719</v>
      </c>
      <c r="F29" s="38">
        <f>AVERAGE(X264vsQY265_offline_slow!T175:T190)</f>
        <v>-0.28212042857345726</v>
      </c>
      <c r="G29" s="39">
        <f>AVERAGE(X264vsQY265_offline_slow!U175:U190)</f>
        <v>-0.28344942226604752</v>
      </c>
      <c r="I29" s="46"/>
      <c r="J29" s="37" t="s">
        <v>41</v>
      </c>
      <c r="K29" s="38">
        <f>AVERAGE(X265vsQY265_offline_slow!Q175:Q190)</f>
        <v>-3.114276237978747E-2</v>
      </c>
      <c r="L29" s="38">
        <f>AVERAGE(X265vsQY265_offline_slow!R175:R190)</f>
        <v>-0.27902854416416556</v>
      </c>
      <c r="M29" s="38">
        <f>AVERAGE(X265vsQY265_offline_slow!S175:S190)</f>
        <v>-0.27140906228731632</v>
      </c>
      <c r="N29" s="38">
        <f>AVERAGE(X265vsQY265_offline_slow!T175:T190)</f>
        <v>-8.0800858092435757E-2</v>
      </c>
      <c r="O29" s="39">
        <f>AVERAGE(X265vsQY265_offline_slow!U175:U190)</f>
        <v>2.859098077771598</v>
      </c>
      <c r="Q29" s="46"/>
      <c r="R29" s="37" t="s">
        <v>41</v>
      </c>
      <c r="S29" s="38">
        <f>AVERAGE(VP9vsQY265_offline_slow!Q175:Q190)</f>
        <v>-0.17050494674941108</v>
      </c>
      <c r="T29" s="38">
        <f>AVERAGE(VP9vsQY265_offline_slow!R175:R190)</f>
        <v>-0.15309075328944635</v>
      </c>
      <c r="U29" s="38">
        <f>AVERAGE(VP9vsQY265_offline_slow!S175:S190)</f>
        <v>-0.16814968072441855</v>
      </c>
      <c r="V29" s="38">
        <f>AVERAGE(VP9vsQY265_offline_slow!T175:T190)</f>
        <v>-0.17069964458648362</v>
      </c>
      <c r="W29" s="39">
        <f>AVERAGE(VP9vsQY265_offline_slow!U175:U190)</f>
        <v>5.5413733176293345</v>
      </c>
    </row>
    <row r="30" spans="1:23" ht="16.5" thickBot="1" x14ac:dyDescent="0.3">
      <c r="A30" s="46"/>
      <c r="B30" s="37" t="s">
        <v>43</v>
      </c>
      <c r="C30" s="38">
        <f>AVERAGE(X264vsQY265_offline_slow!Q191:Q202)</f>
        <v>-0.43347056148266461</v>
      </c>
      <c r="D30" s="38">
        <f>AVERAGE(X264vsQY265_offline_slow!R191:R202)</f>
        <v>-0.61665625518269696</v>
      </c>
      <c r="E30" s="38">
        <f>AVERAGE(X264vsQY265_offline_slow!S191:S202)</f>
        <v>-0.62700511209917531</v>
      </c>
      <c r="F30" s="38">
        <f>AVERAGE(X264vsQY265_offline_slow!T191:T202)</f>
        <v>-0.485556369873543</v>
      </c>
      <c r="G30" s="39">
        <f>AVERAGE(X264vsQY265_offline_slow!U191:U202)</f>
        <v>0.44084925372093231</v>
      </c>
      <c r="I30" s="46"/>
      <c r="J30" s="37" t="s">
        <v>43</v>
      </c>
      <c r="K30" s="38">
        <f>AVERAGE(X265vsQY265_offline_slow!Q191:Q202)</f>
        <v>-0.12779469749923933</v>
      </c>
      <c r="L30" s="38">
        <f>AVERAGE(X265vsQY265_offline_slow!R191:R202)</f>
        <v>-0.32525761424292671</v>
      </c>
      <c r="M30" s="38">
        <f>AVERAGE(X265vsQY265_offline_slow!S191:S202)</f>
        <v>-0.27258169054123238</v>
      </c>
      <c r="N30" s="38">
        <f>AVERAGE(X265vsQY265_offline_slow!T191:T202)</f>
        <v>-0.17196623689535231</v>
      </c>
      <c r="O30" s="39">
        <f>AVERAGE(X265vsQY265_offline_slow!U191:U202)</f>
        <v>3.3359190561076182</v>
      </c>
      <c r="Q30" s="46"/>
      <c r="R30" s="37" t="s">
        <v>43</v>
      </c>
      <c r="S30" s="38">
        <f>AVERAGE(VP9vsQY265_offline_slow!Q191:Q202)</f>
        <v>-0.15431157508917545</v>
      </c>
      <c r="T30" s="38">
        <f>AVERAGE(VP9vsQY265_offline_slow!R191:R202)</f>
        <v>-0.10456449694041829</v>
      </c>
      <c r="U30" s="38">
        <f>AVERAGE(VP9vsQY265_offline_slow!S191:S202)</f>
        <v>-7.2343875656194975E-2</v>
      </c>
      <c r="V30" s="38">
        <f>AVERAGE(VP9vsQY265_offline_slow!T191:T202)</f>
        <v>-0.13934091379409688</v>
      </c>
      <c r="W30" s="39">
        <f>AVERAGE(VP9vsQY265_offline_slow!U191:U202)</f>
        <v>4.6614275085629169</v>
      </c>
    </row>
    <row r="31" spans="1:23" ht="16.5" thickBot="1" x14ac:dyDescent="0.3">
      <c r="A31" s="46"/>
      <c r="B31" s="41" t="s">
        <v>114</v>
      </c>
      <c r="C31" s="38">
        <f>AVERAGE(X264vsQY265_offline_slow!Q203:Q246)</f>
        <v>-0.30215601071393744</v>
      </c>
      <c r="D31" s="38">
        <f>AVERAGE(X264vsQY265_offline_slow!R203:R246)</f>
        <v>-0.39826279437574824</v>
      </c>
      <c r="E31" s="38">
        <f>AVERAGE(X264vsQY265_offline_slow!S203:S246)</f>
        <v>-0.38752926720422742</v>
      </c>
      <c r="F31" s="38">
        <f>AVERAGE(X264vsQY265_offline_slow!T203:T246)</f>
        <v>-0.32121208399701584</v>
      </c>
      <c r="G31" s="39">
        <f>AVERAGE(X264vsQY265_offline_slow!U203:U246)</f>
        <v>-4.7730387659463892E-2</v>
      </c>
      <c r="I31" s="46"/>
      <c r="J31" s="41" t="s">
        <v>114</v>
      </c>
      <c r="K31" s="38">
        <f>AVERAGE(X265vsQY265_offline_slow!Q203:Q246)</f>
        <v>-8.0344461430298456E-2</v>
      </c>
      <c r="L31" s="38">
        <f>AVERAGE(X265vsQY265_offline_slow!R203:R246)</f>
        <v>-0.2431529309495821</v>
      </c>
      <c r="M31" s="38">
        <f>AVERAGE(X265vsQY265_offline_slow!S203:S246)</f>
        <v>-0.23242309286854226</v>
      </c>
      <c r="N31" s="38">
        <f>AVERAGE(X265vsQY265_offline_slow!T203:T246)</f>
        <v>-0.11597160403225396</v>
      </c>
      <c r="O31" s="39">
        <f>AVERAGE(X265vsQY265_offline_slow!U203:U246)</f>
        <v>2.6746506096863119</v>
      </c>
      <c r="Q31" s="46"/>
      <c r="R31" s="41" t="s">
        <v>114</v>
      </c>
      <c r="S31" s="38">
        <f>AVERAGE(VP9vsQY265_offline_slow!Q203:Q246)</f>
        <v>-0.15346140287529775</v>
      </c>
      <c r="T31" s="38">
        <f>AVERAGE(VP9vsQY265_offline_slow!R203:R246)</f>
        <v>-0.17499629331171365</v>
      </c>
      <c r="U31" s="38">
        <f>AVERAGE(VP9vsQY265_offline_slow!S203:S246)</f>
        <v>-0.17944347431575555</v>
      </c>
      <c r="V31" s="38">
        <f>AVERAGE(VP9vsQY265_offline_slow!T203:T246)</f>
        <v>-0.15851918060707532</v>
      </c>
      <c r="W31" s="39">
        <f>AVERAGE(VP9vsQY265_offline_slow!U203:U246)</f>
        <v>2.3951203569315158</v>
      </c>
    </row>
    <row r="32" spans="1:23" ht="16.5" thickBot="1" x14ac:dyDescent="0.3">
      <c r="A32" s="47"/>
      <c r="B32" s="37" t="s">
        <v>77</v>
      </c>
      <c r="C32" s="38">
        <f>X264vsQY265_offline_slow!Q247</f>
        <v>-0.34175198397025247</v>
      </c>
      <c r="D32" s="38">
        <f>X264vsQY265_offline_slow!R247</f>
        <v>-0.47963994215494998</v>
      </c>
      <c r="E32" s="38">
        <f>X264vsQY265_offline_slow!S247</f>
        <v>-0.47851962217204469</v>
      </c>
      <c r="F32" s="38">
        <f>X264vsQY265_offline_slow!T247</f>
        <v>-0.36871533176251653</v>
      </c>
      <c r="G32" s="39">
        <f>X264vsQY265_offline_slow!U247</f>
        <v>3.4081886524291734E-2</v>
      </c>
      <c r="I32" s="47"/>
      <c r="J32" s="37" t="s">
        <v>77</v>
      </c>
      <c r="K32" s="38">
        <f>X265vsQY265_offline_slow!Q247</f>
        <v>-6.1334698151368369E-2</v>
      </c>
      <c r="L32" s="38">
        <f>X265vsQY265_offline_slow!R247</f>
        <v>-0.32543317686124823</v>
      </c>
      <c r="M32" s="38">
        <f>X265vsQY265_offline_slow!S247</f>
        <v>-0.30411538741559263</v>
      </c>
      <c r="N32" s="38">
        <f>X265vsQY265_offline_slow!T247</f>
        <v>-0.11437865176687527</v>
      </c>
      <c r="O32" s="39">
        <f>X265vsQY265_offline_slow!U247</f>
        <v>2.8724858076730029</v>
      </c>
      <c r="Q32" s="47"/>
      <c r="R32" s="37" t="s">
        <v>77</v>
      </c>
      <c r="S32" s="38">
        <f>VP9vsQY265_offline_slow!Q247</f>
        <v>-0.17222100957360625</v>
      </c>
      <c r="T32" s="38">
        <f>VP9vsQY265_offline_slow!R247</f>
        <v>-0.22907171129956788</v>
      </c>
      <c r="U32" s="38">
        <f>VP9vsQY265_offline_slow!S247</f>
        <v>-0.23257511109840603</v>
      </c>
      <c r="V32" s="38">
        <f>VP9vsQY265_offline_slow!T247</f>
        <v>-0.18393563478738181</v>
      </c>
      <c r="W32" s="39">
        <f>VP9vsQY265_offline_slow!U247</f>
        <v>3.3837153738489847</v>
      </c>
    </row>
    <row r="33" spans="1:23" ht="16.5" thickBot="1" x14ac:dyDescent="0.3">
      <c r="A33" s="48" t="s">
        <v>116</v>
      </c>
      <c r="B33" s="49"/>
      <c r="C33" s="49"/>
      <c r="D33" s="49"/>
      <c r="E33" s="49"/>
      <c r="F33" s="49"/>
      <c r="G33" s="50"/>
      <c r="I33" s="48" t="s">
        <v>117</v>
      </c>
      <c r="J33" s="49"/>
      <c r="K33" s="49"/>
      <c r="L33" s="49"/>
      <c r="M33" s="49"/>
      <c r="N33" s="49"/>
      <c r="O33" s="50"/>
      <c r="Q33" s="48" t="s">
        <v>138</v>
      </c>
      <c r="R33" s="49"/>
      <c r="S33" s="49"/>
      <c r="T33" s="49"/>
      <c r="U33" s="49"/>
      <c r="V33" s="49"/>
      <c r="W33" s="50"/>
    </row>
    <row r="34" spans="1:23" ht="16.5" thickBot="1" x14ac:dyDescent="0.3">
      <c r="A34" s="37" t="s">
        <v>74</v>
      </c>
      <c r="B34" s="37" t="s">
        <v>73</v>
      </c>
      <c r="C34" s="37" t="s">
        <v>69</v>
      </c>
      <c r="D34" s="37" t="s">
        <v>70</v>
      </c>
      <c r="E34" s="37" t="s">
        <v>71</v>
      </c>
      <c r="F34" s="37" t="s">
        <v>72</v>
      </c>
      <c r="G34" s="37" t="s">
        <v>75</v>
      </c>
      <c r="I34" s="37" t="s">
        <v>74</v>
      </c>
      <c r="J34" s="37" t="s">
        <v>73</v>
      </c>
      <c r="K34" s="37" t="s">
        <v>69</v>
      </c>
      <c r="L34" s="37" t="s">
        <v>70</v>
      </c>
      <c r="M34" s="37" t="s">
        <v>71</v>
      </c>
      <c r="N34" s="37" t="s">
        <v>72</v>
      </c>
      <c r="O34" s="37" t="s">
        <v>75</v>
      </c>
      <c r="Q34" s="37" t="s">
        <v>144</v>
      </c>
      <c r="R34" s="37" t="s">
        <v>73</v>
      </c>
      <c r="S34" s="37" t="s">
        <v>69</v>
      </c>
      <c r="T34" s="37" t="s">
        <v>70</v>
      </c>
      <c r="U34" s="37" t="s">
        <v>71</v>
      </c>
      <c r="V34" s="37" t="s">
        <v>72</v>
      </c>
      <c r="W34" s="37" t="s">
        <v>75</v>
      </c>
    </row>
    <row r="35" spans="1:23" ht="16.5" thickBot="1" x14ac:dyDescent="0.3">
      <c r="A35" s="45" t="s">
        <v>76</v>
      </c>
      <c r="B35" s="37" t="s">
        <v>35</v>
      </c>
      <c r="C35" s="38">
        <f>AVERAGE(X264vsQY265_offline_placebo!Q9:Q16)</f>
        <v>-0.37357364210917066</v>
      </c>
      <c r="D35" s="38">
        <f>AVERAGE(X264vsQY265_offline_placebo!R9:R16)</f>
        <v>-0.48851497418008227</v>
      </c>
      <c r="E35" s="38">
        <f>AVERAGE(X264vsQY265_offline_placebo!S9:S16)</f>
        <v>-0.53402097798307646</v>
      </c>
      <c r="F35" s="38">
        <f>AVERAGE(X264vsQY265_offline_placebo!T9:T16)</f>
        <v>-0.39468706581418467</v>
      </c>
      <c r="G35" s="39">
        <f>AVERAGE(X264vsQY265_offline_placebo!U9:U16)</f>
        <v>0.4634927394862135</v>
      </c>
      <c r="I35" s="45" t="s">
        <v>76</v>
      </c>
      <c r="J35" s="37" t="s">
        <v>35</v>
      </c>
      <c r="K35" s="38">
        <f>AVERAGE(X265vsQY265_offline_veryslow!Q9:Q16)</f>
        <v>4.2857384047436331E-2</v>
      </c>
      <c r="L35" s="38">
        <f>AVERAGE(X265vsQY265_offline_veryslow!R9:R16)</f>
        <v>-0.51632471256833901</v>
      </c>
      <c r="M35" s="38">
        <f>AVERAGE(X265vsQY265_offline_veryslow!S9:S16)</f>
        <v>-0.51444777156315014</v>
      </c>
      <c r="N35" s="38">
        <f>AVERAGE(X265vsQY265_offline_veryslow!T9:T16)</f>
        <v>-6.3266621970310688E-2</v>
      </c>
      <c r="O35" s="39">
        <f>AVERAGE(X265vsQY265_offline_veryslow!U9:U16)</f>
        <v>0.99770149346719628</v>
      </c>
      <c r="Q35" s="45" t="s">
        <v>76</v>
      </c>
      <c r="R35" s="37" t="s">
        <v>35</v>
      </c>
      <c r="S35" s="38">
        <f>AVERAGE(VP9vsQY265_offline_veryslow!Q9:Q16)</f>
        <v>-2.2610719363335752E-2</v>
      </c>
      <c r="T35" s="38">
        <f>AVERAGE(VP9vsQY265_offline_veryslow!R9:R16)</f>
        <v>-0.37541344505589896</v>
      </c>
      <c r="U35" s="38">
        <f>AVERAGE(VP9vsQY265_offline_veryslow!S9:S16)</f>
        <v>-0.39512004945205548</v>
      </c>
      <c r="V35" s="38">
        <f>AVERAGE(VP9vsQY265_offline_veryslow!T9:T16)</f>
        <v>-8.6461435623533922E-2</v>
      </c>
      <c r="W35" s="39">
        <f>AVERAGE(VP9vsQY265_offline_veryslow!U9:U16)</f>
        <v>7.2863708009834367</v>
      </c>
    </row>
    <row r="36" spans="1:23" ht="16.5" thickBot="1" x14ac:dyDescent="0.3">
      <c r="A36" s="46"/>
      <c r="B36" s="37" t="s">
        <v>37</v>
      </c>
      <c r="C36" s="38">
        <f>AVERAGE(X264vsQY265_offline_placebo!Q17:Q36)</f>
        <v>-0.40228927206762088</v>
      </c>
      <c r="D36" s="38">
        <f>AVERAGE(X264vsQY265_offline_placebo!R17:R36)</f>
        <v>-0.58517973806930101</v>
      </c>
      <c r="E36" s="38">
        <f>AVERAGE(X264vsQY265_offline_placebo!S17:S36)</f>
        <v>-0.59064467453503156</v>
      </c>
      <c r="F36" s="38">
        <f>AVERAGE(X264vsQY265_offline_placebo!T17:T36)</f>
        <v>-0.43505485588216386</v>
      </c>
      <c r="G36" s="39">
        <f>AVERAGE(X264vsQY265_offline_placebo!U17:U36)</f>
        <v>1.0206507527366151</v>
      </c>
      <c r="I36" s="46"/>
      <c r="J36" s="37" t="s">
        <v>37</v>
      </c>
      <c r="K36" s="38">
        <f>AVERAGE(X265vsQY265_offline_veryslow!Q17:Q36)</f>
        <v>-9.1474623886818925E-3</v>
      </c>
      <c r="L36" s="38">
        <f>AVERAGE(X265vsQY265_offline_veryslow!R17:R36)</f>
        <v>-0.42956486474243505</v>
      </c>
      <c r="M36" s="38">
        <f>AVERAGE(X265vsQY265_offline_veryslow!S17:S36)</f>
        <v>-0.40832183312251102</v>
      </c>
      <c r="N36" s="38">
        <f>AVERAGE(X265vsQY265_offline_veryslow!T17:T36)</f>
        <v>-9.1255788292255308E-2</v>
      </c>
      <c r="O36" s="39">
        <f>AVERAGE(X265vsQY265_offline_veryslow!U17:U36)</f>
        <v>1.2337606416541607</v>
      </c>
      <c r="Q36" s="46"/>
      <c r="R36" s="37" t="s">
        <v>37</v>
      </c>
      <c r="S36" s="38">
        <f>AVERAGE(VP9vsQY265_offline_veryslow!Q17:Q36)</f>
        <v>-9.0457225788023177E-2</v>
      </c>
      <c r="T36" s="38">
        <f>AVERAGE(VP9vsQY265_offline_veryslow!R17:R36)</f>
        <v>-0.35712217867830615</v>
      </c>
      <c r="U36" s="38">
        <f>AVERAGE(VP9vsQY265_offline_veryslow!S17:S36)</f>
        <v>-0.37691990131178083</v>
      </c>
      <c r="V36" s="38">
        <f>AVERAGE(VP9vsQY265_offline_veryslow!T17:T36)</f>
        <v>-0.1473153823853125</v>
      </c>
      <c r="W36" s="39">
        <f>AVERAGE(VP9vsQY265_offline_veryslow!U17:U36)</f>
        <v>8.91387731427292</v>
      </c>
    </row>
    <row r="37" spans="1:23" ht="16.5" thickBot="1" x14ac:dyDescent="0.3">
      <c r="A37" s="46"/>
      <c r="B37" s="37" t="s">
        <v>39</v>
      </c>
      <c r="C37" s="38">
        <f>AVERAGE(X264vsQY265_offline_placebo!Q37:Q52)</f>
        <v>-0.30907083053781537</v>
      </c>
      <c r="D37" s="38">
        <f>AVERAGE(X264vsQY265_offline_placebo!R37:R52)</f>
        <v>-0.54098353397882448</v>
      </c>
      <c r="E37" s="38">
        <f>AVERAGE(X264vsQY265_offline_placebo!S37:S52)</f>
        <v>-0.53218774773389044</v>
      </c>
      <c r="F37" s="38">
        <f>AVERAGE(X264vsQY265_offline_placebo!T37:T52)</f>
        <v>-0.35142136695215992</v>
      </c>
      <c r="G37" s="39">
        <f>AVERAGE(X264vsQY265_offline_placebo!U37:U52)</f>
        <v>0.40935285848866626</v>
      </c>
      <c r="I37" s="46"/>
      <c r="J37" s="37" t="s">
        <v>39</v>
      </c>
      <c r="K37" s="38">
        <f>AVERAGE(X265vsQY265_offline_veryslow!Q37:Q52)</f>
        <v>-5.1665036152693827E-2</v>
      </c>
      <c r="L37" s="38">
        <f>AVERAGE(X265vsQY265_offline_veryslow!R37:R52)</f>
        <v>-0.417605910746846</v>
      </c>
      <c r="M37" s="38">
        <f>AVERAGE(X265vsQY265_offline_veryslow!S37:S52)</f>
        <v>-0.39065702127364293</v>
      </c>
      <c r="N37" s="38">
        <f>AVERAGE(X265vsQY265_offline_veryslow!T37:T52)</f>
        <v>-0.12540204416054954</v>
      </c>
      <c r="O37" s="39">
        <f>AVERAGE(X265vsQY265_offline_veryslow!U37:U52)</f>
        <v>0.91791856129568805</v>
      </c>
      <c r="Q37" s="46"/>
      <c r="R37" s="37" t="s">
        <v>39</v>
      </c>
      <c r="S37" s="38">
        <f>AVERAGE(VP9vsQY265_offline_veryslow!Q37:Q52)</f>
        <v>-6.8292979818367822E-2</v>
      </c>
      <c r="T37" s="38">
        <f>AVERAGE(VP9vsQY265_offline_veryslow!R37:R52)</f>
        <v>-0.24927598098806922</v>
      </c>
      <c r="U37" s="38">
        <f>AVERAGE(VP9vsQY265_offline_veryslow!S37:S52)</f>
        <v>-0.24865115959024361</v>
      </c>
      <c r="V37" s="38">
        <f>AVERAGE(VP9vsQY265_offline_veryslow!T37:T52)</f>
        <v>-0.1057783407947169</v>
      </c>
      <c r="W37" s="39">
        <f>AVERAGE(VP9vsQY265_offline_veryslow!U37:U52)</f>
        <v>10.672744108342746</v>
      </c>
    </row>
    <row r="38" spans="1:23" ht="16.5" thickBot="1" x14ac:dyDescent="0.3">
      <c r="A38" s="46"/>
      <c r="B38" s="37" t="s">
        <v>41</v>
      </c>
      <c r="C38" s="38">
        <f>AVERAGE(X264vsQY265_offline_placebo!Q53:Q68)</f>
        <v>-0.24379174997179831</v>
      </c>
      <c r="D38" s="38">
        <f>AVERAGE(X264vsQY265_offline_placebo!R53:R68)</f>
        <v>-0.52429394174532007</v>
      </c>
      <c r="E38" s="38">
        <f>AVERAGE(X264vsQY265_offline_placebo!S53:S68)</f>
        <v>-0.52520078439590723</v>
      </c>
      <c r="F38" s="38">
        <f>AVERAGE(X264vsQY265_offline_placebo!T53:T68)</f>
        <v>-0.29722603988201612</v>
      </c>
      <c r="G38" s="39">
        <f>AVERAGE(X264vsQY265_offline_placebo!U53:U68)</f>
        <v>0.12592166876319286</v>
      </c>
      <c r="I38" s="46"/>
      <c r="J38" s="37" t="s">
        <v>41</v>
      </c>
      <c r="K38" s="38">
        <f>AVERAGE(X265vsQY265_offline_veryslow!Q53:Q68)</f>
        <v>-1.9189648575082874E-2</v>
      </c>
      <c r="L38" s="38">
        <f>AVERAGE(X265vsQY265_offline_veryslow!R53:R68)</f>
        <v>-0.36251968723811578</v>
      </c>
      <c r="M38" s="38">
        <f>AVERAGE(X265vsQY265_offline_veryslow!S53:S68)</f>
        <v>-0.34874849564279214</v>
      </c>
      <c r="N38" s="38">
        <f>AVERAGE(X265vsQY265_offline_veryslow!T53:T68)</f>
        <v>-8.8945201267410068E-2</v>
      </c>
      <c r="O38" s="39">
        <f>AVERAGE(X265vsQY265_offline_veryslow!U53:U68)</f>
        <v>1.6628314192709415</v>
      </c>
      <c r="Q38" s="46"/>
      <c r="R38" s="37" t="s">
        <v>41</v>
      </c>
      <c r="S38" s="38">
        <f>AVERAGE(VP9vsQY265_offline_veryslow!Q53:Q68)</f>
        <v>-5.1583470342127458E-2</v>
      </c>
      <c r="T38" s="38">
        <f>AVERAGE(VP9vsQY265_offline_veryslow!R53:R68)</f>
        <v>-0.14890079736825956</v>
      </c>
      <c r="U38" s="38">
        <f>AVERAGE(VP9vsQY265_offline_veryslow!S53:S68)</f>
        <v>-0.16997776326696465</v>
      </c>
      <c r="V38" s="38">
        <f>AVERAGE(VP9vsQY265_offline_veryslow!T53:T68)</f>
        <v>-7.4209501033780378E-2</v>
      </c>
      <c r="W38" s="39">
        <f>AVERAGE(VP9vsQY265_offline_veryslow!U53:U68)</f>
        <v>16.816148869357782</v>
      </c>
    </row>
    <row r="39" spans="1:23" ht="16.5" thickBot="1" x14ac:dyDescent="0.3">
      <c r="A39" s="46"/>
      <c r="B39" s="37" t="s">
        <v>43</v>
      </c>
      <c r="C39" s="38">
        <f>AVERAGE(X264vsQY265_offline_placebo!Q69:Q80)</f>
        <v>-0.38834966253949732</v>
      </c>
      <c r="D39" s="38">
        <f>AVERAGE(X264vsQY265_offline_placebo!R69:R80)</f>
        <v>-0.55386141978473979</v>
      </c>
      <c r="E39" s="38">
        <f>AVERAGE(X264vsQY265_offline_placebo!S69:S80)</f>
        <v>-0.58096732533389195</v>
      </c>
      <c r="F39" s="38">
        <f>AVERAGE(X264vsQY265_offline_placebo!T69:T80)</f>
        <v>-0.43691369565781235</v>
      </c>
      <c r="G39" s="39">
        <f>AVERAGE(X264vsQY265_offline_placebo!U69:U80)</f>
        <v>0.91606522779403277</v>
      </c>
      <c r="I39" s="46"/>
      <c r="J39" s="37" t="s">
        <v>43</v>
      </c>
      <c r="K39" s="38">
        <f>AVERAGE(X265vsQY265_offline_veryslow!Q69:Q80)</f>
        <v>-8.7749929367848492E-2</v>
      </c>
      <c r="L39" s="38">
        <f>AVERAGE(X265vsQY265_offline_veryslow!R69:R80)</f>
        <v>-0.29862266522944925</v>
      </c>
      <c r="M39" s="38">
        <f>AVERAGE(X265vsQY265_offline_veryslow!S69:S80)</f>
        <v>-0.28949703240868369</v>
      </c>
      <c r="N39" s="38">
        <f>AVERAGE(X265vsQY265_offline_veryslow!T69:T80)</f>
        <v>-0.14077315284099709</v>
      </c>
      <c r="O39" s="39">
        <f>AVERAGE(X265vsQY265_offline_veryslow!U69:U80)</f>
        <v>1.1563210550684948</v>
      </c>
      <c r="Q39" s="46"/>
      <c r="R39" s="37" t="s">
        <v>43</v>
      </c>
      <c r="S39" s="38">
        <f>AVERAGE(VP9vsQY265_offline_veryslow!Q69:Q80)</f>
        <v>-4.519248840860516E-2</v>
      </c>
      <c r="T39" s="38">
        <f>AVERAGE(VP9vsQY265_offline_veryslow!R69:R80)</f>
        <v>-0.11016131728184253</v>
      </c>
      <c r="U39" s="38">
        <f>AVERAGE(VP9vsQY265_offline_veryslow!S69:S80)</f>
        <v>-0.10476094291823017</v>
      </c>
      <c r="V39" s="38">
        <f>AVERAGE(VP9vsQY265_offline_veryslow!T69:T80)</f>
        <v>-5.9628808227547868E-2</v>
      </c>
      <c r="W39" s="39">
        <f>AVERAGE(VP9vsQY265_offline_veryslow!U69:U80)</f>
        <v>6.0665052736910754</v>
      </c>
    </row>
    <row r="40" spans="1:23" ht="16.5" thickBot="1" x14ac:dyDescent="0.3">
      <c r="A40" s="46"/>
      <c r="B40" s="41" t="s">
        <v>114</v>
      </c>
      <c r="C40" s="38">
        <f>AVERAGE(X264vsQY265_offline_placebo!Q81:Q124)</f>
        <v>-0.27625492163320642</v>
      </c>
      <c r="D40" s="38">
        <f>AVERAGE(X264vsQY265_offline_placebo!R81:R124)</f>
        <v>-0.41497920896155222</v>
      </c>
      <c r="E40" s="38">
        <f>AVERAGE(X264vsQY265_offline_placebo!S81:S124)</f>
        <v>-0.40759550309299825</v>
      </c>
      <c r="F40" s="38">
        <f>AVERAGE(X264vsQY265_offline_placebo!T81:T124)</f>
        <v>-0.3051150858852929</v>
      </c>
      <c r="G40" s="39">
        <f>AVERAGE(X264vsQY265_offline_placebo!U81:U124)</f>
        <v>0.18230402548164387</v>
      </c>
      <c r="I40" s="46"/>
      <c r="J40" s="41" t="s">
        <v>114</v>
      </c>
      <c r="K40" s="38">
        <f>AVERAGE(X265vsQY265_offline_veryslow!Q81:Q124)</f>
        <v>-4.7105933193469014E-2</v>
      </c>
      <c r="L40" s="38">
        <f>AVERAGE(X265vsQY265_offline_veryslow!R81:R124)</f>
        <v>-0.27158688274317089</v>
      </c>
      <c r="M40" s="38">
        <f>AVERAGE(X265vsQY265_offline_veryslow!S81:S124)</f>
        <v>-0.26283041026057591</v>
      </c>
      <c r="N40" s="38">
        <f>AVERAGE(X265vsQY265_offline_veryslow!T81:T124)</f>
        <v>-9.7299506573154726E-2</v>
      </c>
      <c r="O40" s="39">
        <f>AVERAGE(X265vsQY265_offline_veryslow!U81:U124)</f>
        <v>0.91354285205874808</v>
      </c>
      <c r="Q40" s="46"/>
      <c r="R40" s="41" t="s">
        <v>114</v>
      </c>
      <c r="S40" s="38">
        <f>AVERAGE(VP9vsQY265_offline_veryslow!Q81:Q124)</f>
        <v>2.7503932268450462E-2</v>
      </c>
      <c r="T40" s="38">
        <f>AVERAGE(VP9vsQY265_offline_veryslow!R81:R124)</f>
        <v>-9.0905679631933564E-2</v>
      </c>
      <c r="U40" s="38">
        <f>AVERAGE(VP9vsQY265_offline_veryslow!S81:S124)</f>
        <v>-9.4724368430163602E-2</v>
      </c>
      <c r="V40" s="38">
        <f>AVERAGE(VP9vsQY265_offline_veryslow!T81:T124)</f>
        <v>2.0015486130001499E-3</v>
      </c>
      <c r="W40" s="39">
        <f>AVERAGE(VP9vsQY265_offline_veryslow!U81:U124)</f>
        <v>3.6930912346130778</v>
      </c>
    </row>
    <row r="41" spans="1:23" ht="16.5" thickBot="1" x14ac:dyDescent="0.3">
      <c r="A41" s="47"/>
      <c r="B41" s="37" t="s">
        <v>77</v>
      </c>
      <c r="C41" s="38">
        <f>X264vsQY265_offline_placebo!Q125</f>
        <v>-0.31634127904064363</v>
      </c>
      <c r="D41" s="38">
        <f>X264vsQY265_offline_placebo!R125</f>
        <v>-0.49622048619084613</v>
      </c>
      <c r="E41" s="38">
        <f>X264vsQY265_offline_placebo!S125</f>
        <v>-0.49921627473052266</v>
      </c>
      <c r="F41" s="38">
        <f>X264vsQY265_offline_placebo!T125</f>
        <v>-0.35262914034784665</v>
      </c>
      <c r="G41" s="39">
        <f>X264vsQY265_offline_placebo!U125</f>
        <v>0.44568542466700428</v>
      </c>
      <c r="I41" s="47"/>
      <c r="J41" s="37" t="s">
        <v>77</v>
      </c>
      <c r="K41" s="38">
        <f>X265vsQY265_offline_veryslow!Q125</f>
        <v>-3.5339873654874079E-2</v>
      </c>
      <c r="L41" s="38">
        <f>X265vsQY265_offline_veryslow!R125</f>
        <v>-0.351182753332825</v>
      </c>
      <c r="M41" s="38">
        <f>X265vsQY265_offline_veryslow!S125</f>
        <v>-0.33750870298265456</v>
      </c>
      <c r="N41" s="38">
        <f>X265vsQY265_offline_veryslow!T125</f>
        <v>-0.10113155854970446</v>
      </c>
      <c r="O41" s="39">
        <f>X265vsQY265_offline_veryslow!U125</f>
        <v>1.1036255398387389</v>
      </c>
      <c r="Q41" s="47"/>
      <c r="R41" s="37" t="s">
        <v>77</v>
      </c>
      <c r="S41" s="38">
        <f>VP9vsQY265_offline_veryslow!Q125</f>
        <v>-2.793267512350444E-2</v>
      </c>
      <c r="T41" s="38">
        <f>VP9vsQY265_offline_veryslow!R125</f>
        <v>-0.18826176981811865</v>
      </c>
      <c r="U41" s="38">
        <f>VP9vsQY265_offline_veryslow!S125</f>
        <v>-0.19674504063373585</v>
      </c>
      <c r="V41" s="38">
        <f>VP9vsQY265_offline_veryslow!T125</f>
        <v>-6.1597260014733139E-2</v>
      </c>
      <c r="W41" s="39">
        <f>VP9vsQY265_offline_veryslow!U125</f>
        <v>7.8593523960672602</v>
      </c>
    </row>
  </sheetData>
  <mergeCells count="24">
    <mergeCell ref="I35:I41"/>
    <mergeCell ref="A1:G1"/>
    <mergeCell ref="I1:O1"/>
    <mergeCell ref="I10:I16"/>
    <mergeCell ref="I17:O17"/>
    <mergeCell ref="I19:I25"/>
    <mergeCell ref="A35:A41"/>
    <mergeCell ref="A3:A9"/>
    <mergeCell ref="A26:A32"/>
    <mergeCell ref="I26:I32"/>
    <mergeCell ref="I33:O33"/>
    <mergeCell ref="A17:G17"/>
    <mergeCell ref="A19:A25"/>
    <mergeCell ref="A33:G33"/>
    <mergeCell ref="I3:I9"/>
    <mergeCell ref="A10:A16"/>
    <mergeCell ref="Q26:Q32"/>
    <mergeCell ref="Q33:W33"/>
    <mergeCell ref="Q35:Q41"/>
    <mergeCell ref="Q1:W1"/>
    <mergeCell ref="Q3:Q9"/>
    <mergeCell ref="Q10:Q16"/>
    <mergeCell ref="Q17:W17"/>
    <mergeCell ref="Q19:Q25"/>
  </mergeCells>
  <phoneticPr fontId="5" type="noConversion"/>
  <conditionalFormatting sqref="C3:F3">
    <cfRule type="cellIs" dxfId="827" priority="4875" operator="greaterThan">
      <formula>0.03</formula>
    </cfRule>
    <cfRule type="cellIs" dxfId="826" priority="4876" stopIfTrue="1" operator="lessThan">
      <formula>-0.03</formula>
    </cfRule>
  </conditionalFormatting>
  <conditionalFormatting sqref="C9:F9">
    <cfRule type="cellIs" dxfId="825" priority="4873" operator="greaterThan">
      <formula>0.03</formula>
    </cfRule>
    <cfRule type="cellIs" dxfId="824" priority="4874" stopIfTrue="1" operator="lessThan">
      <formula>-0.03</formula>
    </cfRule>
  </conditionalFormatting>
  <conditionalFormatting sqref="C4:F7">
    <cfRule type="cellIs" dxfId="823" priority="4871" operator="greaterThan">
      <formula>0.03</formula>
    </cfRule>
    <cfRule type="cellIs" dxfId="822" priority="4872" stopIfTrue="1" operator="lessThan">
      <formula>-0.03</formula>
    </cfRule>
  </conditionalFormatting>
  <conditionalFormatting sqref="C10:F10">
    <cfRule type="cellIs" dxfId="821" priority="4863" operator="greaterThan">
      <formula>0.03</formula>
    </cfRule>
    <cfRule type="cellIs" dxfId="820" priority="4864" stopIfTrue="1" operator="lessThan">
      <formula>-0.03</formula>
    </cfRule>
  </conditionalFormatting>
  <conditionalFormatting sqref="C16:F16">
    <cfRule type="cellIs" dxfId="819" priority="4861" operator="greaterThan">
      <formula>0.03</formula>
    </cfRule>
    <cfRule type="cellIs" dxfId="818" priority="4862" stopIfTrue="1" operator="lessThan">
      <formula>-0.03</formula>
    </cfRule>
  </conditionalFormatting>
  <conditionalFormatting sqref="C11:F14">
    <cfRule type="cellIs" dxfId="817" priority="4859" operator="greaterThan">
      <formula>0.03</formula>
    </cfRule>
    <cfRule type="cellIs" dxfId="816" priority="4860" stopIfTrue="1" operator="lessThan">
      <formula>-0.03</formula>
    </cfRule>
  </conditionalFormatting>
  <conditionalFormatting sqref="C19:F19">
    <cfRule type="cellIs" dxfId="815" priority="4839" operator="greaterThan">
      <formula>0.03</formula>
    </cfRule>
    <cfRule type="cellIs" dxfId="814" priority="4840" stopIfTrue="1" operator="lessThan">
      <formula>-0.03</formula>
    </cfRule>
  </conditionalFormatting>
  <conditionalFormatting sqref="C25:F25">
    <cfRule type="cellIs" dxfId="813" priority="4837" operator="greaterThan">
      <formula>0.03</formula>
    </cfRule>
    <cfRule type="cellIs" dxfId="812" priority="4838" stopIfTrue="1" operator="lessThan">
      <formula>-0.03</formula>
    </cfRule>
  </conditionalFormatting>
  <conditionalFormatting sqref="C20:F23">
    <cfRule type="cellIs" dxfId="811" priority="4835" operator="greaterThan">
      <formula>0.03</formula>
    </cfRule>
    <cfRule type="cellIs" dxfId="810" priority="4836" stopIfTrue="1" operator="lessThan">
      <formula>-0.03</formula>
    </cfRule>
  </conditionalFormatting>
  <conditionalFormatting sqref="C26:F26">
    <cfRule type="cellIs" dxfId="809" priority="4827" operator="greaterThan">
      <formula>0.03</formula>
    </cfRule>
    <cfRule type="cellIs" dxfId="808" priority="4828" stopIfTrue="1" operator="lessThan">
      <formula>-0.03</formula>
    </cfRule>
  </conditionalFormatting>
  <conditionalFormatting sqref="C32:F32">
    <cfRule type="cellIs" dxfId="807" priority="4825" operator="greaterThan">
      <formula>0.03</formula>
    </cfRule>
    <cfRule type="cellIs" dxfId="806" priority="4826" stopIfTrue="1" operator="lessThan">
      <formula>-0.03</formula>
    </cfRule>
  </conditionalFormatting>
  <conditionalFormatting sqref="C27:F30">
    <cfRule type="cellIs" dxfId="805" priority="4823" operator="greaterThan">
      <formula>0.03</formula>
    </cfRule>
    <cfRule type="cellIs" dxfId="804" priority="4824" stopIfTrue="1" operator="lessThan">
      <formula>-0.03</formula>
    </cfRule>
  </conditionalFormatting>
  <conditionalFormatting sqref="C35:F35">
    <cfRule type="cellIs" dxfId="803" priority="3043" operator="greaterThan">
      <formula>0.03</formula>
    </cfRule>
    <cfRule type="cellIs" dxfId="802" priority="3044" stopIfTrue="1" operator="lessThan">
      <formula>-0.03</formula>
    </cfRule>
  </conditionalFormatting>
  <conditionalFormatting sqref="C41:F41">
    <cfRule type="cellIs" dxfId="801" priority="3041" operator="greaterThan">
      <formula>0.03</formula>
    </cfRule>
    <cfRule type="cellIs" dxfId="800" priority="3042" stopIfTrue="1" operator="lessThan">
      <formula>-0.03</formula>
    </cfRule>
  </conditionalFormatting>
  <conditionalFormatting sqref="C36:F39">
    <cfRule type="cellIs" dxfId="799" priority="3039" operator="greaterThan">
      <formula>0.03</formula>
    </cfRule>
    <cfRule type="cellIs" dxfId="798" priority="3040" stopIfTrue="1" operator="lessThan">
      <formula>-0.03</formula>
    </cfRule>
  </conditionalFormatting>
  <conditionalFormatting sqref="K3:N3">
    <cfRule type="cellIs" dxfId="797" priority="1655" operator="greaterThan">
      <formula>0.03</formula>
    </cfRule>
    <cfRule type="cellIs" dxfId="796" priority="1656" stopIfTrue="1" operator="lessThan">
      <formula>-0.03</formula>
    </cfRule>
  </conditionalFormatting>
  <conditionalFormatting sqref="K9:N9">
    <cfRule type="cellIs" dxfId="795" priority="1653" operator="greaterThan">
      <formula>0.03</formula>
    </cfRule>
    <cfRule type="cellIs" dxfId="794" priority="1654" stopIfTrue="1" operator="lessThan">
      <formula>-0.03</formula>
    </cfRule>
  </conditionalFormatting>
  <conditionalFormatting sqref="K4:N7">
    <cfRule type="cellIs" dxfId="793" priority="1651" operator="greaterThan">
      <formula>0.03</formula>
    </cfRule>
    <cfRule type="cellIs" dxfId="792" priority="1652" stopIfTrue="1" operator="lessThan">
      <formula>-0.03</formula>
    </cfRule>
  </conditionalFormatting>
  <conditionalFormatting sqref="K10:N10">
    <cfRule type="cellIs" dxfId="791" priority="1643" operator="greaterThan">
      <formula>0.03</formula>
    </cfRule>
    <cfRule type="cellIs" dxfId="790" priority="1644" stopIfTrue="1" operator="lessThan">
      <formula>-0.03</formula>
    </cfRule>
  </conditionalFormatting>
  <conditionalFormatting sqref="K16:N16">
    <cfRule type="cellIs" dxfId="789" priority="1641" operator="greaterThan">
      <formula>0.03</formula>
    </cfRule>
    <cfRule type="cellIs" dxfId="788" priority="1642" stopIfTrue="1" operator="lessThan">
      <formula>-0.03</formula>
    </cfRule>
  </conditionalFormatting>
  <conditionalFormatting sqref="K11:N14">
    <cfRule type="cellIs" dxfId="787" priority="1639" operator="greaterThan">
      <formula>0.03</formula>
    </cfRule>
    <cfRule type="cellIs" dxfId="786" priority="1640" stopIfTrue="1" operator="lessThan">
      <formula>-0.03</formula>
    </cfRule>
  </conditionalFormatting>
  <conditionalFormatting sqref="K19:N19">
    <cfRule type="cellIs" dxfId="785" priority="1619" operator="greaterThan">
      <formula>0.03</formula>
    </cfRule>
    <cfRule type="cellIs" dxfId="784" priority="1620" stopIfTrue="1" operator="lessThan">
      <formula>-0.03</formula>
    </cfRule>
  </conditionalFormatting>
  <conditionalFormatting sqref="K25:N25">
    <cfRule type="cellIs" dxfId="783" priority="1617" operator="greaterThan">
      <formula>0.03</formula>
    </cfRule>
    <cfRule type="cellIs" dxfId="782" priority="1618" stopIfTrue="1" operator="lessThan">
      <formula>-0.03</formula>
    </cfRule>
  </conditionalFormatting>
  <conditionalFormatting sqref="K20:N23">
    <cfRule type="cellIs" dxfId="781" priority="1615" operator="greaterThan">
      <formula>0.03</formula>
    </cfRule>
    <cfRule type="cellIs" dxfId="780" priority="1616" stopIfTrue="1" operator="lessThan">
      <formula>-0.03</formula>
    </cfRule>
  </conditionalFormatting>
  <conditionalFormatting sqref="K26:N26">
    <cfRule type="cellIs" dxfId="779" priority="1607" operator="greaterThan">
      <formula>0.03</formula>
    </cfRule>
    <cfRule type="cellIs" dxfId="778" priority="1608" stopIfTrue="1" operator="lessThan">
      <formula>-0.03</formula>
    </cfRule>
  </conditionalFormatting>
  <conditionalFormatting sqref="K32:N32">
    <cfRule type="cellIs" dxfId="777" priority="1605" operator="greaterThan">
      <formula>0.03</formula>
    </cfRule>
    <cfRule type="cellIs" dxfId="776" priority="1606" stopIfTrue="1" operator="lessThan">
      <formula>-0.03</formula>
    </cfRule>
  </conditionalFormatting>
  <conditionalFormatting sqref="K27:N30">
    <cfRule type="cellIs" dxfId="775" priority="1603" operator="greaterThan">
      <formula>0.03</formula>
    </cfRule>
    <cfRule type="cellIs" dxfId="774" priority="1604" stopIfTrue="1" operator="lessThan">
      <formula>-0.03</formula>
    </cfRule>
  </conditionalFormatting>
  <conditionalFormatting sqref="K35:N35">
    <cfRule type="cellIs" dxfId="773" priority="1195" operator="greaterThan">
      <formula>0.03</formula>
    </cfRule>
    <cfRule type="cellIs" dxfId="772" priority="1196" stopIfTrue="1" operator="lessThan">
      <formula>-0.03</formula>
    </cfRule>
  </conditionalFormatting>
  <conditionalFormatting sqref="K41:N41">
    <cfRule type="cellIs" dxfId="771" priority="1193" operator="greaterThan">
      <formula>0.03</formula>
    </cfRule>
    <cfRule type="cellIs" dxfId="770" priority="1194" stopIfTrue="1" operator="lessThan">
      <formula>-0.03</formula>
    </cfRule>
  </conditionalFormatting>
  <conditionalFormatting sqref="K36:N39">
    <cfRule type="cellIs" dxfId="769" priority="1191" operator="greaterThan">
      <formula>0.03</formula>
    </cfRule>
    <cfRule type="cellIs" dxfId="768" priority="1192" stopIfTrue="1" operator="lessThan">
      <formula>-0.03</formula>
    </cfRule>
  </conditionalFormatting>
  <conditionalFormatting sqref="C8">
    <cfRule type="cellIs" dxfId="767" priority="469" operator="greaterThan">
      <formula>0.03</formula>
    </cfRule>
    <cfRule type="cellIs" dxfId="766" priority="470" stopIfTrue="1" operator="lessThan">
      <formula>-0.03</formula>
    </cfRule>
  </conditionalFormatting>
  <conditionalFormatting sqref="D8">
    <cfRule type="cellIs" dxfId="765" priority="467" operator="greaterThan">
      <formula>0.03</formula>
    </cfRule>
    <cfRule type="cellIs" dxfId="764" priority="468" stopIfTrue="1" operator="lessThan">
      <formula>-0.03</formula>
    </cfRule>
  </conditionalFormatting>
  <conditionalFormatting sqref="E8">
    <cfRule type="cellIs" dxfId="763" priority="465" operator="greaterThan">
      <formula>0.03</formula>
    </cfRule>
    <cfRule type="cellIs" dxfId="762" priority="466" stopIfTrue="1" operator="lessThan">
      <formula>-0.03</formula>
    </cfRule>
  </conditionalFormatting>
  <conditionalFormatting sqref="F8">
    <cfRule type="cellIs" dxfId="761" priority="463" operator="greaterThan">
      <formula>0.03</formula>
    </cfRule>
    <cfRule type="cellIs" dxfId="760" priority="464" stopIfTrue="1" operator="lessThan">
      <formula>-0.03</formula>
    </cfRule>
  </conditionalFormatting>
  <conditionalFormatting sqref="K8">
    <cfRule type="cellIs" dxfId="759" priority="461" operator="greaterThan">
      <formula>0.03</formula>
    </cfRule>
    <cfRule type="cellIs" dxfId="758" priority="462" stopIfTrue="1" operator="lessThan">
      <formula>-0.03</formula>
    </cfRule>
  </conditionalFormatting>
  <conditionalFormatting sqref="L8">
    <cfRule type="cellIs" dxfId="757" priority="459" operator="greaterThan">
      <formula>0.03</formula>
    </cfRule>
    <cfRule type="cellIs" dxfId="756" priority="460" stopIfTrue="1" operator="lessThan">
      <formula>-0.03</formula>
    </cfRule>
  </conditionalFormatting>
  <conditionalFormatting sqref="M8">
    <cfRule type="cellIs" dxfId="755" priority="457" operator="greaterThan">
      <formula>0.03</formula>
    </cfRule>
    <cfRule type="cellIs" dxfId="754" priority="458" stopIfTrue="1" operator="lessThan">
      <formula>-0.03</formula>
    </cfRule>
  </conditionalFormatting>
  <conditionalFormatting sqref="N8">
    <cfRule type="cellIs" dxfId="753" priority="455" operator="greaterThan">
      <formula>0.03</formula>
    </cfRule>
    <cfRule type="cellIs" dxfId="752" priority="456" stopIfTrue="1" operator="lessThan">
      <formula>-0.03</formula>
    </cfRule>
  </conditionalFormatting>
  <conditionalFormatting sqref="C15">
    <cfRule type="cellIs" dxfId="751" priority="421" operator="greaterThan">
      <formula>0.03</formula>
    </cfRule>
    <cfRule type="cellIs" dxfId="750" priority="422" stopIfTrue="1" operator="lessThan">
      <formula>-0.03</formula>
    </cfRule>
  </conditionalFormatting>
  <conditionalFormatting sqref="D15">
    <cfRule type="cellIs" dxfId="749" priority="419" operator="greaterThan">
      <formula>0.03</formula>
    </cfRule>
    <cfRule type="cellIs" dxfId="748" priority="420" stopIfTrue="1" operator="lessThan">
      <formula>-0.03</formula>
    </cfRule>
  </conditionalFormatting>
  <conditionalFormatting sqref="E15">
    <cfRule type="cellIs" dxfId="747" priority="417" operator="greaterThan">
      <formula>0.03</formula>
    </cfRule>
    <cfRule type="cellIs" dxfId="746" priority="418" stopIfTrue="1" operator="lessThan">
      <formula>-0.03</formula>
    </cfRule>
  </conditionalFormatting>
  <conditionalFormatting sqref="F15">
    <cfRule type="cellIs" dxfId="745" priority="415" operator="greaterThan">
      <formula>0.03</formula>
    </cfRule>
    <cfRule type="cellIs" dxfId="744" priority="416" stopIfTrue="1" operator="lessThan">
      <formula>-0.03</formula>
    </cfRule>
  </conditionalFormatting>
  <conditionalFormatting sqref="K15">
    <cfRule type="cellIs" dxfId="743" priority="413" operator="greaterThan">
      <formula>0.03</formula>
    </cfRule>
    <cfRule type="cellIs" dxfId="742" priority="414" stopIfTrue="1" operator="lessThan">
      <formula>-0.03</formula>
    </cfRule>
  </conditionalFormatting>
  <conditionalFormatting sqref="L15">
    <cfRule type="cellIs" dxfId="741" priority="411" operator="greaterThan">
      <formula>0.03</formula>
    </cfRule>
    <cfRule type="cellIs" dxfId="740" priority="412" stopIfTrue="1" operator="lessThan">
      <formula>-0.03</formula>
    </cfRule>
  </conditionalFormatting>
  <conditionalFormatting sqref="M15">
    <cfRule type="cellIs" dxfId="739" priority="409" operator="greaterThan">
      <formula>0.03</formula>
    </cfRule>
    <cfRule type="cellIs" dxfId="738" priority="410" stopIfTrue="1" operator="lessThan">
      <formula>-0.03</formula>
    </cfRule>
  </conditionalFormatting>
  <conditionalFormatting sqref="N15">
    <cfRule type="cellIs" dxfId="737" priority="407" operator="greaterThan">
      <formula>0.03</formula>
    </cfRule>
    <cfRule type="cellIs" dxfId="736" priority="408" stopIfTrue="1" operator="lessThan">
      <formula>-0.03</formula>
    </cfRule>
  </conditionalFormatting>
  <conditionalFormatting sqref="K24">
    <cfRule type="cellIs" dxfId="735" priority="181" operator="greaterThan">
      <formula>0.03</formula>
    </cfRule>
    <cfRule type="cellIs" dxfId="734" priority="182" stopIfTrue="1" operator="lessThan">
      <formula>-0.03</formula>
    </cfRule>
  </conditionalFormatting>
  <conditionalFormatting sqref="L24">
    <cfRule type="cellIs" dxfId="733" priority="179" operator="greaterThan">
      <formula>0.03</formula>
    </cfRule>
    <cfRule type="cellIs" dxfId="732" priority="180" stopIfTrue="1" operator="lessThan">
      <formula>-0.03</formula>
    </cfRule>
  </conditionalFormatting>
  <conditionalFormatting sqref="M24">
    <cfRule type="cellIs" dxfId="731" priority="177" operator="greaterThan">
      <formula>0.03</formula>
    </cfRule>
    <cfRule type="cellIs" dxfId="730" priority="178" stopIfTrue="1" operator="lessThan">
      <formula>-0.03</formula>
    </cfRule>
  </conditionalFormatting>
  <conditionalFormatting sqref="N24">
    <cfRule type="cellIs" dxfId="729" priority="175" operator="greaterThan">
      <formula>0.03</formula>
    </cfRule>
    <cfRule type="cellIs" dxfId="728" priority="176" stopIfTrue="1" operator="lessThan">
      <formula>-0.03</formula>
    </cfRule>
  </conditionalFormatting>
  <conditionalFormatting sqref="C24">
    <cfRule type="cellIs" dxfId="727" priority="173" operator="greaterThan">
      <formula>0.03</formula>
    </cfRule>
    <cfRule type="cellIs" dxfId="726" priority="174" stopIfTrue="1" operator="lessThan">
      <formula>-0.03</formula>
    </cfRule>
  </conditionalFormatting>
  <conditionalFormatting sqref="D24">
    <cfRule type="cellIs" dxfId="725" priority="171" operator="greaterThan">
      <formula>0.03</formula>
    </cfRule>
    <cfRule type="cellIs" dxfId="724" priority="172" stopIfTrue="1" operator="lessThan">
      <formula>-0.03</formula>
    </cfRule>
  </conditionalFormatting>
  <conditionalFormatting sqref="E24">
    <cfRule type="cellIs" dxfId="723" priority="169" operator="greaterThan">
      <formula>0.03</formula>
    </cfRule>
    <cfRule type="cellIs" dxfId="722" priority="170" stopIfTrue="1" operator="lessThan">
      <formula>-0.03</formula>
    </cfRule>
  </conditionalFormatting>
  <conditionalFormatting sqref="F24">
    <cfRule type="cellIs" dxfId="721" priority="167" operator="greaterThan">
      <formula>0.03</formula>
    </cfRule>
    <cfRule type="cellIs" dxfId="720" priority="168" stopIfTrue="1" operator="lessThan">
      <formula>-0.03</formula>
    </cfRule>
  </conditionalFormatting>
  <conditionalFormatting sqref="K31">
    <cfRule type="cellIs" dxfId="719" priority="133" operator="greaterThan">
      <formula>0.03</formula>
    </cfRule>
    <cfRule type="cellIs" dxfId="718" priority="134" stopIfTrue="1" operator="lessThan">
      <formula>-0.03</formula>
    </cfRule>
  </conditionalFormatting>
  <conditionalFormatting sqref="L31">
    <cfRule type="cellIs" dxfId="717" priority="131" operator="greaterThan">
      <formula>0.03</formula>
    </cfRule>
    <cfRule type="cellIs" dxfId="716" priority="132" stopIfTrue="1" operator="lessThan">
      <formula>-0.03</formula>
    </cfRule>
  </conditionalFormatting>
  <conditionalFormatting sqref="M31">
    <cfRule type="cellIs" dxfId="715" priority="129" operator="greaterThan">
      <formula>0.03</formula>
    </cfRule>
    <cfRule type="cellIs" dxfId="714" priority="130" stopIfTrue="1" operator="lessThan">
      <formula>-0.03</formula>
    </cfRule>
  </conditionalFormatting>
  <conditionalFormatting sqref="N31">
    <cfRule type="cellIs" dxfId="713" priority="127" operator="greaterThan">
      <formula>0.03</formula>
    </cfRule>
    <cfRule type="cellIs" dxfId="712" priority="128" stopIfTrue="1" operator="lessThan">
      <formula>-0.03</formula>
    </cfRule>
  </conditionalFormatting>
  <conditionalFormatting sqref="C31">
    <cfRule type="cellIs" dxfId="711" priority="125" operator="greaterThan">
      <formula>0.03</formula>
    </cfRule>
    <cfRule type="cellIs" dxfId="710" priority="126" stopIfTrue="1" operator="lessThan">
      <formula>-0.03</formula>
    </cfRule>
  </conditionalFormatting>
  <conditionalFormatting sqref="D31">
    <cfRule type="cellIs" dxfId="709" priority="123" operator="greaterThan">
      <formula>0.03</formula>
    </cfRule>
    <cfRule type="cellIs" dxfId="708" priority="124" stopIfTrue="1" operator="lessThan">
      <formula>-0.03</formula>
    </cfRule>
  </conditionalFormatting>
  <conditionalFormatting sqref="E31">
    <cfRule type="cellIs" dxfId="707" priority="121" operator="greaterThan">
      <formula>0.03</formula>
    </cfRule>
    <cfRule type="cellIs" dxfId="706" priority="122" stopIfTrue="1" operator="lessThan">
      <formula>-0.03</formula>
    </cfRule>
  </conditionalFormatting>
  <conditionalFormatting sqref="F31">
    <cfRule type="cellIs" dxfId="705" priority="119" operator="greaterThan">
      <formula>0.03</formula>
    </cfRule>
    <cfRule type="cellIs" dxfId="704" priority="120" stopIfTrue="1" operator="lessThan">
      <formula>-0.03</formula>
    </cfRule>
  </conditionalFormatting>
  <conditionalFormatting sqref="K40">
    <cfRule type="cellIs" dxfId="703" priority="85" operator="greaterThan">
      <formula>0.03</formula>
    </cfRule>
    <cfRule type="cellIs" dxfId="702" priority="86" stopIfTrue="1" operator="lessThan">
      <formula>-0.03</formula>
    </cfRule>
  </conditionalFormatting>
  <conditionalFormatting sqref="L40">
    <cfRule type="cellIs" dxfId="701" priority="83" operator="greaterThan">
      <formula>0.03</formula>
    </cfRule>
    <cfRule type="cellIs" dxfId="700" priority="84" stopIfTrue="1" operator="lessThan">
      <formula>-0.03</formula>
    </cfRule>
  </conditionalFormatting>
  <conditionalFormatting sqref="M40">
    <cfRule type="cellIs" dxfId="699" priority="81" operator="greaterThan">
      <formula>0.03</formula>
    </cfRule>
    <cfRule type="cellIs" dxfId="698" priority="82" stopIfTrue="1" operator="lessThan">
      <formula>-0.03</formula>
    </cfRule>
  </conditionalFormatting>
  <conditionalFormatting sqref="N40">
    <cfRule type="cellIs" dxfId="697" priority="79" operator="greaterThan">
      <formula>0.03</formula>
    </cfRule>
    <cfRule type="cellIs" dxfId="696" priority="80" stopIfTrue="1" operator="lessThan">
      <formula>-0.03</formula>
    </cfRule>
  </conditionalFormatting>
  <conditionalFormatting sqref="C40">
    <cfRule type="cellIs" dxfId="695" priority="77" operator="greaterThan">
      <formula>0.03</formula>
    </cfRule>
    <cfRule type="cellIs" dxfId="694" priority="78" stopIfTrue="1" operator="lessThan">
      <formula>-0.03</formula>
    </cfRule>
  </conditionalFormatting>
  <conditionalFormatting sqref="D40">
    <cfRule type="cellIs" dxfId="693" priority="75" operator="greaterThan">
      <formula>0.03</formula>
    </cfRule>
    <cfRule type="cellIs" dxfId="692" priority="76" stopIfTrue="1" operator="lessThan">
      <formula>-0.03</formula>
    </cfRule>
  </conditionalFormatting>
  <conditionalFormatting sqref="E40">
    <cfRule type="cellIs" dxfId="691" priority="73" operator="greaterThan">
      <formula>0.03</formula>
    </cfRule>
    <cfRule type="cellIs" dxfId="690" priority="74" stopIfTrue="1" operator="lessThan">
      <formula>-0.03</formula>
    </cfRule>
  </conditionalFormatting>
  <conditionalFormatting sqref="F40">
    <cfRule type="cellIs" dxfId="689" priority="71" operator="greaterThan">
      <formula>0.03</formula>
    </cfRule>
    <cfRule type="cellIs" dxfId="688" priority="72" stopIfTrue="1" operator="lessThan">
      <formula>-0.03</formula>
    </cfRule>
  </conditionalFormatting>
  <conditionalFormatting sqref="S3:V3">
    <cfRule type="cellIs" dxfId="687" priority="69" operator="greaterThan">
      <formula>0.03</formula>
    </cfRule>
    <cfRule type="cellIs" dxfId="686" priority="70" stopIfTrue="1" operator="lessThan">
      <formula>-0.03</formula>
    </cfRule>
  </conditionalFormatting>
  <conditionalFormatting sqref="S9:V9">
    <cfRule type="cellIs" dxfId="685" priority="67" operator="greaterThan">
      <formula>0.03</formula>
    </cfRule>
    <cfRule type="cellIs" dxfId="684" priority="68" stopIfTrue="1" operator="lessThan">
      <formula>-0.03</formula>
    </cfRule>
  </conditionalFormatting>
  <conditionalFormatting sqref="S4:V7">
    <cfRule type="cellIs" dxfId="683" priority="65" operator="greaterThan">
      <formula>0.03</formula>
    </cfRule>
    <cfRule type="cellIs" dxfId="682" priority="66" stopIfTrue="1" operator="lessThan">
      <formula>-0.03</formula>
    </cfRule>
  </conditionalFormatting>
  <conditionalFormatting sqref="S10:V10">
    <cfRule type="cellIs" dxfId="681" priority="63" operator="greaterThan">
      <formula>0.03</formula>
    </cfRule>
    <cfRule type="cellIs" dxfId="680" priority="64" stopIfTrue="1" operator="lessThan">
      <formula>-0.03</formula>
    </cfRule>
  </conditionalFormatting>
  <conditionalFormatting sqref="S16:V16">
    <cfRule type="cellIs" dxfId="679" priority="61" operator="greaterThan">
      <formula>0.03</formula>
    </cfRule>
    <cfRule type="cellIs" dxfId="678" priority="62" stopIfTrue="1" operator="lessThan">
      <formula>-0.03</formula>
    </cfRule>
  </conditionalFormatting>
  <conditionalFormatting sqref="S11:V14">
    <cfRule type="cellIs" dxfId="677" priority="59" operator="greaterThan">
      <formula>0.03</formula>
    </cfRule>
    <cfRule type="cellIs" dxfId="676" priority="60" stopIfTrue="1" operator="lessThan">
      <formula>-0.03</formula>
    </cfRule>
  </conditionalFormatting>
  <conditionalFormatting sqref="S19:V19">
    <cfRule type="cellIs" dxfId="675" priority="57" operator="greaterThan">
      <formula>0.03</formula>
    </cfRule>
    <cfRule type="cellIs" dxfId="674" priority="58" stopIfTrue="1" operator="lessThan">
      <formula>-0.03</formula>
    </cfRule>
  </conditionalFormatting>
  <conditionalFormatting sqref="S25:V25">
    <cfRule type="cellIs" dxfId="673" priority="55" operator="greaterThan">
      <formula>0.03</formula>
    </cfRule>
    <cfRule type="cellIs" dxfId="672" priority="56" stopIfTrue="1" operator="lessThan">
      <formula>-0.03</formula>
    </cfRule>
  </conditionalFormatting>
  <conditionalFormatting sqref="S20:V23">
    <cfRule type="cellIs" dxfId="671" priority="53" operator="greaterThan">
      <formula>0.03</formula>
    </cfRule>
    <cfRule type="cellIs" dxfId="670" priority="54" stopIfTrue="1" operator="lessThan">
      <formula>-0.03</formula>
    </cfRule>
  </conditionalFormatting>
  <conditionalFormatting sqref="S26:V26">
    <cfRule type="cellIs" dxfId="669" priority="51" operator="greaterThan">
      <formula>0.03</formula>
    </cfRule>
    <cfRule type="cellIs" dxfId="668" priority="52" stopIfTrue="1" operator="lessThan">
      <formula>-0.03</formula>
    </cfRule>
  </conditionalFormatting>
  <conditionalFormatting sqref="S32:V32">
    <cfRule type="cellIs" dxfId="667" priority="49" operator="greaterThan">
      <formula>0.03</formula>
    </cfRule>
    <cfRule type="cellIs" dxfId="666" priority="50" stopIfTrue="1" operator="lessThan">
      <formula>-0.03</formula>
    </cfRule>
  </conditionalFormatting>
  <conditionalFormatting sqref="S27:V30">
    <cfRule type="cellIs" dxfId="665" priority="47" operator="greaterThan">
      <formula>0.03</formula>
    </cfRule>
    <cfRule type="cellIs" dxfId="664" priority="48" stopIfTrue="1" operator="lessThan">
      <formula>-0.03</formula>
    </cfRule>
  </conditionalFormatting>
  <conditionalFormatting sqref="S35:V35">
    <cfRule type="cellIs" dxfId="663" priority="45" operator="greaterThan">
      <formula>0.03</formula>
    </cfRule>
    <cfRule type="cellIs" dxfId="662" priority="46" stopIfTrue="1" operator="lessThan">
      <formula>-0.03</formula>
    </cfRule>
  </conditionalFormatting>
  <conditionalFormatting sqref="S41:V41">
    <cfRule type="cellIs" dxfId="661" priority="43" operator="greaterThan">
      <formula>0.03</formula>
    </cfRule>
    <cfRule type="cellIs" dxfId="660" priority="44" stopIfTrue="1" operator="lessThan">
      <formula>-0.03</formula>
    </cfRule>
  </conditionalFormatting>
  <conditionalFormatting sqref="S36:V39">
    <cfRule type="cellIs" dxfId="659" priority="41" operator="greaterThan">
      <formula>0.03</formula>
    </cfRule>
    <cfRule type="cellIs" dxfId="658" priority="42" stopIfTrue="1" operator="lessThan">
      <formula>-0.03</formula>
    </cfRule>
  </conditionalFormatting>
  <conditionalFormatting sqref="S8">
    <cfRule type="cellIs" dxfId="657" priority="39" operator="greaterThan">
      <formula>0.03</formula>
    </cfRule>
    <cfRule type="cellIs" dxfId="656" priority="40" stopIfTrue="1" operator="lessThan">
      <formula>-0.03</formula>
    </cfRule>
  </conditionalFormatting>
  <conditionalFormatting sqref="T8">
    <cfRule type="cellIs" dxfId="655" priority="37" operator="greaterThan">
      <formula>0.03</formula>
    </cfRule>
    <cfRule type="cellIs" dxfId="654" priority="38" stopIfTrue="1" operator="lessThan">
      <formula>-0.03</formula>
    </cfRule>
  </conditionalFormatting>
  <conditionalFormatting sqref="U8">
    <cfRule type="cellIs" dxfId="653" priority="35" operator="greaterThan">
      <formula>0.03</formula>
    </cfRule>
    <cfRule type="cellIs" dxfId="652" priority="36" stopIfTrue="1" operator="lessThan">
      <formula>-0.03</formula>
    </cfRule>
  </conditionalFormatting>
  <conditionalFormatting sqref="V8">
    <cfRule type="cellIs" dxfId="651" priority="33" operator="greaterThan">
      <formula>0.03</formula>
    </cfRule>
    <cfRule type="cellIs" dxfId="650" priority="34" stopIfTrue="1" operator="lessThan">
      <formula>-0.03</formula>
    </cfRule>
  </conditionalFormatting>
  <conditionalFormatting sqref="S15">
    <cfRule type="cellIs" dxfId="649" priority="31" operator="greaterThan">
      <formula>0.03</formula>
    </cfRule>
    <cfRule type="cellIs" dxfId="648" priority="32" stopIfTrue="1" operator="lessThan">
      <formula>-0.03</formula>
    </cfRule>
  </conditionalFormatting>
  <conditionalFormatting sqref="T15">
    <cfRule type="cellIs" dxfId="647" priority="29" operator="greaterThan">
      <formula>0.03</formula>
    </cfRule>
    <cfRule type="cellIs" dxfId="646" priority="30" stopIfTrue="1" operator="lessThan">
      <formula>-0.03</formula>
    </cfRule>
  </conditionalFormatting>
  <conditionalFormatting sqref="U15">
    <cfRule type="cellIs" dxfId="645" priority="27" operator="greaterThan">
      <formula>0.03</formula>
    </cfRule>
    <cfRule type="cellIs" dxfId="644" priority="28" stopIfTrue="1" operator="lessThan">
      <formula>-0.03</formula>
    </cfRule>
  </conditionalFormatting>
  <conditionalFormatting sqref="V15">
    <cfRule type="cellIs" dxfId="643" priority="25" operator="greaterThan">
      <formula>0.03</formula>
    </cfRule>
    <cfRule type="cellIs" dxfId="642" priority="26" stopIfTrue="1" operator="lessThan">
      <formula>-0.03</formula>
    </cfRule>
  </conditionalFormatting>
  <conditionalFormatting sqref="S24">
    <cfRule type="cellIs" dxfId="641" priority="23" operator="greaterThan">
      <formula>0.03</formula>
    </cfRule>
    <cfRule type="cellIs" dxfId="640" priority="24" stopIfTrue="1" operator="lessThan">
      <formula>-0.03</formula>
    </cfRule>
  </conditionalFormatting>
  <conditionalFormatting sqref="T24">
    <cfRule type="cellIs" dxfId="639" priority="21" operator="greaterThan">
      <formula>0.03</formula>
    </cfRule>
    <cfRule type="cellIs" dxfId="638" priority="22" stopIfTrue="1" operator="lessThan">
      <formula>-0.03</formula>
    </cfRule>
  </conditionalFormatting>
  <conditionalFormatting sqref="U24">
    <cfRule type="cellIs" dxfId="637" priority="19" operator="greaterThan">
      <formula>0.03</formula>
    </cfRule>
    <cfRule type="cellIs" dxfId="636" priority="20" stopIfTrue="1" operator="lessThan">
      <formula>-0.03</formula>
    </cfRule>
  </conditionalFormatting>
  <conditionalFormatting sqref="V24">
    <cfRule type="cellIs" dxfId="635" priority="17" operator="greaterThan">
      <formula>0.03</formula>
    </cfRule>
    <cfRule type="cellIs" dxfId="634" priority="18" stopIfTrue="1" operator="lessThan">
      <formula>-0.03</formula>
    </cfRule>
  </conditionalFormatting>
  <conditionalFormatting sqref="S31">
    <cfRule type="cellIs" dxfId="633" priority="15" operator="greaterThan">
      <formula>0.03</formula>
    </cfRule>
    <cfRule type="cellIs" dxfId="632" priority="16" stopIfTrue="1" operator="lessThan">
      <formula>-0.03</formula>
    </cfRule>
  </conditionalFormatting>
  <conditionalFormatting sqref="T31">
    <cfRule type="cellIs" dxfId="631" priority="13" operator="greaterThan">
      <formula>0.03</formula>
    </cfRule>
    <cfRule type="cellIs" dxfId="630" priority="14" stopIfTrue="1" operator="lessThan">
      <formula>-0.03</formula>
    </cfRule>
  </conditionalFormatting>
  <conditionalFormatting sqref="U31">
    <cfRule type="cellIs" dxfId="629" priority="11" operator="greaterThan">
      <formula>0.03</formula>
    </cfRule>
    <cfRule type="cellIs" dxfId="628" priority="12" stopIfTrue="1" operator="lessThan">
      <formula>-0.03</formula>
    </cfRule>
  </conditionalFormatting>
  <conditionalFormatting sqref="V31">
    <cfRule type="cellIs" dxfId="627" priority="9" operator="greaterThan">
      <formula>0.03</formula>
    </cfRule>
    <cfRule type="cellIs" dxfId="626" priority="10" stopIfTrue="1" operator="lessThan">
      <formula>-0.03</formula>
    </cfRule>
  </conditionalFormatting>
  <conditionalFormatting sqref="S40">
    <cfRule type="cellIs" dxfId="625" priority="7" operator="greaterThan">
      <formula>0.03</formula>
    </cfRule>
    <cfRule type="cellIs" dxfId="624" priority="8" stopIfTrue="1" operator="lessThan">
      <formula>-0.03</formula>
    </cfRule>
  </conditionalFormatting>
  <conditionalFormatting sqref="T40">
    <cfRule type="cellIs" dxfId="623" priority="5" operator="greaterThan">
      <formula>0.03</formula>
    </cfRule>
    <cfRule type="cellIs" dxfId="622" priority="6" stopIfTrue="1" operator="lessThan">
      <formula>-0.03</formula>
    </cfRule>
  </conditionalFormatting>
  <conditionalFormatting sqref="U40">
    <cfRule type="cellIs" dxfId="621" priority="3" operator="greaterThan">
      <formula>0.03</formula>
    </cfRule>
    <cfRule type="cellIs" dxfId="620" priority="4" stopIfTrue="1" operator="lessThan">
      <formula>-0.03</formula>
    </cfRule>
  </conditionalFormatting>
  <conditionalFormatting sqref="V40">
    <cfRule type="cellIs" dxfId="619" priority="1" operator="greaterThan">
      <formula>0.03</formula>
    </cfRule>
    <cfRule type="cellIs" dxfId="618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101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65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-0.46501439596512195</v>
      </c>
      <c r="R9" s="8">
        <f>bdrate(C9:C12,E9:E12,J9:J12,L9:L12)</f>
        <v>-0.51151102578124186</v>
      </c>
      <c r="S9" s="8">
        <f>bdrate(C9:C12,F9:F12,J9:J12,M9:M12)</f>
        <v>-0.51634761549505881</v>
      </c>
      <c r="T9" s="25">
        <f>bdrate(C9:C12,H9:H12,J9:J12,O9:O12)</f>
        <v>-0.4718328710430616</v>
      </c>
      <c r="U9" s="28">
        <f t="shared" ref="U9:U40" si="2">(N9-G9)/G9</f>
        <v>2.0913016656384863E-2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8.6532721010332769E-2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0.19830178474851287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0.42745687530803361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-0.43024532640399682</v>
      </c>
      <c r="R13" s="8">
        <f>bdrate(C13:C16,E13:E16,J13:J16,L13:L16)</f>
        <v>-0.38827320365826345</v>
      </c>
      <c r="S13" s="8">
        <f>bdrate(C13:C16,F13:F16,J13:J16,M13:M16)</f>
        <v>-0.44747020215810496</v>
      </c>
      <c r="T13" s="25">
        <f>bdrate(C13:C16,H13:H16,J13:J16,O13:O16)</f>
        <v>-0.42961698365846379</v>
      </c>
      <c r="U13" s="28">
        <f t="shared" si="2"/>
        <v>-0.16549825783972127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-0.10990530303030302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1.40686550365857E-4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0.1769541099344428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-0.48004913970103025</v>
      </c>
      <c r="R17" s="8">
        <f>bdrate(C17:C20,E17:E20,J17:J20,L17:L20)</f>
        <v>-0.38498931091982591</v>
      </c>
      <c r="S17" s="8">
        <f>bdrate(C17:C20,F17:F20,J17:J20,M17:M20)</f>
        <v>-0.4861318248767682</v>
      </c>
      <c r="T17" s="25">
        <f>bdrate(C17:C20,H17:H20,J17:J20,O17:O20)</f>
        <v>-0.47469436401613907</v>
      </c>
      <c r="U17" s="28">
        <f t="shared" si="2"/>
        <v>0.17630597014925364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0.20048208905256115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0.27484162895927616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0.39523068523068522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-0.45960285003854884</v>
      </c>
      <c r="R21" s="8">
        <f>bdrate(C21:C24,E21:E24,J21:J24,L21:L24)</f>
        <v>-0.58318687192999774</v>
      </c>
      <c r="S21" s="8">
        <f>bdrate(C21:C24,F21:F24,J21:J24,M21:M24)</f>
        <v>-0.58669188348262524</v>
      </c>
      <c r="T21" s="25">
        <f>bdrate(C21:C24,H21:H24,J21:J24,O21:O24)</f>
        <v>-0.48036105224685144</v>
      </c>
      <c r="U21" s="28">
        <f t="shared" si="2"/>
        <v>-8.0917937074278246E-2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1.5384615384615405E-2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0.12128447809626834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0.24159792541368236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-0.50768128313643368</v>
      </c>
      <c r="R25" s="8">
        <f>bdrate(C25:C28,E25:E28,J25:J28,L25:L28)</f>
        <v>-0.56708941680703417</v>
      </c>
      <c r="S25" s="8">
        <f>bdrate(C25:C28,F25:F28,J25:J28,M25:M28)</f>
        <v>-0.61084657731289949</v>
      </c>
      <c r="T25" s="25">
        <f>bdrate(C25:C28,H25:H28,J25:J28,O25:O28)</f>
        <v>-0.52062907866108066</v>
      </c>
      <c r="U25" s="28">
        <f t="shared" si="2"/>
        <v>0.13004602991944772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0.2664476495726496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0.40427724240177909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0.59879052655782938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-0.60674793269214211</v>
      </c>
      <c r="R29" s="8">
        <f>bdrate(C29:C32,E29:E32,J29:J32,L29:L32)</f>
        <v>-0.59024804240390805</v>
      </c>
      <c r="S29" s="8">
        <f>bdrate(C29:C32,F29:F32,J29:J32,M29:M32)</f>
        <v>-0.52544758861376883</v>
      </c>
      <c r="T29" s="25">
        <f>bdrate(C29:C32,H29:H32,J29:J32,O29:O32)</f>
        <v>-0.6034441113564607</v>
      </c>
      <c r="U29" s="28">
        <f t="shared" si="2"/>
        <v>0.10113678950655834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0.20117832568807337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0.33134053199894664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0.50763888888888897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-0.72261886201599079</v>
      </c>
      <c r="R33" s="8">
        <f>bdrate(C33:C36,E33:E36,J33:J36,L33:L36)</f>
        <v>-0.76638692752898641</v>
      </c>
      <c r="S33" s="8">
        <f>bdrate(C33:C36,F33:F36,J33:J36,M33:M36)</f>
        <v>-0.77248558730655736</v>
      </c>
      <c r="T33" s="25">
        <f>bdrate(C33:C36,H33:H36,J33:J36,O33:O36)</f>
        <v>-0.72792732937061544</v>
      </c>
      <c r="U33" s="28">
        <f t="shared" si="2"/>
        <v>0.17214722296040388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0.26647873392680521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0.37260168302945307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0.49741467767120223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-0.43239895014915586</v>
      </c>
      <c r="R37" s="8">
        <f>bdrate(C37:C40,E37:E40,J37:J40,L37:L40)</f>
        <v>-0.56840058592216858</v>
      </c>
      <c r="S37" s="8">
        <f>bdrate(C37:C40,F37:F40,J37:J40,M37:M40)</f>
        <v>-0.52830148800441001</v>
      </c>
      <c r="T37" s="25">
        <f>bdrate(C37:C40,H37:H40,J37:J40,O37:O40)</f>
        <v>-0.45530679369031513</v>
      </c>
      <c r="U37" s="28">
        <f t="shared" si="2"/>
        <v>-0.16002686234685193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-0.10567531487608095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6.0533573777447813E-3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0.20596726483928221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-0.45622281088351169</v>
      </c>
      <c r="R41" s="8">
        <f>bdrate(C41:C44,E41:E44,J41:J44,L41:L44)</f>
        <v>-0.53999629060314069</v>
      </c>
      <c r="S41" s="8">
        <f>bdrate(C41:C44,F41:F44,J41:J44,M41:M44)</f>
        <v>-0.52521318858734056</v>
      </c>
      <c r="T41" s="25">
        <f>bdrate(C41:C44,H41:H44,J41:J44,O41:O44)</f>
        <v>-0.46853912416732879</v>
      </c>
      <c r="U41" s="28">
        <f t="shared" ref="U41:U72" si="3">(N41-G41)/G41</f>
        <v>-0.14963007614213189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3"/>
        <v>-5.0140462700661019E-2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3"/>
        <v>7.6924378924378867E-2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3"/>
        <v>0.2580561752180085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-0.52979034237205891</v>
      </c>
      <c r="R45" s="8">
        <f>bdrate(C45:C48,E45:E48,J45:J48,L45:L48)</f>
        <v>-0.65055896680847503</v>
      </c>
      <c r="S45" s="8">
        <f>bdrate(C45:C48,F45:F48,J45:J48,M45:M48)</f>
        <v>-0.65611402815289244</v>
      </c>
      <c r="T45" s="25">
        <f>bdrate(C45:C48,H45:H48,J45:J48,O45:O48)</f>
        <v>-0.54960581210619641</v>
      </c>
      <c r="U45" s="28">
        <f t="shared" si="3"/>
        <v>-0.26580637269891744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3"/>
        <v>-0.1982277587797861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3"/>
        <v>-8.5193930868167178E-2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3"/>
        <v>5.7193304288007223E-2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-0.24867786841132711</v>
      </c>
      <c r="R49" s="8">
        <f>bdrate(C49:C52,E49:E52,J49:J52,L49:L52)</f>
        <v>-0.31596140707103426</v>
      </c>
      <c r="S49" s="8">
        <f>bdrate(C49:C52,F49:F52,J49:J52,M49:M52)</f>
        <v>-0.31275006935040361</v>
      </c>
      <c r="T49" s="25">
        <f>bdrate(C49:C52,H49:H52,J49:J52,O49:O52)</f>
        <v>-0.26019442924126757</v>
      </c>
      <c r="U49" s="28">
        <f t="shared" si="3"/>
        <v>-0.27148120237796197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3"/>
        <v>-0.17475221864446711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3"/>
        <v>-0.10975123369161091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3"/>
        <v>2.6456381554933781E-2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-0.28136490115652435</v>
      </c>
      <c r="R53" s="8">
        <f>bdrate(C53:C56,E53:E56,J53:J56,L53:L56)</f>
        <v>-0.44794400277260271</v>
      </c>
      <c r="S53" s="8">
        <f>bdrate(C53:C56,F53:F56,J53:J56,M53:M56)</f>
        <v>-0.36317272879507512</v>
      </c>
      <c r="T53" s="25">
        <f>bdrate(C53:C56,H53:H56,J53:J56,O53:O56)</f>
        <v>-0.30186333865236326</v>
      </c>
      <c r="U53" s="28">
        <f t="shared" si="3"/>
        <v>-0.31579415939971617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3"/>
        <v>-0.26542706655324078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3"/>
        <v>-0.20019366768312458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3"/>
        <v>2.3324675324675404E-2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-0.67268989915411903</v>
      </c>
      <c r="R57" s="8">
        <f>bdrate(C57:C60,E57:E60,J57:J60,L57:L60)</f>
        <v>-0.78221069872140003</v>
      </c>
      <c r="S57" s="8">
        <f>bdrate(C57:C60,F57:F60,J57:J60,M57:M60)</f>
        <v>-0.7969337372596943</v>
      </c>
      <c r="T57" s="25">
        <f>bdrate(C57:C60,H57:H60,J57:J60,O57:O60)</f>
        <v>-0.69032654288961415</v>
      </c>
      <c r="U57" s="28">
        <f t="shared" si="3"/>
        <v>-0.39653166998131745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3"/>
        <v>-0.29315860567049379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3"/>
        <v>-0.21581327069876688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3"/>
        <v>-2.1868283027097261E-2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-0.38414388682552503</v>
      </c>
      <c r="R61" s="8">
        <f>bdrate(C61:C64,E61:E64,J61:J64,L61:L64)</f>
        <v>-0.64341730063100688</v>
      </c>
      <c r="S61" s="8">
        <f>bdrate(C61:C64,F61:F64,J61:J64,M61:M64)</f>
        <v>-0.68340724459828062</v>
      </c>
      <c r="T61" s="25">
        <f>bdrate(C61:C64,H61:H64,J61:J64,O61:O64)</f>
        <v>-0.43970027782013699</v>
      </c>
      <c r="U61" s="28">
        <f t="shared" si="3"/>
        <v>-0.36680938072293434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3"/>
        <v>-0.3054365630313714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3"/>
        <v>-0.22149824334982438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3"/>
        <v>3.3228110982267274E-6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-0.15684577027859981</v>
      </c>
      <c r="R65" s="8">
        <f>bdrate(C65:C68,E65:E68,J65:J68,L65:L68)</f>
        <v>-0.3603649176775533</v>
      </c>
      <c r="S65" s="8">
        <f>bdrate(C65:C68,F65:F68,J65:J68,M65:M68)</f>
        <v>-0.35710952522913664</v>
      </c>
      <c r="T65" s="25">
        <f>bdrate(C65:C68,H65:H68,J65:J68,O65:O68)</f>
        <v>-0.19055220941543416</v>
      </c>
      <c r="U65" s="28">
        <f t="shared" si="3"/>
        <v>-0.39983372032057518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3"/>
        <v>-0.35306131374092536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3"/>
        <v>-0.28294722277129863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3"/>
        <v>-0.11538752575991752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-0.40304390867019391</v>
      </c>
      <c r="R69" s="8">
        <f>bdrate(C69:C72,E69:E72,J69:J72,L69:L72)</f>
        <v>-0.52392957236522408</v>
      </c>
      <c r="S69" s="8">
        <f>bdrate(C69:C72,F69:F72,J69:J72,M69:M72)</f>
        <v>-0.53939598798165489</v>
      </c>
      <c r="T69" s="25">
        <f>bdrate(C69:C72,H69:H72,J69:J72,O69:O72)</f>
        <v>-0.42918518678517825</v>
      </c>
      <c r="U69" s="28">
        <f t="shared" si="3"/>
        <v>0.2379433130880077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3"/>
        <v>0.3809104275050893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3"/>
        <v>0.55547171871587675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3"/>
        <v>0.80276619660739834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-0.61997242312155265</v>
      </c>
      <c r="R73" s="8">
        <f>bdrate(C73:C76,E73:E76,J73:J76,L73:L76)</f>
        <v>-0.72554134301581874</v>
      </c>
      <c r="S73" s="8">
        <f>bdrate(C73:C76,F73:F76,J73:J76,M73:M76)</f>
        <v>-0.73725208572049561</v>
      </c>
      <c r="T73" s="25">
        <f>bdrate(C73:C76,H73:H76,J73:J76,O73:O76)</f>
        <v>-0.65105714016180727</v>
      </c>
      <c r="U73" s="28">
        <f t="shared" ref="U73:U80" si="4">(N73-G73)/G73</f>
        <v>0.26432074438970998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4"/>
        <v>0.43490991454751382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4"/>
        <v>0.50623927457098272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4"/>
        <v>0.6967954482885198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-0.53288772296067133</v>
      </c>
      <c r="R77" s="8">
        <f>bdrate(C77:C80,E77:E80,J77:J80,L77:L80)</f>
        <v>-0.62312990169304117</v>
      </c>
      <c r="S77" s="8">
        <f>bdrate(C77:C80,F77:F80,J77:J80,M77:M80)</f>
        <v>-0.64230176318434906</v>
      </c>
      <c r="T77" s="25">
        <f>bdrate(C77:C80,H77:H80,J77:J80,O77:O80)</f>
        <v>-0.55741023059706829</v>
      </c>
      <c r="U77" s="28">
        <f t="shared" si="4"/>
        <v>0.1894247941551663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4"/>
        <v>0.32071498107084906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4"/>
        <v>0.42420600858369112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4"/>
        <v>0.61538198728290761</v>
      </c>
    </row>
    <row r="81" spans="1:21" x14ac:dyDescent="0.25">
      <c r="A81" s="6" t="s">
        <v>102</v>
      </c>
      <c r="B81" s="6" t="s">
        <v>103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6">(6*K81+L81+M81)/8</f>
        <v>45.109512500000001</v>
      </c>
      <c r="P81" s="7"/>
      <c r="Q81" s="8">
        <f>bdrate(C81:C84,D81:D84,J81:J84,K81:K84)</f>
        <v>-0.55918011002365664</v>
      </c>
      <c r="R81" s="8">
        <f>bdrate(C81:C84,E81:E84,J81:J84,L81:L84)</f>
        <v>-0.6507612398769631</v>
      </c>
      <c r="S81" s="8">
        <f>bdrate(C81:C84,F81:F84,J81:J84,M81:M84)</f>
        <v>-0.62738504772055792</v>
      </c>
      <c r="T81" s="25">
        <f>bdrate(C81:C84,H81:H84,J81:J84,O81:O84)</f>
        <v>-0.57473471674765197</v>
      </c>
      <c r="U81" s="28">
        <f t="shared" ref="U81:U91" si="7">(N81-G81)/G81</f>
        <v>-0.13660047880580203</v>
      </c>
    </row>
    <row r="82" spans="1:21" x14ac:dyDescent="0.25">
      <c r="A82" s="9" t="s">
        <v>78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6"/>
        <v>43.459512500000002</v>
      </c>
      <c r="P82" s="7"/>
      <c r="Q82" s="10"/>
      <c r="R82" s="11"/>
      <c r="S82" s="11"/>
      <c r="T82" s="26"/>
      <c r="U82" s="28">
        <f t="shared" si="7"/>
        <v>-0.14627222719713445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6"/>
        <v>41.276887500000001</v>
      </c>
      <c r="P83" s="7"/>
      <c r="Q83" s="10"/>
      <c r="R83" s="11"/>
      <c r="S83" s="11"/>
      <c r="T83" s="26"/>
      <c r="U83" s="28">
        <f t="shared" si="7"/>
        <v>4.138990231846542E-2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6"/>
        <v>38.608462500000002</v>
      </c>
      <c r="P84" s="7"/>
      <c r="Q84" s="13"/>
      <c r="R84" s="14"/>
      <c r="S84" s="14"/>
      <c r="T84" s="27"/>
      <c r="U84" s="28">
        <f t="shared" si="7"/>
        <v>0.23580545864970245</v>
      </c>
    </row>
    <row r="85" spans="1:21" x14ac:dyDescent="0.25">
      <c r="B85" s="6" t="s">
        <v>104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6"/>
        <v>51.866399999999999</v>
      </c>
      <c r="P85" s="7"/>
      <c r="Q85" s="8">
        <f>bdrate(C85:C88,D85:D88,J85:J88,K85:K88)</f>
        <v>-0.21620140237850427</v>
      </c>
      <c r="R85" s="8">
        <f>bdrate(C85:C88,E85:E88,J85:J88,L85:L88)</f>
        <v>-0.30408377739938952</v>
      </c>
      <c r="S85" s="8">
        <f>bdrate(C85:C88,F85:F88,J85:J88,M85:M88)</f>
        <v>-0.30443737388545677</v>
      </c>
      <c r="T85" s="25">
        <f>bdrate(C85:C88,H85:H88,J85:J88,O85:O88)</f>
        <v>-0.23822078073650332</v>
      </c>
      <c r="U85" s="28">
        <f t="shared" si="7"/>
        <v>-0.11638443017656495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6"/>
        <v>49.947124999999993</v>
      </c>
      <c r="P86" s="7"/>
      <c r="Q86" s="10"/>
      <c r="R86" s="11"/>
      <c r="S86" s="11"/>
      <c r="T86" s="26"/>
      <c r="U86" s="28">
        <f t="shared" si="7"/>
        <v>0.16526121902210314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6"/>
        <v>47.1345125</v>
      </c>
      <c r="P87" s="7"/>
      <c r="Q87" s="10"/>
      <c r="R87" s="11"/>
      <c r="S87" s="11"/>
      <c r="T87" s="26"/>
      <c r="U87" s="28">
        <f t="shared" si="7"/>
        <v>0.16765975945515141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6"/>
        <v>43.176825000000001</v>
      </c>
      <c r="P88" s="7"/>
      <c r="Q88" s="13"/>
      <c r="R88" s="14"/>
      <c r="S88" s="14"/>
      <c r="T88" s="27"/>
      <c r="U88" s="28">
        <f t="shared" si="7"/>
        <v>0.22188071840054208</v>
      </c>
    </row>
    <row r="89" spans="1:21" x14ac:dyDescent="0.25">
      <c r="B89" s="6" t="s">
        <v>105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6"/>
        <v>43.272424999999998</v>
      </c>
      <c r="P89" s="7"/>
      <c r="Q89" s="8">
        <f>bdrate(C89:C92,D89:D92,J89:J92,K89:K92)</f>
        <v>-0.439633068055024</v>
      </c>
      <c r="R89" s="8">
        <f>bdrate(C89:C92,E89:E92,J89:J92,L89:L92)</f>
        <v>-0.48684278269143633</v>
      </c>
      <c r="S89" s="8">
        <f>bdrate(C89:C92,F89:F92,J89:J92,M89:M92)</f>
        <v>-0.44594818142920201</v>
      </c>
      <c r="T89" s="25">
        <f>bdrate(C89:C92,H89:H92,J89:J92,O89:O92)</f>
        <v>-0.44547215821200792</v>
      </c>
      <c r="U89" s="28">
        <f t="shared" si="7"/>
        <v>-4.2034551329853273E-2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6"/>
        <v>41.424499999999995</v>
      </c>
      <c r="P90" s="7"/>
      <c r="Q90" s="10"/>
      <c r="R90" s="11"/>
      <c r="S90" s="11"/>
      <c r="T90" s="26"/>
      <c r="U90" s="28">
        <f t="shared" si="7"/>
        <v>-4.2570442783208692E-2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6"/>
        <v>39.114100000000001</v>
      </c>
      <c r="P91" s="7"/>
      <c r="Q91" s="10"/>
      <c r="R91" s="11"/>
      <c r="S91" s="11"/>
      <c r="T91" s="26"/>
      <c r="U91" s="28">
        <f t="shared" si="7"/>
        <v>0.19211388205073304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9">(6*K92+L92+M92)/8</f>
        <v>35.66395</v>
      </c>
      <c r="P92" s="7"/>
      <c r="Q92" s="13"/>
      <c r="R92" s="14"/>
      <c r="S92" s="14"/>
      <c r="T92" s="27"/>
      <c r="U92" s="28">
        <f t="shared" ref="U92:U124" si="10">(N92-G92)/G92</f>
        <v>0.33253060425031816</v>
      </c>
    </row>
    <row r="93" spans="1:21" x14ac:dyDescent="0.25">
      <c r="B93" s="6" t="s">
        <v>106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9"/>
        <v>40.095375000000004</v>
      </c>
      <c r="P93" s="7"/>
      <c r="Q93" s="8">
        <f>bdrate(C93:C96,D93:D96,J93:J96,K93:K96)</f>
        <v>-0.39127340839117186</v>
      </c>
      <c r="R93" s="8">
        <f>bdrate(C93:C96,E93:E96,J93:J96,L93:L96)</f>
        <v>-0.35921199163080098</v>
      </c>
      <c r="S93" s="8">
        <f>bdrate(C93:C96,F93:F96,J93:J96,M93:M96)</f>
        <v>-0.38349252492449803</v>
      </c>
      <c r="T93" s="25">
        <f>bdrate(C93:C96,H93:H96,J93:J96,O93:O96)</f>
        <v>-0.38945898616085639</v>
      </c>
      <c r="U93" s="28">
        <f t="shared" si="10"/>
        <v>2.4482600732600772E-2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9"/>
        <v>38.383474999999997</v>
      </c>
      <c r="P94" s="7"/>
      <c r="Q94" s="10"/>
      <c r="R94" s="11"/>
      <c r="S94" s="11"/>
      <c r="T94" s="26"/>
      <c r="U94" s="28">
        <f t="shared" si="10"/>
        <v>4.5028078882068709E-2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9"/>
        <v>36.297525</v>
      </c>
      <c r="P95" s="7"/>
      <c r="Q95" s="10"/>
      <c r="R95" s="11"/>
      <c r="S95" s="11"/>
      <c r="T95" s="26"/>
      <c r="U95" s="28">
        <f t="shared" si="10"/>
        <v>0.15930828861061425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9"/>
        <v>33.493099999999998</v>
      </c>
      <c r="P96" s="7"/>
      <c r="Q96" s="13"/>
      <c r="R96" s="14"/>
      <c r="S96" s="14"/>
      <c r="T96" s="27"/>
      <c r="U96" s="28">
        <f t="shared" si="10"/>
        <v>0.35719144800777447</v>
      </c>
    </row>
    <row r="97" spans="2:21" x14ac:dyDescent="0.25">
      <c r="B97" s="6" t="s">
        <v>107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9"/>
        <v>38.160262500000002</v>
      </c>
      <c r="P97" s="7"/>
      <c r="Q97" s="8">
        <f>bdrate(C97:C100,D97:D100,J97:J100,K97:K100)</f>
        <v>-0.35231588645260947</v>
      </c>
      <c r="R97" s="8">
        <f>bdrate(C97:C100,E97:E100,J97:J100,L97:L100)</f>
        <v>-0.50345920463655136</v>
      </c>
      <c r="S97" s="8">
        <f>bdrate(C97:C100,F97:F100,J97:J100,M97:M100)</f>
        <v>-0.50494805838762136</v>
      </c>
      <c r="T97" s="25">
        <f>bdrate(C97:C100,H97:H100,J97:J100,O97:O100)</f>
        <v>-0.38069765258699795</v>
      </c>
      <c r="U97" s="28">
        <f t="shared" si="10"/>
        <v>-0.14257979391806977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9"/>
        <v>36.409187500000002</v>
      </c>
      <c r="P98" s="7"/>
      <c r="Q98" s="10"/>
      <c r="R98" s="11"/>
      <c r="S98" s="11"/>
      <c r="T98" s="26"/>
      <c r="U98" s="28">
        <f t="shared" si="10"/>
        <v>1.1969734867433857E-2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9"/>
        <v>34.217250000000007</v>
      </c>
      <c r="P99" s="7"/>
      <c r="Q99" s="10"/>
      <c r="R99" s="11"/>
      <c r="S99" s="11"/>
      <c r="T99" s="26"/>
      <c r="U99" s="28">
        <f t="shared" si="10"/>
        <v>4.9308244507287366E-2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9"/>
        <v>31.3979125</v>
      </c>
      <c r="P100" s="7"/>
      <c r="Q100" s="13"/>
      <c r="R100" s="14"/>
      <c r="S100" s="14"/>
      <c r="T100" s="27"/>
      <c r="U100" s="28">
        <f t="shared" si="10"/>
        <v>0.19816400156006242</v>
      </c>
    </row>
    <row r="101" spans="2:21" x14ac:dyDescent="0.25">
      <c r="B101" s="6" t="s">
        <v>108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9"/>
        <v>38.747287500000006</v>
      </c>
      <c r="P101" s="7"/>
      <c r="Q101" s="8">
        <f>bdrate(C101:C104,D101:D104,J101:J104,K101:K104)</f>
        <v>-0.34288979295422284</v>
      </c>
      <c r="R101" s="8">
        <f>bdrate(C101:C104,E101:E104,J101:J104,L101:L104)</f>
        <v>-0.46698141963569051</v>
      </c>
      <c r="S101" s="8">
        <f>bdrate(C101:C104,F101:F104,J101:J104,M101:M104)</f>
        <v>-0.39553580015105061</v>
      </c>
      <c r="T101" s="25">
        <f>bdrate(C101:C104,H101:H104,J101:J104,O101:O104)</f>
        <v>-0.35900347669518162</v>
      </c>
      <c r="U101" s="28">
        <f t="shared" si="10"/>
        <v>-1.4144157814871099E-2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9"/>
        <v>37.449874999999999</v>
      </c>
      <c r="P102" s="7"/>
      <c r="Q102" s="10"/>
      <c r="R102" s="11"/>
      <c r="S102" s="11"/>
      <c r="T102" s="26"/>
      <c r="U102" s="28">
        <f t="shared" si="10"/>
        <v>7.0260532150776156E-2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9"/>
        <v>35.854500000000002</v>
      </c>
      <c r="P103" s="7"/>
      <c r="Q103" s="10"/>
      <c r="R103" s="11"/>
      <c r="S103" s="11"/>
      <c r="T103" s="26"/>
      <c r="U103" s="28">
        <f t="shared" si="10"/>
        <v>0.15092738407699033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9"/>
        <v>34.026325</v>
      </c>
      <c r="P104" s="7"/>
      <c r="Q104" s="13"/>
      <c r="R104" s="14"/>
      <c r="S104" s="14"/>
      <c r="T104" s="27"/>
      <c r="U104" s="28">
        <f t="shared" si="10"/>
        <v>0.3037680529916385</v>
      </c>
    </row>
    <row r="105" spans="2:21" x14ac:dyDescent="0.25">
      <c r="B105" s="6" t="s">
        <v>109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9"/>
        <v>48.759812500000002</v>
      </c>
      <c r="P105" s="7"/>
      <c r="Q105" s="8">
        <f>bdrate(C105:C108,D105:D108,J105:J108,K105:K108)</f>
        <v>-0.42502486141451723</v>
      </c>
      <c r="R105" s="8">
        <f>bdrate(C105:C108,E105:E108,J105:J108,L105:L108)</f>
        <v>-0.56993538392951204</v>
      </c>
      <c r="S105" s="8">
        <f>bdrate(C105:C108,F105:F108,J105:J108,M105:M108)</f>
        <v>-0.57279726102242856</v>
      </c>
      <c r="T105" s="25">
        <f>bdrate(C105:C108,H105:H108,J105:J108,O105:O108)</f>
        <v>-0.466125865502522</v>
      </c>
      <c r="U105" s="28">
        <f t="shared" si="10"/>
        <v>-1.0284247433007685E-2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9"/>
        <v>46.975462499999999</v>
      </c>
      <c r="P106" s="7"/>
      <c r="Q106" s="10"/>
      <c r="R106" s="11"/>
      <c r="S106" s="11"/>
      <c r="T106" s="26"/>
      <c r="U106" s="28">
        <f t="shared" si="10"/>
        <v>7.2875679272485352E-2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9"/>
        <v>44.650700000000001</v>
      </c>
      <c r="P107" s="7"/>
      <c r="Q107" s="10"/>
      <c r="R107" s="11"/>
      <c r="S107" s="11"/>
      <c r="T107" s="26"/>
      <c r="U107" s="28">
        <f t="shared" si="10"/>
        <v>0.13815130068859982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9"/>
        <v>41.558900000000001</v>
      </c>
      <c r="P108" s="7"/>
      <c r="Q108" s="13"/>
      <c r="R108" s="14"/>
      <c r="S108" s="14"/>
      <c r="T108" s="27"/>
      <c r="U108" s="28">
        <f t="shared" si="10"/>
        <v>0.30408783783783794</v>
      </c>
    </row>
    <row r="109" spans="2:21" x14ac:dyDescent="0.25">
      <c r="B109" s="6" t="s">
        <v>110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9"/>
        <v>33.964649999999999</v>
      </c>
      <c r="P109" s="7"/>
      <c r="Q109" s="8">
        <f>bdrate(C109:C112,D109:D112,J109:J112,K109:K112)</f>
        <v>-0.45045997395001602</v>
      </c>
      <c r="R109" s="8">
        <f>bdrate(C109:C112,E109:E112,J109:J112,L109:L112)</f>
        <v>-0.36825414164905446</v>
      </c>
      <c r="S109" s="8">
        <f>bdrate(C109:C112,F109:F112,J109:J112,M109:M112)</f>
        <v>-0.35903559077635783</v>
      </c>
      <c r="T109" s="25">
        <f>bdrate(C109:C112,H109:H112,J109:J112,O109:O112)</f>
        <v>-0.43963977538111132</v>
      </c>
      <c r="U109" s="28">
        <f t="shared" si="10"/>
        <v>-0.17934660961158649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9"/>
        <v>32.393324999999997</v>
      </c>
      <c r="P110" s="7"/>
      <c r="Q110" s="10"/>
      <c r="R110" s="11"/>
      <c r="S110" s="11"/>
      <c r="T110" s="26"/>
      <c r="U110" s="28">
        <f t="shared" si="10"/>
        <v>-0.10206067888254733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9"/>
        <v>30.4288375</v>
      </c>
      <c r="P111" s="7"/>
      <c r="Q111" s="10"/>
      <c r="R111" s="11"/>
      <c r="S111" s="11"/>
      <c r="T111" s="26"/>
      <c r="U111" s="28">
        <f t="shared" si="10"/>
        <v>3.1549870730711714E-2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9"/>
        <v>27.780337499999998</v>
      </c>
      <c r="P112" s="7"/>
      <c r="Q112" s="13"/>
      <c r="R112" s="14"/>
      <c r="S112" s="14"/>
      <c r="T112" s="27"/>
      <c r="U112" s="28">
        <f t="shared" si="10"/>
        <v>0.23287072243346008</v>
      </c>
    </row>
    <row r="113" spans="2:21" x14ac:dyDescent="0.25">
      <c r="B113" s="6" t="s">
        <v>111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9"/>
        <v>45.104050000000001</v>
      </c>
      <c r="P113" s="7"/>
      <c r="Q113" s="8">
        <f>bdrate(C113:C116,D113:D116,J113:J116,K113:K116)</f>
        <v>-0.31050723138671688</v>
      </c>
      <c r="R113" s="8">
        <f>bdrate(C113:C116,E113:E116,J113:J116,L113:L116)</f>
        <v>-0.35295784094164762</v>
      </c>
      <c r="S113" s="8">
        <f>bdrate(C113:C116,F113:F116,J113:J116,M113:M116)</f>
        <v>-0.37733370187919058</v>
      </c>
      <c r="T113" s="25">
        <f>bdrate(C113:C116,H113:H116,J113:J116,O113:O116)</f>
        <v>-0.32214289799016027</v>
      </c>
      <c r="U113" s="28">
        <f t="shared" si="10"/>
        <v>-0.15379656862745086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9"/>
        <v>43.270450000000004</v>
      </c>
      <c r="P114" s="7"/>
      <c r="Q114" s="10"/>
      <c r="R114" s="11"/>
      <c r="S114" s="11"/>
      <c r="T114" s="26"/>
      <c r="U114" s="28">
        <f t="shared" si="10"/>
        <v>-1.010489124434138E-2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9"/>
        <v>40.54829999999999</v>
      </c>
      <c r="P115" s="7"/>
      <c r="Q115" s="10"/>
      <c r="R115" s="11"/>
      <c r="S115" s="11"/>
      <c r="T115" s="26"/>
      <c r="U115" s="28">
        <f t="shared" si="10"/>
        <v>0.13453735926305016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9"/>
        <v>36.390724999999996</v>
      </c>
      <c r="P116" s="7"/>
      <c r="Q116" s="13"/>
      <c r="R116" s="14"/>
      <c r="S116" s="14"/>
      <c r="T116" s="27"/>
      <c r="U116" s="28">
        <f t="shared" si="10"/>
        <v>0.29338450018719586</v>
      </c>
    </row>
    <row r="117" spans="2:21" x14ac:dyDescent="0.25">
      <c r="B117" s="6" t="s">
        <v>112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9"/>
        <v>46.062537500000005</v>
      </c>
      <c r="P117" s="7"/>
      <c r="Q117" s="8">
        <f>bdrate(C117:C120,D117:D120,J117:J120,K117:K120)</f>
        <v>-0.38444232919135168</v>
      </c>
      <c r="R117" s="8">
        <f>bdrate(C117:C120,E117:E120,J117:J120,L117:L120)</f>
        <v>-0.43446416815085531</v>
      </c>
      <c r="S117" s="8">
        <f>bdrate(C117:C120,F117:F120,J117:J120,M117:M120)</f>
        <v>-0.44054746881959728</v>
      </c>
      <c r="T117" s="25">
        <f>bdrate(C117:C120,H117:H120,J117:J120,O117:O120)</f>
        <v>-0.39635194071980884</v>
      </c>
      <c r="U117" s="28">
        <f t="shared" si="10"/>
        <v>-0.23594429738750142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9"/>
        <v>44.529612499999999</v>
      </c>
      <c r="P118" s="7"/>
      <c r="Q118" s="10"/>
      <c r="R118" s="11"/>
      <c r="S118" s="11"/>
      <c r="T118" s="26"/>
      <c r="U118" s="28">
        <f t="shared" si="10"/>
        <v>-0.21717031555144414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9"/>
        <v>41.989175000000003</v>
      </c>
      <c r="P119" s="7"/>
      <c r="Q119" s="10"/>
      <c r="R119" s="11"/>
      <c r="S119" s="11"/>
      <c r="T119" s="26"/>
      <c r="U119" s="28">
        <f t="shared" si="10"/>
        <v>-0.18907256571640138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9"/>
        <v>38.045887499999999</v>
      </c>
      <c r="P120" s="7"/>
      <c r="Q120" s="13"/>
      <c r="R120" s="14"/>
      <c r="S120" s="14"/>
      <c r="T120" s="27"/>
      <c r="U120" s="28">
        <f t="shared" si="10"/>
        <v>0.11786971541371928</v>
      </c>
    </row>
    <row r="121" spans="2:21" x14ac:dyDescent="0.25">
      <c r="B121" s="6" t="s">
        <v>113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9"/>
        <v>33.269275</v>
      </c>
      <c r="P121" s="7"/>
      <c r="Q121" s="8">
        <f>bdrate(C121:C124,D121:D124,J121:J124,K121:K124)</f>
        <v>-0.34161399807115833</v>
      </c>
      <c r="R121" s="8">
        <f>bdrate(C121:C124,E121:E124,J121:J124,L121:L124)</f>
        <v>-0.31267615199020682</v>
      </c>
      <c r="S121" s="8">
        <f>bdrate(C121:C124,F121:F124,J121:J124,M121:M124)</f>
        <v>-0.26934746192415049</v>
      </c>
      <c r="T121" s="25">
        <f>bdrate(C121:C124,H121:H124,J121:J124,O121:O124)</f>
        <v>-0.33624287761902216</v>
      </c>
      <c r="U121" s="28">
        <f t="shared" si="10"/>
        <v>-0.17171364778118894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9"/>
        <v>31.589962499999999</v>
      </c>
      <c r="P122" s="7"/>
      <c r="Q122" s="10"/>
      <c r="R122" s="11"/>
      <c r="S122" s="11"/>
      <c r="T122" s="26"/>
      <c r="U122" s="28">
        <f t="shared" si="10"/>
        <v>-9.9986194779116577E-2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9"/>
        <v>29.688137500000003</v>
      </c>
      <c r="P123" s="7"/>
      <c r="Q123" s="10"/>
      <c r="R123" s="11"/>
      <c r="S123" s="11"/>
      <c r="T123" s="26"/>
      <c r="U123" s="28">
        <f t="shared" si="10"/>
        <v>2.4809807516040391E-2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9"/>
        <v>27.337724999999999</v>
      </c>
      <c r="P124" s="7"/>
      <c r="Q124" s="13"/>
      <c r="R124" s="14"/>
      <c r="S124" s="14"/>
      <c r="T124" s="27"/>
      <c r="U124" s="28">
        <f t="shared" si="10"/>
        <v>0.2226927362982474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-0.43460483917949833</v>
      </c>
      <c r="R125" s="21">
        <f>AVERAGE(R9:R124)</f>
        <v>-0.50975061685664924</v>
      </c>
      <c r="S125" s="21">
        <f>AVERAGE(S9:S124)</f>
        <v>-0.5092476412768836</v>
      </c>
      <c r="T125" s="21">
        <f>AVERAGE(T9:T124)</f>
        <v>-0.45001165531831744</v>
      </c>
      <c r="U125" s="21">
        <f>AVERAGE(U9:U124)</f>
        <v>7.6526157544088591E-2</v>
      </c>
    </row>
    <row r="127" spans="2:21" s="35" customFormat="1" ht="15.75" customHeight="1" x14ac:dyDescent="0.25">
      <c r="B127" s="51" t="s">
        <v>29</v>
      </c>
      <c r="C127" s="56" t="s">
        <v>124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12">(6*K131+L131+M131)/8</f>
        <v>38.575087500000002</v>
      </c>
      <c r="P131" s="7"/>
      <c r="Q131" s="8">
        <f>bdrate(C131:C134,D131:D134,J131:J134,K131:K134)</f>
        <v>-0.48677705518185799</v>
      </c>
      <c r="R131" s="8">
        <f>bdrate(C131:C134,E131:E134,J131:J134,L131:L134)</f>
        <v>-0.51343485146686252</v>
      </c>
      <c r="S131" s="8">
        <f>bdrate(C131:C134,F131:F134,J131:J134,M131:M134)</f>
        <v>-0.52104846883429801</v>
      </c>
      <c r="T131" s="25">
        <f>bdrate(C131:C134,H131:H134,J131:J134,O131:O134)</f>
        <v>-0.49086396559778755</v>
      </c>
      <c r="U131" s="28">
        <f t="shared" ref="U131:U162" si="13">(N131-G131)/G131</f>
        <v>-0.28464771064185657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12"/>
        <v>37.663250000000005</v>
      </c>
      <c r="P132" s="7"/>
      <c r="Q132" s="10"/>
      <c r="R132" s="11"/>
      <c r="S132" s="11"/>
      <c r="T132" s="26"/>
      <c r="U132" s="28">
        <f t="shared" si="13"/>
        <v>4.988768251591176E-3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12"/>
        <v>36.296475000000001</v>
      </c>
      <c r="P133" s="7"/>
      <c r="Q133" s="10"/>
      <c r="R133" s="11"/>
      <c r="S133" s="11"/>
      <c r="T133" s="26"/>
      <c r="U133" s="28">
        <f t="shared" si="13"/>
        <v>0.11554462529064576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12"/>
        <v>33.751037499999995</v>
      </c>
      <c r="P134" s="7"/>
      <c r="Q134" s="13"/>
      <c r="R134" s="14"/>
      <c r="S134" s="14"/>
      <c r="T134" s="27"/>
      <c r="U134" s="28">
        <f t="shared" si="13"/>
        <v>0.30383987495658227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12"/>
        <v>32.009187500000003</v>
      </c>
      <c r="P135" s="7"/>
      <c r="Q135" s="8">
        <f>bdrate(C135:C138,D135:D138,J135:J138,K135:K138)</f>
        <v>-0.5312428946796407</v>
      </c>
      <c r="R135" s="8">
        <f>bdrate(C135:C138,E135:E138,J135:J138,L135:L138)</f>
        <v>-0.46629932858661283</v>
      </c>
      <c r="S135" s="8">
        <f>bdrate(C135:C138,F135:F138,J135:J138,M135:M138)</f>
        <v>-0.51313297074617958</v>
      </c>
      <c r="T135" s="25">
        <f>bdrate(C135:C138,H135:H138,J135:J138,O135:O138)</f>
        <v>-0.52680154630868836</v>
      </c>
      <c r="U135" s="28">
        <f t="shared" si="13"/>
        <v>-0.35916629213483148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12"/>
        <v>30.919875000000001</v>
      </c>
      <c r="P136" s="7"/>
      <c r="Q136" s="10"/>
      <c r="R136" s="11"/>
      <c r="S136" s="11"/>
      <c r="T136" s="26"/>
      <c r="U136" s="28">
        <f t="shared" si="13"/>
        <v>-0.1196564809267026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12"/>
        <v>29.3722125</v>
      </c>
      <c r="P137" s="7"/>
      <c r="Q137" s="10"/>
      <c r="R137" s="11"/>
      <c r="S137" s="11"/>
      <c r="T137" s="26"/>
      <c r="U137" s="28">
        <f t="shared" si="13"/>
        <v>-4.7999999999999959E-2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12"/>
        <v>27.408487499999996</v>
      </c>
      <c r="P138" s="7"/>
      <c r="Q138" s="13"/>
      <c r="R138" s="14"/>
      <c r="S138" s="14"/>
      <c r="T138" s="27"/>
      <c r="U138" s="28">
        <f t="shared" si="13"/>
        <v>9.9907343857240802E-2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12"/>
        <v>39.936149999999998</v>
      </c>
      <c r="P139" s="7"/>
      <c r="Q139" s="8">
        <f>bdrate(C139:C142,D139:D142,J139:J142,K139:K142)</f>
        <v>-0.48741235471186362</v>
      </c>
      <c r="R139" s="8">
        <f>bdrate(C139:C142,E139:E142,J139:J142,L139:L142)</f>
        <v>-0.39556735459743197</v>
      </c>
      <c r="S139" s="8">
        <f>bdrate(C139:C142,F139:F142,J139:J142,M139:M142)</f>
        <v>-0.48880576791343133</v>
      </c>
      <c r="T139" s="25">
        <f>bdrate(C139:C142,H139:H142,J139:J142,O139:O142)</f>
        <v>-0.48195043857858844</v>
      </c>
      <c r="U139" s="28">
        <f t="shared" si="13"/>
        <v>-0.16468593861527486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12"/>
        <v>38.802600000000005</v>
      </c>
      <c r="P140" s="7"/>
      <c r="Q140" s="10"/>
      <c r="R140" s="11"/>
      <c r="S140" s="11"/>
      <c r="T140" s="26"/>
      <c r="U140" s="28">
        <f t="shared" si="13"/>
        <v>0.16380377198559018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12"/>
        <v>37.3969375</v>
      </c>
      <c r="P141" s="7"/>
      <c r="Q141" s="10"/>
      <c r="R141" s="11"/>
      <c r="S141" s="11"/>
      <c r="T141" s="26"/>
      <c r="U141" s="28">
        <f t="shared" si="13"/>
        <v>0.1931366698748796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12"/>
        <v>35.814949999999996</v>
      </c>
      <c r="P142" s="7"/>
      <c r="Q142" s="13"/>
      <c r="R142" s="14"/>
      <c r="S142" s="14"/>
      <c r="T142" s="27"/>
      <c r="U142" s="28">
        <f t="shared" si="13"/>
        <v>0.30487487395728302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12"/>
        <v>37.128050000000002</v>
      </c>
      <c r="P143" s="7"/>
      <c r="Q143" s="8">
        <f>bdrate(C143:C146,D143:D146,J143:J146,K143:K146)</f>
        <v>-0.48285648462777442</v>
      </c>
      <c r="R143" s="8">
        <f>bdrate(C143:C146,E143:E146,J143:J146,L143:L146)</f>
        <v>-0.58821099247082298</v>
      </c>
      <c r="S143" s="8">
        <f>bdrate(C143:C146,F143:F146,J143:J146,M143:M146)</f>
        <v>-0.59416029014633265</v>
      </c>
      <c r="T143" s="25">
        <f>bdrate(C143:C146,H143:H146,J143:J146,O143:O146)</f>
        <v>-0.50041688317537514</v>
      </c>
      <c r="U143" s="28">
        <f t="shared" si="13"/>
        <v>-0.18755946666666659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12"/>
        <v>35.957675000000002</v>
      </c>
      <c r="P144" s="7"/>
      <c r="Q144" s="10"/>
      <c r="R144" s="11"/>
      <c r="S144" s="11"/>
      <c r="T144" s="26"/>
      <c r="U144" s="28">
        <f t="shared" si="13"/>
        <v>-1.9561116458132913E-2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12"/>
        <v>34.6017875</v>
      </c>
      <c r="P145" s="7"/>
      <c r="Q145" s="10"/>
      <c r="R145" s="11"/>
      <c r="S145" s="11"/>
      <c r="T145" s="26"/>
      <c r="U145" s="28">
        <f t="shared" si="13"/>
        <v>4.6593224767046977E-2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12"/>
        <v>33.151599999999995</v>
      </c>
      <c r="P146" s="7"/>
      <c r="Q146" s="13"/>
      <c r="R146" s="14"/>
      <c r="S146" s="14"/>
      <c r="T146" s="27"/>
      <c r="U146" s="28">
        <f t="shared" si="13"/>
        <v>0.16375520053253437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12"/>
        <v>35.300450000000005</v>
      </c>
      <c r="P147" s="7"/>
      <c r="Q147" s="8">
        <f>bdrate(C147:C150,D147:D150,J147:J150,K147:K150)</f>
        <v>-0.48856795005172515</v>
      </c>
      <c r="R147" s="8">
        <f>bdrate(C147:C150,E147:E150,J147:J150,L147:L150)</f>
        <v>-0.54288466103250732</v>
      </c>
      <c r="S147" s="8">
        <f>bdrate(C147:C150,F147:F150,J147:J150,M147:M150)</f>
        <v>-0.59168287820953558</v>
      </c>
      <c r="T147" s="25">
        <f>bdrate(C147:C150,H147:H150,J147:J150,O147:O150)</f>
        <v>-0.50135306851384398</v>
      </c>
      <c r="U147" s="28">
        <f t="shared" si="13"/>
        <v>-1.8188302425107002E-2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12"/>
        <v>34.226837500000002</v>
      </c>
      <c r="P148" s="7"/>
      <c r="Q148" s="10"/>
      <c r="R148" s="11"/>
      <c r="S148" s="11"/>
      <c r="T148" s="26"/>
      <c r="U148" s="28">
        <f t="shared" si="13"/>
        <v>0.1482318237029325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12"/>
        <v>32.816737500000002</v>
      </c>
      <c r="P149" s="7"/>
      <c r="Q149" s="10"/>
      <c r="R149" s="11"/>
      <c r="S149" s="11"/>
      <c r="T149" s="26"/>
      <c r="U149" s="28">
        <f t="shared" si="13"/>
        <v>0.2091755915317558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12"/>
        <v>31.285</v>
      </c>
      <c r="P150" s="7"/>
      <c r="Q150" s="13"/>
      <c r="R150" s="14"/>
      <c r="S150" s="14"/>
      <c r="T150" s="27"/>
      <c r="U150" s="28">
        <f t="shared" si="13"/>
        <v>0.32199275653923537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12"/>
        <v>35.4979625</v>
      </c>
      <c r="P151" s="7"/>
      <c r="Q151" s="8">
        <f>bdrate(C151:C154,D151:D154,J151:J154,K151:K154)</f>
        <v>-0.59016668325689703</v>
      </c>
      <c r="R151" s="8">
        <f>bdrate(C151:C154,E151:E154,J151:J154,L151:L154)</f>
        <v>-0.57151786997812226</v>
      </c>
      <c r="S151" s="8">
        <f>bdrate(C151:C154,F151:F154,J151:J154,M151:M154)</f>
        <v>-0.49587300330517703</v>
      </c>
      <c r="T151" s="25">
        <f>bdrate(C151:C154,H151:H154,J151:J154,O151:O154)</f>
        <v>-0.58577226062564514</v>
      </c>
      <c r="U151" s="28">
        <f t="shared" si="13"/>
        <v>-0.16207685933291902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12"/>
        <v>34.219224999999994</v>
      </c>
      <c r="P152" s="7"/>
      <c r="Q152" s="10"/>
      <c r="R152" s="11"/>
      <c r="S152" s="11"/>
      <c r="T152" s="26"/>
      <c r="U152" s="28">
        <f t="shared" si="13"/>
        <v>0.13664333706606949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12"/>
        <v>32.590662500000001</v>
      </c>
      <c r="P153" s="7"/>
      <c r="Q153" s="10"/>
      <c r="R153" s="11"/>
      <c r="S153" s="11"/>
      <c r="T153" s="26"/>
      <c r="U153" s="28">
        <f t="shared" si="13"/>
        <v>0.26217340310357279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12"/>
        <v>30.717212499999995</v>
      </c>
      <c r="P154" s="7"/>
      <c r="Q154" s="13"/>
      <c r="R154" s="14"/>
      <c r="S154" s="14"/>
      <c r="T154" s="27"/>
      <c r="U154" s="28">
        <f t="shared" si="13"/>
        <v>0.42272605552084264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12"/>
        <v>35.417699999999996</v>
      </c>
      <c r="P155" s="7"/>
      <c r="Q155" s="8">
        <f>bdrate(C155:C158,D155:D158,J155:J158,K155:K158)</f>
        <v>-0.71345329258133916</v>
      </c>
      <c r="R155" s="8">
        <f>bdrate(C155:C158,E155:E158,J155:J158,L155:L158)</f>
        <v>-0.75723302522882141</v>
      </c>
      <c r="S155" s="8">
        <f>bdrate(C155:C158,F155:F158,J155:J158,M155:M158)</f>
        <v>-0.76683914813183163</v>
      </c>
      <c r="T155" s="25">
        <f>bdrate(C155:C158,H155:H158,J155:J158,O155:O158)</f>
        <v>-0.718673300415692</v>
      </c>
      <c r="U155" s="28">
        <f t="shared" si="13"/>
        <v>-2.0593826884365871E-2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12"/>
        <v>34.764399999999995</v>
      </c>
      <c r="P156" s="7"/>
      <c r="Q156" s="10"/>
      <c r="R156" s="11"/>
      <c r="S156" s="11"/>
      <c r="T156" s="26"/>
      <c r="U156" s="28">
        <f t="shared" si="13"/>
        <v>0.13188164510014008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12"/>
        <v>33.793624999999999</v>
      </c>
      <c r="P157" s="7"/>
      <c r="Q157" s="10"/>
      <c r="R157" s="11"/>
      <c r="S157" s="11"/>
      <c r="T157" s="26"/>
      <c r="U157" s="28">
        <f t="shared" si="13"/>
        <v>0.25895519974122599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12"/>
        <v>32.5105875</v>
      </c>
      <c r="P158" s="7"/>
      <c r="Q158" s="13"/>
      <c r="R158" s="14"/>
      <c r="S158" s="14"/>
      <c r="T158" s="27"/>
      <c r="U158" s="28">
        <f t="shared" si="13"/>
        <v>0.33380761049397289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12"/>
        <v>35.978937500000001</v>
      </c>
      <c r="P159" s="7"/>
      <c r="Q159" s="8">
        <f>bdrate(C159:C162,D159:D162,J159:J162,K159:K162)</f>
        <v>-0.4124127328430921</v>
      </c>
      <c r="R159" s="8">
        <f>bdrate(C159:C162,E159:E162,J159:J162,L159:L162)</f>
        <v>-0.54719908903755543</v>
      </c>
      <c r="S159" s="8">
        <f>bdrate(C159:C162,F159:F162,J159:J162,M159:M162)</f>
        <v>-0.50689907277321478</v>
      </c>
      <c r="T159" s="25">
        <f>bdrate(C159:C162,H159:H162,J159:J162,O159:O162)</f>
        <v>-0.43455680407896835</v>
      </c>
      <c r="U159" s="28">
        <f t="shared" si="13"/>
        <v>-8.9221543437247378E-2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12"/>
        <v>34.502525000000006</v>
      </c>
      <c r="P160" s="7"/>
      <c r="Q160" s="10"/>
      <c r="R160" s="11"/>
      <c r="S160" s="11"/>
      <c r="T160" s="26"/>
      <c r="U160" s="28">
        <f t="shared" si="13"/>
        <v>-0.147037050444352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12"/>
        <v>32.754300000000001</v>
      </c>
      <c r="P161" s="7"/>
      <c r="Q161" s="10"/>
      <c r="R161" s="11"/>
      <c r="S161" s="11"/>
      <c r="T161" s="26"/>
      <c r="U161" s="28">
        <f t="shared" si="13"/>
        <v>-5.1932732732732641E-2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12"/>
        <v>30.942612500000003</v>
      </c>
      <c r="P162" s="7"/>
      <c r="Q162" s="13"/>
      <c r="R162" s="14"/>
      <c r="S162" s="14"/>
      <c r="T162" s="27"/>
      <c r="U162" s="28">
        <f t="shared" si="13"/>
        <v>6.2751456681631471E-2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12"/>
        <v>36.581325</v>
      </c>
      <c r="P163" s="7"/>
      <c r="Q163" s="8">
        <f>bdrate(C163:C166,D163:D166,J163:J166,K163:K166)</f>
        <v>-0.4440307106288861</v>
      </c>
      <c r="R163" s="8">
        <f>bdrate(C163:C166,E163:E166,J163:J166,L163:L166)</f>
        <v>-0.53682188362540972</v>
      </c>
      <c r="S163" s="8">
        <f>bdrate(C163:C166,F163:F166,J163:J166,M163:M166)</f>
        <v>-0.51203364835776788</v>
      </c>
      <c r="T163" s="25">
        <f>bdrate(C163:C166,H163:H166,J163:J166,O163:O166)</f>
        <v>-0.45776878389462083</v>
      </c>
      <c r="U163" s="28">
        <f t="shared" ref="U163:U194" si="14">(N163-G163)/G163</f>
        <v>-0.10642133531286838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12"/>
        <v>35.132137499999999</v>
      </c>
      <c r="P164" s="7"/>
      <c r="Q164" s="10"/>
      <c r="R164" s="11"/>
      <c r="S164" s="11"/>
      <c r="T164" s="26"/>
      <c r="U164" s="28">
        <f t="shared" si="14"/>
        <v>-0.10065556212143598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12"/>
        <v>33.423124999999999</v>
      </c>
      <c r="P165" s="7"/>
      <c r="Q165" s="10"/>
      <c r="R165" s="11"/>
      <c r="S165" s="11"/>
      <c r="T165" s="26"/>
      <c r="U165" s="28">
        <f t="shared" si="14"/>
        <v>2.9218673218673077E-2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12"/>
        <v>31.561650000000004</v>
      </c>
      <c r="P166" s="7"/>
      <c r="Q166" s="13"/>
      <c r="R166" s="14"/>
      <c r="S166" s="14"/>
      <c r="T166" s="27"/>
      <c r="U166" s="28">
        <f t="shared" si="14"/>
        <v>0.10043534985923243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12"/>
        <v>31.987012499999999</v>
      </c>
      <c r="P167" s="7"/>
      <c r="Q167" s="8">
        <f>bdrate(C167:C170,D167:D170,J167:J170,K167:K170)</f>
        <v>-0.52137894966316467</v>
      </c>
      <c r="R167" s="8">
        <f>bdrate(C167:C170,E167:E170,J167:J170,L167:L170)</f>
        <v>-0.63082693562462211</v>
      </c>
      <c r="S167" s="8">
        <f>bdrate(C167:C170,F167:F170,J167:J170,M167:M170)</f>
        <v>-0.63473245944301493</v>
      </c>
      <c r="T167" s="25">
        <f>bdrate(C167:C170,H167:H170,J167:J170,O167:O170)</f>
        <v>-0.53905492005988853</v>
      </c>
      <c r="U167" s="28">
        <f t="shared" si="14"/>
        <v>-0.287394499671218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12"/>
        <v>30.770375000000001</v>
      </c>
      <c r="P168" s="7"/>
      <c r="Q168" s="10"/>
      <c r="R168" s="11"/>
      <c r="S168" s="11"/>
      <c r="T168" s="26"/>
      <c r="U168" s="28">
        <f t="shared" si="14"/>
        <v>-0.22493144573144574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12"/>
        <v>29.411924999999997</v>
      </c>
      <c r="P169" s="7"/>
      <c r="Q169" s="10"/>
      <c r="R169" s="11"/>
      <c r="S169" s="11"/>
      <c r="T169" s="26"/>
      <c r="U169" s="28">
        <f t="shared" si="14"/>
        <v>-0.15063997583196853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12"/>
        <v>28.032362499999998</v>
      </c>
      <c r="P170" s="7"/>
      <c r="Q170" s="13"/>
      <c r="R170" s="14"/>
      <c r="S170" s="14"/>
      <c r="T170" s="27"/>
      <c r="U170" s="28">
        <f t="shared" si="14"/>
        <v>-4.0200626480250599E-2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12"/>
        <v>33.6227625</v>
      </c>
      <c r="P171" s="7"/>
      <c r="Q171" s="8">
        <f>bdrate(C171:C174,D171:D174,J171:J174,K171:K174)</f>
        <v>-0.25489312736444725</v>
      </c>
      <c r="R171" s="8">
        <f>bdrate(C171:C174,E171:E174,J171:J174,L171:L174)</f>
        <v>-0.30051931956974109</v>
      </c>
      <c r="S171" s="8">
        <f>bdrate(C171:C174,F171:F174,J171:J174,M171:M174)</f>
        <v>-0.31739866192845989</v>
      </c>
      <c r="T171" s="25">
        <f>bdrate(C171:C174,H171:H174,J171:J174,O171:O174)</f>
        <v>-0.264778997494313</v>
      </c>
      <c r="U171" s="28">
        <f t="shared" si="14"/>
        <v>-0.27992436396974568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12"/>
        <v>32.2492625</v>
      </c>
      <c r="P172" s="7"/>
      <c r="Q172" s="10"/>
      <c r="R172" s="11"/>
      <c r="S172" s="11"/>
      <c r="T172" s="26"/>
      <c r="U172" s="28">
        <f t="shared" si="14"/>
        <v>-0.21794202509561825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12"/>
        <v>30.764949999999999</v>
      </c>
      <c r="P173" s="7"/>
      <c r="Q173" s="10"/>
      <c r="R173" s="11"/>
      <c r="S173" s="11"/>
      <c r="T173" s="26"/>
      <c r="U173" s="28">
        <f t="shared" si="14"/>
        <v>-6.274950274950282E-2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12"/>
        <v>29.3010625</v>
      </c>
      <c r="P174" s="7"/>
      <c r="Q174" s="13"/>
      <c r="R174" s="14"/>
      <c r="S174" s="14"/>
      <c r="T174" s="27"/>
      <c r="U174" s="28">
        <f t="shared" si="14"/>
        <v>-5.5556698331961987E-2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12"/>
        <v>35.460462499999998</v>
      </c>
      <c r="P175" s="7"/>
      <c r="Q175" s="8">
        <f>bdrate(C175:C178,D175:D178,J175:J178,K175:K178)</f>
        <v>-0.27126527593309546</v>
      </c>
      <c r="R175" s="8">
        <f>bdrate(C175:C178,E175:E178,J175:J178,L175:L178)</f>
        <v>-0.43364357083977867</v>
      </c>
      <c r="S175" s="8">
        <f>bdrate(C175:C178,F175:F178,J175:J178,M175:M178)</f>
        <v>-0.35105036825841329</v>
      </c>
      <c r="T175" s="25">
        <f>bdrate(C175:C178,H175:H178,J175:J178,O175:O178)</f>
        <v>-0.29131575580366453</v>
      </c>
      <c r="U175" s="28">
        <f t="shared" si="14"/>
        <v>-0.33398242472885931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12"/>
        <v>33.786875000000002</v>
      </c>
      <c r="P176" s="7"/>
      <c r="Q176" s="10"/>
      <c r="R176" s="11"/>
      <c r="S176" s="11"/>
      <c r="T176" s="26"/>
      <c r="U176" s="28">
        <f t="shared" si="14"/>
        <v>-0.32036542916542915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12"/>
        <v>32.0174375</v>
      </c>
      <c r="P177" s="7"/>
      <c r="Q177" s="10"/>
      <c r="R177" s="11"/>
      <c r="S177" s="11"/>
      <c r="T177" s="26"/>
      <c r="U177" s="28">
        <f t="shared" si="14"/>
        <v>-0.12533321525331451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12"/>
        <v>29.452112499999998</v>
      </c>
      <c r="P178" s="7"/>
      <c r="Q178" s="13"/>
      <c r="R178" s="14"/>
      <c r="S178" s="14"/>
      <c r="T178" s="27"/>
      <c r="U178" s="28">
        <f t="shared" si="14"/>
        <v>0.11698062384930052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12"/>
        <v>35.618137499999996</v>
      </c>
      <c r="P179" s="7"/>
      <c r="Q179" s="8">
        <f>bdrate(C179:C182,D179:D182,J179:J182,K179:K182)</f>
        <v>-0.66164966542428916</v>
      </c>
      <c r="R179" s="8">
        <f>bdrate(C179:C182,E179:E182,J179:J182,L179:L182)</f>
        <v>-0.77436318490359179</v>
      </c>
      <c r="S179" s="8">
        <f>bdrate(C179:C182,F179:F182,J179:J182,M179:M182)</f>
        <v>-0.78367355944352401</v>
      </c>
      <c r="T179" s="25">
        <f>bdrate(C179:C182,H179:H182,J179:J182,O179:O182)</f>
        <v>-0.67954296301285377</v>
      </c>
      <c r="U179" s="28">
        <f t="shared" si="14"/>
        <v>-0.29566939686339039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12"/>
        <v>34.418824999999998</v>
      </c>
      <c r="P180" s="7"/>
      <c r="Q180" s="10"/>
      <c r="R180" s="11"/>
      <c r="S180" s="11"/>
      <c r="T180" s="26"/>
      <c r="U180" s="28">
        <f t="shared" si="14"/>
        <v>-0.28604233833225867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12"/>
        <v>33.017249999999997</v>
      </c>
      <c r="P181" s="7"/>
      <c r="Q181" s="10"/>
      <c r="R181" s="11"/>
      <c r="S181" s="11"/>
      <c r="T181" s="26"/>
      <c r="U181" s="28">
        <f t="shared" si="14"/>
        <v>-0.16577672275724356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12"/>
        <v>30.697937499999998</v>
      </c>
      <c r="P182" s="7"/>
      <c r="Q182" s="13"/>
      <c r="R182" s="14"/>
      <c r="S182" s="14"/>
      <c r="T182" s="27"/>
      <c r="U182" s="28">
        <f t="shared" si="14"/>
        <v>5.1281057471013053E-2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12"/>
        <v>34.409462499999997</v>
      </c>
      <c r="P183" s="7"/>
      <c r="Q183" s="8">
        <f>bdrate(C183:C186,D183:D186,J183:J186,K183:K186)</f>
        <v>-0.37617888866922278</v>
      </c>
      <c r="R183" s="8">
        <f>bdrate(C183:C186,E183:E186,J183:J186,L183:L186)</f>
        <v>-0.62069957273269005</v>
      </c>
      <c r="S183" s="8">
        <f>bdrate(C183:C186,F183:F186,J183:J186,M183:M186)</f>
        <v>-0.67849156539404842</v>
      </c>
      <c r="T183" s="25">
        <f>bdrate(C183:C186,H183:H186,J183:J186,O183:O186)</f>
        <v>-0.43100374495564442</v>
      </c>
      <c r="U183" s="28">
        <f t="shared" si="14"/>
        <v>-0.36310668529706974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12"/>
        <v>33.062750000000001</v>
      </c>
      <c r="P184" s="7"/>
      <c r="Q184" s="10"/>
      <c r="R184" s="11"/>
      <c r="S184" s="11"/>
      <c r="T184" s="26"/>
      <c r="U184" s="28">
        <f t="shared" si="14"/>
        <v>-0.26913615401464608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12"/>
        <v>31.458100000000002</v>
      </c>
      <c r="P185" s="7"/>
      <c r="Q185" s="10"/>
      <c r="R185" s="11"/>
      <c r="S185" s="11"/>
      <c r="T185" s="26"/>
      <c r="U185" s="28">
        <f t="shared" si="14"/>
        <v>-0.22005381612915867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12"/>
        <v>29.246700000000001</v>
      </c>
      <c r="P186" s="7"/>
      <c r="Q186" s="13"/>
      <c r="R186" s="14"/>
      <c r="S186" s="14"/>
      <c r="T186" s="27"/>
      <c r="U186" s="28">
        <f t="shared" si="14"/>
        <v>5.6390612355004116E-2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12"/>
        <v>34.965837499999999</v>
      </c>
      <c r="P187" s="7"/>
      <c r="Q187" s="8">
        <f>bdrate(C187:C190,D187:D190,J187:J190,K187:K190)</f>
        <v>-0.15203013916413344</v>
      </c>
      <c r="R187" s="8">
        <f>bdrate(C187:C190,E187:E190,J187:J190,L187:L190)</f>
        <v>-0.35060184972423802</v>
      </c>
      <c r="S187" s="8">
        <f>bdrate(C187:C190,F187:F190,J187:J190,M187:M190)</f>
        <v>-0.34019651397888662</v>
      </c>
      <c r="T187" s="25">
        <f>bdrate(C187:C190,H187:H190,J187:J190,O187:O190)</f>
        <v>-0.18463760067799329</v>
      </c>
      <c r="U187" s="28">
        <f t="shared" si="14"/>
        <v>-0.44927559362309583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12"/>
        <v>33.284837500000002</v>
      </c>
      <c r="P188" s="7"/>
      <c r="Q188" s="10"/>
      <c r="R188" s="11"/>
      <c r="S188" s="11"/>
      <c r="T188" s="26"/>
      <c r="U188" s="28">
        <f t="shared" si="14"/>
        <v>-0.43453942605035761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12"/>
        <v>31.583425000000002</v>
      </c>
      <c r="P189" s="7"/>
      <c r="Q189" s="10"/>
      <c r="R189" s="11"/>
      <c r="S189" s="11"/>
      <c r="T189" s="26"/>
      <c r="U189" s="28">
        <f t="shared" si="14"/>
        <v>-0.31756825909840758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12"/>
        <v>29.323662500000001</v>
      </c>
      <c r="P190" s="7"/>
      <c r="Q190" s="13"/>
      <c r="R190" s="14"/>
      <c r="S190" s="14"/>
      <c r="T190" s="27"/>
      <c r="U190" s="28">
        <f t="shared" si="14"/>
        <v>-0.14220285735657118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12"/>
        <v>42.533825</v>
      </c>
      <c r="P191" s="7"/>
      <c r="Q191" s="8">
        <f>bdrate(C191:C194,D191:D194,J191:J194,K191:K194)</f>
        <v>-0.37874801982050643</v>
      </c>
      <c r="R191" s="8">
        <f>bdrate(C191:C194,E191:E194,J191:J194,L191:L194)</f>
        <v>-0.49864919257647999</v>
      </c>
      <c r="S191" s="8">
        <f>bdrate(C191:C194,F191:F194,J191:J194,M191:M194)</f>
        <v>-0.51827946574111161</v>
      </c>
      <c r="T191" s="25">
        <f>bdrate(C191:C194,H191:H194,J191:J194,O191:O194)</f>
        <v>-0.40489297177526895</v>
      </c>
      <c r="U191" s="28">
        <f t="shared" si="14"/>
        <v>-0.25238317152103562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12"/>
        <v>41.447750000000006</v>
      </c>
      <c r="P192" s="7"/>
      <c r="Q192" s="10"/>
      <c r="R192" s="11"/>
      <c r="S192" s="11"/>
      <c r="T192" s="26"/>
      <c r="U192" s="28">
        <f t="shared" si="14"/>
        <v>0.11308938739633874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12"/>
        <v>39.568074999999993</v>
      </c>
      <c r="P193" s="7"/>
      <c r="Q193" s="10"/>
      <c r="R193" s="11"/>
      <c r="S193" s="11"/>
      <c r="T193" s="26"/>
      <c r="U193" s="28">
        <f t="shared" si="14"/>
        <v>0.29793380796613422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12"/>
        <v>36.5735375</v>
      </c>
      <c r="P194" s="7"/>
      <c r="Q194" s="13"/>
      <c r="R194" s="14"/>
      <c r="S194" s="14"/>
      <c r="T194" s="27"/>
      <c r="U194" s="28">
        <f t="shared" si="14"/>
        <v>0.5419340245051838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12"/>
        <v>43.940749999999994</v>
      </c>
      <c r="P195" s="7"/>
      <c r="Q195" s="8">
        <f>bdrate(C195:C198,D195:D198,J195:J198,K195:K198)</f>
        <v>-0.60440871832559373</v>
      </c>
      <c r="R195" s="8">
        <f>bdrate(C195:C198,E195:E198,J195:J198,L195:L198)</f>
        <v>-0.71171825129278998</v>
      </c>
      <c r="S195" s="8">
        <f>bdrate(C195:C198,F195:F198,J195:J198,M195:M198)</f>
        <v>-0.72685497921966213</v>
      </c>
      <c r="T195" s="25">
        <f>bdrate(C195:C198,H195:H198,J195:J198,O195:O198)</f>
        <v>-0.63520260232862458</v>
      </c>
      <c r="U195" s="28">
        <f t="shared" ref="U195:U202" si="15">(N195-G195)/G195</f>
        <v>-9.525438005390835E-2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12"/>
        <v>43.414250000000003</v>
      </c>
      <c r="P196" s="7"/>
      <c r="Q196" s="10"/>
      <c r="R196" s="11"/>
      <c r="S196" s="11"/>
      <c r="T196" s="26"/>
      <c r="U196" s="28">
        <f t="shared" si="15"/>
        <v>0.18435263546019603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12"/>
        <v>42.4825625</v>
      </c>
      <c r="P197" s="7"/>
      <c r="Q197" s="10"/>
      <c r="R197" s="11"/>
      <c r="S197" s="11"/>
      <c r="T197" s="26"/>
      <c r="U197" s="28">
        <f t="shared" si="15"/>
        <v>0.33009569904300951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12"/>
        <v>40.642375000000001</v>
      </c>
      <c r="P198" s="7"/>
      <c r="Q198" s="13"/>
      <c r="R198" s="14"/>
      <c r="S198" s="14"/>
      <c r="T198" s="27"/>
      <c r="U198" s="28">
        <f t="shared" si="15"/>
        <v>0.43944675342372402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12"/>
        <v>43.654162499999998</v>
      </c>
      <c r="P199" s="7"/>
      <c r="Q199" s="8">
        <f>bdrate(C199:C202,D199:D202,J199:J202,K199:K202)</f>
        <v>-0.52808691130552032</v>
      </c>
      <c r="R199" s="8">
        <f>bdrate(C199:C202,E199:E202,J199:J202,L199:L202)</f>
        <v>-0.61973719176819775</v>
      </c>
      <c r="S199" s="8">
        <f>bdrate(C199:C202,F199:F202,J199:J202,M199:M202)</f>
        <v>-0.63972322630417955</v>
      </c>
      <c r="T199" s="25">
        <f>bdrate(C199:C202,H199:H202,J199:J202,O199:O202)</f>
        <v>-0.55299459314561084</v>
      </c>
      <c r="U199" s="28">
        <f t="shared" si="15"/>
        <v>-0.11548000837345618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12"/>
        <v>42.835475000000002</v>
      </c>
      <c r="P200" s="7"/>
      <c r="Q200" s="10"/>
      <c r="R200" s="11"/>
      <c r="S200" s="11"/>
      <c r="T200" s="26"/>
      <c r="U200" s="28">
        <f t="shared" si="15"/>
        <v>9.1478024838253916E-2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12"/>
        <v>41.476499999999994</v>
      </c>
      <c r="P201" s="7"/>
      <c r="Q201" s="10"/>
      <c r="R201" s="11"/>
      <c r="S201" s="11"/>
      <c r="T201" s="26"/>
      <c r="U201" s="28">
        <f t="shared" si="15"/>
        <v>0.35531272384542872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12"/>
        <v>38.9054</v>
      </c>
      <c r="P202" s="7"/>
      <c r="Q202" s="13"/>
      <c r="R202" s="14"/>
      <c r="S202" s="14"/>
      <c r="T202" s="27"/>
      <c r="U202" s="28">
        <f t="shared" si="15"/>
        <v>0.37737206037206045</v>
      </c>
    </row>
    <row r="203" spans="1:21" x14ac:dyDescent="0.25">
      <c r="A203" s="6" t="s">
        <v>102</v>
      </c>
      <c r="B203" s="6" t="s">
        <v>103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7">(6*K203+L203+M203)/8</f>
        <v>45.063924999999998</v>
      </c>
      <c r="P203" s="7"/>
      <c r="Q203" s="8">
        <f>bdrate(C203:C206,D203:D206,J203:J206,K203:K206)</f>
        <v>-0.55687778288280121</v>
      </c>
      <c r="R203" s="8">
        <f>bdrate(C203:C206,E203:E206,J203:J206,L203:L206)</f>
        <v>-0.65038614168905284</v>
      </c>
      <c r="S203" s="8">
        <f>bdrate(C203:C206,F203:F206,J203:J206,M203:M206)</f>
        <v>-0.62077482766844561</v>
      </c>
      <c r="T203" s="25">
        <f>bdrate(C203:C206,H203:H206,J203:J206,O203:O206)</f>
        <v>-0.57276301841118982</v>
      </c>
      <c r="U203" s="28">
        <f t="shared" ref="U203:U213" si="18">(N203-G203)/G203</f>
        <v>-0.19625350701402808</v>
      </c>
    </row>
    <row r="204" spans="1:21" x14ac:dyDescent="0.25">
      <c r="A204" s="9" t="s">
        <v>78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7"/>
        <v>43.429087500000001</v>
      </c>
      <c r="P204" s="7"/>
      <c r="Q204" s="10"/>
      <c r="R204" s="11"/>
      <c r="S204" s="11"/>
      <c r="T204" s="26"/>
      <c r="U204" s="28">
        <f t="shared" si="18"/>
        <v>-6.9877605580851251E-2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7"/>
        <v>41.196075000000008</v>
      </c>
      <c r="P205" s="7"/>
      <c r="Q205" s="10"/>
      <c r="R205" s="11"/>
      <c r="S205" s="11"/>
      <c r="T205" s="26"/>
      <c r="U205" s="28">
        <f t="shared" si="18"/>
        <v>5.0756428458747428E-2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7"/>
        <v>38.408537500000001</v>
      </c>
      <c r="P206" s="7"/>
      <c r="Q206" s="13"/>
      <c r="R206" s="14"/>
      <c r="S206" s="14"/>
      <c r="T206" s="27"/>
      <c r="U206" s="28">
        <f t="shared" si="18"/>
        <v>0.26971300482795618</v>
      </c>
    </row>
    <row r="207" spans="1:21" x14ac:dyDescent="0.25">
      <c r="B207" s="6" t="s">
        <v>104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7"/>
        <v>51.710475000000002</v>
      </c>
      <c r="P207" s="7"/>
      <c r="Q207" s="8">
        <f>bdrate(C207:C210,D207:D210,J207:J210,K207:K210)</f>
        <v>-0.19210293793764288</v>
      </c>
      <c r="R207" s="8">
        <f>bdrate(C207:C210,E207:E210,J207:J210,L207:L210)</f>
        <v>-0.27570660751654208</v>
      </c>
      <c r="S207" s="8">
        <f>bdrate(C207:C210,F207:F210,J207:J210,M207:M210)</f>
        <v>-0.27915650599212127</v>
      </c>
      <c r="T207" s="25">
        <f>bdrate(C207:C210,H207:H210,J207:J210,O207:O210)</f>
        <v>-0.21338345775915901</v>
      </c>
      <c r="U207" s="28">
        <f t="shared" si="18"/>
        <v>-0.19206736143665937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7"/>
        <v>49.843562500000004</v>
      </c>
      <c r="P208" s="7"/>
      <c r="Q208" s="10"/>
      <c r="R208" s="11"/>
      <c r="S208" s="11"/>
      <c r="T208" s="26"/>
      <c r="U208" s="28">
        <f t="shared" si="18"/>
        <v>-6.0729617351239024E-2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7"/>
        <v>46.980674999999998</v>
      </c>
      <c r="P209" s="7"/>
      <c r="Q209" s="10"/>
      <c r="R209" s="11"/>
      <c r="S209" s="11"/>
      <c r="T209" s="26"/>
      <c r="U209" s="28">
        <f t="shared" si="18"/>
        <v>5.7431941675995947E-2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7"/>
        <v>42.836549999999995</v>
      </c>
      <c r="P210" s="7"/>
      <c r="Q210" s="13"/>
      <c r="R210" s="14"/>
      <c r="S210" s="14"/>
      <c r="T210" s="27"/>
      <c r="U210" s="28">
        <f t="shared" si="18"/>
        <v>0.10445845973708021</v>
      </c>
    </row>
    <row r="211" spans="2:21" x14ac:dyDescent="0.25">
      <c r="B211" s="6" t="s">
        <v>105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7"/>
        <v>43.224699999999999</v>
      </c>
      <c r="P211" s="7"/>
      <c r="Q211" s="8">
        <f>bdrate(C211:C214,D211:D214,J211:J214,K211:K214)</f>
        <v>-0.43865112880804946</v>
      </c>
      <c r="R211" s="8">
        <f>bdrate(C211:C214,E211:E214,J211:J214,L211:L214)</f>
        <v>-0.48075331061848148</v>
      </c>
      <c r="S211" s="8">
        <f>bdrate(C211:C214,F211:F214,J211:J214,M211:M214)</f>
        <v>-0.44014461829128204</v>
      </c>
      <c r="T211" s="25">
        <f>bdrate(C211:C214,H211:H214,J211:J214,O211:O214)</f>
        <v>-0.44363831785592345</v>
      </c>
      <c r="U211" s="28">
        <f t="shared" si="18"/>
        <v>-0.10393780326422576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7"/>
        <v>41.353349999999999</v>
      </c>
      <c r="P212" s="7"/>
      <c r="Q212" s="10"/>
      <c r="R212" s="11"/>
      <c r="S212" s="11"/>
      <c r="T212" s="26"/>
      <c r="U212" s="28">
        <f t="shared" si="18"/>
        <v>-5.0895848506919132E-2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7"/>
        <v>39.019137499999999</v>
      </c>
      <c r="P213" s="7"/>
      <c r="Q213" s="10"/>
      <c r="R213" s="11"/>
      <c r="S213" s="11"/>
      <c r="T213" s="26"/>
      <c r="U213" s="28">
        <f t="shared" si="18"/>
        <v>0.10648826844450997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20">(6*K214+L214+M214)/8</f>
        <v>35.512724999999996</v>
      </c>
      <c r="P214" s="7"/>
      <c r="Q214" s="13"/>
      <c r="R214" s="14"/>
      <c r="S214" s="14"/>
      <c r="T214" s="27"/>
      <c r="U214" s="28">
        <f t="shared" ref="U214:U246" si="21">(N214-G214)/G214</f>
        <v>0.26431280805771834</v>
      </c>
    </row>
    <row r="215" spans="2:21" x14ac:dyDescent="0.25">
      <c r="B215" s="6" t="s">
        <v>106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20"/>
        <v>40.021200000000007</v>
      </c>
      <c r="P215" s="7"/>
      <c r="Q215" s="8">
        <f>bdrate(C215:C218,D215:D218,J215:J218,K215:K218)</f>
        <v>-0.39301429631262674</v>
      </c>
      <c r="R215" s="8">
        <f>bdrate(C215:C218,E215:E218,J215:J218,L215:L218)</f>
        <v>-0.36767826305042794</v>
      </c>
      <c r="S215" s="8">
        <f>bdrate(C215:C218,F215:F218,J215:J218,M215:M218)</f>
        <v>-0.37232052720707309</v>
      </c>
      <c r="T215" s="25">
        <f>bdrate(C215:C218,H215:H218,J215:J218,O215:O218)</f>
        <v>-0.39058540396170671</v>
      </c>
      <c r="U215" s="28">
        <f t="shared" si="21"/>
        <v>1.5181095922420723E-2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20"/>
        <v>38.306637500000001</v>
      </c>
      <c r="P216" s="7"/>
      <c r="Q216" s="10"/>
      <c r="R216" s="11"/>
      <c r="S216" s="11"/>
      <c r="T216" s="26"/>
      <c r="U216" s="28">
        <f t="shared" si="21"/>
        <v>-3.3684455936585929E-2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20"/>
        <v>36.188212500000006</v>
      </c>
      <c r="P217" s="7"/>
      <c r="Q217" s="10"/>
      <c r="R217" s="11"/>
      <c r="S217" s="11"/>
      <c r="T217" s="26"/>
      <c r="U217" s="28">
        <f t="shared" si="21"/>
        <v>0.1267828920570265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20"/>
        <v>33.333712499999997</v>
      </c>
      <c r="P218" s="7"/>
      <c r="Q218" s="13"/>
      <c r="R218" s="14"/>
      <c r="S218" s="14"/>
      <c r="T218" s="27"/>
      <c r="U218" s="28">
        <f t="shared" si="21"/>
        <v>0.31972966591901786</v>
      </c>
    </row>
    <row r="219" spans="2:21" x14ac:dyDescent="0.25">
      <c r="B219" s="6" t="s">
        <v>107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20"/>
        <v>38.167075000000004</v>
      </c>
      <c r="P219" s="7"/>
      <c r="Q219" s="8">
        <f>bdrate(C219:C222,D219:D222,J219:J222,K219:K222)</f>
        <v>-0.33984541795883516</v>
      </c>
      <c r="R219" s="8">
        <f>bdrate(C219:C222,E219:E222,J219:J222,L219:L222)</f>
        <v>-0.48860093149890071</v>
      </c>
      <c r="S219" s="8">
        <f>bdrate(C219:C222,F219:F222,J219:J222,M219:M222)</f>
        <v>-0.48858278584861914</v>
      </c>
      <c r="T219" s="25">
        <f>bdrate(C219:C222,H219:H222,J219:J222,O219:O222)</f>
        <v>-0.36772987288483339</v>
      </c>
      <c r="U219" s="28">
        <f t="shared" si="21"/>
        <v>-0.17108084960602951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20"/>
        <v>36.318537499999998</v>
      </c>
      <c r="P220" s="7"/>
      <c r="Q220" s="10"/>
      <c r="R220" s="11"/>
      <c r="S220" s="11"/>
      <c r="T220" s="26"/>
      <c r="U220" s="28">
        <f t="shared" si="21"/>
        <v>-7.6131040504118785E-2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20"/>
        <v>34.085724999999996</v>
      </c>
      <c r="P221" s="7"/>
      <c r="Q221" s="10"/>
      <c r="R221" s="11"/>
      <c r="S221" s="11"/>
      <c r="T221" s="26"/>
      <c r="U221" s="28">
        <f t="shared" si="21"/>
        <v>2.4605659897555244E-2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20"/>
        <v>31.146599999999999</v>
      </c>
      <c r="P222" s="7"/>
      <c r="Q222" s="13"/>
      <c r="R222" s="14"/>
      <c r="S222" s="14"/>
      <c r="T222" s="27"/>
      <c r="U222" s="28">
        <f t="shared" si="21"/>
        <v>0.15473447530122544</v>
      </c>
    </row>
    <row r="223" spans="2:21" x14ac:dyDescent="0.25">
      <c r="B223" s="6" t="s">
        <v>108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20"/>
        <v>38.689262499999998</v>
      </c>
      <c r="P223" s="7"/>
      <c r="Q223" s="8">
        <f>bdrate(C223:C226,D223:D226,J223:J226,K223:K226)</f>
        <v>-0.33548291632891669</v>
      </c>
      <c r="R223" s="8">
        <f>bdrate(C223:C226,E223:E226,J223:J226,L223:L226)</f>
        <v>-0.46724204058731511</v>
      </c>
      <c r="S223" s="8">
        <f>bdrate(C223:C226,F223:F226,J223:J226,M223:M226)</f>
        <v>-0.38642087714177142</v>
      </c>
      <c r="T223" s="25">
        <f>bdrate(C223:C226,H223:H226,J223:J226,O223:O226)</f>
        <v>-0.35240094384512632</v>
      </c>
      <c r="U223" s="28">
        <f t="shared" si="21"/>
        <v>0.10353324559754346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20"/>
        <v>37.363399999999999</v>
      </c>
      <c r="P224" s="7"/>
      <c r="Q224" s="10"/>
      <c r="R224" s="11"/>
      <c r="S224" s="11"/>
      <c r="T224" s="26"/>
      <c r="U224" s="28">
        <f t="shared" si="21"/>
        <v>3.0858694224285166E-2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20"/>
        <v>35.802975000000004</v>
      </c>
      <c r="P225" s="7"/>
      <c r="Q225" s="10"/>
      <c r="R225" s="11"/>
      <c r="S225" s="11"/>
      <c r="T225" s="26"/>
      <c r="U225" s="28">
        <f t="shared" si="21"/>
        <v>0.13017857882742903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20"/>
        <v>33.823012500000004</v>
      </c>
      <c r="P226" s="7"/>
      <c r="Q226" s="13"/>
      <c r="R226" s="14"/>
      <c r="S226" s="14"/>
      <c r="T226" s="27"/>
      <c r="U226" s="28">
        <f t="shared" si="21"/>
        <v>0.38989911201901034</v>
      </c>
    </row>
    <row r="227" spans="2:21" x14ac:dyDescent="0.25">
      <c r="B227" s="6" t="s">
        <v>109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20"/>
        <v>48.637549999999997</v>
      </c>
      <c r="P227" s="7"/>
      <c r="Q227" s="8">
        <f>bdrate(C227:C230,D227:D230,J227:J230,K227:K230)</f>
        <v>-0.40357520532011482</v>
      </c>
      <c r="R227" s="8">
        <f>bdrate(C227:C230,E227:E230,J227:J230,L227:L230)</f>
        <v>-0.56120495445758678</v>
      </c>
      <c r="S227" s="8">
        <f>bdrate(C227:C230,F227:F230,J227:J230,M227:M230)</f>
        <v>-0.56348261924470777</v>
      </c>
      <c r="T227" s="25">
        <f>bdrate(C227:C230,H227:H230,J227:J230,O227:O230)</f>
        <v>-0.44841736724173542</v>
      </c>
      <c r="U227" s="28">
        <f t="shared" si="21"/>
        <v>-8.8686562131175262E-2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20"/>
        <v>46.829100000000004</v>
      </c>
      <c r="P228" s="7"/>
      <c r="Q228" s="10"/>
      <c r="R228" s="11"/>
      <c r="S228" s="11"/>
      <c r="T228" s="26"/>
      <c r="U228" s="28">
        <f t="shared" si="21"/>
        <v>-6.661065244392461E-3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20"/>
        <v>44.515749999999997</v>
      </c>
      <c r="P229" s="7"/>
      <c r="Q229" s="10"/>
      <c r="R229" s="11"/>
      <c r="S229" s="11"/>
      <c r="T229" s="26"/>
      <c r="U229" s="28">
        <f t="shared" si="21"/>
        <v>8.9359802495857135E-2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20"/>
        <v>41.346887500000001</v>
      </c>
      <c r="P230" s="7"/>
      <c r="Q230" s="13"/>
      <c r="R230" s="14"/>
      <c r="S230" s="14"/>
      <c r="T230" s="27"/>
      <c r="U230" s="28">
        <f t="shared" si="21"/>
        <v>0.11514965136166282</v>
      </c>
    </row>
    <row r="231" spans="2:21" x14ac:dyDescent="0.25">
      <c r="B231" s="6" t="s">
        <v>110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20"/>
        <v>33.925012500000001</v>
      </c>
      <c r="P231" s="7"/>
      <c r="Q231" s="8">
        <f>bdrate(C231:C234,D231:D234,J231:J234,K231:K234)</f>
        <v>-0.44279363958138551</v>
      </c>
      <c r="R231" s="8">
        <f>bdrate(C231:C234,E231:E234,J231:J234,L231:L234)</f>
        <v>-0.35426610504373612</v>
      </c>
      <c r="S231" s="8">
        <f>bdrate(C231:C234,F231:F234,J231:J234,M231:M234)</f>
        <v>-0.34213619300201492</v>
      </c>
      <c r="T231" s="25">
        <f>bdrate(C231:C234,H231:H234,J231:J234,O231:O234)</f>
        <v>-0.43067101227246685</v>
      </c>
      <c r="U231" s="28">
        <f t="shared" si="21"/>
        <v>-0.19765068099984345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20"/>
        <v>32.329574999999998</v>
      </c>
      <c r="P232" s="7"/>
      <c r="Q232" s="10"/>
      <c r="R232" s="11"/>
      <c r="S232" s="11"/>
      <c r="T232" s="26"/>
      <c r="U232" s="28">
        <f t="shared" si="21"/>
        <v>-9.1229094646360864E-2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20"/>
        <v>30.301475</v>
      </c>
      <c r="P233" s="7"/>
      <c r="Q233" s="10"/>
      <c r="R233" s="11"/>
      <c r="S233" s="11"/>
      <c r="T233" s="26"/>
      <c r="U233" s="28">
        <f t="shared" si="21"/>
        <v>5.3599251270166688E-2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20"/>
        <v>27.572500000000002</v>
      </c>
      <c r="P234" s="7"/>
      <c r="Q234" s="13"/>
      <c r="R234" s="14"/>
      <c r="S234" s="14"/>
      <c r="T234" s="27"/>
      <c r="U234" s="28">
        <f t="shared" si="21"/>
        <v>0.32903953070962644</v>
      </c>
    </row>
    <row r="235" spans="2:21" x14ac:dyDescent="0.25">
      <c r="B235" s="6" t="s">
        <v>111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20"/>
        <v>45.048587499999996</v>
      </c>
      <c r="P235" s="7"/>
      <c r="Q235" s="8">
        <f>bdrate(C235:C238,D235:D238,J235:J238,K235:K238)</f>
        <v>-0.29878779556948354</v>
      </c>
      <c r="R235" s="8">
        <f>bdrate(C235:C238,E235:E238,J235:J238,L235:L238)</f>
        <v>-0.338356003205455</v>
      </c>
      <c r="S235" s="8">
        <f>bdrate(C235:C238,F235:F238,J235:J238,M235:M238)</f>
        <v>-0.36543098831334431</v>
      </c>
      <c r="T235" s="25">
        <f>bdrate(C235:C238,H235:H238,J235:J238,O235:O238)</f>
        <v>-0.31015346969845092</v>
      </c>
      <c r="U235" s="28">
        <f t="shared" si="21"/>
        <v>-0.19757703672435631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20"/>
        <v>43.211887500000003</v>
      </c>
      <c r="P236" s="7"/>
      <c r="Q236" s="10"/>
      <c r="R236" s="11"/>
      <c r="S236" s="11"/>
      <c r="T236" s="26"/>
      <c r="U236" s="28">
        <f t="shared" si="21"/>
        <v>-9.5320377568017658E-2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20"/>
        <v>40.270824999999995</v>
      </c>
      <c r="P237" s="7"/>
      <c r="Q237" s="10"/>
      <c r="R237" s="11"/>
      <c r="S237" s="11"/>
      <c r="T237" s="26"/>
      <c r="U237" s="28">
        <f t="shared" si="21"/>
        <v>6.0097980262459938E-2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20"/>
        <v>36.084499999999998</v>
      </c>
      <c r="P238" s="7"/>
      <c r="Q238" s="13"/>
      <c r="R238" s="14"/>
      <c r="S238" s="14"/>
      <c r="T238" s="27"/>
      <c r="U238" s="28">
        <f t="shared" si="21"/>
        <v>0.18088988988988985</v>
      </c>
    </row>
    <row r="239" spans="2:21" x14ac:dyDescent="0.25">
      <c r="B239" s="6" t="s">
        <v>112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20"/>
        <v>46.047337500000005</v>
      </c>
      <c r="P239" s="7"/>
      <c r="Q239" s="8">
        <f>bdrate(C239:C242,D239:D242,J239:J242,K239:K242)</f>
        <v>-0.37320323399569932</v>
      </c>
      <c r="R239" s="8">
        <f>bdrate(C239:C242,E239:E242,J239:J242,L239:L242)</f>
        <v>-0.42255803085915711</v>
      </c>
      <c r="S239" s="8">
        <f>bdrate(C239:C242,F239:F242,J239:J242,M239:M242)</f>
        <v>-0.42573618842914851</v>
      </c>
      <c r="T239" s="25">
        <f>bdrate(C239:C242,H239:H242,J239:J242,O239:O242)</f>
        <v>-0.38461909246559434</v>
      </c>
      <c r="U239" s="28">
        <f t="shared" si="21"/>
        <v>-0.20245466683895416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20"/>
        <v>44.549837500000002</v>
      </c>
      <c r="P240" s="7"/>
      <c r="Q240" s="10"/>
      <c r="R240" s="11"/>
      <c r="S240" s="11"/>
      <c r="T240" s="26"/>
      <c r="U240" s="28">
        <f t="shared" si="21"/>
        <v>-0.18612624886466844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20"/>
        <v>41.827949999999994</v>
      </c>
      <c r="P241" s="7"/>
      <c r="Q241" s="10"/>
      <c r="R241" s="11"/>
      <c r="S241" s="11"/>
      <c r="T241" s="26"/>
      <c r="U241" s="28">
        <f t="shared" si="21"/>
        <v>-0.14197081478111084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20"/>
        <v>37.684975000000001</v>
      </c>
      <c r="P242" s="7"/>
      <c r="Q242" s="13"/>
      <c r="R242" s="14"/>
      <c r="S242" s="14"/>
      <c r="T242" s="27"/>
      <c r="U242" s="28">
        <f t="shared" si="21"/>
        <v>8.4539657713477892E-2</v>
      </c>
    </row>
    <row r="243" spans="2:21" x14ac:dyDescent="0.25">
      <c r="B243" s="6" t="s">
        <v>113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20"/>
        <v>33.231437499999998</v>
      </c>
      <c r="P243" s="7"/>
      <c r="Q243" s="8">
        <f>bdrate(C243:C246,D243:D246,J243:J246,K243:K246)</f>
        <v>-0.34011220588166557</v>
      </c>
      <c r="R243" s="8">
        <f>bdrate(C243:C246,E243:E246,J243:J246,L243:L246)</f>
        <v>-0.30175267357017799</v>
      </c>
      <c r="S243" s="8">
        <f>bdrate(C243:C246,F243:F246,J243:J246,M243:M246)</f>
        <v>-0.25883015377901974</v>
      </c>
      <c r="T243" s="25">
        <f>bdrate(C243:C246,H243:H246,J243:J246,O243:O246)</f>
        <v>-0.33326109172067775</v>
      </c>
      <c r="U243" s="28">
        <f t="shared" si="21"/>
        <v>-0.19069668267720075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20"/>
        <v>31.545137499999999</v>
      </c>
      <c r="P244" s="7"/>
      <c r="Q244" s="10"/>
      <c r="R244" s="11"/>
      <c r="S244" s="11"/>
      <c r="T244" s="26"/>
      <c r="U244" s="28">
        <f t="shared" si="21"/>
        <v>-0.10832642276422767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20"/>
        <v>29.606962500000002</v>
      </c>
      <c r="P245" s="7"/>
      <c r="Q245" s="10"/>
      <c r="R245" s="11"/>
      <c r="S245" s="11"/>
      <c r="T245" s="26"/>
      <c r="U245" s="28">
        <f t="shared" si="21"/>
        <v>2.0412776791914021E-2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20"/>
        <v>27.1374</v>
      </c>
      <c r="P246" s="7"/>
      <c r="Q246" s="13"/>
      <c r="R246" s="14"/>
      <c r="S246" s="14"/>
      <c r="T246" s="27"/>
      <c r="U246" s="28">
        <f t="shared" si="21"/>
        <v>0.2352111518050678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-0.43103470395897481</v>
      </c>
      <c r="R247" s="21">
        <f>AVERAGE(R131:R246)</f>
        <v>-0.50235976507424518</v>
      </c>
      <c r="S247" s="21">
        <f>AVERAGE(S131:S246)</f>
        <v>-0.50082387355333147</v>
      </c>
      <c r="T247" s="21">
        <f>AVERAGE(T131:T246)</f>
        <v>-0.4458346292606874</v>
      </c>
      <c r="U247" s="21">
        <f>AVERAGE(U131:U246)</f>
        <v>2.0758423514706742E-3</v>
      </c>
    </row>
  </sheetData>
  <mergeCells count="12">
    <mergeCell ref="B127:B128"/>
    <mergeCell ref="C129:H129"/>
    <mergeCell ref="J129:O129"/>
    <mergeCell ref="Q129:S129"/>
    <mergeCell ref="U7:U8"/>
    <mergeCell ref="U129:U130"/>
    <mergeCell ref="C127:U128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617" priority="473" operator="greaterThan">
      <formula>0.03</formula>
    </cfRule>
    <cfRule type="cellIs" dxfId="616" priority="474" stopIfTrue="1" operator="lessThan">
      <formula>-0.03</formula>
    </cfRule>
  </conditionalFormatting>
  <conditionalFormatting sqref="Q33:T36">
    <cfRule type="cellIs" dxfId="615" priority="471" operator="greaterThan">
      <formula>0.03</formula>
    </cfRule>
    <cfRule type="cellIs" dxfId="614" priority="472" stopIfTrue="1" operator="lessThan">
      <formula>-0.03</formula>
    </cfRule>
  </conditionalFormatting>
  <conditionalFormatting sqref="Q46:T48 Q62:T64">
    <cfRule type="cellIs" dxfId="613" priority="469" operator="greaterThan">
      <formula>0.03</formula>
    </cfRule>
    <cfRule type="cellIs" dxfId="612" priority="470" stopIfTrue="1" operator="lessThan">
      <formula>-0.03</formula>
    </cfRule>
  </conditionalFormatting>
  <conditionalFormatting sqref="Q50:T52 Q54:T56 Q58:T60">
    <cfRule type="cellIs" dxfId="611" priority="467" operator="greaterThan">
      <formula>0.03</formula>
    </cfRule>
    <cfRule type="cellIs" dxfId="610" priority="468" stopIfTrue="1" operator="lessThan">
      <formula>-0.03</formula>
    </cfRule>
  </conditionalFormatting>
  <conditionalFormatting sqref="Q70:T72 Q74:T76">
    <cfRule type="cellIs" dxfId="609" priority="465" operator="greaterThan">
      <formula>0.03</formula>
    </cfRule>
    <cfRule type="cellIs" dxfId="608" priority="466" stopIfTrue="1" operator="lessThan">
      <formula>-0.03</formula>
    </cfRule>
  </conditionalFormatting>
  <conditionalFormatting sqref="Q66:T68">
    <cfRule type="cellIs" dxfId="607" priority="463" operator="greaterThan">
      <formula>0.03</formula>
    </cfRule>
    <cfRule type="cellIs" dxfId="606" priority="464" stopIfTrue="1" operator="lessThan">
      <formula>-0.03</formula>
    </cfRule>
  </conditionalFormatting>
  <conditionalFormatting sqref="Q78:T80">
    <cfRule type="cellIs" dxfId="605" priority="461" operator="greaterThan">
      <formula>0.03</formula>
    </cfRule>
    <cfRule type="cellIs" dxfId="604" priority="462" stopIfTrue="1" operator="lessThan">
      <formula>-0.03</formula>
    </cfRule>
  </conditionalFormatting>
  <conditionalFormatting sqref="Q21:T28">
    <cfRule type="cellIs" dxfId="603" priority="437" operator="greaterThan">
      <formula>0.03</formula>
    </cfRule>
    <cfRule type="cellIs" dxfId="602" priority="438" stopIfTrue="1" operator="lessThan">
      <formula>-0.03</formula>
    </cfRule>
  </conditionalFormatting>
  <conditionalFormatting sqref="Q151:T154 Q159:T166 Q131:T142">
    <cfRule type="cellIs" dxfId="601" priority="433" operator="greaterThan">
      <formula>0.03</formula>
    </cfRule>
    <cfRule type="cellIs" dxfId="600" priority="434" stopIfTrue="1" operator="lessThan">
      <formula>-0.03</formula>
    </cfRule>
  </conditionalFormatting>
  <conditionalFormatting sqref="Q155:T158">
    <cfRule type="cellIs" dxfId="599" priority="431" operator="greaterThan">
      <formula>0.03</formula>
    </cfRule>
    <cfRule type="cellIs" dxfId="598" priority="432" stopIfTrue="1" operator="lessThan">
      <formula>-0.03</formula>
    </cfRule>
  </conditionalFormatting>
  <conditionalFormatting sqref="Q167:T170 Q183:T186">
    <cfRule type="cellIs" dxfId="597" priority="429" operator="greaterThan">
      <formula>0.03</formula>
    </cfRule>
    <cfRule type="cellIs" dxfId="596" priority="430" stopIfTrue="1" operator="lessThan">
      <formula>-0.03</formula>
    </cfRule>
  </conditionalFormatting>
  <conditionalFormatting sqref="Q171:T182">
    <cfRule type="cellIs" dxfId="595" priority="427" operator="greaterThan">
      <formula>0.03</formula>
    </cfRule>
    <cfRule type="cellIs" dxfId="594" priority="428" stopIfTrue="1" operator="lessThan">
      <formula>-0.03</formula>
    </cfRule>
  </conditionalFormatting>
  <conditionalFormatting sqref="Q191:T198">
    <cfRule type="cellIs" dxfId="593" priority="425" operator="greaterThan">
      <formula>0.03</formula>
    </cfRule>
    <cfRule type="cellIs" dxfId="592" priority="426" stopIfTrue="1" operator="lessThan">
      <formula>-0.03</formula>
    </cfRule>
  </conditionalFormatting>
  <conditionalFormatting sqref="Q187:T190">
    <cfRule type="cellIs" dxfId="591" priority="423" operator="greaterThan">
      <formula>0.03</formula>
    </cfRule>
    <cfRule type="cellIs" dxfId="590" priority="424" stopIfTrue="1" operator="lessThan">
      <formula>-0.03</formula>
    </cfRule>
  </conditionalFormatting>
  <conditionalFormatting sqref="Q199:T202">
    <cfRule type="cellIs" dxfId="589" priority="421" operator="greaterThan">
      <formula>0.03</formula>
    </cfRule>
    <cfRule type="cellIs" dxfId="588" priority="422" stopIfTrue="1" operator="lessThan">
      <formula>-0.03</formula>
    </cfRule>
  </conditionalFormatting>
  <conditionalFormatting sqref="Q143:T150">
    <cfRule type="cellIs" dxfId="587" priority="417" operator="greaterThan">
      <formula>0.03</formula>
    </cfRule>
    <cfRule type="cellIs" dxfId="586" priority="418" stopIfTrue="1" operator="lessThan">
      <formula>-0.03</formula>
    </cfRule>
  </conditionalFormatting>
  <conditionalFormatting sqref="Q45:T45">
    <cfRule type="cellIs" dxfId="585" priority="415" operator="greaterThan">
      <formula>0.03</formula>
    </cfRule>
    <cfRule type="cellIs" dxfId="584" priority="416" stopIfTrue="1" operator="lessThan">
      <formula>-0.03</formula>
    </cfRule>
  </conditionalFormatting>
  <conditionalFormatting sqref="Q49:T49">
    <cfRule type="cellIs" dxfId="583" priority="413" operator="greaterThan">
      <formula>0.03</formula>
    </cfRule>
    <cfRule type="cellIs" dxfId="582" priority="414" stopIfTrue="1" operator="lessThan">
      <formula>-0.03</formula>
    </cfRule>
  </conditionalFormatting>
  <conditionalFormatting sqref="Q53:T53">
    <cfRule type="cellIs" dxfId="581" priority="411" operator="greaterThan">
      <formula>0.03</formula>
    </cfRule>
    <cfRule type="cellIs" dxfId="580" priority="412" stopIfTrue="1" operator="lessThan">
      <formula>-0.03</formula>
    </cfRule>
  </conditionalFormatting>
  <conditionalFormatting sqref="Q57:T57">
    <cfRule type="cellIs" dxfId="579" priority="409" operator="greaterThan">
      <formula>0.03</formula>
    </cfRule>
    <cfRule type="cellIs" dxfId="578" priority="410" stopIfTrue="1" operator="lessThan">
      <formula>-0.03</formula>
    </cfRule>
  </conditionalFormatting>
  <conditionalFormatting sqref="Q61:T61">
    <cfRule type="cellIs" dxfId="577" priority="407" operator="greaterThan">
      <formula>0.03</formula>
    </cfRule>
    <cfRule type="cellIs" dxfId="576" priority="408" stopIfTrue="1" operator="lessThan">
      <formula>-0.03</formula>
    </cfRule>
  </conditionalFormatting>
  <conditionalFormatting sqref="Q65:T65">
    <cfRule type="cellIs" dxfId="575" priority="405" operator="greaterThan">
      <formula>0.03</formula>
    </cfRule>
    <cfRule type="cellIs" dxfId="574" priority="406" stopIfTrue="1" operator="lessThan">
      <formula>-0.03</formula>
    </cfRule>
  </conditionalFormatting>
  <conditionalFormatting sqref="Q69:T69">
    <cfRule type="cellIs" dxfId="573" priority="403" operator="greaterThan">
      <formula>0.03</formula>
    </cfRule>
    <cfRule type="cellIs" dxfId="572" priority="404" stopIfTrue="1" operator="lessThan">
      <formula>-0.03</formula>
    </cfRule>
  </conditionalFormatting>
  <conditionalFormatting sqref="Q73:T73">
    <cfRule type="cellIs" dxfId="571" priority="401" operator="greaterThan">
      <formula>0.03</formula>
    </cfRule>
    <cfRule type="cellIs" dxfId="570" priority="402" stopIfTrue="1" operator="lessThan">
      <formula>-0.03</formula>
    </cfRule>
  </conditionalFormatting>
  <conditionalFormatting sqref="Q77:T77">
    <cfRule type="cellIs" dxfId="569" priority="399" operator="greaterThan">
      <formula>0.03</formula>
    </cfRule>
    <cfRule type="cellIs" dxfId="568" priority="400" stopIfTrue="1" operator="lessThan">
      <formula>-0.03</formula>
    </cfRule>
  </conditionalFormatting>
  <conditionalFormatting sqref="Q117:T117">
    <cfRule type="cellIs" dxfId="567" priority="99" operator="greaterThan">
      <formula>0.03</formula>
    </cfRule>
    <cfRule type="cellIs" dxfId="566" priority="100" stopIfTrue="1" operator="lessThan">
      <formula>-0.03</formula>
    </cfRule>
  </conditionalFormatting>
  <conditionalFormatting sqref="Q93:T96 Q101:T108 Q81:T84">
    <cfRule type="cellIs" dxfId="565" priority="113" operator="greaterThan">
      <formula>0.03</formula>
    </cfRule>
    <cfRule type="cellIs" dxfId="564" priority="114" stopIfTrue="1" operator="lessThan">
      <formula>-0.03</formula>
    </cfRule>
  </conditionalFormatting>
  <conditionalFormatting sqref="Q97:T100">
    <cfRule type="cellIs" dxfId="563" priority="111" operator="greaterThan">
      <formula>0.03</formula>
    </cfRule>
    <cfRule type="cellIs" dxfId="562" priority="112" stopIfTrue="1" operator="lessThan">
      <formula>-0.03</formula>
    </cfRule>
  </conditionalFormatting>
  <conditionalFormatting sqref="Q110:T112 Q122:T124">
    <cfRule type="cellIs" dxfId="561" priority="109" operator="greaterThan">
      <formula>0.03</formula>
    </cfRule>
    <cfRule type="cellIs" dxfId="560" priority="110" stopIfTrue="1" operator="lessThan">
      <formula>-0.03</formula>
    </cfRule>
  </conditionalFormatting>
  <conditionalFormatting sqref="Q114:T116 Q118:T120">
    <cfRule type="cellIs" dxfId="559" priority="107" operator="greaterThan">
      <formula>0.03</formula>
    </cfRule>
    <cfRule type="cellIs" dxfId="558" priority="108" stopIfTrue="1" operator="lessThan">
      <formula>-0.03</formula>
    </cfRule>
  </conditionalFormatting>
  <conditionalFormatting sqref="Q85:T92">
    <cfRule type="cellIs" dxfId="557" priority="105" operator="greaterThan">
      <formula>0.03</formula>
    </cfRule>
    <cfRule type="cellIs" dxfId="556" priority="106" stopIfTrue="1" operator="lessThan">
      <formula>-0.03</formula>
    </cfRule>
  </conditionalFormatting>
  <conditionalFormatting sqref="Q109:T109">
    <cfRule type="cellIs" dxfId="555" priority="103" operator="greaterThan">
      <formula>0.03</formula>
    </cfRule>
    <cfRule type="cellIs" dxfId="554" priority="104" stopIfTrue="1" operator="lessThan">
      <formula>-0.03</formula>
    </cfRule>
  </conditionalFormatting>
  <conditionalFormatting sqref="Q113:T113">
    <cfRule type="cellIs" dxfId="553" priority="101" operator="greaterThan">
      <formula>0.03</formula>
    </cfRule>
    <cfRule type="cellIs" dxfId="552" priority="102" stopIfTrue="1" operator="lessThan">
      <formula>-0.03</formula>
    </cfRule>
  </conditionalFormatting>
  <conditionalFormatting sqref="Q121:T121">
    <cfRule type="cellIs" dxfId="551" priority="97" operator="greaterThan">
      <formula>0.03</formula>
    </cfRule>
    <cfRule type="cellIs" dxfId="550" priority="98" stopIfTrue="1" operator="lessThan">
      <formula>-0.03</formula>
    </cfRule>
  </conditionalFormatting>
  <conditionalFormatting sqref="Q239:T239">
    <cfRule type="cellIs" dxfId="549" priority="33" operator="greaterThan">
      <formula>0.03</formula>
    </cfRule>
    <cfRule type="cellIs" dxfId="548" priority="34" stopIfTrue="1" operator="lessThan">
      <formula>-0.03</formula>
    </cfRule>
  </conditionalFormatting>
  <conditionalFormatting sqref="Q215:T218 Q223:T230 Q203:T206">
    <cfRule type="cellIs" dxfId="547" priority="47" operator="greaterThan">
      <formula>0.03</formula>
    </cfRule>
    <cfRule type="cellIs" dxfId="546" priority="48" stopIfTrue="1" operator="lessThan">
      <formula>-0.03</formula>
    </cfRule>
  </conditionalFormatting>
  <conditionalFormatting sqref="Q219:T222">
    <cfRule type="cellIs" dxfId="545" priority="45" operator="greaterThan">
      <formula>0.03</formula>
    </cfRule>
    <cfRule type="cellIs" dxfId="544" priority="46" stopIfTrue="1" operator="lessThan">
      <formula>-0.03</formula>
    </cfRule>
  </conditionalFormatting>
  <conditionalFormatting sqref="Q232:T234 Q244:T246">
    <cfRule type="cellIs" dxfId="543" priority="43" operator="greaterThan">
      <formula>0.03</formula>
    </cfRule>
    <cfRule type="cellIs" dxfId="542" priority="44" stopIfTrue="1" operator="lessThan">
      <formula>-0.03</formula>
    </cfRule>
  </conditionalFormatting>
  <conditionalFormatting sqref="Q236:T238 Q240:T242">
    <cfRule type="cellIs" dxfId="541" priority="41" operator="greaterThan">
      <formula>0.03</formula>
    </cfRule>
    <cfRule type="cellIs" dxfId="540" priority="42" stopIfTrue="1" operator="lessThan">
      <formula>-0.03</formula>
    </cfRule>
  </conditionalFormatting>
  <conditionalFormatting sqref="Q207:T214">
    <cfRule type="cellIs" dxfId="539" priority="39" operator="greaterThan">
      <formula>0.03</formula>
    </cfRule>
    <cfRule type="cellIs" dxfId="538" priority="40" stopIfTrue="1" operator="lessThan">
      <formula>-0.03</formula>
    </cfRule>
  </conditionalFormatting>
  <conditionalFormatting sqref="Q231:T231">
    <cfRule type="cellIs" dxfId="537" priority="37" operator="greaterThan">
      <formula>0.03</formula>
    </cfRule>
    <cfRule type="cellIs" dxfId="536" priority="38" stopIfTrue="1" operator="lessThan">
      <formula>-0.03</formula>
    </cfRule>
  </conditionalFormatting>
  <conditionalFormatting sqref="Q235:T235">
    <cfRule type="cellIs" dxfId="535" priority="35" operator="greaterThan">
      <formula>0.03</formula>
    </cfRule>
    <cfRule type="cellIs" dxfId="534" priority="36" stopIfTrue="1" operator="lessThan">
      <formula>-0.03</formula>
    </cfRule>
  </conditionalFormatting>
  <conditionalFormatting sqref="Q243:T243">
    <cfRule type="cellIs" dxfId="533" priority="31" operator="greaterThan">
      <formula>0.03</formula>
    </cfRule>
    <cfRule type="cellIs" dxfId="53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100</v>
      </c>
    </row>
    <row r="2" spans="1:21" x14ac:dyDescent="0.25">
      <c r="A2" t="s">
        <v>86</v>
      </c>
    </row>
    <row r="3" spans="1:21" x14ac:dyDescent="0.25">
      <c r="A3" t="s">
        <v>90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67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-0.39414722512323364</v>
      </c>
      <c r="R9" s="8">
        <f>bdrate(C9:C12,E9:E12,J9:J12,L9:L12)</f>
        <v>-0.56909991517060055</v>
      </c>
      <c r="S9" s="8">
        <f>bdrate(C9:C12,F9:F12,J9:J12,M9:M12)</f>
        <v>-0.54659185907536201</v>
      </c>
      <c r="T9" s="25">
        <f>bdrate(C9:C12,H9:H12,J9:J12,O9:O12)</f>
        <v>-0.42058017519754698</v>
      </c>
      <c r="U9" s="28">
        <f t="shared" ref="U9:U72" si="2">(N9-G9)/G9</f>
        <v>-1.1709183673469402E-2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1.6636568848758589E-2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9.0582524271844642E-2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0.25582417582417583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-0.28107853049388098</v>
      </c>
      <c r="R13" s="8">
        <f>bdrate(C13:C16,E13:E16,J13:J16,L13:L16)</f>
        <v>-0.43460632252049802</v>
      </c>
      <c r="S13" s="8">
        <f>bdrate(C13:C16,F13:F16,J13:J16,M13:M16)</f>
        <v>-0.51866125533200091</v>
      </c>
      <c r="T13" s="25">
        <f>bdrate(C13:C16,H13:H16,J13:J16,O13:O16)</f>
        <v>-0.30764583305399062</v>
      </c>
      <c r="U13" s="28">
        <f t="shared" si="2"/>
        <v>-0.19569999999999999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-0.15350299401197598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-0.1030051813471502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-0.16531380753138084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-0.3483246912485275</v>
      </c>
      <c r="R17" s="8">
        <f>bdrate(C17:C20,E17:E20,J17:J20,L17:L20)</f>
        <v>-0.39202921600673579</v>
      </c>
      <c r="S17" s="8">
        <f>bdrate(C17:C20,F17:F20,J17:J20,M17:M20)</f>
        <v>-0.48406182627428018</v>
      </c>
      <c r="T17" s="25">
        <f>bdrate(C17:C20,H17:H20,J17:J20,O17:O20)</f>
        <v>-0.36270692177342279</v>
      </c>
      <c r="U17" s="28">
        <f t="shared" si="2"/>
        <v>2.9510961214165382E-2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8.7477744807121643E-2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0.15272264631043247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0.22258474576271192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-0.30975630128729159</v>
      </c>
      <c r="R21" s="8">
        <f>bdrate(C21:C24,E21:E24,J21:J24,L21:L24)</f>
        <v>-0.52179592824742826</v>
      </c>
      <c r="S21" s="8">
        <f>bdrate(C21:C24,F21:F24,J21:J24,M21:M24)</f>
        <v>-0.51511914283305094</v>
      </c>
      <c r="T21" s="25">
        <f>bdrate(C21:C24,H21:H24,J21:J24,O21:O24)</f>
        <v>-0.34491769460730182</v>
      </c>
      <c r="U21" s="28">
        <f t="shared" si="2"/>
        <v>-9.9726027397260372E-2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1.6954102920723118E-2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0.15112207151664614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0.26763636363636362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-0.45463823751572285</v>
      </c>
      <c r="R25" s="8">
        <f>bdrate(C25:C28,E25:E28,J25:J28,L25:L28)</f>
        <v>-0.57514455148240429</v>
      </c>
      <c r="S25" s="8">
        <f>bdrate(C25:C28,F25:F28,J25:J28,M25:M28)</f>
        <v>-0.61222857369355477</v>
      </c>
      <c r="T25" s="25">
        <f>bdrate(C25:C28,H25:H28,J25:J28,O25:O28)</f>
        <v>-0.47786221788138372</v>
      </c>
      <c r="U25" s="28">
        <f t="shared" si="2"/>
        <v>7.1308900523560148E-2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0.17494186046511631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0.27159521435692924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0.39743174061433445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-0.47946955674972391</v>
      </c>
      <c r="R29" s="8">
        <f>bdrate(C29:C32,E29:E32,J29:J32,L29:L32)</f>
        <v>-0.63878032981973099</v>
      </c>
      <c r="S29" s="8">
        <f>bdrate(C29:C32,F29:F32,J29:J32,M29:M32)</f>
        <v>-0.58241462032290825</v>
      </c>
      <c r="T29" s="25">
        <f>bdrate(C29:C32,H29:H32,J29:J32,O29:O32)</f>
        <v>-0.50185110546954514</v>
      </c>
      <c r="U29" s="28">
        <f t="shared" si="2"/>
        <v>1.8535502958579909E-2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7.6109693877551052E-2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0.120835978835979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0.18849056603773576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-0.58603471231574278</v>
      </c>
      <c r="R33" s="8">
        <f>bdrate(C33:C36,E33:E36,J33:J36,L33:L36)</f>
        <v>-0.704877729708972</v>
      </c>
      <c r="S33" s="8">
        <f>bdrate(C33:C36,F33:F36,J33:J36,M33:M36)</f>
        <v>-0.66332641892795208</v>
      </c>
      <c r="T33" s="25">
        <f>bdrate(C33:C36,H33:H36,J33:J36,O33:O36)</f>
        <v>-0.60097666667675109</v>
      </c>
      <c r="U33" s="28">
        <f t="shared" si="2"/>
        <v>0.25607748184019369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0.42407284768211922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0.60565217391304349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0.73918594687232209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-0.4204005375300498</v>
      </c>
      <c r="R37" s="8">
        <f>bdrate(C37:C40,E37:E40,J37:J40,L37:L40)</f>
        <v>-0.58849845607445006</v>
      </c>
      <c r="S37" s="8">
        <f>bdrate(C37:C40,F37:F40,J37:J40,M37:M40)</f>
        <v>-0.54830311677351351</v>
      </c>
      <c r="T37" s="25">
        <f>bdrate(C37:C40,H37:H40,J37:J40,O37:O40)</f>
        <v>-0.45220937921180804</v>
      </c>
      <c r="U37" s="28">
        <f t="shared" si="2"/>
        <v>-0.3078184764991897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-0.26177777777777778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-0.22478827361563508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-0.17236628511966695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-0.37484075988252741</v>
      </c>
      <c r="R41" s="8">
        <f>bdrate(C41:C44,E41:E44,J41:J44,L41:L44)</f>
        <v>-0.50968598413051058</v>
      </c>
      <c r="S41" s="8">
        <f>bdrate(C41:C44,F41:F44,J41:J44,M41:M44)</f>
        <v>-0.50067292008042108</v>
      </c>
      <c r="T41" s="25">
        <f>bdrate(C41:C44,H41:H44,J41:J44,O41:O44)</f>
        <v>-0.39774994147189802</v>
      </c>
      <c r="U41" s="28">
        <f t="shared" si="2"/>
        <v>-0.25252525252525254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-0.18248810153358017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-0.10492530234764053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-7.4654667224780986E-3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-0.39183429626989041</v>
      </c>
      <c r="R45" s="8">
        <f>bdrate(C45:C48,E45:E48,J45:J48,L45:L48)</f>
        <v>-0.55984225863101678</v>
      </c>
      <c r="S45" s="8">
        <f>bdrate(C45:C48,F45:F48,J45:J48,M45:M48)</f>
        <v>-0.55517153474854553</v>
      </c>
      <c r="T45" s="25">
        <f>bdrate(C45:C48,H45:H48,J45:J48,O45:O48)</f>
        <v>-0.41860741377032529</v>
      </c>
      <c r="U45" s="28">
        <f t="shared" si="2"/>
        <v>-0.20174950948332243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-9.3848704038577493E-2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3.6015709642470084E-2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0.1485250596658711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-0.16400907621259309</v>
      </c>
      <c r="R49" s="8">
        <f>bdrate(C49:C52,E49:E52,J49:J52,L49:L52)</f>
        <v>-0.32889958346702453</v>
      </c>
      <c r="S49" s="8">
        <f>bdrate(C49:C52,F49:F52,J49:J52,M49:M52)</f>
        <v>-0.30683299283441012</v>
      </c>
      <c r="T49" s="25">
        <f>bdrate(C49:C52,H49:H52,J49:J52,O49:O52)</f>
        <v>-0.18740399070226699</v>
      </c>
      <c r="U49" s="28">
        <f t="shared" si="2"/>
        <v>-0.29479678427869582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-0.24229783827061657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-0.18165487977369166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-9.7581085177326485E-2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-0.21028355044848546</v>
      </c>
      <c r="R53" s="8">
        <f>bdrate(C53:C56,E53:E56,J53:J56,L53:L56)</f>
        <v>-0.40877056023183089</v>
      </c>
      <c r="S53" s="8">
        <f>bdrate(C53:C56,F53:F56,J53:J56,M53:M56)</f>
        <v>-0.35806684634082064</v>
      </c>
      <c r="T53" s="25">
        <f>bdrate(C53:C56,H53:H56,J53:J56,O53:O56)</f>
        <v>-0.24051289526914099</v>
      </c>
      <c r="U53" s="28">
        <f t="shared" si="2"/>
        <v>-0.30180936313791656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-0.25878779342723007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-0.20564279268192628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-9.9885161876338099E-2</v>
      </c>
    </row>
    <row r="57" spans="1:21" x14ac:dyDescent="0.25">
      <c r="B57" s="6" t="s">
        <v>119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-0.48592104325277741</v>
      </c>
      <c r="R57" s="8">
        <f>bdrate(C57:C60,E57:E60,J57:J60,L57:L60)</f>
        <v>-0.5664027342979967</v>
      </c>
      <c r="S57" s="8">
        <f>bdrate(C57:C60,F57:F60,J57:J60,M57:M60)</f>
        <v>-0.63270197702599118</v>
      </c>
      <c r="T57" s="25">
        <f>bdrate(C57:C60,H57:H60,J57:J60,O57:O60)</f>
        <v>-0.50666493199400664</v>
      </c>
      <c r="U57" s="28">
        <f t="shared" si="2"/>
        <v>-0.26650677378701948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-0.17287559435100416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-1.5988916491496415E-2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0.34821515892420535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-0.24818556628597721</v>
      </c>
      <c r="R61" s="8">
        <f>bdrate(C61:C64,E61:E64,J61:J64,L61:L64)</f>
        <v>-0.48553665904408583</v>
      </c>
      <c r="S61" s="8">
        <f>bdrate(C61:C64,F61:F64,J61:J64,M61:M64)</f>
        <v>-0.53716969648826873</v>
      </c>
      <c r="T61" s="25">
        <f>bdrate(C61:C64,H61:H64,J61:J64,O61:O64)</f>
        <v>-0.29874301620577237</v>
      </c>
      <c r="U61" s="28">
        <f t="shared" si="2"/>
        <v>-0.22771829983994299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-0.12950547654078795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-8.5095436922159335E-3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0.22860179469229297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-9.4062942342280187E-2</v>
      </c>
      <c r="R65" s="8">
        <f>bdrate(C65:C68,E65:E68,J65:J68,L65:L68)</f>
        <v>-0.33004357799133832</v>
      </c>
      <c r="S65" s="8">
        <f>bdrate(C65:C68,F65:F68,J65:J68,M65:M68)</f>
        <v>-0.30758458257249777</v>
      </c>
      <c r="T65" s="25">
        <f>bdrate(C65:C68,H65:H68,J65:J68,O65:O68)</f>
        <v>-0.1335524283341385</v>
      </c>
      <c r="U65" s="28">
        <f t="shared" si="2"/>
        <v>-0.31595095367847414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-0.25091901840490799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-0.16666848656911984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-1.7394801980198087E-2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-0.37985901337851913</v>
      </c>
      <c r="R69" s="8">
        <f>bdrate(C69:C72,E69:E72,J69:J72,L69:L72)</f>
        <v>-0.55568514555078297</v>
      </c>
      <c r="S69" s="8">
        <f>bdrate(C69:C72,F69:F72,J69:J72,M69:M72)</f>
        <v>-0.5435206930994203</v>
      </c>
      <c r="T69" s="25">
        <f>bdrate(C69:C72,H69:H72,J69:J72,O69:O72)</f>
        <v>-0.41801735753549607</v>
      </c>
      <c r="U69" s="28">
        <f t="shared" si="2"/>
        <v>-8.9316872427983571E-2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3.0409711684370278E-2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0.20458843537414981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0.37763950892857134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-0.55657815836989077</v>
      </c>
      <c r="R73" s="8">
        <f>bdrate(C73:C76,E73:E76,J73:J76,L73:L76)</f>
        <v>-0.72795823500513512</v>
      </c>
      <c r="S73" s="8">
        <f>bdrate(C73:C76,F73:F76,J73:J76,M73:M76)</f>
        <v>-0.7605996245924832</v>
      </c>
      <c r="T73" s="25">
        <f>bdrate(C73:C76,H73:H76,J73:J76,O73:O76)</f>
        <v>-0.61919261441945839</v>
      </c>
      <c r="U73" s="28">
        <f t="shared" ref="U73:U91" si="3">(N73-G73)/G73</f>
        <v>0.100386764073915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0.26494636471990451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0.48604024434063958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0.72546698393813214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-0.4396609896621545</v>
      </c>
      <c r="R77" s="8">
        <f>bdrate(C77:C80,E77:E80,J77:J80,L77:L80)</f>
        <v>-0.63308529379801814</v>
      </c>
      <c r="S77" s="8">
        <f>bdrate(C77:C80,F77:F80,J77:J80,M77:M80)</f>
        <v>-0.64481412112364622</v>
      </c>
      <c r="T77" s="25">
        <f>bdrate(C77:C80,H77:H80,J77:J80,O77:O80)</f>
        <v>-0.49672869462631264</v>
      </c>
      <c r="U77" s="28">
        <f t="shared" si="3"/>
        <v>3.2712018140589542E-2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0.17152029826014911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0.37033929222911344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0.53961327561327566</v>
      </c>
    </row>
    <row r="81" spans="1:21" x14ac:dyDescent="0.25">
      <c r="A81" s="6" t="s">
        <v>102</v>
      </c>
      <c r="B81" s="6" t="s">
        <v>103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-0.52860489652018727</v>
      </c>
      <c r="R81" s="8">
        <f>bdrate(C81:C84,E81:E84,J81:J84,L81:L84)</f>
        <v>-0.69715428584211336</v>
      </c>
      <c r="S81" s="8">
        <f>bdrate(C81:C84,F81:F84,J81:J84,M81:M84)</f>
        <v>-0.64071248831528815</v>
      </c>
      <c r="T81" s="25">
        <f>bdrate(C81:C84,H81:H84,J81:J84,O81:O84)</f>
        <v>-0.56039070101260835</v>
      </c>
      <c r="U81" s="28">
        <f t="shared" si="3"/>
        <v>-0.22623082054703131</v>
      </c>
    </row>
    <row r="82" spans="1:21" x14ac:dyDescent="0.25">
      <c r="A82" s="9" t="s">
        <v>78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-0.18040694195092766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-9.6817702845100204E-2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2.0252029047415632E-2</v>
      </c>
    </row>
    <row r="85" spans="1:21" x14ac:dyDescent="0.25">
      <c r="B85" s="6" t="s">
        <v>104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-0.16371589412923193</v>
      </c>
      <c r="R85" s="8">
        <f>bdrate(C85:C88,E85:E88,J85:J88,L85:L88)</f>
        <v>-0.2287587052704726</v>
      </c>
      <c r="S85" s="8">
        <f>bdrate(C85:C88,F85:F88,J85:J88,M85:M88)</f>
        <v>-0.2334721973224746</v>
      </c>
      <c r="T85" s="25">
        <f>bdrate(C85:C88,H85:H88,J85:J88,O85:O88)</f>
        <v>-0.18067706163737973</v>
      </c>
      <c r="U85" s="28">
        <f t="shared" si="3"/>
        <v>-0.37784900885702233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-0.25802928373565487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-0.1831895594224362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-2.5820820820820805E-2</v>
      </c>
    </row>
    <row r="89" spans="1:21" x14ac:dyDescent="0.25">
      <c r="B89" s="6" t="s">
        <v>105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-0.34039746506468804</v>
      </c>
      <c r="R89" s="8">
        <f>bdrate(C89:C92,E89:E92,J89:J92,L89:L92)</f>
        <v>-0.39572690897680207</v>
      </c>
      <c r="S89" s="8">
        <f>bdrate(C89:C92,F89:F92,J89:J92,M89:M92)</f>
        <v>-0.37686965008525264</v>
      </c>
      <c r="T89" s="25">
        <f>bdrate(C89:C92,H89:H92,J89:J92,O89:O92)</f>
        <v>-0.34925570761210756</v>
      </c>
      <c r="U89" s="28">
        <f t="shared" si="3"/>
        <v>-0.17267945205479457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-9.3016344725111444E-2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-2.3958868894601568E-2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6.3408774373259105E-2</v>
      </c>
    </row>
    <row r="93" spans="1:21" x14ac:dyDescent="0.25">
      <c r="B93" s="6" t="s">
        <v>106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-0.27272345732587244</v>
      </c>
      <c r="R93" s="8">
        <f>bdrate(C93:C96,E93:E96,J93:J96,L93:L96)</f>
        <v>-0.31797398026877921</v>
      </c>
      <c r="S93" s="8">
        <f>bdrate(C93:C96,F93:F96,J93:J96,M93:M96)</f>
        <v>-0.31782178775689662</v>
      </c>
      <c r="T93" s="25">
        <f>bdrate(C93:C96,H93:H96,J93:J96,O93:O96)</f>
        <v>-0.28087133221557004</v>
      </c>
      <c r="U93" s="28">
        <f t="shared" si="8"/>
        <v>-0.10903807615230465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-3.1848024316109384E-2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3.6698014629049154E-2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0.14770913770913777</v>
      </c>
    </row>
    <row r="97" spans="2:21" x14ac:dyDescent="0.25">
      <c r="B97" s="6" t="s">
        <v>107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-0.2569451508148064</v>
      </c>
      <c r="R97" s="8">
        <f>bdrate(C97:C100,E97:E100,J97:J100,L97:L100)</f>
        <v>-0.46103206538012886</v>
      </c>
      <c r="S97" s="8">
        <f>bdrate(C97:C100,F97:F100,J97:J100,M97:M100)</f>
        <v>-0.45192129205574993</v>
      </c>
      <c r="T97" s="25">
        <f>bdrate(C97:C100,H97:H100,J97:J100,O97:O100)</f>
        <v>-0.29635919483932471</v>
      </c>
      <c r="U97" s="28">
        <f t="shared" si="8"/>
        <v>-0.22325146823278161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-0.15912348668280862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-6.8329708568942951E-2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5.1574716843259039E-2</v>
      </c>
    </row>
    <row r="101" spans="2:21" x14ac:dyDescent="0.25">
      <c r="B101" s="6" t="s">
        <v>108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-0.2558950971063102</v>
      </c>
      <c r="R101" s="8">
        <f>bdrate(C101:C104,E101:E104,J101:J104,L101:L104)</f>
        <v>-0.39852244301716577</v>
      </c>
      <c r="S101" s="8">
        <f>bdrate(C101:C104,F101:F104,J101:J104,M101:M104)</f>
        <v>-0.33273817400038874</v>
      </c>
      <c r="T101" s="25">
        <f>bdrate(C101:C104,H101:H104,J101:J104,O101:O104)</f>
        <v>-0.27912749520058411</v>
      </c>
      <c r="U101" s="28">
        <f t="shared" si="8"/>
        <v>6.0491929285165322E-2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0.12869565217391302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0.2250891316848764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0.30148630444544239</v>
      </c>
    </row>
    <row r="105" spans="2:21" x14ac:dyDescent="0.25">
      <c r="B105" s="6" t="s">
        <v>109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-0.44770640896802028</v>
      </c>
      <c r="R105" s="8">
        <f>bdrate(C105:C108,E105:E108,J105:J108,L105:L108)</f>
        <v>-0.52018657549678693</v>
      </c>
      <c r="S105" s="8">
        <f>bdrate(C105:C108,F105:F108,J105:J108,M105:M108)</f>
        <v>-0.5230875089147401</v>
      </c>
      <c r="T105" s="25">
        <f>bdrate(C105:C108,H105:H108,J105:J108,O105:O108)</f>
        <v>-0.46602520880839782</v>
      </c>
      <c r="U105" s="28">
        <f t="shared" si="8"/>
        <v>-3.0356516656925833E-2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2.9675425038639902E-2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6.3413910093299428E-2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6.9644916540212293E-2</v>
      </c>
    </row>
    <row r="109" spans="2:21" x14ac:dyDescent="0.25">
      <c r="B109" s="6" t="s">
        <v>110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-0.32452464452259233</v>
      </c>
      <c r="R109" s="8">
        <f>bdrate(C109:C112,E109:E112,J109:J112,L109:L112)</f>
        <v>-0.35214452593607126</v>
      </c>
      <c r="S109" s="8">
        <f>bdrate(C109:C112,F109:F112,J109:J112,M109:M112)</f>
        <v>-0.38830362575626109</v>
      </c>
      <c r="T109" s="25">
        <f>bdrate(C109:C112,H109:H112,J109:J112,O109:O112)</f>
        <v>-0.33254830012272896</v>
      </c>
      <c r="U109" s="28">
        <f t="shared" si="8"/>
        <v>-0.25996521739130429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-0.2177735271614385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-0.14891891891891892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-6.7703125000000058E-2</v>
      </c>
    </row>
    <row r="113" spans="2:21" x14ac:dyDescent="0.25">
      <c r="B113" s="6" t="s">
        <v>111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-0.2528764470085143</v>
      </c>
      <c r="R113" s="8">
        <f>bdrate(C113:C116,E113:E116,J113:J116,L113:L116)</f>
        <v>-0.33066023483786067</v>
      </c>
      <c r="S113" s="8">
        <f>bdrate(C113:C116,F113:F116,J113:J116,M113:M116)</f>
        <v>-0.35471855907623973</v>
      </c>
      <c r="T113" s="25">
        <f>bdrate(C113:C116,H113:H116,J113:J116,O113:O116)</f>
        <v>-0.2731863846430852</v>
      </c>
      <c r="U113" s="28">
        <f t="shared" si="8"/>
        <v>-0.31199324324324323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-0.17847844827586204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-7.1839940164547478E-2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2.109703337453659E-2</v>
      </c>
    </row>
    <row r="117" spans="2:21" x14ac:dyDescent="0.25">
      <c r="B117" s="6" t="s">
        <v>112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-0.3598597863340276</v>
      </c>
      <c r="R117" s="8">
        <f>bdrate(C117:C120,E117:E120,J117:J120,L117:L120)</f>
        <v>-0.43151398755897474</v>
      </c>
      <c r="S117" s="8">
        <f>bdrate(C117:C120,F117:F120,J117:J120,M117:M120)</f>
        <v>-0.42951107276261724</v>
      </c>
      <c r="T117" s="25">
        <f>bdrate(C117:C120,H117:H120,J117:J120,O117:O120)</f>
        <v>-0.37633544047480216</v>
      </c>
      <c r="U117" s="28">
        <f t="shared" si="8"/>
        <v>-0.20965626413387609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-0.13843988741455573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-0.17263610315186245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9.4646971935007415E-2</v>
      </c>
    </row>
    <row r="121" spans="2:21" x14ac:dyDescent="0.25">
      <c r="B121" s="6" t="s">
        <v>113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-0.25521851855492317</v>
      </c>
      <c r="R121" s="8">
        <f>bdrate(C121:C124,E121:E124,J121:J124,L121:L124)</f>
        <v>-0.34303487163514368</v>
      </c>
      <c r="S121" s="8">
        <f>bdrate(C121:C124,F121:F124,J121:J124,M121:M124)</f>
        <v>-0.33508251866454941</v>
      </c>
      <c r="T121" s="25">
        <f>bdrate(C121:C124,H121:H124,J121:J124,O121:O124)</f>
        <v>-0.26908435918982299</v>
      </c>
      <c r="U121" s="28">
        <f t="shared" si="8"/>
        <v>-0.30243502051983584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-0.2166153846153846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-0.13998392282958208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-6.3001707941929982E-2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-0.34750182602477386</v>
      </c>
      <c r="R125" s="21">
        <f>AVERAGE(R9:R124)</f>
        <v>-0.48301555397927093</v>
      </c>
      <c r="S125" s="21">
        <f>AVERAGE(S9:S124)</f>
        <v>-0.48283036816722702</v>
      </c>
      <c r="T125" s="21">
        <f>AVERAGE(T9:T124)</f>
        <v>-0.37413049875713716</v>
      </c>
      <c r="U125" s="21">
        <f>AVERAGE(U9:U124)</f>
        <v>-5.4113206443594233E-3</v>
      </c>
    </row>
    <row r="127" spans="2:21" s="35" customFormat="1" ht="15.75" customHeight="1" x14ac:dyDescent="0.25">
      <c r="B127" s="51" t="s">
        <v>29</v>
      </c>
      <c r="C127" s="56" t="s">
        <v>128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82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-0.43100350943720367</v>
      </c>
      <c r="R131" s="8">
        <f>bdrate(C131:C134,E131:E134,J131:J134,L131:L134)</f>
        <v>-0.57157517385249113</v>
      </c>
      <c r="S131" s="8">
        <f>bdrate(C131:C134,F131:F134,J131:J134,M131:M134)</f>
        <v>-0.55190277913085994</v>
      </c>
      <c r="T131" s="25">
        <f>bdrate(C131:C134,H131:H134,J131:J134,O131:O134)</f>
        <v>-0.4516937615225477</v>
      </c>
      <c r="U131" s="28">
        <f t="shared" ref="U131:U194" si="11">(N131-G131)/G131</f>
        <v>4.462521294718904E-2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0.161003086419753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0.3115528396836808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0.72104761904761905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-0.39526275314120463</v>
      </c>
      <c r="R135" s="8">
        <f>bdrate(C135:C138,E135:E138,J135:J138,L135:L138)</f>
        <v>-0.51087628325530754</v>
      </c>
      <c r="S135" s="8">
        <f>bdrate(C135:C138,F135:F138,J135:J138,M135:M138)</f>
        <v>-0.59560171883556956</v>
      </c>
      <c r="T135" s="25">
        <f>bdrate(C135:C138,H135:H138,J135:J138,O135:O138)</f>
        <v>-0.41823314770476738</v>
      </c>
      <c r="U135" s="28">
        <f t="shared" si="11"/>
        <v>-0.11237417943107229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-2.8753709198812989E-2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7.7784753363228709E-2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9.4452495974235093E-2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-0.35686242132713564</v>
      </c>
      <c r="R139" s="8">
        <f>bdrate(C139:C142,E139:E142,J139:J142,L139:L142)</f>
        <v>-0.41962184314934781</v>
      </c>
      <c r="S139" s="8">
        <f>bdrate(C139:C142,F139:F142,J139:J142,M139:M142)</f>
        <v>-0.50293679232140898</v>
      </c>
      <c r="T139" s="25">
        <f>bdrate(C139:C142,H139:H142,J139:J142,O139:O142)</f>
        <v>-0.37348129534421781</v>
      </c>
      <c r="U139" s="28">
        <f t="shared" si="11"/>
        <v>0.10120107238605916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0.21418001885014148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0.31283857442348001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0.47917479369842469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-0.32247532344961349</v>
      </c>
      <c r="R143" s="8">
        <f>bdrate(C143:C146,E143:E146,J143:J146,L143:L146)</f>
        <v>-0.53775966032880129</v>
      </c>
      <c r="S143" s="8">
        <f>bdrate(C143:C146,F143:F146,J143:J146,M143:M146)</f>
        <v>-0.53252997443791927</v>
      </c>
      <c r="T143" s="25">
        <f>bdrate(C143:C146,H143:H146,J143:J146,O143:O146)</f>
        <v>-0.36017904337282014</v>
      </c>
      <c r="U143" s="28">
        <f t="shared" si="11"/>
        <v>-3.8976535197204169E-2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6.9563128003494887E-2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0.20142800318217979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0.37808184143222501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-0.43340734365745204</v>
      </c>
      <c r="R147" s="8">
        <f>bdrate(C147:C150,E147:E150,J147:J150,L147:L150)</f>
        <v>-0.56804295635464064</v>
      </c>
      <c r="S147" s="8">
        <f>bdrate(C147:C150,F147:F150,J147:J150,M147:M150)</f>
        <v>-0.60124123046810418</v>
      </c>
      <c r="T147" s="25">
        <f>bdrate(C147:C150,H147:H150,J147:J150,O147:O150)</f>
        <v>-0.45883104949938602</v>
      </c>
      <c r="U147" s="28">
        <f t="shared" si="11"/>
        <v>0.13178310316815592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0.2593199268738573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0.39613239247311832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0.67626806833114306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-0.4608301787645811</v>
      </c>
      <c r="R151" s="8">
        <f>bdrate(C151:C154,E151:E154,J151:J154,L151:L154)</f>
        <v>-0.6264176626285729</v>
      </c>
      <c r="S151" s="8">
        <f>bdrate(C151:C154,F151:F154,J151:J154,M151:M154)</f>
        <v>-0.56183229014109948</v>
      </c>
      <c r="T151" s="25">
        <f>bdrate(C151:C154,H151:H154,J151:J154,O151:O154)</f>
        <v>-0.48367589364781294</v>
      </c>
      <c r="U151" s="28">
        <f t="shared" si="11"/>
        <v>-7.3834794646977448E-3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7.1593450479233225E-2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0.25550162984425939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0.57453903214411883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-0.57263549887184051</v>
      </c>
      <c r="R155" s="8">
        <f>bdrate(C155:C158,E155:E158,J155:J158,L155:L158)</f>
        <v>-0.69190373450883069</v>
      </c>
      <c r="S155" s="8">
        <f>bdrate(C155:C158,F155:F158,J155:J158,M155:M158)</f>
        <v>-0.65748400649117023</v>
      </c>
      <c r="T155" s="25">
        <f>bdrate(C155:C158,H155:H158,J155:J158,O155:O158)</f>
        <v>-0.58824105605078603</v>
      </c>
      <c r="U155" s="28">
        <f t="shared" si="11"/>
        <v>0.2564376400298729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0.43969914529914517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0.70588522986631874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1.040184595798854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-0.42117556528240285</v>
      </c>
      <c r="R159" s="8">
        <f>bdrate(C159:C162,E159:E162,J159:J162,L159:L162)</f>
        <v>-0.58796980480312155</v>
      </c>
      <c r="S159" s="8">
        <f>bdrate(C159:C162,F159:F162,J159:J162,M159:M162)</f>
        <v>-0.55219490211602085</v>
      </c>
      <c r="T159" s="25">
        <f>bdrate(C159:C162,H159:H162,J159:J162,O159:O162)</f>
        <v>-0.45318857069233187</v>
      </c>
      <c r="U159" s="28">
        <f t="shared" si="11"/>
        <v>-0.29452586625254779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-0.27450895509719037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-0.23457968216248326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-0.18408260675873486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-0.35806953914312323</v>
      </c>
      <c r="R163" s="8">
        <f>bdrate(C163:C166,E163:E166,J163:J166,L163:L166)</f>
        <v>-0.50312940739604484</v>
      </c>
      <c r="S163" s="8">
        <f>bdrate(C163:C166,F163:F166,J163:J166,M163:M166)</f>
        <v>-0.48631519146068403</v>
      </c>
      <c r="T163" s="25">
        <f>bdrate(C163:C166,H163:H166,J163:J166,O163:O166)</f>
        <v>-0.38185477584313687</v>
      </c>
      <c r="U163" s="28">
        <f t="shared" si="11"/>
        <v>-0.2805861089594629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-0.22685905935574457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-0.13533873977321664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-3.885227861211793E-2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-0.38443404180944751</v>
      </c>
      <c r="R167" s="8">
        <f>bdrate(C167:C170,E167:E170,J167:J170,L167:L170)</f>
        <v>-0.55689175366923038</v>
      </c>
      <c r="S167" s="8">
        <f>bdrate(C167:C170,F167:F170,J167:J170,M167:M170)</f>
        <v>-0.55561997343779845</v>
      </c>
      <c r="T167" s="25">
        <f>bdrate(C167:C170,H167:H170,J167:J170,O167:O170)</f>
        <v>-0.41242071724870821</v>
      </c>
      <c r="U167" s="28">
        <f t="shared" si="11"/>
        <v>-0.21245964642582621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-0.11954136454966362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-3.8609167387373154E-2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0.12167113364722916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-0.1686249469664598</v>
      </c>
      <c r="R171" s="8">
        <f>bdrate(C171:C174,E171:E174,J171:J174,L171:L174)</f>
        <v>-0.32922538828664483</v>
      </c>
      <c r="S171" s="8">
        <f>bdrate(C171:C174,F171:F174,J171:J174,M171:M174)</f>
        <v>-0.31236021679416626</v>
      </c>
      <c r="T171" s="25">
        <f>bdrate(C171:C174,H171:H174,J171:J174,O171:O174)</f>
        <v>-0.19246156230482903</v>
      </c>
      <c r="U171" s="28">
        <f t="shared" si="11"/>
        <v>-0.19647257260193612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-0.20013496932515346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-0.12119609349281235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-5.2078167881139427E-2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-0.19605097336274213</v>
      </c>
      <c r="R175" s="8">
        <f>bdrate(C175:C178,E175:E178,J175:J178,L175:L178)</f>
        <v>-0.397265869413299</v>
      </c>
      <c r="S175" s="8">
        <f>bdrate(C175:C178,F175:F178,J175:J178,M175:M178)</f>
        <v>-0.34418551159874688</v>
      </c>
      <c r="T175" s="25">
        <f>bdrate(C175:C178,H175:H178,J175:J178,O175:O178)</f>
        <v>-0.22664719032921488</v>
      </c>
      <c r="U175" s="28">
        <f t="shared" si="11"/>
        <v>-0.4102969532167357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-0.39025252104342029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-0.36582110259218703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-0.29569856496344715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-0.47153395840153278</v>
      </c>
      <c r="R179" s="8">
        <f>bdrate(C179:C182,E179:E182,J179:J182,L179:L182)</f>
        <v>-0.58673873251205211</v>
      </c>
      <c r="S179" s="8">
        <f>bdrate(C179:C182,F179:F182,J179:J182,M179:M182)</f>
        <v>-0.64490332630777925</v>
      </c>
      <c r="T179" s="25">
        <f>bdrate(C179:C182,H179:H182,J179:J182,O179:O182)</f>
        <v>-0.49546264840096921</v>
      </c>
      <c r="U179" s="28">
        <f t="shared" si="11"/>
        <v>-0.31035262933686758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-0.26398707531680204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-0.19732525912145479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-1.5775116433799131E-2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-0.24497840584418751</v>
      </c>
      <c r="R183" s="8">
        <f>bdrate(C183:C186,E183:E186,J183:J186,L183:L186)</f>
        <v>-0.47713749784354254</v>
      </c>
      <c r="S183" s="8">
        <f>bdrate(C183:C186,F183:F186,J183:J186,M183:M186)</f>
        <v>-0.53277759885691411</v>
      </c>
      <c r="T183" s="25">
        <f>bdrate(C183:C186,H183:H186,J183:J186,O183:O186)</f>
        <v>-0.29357574607600012</v>
      </c>
      <c r="U183" s="28">
        <f t="shared" si="11"/>
        <v>-0.28820392526996641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-0.23809330071884985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-0.19788441386851335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-5.9335692519414056E-2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-6.9335273377090112E-2</v>
      </c>
      <c r="R187" s="8">
        <f>bdrate(C187:C190,E187:E190,J187:J190,L187:L190)</f>
        <v>-0.3141430508103038</v>
      </c>
      <c r="S187" s="8">
        <f>bdrate(C187:C190,F187:F190,J187:J190,M187:M190)</f>
        <v>-0.30134625504702839</v>
      </c>
      <c r="T187" s="25">
        <f>bdrate(C187:C190,H187:H190,J187:J190,O187:O190)</f>
        <v>-0.11279612948764473</v>
      </c>
      <c r="U187" s="28">
        <f t="shared" si="11"/>
        <v>-0.44288511373452349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-0.42131365340516153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-0.36691178368611255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-0.2710536510295054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-0.35201898243710605</v>
      </c>
      <c r="R191" s="8">
        <f>bdrate(C191:C194,E191:E194,J191:J194,L191:L194)</f>
        <v>-0.53798113476074327</v>
      </c>
      <c r="S191" s="8">
        <f>bdrate(C191:C194,F191:F194,J191:J194,M191:M194)</f>
        <v>-0.52703898983854369</v>
      </c>
      <c r="T191" s="25">
        <f>bdrate(C191:C194,H191:H194,J191:J194,O191:O194)</f>
        <v>-0.39209532760939025</v>
      </c>
      <c r="U191" s="28">
        <f t="shared" si="11"/>
        <v>-0.13951515151515154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2.0447292702066459E-2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0.25516618223177051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0.72791226954863286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-0.53477721862361327</v>
      </c>
      <c r="R195" s="8">
        <f>bdrate(C195:C198,E195:E198,J195:J198,L195:L198)</f>
        <v>-0.70314173933199164</v>
      </c>
      <c r="S195" s="8">
        <f>bdrate(C195:C198,F195:F198,J195:J198,M195:M198)</f>
        <v>-0.72992225154703649</v>
      </c>
      <c r="T195" s="25">
        <f>bdrate(C195:C198,H195:H198,J195:J198,O195:O198)</f>
        <v>-0.59416374169678654</v>
      </c>
      <c r="U195" s="28">
        <f t="shared" ref="U195:U213" si="12">(N195-G195)/G195</f>
        <v>0.12278080850468608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0.38231740801757275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0.77453685941353767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1.2938821513314001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-0.41361548338727439</v>
      </c>
      <c r="R199" s="8">
        <f>bdrate(C199:C202,E199:E202,J199:J202,L199:L202)</f>
        <v>-0.60884589145535584</v>
      </c>
      <c r="S199" s="8">
        <f>bdrate(C199:C202,F199:F202,J199:J202,M199:M202)</f>
        <v>-0.62405409491194574</v>
      </c>
      <c r="T199" s="25">
        <f>bdrate(C199:C202,H199:H202,J199:J202,O199:O202)</f>
        <v>-0.47041004031445222</v>
      </c>
      <c r="U199" s="28">
        <f t="shared" si="12"/>
        <v>3.0713230950974526E-2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0.24381232091690552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0.50258091286307061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1.0755567596857223</v>
      </c>
    </row>
    <row r="203" spans="1:21" x14ac:dyDescent="0.25">
      <c r="A203" s="6" t="s">
        <v>102</v>
      </c>
      <c r="B203" s="6" t="s">
        <v>103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-0.51413096741317943</v>
      </c>
      <c r="R203" s="8">
        <f>bdrate(C203:C206,E203:E206,J203:J206,L203:L206)</f>
        <v>-0.69452210958941385</v>
      </c>
      <c r="S203" s="8">
        <f>bdrate(C203:C206,F203:F206,J203:J206,M203:M206)</f>
        <v>-0.62220694165197843</v>
      </c>
      <c r="T203" s="25">
        <f>bdrate(C203:C206,H203:H206,J203:J206,O203:O206)</f>
        <v>-0.54661921459557272</v>
      </c>
      <c r="U203" s="28">
        <f t="shared" si="12"/>
        <v>-0.20739112315065639</v>
      </c>
    </row>
    <row r="204" spans="1:21" x14ac:dyDescent="0.25">
      <c r="A204" s="9" t="s">
        <v>78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-0.14263477600607447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-6.1443958263211092E-2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0.10188273801053084</v>
      </c>
    </row>
    <row r="207" spans="1:21" x14ac:dyDescent="0.25">
      <c r="B207" s="6" t="s">
        <v>104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-0.15553153400221431</v>
      </c>
      <c r="R207" s="8">
        <f>bdrate(C207:C210,E207:E210,J207:J210,L207:L210)</f>
        <v>-0.22019642685135576</v>
      </c>
      <c r="S207" s="8">
        <f>bdrate(C207:C210,F207:F210,J207:J210,M207:M210)</f>
        <v>-0.22221731273043432</v>
      </c>
      <c r="T207" s="25">
        <f>bdrate(C207:C210,H207:H210,J207:J210,O207:O210)</f>
        <v>-0.17149047726671574</v>
      </c>
      <c r="U207" s="28">
        <f t="shared" si="12"/>
        <v>-0.36667425643944784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-0.34886044810850342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-0.18297455230914242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-5.4176671374764472E-2</v>
      </c>
    </row>
    <row r="211" spans="2:21" x14ac:dyDescent="0.25">
      <c r="B211" s="6" t="s">
        <v>105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-0.32847099675250013</v>
      </c>
      <c r="R211" s="8">
        <f>bdrate(C211:C214,E211:E214,J211:J214,L211:L214)</f>
        <v>-0.38524370140550168</v>
      </c>
      <c r="S211" s="8">
        <f>bdrate(C211:C214,F211:F214,J211:J214,M211:M214)</f>
        <v>-0.36598256507529581</v>
      </c>
      <c r="T211" s="25">
        <f>bdrate(C211:C214,H211:H214,J211:J214,O211:O214)</f>
        <v>-0.3375630032643635</v>
      </c>
      <c r="U211" s="28">
        <f t="shared" si="12"/>
        <v>-0.17082740213523137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-0.11562147348057399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-2.152712952158687E-2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0.15972568902756115</v>
      </c>
    </row>
    <row r="215" spans="2:21" x14ac:dyDescent="0.25">
      <c r="B215" s="6" t="s">
        <v>106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-0.26665946156261566</v>
      </c>
      <c r="R215" s="8">
        <f>bdrate(C215:C218,E215:E218,J215:J218,L215:L218)</f>
        <v>-0.30936037689411122</v>
      </c>
      <c r="S215" s="8">
        <f>bdrate(C215:C218,F215:F218,J215:J218,M215:M218)</f>
        <v>-0.30997518087551279</v>
      </c>
      <c r="T215" s="25">
        <f>bdrate(C215:C218,H215:H218,J215:J218,O215:O218)</f>
        <v>-0.27440605845206079</v>
      </c>
      <c r="U215" s="28">
        <f t="shared" si="17"/>
        <v>-0.12617965367965372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-6.3804139517056269E-2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7.5529165211316862E-2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0.25883051621745085</v>
      </c>
    </row>
    <row r="219" spans="2:21" x14ac:dyDescent="0.25">
      <c r="B219" s="6" t="s">
        <v>107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-0.23739160586292907</v>
      </c>
      <c r="R219" s="8">
        <f>bdrate(C219:C222,E219:E222,J219:J222,L219:L222)</f>
        <v>-0.44800886113205274</v>
      </c>
      <c r="S219" s="8">
        <f>bdrate(C219:C222,F219:F222,J219:J222,M219:M222)</f>
        <v>-0.43871223509646573</v>
      </c>
      <c r="T219" s="25">
        <f>bdrate(C219:C222,H219:H222,J219:J222,O219:O222)</f>
        <v>-0.27808861891719616</v>
      </c>
      <c r="U219" s="28">
        <f t="shared" si="17"/>
        <v>-0.17622933520928599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-0.12968081761006292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-4.225737797956873E-2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0.13871882951653947</v>
      </c>
    </row>
    <row r="223" spans="2:21" x14ac:dyDescent="0.25">
      <c r="B223" s="6" t="s">
        <v>108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-0.24156894961103503</v>
      </c>
      <c r="R223" s="8">
        <f>bdrate(C223:C226,E223:E226,J223:J226,L223:L226)</f>
        <v>-0.39827919121041588</v>
      </c>
      <c r="S223" s="8">
        <f>bdrate(C223:C226,F223:F226,J223:J226,M223:M226)</f>
        <v>-0.32573737287479865</v>
      </c>
      <c r="T223" s="25">
        <f>bdrate(C223:C226,H223:H226,J223:J226,O223:O226)</f>
        <v>-0.26722958570028932</v>
      </c>
      <c r="U223" s="28">
        <f t="shared" si="17"/>
        <v>5.8520992366412103E-2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0.11203526970954346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0.2690061045402517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0.37337292523222176</v>
      </c>
    </row>
    <row r="227" spans="2:21" x14ac:dyDescent="0.25">
      <c r="B227" s="6" t="s">
        <v>109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-0.43945425089295376</v>
      </c>
      <c r="R227" s="8">
        <f>bdrate(C227:C230,E227:E230,J227:J230,L227:L230)</f>
        <v>-0.52005501253484088</v>
      </c>
      <c r="S227" s="8">
        <f>bdrate(C227:C230,F227:F230,J227:J230,M227:M230)</f>
        <v>-0.52139691223282536</v>
      </c>
      <c r="T227" s="25">
        <f>bdrate(C227:C230,H227:H230,J227:J230,O227:O230)</f>
        <v>-0.45812394579811222</v>
      </c>
      <c r="U227" s="28">
        <f t="shared" si="17"/>
        <v>-1.1817186644772859E-2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1.2372498386055468E-2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0.10198340132226755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0.38916258064516129</v>
      </c>
    </row>
    <row r="231" spans="2:21" x14ac:dyDescent="0.25">
      <c r="B231" s="6" t="s">
        <v>110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-0.31771090546962966</v>
      </c>
      <c r="R231" s="8">
        <f>bdrate(C231:C234,E231:E234,J231:J234,L231:L234)</f>
        <v>-0.34678464043510426</v>
      </c>
      <c r="S231" s="8">
        <f>bdrate(C231:C234,F231:F234,J231:J234,M231:M234)</f>
        <v>-0.37985883580530899</v>
      </c>
      <c r="T231" s="25">
        <f>bdrate(C231:C234,H231:H234,J231:J234,O231:O234)</f>
        <v>-0.32574106242108214</v>
      </c>
      <c r="U231" s="28">
        <f t="shared" si="17"/>
        <v>-0.2089690156292843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-0.17862308429118773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-9.0164556962025355E-2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3.7337060982002464E-2</v>
      </c>
    </row>
    <row r="235" spans="2:21" x14ac:dyDescent="0.25">
      <c r="B235" s="6" t="s">
        <v>111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-0.23742188631124306</v>
      </c>
      <c r="R235" s="8">
        <f>bdrate(C235:C238,E235:E238,J235:J238,L235:L238)</f>
        <v>-0.31958024594206502</v>
      </c>
      <c r="S235" s="8">
        <f>bdrate(C235:C238,F235:F238,J235:J238,M235:M238)</f>
        <v>-0.34724040650824473</v>
      </c>
      <c r="T235" s="25">
        <f>bdrate(C235:C238,H235:H238,J235:J238,O235:O238)</f>
        <v>-0.25957352455816995</v>
      </c>
      <c r="U235" s="28">
        <f t="shared" si="17"/>
        <v>-0.28468493150684931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-0.21846070313560473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-0.10954518035951266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4.0060126582278546E-2</v>
      </c>
    </row>
    <row r="239" spans="2:21" x14ac:dyDescent="0.25">
      <c r="B239" s="6" t="s">
        <v>112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-0.34365484227348031</v>
      </c>
      <c r="R239" s="8">
        <f>bdrate(C239:C242,E239:E242,J239:J242,L239:L242)</f>
        <v>-0.41380747825666464</v>
      </c>
      <c r="S239" s="8">
        <f>bdrate(C239:C242,F239:F242,J239:J242,M239:M242)</f>
        <v>-0.41388404220975761</v>
      </c>
      <c r="T239" s="25">
        <f>bdrate(C239:C242,H239:H242,J239:J242,O239:O242)</f>
        <v>-0.35967806749195164</v>
      </c>
      <c r="U239" s="28">
        <f t="shared" si="17"/>
        <v>-0.2379498085920885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-0.1184422433753536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-0.12582065467957587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0.1404987110846718</v>
      </c>
    </row>
    <row r="243" spans="2:21" x14ac:dyDescent="0.25">
      <c r="B243" s="6" t="s">
        <v>113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-0.24172071770153147</v>
      </c>
      <c r="R243" s="8">
        <f>bdrate(C243:C246,E243:E246,J243:J246,L243:L246)</f>
        <v>-0.32505269388170432</v>
      </c>
      <c r="S243" s="8">
        <f>bdrate(C243:C246,F243:F246,J243:J246,M243:M246)</f>
        <v>-0.31561013418587869</v>
      </c>
      <c r="T243" s="25">
        <f>bdrate(C243:C246,H243:H246,J243:J246,O243:O246)</f>
        <v>-0.2548193655016604</v>
      </c>
      <c r="U243" s="28">
        <f t="shared" si="17"/>
        <v>-0.25826151560178306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-0.20063666089632623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-0.12074431426602349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5.2293048745313013E-3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-0.34175198397025247</v>
      </c>
      <c r="R247" s="21">
        <f>AVERAGE(R131:R246)</f>
        <v>-0.47963994215494998</v>
      </c>
      <c r="S247" s="21">
        <f>AVERAGE(S131:S246)</f>
        <v>-0.47851962217204469</v>
      </c>
      <c r="T247" s="21">
        <f>AVERAGE(T131:T246)</f>
        <v>-0.36871533176251653</v>
      </c>
      <c r="U247" s="21">
        <f>AVERAGE(U131:U246)</f>
        <v>3.4081886524291734E-2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531" priority="453" operator="greaterThan">
      <formula>0.03</formula>
    </cfRule>
    <cfRule type="cellIs" dxfId="530" priority="454" stopIfTrue="1" operator="lessThan">
      <formula>-0.03</formula>
    </cfRule>
  </conditionalFormatting>
  <conditionalFormatting sqref="Q33:T36">
    <cfRule type="cellIs" dxfId="529" priority="451" operator="greaterThan">
      <formula>0.03</formula>
    </cfRule>
    <cfRule type="cellIs" dxfId="528" priority="452" stopIfTrue="1" operator="lessThan">
      <formula>-0.03</formula>
    </cfRule>
  </conditionalFormatting>
  <conditionalFormatting sqref="Q46:T48 Q62:T64">
    <cfRule type="cellIs" dxfId="527" priority="449" operator="greaterThan">
      <formula>0.03</formula>
    </cfRule>
    <cfRule type="cellIs" dxfId="526" priority="450" stopIfTrue="1" operator="lessThan">
      <formula>-0.03</formula>
    </cfRule>
  </conditionalFormatting>
  <conditionalFormatting sqref="Q50:T52 Q54:T56 Q58:T60">
    <cfRule type="cellIs" dxfId="525" priority="447" operator="greaterThan">
      <formula>0.03</formula>
    </cfRule>
    <cfRule type="cellIs" dxfId="524" priority="448" stopIfTrue="1" operator="lessThan">
      <formula>-0.03</formula>
    </cfRule>
  </conditionalFormatting>
  <conditionalFormatting sqref="Q70:T72 Q74:T76">
    <cfRule type="cellIs" dxfId="523" priority="445" operator="greaterThan">
      <formula>0.03</formula>
    </cfRule>
    <cfRule type="cellIs" dxfId="522" priority="446" stopIfTrue="1" operator="lessThan">
      <formula>-0.03</formula>
    </cfRule>
  </conditionalFormatting>
  <conditionalFormatting sqref="Q66:T68">
    <cfRule type="cellIs" dxfId="521" priority="443" operator="greaterThan">
      <formula>0.03</formula>
    </cfRule>
    <cfRule type="cellIs" dxfId="520" priority="444" stopIfTrue="1" operator="lessThan">
      <formula>-0.03</formula>
    </cfRule>
  </conditionalFormatting>
  <conditionalFormatting sqref="Q78:T80">
    <cfRule type="cellIs" dxfId="519" priority="441" operator="greaterThan">
      <formula>0.03</formula>
    </cfRule>
    <cfRule type="cellIs" dxfId="518" priority="442" stopIfTrue="1" operator="lessThan">
      <formula>-0.03</formula>
    </cfRule>
  </conditionalFormatting>
  <conditionalFormatting sqref="Q21:T28">
    <cfRule type="cellIs" dxfId="517" priority="423" operator="greaterThan">
      <formula>0.03</formula>
    </cfRule>
    <cfRule type="cellIs" dxfId="516" priority="424" stopIfTrue="1" operator="lessThan">
      <formula>-0.03</formula>
    </cfRule>
  </conditionalFormatting>
  <conditionalFormatting sqref="Q151:T154 Q159:T166 Q131:T142">
    <cfRule type="cellIs" dxfId="515" priority="419" operator="greaterThan">
      <formula>0.03</formula>
    </cfRule>
    <cfRule type="cellIs" dxfId="514" priority="420" stopIfTrue="1" operator="lessThan">
      <formula>-0.03</formula>
    </cfRule>
  </conditionalFormatting>
  <conditionalFormatting sqref="Q155:T158">
    <cfRule type="cellIs" dxfId="513" priority="417" operator="greaterThan">
      <formula>0.03</formula>
    </cfRule>
    <cfRule type="cellIs" dxfId="512" priority="418" stopIfTrue="1" operator="lessThan">
      <formula>-0.03</formula>
    </cfRule>
  </conditionalFormatting>
  <conditionalFormatting sqref="Q167:T170 Q183:T186">
    <cfRule type="cellIs" dxfId="511" priority="415" operator="greaterThan">
      <formula>0.03</formula>
    </cfRule>
    <cfRule type="cellIs" dxfId="510" priority="416" stopIfTrue="1" operator="lessThan">
      <formula>-0.03</formula>
    </cfRule>
  </conditionalFormatting>
  <conditionalFormatting sqref="Q171:T182">
    <cfRule type="cellIs" dxfId="509" priority="413" operator="greaterThan">
      <formula>0.03</formula>
    </cfRule>
    <cfRule type="cellIs" dxfId="508" priority="414" stopIfTrue="1" operator="lessThan">
      <formula>-0.03</formula>
    </cfRule>
  </conditionalFormatting>
  <conditionalFormatting sqref="Q191:T198">
    <cfRule type="cellIs" dxfId="507" priority="411" operator="greaterThan">
      <formula>0.03</formula>
    </cfRule>
    <cfRule type="cellIs" dxfId="506" priority="412" stopIfTrue="1" operator="lessThan">
      <formula>-0.03</formula>
    </cfRule>
  </conditionalFormatting>
  <conditionalFormatting sqref="Q187:T190">
    <cfRule type="cellIs" dxfId="505" priority="409" operator="greaterThan">
      <formula>0.03</formula>
    </cfRule>
    <cfRule type="cellIs" dxfId="504" priority="410" stopIfTrue="1" operator="lessThan">
      <formula>-0.03</formula>
    </cfRule>
  </conditionalFormatting>
  <conditionalFormatting sqref="Q199:T202">
    <cfRule type="cellIs" dxfId="503" priority="407" operator="greaterThan">
      <formula>0.03</formula>
    </cfRule>
    <cfRule type="cellIs" dxfId="502" priority="408" stopIfTrue="1" operator="lessThan">
      <formula>-0.03</formula>
    </cfRule>
  </conditionalFormatting>
  <conditionalFormatting sqref="Q143:T150">
    <cfRule type="cellIs" dxfId="501" priority="405" operator="greaterThan">
      <formula>0.03</formula>
    </cfRule>
    <cfRule type="cellIs" dxfId="500" priority="406" stopIfTrue="1" operator="lessThan">
      <formula>-0.03</formula>
    </cfRule>
  </conditionalFormatting>
  <conditionalFormatting sqref="Q45:T45">
    <cfRule type="cellIs" dxfId="499" priority="403" operator="greaterThan">
      <formula>0.03</formula>
    </cfRule>
    <cfRule type="cellIs" dxfId="498" priority="404" stopIfTrue="1" operator="lessThan">
      <formula>-0.03</formula>
    </cfRule>
  </conditionalFormatting>
  <conditionalFormatting sqref="Q49:T49">
    <cfRule type="cellIs" dxfId="497" priority="401" operator="greaterThan">
      <formula>0.03</formula>
    </cfRule>
    <cfRule type="cellIs" dxfId="496" priority="402" stopIfTrue="1" operator="lessThan">
      <formula>-0.03</formula>
    </cfRule>
  </conditionalFormatting>
  <conditionalFormatting sqref="Q53:T53">
    <cfRule type="cellIs" dxfId="495" priority="399" operator="greaterThan">
      <formula>0.03</formula>
    </cfRule>
    <cfRule type="cellIs" dxfId="494" priority="400" stopIfTrue="1" operator="lessThan">
      <formula>-0.03</formula>
    </cfRule>
  </conditionalFormatting>
  <conditionalFormatting sqref="Q57:T57">
    <cfRule type="cellIs" dxfId="493" priority="397" operator="greaterThan">
      <formula>0.03</formula>
    </cfRule>
    <cfRule type="cellIs" dxfId="492" priority="398" stopIfTrue="1" operator="lessThan">
      <formula>-0.03</formula>
    </cfRule>
  </conditionalFormatting>
  <conditionalFormatting sqref="Q61:T61">
    <cfRule type="cellIs" dxfId="491" priority="395" operator="greaterThan">
      <formula>0.03</formula>
    </cfRule>
    <cfRule type="cellIs" dxfId="490" priority="396" stopIfTrue="1" operator="lessThan">
      <formula>-0.03</formula>
    </cfRule>
  </conditionalFormatting>
  <conditionalFormatting sqref="Q65:T65">
    <cfRule type="cellIs" dxfId="489" priority="393" operator="greaterThan">
      <formula>0.03</formula>
    </cfRule>
    <cfRule type="cellIs" dxfId="488" priority="394" stopIfTrue="1" operator="lessThan">
      <formula>-0.03</formula>
    </cfRule>
  </conditionalFormatting>
  <conditionalFormatting sqref="Q69:T69">
    <cfRule type="cellIs" dxfId="487" priority="391" operator="greaterThan">
      <formula>0.03</formula>
    </cfRule>
    <cfRule type="cellIs" dxfId="486" priority="392" stopIfTrue="1" operator="lessThan">
      <formula>-0.03</formula>
    </cfRule>
  </conditionalFormatting>
  <conditionalFormatting sqref="Q73:T73">
    <cfRule type="cellIs" dxfId="485" priority="389" operator="greaterThan">
      <formula>0.03</formula>
    </cfRule>
    <cfRule type="cellIs" dxfId="484" priority="390" stopIfTrue="1" operator="lessThan">
      <formula>-0.03</formula>
    </cfRule>
  </conditionalFormatting>
  <conditionalFormatting sqref="Q77:T77">
    <cfRule type="cellIs" dxfId="483" priority="387" operator="greaterThan">
      <formula>0.03</formula>
    </cfRule>
    <cfRule type="cellIs" dxfId="482" priority="388" stopIfTrue="1" operator="lessThan">
      <formula>-0.03</formula>
    </cfRule>
  </conditionalFormatting>
  <conditionalFormatting sqref="Q117:T117">
    <cfRule type="cellIs" dxfId="481" priority="99" operator="greaterThan">
      <formula>0.03</formula>
    </cfRule>
    <cfRule type="cellIs" dxfId="480" priority="100" stopIfTrue="1" operator="lessThan">
      <formula>-0.03</formula>
    </cfRule>
  </conditionalFormatting>
  <conditionalFormatting sqref="Q93:T96 Q101:T108 Q81:T84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Q97:T100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conditionalFormatting sqref="Q110:T112 Q122:T124">
    <cfRule type="cellIs" dxfId="475" priority="109" operator="greaterThan">
      <formula>0.03</formula>
    </cfRule>
    <cfRule type="cellIs" dxfId="474" priority="110" stopIfTrue="1" operator="lessThan">
      <formula>-0.03</formula>
    </cfRule>
  </conditionalFormatting>
  <conditionalFormatting sqref="Q114:T116 Q118:T120">
    <cfRule type="cellIs" dxfId="473" priority="107" operator="greaterThan">
      <formula>0.03</formula>
    </cfRule>
    <cfRule type="cellIs" dxfId="472" priority="108" stopIfTrue="1" operator="lessThan">
      <formula>-0.03</formula>
    </cfRule>
  </conditionalFormatting>
  <conditionalFormatting sqref="Q85:T92">
    <cfRule type="cellIs" dxfId="471" priority="105" operator="greaterThan">
      <formula>0.03</formula>
    </cfRule>
    <cfRule type="cellIs" dxfId="470" priority="106" stopIfTrue="1" operator="lessThan">
      <formula>-0.03</formula>
    </cfRule>
  </conditionalFormatting>
  <conditionalFormatting sqref="Q109:T109">
    <cfRule type="cellIs" dxfId="469" priority="103" operator="greaterThan">
      <formula>0.03</formula>
    </cfRule>
    <cfRule type="cellIs" dxfId="468" priority="104" stopIfTrue="1" operator="lessThan">
      <formula>-0.03</formula>
    </cfRule>
  </conditionalFormatting>
  <conditionalFormatting sqref="Q113:T113">
    <cfRule type="cellIs" dxfId="467" priority="101" operator="greaterThan">
      <formula>0.03</formula>
    </cfRule>
    <cfRule type="cellIs" dxfId="466" priority="102" stopIfTrue="1" operator="lessThan">
      <formula>-0.03</formula>
    </cfRule>
  </conditionalFormatting>
  <conditionalFormatting sqref="Q121:T121">
    <cfRule type="cellIs" dxfId="465" priority="97" operator="greaterThan">
      <formula>0.03</formula>
    </cfRule>
    <cfRule type="cellIs" dxfId="464" priority="98" stopIfTrue="1" operator="lessThan">
      <formula>-0.03</formula>
    </cfRule>
  </conditionalFormatting>
  <conditionalFormatting sqref="Q239:T239">
    <cfRule type="cellIs" dxfId="463" priority="33" operator="greaterThan">
      <formula>0.03</formula>
    </cfRule>
    <cfRule type="cellIs" dxfId="462" priority="34" stopIfTrue="1" operator="lessThan">
      <formula>-0.03</formula>
    </cfRule>
  </conditionalFormatting>
  <conditionalFormatting sqref="Q215:T218 Q223:T230 Q203:T206">
    <cfRule type="cellIs" dxfId="461" priority="47" operator="greaterThan">
      <formula>0.03</formula>
    </cfRule>
    <cfRule type="cellIs" dxfId="460" priority="48" stopIfTrue="1" operator="lessThan">
      <formula>-0.03</formula>
    </cfRule>
  </conditionalFormatting>
  <conditionalFormatting sqref="Q219:T222">
    <cfRule type="cellIs" dxfId="459" priority="45" operator="greaterThan">
      <formula>0.03</formula>
    </cfRule>
    <cfRule type="cellIs" dxfId="458" priority="46" stopIfTrue="1" operator="lessThan">
      <formula>-0.03</formula>
    </cfRule>
  </conditionalFormatting>
  <conditionalFormatting sqref="Q232:T234 Q244:T246">
    <cfRule type="cellIs" dxfId="457" priority="43" operator="greaterThan">
      <formula>0.03</formula>
    </cfRule>
    <cfRule type="cellIs" dxfId="456" priority="44" stopIfTrue="1" operator="lessThan">
      <formula>-0.03</formula>
    </cfRule>
  </conditionalFormatting>
  <conditionalFormatting sqref="Q236:T238 Q240:T242">
    <cfRule type="cellIs" dxfId="455" priority="41" operator="greaterThan">
      <formula>0.03</formula>
    </cfRule>
    <cfRule type="cellIs" dxfId="454" priority="42" stopIfTrue="1" operator="lessThan">
      <formula>-0.03</formula>
    </cfRule>
  </conditionalFormatting>
  <conditionalFormatting sqref="Q207:T214">
    <cfRule type="cellIs" dxfId="453" priority="39" operator="greaterThan">
      <formula>0.03</formula>
    </cfRule>
    <cfRule type="cellIs" dxfId="452" priority="40" stopIfTrue="1" operator="lessThan">
      <formula>-0.03</formula>
    </cfRule>
  </conditionalFormatting>
  <conditionalFormatting sqref="Q231:T231">
    <cfRule type="cellIs" dxfId="451" priority="37" operator="greaterThan">
      <formula>0.03</formula>
    </cfRule>
    <cfRule type="cellIs" dxfId="450" priority="38" stopIfTrue="1" operator="lessThan">
      <formula>-0.03</formula>
    </cfRule>
  </conditionalFormatting>
  <conditionalFormatting sqref="Q235:T235">
    <cfRule type="cellIs" dxfId="449" priority="35" operator="greaterThan">
      <formula>0.03</formula>
    </cfRule>
    <cfRule type="cellIs" dxfId="448" priority="36" stopIfTrue="1" operator="lessThan">
      <formula>-0.03</formula>
    </cfRule>
  </conditionalFormatting>
  <conditionalFormatting sqref="Q243:T243">
    <cfRule type="cellIs" dxfId="447" priority="31" operator="greaterThan">
      <formula>0.03</formula>
    </cfRule>
    <cfRule type="cellIs" dxfId="446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99</v>
      </c>
    </row>
    <row r="2" spans="1:21" x14ac:dyDescent="0.25">
      <c r="A2" t="s">
        <v>86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130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81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-0.36394064735505294</v>
      </c>
      <c r="R9" s="8">
        <f>bdrate(C9:C12,E9:E12,J9:J12,L9:L12)</f>
        <v>-0.48443862871406873</v>
      </c>
      <c r="S9" s="8">
        <f>bdrate(C9:C12,F9:F12,J9:J12,M9:M12)</f>
        <v>-0.48451930835465629</v>
      </c>
      <c r="T9" s="25">
        <f>bdrate(C9:C12,H9:H12,J9:J12,O9:O12)</f>
        <v>-0.38369398936964483</v>
      </c>
      <c r="U9" s="28">
        <f t="shared" ref="U9:U72" si="2">(N9-G9)/G9</f>
        <v>0.46281250000000018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0.65147058823529425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0.82078947368421062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1.1624647887323944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-0.38320663686328837</v>
      </c>
      <c r="R13" s="8">
        <f>bdrate(C13:C16,E13:E16,J13:J16,L13:L16)</f>
        <v>-0.49259131964609582</v>
      </c>
      <c r="S13" s="8">
        <f>bdrate(C13:C16,F13:F16,J13:J16,M13:M16)</f>
        <v>-0.58352264761149675</v>
      </c>
      <c r="T13" s="25">
        <f>bdrate(C13:C16,H13:H16,J13:J16,O13:O16)</f>
        <v>-0.40568014225872451</v>
      </c>
      <c r="U13" s="28">
        <f t="shared" si="2"/>
        <v>8.9204545454545467E-2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0.14185567010309272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0.21464285714285708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0.16470149253731334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-0.36307208942666935</v>
      </c>
      <c r="R17" s="8">
        <f>bdrate(C17:C20,E17:E20,J17:J20,L17:L20)</f>
        <v>-0.46351512363226066</v>
      </c>
      <c r="S17" s="8">
        <f>bdrate(C17:C20,F17:F20,J17:J20,M17:M20)</f>
        <v>-0.5395765506788559</v>
      </c>
      <c r="T17" s="25">
        <f>bdrate(C17:C20,H17:H20,J17:J20,O17:O20)</f>
        <v>-0.38591863630814149</v>
      </c>
      <c r="U17" s="28">
        <f t="shared" si="2"/>
        <v>0.33906976744186046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0.42619999999999997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0.64035294117647079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0.75549763033175366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-0.28666761089328441</v>
      </c>
      <c r="R21" s="8">
        <f>bdrate(C21:C24,E21:E24,J21:J24,L21:L24)</f>
        <v>-0.55551554736282216</v>
      </c>
      <c r="S21" s="8">
        <f>bdrate(C21:C24,F21:F24,J21:J24,M21:M24)</f>
        <v>-0.55391330821020568</v>
      </c>
      <c r="T21" s="25">
        <f>bdrate(C21:C24,H21:H24,J21:J24,O21:O24)</f>
        <v>-0.33688912598875131</v>
      </c>
      <c r="U21" s="28">
        <f t="shared" si="2"/>
        <v>0.68415999999999999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0.87681159420289856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1.2064666666666666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1.3983615819209039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-0.41965249893237089</v>
      </c>
      <c r="R25" s="8">
        <f>bdrate(C25:C28,E25:E28,J25:J28,L25:L28)</f>
        <v>-0.57982302923919282</v>
      </c>
      <c r="S25" s="8">
        <f>bdrate(C25:C28,F25:F28,J25:J28,M25:M28)</f>
        <v>-0.62028806637386102</v>
      </c>
      <c r="T25" s="25">
        <f>bdrate(C25:C28,H25:H28,J25:J28,O25:O28)</f>
        <v>-0.4508153083312435</v>
      </c>
      <c r="U25" s="28">
        <f t="shared" si="2"/>
        <v>0.73031446540880485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0.83697802197802196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0.93234234234234203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1.0192334494773521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-0.46770945871716807</v>
      </c>
      <c r="R29" s="8">
        <f>bdrate(C29:C32,E29:E32,J29:J32,L29:L32)</f>
        <v>-0.68508361492078651</v>
      </c>
      <c r="S29" s="8">
        <f>bdrate(C29:C32,F29:F32,J29:J32,M29:M32)</f>
        <v>-0.6154889693521679</v>
      </c>
      <c r="T29" s="25">
        <f>bdrate(C29:C32,H29:H32,J29:J32,O29:O32)</f>
        <v>-0.50102357762223482</v>
      </c>
      <c r="U29" s="28">
        <f t="shared" si="2"/>
        <v>0.80751937984496125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0.73412121212121217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0.65601769911504437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0.56037617554858932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-0.47434470236861226</v>
      </c>
      <c r="R33" s="8">
        <f>bdrate(C33:C36,E33:E36,J33:J36,L33:L36)</f>
        <v>-0.64196137519144258</v>
      </c>
      <c r="S33" s="8">
        <f>bdrate(C33:C36,F33:F36,J33:J36,M33:M36)</f>
        <v>-0.62395647806006715</v>
      </c>
      <c r="T33" s="25">
        <f>bdrate(C33:C36,H33:H36,J33:J36,O33:O36)</f>
        <v>-0.50062763116044806</v>
      </c>
      <c r="U33" s="28">
        <f t="shared" si="2"/>
        <v>1.4807462686567161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1.7967763157894736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2.1024590163934427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2.4292105263157899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-0.37355015961011084</v>
      </c>
      <c r="R37" s="8">
        <f>bdrate(C37:C40,E37:E40,J37:J40,L37:L40)</f>
        <v>-0.56537126164997653</v>
      </c>
      <c r="S37" s="8">
        <f>bdrate(C37:C40,F37:F40,J37:J40,M37:M40)</f>
        <v>-0.5422961588315004</v>
      </c>
      <c r="T37" s="25">
        <f>bdrate(C37:C40,H37:H40,J37:J40,O37:O40)</f>
        <v>-0.41430476639878899</v>
      </c>
      <c r="U37" s="28">
        <f t="shared" si="2"/>
        <v>4.4194484760522498E-2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9.2509554140127445E-2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0.13816720257234721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0.12145748987854252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-0.33494993884406521</v>
      </c>
      <c r="R41" s="8">
        <f>bdrate(C41:C44,E41:E44,J41:J44,L41:L44)</f>
        <v>-0.55625306727180179</v>
      </c>
      <c r="S41" s="8">
        <f>bdrate(C41:C44,F41:F44,J41:J44,M41:M44)</f>
        <v>-0.55318459350659177</v>
      </c>
      <c r="T41" s="25">
        <f>bdrate(C41:C44,H41:H44,J41:J44,O41:O44)</f>
        <v>-0.37598558884738442</v>
      </c>
      <c r="U41" s="28">
        <f t="shared" si="2"/>
        <v>0.17927536231884053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0.3183816425120774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0.46376734258271096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0.62365988909426995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-0.34808645746921507</v>
      </c>
      <c r="R45" s="8">
        <f>bdrate(C45:C48,E45:E48,J45:J48,L45:L48)</f>
        <v>-0.60652675503773468</v>
      </c>
      <c r="S45" s="8">
        <f>bdrate(C45:C48,F45:F48,J45:J48,M45:M48)</f>
        <v>-0.60722031640188545</v>
      </c>
      <c r="T45" s="25">
        <f>bdrate(C45:C48,H45:H48,J45:J48,O45:O48)</f>
        <v>-0.39340735349890965</v>
      </c>
      <c r="U45" s="28">
        <f t="shared" si="2"/>
        <v>0.49935855263157886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0.72179604261796049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1.0203749999999998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1.3435018963337546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-0.17969676622787045</v>
      </c>
      <c r="R49" s="8">
        <f>bdrate(C49:C52,E49:E52,J49:J52,L49:L52)</f>
        <v>-0.43578305195578504</v>
      </c>
      <c r="S49" s="8">
        <f>bdrate(C49:C52,F49:F52,J49:J52,M49:M52)</f>
        <v>-0.42604992219558424</v>
      </c>
      <c r="T49" s="25">
        <f>bdrate(C49:C52,H49:H52,J49:J52,O49:O52)</f>
        <v>-0.22198775906355661</v>
      </c>
      <c r="U49" s="28">
        <f t="shared" si="2"/>
        <v>0.10851323828920569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0.18809090909090917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0.28892682926829261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0.39767029972752055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-0.20990111306774795</v>
      </c>
      <c r="R53" s="8">
        <f>bdrate(C53:C56,E53:E56,J53:J56,L53:L56)</f>
        <v>-0.51553365460647971</v>
      </c>
      <c r="S53" s="8">
        <f>bdrate(C53:C56,F53:F56,J53:J56,M53:M56)</f>
        <v>-0.42905032432219048</v>
      </c>
      <c r="T53" s="25">
        <f>bdrate(C53:C56,H53:H56,J53:J56,O53:O56)</f>
        <v>-0.2588924081953724</v>
      </c>
      <c r="U53" s="28">
        <f t="shared" si="2"/>
        <v>-0.15141712357654996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-6.0358550039401118E-2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1.6313043478261159E-3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2.9691069574247025E-2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-0.44632549203870631</v>
      </c>
      <c r="R57" s="8">
        <f>bdrate(C57:C60,E57:E60,J57:J60,L57:L60)</f>
        <v>-0.65007394476079505</v>
      </c>
      <c r="S57" s="8">
        <f>bdrate(C57:C60,F57:F60,J57:J60,M57:M60)</f>
        <v>-0.6863782064698738</v>
      </c>
      <c r="T57" s="25">
        <f>bdrate(C57:C60,H57:H60,J57:J60,O57:O60)</f>
        <v>-0.48461788074973466</v>
      </c>
      <c r="U57" s="28">
        <f t="shared" si="2"/>
        <v>0.2249622166246851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0.4140676034941132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0.57680415617128467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0.95982420382165623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-0.22641131483316013</v>
      </c>
      <c r="R61" s="8">
        <f>bdrate(C61:C64,E61:E64,J61:J64,L61:L64)</f>
        <v>-0.51072796180749014</v>
      </c>
      <c r="S61" s="8">
        <f>bdrate(C61:C64,F61:F64,J61:J64,M61:M64)</f>
        <v>-0.56488475233592061</v>
      </c>
      <c r="T61" s="25">
        <f>bdrate(C61:C64,H61:H64,J61:J64,O61:O64)</f>
        <v>-0.28967540927659297</v>
      </c>
      <c r="U61" s="28">
        <f t="shared" si="2"/>
        <v>-4.5534716679968001E-2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0.10491428571428577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0.26366161616161621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0.59863694676074408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-9.2529079947578863E-2</v>
      </c>
      <c r="R65" s="8">
        <f>bdrate(C65:C68,E65:E68,J65:J68,L65:L68)</f>
        <v>-0.42084020580651549</v>
      </c>
      <c r="S65" s="8">
        <f>bdrate(C65:C68,F65:F68,J65:J68,M65:M68)</f>
        <v>-0.42048985445564435</v>
      </c>
      <c r="T65" s="25">
        <f>bdrate(C65:C68,H65:H68,J65:J68,O65:O68)</f>
        <v>-0.15571846130636446</v>
      </c>
      <c r="U65" s="28">
        <f t="shared" si="2"/>
        <v>-0.38160936721474842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-0.30257575757575761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-0.17974381241858453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-3.8207374954362973E-2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-0.29886088103772934</v>
      </c>
      <c r="R69" s="8">
        <f>bdrate(C69:C72,E69:E72,J69:J72,L69:L72)</f>
        <v>-0.48772894462469096</v>
      </c>
      <c r="S69" s="8">
        <f>bdrate(C69:C72,F69:F72,J69:J72,M69:M72)</f>
        <v>-0.49075298586836147</v>
      </c>
      <c r="T69" s="25">
        <f>bdrate(C69:C72,H69:H72,J69:J72,O69:O72)</f>
        <v>-0.34304457352933482</v>
      </c>
      <c r="U69" s="28">
        <f t="shared" si="2"/>
        <v>0.31686567164179091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0.45955307262569822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0.68646677471636952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0.93359006211180107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-0.47600032639423373</v>
      </c>
      <c r="R73" s="8">
        <f>bdrate(C73:C76,E73:E76,J73:J76,L73:L76)</f>
        <v>-0.62992329247810064</v>
      </c>
      <c r="S73" s="8">
        <f>bdrate(C73:C76,F73:F76,J73:J76,M73:M76)</f>
        <v>-0.65536658770669753</v>
      </c>
      <c r="T73" s="25">
        <f>bdrate(C73:C76,H73:H76,J73:J76,O73:O76)</f>
        <v>-0.52784998969434471</v>
      </c>
      <c r="U73" s="28">
        <f t="shared" ref="U73:U91" si="3">(N73-G73)/G73</f>
        <v>0.88129629629629636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1.0705140186915887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1.4753305785123969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1.7530293663060281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-0.39018778018652889</v>
      </c>
      <c r="R77" s="8">
        <f>bdrate(C77:C80,E77:E80,J77:J80,L77:L80)</f>
        <v>-0.54393202225142756</v>
      </c>
      <c r="S77" s="8">
        <f>bdrate(C77:C80,F77:F80,J77:J80,M77:M80)</f>
        <v>-0.59678240242661684</v>
      </c>
      <c r="T77" s="25">
        <f>bdrate(C77:C80,H77:H80,J77:J80,O77:O80)</f>
        <v>-0.43984652374975763</v>
      </c>
      <c r="U77" s="28">
        <f t="shared" si="3"/>
        <v>0.59189393939393931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0.73966740576496692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0.98676806083650204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1.0978074866310159</v>
      </c>
    </row>
    <row r="81" spans="1:21" x14ac:dyDescent="0.25">
      <c r="A81" s="6" t="s">
        <v>102</v>
      </c>
      <c r="B81" s="6" t="s">
        <v>103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91" si="4">(6*D81+E81+F81)/8</f>
        <v>45.477249999999998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-0.49696419092415689</v>
      </c>
      <c r="R81" s="8">
        <f>bdrate(C81:C84,E81:E84,J81:J84,L81:L84)</f>
        <v>-0.70560200014376484</v>
      </c>
      <c r="S81" s="8">
        <f>bdrate(C81:C84,F81:F84,J81:J84,M81:M84)</f>
        <v>-0.64637082229050336</v>
      </c>
      <c r="T81" s="25">
        <f>bdrate(C81:C84,H81:H84,J81:J84,O81:O84)</f>
        <v>-0.54229871581539457</v>
      </c>
      <c r="U81" s="28">
        <f t="shared" si="3"/>
        <v>-2.3160762942779283E-2</v>
      </c>
    </row>
    <row r="82" spans="1:21" x14ac:dyDescent="0.25">
      <c r="A82" s="9" t="s">
        <v>78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2.6732186732186622E-2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0.11710970464135009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0.10050432276657056</v>
      </c>
    </row>
    <row r="85" spans="1:21" x14ac:dyDescent="0.25">
      <c r="B85" s="6" t="s">
        <v>104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-2.2855748916579488E-2</v>
      </c>
      <c r="R85" s="8">
        <f>bdrate(C85:C88,E85:E88,J85:J88,L85:L88)</f>
        <v>-0.11053018364281419</v>
      </c>
      <c r="S85" s="8">
        <f>bdrate(C85:C88,F85:F88,J85:J88,M85:M88)</f>
        <v>-0.12573117562811176</v>
      </c>
      <c r="T85" s="25">
        <f>bdrate(C85:C88,H85:H88,J85:J88,O85:O88)</f>
        <v>-4.5933417425590983E-2</v>
      </c>
      <c r="U85" s="28">
        <f t="shared" si="3"/>
        <v>-0.21550520059435366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-0.17154277699859743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-6.5103402268178859E-2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0.11808700834326581</v>
      </c>
    </row>
    <row r="89" spans="1:21" x14ac:dyDescent="0.25">
      <c r="B89" s="6" t="s">
        <v>105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-0.31359845379889706</v>
      </c>
      <c r="R89" s="8">
        <f>bdrate(C89:C92,E89:E92,J89:J92,L89:L92)</f>
        <v>-0.40090106354194732</v>
      </c>
      <c r="S89" s="8">
        <f>bdrate(C89:C92,F89:F92,J89:J92,M89:M92)</f>
        <v>-0.39054896267071793</v>
      </c>
      <c r="T89" s="25">
        <f>bdrate(C89:C92,H89:H92,J89:J92,O89:O92)</f>
        <v>-0.32990899154872999</v>
      </c>
      <c r="U89" s="28">
        <f t="shared" si="3"/>
        <v>0.13727959697732983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0.2242369020501139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0.32666007905138356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ref="H92:H124" si="6">(6*D92+E92+F92)/8</f>
        <v>36.735500000000002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0.34450292397660831</v>
      </c>
    </row>
    <row r="93" spans="1:21" x14ac:dyDescent="0.25">
      <c r="B93" s="6" t="s">
        <v>106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6"/>
        <v>41.966374999999999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-0.29515235435180009</v>
      </c>
      <c r="R93" s="8">
        <f>bdrate(C93:C96,E93:E96,J93:J96,L93:L96)</f>
        <v>-0.41724558981008364</v>
      </c>
      <c r="S93" s="8">
        <f>bdrate(C93:C96,F93:F96,J93:J96,M93:M96)</f>
        <v>-0.40634509200995117</v>
      </c>
      <c r="T93" s="25">
        <f>bdrate(C93:C96,H93:H96,J93:J96,O93:O96)</f>
        <v>-0.31663536398422942</v>
      </c>
      <c r="U93" s="28">
        <f t="shared" si="8"/>
        <v>0.177439024390244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6"/>
        <v>39.967624999999998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0.2874792243767314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6"/>
        <v>37.549000000000007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0.39169451073985667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6"/>
        <v>33.696874999999999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0.43150349650349656</v>
      </c>
    </row>
    <row r="97" spans="2:21" x14ac:dyDescent="0.25">
      <c r="B97" s="6" t="s">
        <v>107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6"/>
        <v>40.434750000000001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-0.23501208622253145</v>
      </c>
      <c r="R97" s="8">
        <f>bdrate(C97:C100,E97:E100,J97:J100,L97:L100)</f>
        <v>-0.47498817064685495</v>
      </c>
      <c r="S97" s="8">
        <f>bdrate(C97:C100,F97:F100,J97:J100,M97:M100)</f>
        <v>-0.47028978214105377</v>
      </c>
      <c r="T97" s="25">
        <f>bdrate(C97:C100,H97:H100,J97:J100,O97:O100)</f>
        <v>-0.28467069870340089</v>
      </c>
      <c r="U97" s="28">
        <f t="shared" si="8"/>
        <v>7.1185344827586261E-2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6"/>
        <v>38.433624999999999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0.18118110236220469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6"/>
        <v>36.066749999999999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0.29722996515679445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6"/>
        <v>32.329124999999998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0.43650499286733252</v>
      </c>
    </row>
    <row r="101" spans="2:21" x14ac:dyDescent="0.25">
      <c r="B101" s="6" t="s">
        <v>108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6"/>
        <v>40.692875000000001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-0.26400382418058266</v>
      </c>
      <c r="R101" s="8">
        <f>bdrate(C101:C104,E101:E104,J101:J104,L101:L104)</f>
        <v>-0.44268037412106254</v>
      </c>
      <c r="S101" s="8">
        <f>bdrate(C101:C104,F101:F104,J101:J104,M101:M104)</f>
        <v>-0.39287004146391424</v>
      </c>
      <c r="T101" s="25">
        <f>bdrate(C101:C104,H101:H104,J101:J104,O101:O104)</f>
        <v>-0.29600604707389755</v>
      </c>
      <c r="U101" s="28">
        <f t="shared" si="8"/>
        <v>0.37140625000000005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6"/>
        <v>39.089375000000004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0.49663120567375907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6"/>
        <v>37.138874999999999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0.61758308157099684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6"/>
        <v>34.365250000000003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0.59181443298969083</v>
      </c>
    </row>
    <row r="105" spans="2:21" x14ac:dyDescent="0.25">
      <c r="B105" s="6" t="s">
        <v>109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6"/>
        <v>52.188625000000002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-0.39440335429807727</v>
      </c>
      <c r="R105" s="8">
        <f>bdrate(C105:C108,E105:E108,J105:J108,L105:L108)</f>
        <v>-0.52813629117087502</v>
      </c>
      <c r="S105" s="8">
        <f>bdrate(C105:C108,F105:F108,J105:J108,M105:M108)</f>
        <v>-0.53656734732888722</v>
      </c>
      <c r="T105" s="25">
        <f>bdrate(C105:C108,H105:H108,J105:J108,O105:O108)</f>
        <v>-0.42780227946804228</v>
      </c>
      <c r="U105" s="28">
        <f t="shared" si="8"/>
        <v>-4.7552447552447488E-2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6"/>
        <v>50.074249999999999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7.1257995735607677E-2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6"/>
        <v>47.021750000000004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0.20409090909090902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6"/>
        <v>43.17387500000001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0.28163498098859319</v>
      </c>
    </row>
    <row r="109" spans="2:21" x14ac:dyDescent="0.25">
      <c r="B109" s="6" t="s">
        <v>110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6"/>
        <v>35.797624999999996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-0.30776481855257887</v>
      </c>
      <c r="R109" s="8">
        <f>bdrate(C109:C112,E109:E112,J109:J112,L109:L112)</f>
        <v>-0.42159655580397448</v>
      </c>
      <c r="S109" s="8">
        <f>bdrate(C109:C112,F109:F112,J109:J112,M109:M112)</f>
        <v>-0.45255562994561538</v>
      </c>
      <c r="T109" s="25">
        <f>bdrate(C109:C112,H109:H112,J109:J112,O109:O112)</f>
        <v>-0.32945805538183615</v>
      </c>
      <c r="U109" s="28">
        <f t="shared" si="8"/>
        <v>-3.0836012861736296E-2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6"/>
        <v>34.092374999999997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2.2685714285714326E-2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6"/>
        <v>31.773874999999997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6.5046511627906992E-2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6"/>
        <v>27.884499999999999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0.1020367278797997</v>
      </c>
    </row>
    <row r="113" spans="2:21" x14ac:dyDescent="0.25">
      <c r="B113" s="6" t="s">
        <v>111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6"/>
        <v>49.516999999999996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-0.2126642311413397</v>
      </c>
      <c r="R113" s="8">
        <f>bdrate(C113:C116,E113:E116,J113:J116,L113:L116)</f>
        <v>-0.32647361710958045</v>
      </c>
      <c r="S113" s="8">
        <f>bdrate(C113:C116,F113:F116,J113:J116,M113:M116)</f>
        <v>-0.34804855935043277</v>
      </c>
      <c r="T113" s="25">
        <f>bdrate(C113:C116,H113:H116,J113:J116,O113:O116)</f>
        <v>-0.24234970196672068</v>
      </c>
      <c r="U113" s="28">
        <f t="shared" si="8"/>
        <v>-0.10976102941176473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6"/>
        <v>47.505250000000004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-2.4241908006814403E-2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6"/>
        <v>44.717499999999994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5.8802395209580881E-2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6"/>
        <v>39.620874999999998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0.13647126436781615</v>
      </c>
    </row>
    <row r="117" spans="2:21" x14ac:dyDescent="0.25">
      <c r="B117" s="6" t="s">
        <v>112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6"/>
        <v>52.080374999999997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-0.27593714324462759</v>
      </c>
      <c r="R117" s="8">
        <f>bdrate(C117:C120,E117:E120,J117:J120,L117:L120)</f>
        <v>-0.37135074761378717</v>
      </c>
      <c r="S117" s="8">
        <f>bdrate(C117:C120,F117:F120,J117:J120,M117:M120)</f>
        <v>-0.36704725079277511</v>
      </c>
      <c r="T117" s="25">
        <f>bdrate(C117:C120,H117:H120,J117:J120,O117:O120)</f>
        <v>-0.2977614594888629</v>
      </c>
      <c r="U117" s="28">
        <f t="shared" si="8"/>
        <v>0.11216998191681725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6"/>
        <v>48.635249999999992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0.27527050610820231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6"/>
        <v>45.162875000000007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0.36779365079365095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6"/>
        <v>40.087125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0.63061381074168799</v>
      </c>
    </row>
    <row r="121" spans="2:21" x14ac:dyDescent="0.25">
      <c r="B121" s="6" t="s">
        <v>113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6"/>
        <v>35.676000000000002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-0.22044793233409987</v>
      </c>
      <c r="R121" s="8">
        <f>bdrate(C121:C124,E121:E124,J121:J124,L121:L124)</f>
        <v>-0.36526670497232949</v>
      </c>
      <c r="S121" s="8">
        <f>bdrate(C121:C124,F121:F124,J121:J124,M121:M124)</f>
        <v>-0.34717587040101727</v>
      </c>
      <c r="T121" s="25">
        <f>bdrate(C121:C124,H121:H124,J121:J124,O121:O124)</f>
        <v>-0.24344121388151641</v>
      </c>
      <c r="U121" s="28">
        <f t="shared" si="8"/>
        <v>9.9776536312849093E-2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6"/>
        <v>33.710999999999999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0.13895522388059708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6"/>
        <v>31.256500000000003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0.20298319327731107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6"/>
        <v>27.637499999999999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0.19272590361445785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-0.31634127904064363</v>
      </c>
      <c r="R125" s="21">
        <f>AVERAGE(R9:R124)</f>
        <v>-0.49622048619084613</v>
      </c>
      <c r="S125" s="21">
        <f>AVERAGE(S9:S124)</f>
        <v>-0.49921627473052266</v>
      </c>
      <c r="T125" s="21">
        <f>AVERAGE(T9:T124)</f>
        <v>-0.35262914034784665</v>
      </c>
      <c r="U125" s="21">
        <f>AVERAGE(U9:U124)</f>
        <v>0.44568542466700428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45" priority="337" operator="greaterThan">
      <formula>0.03</formula>
    </cfRule>
    <cfRule type="cellIs" dxfId="444" priority="338" stopIfTrue="1" operator="lessThan">
      <formula>-0.03</formula>
    </cfRule>
  </conditionalFormatting>
  <conditionalFormatting sqref="Q33:T36">
    <cfRule type="cellIs" dxfId="443" priority="335" operator="greaterThan">
      <formula>0.03</formula>
    </cfRule>
    <cfRule type="cellIs" dxfId="442" priority="336" stopIfTrue="1" operator="lessThan">
      <formula>-0.03</formula>
    </cfRule>
  </conditionalFormatting>
  <conditionalFormatting sqref="Q45:T48 Q61:T64">
    <cfRule type="cellIs" dxfId="441" priority="333" operator="greaterThan">
      <formula>0.03</formula>
    </cfRule>
    <cfRule type="cellIs" dxfId="440" priority="334" stopIfTrue="1" operator="lessThan">
      <formula>-0.03</formula>
    </cfRule>
  </conditionalFormatting>
  <conditionalFormatting sqref="Q49:T60">
    <cfRule type="cellIs" dxfId="439" priority="331" operator="greaterThan">
      <formula>0.03</formula>
    </cfRule>
    <cfRule type="cellIs" dxfId="438" priority="332" stopIfTrue="1" operator="lessThan">
      <formula>-0.03</formula>
    </cfRule>
  </conditionalFormatting>
  <conditionalFormatting sqref="Q69:T76">
    <cfRule type="cellIs" dxfId="437" priority="329" operator="greaterThan">
      <formula>0.03</formula>
    </cfRule>
    <cfRule type="cellIs" dxfId="436" priority="330" stopIfTrue="1" operator="lessThan">
      <formula>-0.03</formula>
    </cfRule>
  </conditionalFormatting>
  <conditionalFormatting sqref="Q65:T68">
    <cfRule type="cellIs" dxfId="435" priority="327" operator="greaterThan">
      <formula>0.03</formula>
    </cfRule>
    <cfRule type="cellIs" dxfId="434" priority="328" stopIfTrue="1" operator="lessThan">
      <formula>-0.03</formula>
    </cfRule>
  </conditionalFormatting>
  <conditionalFormatting sqref="Q77:T80">
    <cfRule type="cellIs" dxfId="433" priority="325" operator="greaterThan">
      <formula>0.03</formula>
    </cfRule>
    <cfRule type="cellIs" dxfId="432" priority="326" stopIfTrue="1" operator="lessThan">
      <formula>-0.03</formula>
    </cfRule>
  </conditionalFormatting>
  <conditionalFormatting sqref="Q21:T28">
    <cfRule type="cellIs" dxfId="431" priority="323" operator="greaterThan">
      <formula>0.03</formula>
    </cfRule>
    <cfRule type="cellIs" dxfId="430" priority="324" stopIfTrue="1" operator="lessThan">
      <formula>-0.03</formula>
    </cfRule>
  </conditionalFormatting>
  <conditionalFormatting sqref="Q117:T117">
    <cfRule type="cellIs" dxfId="429" priority="33" operator="greaterThan">
      <formula>0.03</formula>
    </cfRule>
    <cfRule type="cellIs" dxfId="428" priority="34" stopIfTrue="1" operator="lessThan">
      <formula>-0.03</formula>
    </cfRule>
  </conditionalFormatting>
  <conditionalFormatting sqref="Q93:T96 Q101:T108 Q81:T84">
    <cfRule type="cellIs" dxfId="427" priority="47" operator="greaterThan">
      <formula>0.03</formula>
    </cfRule>
    <cfRule type="cellIs" dxfId="426" priority="48" stopIfTrue="1" operator="lessThan">
      <formula>-0.03</formula>
    </cfRule>
  </conditionalFormatting>
  <conditionalFormatting sqref="Q97:T100">
    <cfRule type="cellIs" dxfId="425" priority="45" operator="greaterThan">
      <formula>0.03</formula>
    </cfRule>
    <cfRule type="cellIs" dxfId="424" priority="46" stopIfTrue="1" operator="lessThan">
      <formula>-0.03</formula>
    </cfRule>
  </conditionalFormatting>
  <conditionalFormatting sqref="Q110:T112 Q122:T124">
    <cfRule type="cellIs" dxfId="423" priority="43" operator="greaterThan">
      <formula>0.03</formula>
    </cfRule>
    <cfRule type="cellIs" dxfId="422" priority="44" stopIfTrue="1" operator="lessThan">
      <formula>-0.03</formula>
    </cfRule>
  </conditionalFormatting>
  <conditionalFormatting sqref="Q114:T116 Q118:T120">
    <cfRule type="cellIs" dxfId="421" priority="41" operator="greaterThan">
      <formula>0.03</formula>
    </cfRule>
    <cfRule type="cellIs" dxfId="420" priority="42" stopIfTrue="1" operator="lessThan">
      <formula>-0.03</formula>
    </cfRule>
  </conditionalFormatting>
  <conditionalFormatting sqref="Q85:T92">
    <cfRule type="cellIs" dxfId="419" priority="39" operator="greaterThan">
      <formula>0.03</formula>
    </cfRule>
    <cfRule type="cellIs" dxfId="418" priority="40" stopIfTrue="1" operator="lessThan">
      <formula>-0.03</formula>
    </cfRule>
  </conditionalFormatting>
  <conditionalFormatting sqref="Q109:T109">
    <cfRule type="cellIs" dxfId="417" priority="37" operator="greaterThan">
      <formula>0.03</formula>
    </cfRule>
    <cfRule type="cellIs" dxfId="416" priority="38" stopIfTrue="1" operator="lessThan">
      <formula>-0.03</formula>
    </cfRule>
  </conditionalFormatting>
  <conditionalFormatting sqref="Q113:T113">
    <cfRule type="cellIs" dxfId="415" priority="35" operator="greaterThan">
      <formula>0.03</formula>
    </cfRule>
    <cfRule type="cellIs" dxfId="414" priority="36" stopIfTrue="1" operator="lessThan">
      <formula>-0.03</formula>
    </cfRule>
  </conditionalFormatting>
  <conditionalFormatting sqref="Q121:T121">
    <cfRule type="cellIs" dxfId="413" priority="31" operator="greaterThan">
      <formula>0.03</formula>
    </cfRule>
    <cfRule type="cellIs" dxfId="41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C26" sqref="C2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87</v>
      </c>
    </row>
    <row r="5" spans="1:21" s="35" customFormat="1" ht="15.75" customHeight="1" x14ac:dyDescent="0.25">
      <c r="B5" s="51" t="s">
        <v>29</v>
      </c>
      <c r="C5" s="56" t="s">
        <v>132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66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3826.85</v>
      </c>
      <c r="D9" s="16">
        <v>36.093000000000004</v>
      </c>
      <c r="E9" s="16">
        <v>37.982999999999997</v>
      </c>
      <c r="F9" s="16">
        <v>40.270000000000003</v>
      </c>
      <c r="G9" s="16">
        <v>9.56</v>
      </c>
      <c r="H9" s="16">
        <f t="shared" ref="H9:H80" si="0">(6*D9+E9+F9)/8</f>
        <v>36.851375000000004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-0.31229408366274347</v>
      </c>
      <c r="R9" s="8">
        <f>bdrate(C9:C12,E9:E12,J9:J12,L9:L12)</f>
        <v>-0.52788250480378163</v>
      </c>
      <c r="S9" s="8">
        <f>bdrate(C9:C12,F9:F12,J9:J12,M9:M12)</f>
        <v>-0.50233226294442113</v>
      </c>
      <c r="T9" s="25">
        <f>bdrate(C9:C12,H9:H12,J9:J12,O9:O12)</f>
        <v>-0.34011248094667768</v>
      </c>
      <c r="U9" s="28">
        <f t="shared" ref="U9:U72" si="2">(N9-G9)/G9</f>
        <v>0.73106694560669438</v>
      </c>
    </row>
    <row r="10" spans="1:21" x14ac:dyDescent="0.25">
      <c r="A10" s="9" t="s">
        <v>36</v>
      </c>
      <c r="B10" s="9"/>
      <c r="C10" s="17">
        <v>2854.79</v>
      </c>
      <c r="D10" s="18">
        <v>35.156999999999996</v>
      </c>
      <c r="E10" s="18">
        <v>37.520000000000003</v>
      </c>
      <c r="F10" s="18">
        <v>39.832999999999998</v>
      </c>
      <c r="G10" s="18">
        <v>10.119999999999999</v>
      </c>
      <c r="H10" s="18">
        <f t="shared" si="0"/>
        <v>36.036874999999995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0.87029644268774708</v>
      </c>
    </row>
    <row r="11" spans="1:21" x14ac:dyDescent="0.25">
      <c r="B11" s="9"/>
      <c r="C11" s="17">
        <v>1861.94</v>
      </c>
      <c r="D11" s="18">
        <v>33.93</v>
      </c>
      <c r="E11" s="18">
        <v>37.073</v>
      </c>
      <c r="F11" s="18">
        <v>39.363999999999997</v>
      </c>
      <c r="G11" s="18">
        <v>12.05</v>
      </c>
      <c r="H11" s="18">
        <f t="shared" si="0"/>
        <v>35.002124999999999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0.83872199170124484</v>
      </c>
    </row>
    <row r="12" spans="1:21" ht="16.5" thickBot="1" x14ac:dyDescent="0.3">
      <c r="B12" s="12"/>
      <c r="C12" s="19">
        <v>882.37</v>
      </c>
      <c r="D12" s="20">
        <v>31.516999999999999</v>
      </c>
      <c r="E12" s="20">
        <v>36.463000000000001</v>
      </c>
      <c r="F12" s="20">
        <v>38.704000000000001</v>
      </c>
      <c r="G12" s="20">
        <v>16.11</v>
      </c>
      <c r="H12" s="20">
        <f t="shared" si="0"/>
        <v>33.033625000000001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0.79783364369956555</v>
      </c>
    </row>
    <row r="13" spans="1:21" x14ac:dyDescent="0.25">
      <c r="B13" s="6" t="s">
        <v>47</v>
      </c>
      <c r="C13" s="15">
        <v>4096.1000000000004</v>
      </c>
      <c r="D13" s="16">
        <v>28.893000000000001</v>
      </c>
      <c r="E13" s="16">
        <v>38.241</v>
      </c>
      <c r="F13" s="16">
        <v>39.247999999999998</v>
      </c>
      <c r="G13" s="16">
        <v>7.51</v>
      </c>
      <c r="H13" s="16">
        <f t="shared" si="0"/>
        <v>31.355874999999997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-9.8204387371463642E-2</v>
      </c>
      <c r="R13" s="8">
        <f>bdrate(C13:C16,E13:E16,J13:J16,L13:L16)</f>
        <v>-0.4502441106888011</v>
      </c>
      <c r="S13" s="8">
        <f>bdrate(C13:C16,F13:F16,J13:J16,M13:M16)</f>
        <v>-0.47385255198862863</v>
      </c>
      <c r="T13" s="25">
        <f>bdrate(C13:C16,H13:H16,J13:J16,O13:O16)</f>
        <v>-0.15976352517189885</v>
      </c>
      <c r="U13" s="28">
        <f t="shared" si="2"/>
        <v>0.59455392809587215</v>
      </c>
    </row>
    <row r="14" spans="1:21" x14ac:dyDescent="0.25">
      <c r="B14" s="9"/>
      <c r="C14" s="17">
        <v>3058.9</v>
      </c>
      <c r="D14" s="18">
        <v>27.712</v>
      </c>
      <c r="E14" s="18">
        <v>37.78</v>
      </c>
      <c r="F14" s="18">
        <v>38.829000000000001</v>
      </c>
      <c r="G14" s="18">
        <v>7.08</v>
      </c>
      <c r="H14" s="18">
        <f t="shared" si="0"/>
        <v>30.360125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0.99139830508474569</v>
      </c>
    </row>
    <row r="15" spans="1:21" x14ac:dyDescent="0.25">
      <c r="B15" s="9"/>
      <c r="C15" s="17">
        <v>2026.36</v>
      </c>
      <c r="D15" s="18">
        <v>26.1</v>
      </c>
      <c r="E15" s="18">
        <v>36.780999999999999</v>
      </c>
      <c r="F15" s="18">
        <v>37.94</v>
      </c>
      <c r="G15" s="18">
        <v>8.61</v>
      </c>
      <c r="H15" s="18">
        <f t="shared" si="0"/>
        <v>28.915125000000003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1.0641695702671314</v>
      </c>
    </row>
    <row r="16" spans="1:21" ht="16.5" thickBot="1" x14ac:dyDescent="0.3">
      <c r="B16" s="12"/>
      <c r="C16" s="19">
        <v>1010.47</v>
      </c>
      <c r="D16" s="20">
        <v>23.178000000000001</v>
      </c>
      <c r="E16" s="20">
        <v>35.453000000000003</v>
      </c>
      <c r="F16" s="20">
        <v>36.591000000000001</v>
      </c>
      <c r="G16" s="20">
        <v>10.68</v>
      </c>
      <c r="H16" s="20">
        <f t="shared" si="0"/>
        <v>26.389000000000003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1.1852996254681647</v>
      </c>
    </row>
    <row r="17" spans="1:21" x14ac:dyDescent="0.25">
      <c r="A17" s="6" t="s">
        <v>37</v>
      </c>
      <c r="B17" s="6" t="s">
        <v>48</v>
      </c>
      <c r="C17" s="15">
        <v>2011.75</v>
      </c>
      <c r="D17" s="16">
        <v>38.378</v>
      </c>
      <c r="E17" s="16">
        <v>40.963000000000001</v>
      </c>
      <c r="F17" s="16">
        <v>42.104999999999997</v>
      </c>
      <c r="G17" s="16">
        <v>15.57</v>
      </c>
      <c r="H17" s="16">
        <f t="shared" si="0"/>
        <v>39.167000000000002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-7.5114660502577424E-2</v>
      </c>
      <c r="R17" s="8">
        <f>bdrate(C17:C20,E17:E20,J17:J20,L17:L20)</f>
        <v>-0.37973963476583139</v>
      </c>
      <c r="S17" s="8">
        <f>bdrate(C17:C20,F17:F20,J17:J20,M17:M20)</f>
        <v>-0.39209831922761795</v>
      </c>
      <c r="T17" s="25">
        <f>bdrate(C17:C20,H17:H20,J17:J20,O17:O20)</f>
        <v>-0.12587647172092531</v>
      </c>
      <c r="U17" s="28">
        <f t="shared" si="2"/>
        <v>1.0247270391779062</v>
      </c>
    </row>
    <row r="18" spans="1:21" x14ac:dyDescent="0.25">
      <c r="A18" s="9" t="s">
        <v>38</v>
      </c>
      <c r="B18" s="9"/>
      <c r="C18" s="17">
        <v>1315.44</v>
      </c>
      <c r="D18" s="18">
        <v>37.049999999999997</v>
      </c>
      <c r="E18" s="18">
        <v>40.131</v>
      </c>
      <c r="F18" s="18">
        <v>41.298999999999999</v>
      </c>
      <c r="G18" s="18">
        <v>15.29</v>
      </c>
      <c r="H18" s="18">
        <f t="shared" si="0"/>
        <v>37.966249999999995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1.3452190974493137</v>
      </c>
    </row>
    <row r="19" spans="1:21" x14ac:dyDescent="0.25">
      <c r="B19" s="9"/>
      <c r="C19" s="17">
        <v>808.34</v>
      </c>
      <c r="D19" s="18">
        <v>35.408000000000001</v>
      </c>
      <c r="E19" s="18">
        <v>39.350999999999999</v>
      </c>
      <c r="F19" s="18">
        <v>40.609000000000002</v>
      </c>
      <c r="G19" s="18">
        <v>17.7</v>
      </c>
      <c r="H19" s="18">
        <f t="shared" si="0"/>
        <v>36.551000000000002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1.3876271186440681</v>
      </c>
    </row>
    <row r="20" spans="1:21" ht="16.5" thickBot="1" x14ac:dyDescent="0.3">
      <c r="B20" s="12"/>
      <c r="C20" s="19">
        <v>479.47</v>
      </c>
      <c r="D20" s="20">
        <v>33.58</v>
      </c>
      <c r="E20" s="20">
        <v>38.54</v>
      </c>
      <c r="F20" s="20">
        <v>39.994</v>
      </c>
      <c r="G20" s="20">
        <v>20.239999999999998</v>
      </c>
      <c r="H20" s="20">
        <f t="shared" si="0"/>
        <v>35.001750000000001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1.5250642292490122</v>
      </c>
    </row>
    <row r="21" spans="1:21" x14ac:dyDescent="0.25">
      <c r="B21" s="6" t="s">
        <v>49</v>
      </c>
      <c r="C21" s="15">
        <v>2306.29</v>
      </c>
      <c r="D21" s="16">
        <v>34.615000000000002</v>
      </c>
      <c r="E21" s="16">
        <v>38.307000000000002</v>
      </c>
      <c r="F21" s="16">
        <v>39.508000000000003</v>
      </c>
      <c r="G21" s="16">
        <v>19.329999999999998</v>
      </c>
      <c r="H21" s="16">
        <f t="shared" si="0"/>
        <v>35.688124999999999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-0.28242979201297924</v>
      </c>
      <c r="R21" s="8">
        <f>bdrate(C21:C24,E21:E24,J21:J24,L21:L24)</f>
        <v>-0.54562434903336243</v>
      </c>
      <c r="S21" s="8">
        <f>bdrate(C21:C24,F21:F24,J21:J24,M21:M24)</f>
        <v>-0.56060649311869093</v>
      </c>
      <c r="T21" s="25">
        <f>bdrate(C21:C24,H21:H24,J21:J24,O21:O24)</f>
        <v>-0.32990182211678887</v>
      </c>
      <c r="U21" s="28">
        <f t="shared" si="2"/>
        <v>0.46587170201758937</v>
      </c>
    </row>
    <row r="22" spans="1:21" x14ac:dyDescent="0.25">
      <c r="B22" s="9"/>
      <c r="C22" s="17">
        <v>1527.98</v>
      </c>
      <c r="D22" s="18">
        <v>33.426000000000002</v>
      </c>
      <c r="E22" s="18">
        <v>37.540999999999997</v>
      </c>
      <c r="F22" s="18">
        <v>38.963000000000001</v>
      </c>
      <c r="G22" s="18">
        <v>17.850000000000001</v>
      </c>
      <c r="H22" s="18">
        <f t="shared" si="0"/>
        <v>34.6325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0.91529411764705881</v>
      </c>
    </row>
    <row r="23" spans="1:21" x14ac:dyDescent="0.25">
      <c r="B23" s="9"/>
      <c r="C23" s="17">
        <v>945.3</v>
      </c>
      <c r="D23" s="18">
        <v>32.11</v>
      </c>
      <c r="E23" s="18">
        <v>36.801000000000002</v>
      </c>
      <c r="F23" s="18">
        <v>38.49</v>
      </c>
      <c r="G23" s="18">
        <v>21.05</v>
      </c>
      <c r="H23" s="18">
        <f t="shared" si="0"/>
        <v>33.493875000000003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0.96983847980997617</v>
      </c>
    </row>
    <row r="24" spans="1:21" ht="16.5" thickBot="1" x14ac:dyDescent="0.3">
      <c r="B24" s="12"/>
      <c r="C24" s="19">
        <v>558.42999999999995</v>
      </c>
      <c r="D24" s="20">
        <v>30.663</v>
      </c>
      <c r="E24" s="20">
        <v>36.087000000000003</v>
      </c>
      <c r="F24" s="20">
        <v>37.994999999999997</v>
      </c>
      <c r="G24" s="20">
        <v>24.23</v>
      </c>
      <c r="H24" s="20">
        <f t="shared" si="0"/>
        <v>32.2575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1.0747957078002477</v>
      </c>
    </row>
    <row r="25" spans="1:21" x14ac:dyDescent="0.25">
      <c r="B25" s="6" t="s">
        <v>50</v>
      </c>
      <c r="C25" s="15">
        <v>2388.9699999999998</v>
      </c>
      <c r="D25" s="16">
        <v>32.872999999999998</v>
      </c>
      <c r="E25" s="16">
        <v>37.195</v>
      </c>
      <c r="F25" s="16">
        <v>38.500999999999998</v>
      </c>
      <c r="G25" s="16">
        <v>19.649999999999999</v>
      </c>
      <c r="H25" s="16">
        <f t="shared" si="0"/>
        <v>34.116749999999996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-0.24582858902444671</v>
      </c>
      <c r="R25" s="8">
        <f>bdrate(C25:C28,E25:E28,J25:J28,L25:L28)</f>
        <v>-0.51615438875075637</v>
      </c>
      <c r="S25" s="8">
        <f>bdrate(C25:C28,F25:F28,J25:J28,M25:M28)</f>
        <v>-0.50356362307794722</v>
      </c>
      <c r="T25" s="25">
        <f>bdrate(C25:C28,H25:H28,J25:J28,O25:O28)</f>
        <v>-0.2916314638132419</v>
      </c>
      <c r="U25" s="28">
        <f t="shared" si="2"/>
        <v>0.99900254452926229</v>
      </c>
    </row>
    <row r="26" spans="1:21" x14ac:dyDescent="0.25">
      <c r="B26" s="9"/>
      <c r="C26" s="17">
        <v>1579.19</v>
      </c>
      <c r="D26" s="18">
        <v>31.824999999999999</v>
      </c>
      <c r="E26" s="18">
        <v>36.786000000000001</v>
      </c>
      <c r="F26" s="18">
        <v>37.828000000000003</v>
      </c>
      <c r="G26" s="18">
        <v>21.7</v>
      </c>
      <c r="H26" s="18">
        <f t="shared" si="0"/>
        <v>33.195499999999996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1.1850599078341013</v>
      </c>
    </row>
    <row r="27" spans="1:21" x14ac:dyDescent="0.25">
      <c r="B27" s="9"/>
      <c r="C27" s="17">
        <v>976.47</v>
      </c>
      <c r="D27" s="18">
        <v>30.523</v>
      </c>
      <c r="E27" s="18">
        <v>36.24</v>
      </c>
      <c r="F27" s="18">
        <v>36.96</v>
      </c>
      <c r="G27" s="18">
        <v>27.8</v>
      </c>
      <c r="H27" s="18">
        <f t="shared" si="0"/>
        <v>32.042250000000003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1.0442841726618703</v>
      </c>
    </row>
    <row r="28" spans="1:21" ht="16.5" thickBot="1" x14ac:dyDescent="0.3">
      <c r="B28" s="12"/>
      <c r="C28" s="19">
        <v>574.4</v>
      </c>
      <c r="D28" s="20">
        <v>28.925999999999998</v>
      </c>
      <c r="E28" s="20">
        <v>35.469000000000001</v>
      </c>
      <c r="F28" s="20">
        <v>35.773000000000003</v>
      </c>
      <c r="G28" s="20">
        <v>31.15</v>
      </c>
      <c r="H28" s="20">
        <f t="shared" si="0"/>
        <v>30.599749999999997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1.2321476725521672</v>
      </c>
    </row>
    <row r="29" spans="1:21" x14ac:dyDescent="0.25">
      <c r="B29" s="6" t="s">
        <v>51</v>
      </c>
      <c r="C29" s="29">
        <v>2402.64</v>
      </c>
      <c r="D29" s="30">
        <v>33.472000000000001</v>
      </c>
      <c r="E29" s="30">
        <v>39.401000000000003</v>
      </c>
      <c r="F29" s="30">
        <v>38.86</v>
      </c>
      <c r="G29" s="16">
        <v>20.04</v>
      </c>
      <c r="H29" s="16">
        <f t="shared" si="0"/>
        <v>34.886625000000002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-0.12343434616403426</v>
      </c>
      <c r="R29" s="8">
        <f>bdrate(C29:C32,E29:E32,J29:J32,L29:L32)</f>
        <v>-0.29199633528864455</v>
      </c>
      <c r="S29" s="8">
        <f>bdrate(C29:C32,F29:F32,J29:J32,M29:M32)</f>
        <v>-0.33393612038339415</v>
      </c>
      <c r="T29" s="25">
        <f>bdrate(C29:C32,H29:H32,J29:J32,O29:O32)</f>
        <v>-0.16459923942558863</v>
      </c>
      <c r="U29" s="28">
        <f t="shared" si="2"/>
        <v>0.75940119760479063</v>
      </c>
    </row>
    <row r="30" spans="1:21" x14ac:dyDescent="0.25">
      <c r="B30" s="9"/>
      <c r="C30" s="31">
        <v>1593.82</v>
      </c>
      <c r="D30" s="32">
        <v>32.143000000000001</v>
      </c>
      <c r="E30" s="32">
        <v>38.612000000000002</v>
      </c>
      <c r="F30" s="32">
        <v>37.81</v>
      </c>
      <c r="G30" s="18">
        <v>19.54</v>
      </c>
      <c r="H30" s="18">
        <f t="shared" si="0"/>
        <v>33.659999999999997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1.1441709314227229</v>
      </c>
    </row>
    <row r="31" spans="1:21" x14ac:dyDescent="0.25">
      <c r="B31" s="9"/>
      <c r="C31" s="31">
        <v>989.27</v>
      </c>
      <c r="D31" s="32">
        <v>30.501999999999999</v>
      </c>
      <c r="E31" s="32">
        <v>37.780999999999999</v>
      </c>
      <c r="F31" s="32">
        <v>36.585999999999999</v>
      </c>
      <c r="G31" s="18">
        <v>21.6</v>
      </c>
      <c r="H31" s="18">
        <f t="shared" si="0"/>
        <v>32.172375000000002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1.3403240740740741</v>
      </c>
    </row>
    <row r="32" spans="1:21" ht="16.5" thickBot="1" x14ac:dyDescent="0.3">
      <c r="B32" s="12"/>
      <c r="C32" s="33">
        <v>587.53</v>
      </c>
      <c r="D32" s="34">
        <v>28.626999999999999</v>
      </c>
      <c r="E32" s="34">
        <v>36.210999999999999</v>
      </c>
      <c r="F32" s="34">
        <v>34.738999999999997</v>
      </c>
      <c r="G32" s="20">
        <v>24.85</v>
      </c>
      <c r="H32" s="20">
        <f t="shared" si="0"/>
        <v>30.339000000000002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1.4898792756539234</v>
      </c>
    </row>
    <row r="33" spans="1:21" x14ac:dyDescent="0.25">
      <c r="B33" s="6" t="s">
        <v>52</v>
      </c>
      <c r="C33" s="15">
        <v>2399</v>
      </c>
      <c r="D33" s="16">
        <v>31.795000000000002</v>
      </c>
      <c r="E33" s="16">
        <v>38.362000000000002</v>
      </c>
      <c r="F33" s="16">
        <v>41.042999999999999</v>
      </c>
      <c r="G33" s="16">
        <v>28.03</v>
      </c>
      <c r="H33" s="16">
        <f t="shared" si="0"/>
        <v>33.771875000000001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-0.56011425891524413</v>
      </c>
      <c r="R33" s="8">
        <f>bdrate(C33:C36,E33:E36,J33:J36,L33:L36)</f>
        <v>-0.65148451300783194</v>
      </c>
      <c r="S33" s="8">
        <f>bdrate(C33:C36,F33:F36,J33:J36,M33:M36)</f>
        <v>-0.5656349670688775</v>
      </c>
      <c r="T33" s="25">
        <f>bdrate(C33:C36,H33:H36,J33:J36,O33:O36)</f>
        <v>-0.56576400792580173</v>
      </c>
      <c r="U33" s="28">
        <f t="shared" si="2"/>
        <v>0.57359614698537276</v>
      </c>
    </row>
    <row r="34" spans="1:21" x14ac:dyDescent="0.25">
      <c r="B34" s="9"/>
      <c r="C34" s="17">
        <v>1557.53</v>
      </c>
      <c r="D34" s="18">
        <v>30.873000000000001</v>
      </c>
      <c r="E34" s="18">
        <v>38.017000000000003</v>
      </c>
      <c r="F34" s="18">
        <v>40.753999999999998</v>
      </c>
      <c r="G34" s="18">
        <v>30.26</v>
      </c>
      <c r="H34" s="18">
        <f t="shared" si="0"/>
        <v>33.001125000000002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0.69254461335095829</v>
      </c>
    </row>
    <row r="35" spans="1:21" x14ac:dyDescent="0.25">
      <c r="B35" s="9"/>
      <c r="C35" s="17">
        <v>936.33</v>
      </c>
      <c r="D35" s="18">
        <v>29.571000000000002</v>
      </c>
      <c r="E35" s="18">
        <v>37.56</v>
      </c>
      <c r="F35" s="18">
        <v>40.311999999999998</v>
      </c>
      <c r="G35" s="18">
        <v>34.25</v>
      </c>
      <c r="H35" s="18">
        <f t="shared" si="0"/>
        <v>31.91225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0.71444963503649639</v>
      </c>
    </row>
    <row r="36" spans="1:21" ht="16.5" thickBot="1" x14ac:dyDescent="0.3">
      <c r="B36" s="12"/>
      <c r="C36" s="19">
        <v>491.48</v>
      </c>
      <c r="D36" s="20">
        <v>27.009</v>
      </c>
      <c r="E36" s="20">
        <v>36.497</v>
      </c>
      <c r="F36" s="20">
        <v>39.497999999999998</v>
      </c>
      <c r="G36" s="20">
        <v>37.380000000000003</v>
      </c>
      <c r="H36" s="20">
        <f t="shared" si="0"/>
        <v>29.756124999999997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0.79585607276618486</v>
      </c>
    </row>
    <row r="37" spans="1:21" x14ac:dyDescent="0.25">
      <c r="A37" s="6" t="s">
        <v>39</v>
      </c>
      <c r="B37" s="6" t="s">
        <v>53</v>
      </c>
      <c r="C37" s="15">
        <v>1221.8800000000001</v>
      </c>
      <c r="D37" s="16">
        <v>33.655000000000001</v>
      </c>
      <c r="E37" s="16">
        <v>37.313000000000002</v>
      </c>
      <c r="F37" s="16">
        <v>37.113999999999997</v>
      </c>
      <c r="G37" s="16">
        <v>65.69</v>
      </c>
      <c r="H37" s="16">
        <f t="shared" si="0"/>
        <v>34.544624999999996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-0.26404330611228854</v>
      </c>
      <c r="R37" s="8">
        <f>bdrate(C37:C40,E37:E40,J37:J40,L37:L40)</f>
        <v>-0.42869846104585607</v>
      </c>
      <c r="S37" s="8">
        <f>bdrate(C37:C40,F37:F40,J37:J40,M37:M40)</f>
        <v>-0.40546755266678691</v>
      </c>
      <c r="T37" s="25">
        <f>bdrate(C37:C40,H37:H40,J37:J40,O37:O40)</f>
        <v>-0.29544608609400302</v>
      </c>
      <c r="U37" s="28">
        <f t="shared" si="2"/>
        <v>0.95166844268534012</v>
      </c>
    </row>
    <row r="38" spans="1:21" x14ac:dyDescent="0.25">
      <c r="A38" s="9" t="s">
        <v>40</v>
      </c>
      <c r="B38" s="9"/>
      <c r="C38" s="17">
        <v>818.07</v>
      </c>
      <c r="D38" s="18">
        <v>32.314</v>
      </c>
      <c r="E38" s="18">
        <v>36.402000000000001</v>
      </c>
      <c r="F38" s="18">
        <v>36.030999999999999</v>
      </c>
      <c r="G38" s="18">
        <v>70.599999999999994</v>
      </c>
      <c r="H38" s="18">
        <f t="shared" si="0"/>
        <v>33.289625000000001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1.1824815864022666</v>
      </c>
    </row>
    <row r="39" spans="1:21" x14ac:dyDescent="0.25">
      <c r="B39" s="9"/>
      <c r="C39" s="17">
        <v>508.93</v>
      </c>
      <c r="D39" s="18">
        <v>30.78</v>
      </c>
      <c r="E39" s="18">
        <v>35.511000000000003</v>
      </c>
      <c r="F39" s="18">
        <v>35.011000000000003</v>
      </c>
      <c r="G39" s="18">
        <v>79.92</v>
      </c>
      <c r="H39" s="18">
        <f t="shared" si="0"/>
        <v>31.90025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1.3733896396396394</v>
      </c>
    </row>
    <row r="40" spans="1:21" ht="16.5" thickBot="1" x14ac:dyDescent="0.3">
      <c r="B40" s="12"/>
      <c r="C40" s="19">
        <v>300.72000000000003</v>
      </c>
      <c r="D40" s="20">
        <v>29.151</v>
      </c>
      <c r="E40" s="20">
        <v>34.463000000000001</v>
      </c>
      <c r="F40" s="20">
        <v>33.779000000000003</v>
      </c>
      <c r="G40" s="20">
        <v>94.54</v>
      </c>
      <c r="H40" s="20">
        <f t="shared" si="0"/>
        <v>30.3935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1.5874592764967208</v>
      </c>
    </row>
    <row r="41" spans="1:21" x14ac:dyDescent="0.25">
      <c r="B41" s="6" t="s">
        <v>54</v>
      </c>
      <c r="C41" s="15">
        <v>1232.51</v>
      </c>
      <c r="D41" s="16">
        <v>33.447000000000003</v>
      </c>
      <c r="E41" s="16">
        <v>38.759</v>
      </c>
      <c r="F41" s="16">
        <v>39.545999999999999</v>
      </c>
      <c r="G41" s="16">
        <v>76.31</v>
      </c>
      <c r="H41" s="16">
        <f t="shared" si="0"/>
        <v>34.873375000000003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-0.32892771814857091</v>
      </c>
      <c r="R41" s="8">
        <f>bdrate(C41:C44,E41:E44,J41:J44,L41:L44)</f>
        <v>-0.52047515504857933</v>
      </c>
      <c r="S41" s="8">
        <f>bdrate(C41:C44,F41:F44,J41:J44,M41:M44)</f>
        <v>-0.48059373987305665</v>
      </c>
      <c r="T41" s="25">
        <f>bdrate(C41:C44,H41:H44,J41:J44,O41:O44)</f>
        <v>-0.36087391259324109</v>
      </c>
      <c r="U41" s="28">
        <f t="shared" si="2"/>
        <v>0.75623509369676334</v>
      </c>
    </row>
    <row r="42" spans="1:21" x14ac:dyDescent="0.25">
      <c r="B42" s="9"/>
      <c r="C42" s="17">
        <v>821.21</v>
      </c>
      <c r="D42" s="18">
        <v>32.006999999999998</v>
      </c>
      <c r="E42" s="18">
        <v>37.866</v>
      </c>
      <c r="F42" s="18">
        <v>38.606000000000002</v>
      </c>
      <c r="G42" s="18">
        <v>85.67</v>
      </c>
      <c r="H42" s="18">
        <f t="shared" si="0"/>
        <v>33.564249999999994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0.87865297070152903</v>
      </c>
    </row>
    <row r="43" spans="1:21" x14ac:dyDescent="0.25">
      <c r="B43" s="9"/>
      <c r="C43" s="17">
        <v>511.54</v>
      </c>
      <c r="D43" s="18">
        <v>30.359000000000002</v>
      </c>
      <c r="E43" s="18">
        <v>36.957999999999998</v>
      </c>
      <c r="F43" s="18">
        <v>37.463000000000001</v>
      </c>
      <c r="G43" s="18">
        <v>97.37</v>
      </c>
      <c r="H43" s="18">
        <f t="shared" si="0"/>
        <v>32.071874999999999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1.0256619081852725</v>
      </c>
    </row>
    <row r="44" spans="1:21" ht="16.5" thickBot="1" x14ac:dyDescent="0.3">
      <c r="B44" s="12"/>
      <c r="C44" s="19">
        <v>302.37</v>
      </c>
      <c r="D44" s="20">
        <v>28.507000000000001</v>
      </c>
      <c r="E44" s="20">
        <v>35.865000000000002</v>
      </c>
      <c r="F44" s="20">
        <v>36.238</v>
      </c>
      <c r="G44" s="20">
        <v>116.55</v>
      </c>
      <c r="H44" s="20">
        <f t="shared" si="0"/>
        <v>30.393125000000001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1.129034749034749</v>
      </c>
    </row>
    <row r="45" spans="1:21" x14ac:dyDescent="0.25">
      <c r="B45" s="6" t="s">
        <v>55</v>
      </c>
      <c r="C45" s="15">
        <v>1098.23</v>
      </c>
      <c r="D45" s="16">
        <v>27.911999999999999</v>
      </c>
      <c r="E45" s="16">
        <v>34.454999999999998</v>
      </c>
      <c r="F45" s="16">
        <v>35.262</v>
      </c>
      <c r="G45" s="16">
        <v>75.95</v>
      </c>
      <c r="H45" s="16">
        <f t="shared" si="0"/>
        <v>29.648624999999996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-0.47166053601059366</v>
      </c>
      <c r="R45" s="8">
        <f>bdrate(C45:C48,E45:E48,J45:J48,L45:L48)</f>
        <v>-0.67089962155351746</v>
      </c>
      <c r="S45" s="8">
        <f>bdrate(C45:C48,F45:F48,J45:J48,M45:M48)</f>
        <v>-0.64804007000113173</v>
      </c>
      <c r="T45" s="25">
        <f>bdrate(C45:C48,H45:H48,J45:J48,O45:O48)</f>
        <v>-0.50509489323344825</v>
      </c>
      <c r="U45" s="28">
        <f t="shared" si="2"/>
        <v>0.58061882817643184</v>
      </c>
    </row>
    <row r="46" spans="1:21" x14ac:dyDescent="0.25">
      <c r="B46" s="9"/>
      <c r="C46" s="17">
        <v>729.53</v>
      </c>
      <c r="D46" s="18">
        <v>26.678000000000001</v>
      </c>
      <c r="E46" s="18">
        <v>33.881</v>
      </c>
      <c r="F46" s="18">
        <v>34.694000000000003</v>
      </c>
      <c r="G46" s="18">
        <v>83.7</v>
      </c>
      <c r="H46" s="18">
        <f t="shared" si="0"/>
        <v>28.580375000000004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0.76476105137395445</v>
      </c>
    </row>
    <row r="47" spans="1:21" x14ac:dyDescent="0.25">
      <c r="B47" s="9"/>
      <c r="C47" s="17">
        <v>451.35</v>
      </c>
      <c r="D47" s="18">
        <v>25.344000000000001</v>
      </c>
      <c r="E47" s="18">
        <v>33.197000000000003</v>
      </c>
      <c r="F47" s="18">
        <v>34.091000000000001</v>
      </c>
      <c r="G47" s="18">
        <v>94.82</v>
      </c>
      <c r="H47" s="18">
        <f t="shared" si="0"/>
        <v>27.419000000000004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0.92030162412993055</v>
      </c>
    </row>
    <row r="48" spans="1:21" ht="16.5" thickBot="1" x14ac:dyDescent="0.3">
      <c r="B48" s="12"/>
      <c r="C48" s="19">
        <v>261.33</v>
      </c>
      <c r="D48" s="20">
        <v>23.829000000000001</v>
      </c>
      <c r="E48" s="20">
        <v>32.328000000000003</v>
      </c>
      <c r="F48" s="20">
        <v>33.195999999999998</v>
      </c>
      <c r="G48" s="20">
        <v>115.69</v>
      </c>
      <c r="H48" s="20">
        <f t="shared" si="0"/>
        <v>26.062249999999999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0.99257498487336837</v>
      </c>
    </row>
    <row r="49" spans="1:21" x14ac:dyDescent="0.25">
      <c r="B49" s="6" t="s">
        <v>56</v>
      </c>
      <c r="C49" s="15">
        <v>1125.1199999999999</v>
      </c>
      <c r="D49" s="16">
        <v>31.405999999999999</v>
      </c>
      <c r="E49" s="16">
        <v>35.915999999999997</v>
      </c>
      <c r="F49" s="16">
        <v>37.555999999999997</v>
      </c>
      <c r="G49" s="16">
        <v>48.44</v>
      </c>
      <c r="H49" s="16">
        <f t="shared" si="0"/>
        <v>32.738499999999995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-0.11387556218332828</v>
      </c>
      <c r="R49" s="8">
        <f>bdrate(C49:C52,E49:E52,J49:J52,L49:L52)</f>
        <v>-0.30913134384898255</v>
      </c>
      <c r="S49" s="8">
        <f>bdrate(C49:C52,F49:F52,J49:J52,M49:M52)</f>
        <v>-0.30013678683735534</v>
      </c>
      <c r="T49" s="25">
        <f>bdrate(C49:C52,H49:H52,J49:J52,O49:O52)</f>
        <v>-0.15059841090218296</v>
      </c>
      <c r="U49" s="28">
        <f t="shared" si="2"/>
        <v>0.79618084227910835</v>
      </c>
    </row>
    <row r="50" spans="1:21" x14ac:dyDescent="0.25">
      <c r="B50" s="9"/>
      <c r="C50" s="17">
        <v>755.61</v>
      </c>
      <c r="D50" s="18">
        <v>30.09</v>
      </c>
      <c r="E50" s="18">
        <v>35.167000000000002</v>
      </c>
      <c r="F50" s="18">
        <v>36.731999999999999</v>
      </c>
      <c r="G50" s="18">
        <v>52.54</v>
      </c>
      <c r="H50" s="18">
        <f t="shared" si="0"/>
        <v>31.554874999999999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0.99997716025885042</v>
      </c>
    </row>
    <row r="51" spans="1:21" x14ac:dyDescent="0.25">
      <c r="B51" s="9"/>
      <c r="C51" s="17">
        <v>481.46</v>
      </c>
      <c r="D51" s="18">
        <v>28.777000000000001</v>
      </c>
      <c r="E51" s="18">
        <v>34.344000000000001</v>
      </c>
      <c r="F51" s="18">
        <v>35.789000000000001</v>
      </c>
      <c r="G51" s="18">
        <v>72.569999999999993</v>
      </c>
      <c r="H51" s="18">
        <f t="shared" si="0"/>
        <v>30.349375000000002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0.81472371503376073</v>
      </c>
    </row>
    <row r="52" spans="1:21" ht="16.5" thickBot="1" x14ac:dyDescent="0.3">
      <c r="B52" s="12"/>
      <c r="C52" s="19">
        <v>290.77999999999997</v>
      </c>
      <c r="D52" s="20">
        <v>27.417999999999999</v>
      </c>
      <c r="E52" s="20">
        <v>33.411999999999999</v>
      </c>
      <c r="F52" s="20">
        <v>34.74</v>
      </c>
      <c r="G52" s="20">
        <v>74.239999999999995</v>
      </c>
      <c r="H52" s="20">
        <f t="shared" si="0"/>
        <v>29.0825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1.2727491918103451</v>
      </c>
    </row>
    <row r="53" spans="1:21" x14ac:dyDescent="0.25">
      <c r="A53" s="6" t="s">
        <v>41</v>
      </c>
      <c r="B53" s="6" t="s">
        <v>57</v>
      </c>
      <c r="C53" s="15">
        <v>642.21</v>
      </c>
      <c r="D53" s="16">
        <v>33.454999999999998</v>
      </c>
      <c r="E53" s="16">
        <v>38.365000000000002</v>
      </c>
      <c r="F53" s="16">
        <v>37.08</v>
      </c>
      <c r="G53" s="16">
        <v>201.53</v>
      </c>
      <c r="H53" s="16">
        <f t="shared" si="0"/>
        <v>34.521875000000001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-0.150961560838202</v>
      </c>
      <c r="R53" s="8">
        <f>bdrate(C53:C56,E53:E56,J53:J56,L53:L56)</f>
        <v>-0.39973040682426308</v>
      </c>
      <c r="S53" s="8">
        <f>bdrate(C53:C56,F53:F56,J53:J56,M53:M56)</f>
        <v>-0.3414823808026769</v>
      </c>
      <c r="T53" s="25">
        <f>bdrate(C53:C56,H53:H56,J53:J56,O53:O56)</f>
        <v>-0.19423789616236531</v>
      </c>
      <c r="U53" s="28">
        <f t="shared" si="2"/>
        <v>0.6741026149952859</v>
      </c>
    </row>
    <row r="54" spans="1:21" x14ac:dyDescent="0.25">
      <c r="A54" s="9" t="s">
        <v>42</v>
      </c>
      <c r="B54" s="9"/>
      <c r="C54" s="17">
        <v>426.56</v>
      </c>
      <c r="D54" s="18">
        <v>31.882000000000001</v>
      </c>
      <c r="E54" s="18">
        <v>37.368000000000002</v>
      </c>
      <c r="F54" s="18">
        <v>35.878999999999998</v>
      </c>
      <c r="G54" s="18">
        <v>260.55</v>
      </c>
      <c r="H54" s="18">
        <f t="shared" si="0"/>
        <v>33.067374999999998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0.55764421416234877</v>
      </c>
    </row>
    <row r="55" spans="1:21" x14ac:dyDescent="0.25">
      <c r="B55" s="9"/>
      <c r="C55" s="17">
        <v>266.81</v>
      </c>
      <c r="D55" s="18">
        <v>30.254999999999999</v>
      </c>
      <c r="E55" s="18">
        <v>36.381999999999998</v>
      </c>
      <c r="F55" s="18">
        <v>34.630000000000003</v>
      </c>
      <c r="G55" s="18">
        <v>254.45</v>
      </c>
      <c r="H55" s="18">
        <f t="shared" si="0"/>
        <v>31.56775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0.93789192375712338</v>
      </c>
    </row>
    <row r="56" spans="1:21" ht="16.5" thickBot="1" x14ac:dyDescent="0.3">
      <c r="B56" s="12"/>
      <c r="C56" s="19">
        <v>128.62</v>
      </c>
      <c r="D56" s="20">
        <v>27.916</v>
      </c>
      <c r="E56" s="20">
        <v>35.084000000000003</v>
      </c>
      <c r="F56" s="20">
        <v>32.831000000000003</v>
      </c>
      <c r="G56" s="20">
        <v>320.51</v>
      </c>
      <c r="H56" s="20">
        <f t="shared" si="0"/>
        <v>29.426375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1.2740725718386323</v>
      </c>
    </row>
    <row r="57" spans="1:21" x14ac:dyDescent="0.25">
      <c r="B57" s="6" t="s">
        <v>58</v>
      </c>
      <c r="C57" s="15">
        <v>555.44000000000005</v>
      </c>
      <c r="D57" s="16">
        <v>30.132999999999999</v>
      </c>
      <c r="E57" s="16">
        <v>38.488999999999997</v>
      </c>
      <c r="F57" s="16">
        <v>39.100999999999999</v>
      </c>
      <c r="G57" s="16">
        <v>325.91000000000003</v>
      </c>
      <c r="H57" s="16">
        <f t="shared" si="0"/>
        <v>32.298500000000004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-0.63082459938490154</v>
      </c>
      <c r="R57" s="8">
        <f>bdrate(C57:C60,E57:E60,J57:J60,L57:L60)</f>
        <v>-0.73469210094691229</v>
      </c>
      <c r="S57" s="8">
        <f>bdrate(C57:C60,F57:F60,J57:J60,M57:M60)</f>
        <v>-0.70264472816320478</v>
      </c>
      <c r="T57" s="25">
        <f>bdrate(C57:C60,H57:H60,J57:J60,O57:O60)</f>
        <v>-0.64253987946681412</v>
      </c>
      <c r="U57" s="28">
        <f t="shared" si="2"/>
        <v>0.22897118836488589</v>
      </c>
    </row>
    <row r="58" spans="1:21" x14ac:dyDescent="0.25">
      <c r="B58" s="9"/>
      <c r="C58" s="17">
        <v>367.3</v>
      </c>
      <c r="D58" s="18">
        <v>28.795999999999999</v>
      </c>
      <c r="E58" s="18">
        <v>38.046999999999997</v>
      </c>
      <c r="F58" s="18">
        <v>38.691000000000003</v>
      </c>
      <c r="G58" s="18">
        <v>373.37</v>
      </c>
      <c r="H58" s="18">
        <f t="shared" si="0"/>
        <v>31.189250000000001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0.37349144280472463</v>
      </c>
    </row>
    <row r="59" spans="1:21" x14ac:dyDescent="0.25">
      <c r="B59" s="9"/>
      <c r="C59" s="17">
        <v>229.05</v>
      </c>
      <c r="D59" s="18">
        <v>27.358000000000001</v>
      </c>
      <c r="E59" s="18">
        <v>37.652000000000001</v>
      </c>
      <c r="F59" s="18">
        <v>38.237000000000002</v>
      </c>
      <c r="G59" s="18">
        <v>409</v>
      </c>
      <c r="H59" s="18">
        <f t="shared" si="0"/>
        <v>30.004625000000001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0.56729975550122258</v>
      </c>
    </row>
    <row r="60" spans="1:21" ht="16.5" thickBot="1" x14ac:dyDescent="0.3">
      <c r="B60" s="12"/>
      <c r="C60" s="19">
        <v>105.52</v>
      </c>
      <c r="D60" s="20">
        <v>24.940999999999999</v>
      </c>
      <c r="E60" s="20">
        <v>36.895000000000003</v>
      </c>
      <c r="F60" s="20">
        <v>37.332999999999998</v>
      </c>
      <c r="G60" s="20">
        <v>486.62</v>
      </c>
      <c r="H60" s="20">
        <f t="shared" si="0"/>
        <v>27.984249999999999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0.79736878878796591</v>
      </c>
    </row>
    <row r="61" spans="1:21" x14ac:dyDescent="0.25">
      <c r="B61" s="6" t="s">
        <v>59</v>
      </c>
      <c r="C61" s="29">
        <v>643.64</v>
      </c>
      <c r="D61" s="30">
        <v>31.148</v>
      </c>
      <c r="E61" s="30">
        <v>35.844000000000001</v>
      </c>
      <c r="F61" s="30">
        <v>36.372</v>
      </c>
      <c r="G61" s="16">
        <v>246.55</v>
      </c>
      <c r="H61" s="16">
        <f t="shared" si="0"/>
        <v>32.387999999999998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-0.40667391324562485</v>
      </c>
      <c r="R61" s="8">
        <f>bdrate(C61:C64,E61:E64,J61:J64,L61:L64)</f>
        <v>-0.61410180786818325</v>
      </c>
      <c r="S61" s="8">
        <f>bdrate(C61:C64,F61:F64,J61:J64,M61:M64)</f>
        <v>-0.63167157772837512</v>
      </c>
      <c r="T61" s="25">
        <f>bdrate(C61:C64,H61:H64,J61:J64,O61:O64)</f>
        <v>-0.45171402370638214</v>
      </c>
      <c r="U61" s="28">
        <f t="shared" si="2"/>
        <v>0.44443480024335835</v>
      </c>
    </row>
    <row r="62" spans="1:21" x14ac:dyDescent="0.25">
      <c r="B62" s="9"/>
      <c r="C62" s="31">
        <v>427.71</v>
      </c>
      <c r="D62" s="32">
        <v>29.734999999999999</v>
      </c>
      <c r="E62" s="32">
        <v>34.927</v>
      </c>
      <c r="F62" s="32">
        <v>35.484000000000002</v>
      </c>
      <c r="G62" s="18">
        <v>283.61</v>
      </c>
      <c r="H62" s="18">
        <f t="shared" si="0"/>
        <v>31.102625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0.56988822679031048</v>
      </c>
    </row>
    <row r="63" spans="1:21" x14ac:dyDescent="0.25">
      <c r="B63" s="9"/>
      <c r="C63" s="31">
        <v>265.5</v>
      </c>
      <c r="D63" s="32">
        <v>28.263999999999999</v>
      </c>
      <c r="E63" s="32">
        <v>34.04</v>
      </c>
      <c r="F63" s="32">
        <v>34.588000000000001</v>
      </c>
      <c r="G63" s="18">
        <v>314.27</v>
      </c>
      <c r="H63" s="18">
        <f t="shared" si="0"/>
        <v>29.776499999999999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0.72745791835046303</v>
      </c>
    </row>
    <row r="64" spans="1:21" ht="16.5" thickBot="1" x14ac:dyDescent="0.3">
      <c r="B64" s="12"/>
      <c r="C64" s="33">
        <v>125.21</v>
      </c>
      <c r="D64" s="34">
        <v>26.157</v>
      </c>
      <c r="E64" s="34">
        <v>32.622</v>
      </c>
      <c r="F64" s="34">
        <v>33.231000000000002</v>
      </c>
      <c r="G64" s="20">
        <v>372.58</v>
      </c>
      <c r="H64" s="20">
        <f t="shared" si="0"/>
        <v>27.849375000000002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1.1001465457083044</v>
      </c>
    </row>
    <row r="65" spans="1:21" x14ac:dyDescent="0.25">
      <c r="B65" s="6" t="s">
        <v>60</v>
      </c>
      <c r="C65" s="15">
        <v>582.1</v>
      </c>
      <c r="D65" s="16">
        <v>32.585000000000001</v>
      </c>
      <c r="E65" s="16">
        <v>36.554000000000002</v>
      </c>
      <c r="F65" s="16">
        <v>37.654000000000003</v>
      </c>
      <c r="G65" s="16">
        <v>153.85</v>
      </c>
      <c r="H65" s="16">
        <f t="shared" si="0"/>
        <v>33.714750000000002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-0.17617151290416544</v>
      </c>
      <c r="R65" s="8">
        <f>bdrate(C65:C68,E65:E68,J65:J68,L65:L68)</f>
        <v>-0.32546286373219291</v>
      </c>
      <c r="S65" s="8">
        <f>bdrate(C65:C68,F65:F68,J65:J68,M65:M68)</f>
        <v>-0.34045612200476527</v>
      </c>
      <c r="T65" s="25">
        <f>bdrate(C65:C68,H65:H68,J65:J68,O65:O68)</f>
        <v>-0.20951860655958021</v>
      </c>
      <c r="U65" s="28">
        <f t="shared" si="2"/>
        <v>0.56246083847903816</v>
      </c>
    </row>
    <row r="66" spans="1:21" x14ac:dyDescent="0.25">
      <c r="B66" s="9"/>
      <c r="C66" s="17">
        <v>390.85</v>
      </c>
      <c r="D66" s="18">
        <v>31.064</v>
      </c>
      <c r="E66" s="18">
        <v>35.521999999999998</v>
      </c>
      <c r="F66" s="18">
        <v>36.529000000000003</v>
      </c>
      <c r="G66" s="18">
        <v>178.04</v>
      </c>
      <c r="H66" s="18">
        <f t="shared" si="0"/>
        <v>32.304375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0.6617501685014604</v>
      </c>
    </row>
    <row r="67" spans="1:21" x14ac:dyDescent="0.25">
      <c r="B67" s="9"/>
      <c r="C67" s="17">
        <v>246.05</v>
      </c>
      <c r="D67" s="18">
        <v>29.518000000000001</v>
      </c>
      <c r="E67" s="18">
        <v>34.473999999999997</v>
      </c>
      <c r="F67" s="18">
        <v>35.396999999999998</v>
      </c>
      <c r="G67" s="18">
        <v>206.75</v>
      </c>
      <c r="H67" s="18">
        <f t="shared" si="0"/>
        <v>30.872374999999998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0.75456831922611856</v>
      </c>
    </row>
    <row r="68" spans="1:21" ht="16.5" thickBot="1" x14ac:dyDescent="0.3">
      <c r="B68" s="12"/>
      <c r="C68" s="19">
        <v>117.52</v>
      </c>
      <c r="D68" s="20">
        <v>27.388000000000002</v>
      </c>
      <c r="E68" s="20">
        <v>32.822000000000003</v>
      </c>
      <c r="F68" s="20">
        <v>33.713999999999999</v>
      </c>
      <c r="G68" s="20">
        <v>259.97000000000003</v>
      </c>
      <c r="H68" s="20">
        <f t="shared" si="0"/>
        <v>28.858000000000001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1.1135150209639573</v>
      </c>
    </row>
    <row r="69" spans="1:21" x14ac:dyDescent="0.25">
      <c r="A69" s="6" t="s">
        <v>43</v>
      </c>
      <c r="B69" s="6" t="s">
        <v>61</v>
      </c>
      <c r="C69" s="15">
        <v>1383.08</v>
      </c>
      <c r="D69" s="16">
        <v>39.732999999999997</v>
      </c>
      <c r="E69" s="16">
        <v>43.978999999999999</v>
      </c>
      <c r="F69" s="16">
        <v>45.188000000000002</v>
      </c>
      <c r="G69" s="16">
        <v>48.38</v>
      </c>
      <c r="H69" s="16">
        <f t="shared" si="0"/>
        <v>40.945624999999993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-0.34710255892203556</v>
      </c>
      <c r="R69" s="8">
        <f>bdrate(C69:C72,E69:E72,J69:J72,L69:L72)</f>
        <v>-0.423395205636939</v>
      </c>
      <c r="S69" s="8">
        <f>bdrate(C69:C72,F69:F72,J69:J72,M69:M72)</f>
        <v>-0.40757883164369124</v>
      </c>
      <c r="T69" s="25">
        <f>bdrate(C69:C72,H69:H72,J69:J72,O69:O72)</f>
        <v>-0.35855928218511923</v>
      </c>
      <c r="U69" s="28">
        <f t="shared" si="2"/>
        <v>1.148617197188921</v>
      </c>
    </row>
    <row r="70" spans="1:21" x14ac:dyDescent="0.25">
      <c r="A70" s="9" t="s">
        <v>44</v>
      </c>
      <c r="B70" s="9"/>
      <c r="C70" s="17">
        <v>915.49</v>
      </c>
      <c r="D70" s="18">
        <v>38.375</v>
      </c>
      <c r="E70" s="18">
        <v>42.914999999999999</v>
      </c>
      <c r="F70" s="18">
        <v>44.06</v>
      </c>
      <c r="G70" s="18">
        <v>56.07</v>
      </c>
      <c r="H70" s="18">
        <f t="shared" si="0"/>
        <v>39.653125000000003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1.1776368824683432</v>
      </c>
    </row>
    <row r="71" spans="1:21" x14ac:dyDescent="0.25">
      <c r="B71" s="9"/>
      <c r="C71" s="17">
        <v>543.63</v>
      </c>
      <c r="D71" s="18">
        <v>36.451000000000001</v>
      </c>
      <c r="E71" s="18">
        <v>41.988</v>
      </c>
      <c r="F71" s="18">
        <v>43.039000000000001</v>
      </c>
      <c r="G71" s="18">
        <v>74.83</v>
      </c>
      <c r="H71" s="18">
        <f t="shared" si="0"/>
        <v>37.966625000000001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0.90364960577308562</v>
      </c>
    </row>
    <row r="72" spans="1:21" ht="16.5" thickBot="1" x14ac:dyDescent="0.3">
      <c r="B72" s="12"/>
      <c r="C72" s="19">
        <v>259.14999999999998</v>
      </c>
      <c r="D72" s="20">
        <v>34.341999999999999</v>
      </c>
      <c r="E72" s="20">
        <v>41.011000000000003</v>
      </c>
      <c r="F72" s="20">
        <v>41.921999999999997</v>
      </c>
      <c r="G72" s="20">
        <v>85.09</v>
      </c>
      <c r="H72" s="20">
        <f t="shared" si="0"/>
        <v>36.123125000000002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1.0733188388764836</v>
      </c>
    </row>
    <row r="73" spans="1:21" x14ac:dyDescent="0.25">
      <c r="B73" s="6" t="s">
        <v>62</v>
      </c>
      <c r="C73" s="15">
        <v>1437.24</v>
      </c>
      <c r="D73" s="16">
        <v>41.619</v>
      </c>
      <c r="E73" s="16">
        <v>46.417999999999999</v>
      </c>
      <c r="F73" s="16">
        <v>46.975000000000001</v>
      </c>
      <c r="G73" s="16">
        <v>52.47</v>
      </c>
      <c r="H73" s="16">
        <f t="shared" si="0"/>
        <v>42.888375000000003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-0.4612459344254165</v>
      </c>
      <c r="R73" s="8">
        <f>bdrate(C73:C76,E73:E76,J73:J76,L73:L76)</f>
        <v>-0.52873102551114926</v>
      </c>
      <c r="S73" s="8">
        <f>bdrate(C73:C76,F73:F76,J73:J76,M73:M76)</f>
        <v>-0.5463451814260758</v>
      </c>
      <c r="T73" s="25">
        <f>bdrate(C73:C76,H73:H76,J73:J76,O73:O76)</f>
        <v>-0.48113888456458165</v>
      </c>
      <c r="U73" s="28">
        <f t="shared" ref="U73:U91" si="3">(N73-G73)/G73</f>
        <v>1.2011759100438346</v>
      </c>
    </row>
    <row r="74" spans="1:21" x14ac:dyDescent="0.25">
      <c r="B74" s="9"/>
      <c r="C74" s="17">
        <v>948.04</v>
      </c>
      <c r="D74" s="18">
        <v>40.921999999999997</v>
      </c>
      <c r="E74" s="18">
        <v>45.765000000000001</v>
      </c>
      <c r="F74" s="18">
        <v>46.262</v>
      </c>
      <c r="G74" s="18">
        <v>71.23</v>
      </c>
      <c r="H74" s="18">
        <f t="shared" si="0"/>
        <v>42.194874999999996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0.95665871121718382</v>
      </c>
    </row>
    <row r="75" spans="1:21" x14ac:dyDescent="0.25">
      <c r="B75" s="9"/>
      <c r="C75" s="17">
        <v>560.92999999999995</v>
      </c>
      <c r="D75" s="18">
        <v>39.874000000000002</v>
      </c>
      <c r="E75" s="18">
        <v>44.783999999999999</v>
      </c>
      <c r="F75" s="18">
        <v>45.179000000000002</v>
      </c>
      <c r="G75" s="18">
        <v>77.239999999999995</v>
      </c>
      <c r="H75" s="18">
        <f t="shared" si="0"/>
        <v>41.150874999999999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0.9999987053340238</v>
      </c>
    </row>
    <row r="76" spans="1:21" ht="16.5" thickBot="1" x14ac:dyDescent="0.3">
      <c r="B76" s="12"/>
      <c r="C76" s="19">
        <v>268.58999999999997</v>
      </c>
      <c r="D76" s="20">
        <v>37.963000000000001</v>
      </c>
      <c r="E76" s="20">
        <v>43.557000000000002</v>
      </c>
      <c r="F76" s="20">
        <v>43.923999999999999</v>
      </c>
      <c r="G76" s="20">
        <v>86.83</v>
      </c>
      <c r="H76" s="20">
        <f t="shared" si="0"/>
        <v>39.407375000000002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1.1294460439940113</v>
      </c>
    </row>
    <row r="77" spans="1:21" x14ac:dyDescent="0.25">
      <c r="B77" s="6" t="s">
        <v>63</v>
      </c>
      <c r="C77" s="15">
        <v>1507.42</v>
      </c>
      <c r="D77" s="16">
        <v>41.328000000000003</v>
      </c>
      <c r="E77" s="16">
        <v>45.475999999999999</v>
      </c>
      <c r="F77" s="16">
        <v>46.274999999999999</v>
      </c>
      <c r="G77" s="16">
        <v>41.4</v>
      </c>
      <c r="H77" s="16">
        <f t="shared" si="0"/>
        <v>42.464874999999999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-0.39250864656580786</v>
      </c>
      <c r="R77" s="8">
        <f>bdrate(C77:C80,E77:E80,J77:J80,L77:L80)</f>
        <v>-0.42378266911494344</v>
      </c>
      <c r="S77" s="8">
        <f>bdrate(C77:C80,F77:F80,J77:J80,M77:M80)</f>
        <v>-0.41820435677661505</v>
      </c>
      <c r="T77" s="25">
        <f>bdrate(C77:C80,H77:H80,J77:J80,O77:O80)</f>
        <v>-0.39863451687842244</v>
      </c>
      <c r="U77" s="28">
        <f t="shared" si="3"/>
        <v>1.4773937198067633</v>
      </c>
    </row>
    <row r="78" spans="1:21" x14ac:dyDescent="0.25">
      <c r="B78" s="9"/>
      <c r="C78" s="17">
        <v>997.39</v>
      </c>
      <c r="D78" s="18">
        <v>40.237000000000002</v>
      </c>
      <c r="E78" s="18">
        <v>44.546999999999997</v>
      </c>
      <c r="F78" s="18">
        <v>45.334000000000003</v>
      </c>
      <c r="G78" s="18">
        <v>55.99</v>
      </c>
      <c r="H78" s="18">
        <f t="shared" si="0"/>
        <v>41.412875000000007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1.1807483479192711</v>
      </c>
    </row>
    <row r="79" spans="1:21" x14ac:dyDescent="0.25">
      <c r="B79" s="9"/>
      <c r="C79" s="17">
        <v>594.07000000000005</v>
      </c>
      <c r="D79" s="18">
        <v>38.707999999999998</v>
      </c>
      <c r="E79" s="18">
        <v>43.308</v>
      </c>
      <c r="F79" s="18">
        <v>44.197000000000003</v>
      </c>
      <c r="G79" s="18">
        <v>71.36</v>
      </c>
      <c r="H79" s="18">
        <f t="shared" si="0"/>
        <v>39.969124999999998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0.95309417040358768</v>
      </c>
    </row>
    <row r="80" spans="1:21" ht="16.5" thickBot="1" x14ac:dyDescent="0.3">
      <c r="B80" s="12"/>
      <c r="C80" s="19">
        <v>286.36</v>
      </c>
      <c r="D80" s="20">
        <v>36.460999999999999</v>
      </c>
      <c r="E80" s="20">
        <v>42.045000000000002</v>
      </c>
      <c r="F80" s="20">
        <v>42.957999999999998</v>
      </c>
      <c r="G80" s="20">
        <v>81.150000000000006</v>
      </c>
      <c r="H80" s="20">
        <f t="shared" si="0"/>
        <v>37.971125000000001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1.0975083179297593</v>
      </c>
    </row>
    <row r="81" spans="1:21" x14ac:dyDescent="0.25">
      <c r="A81" s="6" t="s">
        <v>102</v>
      </c>
      <c r="B81" s="6" t="s">
        <v>103</v>
      </c>
      <c r="C81" s="15">
        <v>1206.73</v>
      </c>
      <c r="D81" s="16">
        <v>41.627000000000002</v>
      </c>
      <c r="E81" s="16">
        <v>47.142000000000003</v>
      </c>
      <c r="F81" s="16">
        <v>48.073999999999998</v>
      </c>
      <c r="G81" s="16">
        <v>34.19</v>
      </c>
      <c r="H81" s="16">
        <f t="shared" ref="H81:H124" si="4">(6*D81+E81+F81)/8</f>
        <v>43.122250000000001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5">(6*K81+L81+M81)/8</f>
        <v>45.109512500000001</v>
      </c>
      <c r="P81" s="7"/>
      <c r="Q81" s="8">
        <f>bdrate(C81:C84,D81:D84,J81:J84,K81:K84)</f>
        <v>-0.30670746980080843</v>
      </c>
      <c r="R81" s="8">
        <f>bdrate(C81:C84,E81:E84,J81:J84,L81:L84)</f>
        <v>-0.40202714539661644</v>
      </c>
      <c r="S81" s="8">
        <f>bdrate(C81:C84,F81:F84,J81:J84,M81:M84)</f>
        <v>-0.45983183779215953</v>
      </c>
      <c r="T81" s="25">
        <f>bdrate(C81:C84,H81:H84,J81:J84,O81:O84)</f>
        <v>-0.33271629780041678</v>
      </c>
      <c r="U81" s="28">
        <f t="shared" si="3"/>
        <v>0.79321439017256523</v>
      </c>
    </row>
    <row r="82" spans="1:21" x14ac:dyDescent="0.25">
      <c r="A82" s="9" t="s">
        <v>78</v>
      </c>
      <c r="B82" s="9"/>
      <c r="C82" s="17">
        <v>808.75</v>
      </c>
      <c r="D82" s="18">
        <v>39.692999999999998</v>
      </c>
      <c r="E82" s="18">
        <v>45.503999999999998</v>
      </c>
      <c r="F82" s="18">
        <v>46.628999999999998</v>
      </c>
      <c r="G82" s="18">
        <v>38.369999999999997</v>
      </c>
      <c r="H82" s="18">
        <f t="shared" si="4"/>
        <v>41.286375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0.73927286942924175</v>
      </c>
    </row>
    <row r="83" spans="1:21" x14ac:dyDescent="0.25">
      <c r="B83" s="9"/>
      <c r="C83" s="17">
        <v>489.89</v>
      </c>
      <c r="D83" s="18">
        <v>37.395000000000003</v>
      </c>
      <c r="E83" s="18">
        <v>43.863</v>
      </c>
      <c r="F83" s="18">
        <v>44.945</v>
      </c>
      <c r="G83" s="18">
        <v>41.02</v>
      </c>
      <c r="H83" s="18">
        <f t="shared" si="4"/>
        <v>39.14725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1.1571647976596782</v>
      </c>
    </row>
    <row r="84" spans="1:21" ht="16.5" thickBot="1" x14ac:dyDescent="0.3">
      <c r="B84" s="12"/>
      <c r="C84" s="19">
        <v>249.52</v>
      </c>
      <c r="D84" s="20">
        <v>34.429000000000002</v>
      </c>
      <c r="E84" s="20">
        <v>41.575000000000003</v>
      </c>
      <c r="F84" s="20">
        <v>42.801000000000002</v>
      </c>
      <c r="G84" s="20">
        <v>51.33</v>
      </c>
      <c r="H84" s="20">
        <f t="shared" si="4"/>
        <v>36.368749999999999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1.346417299824664</v>
      </c>
    </row>
    <row r="85" spans="1:21" x14ac:dyDescent="0.25">
      <c r="B85" s="6" t="s">
        <v>104</v>
      </c>
      <c r="C85" s="15">
        <v>1479.26</v>
      </c>
      <c r="D85" s="16">
        <v>48.863999999999997</v>
      </c>
      <c r="E85" s="16">
        <v>49.960999999999999</v>
      </c>
      <c r="F85" s="16">
        <v>50.436999999999998</v>
      </c>
      <c r="G85" s="16">
        <v>54.38</v>
      </c>
      <c r="H85" s="16">
        <f t="shared" si="4"/>
        <v>49.197749999999999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-0.44266059569041183</v>
      </c>
      <c r="R85" s="8">
        <f>bdrate(C85:C88,E85:E88,J85:J88,L85:L88)</f>
        <v>-0.43791242702416777</v>
      </c>
      <c r="S85" s="8">
        <f>bdrate(C85:C88,F85:F88,J85:J88,M85:M88)</f>
        <v>-0.44121176691214625</v>
      </c>
      <c r="T85" s="25">
        <f>bdrate(C85:C88,H85:H88,J85:J88,O85:O88)</f>
        <v>-0.44196897860080087</v>
      </c>
      <c r="U85" s="28">
        <f t="shared" si="3"/>
        <v>1.0246138286134607</v>
      </c>
    </row>
    <row r="86" spans="1:21" x14ac:dyDescent="0.25">
      <c r="B86" s="9"/>
      <c r="C86" s="17">
        <v>981.67</v>
      </c>
      <c r="D86" s="18">
        <v>46.195</v>
      </c>
      <c r="E86" s="18">
        <v>47.558</v>
      </c>
      <c r="F86" s="18">
        <v>48.091999999999999</v>
      </c>
      <c r="G86" s="18">
        <v>65.67</v>
      </c>
      <c r="H86" s="18">
        <f t="shared" si="4"/>
        <v>46.602499999999999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1.1193665296177857</v>
      </c>
    </row>
    <row r="87" spans="1:21" x14ac:dyDescent="0.25">
      <c r="B87" s="9"/>
      <c r="C87" s="17">
        <v>591.42999999999995</v>
      </c>
      <c r="D87" s="18">
        <v>43.274999999999999</v>
      </c>
      <c r="E87" s="18">
        <v>44.927</v>
      </c>
      <c r="F87" s="18">
        <v>45.436999999999998</v>
      </c>
      <c r="G87" s="18">
        <v>64.14</v>
      </c>
      <c r="H87" s="18">
        <f t="shared" si="4"/>
        <v>43.751750000000001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1.5126348612410354</v>
      </c>
    </row>
    <row r="88" spans="1:21" ht="16.5" thickBot="1" x14ac:dyDescent="0.3">
      <c r="B88" s="12"/>
      <c r="C88" s="19">
        <v>294.14</v>
      </c>
      <c r="D88" s="20">
        <v>39.816000000000003</v>
      </c>
      <c r="E88" s="20">
        <v>41.896000000000001</v>
      </c>
      <c r="F88" s="20">
        <v>42.451000000000001</v>
      </c>
      <c r="G88" s="20">
        <v>76.06</v>
      </c>
      <c r="H88" s="20">
        <f t="shared" si="4"/>
        <v>40.405375000000006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1.3703457796476466</v>
      </c>
    </row>
    <row r="89" spans="1:21" x14ac:dyDescent="0.25">
      <c r="B89" s="6" t="s">
        <v>105</v>
      </c>
      <c r="C89" s="15">
        <v>1553.91</v>
      </c>
      <c r="D89" s="16">
        <v>40.628999999999998</v>
      </c>
      <c r="E89" s="16">
        <v>43.33</v>
      </c>
      <c r="F89" s="16">
        <v>43.844999999999999</v>
      </c>
      <c r="G89" s="16">
        <v>45.57</v>
      </c>
      <c r="H89" s="16">
        <f t="shared" si="4"/>
        <v>41.368624999999994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-0.35304938499382454</v>
      </c>
      <c r="R89" s="8">
        <f>bdrate(C89:C92,E89:E92,J89:J92,L89:L92)</f>
        <v>-0.38544758844363514</v>
      </c>
      <c r="S89" s="8">
        <f>bdrate(C89:C92,F89:F92,J89:J92,M89:M92)</f>
        <v>-0.36956883340307944</v>
      </c>
      <c r="T89" s="25">
        <f>bdrate(C89:C92,H89:H92,J89:J92,O89:O92)</f>
        <v>-0.35777040042577724</v>
      </c>
      <c r="U89" s="28">
        <f t="shared" si="3"/>
        <v>0.69141759929778357</v>
      </c>
    </row>
    <row r="90" spans="1:21" x14ac:dyDescent="0.25">
      <c r="B90" s="9"/>
      <c r="C90" s="17">
        <v>1033.97</v>
      </c>
      <c r="D90" s="18">
        <v>38.630000000000003</v>
      </c>
      <c r="E90" s="18">
        <v>41.822000000000003</v>
      </c>
      <c r="F90" s="18">
        <v>42.351999999999997</v>
      </c>
      <c r="G90" s="18">
        <v>45.41</v>
      </c>
      <c r="H90" s="18">
        <f t="shared" si="4"/>
        <v>39.494250000000001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0.8332635983263601</v>
      </c>
    </row>
    <row r="91" spans="1:21" x14ac:dyDescent="0.25">
      <c r="B91" s="9"/>
      <c r="C91" s="17">
        <v>621.97</v>
      </c>
      <c r="D91" s="18">
        <v>36.136000000000003</v>
      </c>
      <c r="E91" s="18">
        <v>40.094000000000001</v>
      </c>
      <c r="F91" s="18">
        <v>40.639000000000003</v>
      </c>
      <c r="G91" s="18">
        <v>50.21</v>
      </c>
      <c r="H91" s="18">
        <f t="shared" si="4"/>
        <v>37.193625000000004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1.2182672774347738</v>
      </c>
    </row>
    <row r="92" spans="1:21" ht="16.5" thickBot="1" x14ac:dyDescent="0.3">
      <c r="B92" s="12"/>
      <c r="C92" s="19">
        <v>312.5</v>
      </c>
      <c r="D92" s="20">
        <v>32.805</v>
      </c>
      <c r="E92" s="20">
        <v>37.801000000000002</v>
      </c>
      <c r="F92" s="20">
        <v>38.329000000000001</v>
      </c>
      <c r="G92" s="20">
        <v>60.86</v>
      </c>
      <c r="H92" s="20">
        <f t="shared" si="4"/>
        <v>34.119999999999997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6">(6*K92+L92+M92)/8</f>
        <v>35.66395</v>
      </c>
      <c r="P92" s="7"/>
      <c r="Q92" s="13"/>
      <c r="R92" s="14"/>
      <c r="S92" s="14"/>
      <c r="T92" s="27"/>
      <c r="U92" s="28">
        <f t="shared" ref="U92:U124" si="7">(N92-G92)/G92</f>
        <v>1.2356999671376929</v>
      </c>
    </row>
    <row r="93" spans="1:21" x14ac:dyDescent="0.25">
      <c r="B93" s="6" t="s">
        <v>106</v>
      </c>
      <c r="C93" s="29">
        <v>1372.84</v>
      </c>
      <c r="D93" s="30">
        <v>37.314</v>
      </c>
      <c r="E93" s="30">
        <v>42.072000000000003</v>
      </c>
      <c r="F93" s="30">
        <v>42.073</v>
      </c>
      <c r="G93" s="16">
        <v>35.08</v>
      </c>
      <c r="H93" s="16">
        <f t="shared" si="4"/>
        <v>38.503625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6"/>
        <v>40.095375000000004</v>
      </c>
      <c r="P93" s="7"/>
      <c r="Q93" s="8">
        <f>bdrate(C93:C96,D93:D96,J93:J96,K93:K96)</f>
        <v>-0.18012930236544011</v>
      </c>
      <c r="R93" s="8">
        <f>bdrate(C93:C96,E93:E96,J93:J96,L93:L96)</f>
        <v>-0.29421622265090741</v>
      </c>
      <c r="S93" s="8">
        <f>bdrate(C93:C96,F93:F96,J93:J96,M93:M96)</f>
        <v>-0.28823929299995599</v>
      </c>
      <c r="T93" s="25">
        <f>bdrate(C93:C96,H93:H96,J93:J96,O93:O96)</f>
        <v>-0.20313757940360688</v>
      </c>
      <c r="U93" s="28">
        <f t="shared" si="7"/>
        <v>0.91345781071835808</v>
      </c>
    </row>
    <row r="94" spans="1:21" x14ac:dyDescent="0.25">
      <c r="B94" s="9"/>
      <c r="C94" s="31">
        <v>913.21</v>
      </c>
      <c r="D94" s="32">
        <v>35.645000000000003</v>
      </c>
      <c r="E94" s="32">
        <v>40.863</v>
      </c>
      <c r="F94" s="32">
        <v>40.817999999999998</v>
      </c>
      <c r="G94" s="18">
        <v>40.340000000000003</v>
      </c>
      <c r="H94" s="18">
        <f t="shared" si="4"/>
        <v>36.943874999999998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6"/>
        <v>38.383474999999997</v>
      </c>
      <c r="P94" s="7"/>
      <c r="Q94" s="10"/>
      <c r="R94" s="11"/>
      <c r="S94" s="11"/>
      <c r="T94" s="26"/>
      <c r="U94" s="28">
        <f t="shared" si="7"/>
        <v>0.98358453148239933</v>
      </c>
    </row>
    <row r="95" spans="1:21" x14ac:dyDescent="0.25">
      <c r="B95" s="9"/>
      <c r="C95" s="31">
        <v>545.57000000000005</v>
      </c>
      <c r="D95" s="32">
        <v>33.639000000000003</v>
      </c>
      <c r="E95" s="32">
        <v>39.295999999999999</v>
      </c>
      <c r="F95" s="32">
        <v>39.322000000000003</v>
      </c>
      <c r="G95" s="18">
        <v>46.32</v>
      </c>
      <c r="H95" s="18">
        <f t="shared" si="4"/>
        <v>35.0565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6"/>
        <v>36.297525</v>
      </c>
      <c r="P95" s="7"/>
      <c r="Q95" s="10"/>
      <c r="R95" s="11"/>
      <c r="S95" s="11"/>
      <c r="T95" s="26"/>
      <c r="U95" s="28">
        <f t="shared" si="7"/>
        <v>1.0986183074265976</v>
      </c>
    </row>
    <row r="96" spans="1:21" ht="16.5" thickBot="1" x14ac:dyDescent="0.3">
      <c r="B96" s="12"/>
      <c r="C96" s="33">
        <v>271.63</v>
      </c>
      <c r="D96" s="34">
        <v>30.869</v>
      </c>
      <c r="E96" s="34">
        <v>37.268999999999998</v>
      </c>
      <c r="F96" s="34">
        <v>37.281999999999996</v>
      </c>
      <c r="G96" s="20">
        <v>55.29</v>
      </c>
      <c r="H96" s="20">
        <f t="shared" si="4"/>
        <v>32.470624999999998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6"/>
        <v>33.493099999999998</v>
      </c>
      <c r="P96" s="7"/>
      <c r="Q96" s="13"/>
      <c r="R96" s="14"/>
      <c r="S96" s="14"/>
      <c r="T96" s="27"/>
      <c r="U96" s="28">
        <f t="shared" si="7"/>
        <v>1.2732772653282689</v>
      </c>
    </row>
    <row r="97" spans="2:21" x14ac:dyDescent="0.25">
      <c r="B97" s="6" t="s">
        <v>107</v>
      </c>
      <c r="C97" s="15">
        <v>1529.84</v>
      </c>
      <c r="D97" s="16">
        <v>34.344000000000001</v>
      </c>
      <c r="E97" s="16">
        <v>38.911999999999999</v>
      </c>
      <c r="F97" s="16">
        <v>39.470999999999997</v>
      </c>
      <c r="G97" s="16">
        <v>45.68</v>
      </c>
      <c r="H97" s="16">
        <f t="shared" si="4"/>
        <v>35.555875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6"/>
        <v>38.160262500000002</v>
      </c>
      <c r="P97" s="7"/>
      <c r="Q97" s="8">
        <f>bdrate(C97:C100,D97:D100,J97:J100,K97:K100)</f>
        <v>-0.40367957373392127</v>
      </c>
      <c r="R97" s="8">
        <f>bdrate(C97:C100,E97:E100,J97:J100,L97:L100)</f>
        <v>-0.54135939084461471</v>
      </c>
      <c r="S97" s="8">
        <f>bdrate(C97:C100,F97:F100,J97:J100,M97:M100)</f>
        <v>-0.55517339114635389</v>
      </c>
      <c r="T97" s="25">
        <f>bdrate(C97:C100,H97:H100,J97:J100,O97:O100)</f>
        <v>-0.43307147703998394</v>
      </c>
      <c r="U97" s="28">
        <f t="shared" si="7"/>
        <v>0.49372810858143623</v>
      </c>
    </row>
    <row r="98" spans="2:21" x14ac:dyDescent="0.25">
      <c r="B98" s="9"/>
      <c r="C98" s="17">
        <v>1021.06</v>
      </c>
      <c r="D98" s="18">
        <v>32.677</v>
      </c>
      <c r="E98" s="18">
        <v>37.600999999999999</v>
      </c>
      <c r="F98" s="18">
        <v>38.213999999999999</v>
      </c>
      <c r="G98" s="18">
        <v>50.21</v>
      </c>
      <c r="H98" s="18">
        <f t="shared" si="4"/>
        <v>33.984625000000001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6"/>
        <v>36.409187500000002</v>
      </c>
      <c r="P98" s="7"/>
      <c r="Q98" s="10"/>
      <c r="R98" s="11"/>
      <c r="S98" s="11"/>
      <c r="T98" s="26"/>
      <c r="U98" s="28">
        <f t="shared" si="7"/>
        <v>0.61157339175463066</v>
      </c>
    </row>
    <row r="99" spans="2:21" x14ac:dyDescent="0.25">
      <c r="B99" s="9"/>
      <c r="C99" s="17">
        <v>613.01</v>
      </c>
      <c r="D99" s="18">
        <v>30.667999999999999</v>
      </c>
      <c r="E99" s="18">
        <v>36.284999999999997</v>
      </c>
      <c r="F99" s="18">
        <v>36.956000000000003</v>
      </c>
      <c r="G99" s="18">
        <v>49.37</v>
      </c>
      <c r="H99" s="18">
        <f t="shared" si="4"/>
        <v>32.156124999999996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6"/>
        <v>34.217250000000007</v>
      </c>
      <c r="P99" s="7"/>
      <c r="Q99" s="10"/>
      <c r="R99" s="11"/>
      <c r="S99" s="11"/>
      <c r="T99" s="26"/>
      <c r="U99" s="28">
        <f t="shared" si="7"/>
        <v>0.9540895280534738</v>
      </c>
    </row>
    <row r="100" spans="2:21" ht="16.5" thickBot="1" x14ac:dyDescent="0.3">
      <c r="B100" s="12"/>
      <c r="C100" s="19">
        <v>306.14999999999998</v>
      </c>
      <c r="D100" s="20">
        <v>27.937999999999999</v>
      </c>
      <c r="E100" s="20">
        <v>34.415999999999997</v>
      </c>
      <c r="F100" s="20">
        <v>35.313000000000002</v>
      </c>
      <c r="G100" s="20">
        <v>65.41</v>
      </c>
      <c r="H100" s="20">
        <f t="shared" si="4"/>
        <v>29.669624999999996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6"/>
        <v>31.3979125</v>
      </c>
      <c r="P100" s="7"/>
      <c r="Q100" s="13"/>
      <c r="R100" s="14"/>
      <c r="S100" s="14"/>
      <c r="T100" s="27"/>
      <c r="U100" s="28">
        <f t="shared" si="7"/>
        <v>0.8786683993273201</v>
      </c>
    </row>
    <row r="101" spans="2:21" x14ac:dyDescent="0.25">
      <c r="B101" s="6" t="s">
        <v>108</v>
      </c>
      <c r="C101" s="15">
        <v>1495.33</v>
      </c>
      <c r="D101" s="16">
        <v>36.018000000000001</v>
      </c>
      <c r="E101" s="16">
        <v>41.616</v>
      </c>
      <c r="F101" s="16">
        <v>43.067999999999998</v>
      </c>
      <c r="G101" s="16">
        <v>32.81</v>
      </c>
      <c r="H101" s="16">
        <f t="shared" si="4"/>
        <v>37.598999999999997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6"/>
        <v>38.747287500000006</v>
      </c>
      <c r="P101" s="7"/>
      <c r="Q101" s="8">
        <f>bdrate(C101:C104,D101:D104,J101:J104,K101:K104)</f>
        <v>-0.25408862844406255</v>
      </c>
      <c r="R101" s="8">
        <f>bdrate(C101:C104,E101:E104,J101:J104,L101:L104)</f>
        <v>-0.45454132585420015</v>
      </c>
      <c r="S101" s="8">
        <f>bdrate(C101:C104,F101:F104,J101:J104,M101:M104)</f>
        <v>-0.41771876416104448</v>
      </c>
      <c r="T101" s="25">
        <f>bdrate(C101:C104,H101:H104,J101:J104,O101:O104)</f>
        <v>-0.296091174210108</v>
      </c>
      <c r="U101" s="28">
        <f t="shared" si="7"/>
        <v>0.98012496190185905</v>
      </c>
    </row>
    <row r="102" spans="2:21" x14ac:dyDescent="0.25">
      <c r="B102" s="9"/>
      <c r="C102" s="17">
        <v>997.66</v>
      </c>
      <c r="D102" s="18">
        <v>34.704000000000001</v>
      </c>
      <c r="E102" s="18">
        <v>40.604999999999997</v>
      </c>
      <c r="F102" s="18">
        <v>41.866</v>
      </c>
      <c r="G102" s="18">
        <v>37.96</v>
      </c>
      <c r="H102" s="18">
        <f t="shared" si="4"/>
        <v>36.336874999999999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6"/>
        <v>37.449874999999999</v>
      </c>
      <c r="P102" s="7"/>
      <c r="Q102" s="10"/>
      <c r="R102" s="11"/>
      <c r="S102" s="11"/>
      <c r="T102" s="26"/>
      <c r="U102" s="28">
        <f t="shared" si="7"/>
        <v>1.0345100105374079</v>
      </c>
    </row>
    <row r="103" spans="2:21" x14ac:dyDescent="0.25">
      <c r="B103" s="9"/>
      <c r="C103" s="17">
        <v>600.97</v>
      </c>
      <c r="D103" s="18">
        <v>33.159999999999997</v>
      </c>
      <c r="E103" s="18">
        <v>39.481000000000002</v>
      </c>
      <c r="F103" s="18">
        <v>40.500999999999998</v>
      </c>
      <c r="G103" s="18">
        <v>42.55</v>
      </c>
      <c r="H103" s="18">
        <f t="shared" si="4"/>
        <v>34.867749999999994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6"/>
        <v>35.854500000000002</v>
      </c>
      <c r="P103" s="7"/>
      <c r="Q103" s="10"/>
      <c r="R103" s="11"/>
      <c r="S103" s="11"/>
      <c r="T103" s="26"/>
      <c r="U103" s="28">
        <f t="shared" si="7"/>
        <v>1.1641762632197417</v>
      </c>
    </row>
    <row r="104" spans="2:21" ht="16.5" thickBot="1" x14ac:dyDescent="0.3">
      <c r="B104" s="12"/>
      <c r="C104" s="19">
        <v>306.01</v>
      </c>
      <c r="D104" s="20">
        <v>31.25</v>
      </c>
      <c r="E104" s="20">
        <v>38.195999999999998</v>
      </c>
      <c r="F104" s="20">
        <v>38.872999999999998</v>
      </c>
      <c r="G104" s="20">
        <v>49.65</v>
      </c>
      <c r="H104" s="20">
        <f t="shared" si="4"/>
        <v>33.071125000000002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6"/>
        <v>34.026325</v>
      </c>
      <c r="P104" s="7"/>
      <c r="Q104" s="13"/>
      <c r="R104" s="14"/>
      <c r="S104" s="14"/>
      <c r="T104" s="27"/>
      <c r="U104" s="28">
        <f t="shared" si="7"/>
        <v>1.418207452165156</v>
      </c>
    </row>
    <row r="105" spans="2:21" x14ac:dyDescent="0.25">
      <c r="B105" s="6" t="s">
        <v>109</v>
      </c>
      <c r="C105" s="15">
        <v>1592.48</v>
      </c>
      <c r="D105" s="16">
        <v>45.253999999999998</v>
      </c>
      <c r="E105" s="16">
        <v>50.411999999999999</v>
      </c>
      <c r="F105" s="16">
        <v>51.784999999999997</v>
      </c>
      <c r="G105" s="16">
        <v>44.51</v>
      </c>
      <c r="H105" s="16">
        <f t="shared" si="4"/>
        <v>46.715125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6"/>
        <v>48.759812500000002</v>
      </c>
      <c r="P105" s="7"/>
      <c r="Q105" s="8">
        <f>bdrate(C105:C108,D105:D108,J105:J108,K105:K108)</f>
        <v>-0.36554803523765234</v>
      </c>
      <c r="R105" s="8">
        <f>bdrate(C105:C108,E105:E108,J105:J108,L105:L108)</f>
        <v>-0.40116561867796152</v>
      </c>
      <c r="S105" s="8">
        <f>bdrate(C105:C108,F105:F108,J105:J108,M105:M108)</f>
        <v>-0.38297280617579299</v>
      </c>
      <c r="T105" s="25">
        <f>bdrate(C105:C108,H105:H108,J105:J108,O105:O108)</f>
        <v>-0.37207650514366908</v>
      </c>
      <c r="U105" s="28">
        <f t="shared" si="7"/>
        <v>0.77575151651314334</v>
      </c>
    </row>
    <row r="106" spans="2:21" x14ac:dyDescent="0.25">
      <c r="B106" s="9"/>
      <c r="C106" s="17">
        <v>1059.3399999999999</v>
      </c>
      <c r="D106" s="18">
        <v>43.505000000000003</v>
      </c>
      <c r="E106" s="18">
        <v>48.866999999999997</v>
      </c>
      <c r="F106" s="18">
        <v>50.295000000000002</v>
      </c>
      <c r="G106" s="18">
        <v>45.1</v>
      </c>
      <c r="H106" s="18">
        <f t="shared" si="4"/>
        <v>45.024000000000008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6"/>
        <v>46.975462499999999</v>
      </c>
      <c r="P106" s="7"/>
      <c r="Q106" s="10"/>
      <c r="R106" s="11"/>
      <c r="S106" s="11"/>
      <c r="T106" s="26"/>
      <c r="U106" s="28">
        <f t="shared" si="7"/>
        <v>1.1450376940133038</v>
      </c>
    </row>
    <row r="107" spans="2:21" x14ac:dyDescent="0.25">
      <c r="B107" s="9"/>
      <c r="C107" s="17">
        <v>636.57000000000005</v>
      </c>
      <c r="D107" s="18">
        <v>41.296999999999997</v>
      </c>
      <c r="E107" s="18">
        <v>46.953000000000003</v>
      </c>
      <c r="F107" s="18">
        <v>48.43</v>
      </c>
      <c r="G107" s="18">
        <v>62.27</v>
      </c>
      <c r="H107" s="18">
        <f t="shared" si="4"/>
        <v>42.895625000000003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6"/>
        <v>44.650700000000001</v>
      </c>
      <c r="P107" s="7"/>
      <c r="Q107" s="10"/>
      <c r="R107" s="11"/>
      <c r="S107" s="11"/>
      <c r="T107" s="26"/>
      <c r="U107" s="28">
        <f t="shared" si="7"/>
        <v>0.91111450136502314</v>
      </c>
    </row>
    <row r="108" spans="2:21" ht="16.5" thickBot="1" x14ac:dyDescent="0.3">
      <c r="B108" s="12"/>
      <c r="C108" s="19">
        <v>320.69</v>
      </c>
      <c r="D108" s="20">
        <v>38.463000000000001</v>
      </c>
      <c r="E108" s="20">
        <v>44.442</v>
      </c>
      <c r="F108" s="20">
        <v>45.991</v>
      </c>
      <c r="G108" s="20">
        <v>72.75</v>
      </c>
      <c r="H108" s="20">
        <f t="shared" si="4"/>
        <v>40.151375000000002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6"/>
        <v>41.558900000000001</v>
      </c>
      <c r="P108" s="7"/>
      <c r="Q108" s="13"/>
      <c r="R108" s="14"/>
      <c r="S108" s="14"/>
      <c r="T108" s="27"/>
      <c r="U108" s="28">
        <f t="shared" si="7"/>
        <v>1.0693319587628867</v>
      </c>
    </row>
    <row r="109" spans="2:21" x14ac:dyDescent="0.25">
      <c r="B109" s="6" t="s">
        <v>110</v>
      </c>
      <c r="C109" s="15">
        <v>1463.42</v>
      </c>
      <c r="D109" s="16">
        <v>30.981999999999999</v>
      </c>
      <c r="E109" s="16">
        <v>38.883000000000003</v>
      </c>
      <c r="F109" s="16">
        <v>38.256</v>
      </c>
      <c r="G109" s="16">
        <v>29.53</v>
      </c>
      <c r="H109" s="16">
        <f t="shared" si="4"/>
        <v>32.878875000000001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6"/>
        <v>33.964649999999999</v>
      </c>
      <c r="P109" s="7"/>
      <c r="Q109" s="8">
        <f>bdrate(C109:C112,D109:D112,J109:J112,K109:K112)</f>
        <v>-0.14885069800923678</v>
      </c>
      <c r="R109" s="8">
        <f>bdrate(C109:C112,E109:E112,J109:J112,L109:L112)</f>
        <v>-0.40565934127342929</v>
      </c>
      <c r="S109" s="8">
        <f>bdrate(C109:C112,F109:F112,J109:J112,M109:M112)</f>
        <v>-0.4030656720875494</v>
      </c>
      <c r="T109" s="25">
        <f>bdrate(C109:C112,H109:H112,J109:J112,O109:O112)</f>
        <v>-0.20530944099367066</v>
      </c>
      <c r="U109" s="28">
        <f t="shared" si="7"/>
        <v>0.68855062648154419</v>
      </c>
    </row>
    <row r="110" spans="2:21" x14ac:dyDescent="0.25">
      <c r="B110" s="9"/>
      <c r="C110" s="17">
        <v>975.65</v>
      </c>
      <c r="D110" s="18">
        <v>29.358000000000001</v>
      </c>
      <c r="E110" s="18">
        <v>37.728000000000002</v>
      </c>
      <c r="F110" s="18">
        <v>37.076999999999998</v>
      </c>
      <c r="G110" s="18">
        <v>33.25</v>
      </c>
      <c r="H110" s="18">
        <f t="shared" si="4"/>
        <v>31.369125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6"/>
        <v>32.393324999999997</v>
      </c>
      <c r="P110" s="7"/>
      <c r="Q110" s="10"/>
      <c r="R110" s="11"/>
      <c r="S110" s="11"/>
      <c r="T110" s="26"/>
      <c r="U110" s="28">
        <f t="shared" si="7"/>
        <v>0.79803909774436077</v>
      </c>
    </row>
    <row r="111" spans="2:21" x14ac:dyDescent="0.25">
      <c r="B111" s="9"/>
      <c r="C111" s="17">
        <v>585.03</v>
      </c>
      <c r="D111" s="18">
        <v>27.347999999999999</v>
      </c>
      <c r="E111" s="18">
        <v>36.292999999999999</v>
      </c>
      <c r="F111" s="18">
        <v>35.637999999999998</v>
      </c>
      <c r="G111" s="18">
        <v>38.51</v>
      </c>
      <c r="H111" s="18">
        <f t="shared" si="4"/>
        <v>29.502375000000001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6"/>
        <v>30.4288375</v>
      </c>
      <c r="P111" s="7"/>
      <c r="Q111" s="10"/>
      <c r="R111" s="11"/>
      <c r="S111" s="11"/>
      <c r="T111" s="26"/>
      <c r="U111" s="28">
        <f t="shared" si="7"/>
        <v>0.96854323552324073</v>
      </c>
    </row>
    <row r="112" spans="2:21" ht="16.5" thickBot="1" x14ac:dyDescent="0.3">
      <c r="B112" s="12"/>
      <c r="C112" s="19">
        <v>292.37</v>
      </c>
      <c r="D112" s="20">
        <v>24.748999999999999</v>
      </c>
      <c r="E112" s="20">
        <v>33.926000000000002</v>
      </c>
      <c r="F112" s="20">
        <v>33.375999999999998</v>
      </c>
      <c r="G112" s="20">
        <v>48</v>
      </c>
      <c r="H112" s="20">
        <f t="shared" si="4"/>
        <v>26.974500000000003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6"/>
        <v>27.780337499999998</v>
      </c>
      <c r="P112" s="7"/>
      <c r="Q112" s="13"/>
      <c r="R112" s="14"/>
      <c r="S112" s="14"/>
      <c r="T112" s="27"/>
      <c r="U112" s="28">
        <f t="shared" si="7"/>
        <v>1.1616333333333333</v>
      </c>
    </row>
    <row r="113" spans="2:21" x14ac:dyDescent="0.25">
      <c r="B113" s="6" t="s">
        <v>111</v>
      </c>
      <c r="C113" s="15">
        <v>1510.8</v>
      </c>
      <c r="D113" s="16">
        <v>42.161999999999999</v>
      </c>
      <c r="E113" s="16">
        <v>43.515999999999998</v>
      </c>
      <c r="F113" s="16">
        <v>43.412999999999997</v>
      </c>
      <c r="G113" s="16">
        <v>47.8</v>
      </c>
      <c r="H113" s="16">
        <f t="shared" si="4"/>
        <v>42.487625000000001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6"/>
        <v>45.104050000000001</v>
      </c>
      <c r="P113" s="7"/>
      <c r="Q113" s="8">
        <f>bdrate(C113:C116,D113:D116,J113:J116,K113:K116)</f>
        <v>-0.40401319619365261</v>
      </c>
      <c r="R113" s="8">
        <f>bdrate(C113:C116,E113:E116,J113:J116,L113:L116)</f>
        <v>-0.44557440647254554</v>
      </c>
      <c r="S113" s="8">
        <f>bdrate(C113:C116,F113:F116,J113:J116,M113:M116)</f>
        <v>-0.44696733332561334</v>
      </c>
      <c r="T113" s="25">
        <f>bdrate(C113:C116,H113:H116,J113:J116,O113:O116)</f>
        <v>-0.41345231605790078</v>
      </c>
      <c r="U113" s="28">
        <f t="shared" si="7"/>
        <v>0.44456485355648551</v>
      </c>
    </row>
    <row r="114" spans="2:21" x14ac:dyDescent="0.25">
      <c r="B114" s="9"/>
      <c r="C114" s="17">
        <v>1007.3</v>
      </c>
      <c r="D114" s="18">
        <v>39.991</v>
      </c>
      <c r="E114" s="18">
        <v>41.603999999999999</v>
      </c>
      <c r="F114" s="18">
        <v>41.494999999999997</v>
      </c>
      <c r="G114" s="18">
        <v>44.76</v>
      </c>
      <c r="H114" s="18">
        <f t="shared" si="4"/>
        <v>40.380625000000002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6"/>
        <v>43.270450000000004</v>
      </c>
      <c r="P114" s="7"/>
      <c r="Q114" s="10"/>
      <c r="R114" s="11"/>
      <c r="S114" s="11"/>
      <c r="T114" s="26"/>
      <c r="U114" s="28">
        <f t="shared" si="7"/>
        <v>1.0030116175156389</v>
      </c>
    </row>
    <row r="115" spans="2:21" x14ac:dyDescent="0.25">
      <c r="B115" s="9"/>
      <c r="C115" s="17">
        <v>604.51</v>
      </c>
      <c r="D115" s="18">
        <v>37.225999999999999</v>
      </c>
      <c r="E115" s="18">
        <v>39.372</v>
      </c>
      <c r="F115" s="18">
        <v>39.034999999999997</v>
      </c>
      <c r="G115" s="18">
        <v>53.59</v>
      </c>
      <c r="H115" s="18">
        <f t="shared" si="4"/>
        <v>37.720375000000004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6"/>
        <v>40.54829999999999</v>
      </c>
      <c r="P115" s="7"/>
      <c r="Q115" s="10"/>
      <c r="R115" s="11"/>
      <c r="S115" s="11"/>
      <c r="T115" s="26"/>
      <c r="U115" s="28">
        <f t="shared" si="7"/>
        <v>1.0683765627915656</v>
      </c>
    </row>
    <row r="116" spans="2:21" ht="16.5" thickBot="1" x14ac:dyDescent="0.3">
      <c r="B116" s="12"/>
      <c r="C116" s="19">
        <v>301.83999999999997</v>
      </c>
      <c r="D116" s="20">
        <v>33.499000000000002</v>
      </c>
      <c r="E116" s="20">
        <v>36.424999999999997</v>
      </c>
      <c r="F116" s="20">
        <v>36.335999999999999</v>
      </c>
      <c r="G116" s="20">
        <v>64.39</v>
      </c>
      <c r="H116" s="20">
        <f t="shared" si="4"/>
        <v>34.219375000000007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6"/>
        <v>36.390724999999996</v>
      </c>
      <c r="P116" s="7"/>
      <c r="Q116" s="13"/>
      <c r="R116" s="14"/>
      <c r="S116" s="14"/>
      <c r="T116" s="27"/>
      <c r="U116" s="28">
        <f t="shared" si="7"/>
        <v>1.1460661593415127</v>
      </c>
    </row>
    <row r="117" spans="2:21" x14ac:dyDescent="0.25">
      <c r="B117" s="6" t="s">
        <v>112</v>
      </c>
      <c r="C117" s="15">
        <v>1999.86</v>
      </c>
      <c r="D117" s="16">
        <v>42.286000000000001</v>
      </c>
      <c r="E117" s="16">
        <v>44.463000000000001</v>
      </c>
      <c r="F117" s="16">
        <v>44.670999999999999</v>
      </c>
      <c r="G117" s="16">
        <v>40.99</v>
      </c>
      <c r="H117" s="16">
        <f t="shared" si="4"/>
        <v>42.856250000000003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6"/>
        <v>46.062537500000005</v>
      </c>
      <c r="P117" s="7"/>
      <c r="Q117" s="8">
        <f>bdrate(C117:C120,D117:D120,J117:J120,K117:K120)</f>
        <v>-0.56722356239078575</v>
      </c>
      <c r="R117" s="8">
        <f>bdrate(C117:C120,E117:E120,J117:J120,L117:L120)</f>
        <v>-0.61061569501628155</v>
      </c>
      <c r="S117" s="8">
        <f>bdrate(C117:C120,F117:F120,J117:J120,M117:M120)</f>
        <v>-0.61590963899345119</v>
      </c>
      <c r="T117" s="25">
        <f>bdrate(C117:C120,H117:H120,J117:J120,O117:O120)</f>
        <v>-0.57814280853558841</v>
      </c>
      <c r="U117" s="28">
        <f t="shared" si="7"/>
        <v>0.6196340570870944</v>
      </c>
    </row>
    <row r="118" spans="2:21" x14ac:dyDescent="0.25">
      <c r="B118" s="9"/>
      <c r="C118" s="17">
        <v>1305.93</v>
      </c>
      <c r="D118" s="18">
        <v>40.234000000000002</v>
      </c>
      <c r="E118" s="18">
        <v>42.631999999999998</v>
      </c>
      <c r="F118" s="18">
        <v>42.847000000000001</v>
      </c>
      <c r="G118" s="18">
        <v>48.14</v>
      </c>
      <c r="H118" s="18">
        <f t="shared" si="4"/>
        <v>40.860374999999998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6"/>
        <v>44.529612499999999</v>
      </c>
      <c r="P118" s="7"/>
      <c r="Q118" s="10"/>
      <c r="R118" s="11"/>
      <c r="S118" s="11"/>
      <c r="T118" s="26"/>
      <c r="U118" s="28">
        <f t="shared" si="7"/>
        <v>0.58208350643955131</v>
      </c>
    </row>
    <row r="119" spans="2:21" x14ac:dyDescent="0.25">
      <c r="B119" s="9"/>
      <c r="C119" s="17">
        <v>762.27</v>
      </c>
      <c r="D119" s="18">
        <v>37.906999999999996</v>
      </c>
      <c r="E119" s="18">
        <v>40.557000000000002</v>
      </c>
      <c r="F119" s="18">
        <v>40.804000000000002</v>
      </c>
      <c r="G119" s="18">
        <v>52.26</v>
      </c>
      <c r="H119" s="18">
        <f t="shared" si="4"/>
        <v>38.600375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6"/>
        <v>41.989175000000003</v>
      </c>
      <c r="P119" s="7"/>
      <c r="Q119" s="10"/>
      <c r="R119" s="11"/>
      <c r="S119" s="11"/>
      <c r="T119" s="26"/>
      <c r="U119" s="28">
        <f t="shared" si="7"/>
        <v>0.67647531572904718</v>
      </c>
    </row>
    <row r="120" spans="2:21" ht="16.5" thickBot="1" x14ac:dyDescent="0.3">
      <c r="B120" s="12"/>
      <c r="C120" s="19">
        <v>365.36</v>
      </c>
      <c r="D120" s="20">
        <v>34.844000000000001</v>
      </c>
      <c r="E120" s="20">
        <v>38.122999999999998</v>
      </c>
      <c r="F120" s="20">
        <v>38.427</v>
      </c>
      <c r="G120" s="20">
        <v>63.68</v>
      </c>
      <c r="H120" s="20">
        <f t="shared" si="4"/>
        <v>35.701750000000004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6"/>
        <v>38.045887499999999</v>
      </c>
      <c r="P120" s="7"/>
      <c r="Q120" s="13"/>
      <c r="R120" s="14"/>
      <c r="S120" s="14"/>
      <c r="T120" s="27"/>
      <c r="U120" s="28">
        <f t="shared" si="7"/>
        <v>1.1342744974874368</v>
      </c>
    </row>
    <row r="121" spans="2:21" x14ac:dyDescent="0.25">
      <c r="B121" s="6" t="s">
        <v>113</v>
      </c>
      <c r="C121" s="29">
        <v>1537.26</v>
      </c>
      <c r="D121" s="30">
        <v>31.265000000000001</v>
      </c>
      <c r="E121" s="30">
        <v>35.159999999999997</v>
      </c>
      <c r="F121" s="30">
        <v>34.082999999999998</v>
      </c>
      <c r="G121" s="16">
        <v>35.729999999999997</v>
      </c>
      <c r="H121" s="16">
        <f t="shared" si="4"/>
        <v>32.104124999999996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6"/>
        <v>33.269275</v>
      </c>
      <c r="P121" s="7"/>
      <c r="Q121" s="8">
        <f>bdrate(C121:C124,D121:D124,J121:J124,K121:K124)</f>
        <v>-0.17300866720287156</v>
      </c>
      <c r="R121" s="8">
        <f>bdrate(C121:C124,E121:E124,J121:J124,L121:L124)</f>
        <v>-0.44309820944999745</v>
      </c>
      <c r="S121" s="8">
        <f>bdrate(C121:C124,F121:F124,J121:J124,M121:M124)</f>
        <v>-0.41676340149546498</v>
      </c>
      <c r="T121" s="25">
        <f>bdrate(C121:C124,H121:H124,J121:J124,O121:O124)</f>
        <v>-0.22647445442378256</v>
      </c>
      <c r="U121" s="28">
        <f t="shared" si="7"/>
        <v>0.66120906801007562</v>
      </c>
    </row>
    <row r="122" spans="2:21" x14ac:dyDescent="0.25">
      <c r="B122" s="9"/>
      <c r="C122" s="31">
        <v>1018.74</v>
      </c>
      <c r="D122" s="32">
        <v>29.643999999999998</v>
      </c>
      <c r="E122" s="32">
        <v>34.103000000000002</v>
      </c>
      <c r="F122" s="32">
        <v>32.957000000000001</v>
      </c>
      <c r="G122" s="18">
        <v>39.69</v>
      </c>
      <c r="H122" s="18">
        <f t="shared" si="4"/>
        <v>30.615499999999997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6"/>
        <v>31.589962499999999</v>
      </c>
      <c r="P122" s="7"/>
      <c r="Q122" s="10"/>
      <c r="R122" s="11"/>
      <c r="S122" s="11"/>
      <c r="T122" s="26"/>
      <c r="U122" s="28">
        <f t="shared" si="7"/>
        <v>0.80683043587805492</v>
      </c>
    </row>
    <row r="123" spans="2:21" x14ac:dyDescent="0.25">
      <c r="B123" s="9"/>
      <c r="C123" s="31">
        <v>609.19000000000005</v>
      </c>
      <c r="D123" s="32">
        <v>27.75</v>
      </c>
      <c r="E123" s="32">
        <v>32.860999999999997</v>
      </c>
      <c r="F123" s="32">
        <v>31.617999999999999</v>
      </c>
      <c r="G123" s="18">
        <v>38.99</v>
      </c>
      <c r="H123" s="18">
        <f t="shared" si="4"/>
        <v>28.872374999999998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6"/>
        <v>29.688137500000003</v>
      </c>
      <c r="P123" s="7"/>
      <c r="Q123" s="10"/>
      <c r="R123" s="11"/>
      <c r="S123" s="11"/>
      <c r="T123" s="26"/>
      <c r="U123" s="28">
        <f t="shared" si="7"/>
        <v>1.2940600153885613</v>
      </c>
    </row>
    <row r="124" spans="2:21" ht="16.5" thickBot="1" x14ac:dyDescent="0.3">
      <c r="B124" s="12"/>
      <c r="C124" s="33">
        <v>301.44</v>
      </c>
      <c r="D124" s="34">
        <v>25.358000000000001</v>
      </c>
      <c r="E124" s="34">
        <v>31.114999999999998</v>
      </c>
      <c r="F124" s="34">
        <v>29.794</v>
      </c>
      <c r="G124" s="20">
        <v>55.45</v>
      </c>
      <c r="H124" s="20">
        <f t="shared" si="4"/>
        <v>26.632125000000002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6"/>
        <v>27.337724999999999</v>
      </c>
      <c r="P124" s="7"/>
      <c r="Q124" s="13"/>
      <c r="R124" s="14"/>
      <c r="S124" s="14"/>
      <c r="T124" s="27"/>
      <c r="U124" s="28">
        <f t="shared" si="7"/>
        <v>1.176591523895401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-0.31173707173989973</v>
      </c>
      <c r="R125" s="21">
        <f>AVERAGE(R9:R124)</f>
        <v>-0.4677187540887891</v>
      </c>
      <c r="S125" s="21">
        <f>AVERAGE(S9:S124)</f>
        <v>-0.46041615186985951</v>
      </c>
      <c r="T125" s="21">
        <f>AVERAGE(T9:T124)</f>
        <v>-0.34090402883111609</v>
      </c>
      <c r="U125" s="21">
        <f>AVERAGE(U9:U124)</f>
        <v>0.96034612455899471</v>
      </c>
    </row>
    <row r="127" spans="2:21" s="35" customFormat="1" ht="15.75" customHeight="1" x14ac:dyDescent="0.25">
      <c r="B127" s="51" t="s">
        <v>29</v>
      </c>
      <c r="C127" s="56" t="s">
        <v>133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80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3743.51</v>
      </c>
      <c r="D131" s="16">
        <v>35.9</v>
      </c>
      <c r="E131" s="16">
        <v>37.869999999999997</v>
      </c>
      <c r="F131" s="16">
        <v>40.185000000000002</v>
      </c>
      <c r="G131" s="16">
        <v>24.4</v>
      </c>
      <c r="H131" s="16">
        <f t="shared" ref="H131:H202" si="8">(6*D131+E131+F131)/8</f>
        <v>36.681874999999998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9">(6*K131+L131+M131)/8</f>
        <v>38.575087500000002</v>
      </c>
      <c r="P131" s="7"/>
      <c r="Q131" s="8">
        <f>bdrate(C131:C134,D131:D134,J131:J134,K131:K134)</f>
        <v>-0.31714569028208606</v>
      </c>
      <c r="R131" s="8">
        <f>bdrate(C131:C134,E131:E134,J131:J134,L131:L134)</f>
        <v>-0.53352917473456019</v>
      </c>
      <c r="S131" s="8">
        <f>bdrate(C131:C134,F131:F134,J131:J134,M131:M134)</f>
        <v>-0.50109654187643016</v>
      </c>
      <c r="T131" s="25">
        <f>bdrate(C131:C134,H131:H134,J131:J134,O131:O134)</f>
        <v>-0.34403478552123989</v>
      </c>
      <c r="U131" s="28">
        <f t="shared" ref="U131:U194" si="10">(N131-G131)/G131</f>
        <v>0.40226639344262299</v>
      </c>
    </row>
    <row r="132" spans="1:21" x14ac:dyDescent="0.25">
      <c r="A132" s="9" t="s">
        <v>36</v>
      </c>
      <c r="B132" s="9"/>
      <c r="C132" s="17">
        <v>2812.64</v>
      </c>
      <c r="D132" s="18">
        <v>35.021000000000001</v>
      </c>
      <c r="E132" s="18">
        <v>37.465000000000003</v>
      </c>
      <c r="F132" s="18">
        <v>39.786000000000001</v>
      </c>
      <c r="G132" s="18">
        <v>26.86</v>
      </c>
      <c r="H132" s="18">
        <f t="shared" si="8"/>
        <v>35.922125000000001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9"/>
        <v>37.663250000000005</v>
      </c>
      <c r="P132" s="7"/>
      <c r="Q132" s="10"/>
      <c r="R132" s="11"/>
      <c r="S132" s="11"/>
      <c r="T132" s="26"/>
      <c r="U132" s="28">
        <f t="shared" si="10"/>
        <v>0.99875279225614311</v>
      </c>
    </row>
    <row r="133" spans="1:21" x14ac:dyDescent="0.25">
      <c r="B133" s="9"/>
      <c r="C133" s="17">
        <v>1840.97</v>
      </c>
      <c r="D133" s="18">
        <v>33.759</v>
      </c>
      <c r="E133" s="18">
        <v>37.033000000000001</v>
      </c>
      <c r="F133" s="18">
        <v>39.334000000000003</v>
      </c>
      <c r="G133" s="18">
        <v>29.67</v>
      </c>
      <c r="H133" s="18">
        <f t="shared" si="8"/>
        <v>34.865124999999999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9"/>
        <v>36.296475000000001</v>
      </c>
      <c r="P133" s="7"/>
      <c r="Q133" s="10"/>
      <c r="R133" s="11"/>
      <c r="S133" s="11"/>
      <c r="T133" s="26"/>
      <c r="U133" s="28">
        <f t="shared" si="10"/>
        <v>1.1021267273340074</v>
      </c>
    </row>
    <row r="134" spans="1:21" ht="16.5" thickBot="1" x14ac:dyDescent="0.3">
      <c r="B134" s="12"/>
      <c r="C134" s="19">
        <v>859.17</v>
      </c>
      <c r="D134" s="20">
        <v>31.131</v>
      </c>
      <c r="E134" s="20">
        <v>36.421999999999997</v>
      </c>
      <c r="F134" s="20">
        <v>38.595999999999997</v>
      </c>
      <c r="G134" s="20">
        <v>32.71</v>
      </c>
      <c r="H134" s="20">
        <f t="shared" si="8"/>
        <v>32.725499999999997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9"/>
        <v>33.751037499999995</v>
      </c>
      <c r="P134" s="7"/>
      <c r="Q134" s="13"/>
      <c r="R134" s="14"/>
      <c r="S134" s="14"/>
      <c r="T134" s="27"/>
      <c r="U134" s="28">
        <f t="shared" si="10"/>
        <v>1.295172730051972</v>
      </c>
    </row>
    <row r="135" spans="1:21" x14ac:dyDescent="0.25">
      <c r="B135" s="6" t="s">
        <v>47</v>
      </c>
      <c r="C135" s="15">
        <v>4043.75</v>
      </c>
      <c r="D135" s="16">
        <v>28.693999999999999</v>
      </c>
      <c r="E135" s="16">
        <v>38.198</v>
      </c>
      <c r="F135" s="16">
        <v>39.200000000000003</v>
      </c>
      <c r="G135" s="16">
        <v>18.28</v>
      </c>
      <c r="H135" s="16">
        <f t="shared" si="8"/>
        <v>31.195250000000001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9"/>
        <v>32.009187500000003</v>
      </c>
      <c r="P135" s="7"/>
      <c r="Q135" s="8">
        <f>bdrate(C135:C138,D135:D138,J135:J138,K135:K138)</f>
        <v>-0.11755314851278686</v>
      </c>
      <c r="R135" s="8">
        <f>bdrate(C135:C138,E135:E138,J135:J138,L135:L138)</f>
        <v>-0.4427661727829727</v>
      </c>
      <c r="S135" s="8">
        <f>bdrate(C135:C138,F135:F138,J135:J138,M135:M138)</f>
        <v>-0.46755919330839779</v>
      </c>
      <c r="T135" s="25">
        <f>bdrate(C135:C138,H135:H138,J135:J138,O135:O138)</f>
        <v>-0.17598289354467589</v>
      </c>
      <c r="U135" s="28">
        <f t="shared" si="10"/>
        <v>0.56001641137855562</v>
      </c>
    </row>
    <row r="136" spans="1:21" x14ac:dyDescent="0.25">
      <c r="B136" s="9"/>
      <c r="C136" s="17">
        <v>3026.81</v>
      </c>
      <c r="D136" s="18">
        <v>27.507000000000001</v>
      </c>
      <c r="E136" s="18">
        <v>37.71</v>
      </c>
      <c r="F136" s="18">
        <v>38.795000000000002</v>
      </c>
      <c r="G136" s="18">
        <v>20.68</v>
      </c>
      <c r="H136" s="18">
        <f t="shared" si="8"/>
        <v>30.193375000000003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9"/>
        <v>30.919875000000001</v>
      </c>
      <c r="P136" s="7"/>
      <c r="Q136" s="10"/>
      <c r="R136" s="11"/>
      <c r="S136" s="11"/>
      <c r="T136" s="26"/>
      <c r="U136" s="28">
        <f t="shared" si="10"/>
        <v>1.1314700193423599</v>
      </c>
    </row>
    <row r="137" spans="1:21" x14ac:dyDescent="0.25">
      <c r="B137" s="9"/>
      <c r="C137" s="17">
        <v>1990.91</v>
      </c>
      <c r="D137" s="18">
        <v>25.817</v>
      </c>
      <c r="E137" s="18">
        <v>36.628</v>
      </c>
      <c r="F137" s="18">
        <v>37.795000000000002</v>
      </c>
      <c r="G137" s="18">
        <v>22.79</v>
      </c>
      <c r="H137" s="18">
        <f t="shared" si="8"/>
        <v>28.665624999999999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9"/>
        <v>29.3722125</v>
      </c>
      <c r="P137" s="7"/>
      <c r="Q137" s="10"/>
      <c r="R137" s="11"/>
      <c r="S137" s="11"/>
      <c r="T137" s="26"/>
      <c r="U137" s="28">
        <f t="shared" si="10"/>
        <v>1.2933216322948664</v>
      </c>
    </row>
    <row r="138" spans="1:21" ht="16.5" thickBot="1" x14ac:dyDescent="0.3">
      <c r="B138" s="12"/>
      <c r="C138" s="19">
        <v>1001.14</v>
      </c>
      <c r="D138" s="20">
        <v>22.728999999999999</v>
      </c>
      <c r="E138" s="20">
        <v>35.298000000000002</v>
      </c>
      <c r="F138" s="20">
        <v>36.439</v>
      </c>
      <c r="G138" s="20">
        <v>27.63</v>
      </c>
      <c r="H138" s="20">
        <f t="shared" si="8"/>
        <v>26.013874999999999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9"/>
        <v>27.408487499999996</v>
      </c>
      <c r="P138" s="7"/>
      <c r="Q138" s="13"/>
      <c r="R138" s="14"/>
      <c r="S138" s="14"/>
      <c r="T138" s="27"/>
      <c r="U138" s="28">
        <f t="shared" si="10"/>
        <v>1.320036192544336</v>
      </c>
    </row>
    <row r="139" spans="1:21" x14ac:dyDescent="0.25">
      <c r="A139" s="6" t="s">
        <v>37</v>
      </c>
      <c r="B139" s="6" t="s">
        <v>48</v>
      </c>
      <c r="C139" s="15">
        <v>2002.67</v>
      </c>
      <c r="D139" s="16">
        <v>38.270000000000003</v>
      </c>
      <c r="E139" s="16">
        <v>40.918999999999997</v>
      </c>
      <c r="F139" s="16">
        <v>42.06</v>
      </c>
      <c r="G139" s="16">
        <v>37.07</v>
      </c>
      <c r="H139" s="16">
        <f t="shared" si="8"/>
        <v>39.074874999999999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9"/>
        <v>39.936149999999998</v>
      </c>
      <c r="P139" s="7"/>
      <c r="Q139" s="8">
        <f>bdrate(C139:C142,D139:D142,J139:J142,K139:K142)</f>
        <v>-9.2949277154402821E-2</v>
      </c>
      <c r="R139" s="8">
        <f>bdrate(C139:C142,E139:E142,J139:J142,L139:L142)</f>
        <v>-0.3889410298267969</v>
      </c>
      <c r="S139" s="8">
        <f>bdrate(C139:C142,F139:F142,J139:J142,M139:M142)</f>
        <v>-0.40189085566018368</v>
      </c>
      <c r="T139" s="25">
        <f>bdrate(C139:C142,H139:H142,J139:J142,O139:O142)</f>
        <v>-0.14213765496780273</v>
      </c>
      <c r="U139" s="28">
        <f t="shared" si="10"/>
        <v>0.8941596978688966</v>
      </c>
    </row>
    <row r="140" spans="1:21" x14ac:dyDescent="0.25">
      <c r="A140" s="9" t="s">
        <v>38</v>
      </c>
      <c r="B140" s="9"/>
      <c r="C140" s="17">
        <v>1309.04</v>
      </c>
      <c r="D140" s="18">
        <v>36.902999999999999</v>
      </c>
      <c r="E140" s="18">
        <v>40.098999999999997</v>
      </c>
      <c r="F140" s="18">
        <v>41.253</v>
      </c>
      <c r="G140" s="18">
        <v>41.58</v>
      </c>
      <c r="H140" s="18">
        <f t="shared" si="8"/>
        <v>37.846249999999998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9"/>
        <v>38.802600000000005</v>
      </c>
      <c r="P140" s="7"/>
      <c r="Q140" s="10"/>
      <c r="R140" s="11"/>
      <c r="S140" s="11"/>
      <c r="T140" s="26"/>
      <c r="U140" s="28">
        <f t="shared" si="10"/>
        <v>1.6416498316498316</v>
      </c>
    </row>
    <row r="141" spans="1:21" x14ac:dyDescent="0.25">
      <c r="B141" s="9"/>
      <c r="C141" s="17">
        <v>803.13</v>
      </c>
      <c r="D141" s="18">
        <v>35.237000000000002</v>
      </c>
      <c r="E141" s="18">
        <v>39.286000000000001</v>
      </c>
      <c r="F141" s="18">
        <v>40.548999999999999</v>
      </c>
      <c r="G141" s="18">
        <v>47.78</v>
      </c>
      <c r="H141" s="18">
        <f t="shared" si="8"/>
        <v>36.407125000000001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9"/>
        <v>37.3969375</v>
      </c>
      <c r="P141" s="7"/>
      <c r="Q141" s="10"/>
      <c r="R141" s="11"/>
      <c r="S141" s="11"/>
      <c r="T141" s="26"/>
      <c r="U141" s="28">
        <f t="shared" si="10"/>
        <v>1.594535370447886</v>
      </c>
    </row>
    <row r="142" spans="1:21" ht="16.5" thickBot="1" x14ac:dyDescent="0.3">
      <c r="B142" s="12"/>
      <c r="C142" s="19">
        <v>477.54</v>
      </c>
      <c r="D142" s="20">
        <v>33.353000000000002</v>
      </c>
      <c r="E142" s="20">
        <v>38.514000000000003</v>
      </c>
      <c r="F142" s="20">
        <v>39.936999999999998</v>
      </c>
      <c r="G142" s="20">
        <v>53.05</v>
      </c>
      <c r="H142" s="20">
        <f t="shared" si="8"/>
        <v>34.821125000000002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9"/>
        <v>35.814949999999996</v>
      </c>
      <c r="P142" s="7"/>
      <c r="Q142" s="13"/>
      <c r="R142" s="14"/>
      <c r="S142" s="14"/>
      <c r="T142" s="27"/>
      <c r="U142" s="28">
        <f t="shared" si="10"/>
        <v>1.6832950047125357</v>
      </c>
    </row>
    <row r="143" spans="1:21" x14ac:dyDescent="0.25">
      <c r="B143" s="6" t="s">
        <v>49</v>
      </c>
      <c r="C143" s="15">
        <v>2291.2399999999998</v>
      </c>
      <c r="D143" s="16">
        <v>34.496000000000002</v>
      </c>
      <c r="E143" s="16">
        <v>38.298000000000002</v>
      </c>
      <c r="F143" s="16">
        <v>39.488999999999997</v>
      </c>
      <c r="G143" s="16">
        <v>43.21</v>
      </c>
      <c r="H143" s="16">
        <f t="shared" si="8"/>
        <v>35.595374999999997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9"/>
        <v>37.128050000000002</v>
      </c>
      <c r="P143" s="7"/>
      <c r="Q143" s="8">
        <f>bdrate(C143:C146,D143:D146,J143:J146,K143:K146)</f>
        <v>-0.30115242390402597</v>
      </c>
      <c r="R143" s="8">
        <f>bdrate(C143:C146,E143:E146,J143:J146,L143:L146)</f>
        <v>-0.54560189501218037</v>
      </c>
      <c r="S143" s="8">
        <f>bdrate(C143:C146,F143:F146,J143:J146,M143:M146)</f>
        <v>-0.5632095379133053</v>
      </c>
      <c r="T143" s="25">
        <f>bdrate(C143:C146,H143:H146,J143:J146,O143:O146)</f>
        <v>-0.3451829186873494</v>
      </c>
      <c r="U143" s="28">
        <f t="shared" si="10"/>
        <v>0.76270076371210382</v>
      </c>
    </row>
    <row r="144" spans="1:21" x14ac:dyDescent="0.25">
      <c r="B144" s="9"/>
      <c r="C144" s="17">
        <v>1515.82</v>
      </c>
      <c r="D144" s="18">
        <v>33.305</v>
      </c>
      <c r="E144" s="18">
        <v>37.506</v>
      </c>
      <c r="F144" s="18">
        <v>38.932000000000002</v>
      </c>
      <c r="G144" s="18">
        <v>48.37</v>
      </c>
      <c r="H144" s="18">
        <f t="shared" si="8"/>
        <v>34.533499999999997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9"/>
        <v>35.957675000000002</v>
      </c>
      <c r="P144" s="7"/>
      <c r="Q144" s="10"/>
      <c r="R144" s="11"/>
      <c r="S144" s="11"/>
      <c r="T144" s="26"/>
      <c r="U144" s="28">
        <f t="shared" si="10"/>
        <v>1.1060078561091586</v>
      </c>
    </row>
    <row r="145" spans="1:21" x14ac:dyDescent="0.25">
      <c r="B145" s="9"/>
      <c r="C145" s="17">
        <v>942.12</v>
      </c>
      <c r="D145" s="18">
        <v>31.991</v>
      </c>
      <c r="E145" s="18">
        <v>36.767000000000003</v>
      </c>
      <c r="F145" s="18">
        <v>38.451000000000001</v>
      </c>
      <c r="G145" s="18">
        <v>52.69</v>
      </c>
      <c r="H145" s="18">
        <f t="shared" si="8"/>
        <v>33.395499999999998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9"/>
        <v>34.6017875</v>
      </c>
      <c r="P145" s="7"/>
      <c r="Q145" s="10"/>
      <c r="R145" s="11"/>
      <c r="S145" s="11"/>
      <c r="T145" s="26"/>
      <c r="U145" s="28">
        <f t="shared" si="10"/>
        <v>1.280893907762384</v>
      </c>
    </row>
    <row r="146" spans="1:21" ht="16.5" thickBot="1" x14ac:dyDescent="0.3">
      <c r="B146" s="12"/>
      <c r="C146" s="19">
        <v>556.04999999999995</v>
      </c>
      <c r="D146" s="20">
        <v>30.483000000000001</v>
      </c>
      <c r="E146" s="20">
        <v>36.036999999999999</v>
      </c>
      <c r="F146" s="20">
        <v>37.970999999999997</v>
      </c>
      <c r="G146" s="20">
        <v>57.4</v>
      </c>
      <c r="H146" s="20">
        <f t="shared" si="8"/>
        <v>32.113250000000001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9"/>
        <v>33.151599999999995</v>
      </c>
      <c r="P146" s="7"/>
      <c r="Q146" s="13"/>
      <c r="R146" s="14"/>
      <c r="S146" s="14"/>
      <c r="T146" s="27"/>
      <c r="U146" s="28">
        <f t="shared" si="10"/>
        <v>1.436587108013937</v>
      </c>
    </row>
    <row r="147" spans="1:21" x14ac:dyDescent="0.25">
      <c r="B147" s="6" t="s">
        <v>50</v>
      </c>
      <c r="C147" s="15">
        <v>2384.06</v>
      </c>
      <c r="D147" s="16">
        <v>32.755000000000003</v>
      </c>
      <c r="E147" s="16">
        <v>37.159999999999997</v>
      </c>
      <c r="F147" s="16">
        <v>38.427</v>
      </c>
      <c r="G147" s="16">
        <v>49.01</v>
      </c>
      <c r="H147" s="16">
        <f t="shared" si="8"/>
        <v>34.014625000000002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9"/>
        <v>35.300450000000005</v>
      </c>
      <c r="P147" s="7"/>
      <c r="Q147" s="8">
        <f>bdrate(C147:C150,D147:D150,J147:J150,K147:K150)</f>
        <v>-0.26216971009421208</v>
      </c>
      <c r="R147" s="8">
        <f>bdrate(C147:C150,E147:E150,J147:J150,L147:L150)</f>
        <v>-0.50799084563553754</v>
      </c>
      <c r="S147" s="8">
        <f>bdrate(C147:C150,F147:F150,J147:J150,M147:M150)</f>
        <v>-0.50570874785552766</v>
      </c>
      <c r="T147" s="25">
        <f>bdrate(C147:C150,H147:H150,J147:J150,O147:O150)</f>
        <v>-0.30438035110538975</v>
      </c>
      <c r="U147" s="28">
        <f t="shared" si="10"/>
        <v>0.68516629259334838</v>
      </c>
    </row>
    <row r="148" spans="1:21" x14ac:dyDescent="0.25">
      <c r="B148" s="9"/>
      <c r="C148" s="17">
        <v>1574.78</v>
      </c>
      <c r="D148" s="18">
        <v>31.655000000000001</v>
      </c>
      <c r="E148" s="18">
        <v>36.719000000000001</v>
      </c>
      <c r="F148" s="18">
        <v>37.713999999999999</v>
      </c>
      <c r="G148" s="18">
        <v>53.42</v>
      </c>
      <c r="H148" s="18">
        <f t="shared" si="8"/>
        <v>33.045375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9"/>
        <v>34.226837500000002</v>
      </c>
      <c r="P148" s="7"/>
      <c r="Q148" s="10"/>
      <c r="R148" s="11"/>
      <c r="S148" s="11"/>
      <c r="T148" s="26"/>
      <c r="U148" s="28">
        <f t="shared" si="10"/>
        <v>1.477446649195058</v>
      </c>
    </row>
    <row r="149" spans="1:21" x14ac:dyDescent="0.25">
      <c r="B149" s="9"/>
      <c r="C149" s="17">
        <v>974.04</v>
      </c>
      <c r="D149" s="18">
        <v>30.245999999999999</v>
      </c>
      <c r="E149" s="18">
        <v>36.139000000000003</v>
      </c>
      <c r="F149" s="18">
        <v>36.771999999999998</v>
      </c>
      <c r="G149" s="18">
        <v>57.44</v>
      </c>
      <c r="H149" s="18">
        <f t="shared" si="8"/>
        <v>31.798375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9"/>
        <v>32.816737500000002</v>
      </c>
      <c r="P149" s="7"/>
      <c r="Q149" s="10"/>
      <c r="R149" s="11"/>
      <c r="S149" s="11"/>
      <c r="T149" s="26"/>
      <c r="U149" s="28">
        <f t="shared" si="10"/>
        <v>1.5356058495821725</v>
      </c>
    </row>
    <row r="150" spans="1:21" ht="16.5" thickBot="1" x14ac:dyDescent="0.3">
      <c r="B150" s="12"/>
      <c r="C150" s="19">
        <v>568.19000000000005</v>
      </c>
      <c r="D150" s="20">
        <v>28.456</v>
      </c>
      <c r="E150" s="20">
        <v>35.219000000000001</v>
      </c>
      <c r="F150" s="20">
        <v>35.375999999999998</v>
      </c>
      <c r="G150" s="20">
        <v>62.72</v>
      </c>
      <c r="H150" s="20">
        <f t="shared" si="8"/>
        <v>30.166374999999999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9"/>
        <v>31.285</v>
      </c>
      <c r="P150" s="7"/>
      <c r="Q150" s="13"/>
      <c r="R150" s="14"/>
      <c r="S150" s="14"/>
      <c r="T150" s="27"/>
      <c r="U150" s="28">
        <f t="shared" si="10"/>
        <v>1.6189030612244897</v>
      </c>
    </row>
    <row r="151" spans="1:21" x14ac:dyDescent="0.25">
      <c r="B151" s="6" t="s">
        <v>51</v>
      </c>
      <c r="C151" s="29">
        <v>2390.37</v>
      </c>
      <c r="D151" s="30">
        <v>33.299999999999997</v>
      </c>
      <c r="E151" s="30">
        <v>39.347999999999999</v>
      </c>
      <c r="F151" s="30">
        <v>38.749000000000002</v>
      </c>
      <c r="G151" s="16">
        <v>38.44</v>
      </c>
      <c r="H151" s="16">
        <f t="shared" si="8"/>
        <v>34.737124999999999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9"/>
        <v>35.4979625</v>
      </c>
      <c r="P151" s="7"/>
      <c r="Q151" s="8">
        <f>bdrate(C151:C154,D151:D154,J151:J154,K151:K154)</f>
        <v>-0.14817530265969636</v>
      </c>
      <c r="R151" s="8">
        <f>bdrate(C151:C154,E151:E154,J151:J154,L151:L154)</f>
        <v>-0.30368236501370882</v>
      </c>
      <c r="S151" s="8">
        <f>bdrate(C151:C154,F151:F154,J151:J154,M151:M154)</f>
        <v>-0.33536248438353355</v>
      </c>
      <c r="T151" s="25">
        <f>bdrate(C151:C154,H151:H154,J151:J154,O151:O154)</f>
        <v>-0.18497570742213454</v>
      </c>
      <c r="U151" s="28">
        <f t="shared" si="10"/>
        <v>1.1043990634755465</v>
      </c>
    </row>
    <row r="152" spans="1:21" x14ac:dyDescent="0.25">
      <c r="B152" s="9"/>
      <c r="C152" s="31">
        <v>1588.78</v>
      </c>
      <c r="D152" s="32">
        <v>31.911000000000001</v>
      </c>
      <c r="E152" s="32">
        <v>38.503999999999998</v>
      </c>
      <c r="F152" s="32">
        <v>37.676000000000002</v>
      </c>
      <c r="G152" s="18">
        <v>50.56</v>
      </c>
      <c r="H152" s="18">
        <f t="shared" si="8"/>
        <v>33.455750000000002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9"/>
        <v>34.219224999999994</v>
      </c>
      <c r="P152" s="7"/>
      <c r="Q152" s="10"/>
      <c r="R152" s="11"/>
      <c r="S152" s="11"/>
      <c r="T152" s="26"/>
      <c r="U152" s="28">
        <f t="shared" si="10"/>
        <v>1.4090723892405062</v>
      </c>
    </row>
    <row r="153" spans="1:21" x14ac:dyDescent="0.25">
      <c r="B153" s="9"/>
      <c r="C153" s="31">
        <v>984.15</v>
      </c>
      <c r="D153" s="32">
        <v>30.151</v>
      </c>
      <c r="E153" s="32">
        <v>37.591000000000001</v>
      </c>
      <c r="F153" s="32">
        <v>36.332000000000001</v>
      </c>
      <c r="G153" s="18">
        <v>54.23</v>
      </c>
      <c r="H153" s="18">
        <f t="shared" si="8"/>
        <v>31.853625000000001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9"/>
        <v>32.590662500000001</v>
      </c>
      <c r="P153" s="7"/>
      <c r="Q153" s="10"/>
      <c r="R153" s="11"/>
      <c r="S153" s="11"/>
      <c r="T153" s="26"/>
      <c r="U153" s="28">
        <f t="shared" si="10"/>
        <v>1.5797399963120049</v>
      </c>
    </row>
    <row r="154" spans="1:21" ht="16.5" thickBot="1" x14ac:dyDescent="0.3">
      <c r="B154" s="12"/>
      <c r="C154" s="33">
        <v>584.16</v>
      </c>
      <c r="D154" s="34">
        <v>28.126999999999999</v>
      </c>
      <c r="E154" s="34">
        <v>35.761000000000003</v>
      </c>
      <c r="F154" s="34">
        <v>34.353000000000002</v>
      </c>
      <c r="G154" s="20">
        <v>59.57</v>
      </c>
      <c r="H154" s="20">
        <f t="shared" si="8"/>
        <v>29.859500000000001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9"/>
        <v>30.717212499999995</v>
      </c>
      <c r="P154" s="7"/>
      <c r="Q154" s="13"/>
      <c r="R154" s="14"/>
      <c r="S154" s="14"/>
      <c r="T154" s="27"/>
      <c r="U154" s="28">
        <f t="shared" si="10"/>
        <v>1.6756421017290584</v>
      </c>
    </row>
    <row r="155" spans="1:21" x14ac:dyDescent="0.25">
      <c r="B155" s="6" t="s">
        <v>52</v>
      </c>
      <c r="C155" s="15">
        <v>2388.86</v>
      </c>
      <c r="D155" s="16">
        <v>31.698</v>
      </c>
      <c r="E155" s="16">
        <v>38.338999999999999</v>
      </c>
      <c r="F155" s="16">
        <v>41.05</v>
      </c>
      <c r="G155" s="16">
        <v>52.98</v>
      </c>
      <c r="H155" s="16">
        <f t="shared" si="8"/>
        <v>33.697125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9"/>
        <v>35.417699999999996</v>
      </c>
      <c r="P155" s="7"/>
      <c r="Q155" s="8">
        <f>bdrate(C155:C158,D155:D158,J155:J158,K155:K158)</f>
        <v>-0.56030170660571277</v>
      </c>
      <c r="R155" s="8">
        <f>bdrate(C155:C158,E155:E158,J155:J158,L155:L158)</f>
        <v>-0.63965516086072571</v>
      </c>
      <c r="S155" s="8">
        <f>bdrate(C155:C158,F155:F158,J155:J158,M155:M158)</f>
        <v>-0.54504390437583328</v>
      </c>
      <c r="T155" s="25">
        <f>bdrate(C155:C158,H155:H158,J155:J158,O155:O158)</f>
        <v>-0.56359523858755056</v>
      </c>
      <c r="U155" s="28">
        <f t="shared" si="10"/>
        <v>0.6530483201208005</v>
      </c>
    </row>
    <row r="156" spans="1:21" x14ac:dyDescent="0.25">
      <c r="B156" s="9"/>
      <c r="C156" s="17">
        <v>1548.1</v>
      </c>
      <c r="D156" s="18">
        <v>30.713000000000001</v>
      </c>
      <c r="E156" s="18">
        <v>37.987000000000002</v>
      </c>
      <c r="F156" s="18">
        <v>40.741</v>
      </c>
      <c r="G156" s="18">
        <v>61.74</v>
      </c>
      <c r="H156" s="18">
        <f t="shared" si="8"/>
        <v>32.875750000000004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9"/>
        <v>34.764399999999995</v>
      </c>
      <c r="P156" s="7"/>
      <c r="Q156" s="10"/>
      <c r="R156" s="11"/>
      <c r="S156" s="11"/>
      <c r="T156" s="26"/>
      <c r="U156" s="28">
        <f t="shared" si="10"/>
        <v>1.2243472627146095</v>
      </c>
    </row>
    <row r="157" spans="1:21" x14ac:dyDescent="0.25">
      <c r="B157" s="9"/>
      <c r="C157" s="17">
        <v>926.76</v>
      </c>
      <c r="D157" s="18">
        <v>29.228999999999999</v>
      </c>
      <c r="E157" s="18">
        <v>37.412999999999997</v>
      </c>
      <c r="F157" s="18">
        <v>40.200000000000003</v>
      </c>
      <c r="G157" s="18">
        <v>64.86</v>
      </c>
      <c r="H157" s="18">
        <f t="shared" si="8"/>
        <v>31.623374999999996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9"/>
        <v>33.793624999999999</v>
      </c>
      <c r="P157" s="7"/>
      <c r="Q157" s="10"/>
      <c r="R157" s="11"/>
      <c r="S157" s="11"/>
      <c r="T157" s="26"/>
      <c r="U157" s="28">
        <f t="shared" si="10"/>
        <v>1.4002836879432625</v>
      </c>
    </row>
    <row r="158" spans="1:21" ht="16.5" thickBot="1" x14ac:dyDescent="0.3">
      <c r="B158" s="12"/>
      <c r="C158" s="19">
        <v>473.77</v>
      </c>
      <c r="D158" s="20">
        <v>26.113</v>
      </c>
      <c r="E158" s="20">
        <v>36.186</v>
      </c>
      <c r="F158" s="20">
        <v>38.923000000000002</v>
      </c>
      <c r="G158" s="20">
        <v>68.930000000000007</v>
      </c>
      <c r="H158" s="20">
        <f t="shared" si="8"/>
        <v>28.973375000000001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9"/>
        <v>32.5105875</v>
      </c>
      <c r="P158" s="7"/>
      <c r="Q158" s="13"/>
      <c r="R158" s="14"/>
      <c r="S158" s="14"/>
      <c r="T158" s="27"/>
      <c r="U158" s="28">
        <f t="shared" si="10"/>
        <v>1.4561178006673432</v>
      </c>
    </row>
    <row r="159" spans="1:21" x14ac:dyDescent="0.25">
      <c r="A159" s="6" t="s">
        <v>39</v>
      </c>
      <c r="B159" s="6" t="s">
        <v>53</v>
      </c>
      <c r="C159" s="15">
        <v>1218.1300000000001</v>
      </c>
      <c r="D159" s="16">
        <v>33.503999999999998</v>
      </c>
      <c r="E159" s="16">
        <v>37.21</v>
      </c>
      <c r="F159" s="16">
        <v>36.988999999999997</v>
      </c>
      <c r="G159" s="16">
        <v>179.02</v>
      </c>
      <c r="H159" s="16">
        <f t="shared" si="8"/>
        <v>34.402875000000002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9"/>
        <v>35.978937500000001</v>
      </c>
      <c r="P159" s="7"/>
      <c r="Q159" s="8">
        <f>bdrate(C159:C162,D159:D162,J159:J162,K159:K162)</f>
        <v>-0.27407233821746491</v>
      </c>
      <c r="R159" s="8">
        <f>bdrate(C159:C162,E159:E162,J159:J162,L159:L162)</f>
        <v>-0.43412127057574512</v>
      </c>
      <c r="S159" s="8">
        <f>bdrate(C159:C162,F159:F162,J159:J162,M159:M162)</f>
        <v>-0.40568223661103076</v>
      </c>
      <c r="T159" s="25">
        <f>bdrate(C159:C162,H159:H162,J159:J162,O159:O162)</f>
        <v>-0.30442310386426441</v>
      </c>
      <c r="U159" s="28">
        <f t="shared" si="10"/>
        <v>1.2651938330912744</v>
      </c>
    </row>
    <row r="160" spans="1:21" x14ac:dyDescent="0.25">
      <c r="A160" s="9" t="s">
        <v>40</v>
      </c>
      <c r="B160" s="9"/>
      <c r="C160" s="17">
        <v>812.67</v>
      </c>
      <c r="D160" s="18">
        <v>32.109000000000002</v>
      </c>
      <c r="E160" s="18">
        <v>36.296999999999997</v>
      </c>
      <c r="F160" s="18">
        <v>35.911000000000001</v>
      </c>
      <c r="G160" s="18">
        <v>179.02</v>
      </c>
      <c r="H160" s="18">
        <f t="shared" si="8"/>
        <v>33.107749999999996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9"/>
        <v>34.502525000000006</v>
      </c>
      <c r="P160" s="7"/>
      <c r="Q160" s="10"/>
      <c r="R160" s="11"/>
      <c r="S160" s="11"/>
      <c r="T160" s="26"/>
      <c r="U160" s="28">
        <f t="shared" si="10"/>
        <v>1.632406993631996</v>
      </c>
    </row>
    <row r="161" spans="1:21" x14ac:dyDescent="0.25">
      <c r="B161" s="9"/>
      <c r="C161" s="17">
        <v>504.94</v>
      </c>
      <c r="D161" s="18">
        <v>30.527000000000001</v>
      </c>
      <c r="E161" s="18">
        <v>35.262</v>
      </c>
      <c r="F161" s="18">
        <v>34.774000000000001</v>
      </c>
      <c r="G161" s="18">
        <v>228.94</v>
      </c>
      <c r="H161" s="18">
        <f t="shared" si="8"/>
        <v>31.649750000000001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9"/>
        <v>32.754300000000001</v>
      </c>
      <c r="P161" s="7"/>
      <c r="Q161" s="10"/>
      <c r="R161" s="11"/>
      <c r="S161" s="11"/>
      <c r="T161" s="26"/>
      <c r="U161" s="28">
        <f t="shared" si="10"/>
        <v>1.4132357823010397</v>
      </c>
    </row>
    <row r="162" spans="1:21" ht="16.5" thickBot="1" x14ac:dyDescent="0.3">
      <c r="B162" s="12"/>
      <c r="C162" s="19">
        <v>299.77</v>
      </c>
      <c r="D162" s="20">
        <v>28.841000000000001</v>
      </c>
      <c r="E162" s="20">
        <v>34.121000000000002</v>
      </c>
      <c r="F162" s="20">
        <v>33.411999999999999</v>
      </c>
      <c r="G162" s="20">
        <v>250.38</v>
      </c>
      <c r="H162" s="20">
        <f t="shared" si="8"/>
        <v>30.072375000000001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9"/>
        <v>30.942612500000003</v>
      </c>
      <c r="P162" s="7"/>
      <c r="Q162" s="13"/>
      <c r="R162" s="14"/>
      <c r="S162" s="14"/>
      <c r="T162" s="27"/>
      <c r="U162" s="28">
        <f t="shared" si="10"/>
        <v>1.6661742151929066</v>
      </c>
    </row>
    <row r="163" spans="1:21" x14ac:dyDescent="0.25">
      <c r="B163" s="6" t="s">
        <v>54</v>
      </c>
      <c r="C163" s="15">
        <v>1227.0899999999999</v>
      </c>
      <c r="D163" s="16">
        <v>33.323</v>
      </c>
      <c r="E163" s="16">
        <v>38.710999999999999</v>
      </c>
      <c r="F163" s="16">
        <v>39.484999999999999</v>
      </c>
      <c r="G163" s="16">
        <v>204.57</v>
      </c>
      <c r="H163" s="16">
        <f t="shared" si="8"/>
        <v>34.766750000000002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9"/>
        <v>36.581325</v>
      </c>
      <c r="P163" s="7"/>
      <c r="Q163" s="8">
        <f>bdrate(C163:C166,D163:D166,J163:J166,K163:K166)</f>
        <v>-0.33668272222832485</v>
      </c>
      <c r="R163" s="8">
        <f>bdrate(C163:C166,E163:E166,J163:J166,L163:L166)</f>
        <v>-0.52888856328544886</v>
      </c>
      <c r="S163" s="8">
        <f>bdrate(C163:C166,F163:F166,J163:J166,M163:M166)</f>
        <v>-0.49166026197110624</v>
      </c>
      <c r="T163" s="25">
        <f>bdrate(C163:C166,H163:H166,J163:J166,O163:O166)</f>
        <v>-0.36908025762338847</v>
      </c>
      <c r="U163" s="28">
        <f t="shared" si="10"/>
        <v>1.0006692085838589</v>
      </c>
    </row>
    <row r="164" spans="1:21" x14ac:dyDescent="0.25">
      <c r="B164" s="9"/>
      <c r="C164" s="17">
        <v>816.55</v>
      </c>
      <c r="D164" s="18">
        <v>31.844999999999999</v>
      </c>
      <c r="E164" s="18">
        <v>37.780999999999999</v>
      </c>
      <c r="F164" s="18">
        <v>38.456000000000003</v>
      </c>
      <c r="G164" s="18">
        <v>223.63</v>
      </c>
      <c r="H164" s="18">
        <f t="shared" si="8"/>
        <v>33.413375000000002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9"/>
        <v>35.132137499999999</v>
      </c>
      <c r="P164" s="7"/>
      <c r="Q164" s="10"/>
      <c r="R164" s="11"/>
      <c r="S164" s="11"/>
      <c r="T164" s="26"/>
      <c r="U164" s="28">
        <f t="shared" si="10"/>
        <v>1.177762375352144</v>
      </c>
    </row>
    <row r="165" spans="1:21" x14ac:dyDescent="0.25">
      <c r="B165" s="9"/>
      <c r="C165" s="17">
        <v>506.85</v>
      </c>
      <c r="D165" s="18">
        <v>30.094000000000001</v>
      </c>
      <c r="E165" s="18">
        <v>36.808</v>
      </c>
      <c r="F165" s="18">
        <v>37.337000000000003</v>
      </c>
      <c r="G165" s="18">
        <v>254.67</v>
      </c>
      <c r="H165" s="18">
        <f t="shared" si="8"/>
        <v>31.838625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9"/>
        <v>33.423124999999999</v>
      </c>
      <c r="P165" s="7"/>
      <c r="Q165" s="10"/>
      <c r="R165" s="11"/>
      <c r="S165" s="11"/>
      <c r="T165" s="26"/>
      <c r="U165" s="28">
        <f t="shared" si="10"/>
        <v>1.2205371657439039</v>
      </c>
    </row>
    <row r="166" spans="1:21" ht="16.5" thickBot="1" x14ac:dyDescent="0.3">
      <c r="B166" s="12"/>
      <c r="C166" s="19">
        <v>298.79000000000002</v>
      </c>
      <c r="D166" s="20">
        <v>28.128</v>
      </c>
      <c r="E166" s="20">
        <v>35.618000000000002</v>
      </c>
      <c r="F166" s="20">
        <v>35.878999999999998</v>
      </c>
      <c r="G166" s="20">
        <v>282.89</v>
      </c>
      <c r="H166" s="20">
        <f t="shared" si="8"/>
        <v>30.033124999999998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9"/>
        <v>31.561650000000004</v>
      </c>
      <c r="P166" s="7"/>
      <c r="Q166" s="13"/>
      <c r="R166" s="14"/>
      <c r="S166" s="14"/>
      <c r="T166" s="27"/>
      <c r="U166" s="28">
        <f t="shared" si="10"/>
        <v>1.2659889002792608</v>
      </c>
    </row>
    <row r="167" spans="1:21" x14ac:dyDescent="0.25">
      <c r="B167" s="6" t="s">
        <v>55</v>
      </c>
      <c r="C167" s="15">
        <v>1097.9100000000001</v>
      </c>
      <c r="D167" s="16">
        <v>27.814</v>
      </c>
      <c r="E167" s="16">
        <v>34.406999999999996</v>
      </c>
      <c r="F167" s="16">
        <v>35.229999999999997</v>
      </c>
      <c r="G167" s="16">
        <v>201.61</v>
      </c>
      <c r="H167" s="16">
        <f t="shared" si="8"/>
        <v>29.565124999999998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9"/>
        <v>31.987012499999999</v>
      </c>
      <c r="P167" s="7"/>
      <c r="Q167" s="8">
        <f>bdrate(C167:C170,D167:D170,J167:J170,K167:K170)</f>
        <v>-0.4751745541110266</v>
      </c>
      <c r="R167" s="8">
        <f>bdrate(C167:C170,E167:E170,J167:J170,L167:L170)</f>
        <v>-0.66978348704500568</v>
      </c>
      <c r="S167" s="8">
        <f>bdrate(C167:C170,F167:F170,J167:J170,M167:M170)</f>
        <v>-0.63602715370780061</v>
      </c>
      <c r="T167" s="25">
        <f>bdrate(C167:C170,H167:H170,J167:J170,O167:O170)</f>
        <v>-0.50546433511002586</v>
      </c>
      <c r="U167" s="28">
        <f t="shared" si="10"/>
        <v>0.82758692525172339</v>
      </c>
    </row>
    <row r="168" spans="1:21" x14ac:dyDescent="0.25">
      <c r="B168" s="9"/>
      <c r="C168" s="17">
        <v>726.51</v>
      </c>
      <c r="D168" s="18">
        <v>26.544</v>
      </c>
      <c r="E168" s="18">
        <v>33.829000000000001</v>
      </c>
      <c r="F168" s="18">
        <v>34.661000000000001</v>
      </c>
      <c r="G168" s="18">
        <v>227.27</v>
      </c>
      <c r="H168" s="18">
        <f t="shared" si="8"/>
        <v>28.469250000000002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9"/>
        <v>30.770375000000001</v>
      </c>
      <c r="P168" s="7"/>
      <c r="Q168" s="10"/>
      <c r="R168" s="11"/>
      <c r="S168" s="11"/>
      <c r="T168" s="26"/>
      <c r="U168" s="28">
        <f t="shared" si="10"/>
        <v>0.98737712852554216</v>
      </c>
    </row>
    <row r="169" spans="1:21" x14ac:dyDescent="0.25">
      <c r="B169" s="9"/>
      <c r="C169" s="17">
        <v>448.65</v>
      </c>
      <c r="D169" s="18">
        <v>25.152000000000001</v>
      </c>
      <c r="E169" s="18">
        <v>33.1</v>
      </c>
      <c r="F169" s="18">
        <v>34.012999999999998</v>
      </c>
      <c r="G169" s="18">
        <v>254.32</v>
      </c>
      <c r="H169" s="18">
        <f t="shared" si="8"/>
        <v>27.253125000000001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9"/>
        <v>29.411924999999997</v>
      </c>
      <c r="P169" s="7"/>
      <c r="Q169" s="10"/>
      <c r="R169" s="11"/>
      <c r="S169" s="11"/>
      <c r="T169" s="26"/>
      <c r="U169" s="28">
        <f t="shared" si="10"/>
        <v>1.1004561182761874</v>
      </c>
    </row>
    <row r="170" spans="1:21" ht="16.5" thickBot="1" x14ac:dyDescent="0.3">
      <c r="B170" s="12"/>
      <c r="C170" s="19">
        <v>257.54000000000002</v>
      </c>
      <c r="D170" s="20">
        <v>23.516999999999999</v>
      </c>
      <c r="E170" s="20">
        <v>32.097000000000001</v>
      </c>
      <c r="F170" s="20">
        <v>32.893999999999998</v>
      </c>
      <c r="G170" s="20">
        <v>278.70999999999998</v>
      </c>
      <c r="H170" s="20">
        <f t="shared" si="8"/>
        <v>25.761625000000002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9"/>
        <v>28.032362499999998</v>
      </c>
      <c r="P170" s="7"/>
      <c r="Q170" s="13"/>
      <c r="R170" s="14"/>
      <c r="S170" s="14"/>
      <c r="T170" s="27"/>
      <c r="U170" s="28">
        <f t="shared" si="10"/>
        <v>1.2537429586308353</v>
      </c>
    </row>
    <row r="171" spans="1:21" x14ac:dyDescent="0.25">
      <c r="B171" s="6" t="s">
        <v>56</v>
      </c>
      <c r="C171" s="15">
        <v>1118.53</v>
      </c>
      <c r="D171" s="16">
        <v>31.295000000000002</v>
      </c>
      <c r="E171" s="16">
        <v>35.853999999999999</v>
      </c>
      <c r="F171" s="16">
        <v>37.491999999999997</v>
      </c>
      <c r="G171" s="16">
        <v>136.36000000000001</v>
      </c>
      <c r="H171" s="16">
        <f t="shared" si="8"/>
        <v>32.639500000000005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9"/>
        <v>33.6227625</v>
      </c>
      <c r="P171" s="7"/>
      <c r="Q171" s="8">
        <f>bdrate(C171:C174,D171:D174,J171:J174,K171:K174)</f>
        <v>-0.12441665458784357</v>
      </c>
      <c r="R171" s="8">
        <f>bdrate(C171:C174,E171:E174,J171:J174,L171:L174)</f>
        <v>-0.30264336898125266</v>
      </c>
      <c r="S171" s="8">
        <f>bdrate(C171:C174,F171:F174,J171:J174,M171:M174)</f>
        <v>-0.30254217143022633</v>
      </c>
      <c r="T171" s="25">
        <f>bdrate(C171:C174,H171:H174,J171:J174,O171:O174)</f>
        <v>-0.15871928482011743</v>
      </c>
      <c r="U171" s="28">
        <f t="shared" si="10"/>
        <v>1.0735706952185389</v>
      </c>
    </row>
    <row r="172" spans="1:21" x14ac:dyDescent="0.25">
      <c r="B172" s="9"/>
      <c r="C172" s="17">
        <v>753.39</v>
      </c>
      <c r="D172" s="18">
        <v>29.954999999999998</v>
      </c>
      <c r="E172" s="18">
        <v>35.113999999999997</v>
      </c>
      <c r="F172" s="18">
        <v>36.676000000000002</v>
      </c>
      <c r="G172" s="18">
        <v>153.85</v>
      </c>
      <c r="H172" s="18">
        <f t="shared" si="8"/>
        <v>31.439999999999998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9"/>
        <v>32.2492625</v>
      </c>
      <c r="P172" s="7"/>
      <c r="Q172" s="10"/>
      <c r="R172" s="11"/>
      <c r="S172" s="11"/>
      <c r="T172" s="26"/>
      <c r="U172" s="28">
        <f t="shared" si="10"/>
        <v>1.272670133246669</v>
      </c>
    </row>
    <row r="173" spans="1:21" x14ac:dyDescent="0.25">
      <c r="B173" s="9"/>
      <c r="C173" s="17">
        <v>479.7</v>
      </c>
      <c r="D173" s="18">
        <v>28.594999999999999</v>
      </c>
      <c r="E173" s="18">
        <v>34.262999999999998</v>
      </c>
      <c r="F173" s="18">
        <v>35.707999999999998</v>
      </c>
      <c r="G173" s="18">
        <v>173.31</v>
      </c>
      <c r="H173" s="18">
        <f t="shared" si="8"/>
        <v>30.192625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9"/>
        <v>30.764949999999999</v>
      </c>
      <c r="P173" s="7"/>
      <c r="Q173" s="10"/>
      <c r="R173" s="11"/>
      <c r="S173" s="11"/>
      <c r="T173" s="26"/>
      <c r="U173" s="28">
        <f t="shared" si="10"/>
        <v>1.3110841844094396</v>
      </c>
    </row>
    <row r="174" spans="1:21" ht="16.5" thickBot="1" x14ac:dyDescent="0.3">
      <c r="B174" s="12"/>
      <c r="C174" s="19">
        <v>289.75</v>
      </c>
      <c r="D174" s="20">
        <v>27.241</v>
      </c>
      <c r="E174" s="20">
        <v>33.295999999999999</v>
      </c>
      <c r="F174" s="20">
        <v>34.567</v>
      </c>
      <c r="G174" s="20">
        <v>202.43</v>
      </c>
      <c r="H174" s="20">
        <f t="shared" si="8"/>
        <v>28.913625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9"/>
        <v>29.3010625</v>
      </c>
      <c r="P174" s="7"/>
      <c r="Q174" s="13"/>
      <c r="R174" s="14"/>
      <c r="S174" s="14"/>
      <c r="T174" s="27"/>
      <c r="U174" s="28">
        <f t="shared" si="10"/>
        <v>1.4949389912562365</v>
      </c>
    </row>
    <row r="175" spans="1:21" x14ac:dyDescent="0.25">
      <c r="A175" s="6" t="s">
        <v>41</v>
      </c>
      <c r="B175" s="6" t="s">
        <v>57</v>
      </c>
      <c r="C175" s="15">
        <v>640.55999999999995</v>
      </c>
      <c r="D175" s="16">
        <v>33.308999999999997</v>
      </c>
      <c r="E175" s="16">
        <v>38.29</v>
      </c>
      <c r="F175" s="16">
        <v>36.965000000000003</v>
      </c>
      <c r="G175" s="16">
        <v>517.05999999999995</v>
      </c>
      <c r="H175" s="16">
        <f t="shared" si="8"/>
        <v>34.388624999999998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9"/>
        <v>35.460462499999998</v>
      </c>
      <c r="P175" s="7"/>
      <c r="Q175" s="8">
        <f>bdrate(C175:C178,D175:D178,J175:J178,K175:K178)</f>
        <v>-0.17367727302721558</v>
      </c>
      <c r="R175" s="8">
        <f>bdrate(C175:C178,E175:E178,J175:J178,L175:L178)</f>
        <v>-0.41041313890948483</v>
      </c>
      <c r="S175" s="8">
        <f>bdrate(C175:C178,F175:F178,J175:J178,M175:M178)</f>
        <v>-0.36036595220010115</v>
      </c>
      <c r="T175" s="25">
        <f>bdrate(C175:C178,H175:H178,J175:J178,O175:O178)</f>
        <v>-0.21660123502793405</v>
      </c>
      <c r="U175" s="28">
        <f t="shared" si="10"/>
        <v>0.87768112017947642</v>
      </c>
    </row>
    <row r="176" spans="1:21" x14ac:dyDescent="0.25">
      <c r="A176" s="9" t="s">
        <v>42</v>
      </c>
      <c r="B176" s="9"/>
      <c r="C176" s="17">
        <v>427.58</v>
      </c>
      <c r="D176" s="18">
        <v>31.724</v>
      </c>
      <c r="E176" s="18">
        <v>37.290999999999997</v>
      </c>
      <c r="F176" s="18">
        <v>35.749000000000002</v>
      </c>
      <c r="G176" s="18">
        <v>593.82000000000005</v>
      </c>
      <c r="H176" s="18">
        <f t="shared" si="8"/>
        <v>32.923000000000002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9"/>
        <v>33.786875000000002</v>
      </c>
      <c r="P176" s="7"/>
      <c r="Q176" s="10"/>
      <c r="R176" s="11"/>
      <c r="S176" s="11"/>
      <c r="T176" s="26"/>
      <c r="U176" s="28">
        <f t="shared" si="10"/>
        <v>0.92678724192516238</v>
      </c>
    </row>
    <row r="177" spans="1:21" x14ac:dyDescent="0.25">
      <c r="B177" s="9"/>
      <c r="C177" s="17">
        <v>267.42</v>
      </c>
      <c r="D177" s="18">
        <v>30.067</v>
      </c>
      <c r="E177" s="18">
        <v>36.319000000000003</v>
      </c>
      <c r="F177" s="18">
        <v>34.51</v>
      </c>
      <c r="G177" s="18">
        <v>667.56</v>
      </c>
      <c r="H177" s="18">
        <f t="shared" si="8"/>
        <v>31.403874999999999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9"/>
        <v>32.0174375</v>
      </c>
      <c r="P177" s="7"/>
      <c r="Q177" s="10"/>
      <c r="R177" s="11"/>
      <c r="S177" s="11"/>
      <c r="T177" s="26"/>
      <c r="U177" s="28">
        <f t="shared" si="10"/>
        <v>0.99732353646114225</v>
      </c>
    </row>
    <row r="178" spans="1:21" ht="16.5" thickBot="1" x14ac:dyDescent="0.3">
      <c r="B178" s="12"/>
      <c r="C178" s="19">
        <v>128.13999999999999</v>
      </c>
      <c r="D178" s="20">
        <v>27.626000000000001</v>
      </c>
      <c r="E178" s="20">
        <v>34.825000000000003</v>
      </c>
      <c r="F178" s="20">
        <v>32.533000000000001</v>
      </c>
      <c r="G178" s="20">
        <v>844.59</v>
      </c>
      <c r="H178" s="20">
        <f t="shared" si="8"/>
        <v>29.139250000000004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9"/>
        <v>29.452112499999998</v>
      </c>
      <c r="P178" s="7"/>
      <c r="Q178" s="13"/>
      <c r="R178" s="14"/>
      <c r="S178" s="14"/>
      <c r="T178" s="27"/>
      <c r="U178" s="28">
        <f t="shared" si="10"/>
        <v>1.2339744728211319</v>
      </c>
    </row>
    <row r="179" spans="1:21" x14ac:dyDescent="0.25">
      <c r="B179" s="6" t="s">
        <v>58</v>
      </c>
      <c r="C179" s="15">
        <v>554.62</v>
      </c>
      <c r="D179" s="16">
        <v>30.052</v>
      </c>
      <c r="E179" s="16">
        <v>38.456000000000003</v>
      </c>
      <c r="F179" s="16">
        <v>39.07</v>
      </c>
      <c r="G179" s="16">
        <v>835.65</v>
      </c>
      <c r="H179" s="16">
        <f t="shared" si="8"/>
        <v>32.229750000000003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9"/>
        <v>35.618137499999996</v>
      </c>
      <c r="P179" s="7"/>
      <c r="Q179" s="8">
        <f>bdrate(C179:C182,D179:D182,J179:J182,K179:K182)</f>
        <v>-0.62859422813159171</v>
      </c>
      <c r="R179" s="8">
        <f>bdrate(C179:C182,E179:E182,J179:J182,L179:L182)</f>
        <v>-0.7195245288891392</v>
      </c>
      <c r="S179" s="8">
        <f>bdrate(C179:C182,F179:F182,J179:J182,M179:M182)</f>
        <v>-0.70201157459558594</v>
      </c>
      <c r="T179" s="25">
        <f>bdrate(C179:C182,H179:H182,J179:J182,O179:O182)</f>
        <v>-0.63976616034007616</v>
      </c>
      <c r="U179" s="28">
        <f t="shared" si="10"/>
        <v>0.35217315861903919</v>
      </c>
    </row>
    <row r="180" spans="1:21" x14ac:dyDescent="0.25">
      <c r="B180" s="9"/>
      <c r="C180" s="17">
        <v>366.39</v>
      </c>
      <c r="D180" s="18">
        <v>28.66</v>
      </c>
      <c r="E180" s="18">
        <v>38.04</v>
      </c>
      <c r="F180" s="18">
        <v>38.600999999999999</v>
      </c>
      <c r="G180" s="18">
        <v>961.54</v>
      </c>
      <c r="H180" s="18">
        <f t="shared" si="8"/>
        <v>31.075125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9"/>
        <v>34.418824999999998</v>
      </c>
      <c r="P180" s="7"/>
      <c r="Q180" s="10"/>
      <c r="R180" s="11"/>
      <c r="S180" s="11"/>
      <c r="T180" s="26"/>
      <c r="U180" s="28">
        <f t="shared" si="10"/>
        <v>0.4279153233354826</v>
      </c>
    </row>
    <row r="181" spans="1:21" x14ac:dyDescent="0.25">
      <c r="B181" s="9"/>
      <c r="C181" s="17">
        <v>228.84</v>
      </c>
      <c r="D181" s="18">
        <v>27.189</v>
      </c>
      <c r="E181" s="18">
        <v>37.595999999999997</v>
      </c>
      <c r="F181" s="18">
        <v>38.133000000000003</v>
      </c>
      <c r="G181" s="18">
        <v>1069.52</v>
      </c>
      <c r="H181" s="18">
        <f t="shared" si="8"/>
        <v>29.857875000000003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9"/>
        <v>33.017249999999997</v>
      </c>
      <c r="P181" s="7"/>
      <c r="Q181" s="10"/>
      <c r="R181" s="11"/>
      <c r="S181" s="11"/>
      <c r="T181" s="26"/>
      <c r="U181" s="28">
        <f t="shared" si="10"/>
        <v>0.4999982235021318</v>
      </c>
    </row>
    <row r="182" spans="1:21" ht="16.5" thickBot="1" x14ac:dyDescent="0.3">
      <c r="B182" s="12"/>
      <c r="C182" s="19">
        <v>104.14</v>
      </c>
      <c r="D182" s="20">
        <v>24.521999999999998</v>
      </c>
      <c r="E182" s="20">
        <v>36.902000000000001</v>
      </c>
      <c r="F182" s="20">
        <v>37.204999999999998</v>
      </c>
      <c r="G182" s="20">
        <v>1165.05</v>
      </c>
      <c r="H182" s="20">
        <f t="shared" si="8"/>
        <v>27.654874999999997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9"/>
        <v>30.697937499999998</v>
      </c>
      <c r="P182" s="7"/>
      <c r="Q182" s="13"/>
      <c r="R182" s="14"/>
      <c r="S182" s="14"/>
      <c r="T182" s="27"/>
      <c r="U182" s="28">
        <f t="shared" si="10"/>
        <v>0.65063894253465526</v>
      </c>
    </row>
    <row r="183" spans="1:21" x14ac:dyDescent="0.25">
      <c r="B183" s="6" t="s">
        <v>59</v>
      </c>
      <c r="C183" s="29">
        <v>641.79</v>
      </c>
      <c r="D183" s="30">
        <v>31.029</v>
      </c>
      <c r="E183" s="30">
        <v>35.753</v>
      </c>
      <c r="F183" s="30">
        <v>36.261000000000003</v>
      </c>
      <c r="G183" s="16">
        <v>628.14</v>
      </c>
      <c r="H183" s="16">
        <f t="shared" si="8"/>
        <v>32.273500000000006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9"/>
        <v>34.409462499999997</v>
      </c>
      <c r="P183" s="7"/>
      <c r="Q183" s="8">
        <f>bdrate(C183:C186,D183:D186,J183:J186,K183:K186)</f>
        <v>-0.41804008675616988</v>
      </c>
      <c r="R183" s="8">
        <f>bdrate(C183:C186,E183:E186,J183:J186,L183:L186)</f>
        <v>-0.60923610192802924</v>
      </c>
      <c r="S183" s="8">
        <f>bdrate(C183:C186,F183:F186,J183:J186,M183:M186)</f>
        <v>-0.64626584382366026</v>
      </c>
      <c r="T183" s="25">
        <f>bdrate(C183:C186,H183:H186,J183:J186,O183:O186)</f>
        <v>-0.46106794890620595</v>
      </c>
      <c r="U183" s="28">
        <f t="shared" si="10"/>
        <v>0.54563282070875918</v>
      </c>
    </row>
    <row r="184" spans="1:21" x14ac:dyDescent="0.25">
      <c r="B184" s="9"/>
      <c r="C184" s="31">
        <v>425.6</v>
      </c>
      <c r="D184" s="32">
        <v>29.605</v>
      </c>
      <c r="E184" s="32">
        <v>34.822000000000003</v>
      </c>
      <c r="F184" s="32">
        <v>35.369999999999997</v>
      </c>
      <c r="G184" s="18">
        <v>746.27</v>
      </c>
      <c r="H184" s="18">
        <f t="shared" si="8"/>
        <v>30.97775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9"/>
        <v>33.062750000000001</v>
      </c>
      <c r="P184" s="7"/>
      <c r="Q184" s="10"/>
      <c r="R184" s="11"/>
      <c r="S184" s="11"/>
      <c r="T184" s="26"/>
      <c r="U184" s="28">
        <f t="shared" si="10"/>
        <v>0.65431800822758523</v>
      </c>
    </row>
    <row r="185" spans="1:21" x14ac:dyDescent="0.25">
      <c r="B185" s="9"/>
      <c r="C185" s="31">
        <v>264.22000000000003</v>
      </c>
      <c r="D185" s="32">
        <v>28.111999999999998</v>
      </c>
      <c r="E185" s="32">
        <v>33.930999999999997</v>
      </c>
      <c r="F185" s="32">
        <v>34.497999999999998</v>
      </c>
      <c r="G185" s="18">
        <v>822.37</v>
      </c>
      <c r="H185" s="18">
        <f t="shared" si="8"/>
        <v>29.637625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9"/>
        <v>31.458100000000002</v>
      </c>
      <c r="P185" s="7"/>
      <c r="Q185" s="10"/>
      <c r="R185" s="11"/>
      <c r="S185" s="11"/>
      <c r="T185" s="26"/>
      <c r="U185" s="28">
        <f t="shared" si="10"/>
        <v>0.69359011150698602</v>
      </c>
    </row>
    <row r="186" spans="1:21" ht="16.5" thickBot="1" x14ac:dyDescent="0.3">
      <c r="B186" s="12"/>
      <c r="C186" s="33">
        <v>123.67</v>
      </c>
      <c r="D186" s="34">
        <v>25.859000000000002</v>
      </c>
      <c r="E186" s="34">
        <v>32.420999999999999</v>
      </c>
      <c r="F186" s="34">
        <v>33.021000000000001</v>
      </c>
      <c r="G186" s="20">
        <v>1002</v>
      </c>
      <c r="H186" s="20">
        <f t="shared" si="8"/>
        <v>27.5745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9"/>
        <v>29.246700000000001</v>
      </c>
      <c r="P186" s="7"/>
      <c r="Q186" s="13"/>
      <c r="R186" s="14"/>
      <c r="S186" s="14"/>
      <c r="T186" s="27"/>
      <c r="U186" s="28">
        <f t="shared" si="10"/>
        <v>0.87594730538922161</v>
      </c>
    </row>
    <row r="187" spans="1:21" x14ac:dyDescent="0.25">
      <c r="B187" s="6" t="s">
        <v>60</v>
      </c>
      <c r="C187" s="15">
        <v>580.75</v>
      </c>
      <c r="D187" s="16">
        <v>32.475000000000001</v>
      </c>
      <c r="E187" s="16">
        <v>36.475999999999999</v>
      </c>
      <c r="F187" s="16">
        <v>37.585999999999999</v>
      </c>
      <c r="G187" s="16">
        <v>418.41</v>
      </c>
      <c r="H187" s="16">
        <f t="shared" si="8"/>
        <v>33.614000000000004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9"/>
        <v>34.965837499999999</v>
      </c>
      <c r="P187" s="7"/>
      <c r="Q187" s="8">
        <f>bdrate(C187:C190,D187:D190,J187:J190,K187:K190)</f>
        <v>-0.19480620795774217</v>
      </c>
      <c r="R187" s="8">
        <f>bdrate(C187:C190,E187:E190,J187:J190,L187:L190)</f>
        <v>-0.33774260251689436</v>
      </c>
      <c r="S187" s="8">
        <f>bdrate(C187:C190,F187:F190,J187:J190,M187:M190)</f>
        <v>-0.3389271338688411</v>
      </c>
      <c r="T187" s="25">
        <f>bdrate(C187:C190,H187:H190,J187:J190,O187:O190)</f>
        <v>-0.22535133223716752</v>
      </c>
      <c r="U187" s="28">
        <f t="shared" si="10"/>
        <v>0.48447216844721686</v>
      </c>
    </row>
    <row r="188" spans="1:21" x14ac:dyDescent="0.25">
      <c r="B188" s="9"/>
      <c r="C188" s="17">
        <v>388.92</v>
      </c>
      <c r="D188" s="18">
        <v>30.913</v>
      </c>
      <c r="E188" s="18">
        <v>35.415999999999997</v>
      </c>
      <c r="F188" s="18">
        <v>36.466000000000001</v>
      </c>
      <c r="G188" s="18">
        <v>468.75</v>
      </c>
      <c r="H188" s="18">
        <f t="shared" si="8"/>
        <v>32.17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9"/>
        <v>33.284837500000002</v>
      </c>
      <c r="P188" s="7"/>
      <c r="Q188" s="10"/>
      <c r="R188" s="11"/>
      <c r="S188" s="11"/>
      <c r="T188" s="26"/>
      <c r="U188" s="28">
        <f t="shared" si="10"/>
        <v>0.78272981333333325</v>
      </c>
    </row>
    <row r="189" spans="1:21" x14ac:dyDescent="0.25">
      <c r="B189" s="9"/>
      <c r="C189" s="17">
        <v>244.68</v>
      </c>
      <c r="D189" s="18">
        <v>29.341999999999999</v>
      </c>
      <c r="E189" s="18">
        <v>34.351999999999997</v>
      </c>
      <c r="F189" s="18">
        <v>35.268999999999998</v>
      </c>
      <c r="G189" s="18">
        <v>549.45000000000005</v>
      </c>
      <c r="H189" s="18">
        <f t="shared" si="8"/>
        <v>30.709125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9"/>
        <v>31.583425000000002</v>
      </c>
      <c r="P189" s="7"/>
      <c r="Q189" s="10"/>
      <c r="R189" s="11"/>
      <c r="S189" s="11"/>
      <c r="T189" s="26"/>
      <c r="U189" s="28">
        <f t="shared" si="10"/>
        <v>0.84459641459641444</v>
      </c>
    </row>
    <row r="190" spans="1:21" ht="16.5" thickBot="1" x14ac:dyDescent="0.3">
      <c r="B190" s="12"/>
      <c r="C190" s="19">
        <v>117.31</v>
      </c>
      <c r="D190" s="20">
        <v>27.172000000000001</v>
      </c>
      <c r="E190" s="20">
        <v>32.639000000000003</v>
      </c>
      <c r="F190" s="20">
        <v>33.527000000000001</v>
      </c>
      <c r="G190" s="20">
        <v>686.5</v>
      </c>
      <c r="H190" s="20">
        <f t="shared" si="8"/>
        <v>28.649750000000004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9"/>
        <v>29.323662500000001</v>
      </c>
      <c r="P190" s="7"/>
      <c r="Q190" s="13"/>
      <c r="R190" s="14"/>
      <c r="S190" s="14"/>
      <c r="T190" s="27"/>
      <c r="U190" s="28">
        <f t="shared" si="10"/>
        <v>1.0045838310269484</v>
      </c>
    </row>
    <row r="191" spans="1:21" x14ac:dyDescent="0.25">
      <c r="A191" s="6" t="s">
        <v>43</v>
      </c>
      <c r="B191" s="6" t="s">
        <v>61</v>
      </c>
      <c r="C191" s="15">
        <v>1376.51</v>
      </c>
      <c r="D191" s="16">
        <v>39.575000000000003</v>
      </c>
      <c r="E191" s="16">
        <v>43.768000000000001</v>
      </c>
      <c r="F191" s="16">
        <v>44.945999999999998</v>
      </c>
      <c r="G191" s="16">
        <v>122.9</v>
      </c>
      <c r="H191" s="16">
        <f t="shared" si="8"/>
        <v>40.770499999999998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9"/>
        <v>42.533825</v>
      </c>
      <c r="P191" s="7"/>
      <c r="Q191" s="8">
        <f>bdrate(C191:C194,D191:D194,J191:J194,K191:K194)</f>
        <v>-0.34855763756836022</v>
      </c>
      <c r="R191" s="8">
        <f>bdrate(C191:C194,E191:E194,J191:J194,L191:L194)</f>
        <v>-0.40809660359957534</v>
      </c>
      <c r="S191" s="8">
        <f>bdrate(C191:C194,F191:F194,J191:J194,M191:M194)</f>
        <v>-0.40677109822169577</v>
      </c>
      <c r="T191" s="25">
        <f>bdrate(C191:C194,H191:H194,J191:J194,O191:O194)</f>
        <v>-0.3584118230308585</v>
      </c>
      <c r="U191" s="28">
        <f t="shared" si="10"/>
        <v>0.40976566314076479</v>
      </c>
    </row>
    <row r="192" spans="1:21" x14ac:dyDescent="0.25">
      <c r="A192" s="9" t="s">
        <v>44</v>
      </c>
      <c r="B192" s="9"/>
      <c r="C192" s="17">
        <v>914.24</v>
      </c>
      <c r="D192" s="18">
        <v>38.142000000000003</v>
      </c>
      <c r="E192" s="18">
        <v>42.746000000000002</v>
      </c>
      <c r="F192" s="18">
        <v>43.875999999999998</v>
      </c>
      <c r="G192" s="18">
        <v>134.44</v>
      </c>
      <c r="H192" s="18">
        <f t="shared" si="8"/>
        <v>39.434249999999999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9"/>
        <v>41.447750000000006</v>
      </c>
      <c r="P192" s="7"/>
      <c r="Q192" s="10"/>
      <c r="R192" s="11"/>
      <c r="S192" s="11"/>
      <c r="T192" s="26"/>
      <c r="U192" s="28">
        <f t="shared" si="10"/>
        <v>1.1664839333531685</v>
      </c>
    </row>
    <row r="193" spans="1:21" x14ac:dyDescent="0.25">
      <c r="B193" s="9"/>
      <c r="C193" s="17">
        <v>541.05999999999995</v>
      </c>
      <c r="D193" s="18">
        <v>36.167000000000002</v>
      </c>
      <c r="E193" s="18">
        <v>41.838000000000001</v>
      </c>
      <c r="F193" s="18">
        <v>42.887</v>
      </c>
      <c r="G193" s="18">
        <v>144.61000000000001</v>
      </c>
      <c r="H193" s="18">
        <f t="shared" si="8"/>
        <v>37.715875000000004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9"/>
        <v>39.568074999999993</v>
      </c>
      <c r="P193" s="7"/>
      <c r="Q193" s="10"/>
      <c r="R193" s="11"/>
      <c r="S193" s="11"/>
      <c r="T193" s="26"/>
      <c r="U193" s="28">
        <f t="shared" si="10"/>
        <v>1.3322598713781895</v>
      </c>
    </row>
    <row r="194" spans="1:21" ht="16.5" thickBot="1" x14ac:dyDescent="0.3">
      <c r="B194" s="12"/>
      <c r="C194" s="19">
        <v>257.19</v>
      </c>
      <c r="D194" s="20">
        <v>33.799999999999997</v>
      </c>
      <c r="E194" s="20">
        <v>40.795000000000002</v>
      </c>
      <c r="F194" s="20">
        <v>41.587000000000003</v>
      </c>
      <c r="G194" s="20">
        <v>154.47999999999999</v>
      </c>
      <c r="H194" s="20">
        <f t="shared" si="8"/>
        <v>35.647749999999995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9"/>
        <v>36.5735375</v>
      </c>
      <c r="P194" s="7"/>
      <c r="Q194" s="13"/>
      <c r="R194" s="14"/>
      <c r="S194" s="14"/>
      <c r="T194" s="27"/>
      <c r="U194" s="28">
        <f t="shared" si="10"/>
        <v>1.6475789746245471</v>
      </c>
    </row>
    <row r="195" spans="1:21" x14ac:dyDescent="0.25">
      <c r="B195" s="6" t="s">
        <v>62</v>
      </c>
      <c r="C195" s="15">
        <v>1428.15</v>
      </c>
      <c r="D195" s="16">
        <v>41.506</v>
      </c>
      <c r="E195" s="16">
        <v>46.311999999999998</v>
      </c>
      <c r="F195" s="16">
        <v>46.906999999999996</v>
      </c>
      <c r="G195" s="16">
        <v>124.48</v>
      </c>
      <c r="H195" s="16">
        <f t="shared" si="8"/>
        <v>42.781874999999999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9"/>
        <v>43.940749999999994</v>
      </c>
      <c r="P195" s="7"/>
      <c r="Q195" s="8">
        <f>bdrate(C195:C198,D195:D198,J195:J198,K195:K198)</f>
        <v>-0.47285207747444369</v>
      </c>
      <c r="R195" s="8">
        <f>bdrate(C195:C198,E195:E198,J195:J198,L195:L198)</f>
        <v>-0.54232282866004922</v>
      </c>
      <c r="S195" s="8">
        <f>bdrate(C195:C198,F195:F198,J195:J198,M195:M198)</f>
        <v>-0.53371418553388006</v>
      </c>
      <c r="T195" s="25">
        <f>bdrate(C195:C198,H195:H198,J195:J198,O195:O198)</f>
        <v>-0.48868474983812971</v>
      </c>
      <c r="U195" s="28">
        <f t="shared" ref="U195:U213" si="11">(N195-G195)/G195</f>
        <v>0.72576156812339332</v>
      </c>
    </row>
    <row r="196" spans="1:21" x14ac:dyDescent="0.25">
      <c r="B196" s="9"/>
      <c r="C196" s="17">
        <v>942.43</v>
      </c>
      <c r="D196" s="18">
        <v>40.765000000000001</v>
      </c>
      <c r="E196" s="18">
        <v>45.567999999999998</v>
      </c>
      <c r="F196" s="18">
        <v>46.201000000000001</v>
      </c>
      <c r="G196" s="18">
        <v>137.36000000000001</v>
      </c>
      <c r="H196" s="18">
        <f t="shared" si="8"/>
        <v>42.044875000000005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9"/>
        <v>43.414250000000003</v>
      </c>
      <c r="P196" s="7"/>
      <c r="Q196" s="10"/>
      <c r="R196" s="11"/>
      <c r="S196" s="11"/>
      <c r="T196" s="26"/>
      <c r="U196" s="28">
        <f t="shared" si="11"/>
        <v>1.4553589108910889</v>
      </c>
    </row>
    <row r="197" spans="1:21" x14ac:dyDescent="0.25">
      <c r="B197" s="9"/>
      <c r="C197" s="17">
        <v>555.34</v>
      </c>
      <c r="D197" s="18">
        <v>39.643999999999998</v>
      </c>
      <c r="E197" s="18">
        <v>44.59</v>
      </c>
      <c r="F197" s="18">
        <v>45.079000000000001</v>
      </c>
      <c r="G197" s="18">
        <v>142.99</v>
      </c>
      <c r="H197" s="18">
        <f t="shared" si="8"/>
        <v>40.941624999999995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9"/>
        <v>42.4825625</v>
      </c>
      <c r="P197" s="7"/>
      <c r="Q197" s="10"/>
      <c r="R197" s="11"/>
      <c r="S197" s="11"/>
      <c r="T197" s="26"/>
      <c r="U197" s="28">
        <f t="shared" si="11"/>
        <v>1.5369396461290998</v>
      </c>
    </row>
    <row r="198" spans="1:21" ht="16.5" thickBot="1" x14ac:dyDescent="0.3">
      <c r="B198" s="12"/>
      <c r="C198" s="19">
        <v>263.45</v>
      </c>
      <c r="D198" s="20">
        <v>37.414999999999999</v>
      </c>
      <c r="E198" s="20">
        <v>43.295000000000002</v>
      </c>
      <c r="F198" s="20">
        <v>43.784999999999997</v>
      </c>
      <c r="G198" s="20">
        <v>153.22</v>
      </c>
      <c r="H198" s="20">
        <f t="shared" si="8"/>
        <v>38.946250000000006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9"/>
        <v>40.642375000000001</v>
      </c>
      <c r="P198" s="7"/>
      <c r="Q198" s="13"/>
      <c r="R198" s="14"/>
      <c r="S198" s="14"/>
      <c r="T198" s="27"/>
      <c r="U198" s="28">
        <f t="shared" si="11"/>
        <v>1.7577026497846235</v>
      </c>
    </row>
    <row r="199" spans="1:21" x14ac:dyDescent="0.25">
      <c r="B199" s="6" t="s">
        <v>63</v>
      </c>
      <c r="C199" s="15">
        <v>1495.57</v>
      </c>
      <c r="D199" s="16">
        <v>41.185000000000002</v>
      </c>
      <c r="E199" s="16">
        <v>45.335000000000001</v>
      </c>
      <c r="F199" s="16">
        <v>46.164000000000001</v>
      </c>
      <c r="G199" s="16">
        <v>114.48</v>
      </c>
      <c r="H199" s="16">
        <f t="shared" si="8"/>
        <v>42.326124999999998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9"/>
        <v>43.654162499999998</v>
      </c>
      <c r="P199" s="7"/>
      <c r="Q199" s="8">
        <f>bdrate(C199:C202,D199:D202,J199:J202,K199:K202)</f>
        <v>-0.42030171443516773</v>
      </c>
      <c r="R199" s="8">
        <f>bdrate(C199:C202,E199:E202,J199:J202,L199:L202)</f>
        <v>-0.45966753848544506</v>
      </c>
      <c r="S199" s="8">
        <f>bdrate(C199:C202,F199:F202,J199:J202,M199:M202)</f>
        <v>-0.43572186466159779</v>
      </c>
      <c r="T199" s="25">
        <f>bdrate(C199:C202,H199:H202,J199:J202,O199:O202)</f>
        <v>-0.42621259617623164</v>
      </c>
      <c r="U199" s="28">
        <f t="shared" si="11"/>
        <v>0.84545422781271817</v>
      </c>
    </row>
    <row r="200" spans="1:21" x14ac:dyDescent="0.25">
      <c r="B200" s="9"/>
      <c r="C200" s="17">
        <v>992.79</v>
      </c>
      <c r="D200" s="18">
        <v>40.073</v>
      </c>
      <c r="E200" s="18">
        <v>44.316000000000003</v>
      </c>
      <c r="F200" s="18">
        <v>45.232999999999997</v>
      </c>
      <c r="G200" s="18">
        <v>128.62</v>
      </c>
      <c r="H200" s="18">
        <f t="shared" si="8"/>
        <v>41.248375000000003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9"/>
        <v>42.835475000000002</v>
      </c>
      <c r="P200" s="7"/>
      <c r="Q200" s="10"/>
      <c r="R200" s="11"/>
      <c r="S200" s="11"/>
      <c r="T200" s="26"/>
      <c r="U200" s="28">
        <f t="shared" si="11"/>
        <v>1.2822430415176489</v>
      </c>
    </row>
    <row r="201" spans="1:21" x14ac:dyDescent="0.25">
      <c r="B201" s="9"/>
      <c r="C201" s="17">
        <v>588.33000000000004</v>
      </c>
      <c r="D201" s="18">
        <v>38.325000000000003</v>
      </c>
      <c r="E201" s="18">
        <v>43.11</v>
      </c>
      <c r="F201" s="18">
        <v>44.029000000000003</v>
      </c>
      <c r="G201" s="18">
        <v>138.34</v>
      </c>
      <c r="H201" s="18">
        <f t="shared" si="8"/>
        <v>39.636125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9"/>
        <v>41.476499999999994</v>
      </c>
      <c r="P201" s="7"/>
      <c r="Q201" s="10"/>
      <c r="R201" s="11"/>
      <c r="S201" s="11"/>
      <c r="T201" s="26"/>
      <c r="U201" s="28">
        <f t="shared" si="11"/>
        <v>1.5986460893450916</v>
      </c>
    </row>
    <row r="202" spans="1:21" ht="16.5" thickBot="1" x14ac:dyDescent="0.3">
      <c r="B202" s="12"/>
      <c r="C202" s="19">
        <v>280.36</v>
      </c>
      <c r="D202" s="20">
        <v>35.886000000000003</v>
      </c>
      <c r="E202" s="20">
        <v>41.677</v>
      </c>
      <c r="F202" s="20">
        <v>42.642000000000003</v>
      </c>
      <c r="G202" s="20">
        <v>150.83000000000001</v>
      </c>
      <c r="H202" s="20">
        <f t="shared" si="8"/>
        <v>37.454375000000006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9"/>
        <v>38.9054</v>
      </c>
      <c r="P202" s="7"/>
      <c r="Q202" s="13"/>
      <c r="R202" s="14"/>
      <c r="S202" s="14"/>
      <c r="T202" s="27"/>
      <c r="U202" s="28">
        <f t="shared" si="11"/>
        <v>1.6016926340913609</v>
      </c>
    </row>
    <row r="203" spans="1:21" x14ac:dyDescent="0.25">
      <c r="A203" s="6" t="s">
        <v>102</v>
      </c>
      <c r="B203" s="6" t="s">
        <v>103</v>
      </c>
      <c r="C203" s="15">
        <v>1207.49</v>
      </c>
      <c r="D203" s="16">
        <v>41.472999999999999</v>
      </c>
      <c r="E203" s="16">
        <v>47.012</v>
      </c>
      <c r="F203" s="16">
        <v>48.033000000000001</v>
      </c>
      <c r="G203" s="16">
        <v>82.41</v>
      </c>
      <c r="H203" s="16">
        <f t="shared" ref="H203:H246" si="12">(6*D203+E203+F203)/8</f>
        <v>42.985375000000005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3">(6*K203+L203+M203)/8</f>
        <v>45.063924999999998</v>
      </c>
      <c r="P203" s="7"/>
      <c r="Q203" s="8">
        <f>bdrate(C203:C206,D203:D206,J203:J206,K203:K206)</f>
        <v>-0.35005754264573297</v>
      </c>
      <c r="R203" s="8">
        <f>bdrate(C203:C206,E203:E206,J203:J206,L203:L206)</f>
        <v>-0.40750979663508624</v>
      </c>
      <c r="S203" s="8">
        <f>bdrate(C203:C206,F203:F206,J203:J206,M203:M206)</f>
        <v>-0.4712176163078633</v>
      </c>
      <c r="T203" s="25">
        <f>bdrate(C203:C206,H203:H206,J203:J206,O203:O206)</f>
        <v>-0.36668589063649393</v>
      </c>
      <c r="U203" s="28">
        <f t="shared" si="11"/>
        <v>0.94670307001577481</v>
      </c>
    </row>
    <row r="204" spans="1:21" x14ac:dyDescent="0.25">
      <c r="A204" s="9" t="s">
        <v>78</v>
      </c>
      <c r="B204" s="9"/>
      <c r="C204" s="17">
        <v>808.86</v>
      </c>
      <c r="D204" s="18">
        <v>39.488999999999997</v>
      </c>
      <c r="E204" s="18">
        <v>45.395000000000003</v>
      </c>
      <c r="F204" s="18">
        <v>46.481999999999999</v>
      </c>
      <c r="G204" s="18">
        <v>92.16</v>
      </c>
      <c r="H204" s="18">
        <f t="shared" si="12"/>
        <v>41.10137499999999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3"/>
        <v>43.429087500000001</v>
      </c>
      <c r="P204" s="7"/>
      <c r="Q204" s="10"/>
      <c r="R204" s="11"/>
      <c r="S204" s="11"/>
      <c r="T204" s="26"/>
      <c r="U204" s="28">
        <f t="shared" si="11"/>
        <v>1.416037326388889</v>
      </c>
    </row>
    <row r="205" spans="1:21" x14ac:dyDescent="0.25">
      <c r="B205" s="9"/>
      <c r="C205" s="17">
        <v>490.82</v>
      </c>
      <c r="D205" s="18">
        <v>36.536000000000001</v>
      </c>
      <c r="E205" s="18">
        <v>43.679000000000002</v>
      </c>
      <c r="F205" s="18">
        <v>44.71</v>
      </c>
      <c r="G205" s="18">
        <v>102.56</v>
      </c>
      <c r="H205" s="18">
        <f t="shared" si="12"/>
        <v>38.450624999999995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3"/>
        <v>41.196075000000008</v>
      </c>
      <c r="P205" s="7"/>
      <c r="Q205" s="10"/>
      <c r="R205" s="11"/>
      <c r="S205" s="11"/>
      <c r="T205" s="26"/>
      <c r="U205" s="28">
        <f t="shared" si="11"/>
        <v>1.5977944617784712</v>
      </c>
    </row>
    <row r="206" spans="1:21" ht="16.5" thickBot="1" x14ac:dyDescent="0.3">
      <c r="B206" s="12"/>
      <c r="C206" s="19">
        <v>249.1</v>
      </c>
      <c r="D206" s="20">
        <v>34.087000000000003</v>
      </c>
      <c r="E206" s="20">
        <v>41.353999999999999</v>
      </c>
      <c r="F206" s="20">
        <v>42.469000000000001</v>
      </c>
      <c r="G206" s="20">
        <v>117.12</v>
      </c>
      <c r="H206" s="20">
        <f t="shared" si="12"/>
        <v>36.043125000000003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3"/>
        <v>38.408537500000001</v>
      </c>
      <c r="P206" s="7"/>
      <c r="Q206" s="13"/>
      <c r="R206" s="14"/>
      <c r="S206" s="14"/>
      <c r="T206" s="27"/>
      <c r="U206" s="28">
        <f t="shared" si="11"/>
        <v>1.8293177937158471</v>
      </c>
    </row>
    <row r="207" spans="1:21" x14ac:dyDescent="0.25">
      <c r="B207" s="6" t="s">
        <v>104</v>
      </c>
      <c r="C207" s="15">
        <v>1472.86</v>
      </c>
      <c r="D207" s="16">
        <v>48.670999999999999</v>
      </c>
      <c r="E207" s="16">
        <v>49.722999999999999</v>
      </c>
      <c r="F207" s="16">
        <v>50.197000000000003</v>
      </c>
      <c r="G207" s="16">
        <v>148.31</v>
      </c>
      <c r="H207" s="16">
        <f t="shared" si="12"/>
        <v>48.993250000000003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3"/>
        <v>51.710475000000002</v>
      </c>
      <c r="P207" s="7"/>
      <c r="Q207" s="8">
        <f>bdrate(C207:C210,D207:D210,J207:J210,K207:K210)</f>
        <v>-0.44695692213262539</v>
      </c>
      <c r="R207" s="8">
        <f>bdrate(C207:C210,E207:E210,J207:J210,L207:L210)</f>
        <v>-0.44798041189951066</v>
      </c>
      <c r="S207" s="8">
        <f>bdrate(C207:C210,F207:F210,J207:J210,M207:M210)</f>
        <v>-0.44824461693608098</v>
      </c>
      <c r="T207" s="25">
        <f>bdrate(C207:C210,H207:H210,J207:J210,O207:O210)</f>
        <v>-0.44726945919930672</v>
      </c>
      <c r="U207" s="28">
        <f t="shared" si="11"/>
        <v>0.51067224057716942</v>
      </c>
    </row>
    <row r="208" spans="1:21" x14ac:dyDescent="0.25">
      <c r="B208" s="9"/>
      <c r="C208" s="17">
        <v>979.69</v>
      </c>
      <c r="D208" s="18">
        <v>45.973999999999997</v>
      </c>
      <c r="E208" s="18">
        <v>47.262999999999998</v>
      </c>
      <c r="F208" s="18">
        <v>47.811</v>
      </c>
      <c r="G208" s="18">
        <v>163.66999999999999</v>
      </c>
      <c r="H208" s="18">
        <f t="shared" si="12"/>
        <v>46.364749999999994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3"/>
        <v>49.843562500000004</v>
      </c>
      <c r="P208" s="7"/>
      <c r="Q208" s="10"/>
      <c r="R208" s="11"/>
      <c r="S208" s="11"/>
      <c r="T208" s="26"/>
      <c r="U208" s="28">
        <f t="shared" si="11"/>
        <v>1.0426706177063605</v>
      </c>
    </row>
    <row r="209" spans="2:21" x14ac:dyDescent="0.25">
      <c r="B209" s="9"/>
      <c r="C209" s="17">
        <v>589.66</v>
      </c>
      <c r="D209" s="18">
        <v>43.046999999999997</v>
      </c>
      <c r="E209" s="18">
        <v>44.634999999999998</v>
      </c>
      <c r="F209" s="18">
        <v>45.17</v>
      </c>
      <c r="G209" s="18">
        <v>172.73</v>
      </c>
      <c r="H209" s="18">
        <f t="shared" si="12"/>
        <v>43.510874999999999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3"/>
        <v>46.980674999999998</v>
      </c>
      <c r="P209" s="7"/>
      <c r="Q209" s="10"/>
      <c r="R209" s="11"/>
      <c r="S209" s="11"/>
      <c r="T209" s="26"/>
      <c r="U209" s="28">
        <f t="shared" si="11"/>
        <v>1.2420152839692007</v>
      </c>
    </row>
    <row r="210" spans="2:21" ht="16.5" thickBot="1" x14ac:dyDescent="0.3">
      <c r="B210" s="12"/>
      <c r="C210" s="19">
        <v>295.20999999999998</v>
      </c>
      <c r="D210" s="20">
        <v>39.460999999999999</v>
      </c>
      <c r="E210" s="20">
        <v>41.539000000000001</v>
      </c>
      <c r="F210" s="20">
        <v>42.064999999999998</v>
      </c>
      <c r="G210" s="20">
        <v>181.71</v>
      </c>
      <c r="H210" s="20">
        <f t="shared" si="12"/>
        <v>40.046250000000001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3"/>
        <v>42.836549999999995</v>
      </c>
      <c r="P210" s="7"/>
      <c r="Q210" s="13"/>
      <c r="R210" s="14"/>
      <c r="S210" s="14"/>
      <c r="T210" s="27"/>
      <c r="U210" s="28">
        <f t="shared" si="11"/>
        <v>1.2840427054097185</v>
      </c>
    </row>
    <row r="211" spans="2:21" x14ac:dyDescent="0.25">
      <c r="B211" s="6" t="s">
        <v>105</v>
      </c>
      <c r="C211" s="15">
        <v>1554.03</v>
      </c>
      <c r="D211" s="16">
        <v>40.509</v>
      </c>
      <c r="E211" s="16">
        <v>43.182000000000002</v>
      </c>
      <c r="F211" s="16">
        <v>43.707000000000001</v>
      </c>
      <c r="G211" s="16">
        <v>101.04</v>
      </c>
      <c r="H211" s="16">
        <f t="shared" si="12"/>
        <v>41.242874999999998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3"/>
        <v>43.224699999999999</v>
      </c>
      <c r="P211" s="7"/>
      <c r="Q211" s="8">
        <f>bdrate(C211:C214,D211:D214,J211:J214,K211:K214)</f>
        <v>-0.37194107258723541</v>
      </c>
      <c r="R211" s="8">
        <f>bdrate(C211:C214,E211:E214,J211:J214,L211:L214)</f>
        <v>-0.39817622513710371</v>
      </c>
      <c r="S211" s="8">
        <f>bdrate(C211:C214,F211:F214,J211:J214,M211:M214)</f>
        <v>-0.39197052121772635</v>
      </c>
      <c r="T211" s="25">
        <f>bdrate(C211:C214,H211:H214,J211:J214,O211:O214)</f>
        <v>-0.37640126246550287</v>
      </c>
      <c r="U211" s="28">
        <f t="shared" si="11"/>
        <v>1.0104641726049088</v>
      </c>
    </row>
    <row r="212" spans="2:21" x14ac:dyDescent="0.25">
      <c r="B212" s="9"/>
      <c r="C212" s="17">
        <v>1034.0899999999999</v>
      </c>
      <c r="D212" s="18">
        <v>38.478999999999999</v>
      </c>
      <c r="E212" s="18">
        <v>41.683999999999997</v>
      </c>
      <c r="F212" s="18">
        <v>42.212000000000003</v>
      </c>
      <c r="G212" s="18">
        <v>113.46</v>
      </c>
      <c r="H212" s="18">
        <f t="shared" si="12"/>
        <v>39.346249999999998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3"/>
        <v>41.353349999999999</v>
      </c>
      <c r="P212" s="7"/>
      <c r="Q212" s="10"/>
      <c r="R212" s="11"/>
      <c r="S212" s="11"/>
      <c r="T212" s="26"/>
      <c r="U212" s="28">
        <f t="shared" si="11"/>
        <v>1.1822034197073863</v>
      </c>
    </row>
    <row r="213" spans="2:21" x14ac:dyDescent="0.25">
      <c r="B213" s="9"/>
      <c r="C213" s="17">
        <v>622.37</v>
      </c>
      <c r="D213" s="18">
        <v>35.765000000000001</v>
      </c>
      <c r="E213" s="18">
        <v>39.868000000000002</v>
      </c>
      <c r="F213" s="18">
        <v>40.322000000000003</v>
      </c>
      <c r="G213" s="18">
        <v>121.71</v>
      </c>
      <c r="H213" s="18">
        <f t="shared" si="12"/>
        <v>36.847499999999997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3"/>
        <v>39.019137499999999</v>
      </c>
      <c r="P213" s="7"/>
      <c r="Q213" s="10"/>
      <c r="R213" s="11"/>
      <c r="S213" s="11"/>
      <c r="T213" s="26"/>
      <c r="U213" s="28">
        <f t="shared" si="11"/>
        <v>1.4681661326103037</v>
      </c>
    </row>
    <row r="214" spans="2:21" ht="16.5" thickBot="1" x14ac:dyDescent="0.3">
      <c r="B214" s="12"/>
      <c r="C214" s="19">
        <v>313.37</v>
      </c>
      <c r="D214" s="20">
        <v>32.389000000000003</v>
      </c>
      <c r="E214" s="20">
        <v>37.430999999999997</v>
      </c>
      <c r="F214" s="20">
        <v>38.026000000000003</v>
      </c>
      <c r="G214" s="20">
        <v>134.94999999999999</v>
      </c>
      <c r="H214" s="20">
        <f t="shared" si="12"/>
        <v>33.723875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14">(6*K214+L214+M214)/8</f>
        <v>35.512724999999996</v>
      </c>
      <c r="P214" s="7"/>
      <c r="Q214" s="13"/>
      <c r="R214" s="14"/>
      <c r="S214" s="14"/>
      <c r="T214" s="27"/>
      <c r="U214" s="28">
        <f t="shared" ref="U214:U246" si="15">(N214-G214)/G214</f>
        <v>1.6230626157836239</v>
      </c>
    </row>
    <row r="215" spans="2:21" x14ac:dyDescent="0.25">
      <c r="B215" s="6" t="s">
        <v>106</v>
      </c>
      <c r="C215" s="29">
        <v>1371</v>
      </c>
      <c r="D215" s="30">
        <v>37.201999999999998</v>
      </c>
      <c r="E215" s="30">
        <v>41.975999999999999</v>
      </c>
      <c r="F215" s="30">
        <v>41.984999999999999</v>
      </c>
      <c r="G215" s="16">
        <v>88.47</v>
      </c>
      <c r="H215" s="16">
        <f t="shared" si="12"/>
        <v>38.396625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4"/>
        <v>40.021200000000007</v>
      </c>
      <c r="P215" s="7"/>
      <c r="Q215" s="8">
        <f>bdrate(C215:C218,D215:D218,J215:J218,K215:K218)</f>
        <v>-0.19944673949152036</v>
      </c>
      <c r="R215" s="8">
        <f>bdrate(C215:C218,E215:E218,J215:J218,L215:L218)</f>
        <v>-0.31358954460198074</v>
      </c>
      <c r="S215" s="8">
        <f>bdrate(C215:C218,F215:F218,J215:J218,M215:M218)</f>
        <v>-0.29604307210749115</v>
      </c>
      <c r="T215" s="25">
        <f>bdrate(C215:C218,H215:H218,J215:J218,O215:O218)</f>
        <v>-0.22109270475114473</v>
      </c>
      <c r="U215" s="28">
        <f t="shared" si="15"/>
        <v>0.96426698315813253</v>
      </c>
    </row>
    <row r="216" spans="2:21" x14ac:dyDescent="0.25">
      <c r="B216" s="9"/>
      <c r="C216" s="31">
        <v>910.43</v>
      </c>
      <c r="D216" s="32">
        <v>35.476999999999997</v>
      </c>
      <c r="E216" s="32">
        <v>40.732999999999997</v>
      </c>
      <c r="F216" s="32">
        <v>40.673999999999999</v>
      </c>
      <c r="G216" s="18">
        <v>97.61</v>
      </c>
      <c r="H216" s="18">
        <f t="shared" si="12"/>
        <v>36.783624999999994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4"/>
        <v>38.306637500000001</v>
      </c>
      <c r="P216" s="7"/>
      <c r="Q216" s="10"/>
      <c r="R216" s="11"/>
      <c r="S216" s="11"/>
      <c r="T216" s="26"/>
      <c r="U216" s="28">
        <f t="shared" si="15"/>
        <v>1.3354523102141174</v>
      </c>
    </row>
    <row r="217" spans="2:21" x14ac:dyDescent="0.25">
      <c r="B217" s="9"/>
      <c r="C217" s="31">
        <v>545.59</v>
      </c>
      <c r="D217" s="32">
        <v>33.384999999999998</v>
      </c>
      <c r="E217" s="32">
        <v>39.146999999999998</v>
      </c>
      <c r="F217" s="32">
        <v>39.136000000000003</v>
      </c>
      <c r="G217" s="18">
        <v>107.42</v>
      </c>
      <c r="H217" s="18">
        <f t="shared" si="12"/>
        <v>34.824125000000002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4"/>
        <v>36.188212500000006</v>
      </c>
      <c r="P217" s="7"/>
      <c r="Q217" s="10"/>
      <c r="R217" s="11"/>
      <c r="S217" s="11"/>
      <c r="T217" s="26"/>
      <c r="U217" s="28">
        <f t="shared" si="15"/>
        <v>1.5751740830385401</v>
      </c>
    </row>
    <row r="218" spans="2:21" ht="16.5" thickBot="1" x14ac:dyDescent="0.3">
      <c r="B218" s="12"/>
      <c r="C218" s="33">
        <v>271.64</v>
      </c>
      <c r="D218" s="34">
        <v>30.456</v>
      </c>
      <c r="E218" s="34">
        <v>36.988999999999997</v>
      </c>
      <c r="F218" s="34">
        <v>37.034999999999997</v>
      </c>
      <c r="G218" s="20">
        <v>122.1</v>
      </c>
      <c r="H218" s="20">
        <f t="shared" si="12"/>
        <v>32.094999999999999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4"/>
        <v>33.333712499999997</v>
      </c>
      <c r="P218" s="7"/>
      <c r="Q218" s="13"/>
      <c r="R218" s="14"/>
      <c r="S218" s="14"/>
      <c r="T218" s="27"/>
      <c r="U218" s="28">
        <f t="shared" si="15"/>
        <v>1.7467886977886979</v>
      </c>
    </row>
    <row r="219" spans="2:21" x14ac:dyDescent="0.25">
      <c r="B219" s="6" t="s">
        <v>107</v>
      </c>
      <c r="C219" s="15">
        <v>1530.3</v>
      </c>
      <c r="D219" s="16">
        <v>34.244999999999997</v>
      </c>
      <c r="E219" s="16">
        <v>38.799999999999997</v>
      </c>
      <c r="F219" s="16">
        <v>39.375999999999998</v>
      </c>
      <c r="G219" s="16">
        <v>88.15</v>
      </c>
      <c r="H219" s="16">
        <f t="shared" si="12"/>
        <v>35.455749999999995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4"/>
        <v>38.167075000000004</v>
      </c>
      <c r="P219" s="7"/>
      <c r="Q219" s="8">
        <f>bdrate(C219:C222,D219:D222,J219:J222,K219:K222)</f>
        <v>-0.40381615574741625</v>
      </c>
      <c r="R219" s="8">
        <f>bdrate(C219:C222,E219:E222,J219:J222,L219:L222)</f>
        <v>-0.54363035534082349</v>
      </c>
      <c r="S219" s="8">
        <f>bdrate(C219:C222,F219:F222,J219:J222,M219:M222)</f>
        <v>-0.55338124017768864</v>
      </c>
      <c r="T219" s="25">
        <f>bdrate(C219:C222,H219:H222,J219:J222,O219:O222)</f>
        <v>-0.43319607346914379</v>
      </c>
      <c r="U219" s="28">
        <f t="shared" si="15"/>
        <v>1.1959069767441859</v>
      </c>
    </row>
    <row r="220" spans="2:21" x14ac:dyDescent="0.25">
      <c r="B220" s="9"/>
      <c r="C220" s="17">
        <v>1020.06</v>
      </c>
      <c r="D220" s="18">
        <v>32.536999999999999</v>
      </c>
      <c r="E220" s="18">
        <v>37.497999999999998</v>
      </c>
      <c r="F220" s="18">
        <v>38.125999999999998</v>
      </c>
      <c r="G220" s="18">
        <v>115.15</v>
      </c>
      <c r="H220" s="18">
        <f t="shared" si="12"/>
        <v>33.855749999999993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4"/>
        <v>36.318537499999998</v>
      </c>
      <c r="P220" s="7"/>
      <c r="Q220" s="10"/>
      <c r="R220" s="11"/>
      <c r="S220" s="11"/>
      <c r="T220" s="26"/>
      <c r="U220" s="28">
        <f t="shared" si="15"/>
        <v>1.1135458098132869</v>
      </c>
    </row>
    <row r="221" spans="2:21" x14ac:dyDescent="0.25">
      <c r="B221" s="9"/>
      <c r="C221" s="17">
        <v>612.97</v>
      </c>
      <c r="D221" s="18">
        <v>30.446999999999999</v>
      </c>
      <c r="E221" s="18">
        <v>36.112000000000002</v>
      </c>
      <c r="F221" s="18">
        <v>36.792000000000002</v>
      </c>
      <c r="G221" s="18">
        <v>125.42</v>
      </c>
      <c r="H221" s="18">
        <f t="shared" si="12"/>
        <v>31.948249999999998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4"/>
        <v>34.085724999999996</v>
      </c>
      <c r="P221" s="7"/>
      <c r="Q221" s="10"/>
      <c r="R221" s="11"/>
      <c r="S221" s="11"/>
      <c r="T221" s="26"/>
      <c r="U221" s="28">
        <f t="shared" si="15"/>
        <v>1.2487896667198213</v>
      </c>
    </row>
    <row r="222" spans="2:21" ht="16.5" thickBot="1" x14ac:dyDescent="0.3">
      <c r="B222" s="12"/>
      <c r="C222" s="19">
        <v>305.27999999999997</v>
      </c>
      <c r="D222" s="20">
        <v>27.587</v>
      </c>
      <c r="E222" s="20">
        <v>34.167999999999999</v>
      </c>
      <c r="F222" s="20">
        <v>35.097000000000001</v>
      </c>
      <c r="G222" s="20">
        <v>138.66999999999999</v>
      </c>
      <c r="H222" s="20">
        <f t="shared" si="12"/>
        <v>29.348375000000001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4"/>
        <v>31.146599999999999</v>
      </c>
      <c r="P222" s="7"/>
      <c r="Q222" s="13"/>
      <c r="R222" s="14"/>
      <c r="S222" s="14"/>
      <c r="T222" s="27"/>
      <c r="U222" s="28">
        <f t="shared" si="15"/>
        <v>1.4258001009591117</v>
      </c>
    </row>
    <row r="223" spans="2:21" x14ac:dyDescent="0.25">
      <c r="B223" s="6" t="s">
        <v>108</v>
      </c>
      <c r="C223" s="15">
        <v>1492.41</v>
      </c>
      <c r="D223" s="16">
        <v>35.917999999999999</v>
      </c>
      <c r="E223" s="16">
        <v>41.536999999999999</v>
      </c>
      <c r="F223" s="16">
        <v>42.991</v>
      </c>
      <c r="G223" s="16">
        <v>79.63</v>
      </c>
      <c r="H223" s="16">
        <f t="shared" si="12"/>
        <v>37.504499999999993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4"/>
        <v>38.689262499999998</v>
      </c>
      <c r="P223" s="7"/>
      <c r="Q223" s="8">
        <f>bdrate(C223:C226,D223:D226,J223:J226,K223:K226)</f>
        <v>-0.26350542926504805</v>
      </c>
      <c r="R223" s="8">
        <f>bdrate(C223:C226,E223:E226,J223:J226,L223:L226)</f>
        <v>-0.4679232176362853</v>
      </c>
      <c r="S223" s="8">
        <f>bdrate(C223:C226,F223:F226,J223:J226,M223:M226)</f>
        <v>-0.42444679875605751</v>
      </c>
      <c r="T223" s="25">
        <f>bdrate(C223:C226,H223:H226,J223:J226,O223:O226)</f>
        <v>-0.30512791202687972</v>
      </c>
      <c r="U223" s="28">
        <f t="shared" si="15"/>
        <v>1.2113625518020847</v>
      </c>
    </row>
    <row r="224" spans="2:21" x14ac:dyDescent="0.25">
      <c r="B224" s="9"/>
      <c r="C224" s="17">
        <v>998.44</v>
      </c>
      <c r="D224" s="18">
        <v>34.584000000000003</v>
      </c>
      <c r="E224" s="18">
        <v>40.509</v>
      </c>
      <c r="F224" s="18">
        <v>41.773000000000003</v>
      </c>
      <c r="G224" s="18">
        <v>90.57</v>
      </c>
      <c r="H224" s="18">
        <f t="shared" si="12"/>
        <v>36.223250000000007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4"/>
        <v>37.363399999999999</v>
      </c>
      <c r="P224" s="7"/>
      <c r="Q224" s="10"/>
      <c r="R224" s="11"/>
      <c r="S224" s="11"/>
      <c r="T224" s="26"/>
      <c r="U224" s="28">
        <f t="shared" si="15"/>
        <v>1.5992845313017559</v>
      </c>
    </row>
    <row r="225" spans="2:21" x14ac:dyDescent="0.25">
      <c r="B225" s="9"/>
      <c r="C225" s="17">
        <v>601.57000000000005</v>
      </c>
      <c r="D225" s="18">
        <v>32.994999999999997</v>
      </c>
      <c r="E225" s="18">
        <v>39.375</v>
      </c>
      <c r="F225" s="18">
        <v>40.386000000000003</v>
      </c>
      <c r="G225" s="18">
        <v>101.13</v>
      </c>
      <c r="H225" s="18">
        <f t="shared" si="12"/>
        <v>34.716374999999999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4"/>
        <v>35.802975000000004</v>
      </c>
      <c r="P225" s="7"/>
      <c r="Q225" s="10"/>
      <c r="R225" s="11"/>
      <c r="S225" s="11"/>
      <c r="T225" s="26"/>
      <c r="U225" s="28">
        <f t="shared" si="15"/>
        <v>1.697207554632651</v>
      </c>
    </row>
    <row r="226" spans="2:21" ht="16.5" thickBot="1" x14ac:dyDescent="0.3">
      <c r="B226" s="12"/>
      <c r="C226" s="19">
        <v>305.87</v>
      </c>
      <c r="D226" s="20">
        <v>31.015999999999998</v>
      </c>
      <c r="E226" s="20">
        <v>38.076999999999998</v>
      </c>
      <c r="F226" s="20">
        <v>38.703000000000003</v>
      </c>
      <c r="G226" s="20">
        <v>118.34</v>
      </c>
      <c r="H226" s="20">
        <f t="shared" si="12"/>
        <v>32.859499999999997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4"/>
        <v>33.823012500000004</v>
      </c>
      <c r="P226" s="7"/>
      <c r="Q226" s="13"/>
      <c r="R226" s="14"/>
      <c r="S226" s="14"/>
      <c r="T226" s="27"/>
      <c r="U226" s="28">
        <f t="shared" si="15"/>
        <v>1.8172646611458509</v>
      </c>
    </row>
    <row r="227" spans="2:21" x14ac:dyDescent="0.25">
      <c r="B227" s="6" t="s">
        <v>109</v>
      </c>
      <c r="C227" s="15">
        <v>1591.97</v>
      </c>
      <c r="D227" s="16">
        <v>45.156999999999996</v>
      </c>
      <c r="E227" s="16">
        <v>50.255000000000003</v>
      </c>
      <c r="F227" s="16">
        <v>51.656999999999996</v>
      </c>
      <c r="G227" s="16">
        <v>100.46</v>
      </c>
      <c r="H227" s="16">
        <f t="shared" si="12"/>
        <v>46.606749999999998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4"/>
        <v>48.637549999999997</v>
      </c>
      <c r="P227" s="7"/>
      <c r="Q227" s="8">
        <f>bdrate(C227:C230,D227:D230,J227:J230,K227:K230)</f>
        <v>-0.36110668652850297</v>
      </c>
      <c r="R227" s="8">
        <f>bdrate(C227:C230,E227:E230,J227:J230,L227:L230)</f>
        <v>-0.41276791866629881</v>
      </c>
      <c r="S227" s="8">
        <f>bdrate(C227:C230,F227:F230,J227:J230,M227:M230)</f>
        <v>-0.38993365666503776</v>
      </c>
      <c r="T227" s="25">
        <f>bdrate(C227:C230,H227:H230,J227:J230,O227:O230)</f>
        <v>-0.37079244401458977</v>
      </c>
      <c r="U227" s="28">
        <f t="shared" si="15"/>
        <v>1.1521003384431614</v>
      </c>
    </row>
    <row r="228" spans="2:21" x14ac:dyDescent="0.25">
      <c r="B228" s="9"/>
      <c r="C228" s="17">
        <v>1058.4000000000001</v>
      </c>
      <c r="D228" s="18">
        <v>43.38</v>
      </c>
      <c r="E228" s="18">
        <v>48.667999999999999</v>
      </c>
      <c r="F228" s="18">
        <v>50.140999999999998</v>
      </c>
      <c r="G228" s="18">
        <v>116.02</v>
      </c>
      <c r="H228" s="18">
        <f t="shared" si="12"/>
        <v>44.886125000000007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4"/>
        <v>46.829100000000004</v>
      </c>
      <c r="P228" s="7"/>
      <c r="Q228" s="10"/>
      <c r="R228" s="11"/>
      <c r="S228" s="11"/>
      <c r="T228" s="26"/>
      <c r="U228" s="28">
        <f t="shared" si="15"/>
        <v>1.3437045337010864</v>
      </c>
    </row>
    <row r="229" spans="2:21" x14ac:dyDescent="0.25">
      <c r="B229" s="9"/>
      <c r="C229" s="17">
        <v>636.77</v>
      </c>
      <c r="D229" s="18">
        <v>41.128</v>
      </c>
      <c r="E229" s="18">
        <v>46.738999999999997</v>
      </c>
      <c r="F229" s="18">
        <v>48.287999999999997</v>
      </c>
      <c r="G229" s="18">
        <v>130.6</v>
      </c>
      <c r="H229" s="18">
        <f t="shared" si="12"/>
        <v>42.724375000000002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4"/>
        <v>44.515749999999997</v>
      </c>
      <c r="P229" s="7"/>
      <c r="Q229" s="10"/>
      <c r="R229" s="11"/>
      <c r="S229" s="11"/>
      <c r="T229" s="26"/>
      <c r="U229" s="28">
        <f t="shared" si="15"/>
        <v>1.4664073506891271</v>
      </c>
    </row>
    <row r="230" spans="2:21" ht="16.5" thickBot="1" x14ac:dyDescent="0.3">
      <c r="B230" s="12"/>
      <c r="C230" s="19">
        <v>321.61</v>
      </c>
      <c r="D230" s="20">
        <v>38.192999999999998</v>
      </c>
      <c r="E230" s="20">
        <v>44.145000000000003</v>
      </c>
      <c r="F230" s="20">
        <v>45.744</v>
      </c>
      <c r="G230" s="20">
        <v>148.6</v>
      </c>
      <c r="H230" s="20">
        <f t="shared" si="12"/>
        <v>39.880875000000003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4"/>
        <v>41.346887500000001</v>
      </c>
      <c r="P230" s="7"/>
      <c r="Q230" s="13"/>
      <c r="R230" s="14"/>
      <c r="S230" s="14"/>
      <c r="T230" s="27"/>
      <c r="U230" s="28">
        <f t="shared" si="15"/>
        <v>1.2816292059219381</v>
      </c>
    </row>
    <row r="231" spans="2:21" x14ac:dyDescent="0.25">
      <c r="B231" s="6" t="s">
        <v>110</v>
      </c>
      <c r="C231" s="15">
        <v>1463.72</v>
      </c>
      <c r="D231" s="16">
        <v>30.881</v>
      </c>
      <c r="E231" s="16">
        <v>38.817999999999998</v>
      </c>
      <c r="F231" s="16">
        <v>38.192999999999998</v>
      </c>
      <c r="G231" s="16">
        <v>73.63</v>
      </c>
      <c r="H231" s="16">
        <f t="shared" si="12"/>
        <v>32.787124999999996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4"/>
        <v>33.925012500000001</v>
      </c>
      <c r="P231" s="7"/>
      <c r="Q231" s="8">
        <f>bdrate(C231:C234,D231:D234,J231:J234,K231:K234)</f>
        <v>-0.16304263468674951</v>
      </c>
      <c r="R231" s="8">
        <f>bdrate(C231:C234,E231:E234,J231:J234,L231:L234)</f>
        <v>-0.40253011677783734</v>
      </c>
      <c r="S231" s="8">
        <f>bdrate(C231:C234,F231:F234,J231:J234,M231:M234)</f>
        <v>-0.40074945126097838</v>
      </c>
      <c r="T231" s="25">
        <f>bdrate(C231:C234,H231:H234,J231:J234,O231:O234)</f>
        <v>-0.21544356702877066</v>
      </c>
      <c r="U231" s="28">
        <f t="shared" si="15"/>
        <v>1.088200461768301</v>
      </c>
    </row>
    <row r="232" spans="2:21" x14ac:dyDescent="0.25">
      <c r="B232" s="9"/>
      <c r="C232" s="17">
        <v>976.91</v>
      </c>
      <c r="D232" s="18">
        <v>29.213999999999999</v>
      </c>
      <c r="E232" s="18">
        <v>37.646000000000001</v>
      </c>
      <c r="F232" s="18">
        <v>36.975000000000001</v>
      </c>
      <c r="G232" s="18">
        <v>75.510000000000005</v>
      </c>
      <c r="H232" s="18">
        <f t="shared" si="12"/>
        <v>31.238125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4"/>
        <v>32.329574999999998</v>
      </c>
      <c r="P232" s="7"/>
      <c r="Q232" s="10"/>
      <c r="R232" s="11"/>
      <c r="S232" s="11"/>
      <c r="T232" s="26"/>
      <c r="U232" s="28">
        <f t="shared" si="15"/>
        <v>1.5762349357700964</v>
      </c>
    </row>
    <row r="233" spans="2:21" x14ac:dyDescent="0.25">
      <c r="B233" s="9"/>
      <c r="C233" s="17">
        <v>585.71</v>
      </c>
      <c r="D233" s="18">
        <v>27.137</v>
      </c>
      <c r="E233" s="18">
        <v>36.151000000000003</v>
      </c>
      <c r="F233" s="18">
        <v>35.478999999999999</v>
      </c>
      <c r="G233" s="18">
        <v>92.45</v>
      </c>
      <c r="H233" s="18">
        <f t="shared" si="12"/>
        <v>29.3065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4"/>
        <v>30.301475</v>
      </c>
      <c r="P233" s="7"/>
      <c r="Q233" s="10"/>
      <c r="R233" s="11"/>
      <c r="S233" s="11"/>
      <c r="T233" s="26"/>
      <c r="U233" s="28">
        <f t="shared" si="15"/>
        <v>1.5571292590589505</v>
      </c>
    </row>
    <row r="234" spans="2:21" ht="16.5" thickBot="1" x14ac:dyDescent="0.3">
      <c r="B234" s="12"/>
      <c r="C234" s="19">
        <v>292.95</v>
      </c>
      <c r="D234" s="20">
        <v>24.390999999999998</v>
      </c>
      <c r="E234" s="20">
        <v>33.662999999999997</v>
      </c>
      <c r="F234" s="20">
        <v>33.119</v>
      </c>
      <c r="G234" s="20">
        <v>109.06</v>
      </c>
      <c r="H234" s="20">
        <f t="shared" si="12"/>
        <v>26.641000000000002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4"/>
        <v>27.572500000000002</v>
      </c>
      <c r="P234" s="7"/>
      <c r="Q234" s="13"/>
      <c r="R234" s="14"/>
      <c r="S234" s="14"/>
      <c r="T234" s="27"/>
      <c r="U234" s="28">
        <f t="shared" si="15"/>
        <v>1.7837199706583529</v>
      </c>
    </row>
    <row r="235" spans="2:21" x14ac:dyDescent="0.25">
      <c r="B235" s="6" t="s">
        <v>111</v>
      </c>
      <c r="C235" s="15">
        <v>1509.26</v>
      </c>
      <c r="D235" s="16">
        <v>42.051000000000002</v>
      </c>
      <c r="E235" s="16">
        <v>43.386000000000003</v>
      </c>
      <c r="F235" s="16">
        <v>43.268000000000001</v>
      </c>
      <c r="G235" s="16">
        <v>105.66</v>
      </c>
      <c r="H235" s="16">
        <f t="shared" si="12"/>
        <v>42.370000000000005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4"/>
        <v>45.048587499999996</v>
      </c>
      <c r="P235" s="7"/>
      <c r="Q235" s="8">
        <f>bdrate(C235:C238,D235:D238,J235:J238,K235:K238)</f>
        <v>-0.40340974043218325</v>
      </c>
      <c r="R235" s="8">
        <f>bdrate(C235:C238,E235:E238,J235:J238,L235:L238)</f>
        <v>-0.45107727156225463</v>
      </c>
      <c r="S235" s="8">
        <f>bdrate(C235:C238,F235:F238,J235:J238,M235:M238)</f>
        <v>-0.449962109866196</v>
      </c>
      <c r="T235" s="25">
        <f>bdrate(C235:C238,H235:H238,J235:J238,O235:O238)</f>
        <v>-0.41391574319702606</v>
      </c>
      <c r="U235" s="28">
        <f t="shared" si="15"/>
        <v>0.79911035396554986</v>
      </c>
    </row>
    <row r="236" spans="2:21" x14ac:dyDescent="0.25">
      <c r="B236" s="9"/>
      <c r="C236" s="17">
        <v>1005.48</v>
      </c>
      <c r="D236" s="18">
        <v>39.753</v>
      </c>
      <c r="E236" s="18">
        <v>41.344999999999999</v>
      </c>
      <c r="F236" s="18">
        <v>41.223999999999997</v>
      </c>
      <c r="G236" s="18">
        <v>118.95</v>
      </c>
      <c r="H236" s="18">
        <f t="shared" si="12"/>
        <v>40.135874999999999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4"/>
        <v>43.211887500000003</v>
      </c>
      <c r="P236" s="7"/>
      <c r="Q236" s="10"/>
      <c r="R236" s="11"/>
      <c r="S236" s="11"/>
      <c r="T236" s="26"/>
      <c r="U236" s="28">
        <f t="shared" si="15"/>
        <v>1.0546380832282471</v>
      </c>
    </row>
    <row r="237" spans="2:21" x14ac:dyDescent="0.25">
      <c r="B237" s="9"/>
      <c r="C237" s="17">
        <v>605.89</v>
      </c>
      <c r="D237" s="18">
        <v>36.933999999999997</v>
      </c>
      <c r="E237" s="18">
        <v>39.064999999999998</v>
      </c>
      <c r="F237" s="18">
        <v>38.786000000000001</v>
      </c>
      <c r="G237" s="18">
        <v>130.22</v>
      </c>
      <c r="H237" s="18">
        <f t="shared" si="12"/>
        <v>37.431874999999998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4"/>
        <v>40.270824999999995</v>
      </c>
      <c r="P237" s="7"/>
      <c r="Q237" s="10"/>
      <c r="R237" s="11"/>
      <c r="S237" s="11"/>
      <c r="T237" s="26"/>
      <c r="U237" s="28">
        <f t="shared" si="15"/>
        <v>1.3014920903087086</v>
      </c>
    </row>
    <row r="238" spans="2:21" ht="16.5" thickBot="1" x14ac:dyDescent="0.3">
      <c r="B238" s="12"/>
      <c r="C238" s="19">
        <v>302.27999999999997</v>
      </c>
      <c r="D238" s="20">
        <v>33.011000000000003</v>
      </c>
      <c r="E238" s="20">
        <v>36.033000000000001</v>
      </c>
      <c r="F238" s="20">
        <v>35.735999999999997</v>
      </c>
      <c r="G238" s="20">
        <v>142.80000000000001</v>
      </c>
      <c r="H238" s="20">
        <f t="shared" si="12"/>
        <v>33.729375000000005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4"/>
        <v>36.084499999999998</v>
      </c>
      <c r="P238" s="7"/>
      <c r="Q238" s="13"/>
      <c r="R238" s="14"/>
      <c r="S238" s="14"/>
      <c r="T238" s="27"/>
      <c r="U238" s="28">
        <f t="shared" si="15"/>
        <v>1.47838025210084</v>
      </c>
    </row>
    <row r="239" spans="2:21" x14ac:dyDescent="0.25">
      <c r="B239" s="6" t="s">
        <v>112</v>
      </c>
      <c r="C239" s="15">
        <v>1999.13</v>
      </c>
      <c r="D239" s="16">
        <v>42.210999999999999</v>
      </c>
      <c r="E239" s="16">
        <v>44.363</v>
      </c>
      <c r="F239" s="16">
        <v>44.588999999999999</v>
      </c>
      <c r="G239" s="16">
        <v>104.32</v>
      </c>
      <c r="H239" s="16">
        <f t="shared" si="12"/>
        <v>42.777250000000002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4"/>
        <v>46.047337500000005</v>
      </c>
      <c r="P239" s="7"/>
      <c r="Q239" s="8">
        <f>bdrate(C239:C242,D239:D242,J239:J242,K239:K242)</f>
        <v>-0.55541424946251416</v>
      </c>
      <c r="R239" s="8">
        <f>bdrate(C239:C242,E239:E242,J239:J242,L239:L242)</f>
        <v>-0.59881505239695176</v>
      </c>
      <c r="S239" s="8">
        <f>bdrate(C239:C242,F239:F242,J239:J242,M239:M242)</f>
        <v>-0.60101084561146911</v>
      </c>
      <c r="T239" s="25">
        <f>bdrate(C239:C242,H239:H242,J239:J242,O239:O242)</f>
        <v>-0.56582751689554989</v>
      </c>
      <c r="U239" s="28">
        <f t="shared" si="15"/>
        <v>0.77498178680981611</v>
      </c>
    </row>
    <row r="240" spans="2:21" x14ac:dyDescent="0.25">
      <c r="B240" s="9"/>
      <c r="C240" s="17">
        <v>1301.57</v>
      </c>
      <c r="D240" s="18">
        <v>40.128</v>
      </c>
      <c r="E240" s="18">
        <v>42.509</v>
      </c>
      <c r="F240" s="18">
        <v>42.734000000000002</v>
      </c>
      <c r="G240" s="18">
        <v>125.01</v>
      </c>
      <c r="H240" s="18">
        <f t="shared" si="12"/>
        <v>40.751374999999996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4"/>
        <v>44.549837500000002</v>
      </c>
      <c r="P240" s="7"/>
      <c r="Q240" s="10"/>
      <c r="R240" s="11"/>
      <c r="S240" s="11"/>
      <c r="T240" s="26"/>
      <c r="U240" s="28">
        <f t="shared" si="15"/>
        <v>0.86368690504759615</v>
      </c>
    </row>
    <row r="241" spans="2:21" x14ac:dyDescent="0.25">
      <c r="B241" s="9"/>
      <c r="C241" s="17">
        <v>761.01</v>
      </c>
      <c r="D241" s="18">
        <v>37.737000000000002</v>
      </c>
      <c r="E241" s="18">
        <v>40.411000000000001</v>
      </c>
      <c r="F241" s="18">
        <v>40.67</v>
      </c>
      <c r="G241" s="18">
        <v>136.38</v>
      </c>
      <c r="H241" s="18">
        <f t="shared" si="12"/>
        <v>38.437875000000005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4"/>
        <v>41.827949999999994</v>
      </c>
      <c r="P241" s="7"/>
      <c r="Q241" s="10"/>
      <c r="R241" s="11"/>
      <c r="S241" s="11"/>
      <c r="T241" s="26"/>
      <c r="U241" s="28">
        <f t="shared" si="15"/>
        <v>0.93581903504912756</v>
      </c>
    </row>
    <row r="242" spans="2:21" ht="16.5" thickBot="1" x14ac:dyDescent="0.3">
      <c r="B242" s="12"/>
      <c r="C242" s="19">
        <v>363.95</v>
      </c>
      <c r="D242" s="20">
        <v>34.442999999999998</v>
      </c>
      <c r="E242" s="20">
        <v>37.805999999999997</v>
      </c>
      <c r="F242" s="20">
        <v>38.137</v>
      </c>
      <c r="G242" s="20">
        <v>151.62</v>
      </c>
      <c r="H242" s="20">
        <f t="shared" si="12"/>
        <v>35.325125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4"/>
        <v>37.684975000000001</v>
      </c>
      <c r="P242" s="7"/>
      <c r="Q242" s="13"/>
      <c r="R242" s="14"/>
      <c r="S242" s="14"/>
      <c r="T242" s="27"/>
      <c r="U242" s="28">
        <f t="shared" si="15"/>
        <v>1.3781618519984171</v>
      </c>
    </row>
    <row r="243" spans="2:21" x14ac:dyDescent="0.25">
      <c r="B243" s="6" t="s">
        <v>113</v>
      </c>
      <c r="C243" s="29">
        <v>1534.92</v>
      </c>
      <c r="D243" s="30">
        <v>31.146000000000001</v>
      </c>
      <c r="E243" s="30">
        <v>35.061</v>
      </c>
      <c r="F243" s="30">
        <v>33.979999999999997</v>
      </c>
      <c r="G243" s="16">
        <v>84.84</v>
      </c>
      <c r="H243" s="16">
        <f t="shared" si="12"/>
        <v>31.989625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4"/>
        <v>33.231437499999998</v>
      </c>
      <c r="P243" s="7"/>
      <c r="Q243" s="8">
        <f>bdrate(C243:C246,D243:D246,J243:J246,K243:K246)</f>
        <v>-0.19671474996466609</v>
      </c>
      <c r="R243" s="8">
        <f>bdrate(C243:C246,E243:E246,J243:J246,L243:L246)</f>
        <v>-0.44921892796424578</v>
      </c>
      <c r="S243" s="8">
        <f>bdrate(C243:C246,F243:F246,J243:J246,M243:M246)</f>
        <v>-0.42616047763786102</v>
      </c>
      <c r="T243" s="25">
        <f>bdrate(C243:C246,H243:H246,J243:J246,O243:O246)</f>
        <v>-0.2469148638954487</v>
      </c>
      <c r="U243" s="28">
        <f t="shared" si="15"/>
        <v>1.1250412541254124</v>
      </c>
    </row>
    <row r="244" spans="2:21" x14ac:dyDescent="0.25">
      <c r="B244" s="9"/>
      <c r="C244" s="31">
        <v>1018.63</v>
      </c>
      <c r="D244" s="32">
        <v>29.483000000000001</v>
      </c>
      <c r="E244" s="32">
        <v>33.982999999999997</v>
      </c>
      <c r="F244" s="32">
        <v>32.826000000000001</v>
      </c>
      <c r="G244" s="18">
        <v>96.72</v>
      </c>
      <c r="H244" s="18">
        <f t="shared" si="12"/>
        <v>30.463374999999999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4"/>
        <v>31.545137499999999</v>
      </c>
      <c r="P244" s="7"/>
      <c r="Q244" s="10"/>
      <c r="R244" s="11"/>
      <c r="S244" s="11"/>
      <c r="T244" s="26"/>
      <c r="U244" s="28">
        <f t="shared" si="15"/>
        <v>1.2679042597187757</v>
      </c>
    </row>
    <row r="245" spans="2:21" x14ac:dyDescent="0.25">
      <c r="B245" s="9"/>
      <c r="C245" s="31">
        <v>608.09</v>
      </c>
      <c r="D245" s="32">
        <v>27.510999999999999</v>
      </c>
      <c r="E245" s="32">
        <v>32.703000000000003</v>
      </c>
      <c r="F245" s="32">
        <v>31.448</v>
      </c>
      <c r="G245" s="18">
        <v>107.64</v>
      </c>
      <c r="H245" s="18">
        <f t="shared" si="12"/>
        <v>28.652125000000002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4"/>
        <v>29.606962500000002</v>
      </c>
      <c r="P245" s="7"/>
      <c r="Q245" s="10"/>
      <c r="R245" s="11"/>
      <c r="S245" s="11"/>
      <c r="T245" s="26"/>
      <c r="U245" s="28">
        <f t="shared" si="15"/>
        <v>1.4573708658491267</v>
      </c>
    </row>
    <row r="246" spans="2:21" ht="16.5" thickBot="1" x14ac:dyDescent="0.3">
      <c r="B246" s="12"/>
      <c r="C246" s="33">
        <v>299.77999999999997</v>
      </c>
      <c r="D246" s="34">
        <v>24.975999999999999</v>
      </c>
      <c r="E246" s="34">
        <v>30.837</v>
      </c>
      <c r="F246" s="34">
        <v>29.478000000000002</v>
      </c>
      <c r="G246" s="20">
        <v>121.3</v>
      </c>
      <c r="H246" s="20">
        <f t="shared" si="12"/>
        <v>26.271374999999999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4"/>
        <v>27.1374</v>
      </c>
      <c r="P246" s="7"/>
      <c r="Q246" s="13"/>
      <c r="R246" s="14"/>
      <c r="S246" s="14"/>
      <c r="T246" s="27"/>
      <c r="U246" s="28">
        <f t="shared" si="15"/>
        <v>1.7247963726298434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-0.32351843712594719</v>
      </c>
      <c r="R247" s="21">
        <f>AVERAGE(R131:R246)</f>
        <v>-0.47164915570210114</v>
      </c>
      <c r="S247" s="21">
        <f>AVERAGE(S131:S246)</f>
        <v>-0.46319590167390307</v>
      </c>
      <c r="T247" s="21">
        <f>AVERAGE(T131:T246)</f>
        <v>-0.35092206256518621</v>
      </c>
      <c r="U247" s="21">
        <f>AVERAGE(U131:U246)</f>
        <v>1.1982147686202249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11" priority="453" operator="greaterThan">
      <formula>0.03</formula>
    </cfRule>
    <cfRule type="cellIs" dxfId="410" priority="454" stopIfTrue="1" operator="lessThan">
      <formula>-0.03</formula>
    </cfRule>
  </conditionalFormatting>
  <conditionalFormatting sqref="Q33:T36">
    <cfRule type="cellIs" dxfId="409" priority="451" operator="greaterThan">
      <formula>0.03</formula>
    </cfRule>
    <cfRule type="cellIs" dxfId="408" priority="452" stopIfTrue="1" operator="lessThan">
      <formula>-0.03</formula>
    </cfRule>
  </conditionalFormatting>
  <conditionalFormatting sqref="Q46:T48 Q62:T64">
    <cfRule type="cellIs" dxfId="407" priority="449" operator="greaterThan">
      <formula>0.03</formula>
    </cfRule>
    <cfRule type="cellIs" dxfId="406" priority="450" stopIfTrue="1" operator="lessThan">
      <formula>-0.03</formula>
    </cfRule>
  </conditionalFormatting>
  <conditionalFormatting sqref="Q50:T52 Q54:T56 Q58:T60">
    <cfRule type="cellIs" dxfId="405" priority="447" operator="greaterThan">
      <formula>0.03</formula>
    </cfRule>
    <cfRule type="cellIs" dxfId="404" priority="448" stopIfTrue="1" operator="lessThan">
      <formula>-0.03</formula>
    </cfRule>
  </conditionalFormatting>
  <conditionalFormatting sqref="Q70:T72 Q74:T76">
    <cfRule type="cellIs" dxfId="403" priority="445" operator="greaterThan">
      <formula>0.03</formula>
    </cfRule>
    <cfRule type="cellIs" dxfId="402" priority="446" stopIfTrue="1" operator="lessThan">
      <formula>-0.03</formula>
    </cfRule>
  </conditionalFormatting>
  <conditionalFormatting sqref="Q66:T68">
    <cfRule type="cellIs" dxfId="401" priority="443" operator="greaterThan">
      <formula>0.03</formula>
    </cfRule>
    <cfRule type="cellIs" dxfId="400" priority="444" stopIfTrue="1" operator="lessThan">
      <formula>-0.03</formula>
    </cfRule>
  </conditionalFormatting>
  <conditionalFormatting sqref="Q78:T80">
    <cfRule type="cellIs" dxfId="399" priority="441" operator="greaterThan">
      <formula>0.03</formula>
    </cfRule>
    <cfRule type="cellIs" dxfId="398" priority="442" stopIfTrue="1" operator="lessThan">
      <formula>-0.03</formula>
    </cfRule>
  </conditionalFormatting>
  <conditionalFormatting sqref="Q21:T28">
    <cfRule type="cellIs" dxfId="397" priority="423" operator="greaterThan">
      <formula>0.03</formula>
    </cfRule>
    <cfRule type="cellIs" dxfId="396" priority="424" stopIfTrue="1" operator="lessThan">
      <formula>-0.03</formula>
    </cfRule>
  </conditionalFormatting>
  <conditionalFormatting sqref="Q151:T154 Q159:T166 Q131:T142">
    <cfRule type="cellIs" dxfId="395" priority="419" operator="greaterThan">
      <formula>0.03</formula>
    </cfRule>
    <cfRule type="cellIs" dxfId="394" priority="420" stopIfTrue="1" operator="lessThan">
      <formula>-0.03</formula>
    </cfRule>
  </conditionalFormatting>
  <conditionalFormatting sqref="Q155:T158">
    <cfRule type="cellIs" dxfId="393" priority="417" operator="greaterThan">
      <formula>0.03</formula>
    </cfRule>
    <cfRule type="cellIs" dxfId="392" priority="418" stopIfTrue="1" operator="lessThan">
      <formula>-0.03</formula>
    </cfRule>
  </conditionalFormatting>
  <conditionalFormatting sqref="Q167:T170 Q183:T186">
    <cfRule type="cellIs" dxfId="391" priority="415" operator="greaterThan">
      <formula>0.03</formula>
    </cfRule>
    <cfRule type="cellIs" dxfId="390" priority="416" stopIfTrue="1" operator="lessThan">
      <formula>-0.03</formula>
    </cfRule>
  </conditionalFormatting>
  <conditionalFormatting sqref="Q171:T182">
    <cfRule type="cellIs" dxfId="389" priority="413" operator="greaterThan">
      <formula>0.03</formula>
    </cfRule>
    <cfRule type="cellIs" dxfId="388" priority="414" stopIfTrue="1" operator="lessThan">
      <formula>-0.03</formula>
    </cfRule>
  </conditionalFormatting>
  <conditionalFormatting sqref="Q191:T198">
    <cfRule type="cellIs" dxfId="387" priority="411" operator="greaterThan">
      <formula>0.03</formula>
    </cfRule>
    <cfRule type="cellIs" dxfId="386" priority="412" stopIfTrue="1" operator="lessThan">
      <formula>-0.03</formula>
    </cfRule>
  </conditionalFormatting>
  <conditionalFormatting sqref="Q187:T190">
    <cfRule type="cellIs" dxfId="385" priority="409" operator="greaterThan">
      <formula>0.03</formula>
    </cfRule>
    <cfRule type="cellIs" dxfId="384" priority="410" stopIfTrue="1" operator="lessThan">
      <formula>-0.03</formula>
    </cfRule>
  </conditionalFormatting>
  <conditionalFormatting sqref="Q199:T202">
    <cfRule type="cellIs" dxfId="383" priority="407" operator="greaterThan">
      <formula>0.03</formula>
    </cfRule>
    <cfRule type="cellIs" dxfId="382" priority="408" stopIfTrue="1" operator="lessThan">
      <formula>-0.03</formula>
    </cfRule>
  </conditionalFormatting>
  <conditionalFormatting sqref="Q143:T150">
    <cfRule type="cellIs" dxfId="381" priority="405" operator="greaterThan">
      <formula>0.03</formula>
    </cfRule>
    <cfRule type="cellIs" dxfId="380" priority="406" stopIfTrue="1" operator="lessThan">
      <formula>-0.03</formula>
    </cfRule>
  </conditionalFormatting>
  <conditionalFormatting sqref="Q45:T45">
    <cfRule type="cellIs" dxfId="379" priority="403" operator="greaterThan">
      <formula>0.03</formula>
    </cfRule>
    <cfRule type="cellIs" dxfId="378" priority="404" stopIfTrue="1" operator="lessThan">
      <formula>-0.03</formula>
    </cfRule>
  </conditionalFormatting>
  <conditionalFormatting sqref="Q49:T49">
    <cfRule type="cellIs" dxfId="377" priority="401" operator="greaterThan">
      <formula>0.03</formula>
    </cfRule>
    <cfRule type="cellIs" dxfId="376" priority="402" stopIfTrue="1" operator="lessThan">
      <formula>-0.03</formula>
    </cfRule>
  </conditionalFormatting>
  <conditionalFormatting sqref="Q53:T53">
    <cfRule type="cellIs" dxfId="375" priority="399" operator="greaterThan">
      <formula>0.03</formula>
    </cfRule>
    <cfRule type="cellIs" dxfId="374" priority="400" stopIfTrue="1" operator="lessThan">
      <formula>-0.03</formula>
    </cfRule>
  </conditionalFormatting>
  <conditionalFormatting sqref="Q57:T57">
    <cfRule type="cellIs" dxfId="373" priority="397" operator="greaterThan">
      <formula>0.03</formula>
    </cfRule>
    <cfRule type="cellIs" dxfId="372" priority="398" stopIfTrue="1" operator="lessThan">
      <formula>-0.03</formula>
    </cfRule>
  </conditionalFormatting>
  <conditionalFormatting sqref="Q61:T61">
    <cfRule type="cellIs" dxfId="371" priority="395" operator="greaterThan">
      <formula>0.03</formula>
    </cfRule>
    <cfRule type="cellIs" dxfId="370" priority="396" stopIfTrue="1" operator="lessThan">
      <formula>-0.03</formula>
    </cfRule>
  </conditionalFormatting>
  <conditionalFormatting sqref="Q65:T65">
    <cfRule type="cellIs" dxfId="369" priority="393" operator="greaterThan">
      <formula>0.03</formula>
    </cfRule>
    <cfRule type="cellIs" dxfId="368" priority="394" stopIfTrue="1" operator="lessThan">
      <formula>-0.03</formula>
    </cfRule>
  </conditionalFormatting>
  <conditionalFormatting sqref="Q69:T69">
    <cfRule type="cellIs" dxfId="367" priority="391" operator="greaterThan">
      <formula>0.03</formula>
    </cfRule>
    <cfRule type="cellIs" dxfId="366" priority="392" stopIfTrue="1" operator="lessThan">
      <formula>-0.03</formula>
    </cfRule>
  </conditionalFormatting>
  <conditionalFormatting sqref="Q73:T73">
    <cfRule type="cellIs" dxfId="365" priority="389" operator="greaterThan">
      <formula>0.03</formula>
    </cfRule>
    <cfRule type="cellIs" dxfId="364" priority="390" stopIfTrue="1" operator="lessThan">
      <formula>-0.03</formula>
    </cfRule>
  </conditionalFormatting>
  <conditionalFormatting sqref="Q77:T77">
    <cfRule type="cellIs" dxfId="363" priority="387" operator="greaterThan">
      <formula>0.03</formula>
    </cfRule>
    <cfRule type="cellIs" dxfId="362" priority="388" stopIfTrue="1" operator="lessThan">
      <formula>-0.03</formula>
    </cfRule>
  </conditionalFormatting>
  <conditionalFormatting sqref="Q117:T117">
    <cfRule type="cellIs" dxfId="361" priority="99" operator="greaterThan">
      <formula>0.03</formula>
    </cfRule>
    <cfRule type="cellIs" dxfId="360" priority="100" stopIfTrue="1" operator="lessThan">
      <formula>-0.03</formula>
    </cfRule>
  </conditionalFormatting>
  <conditionalFormatting sqref="Q93:T96 Q101:T108 Q81:T84">
    <cfRule type="cellIs" dxfId="359" priority="113" operator="greaterThan">
      <formula>0.03</formula>
    </cfRule>
    <cfRule type="cellIs" dxfId="358" priority="114" stopIfTrue="1" operator="lessThan">
      <formula>-0.03</formula>
    </cfRule>
  </conditionalFormatting>
  <conditionalFormatting sqref="Q97:T100">
    <cfRule type="cellIs" dxfId="357" priority="111" operator="greaterThan">
      <formula>0.03</formula>
    </cfRule>
    <cfRule type="cellIs" dxfId="356" priority="112" stopIfTrue="1" operator="lessThan">
      <formula>-0.03</formula>
    </cfRule>
  </conditionalFormatting>
  <conditionalFormatting sqref="Q110:T112 Q122:T124">
    <cfRule type="cellIs" dxfId="355" priority="109" operator="greaterThan">
      <formula>0.03</formula>
    </cfRule>
    <cfRule type="cellIs" dxfId="354" priority="110" stopIfTrue="1" operator="lessThan">
      <formula>-0.03</formula>
    </cfRule>
  </conditionalFormatting>
  <conditionalFormatting sqref="Q114:T116 Q118:T120">
    <cfRule type="cellIs" dxfId="353" priority="107" operator="greaterThan">
      <formula>0.03</formula>
    </cfRule>
    <cfRule type="cellIs" dxfId="352" priority="108" stopIfTrue="1" operator="lessThan">
      <formula>-0.03</formula>
    </cfRule>
  </conditionalFormatting>
  <conditionalFormatting sqref="Q85:T92">
    <cfRule type="cellIs" dxfId="351" priority="105" operator="greaterThan">
      <formula>0.03</formula>
    </cfRule>
    <cfRule type="cellIs" dxfId="350" priority="106" stopIfTrue="1" operator="lessThan">
      <formula>-0.03</formula>
    </cfRule>
  </conditionalFormatting>
  <conditionalFormatting sqref="Q109:T109">
    <cfRule type="cellIs" dxfId="349" priority="103" operator="greaterThan">
      <formula>0.03</formula>
    </cfRule>
    <cfRule type="cellIs" dxfId="348" priority="104" stopIfTrue="1" operator="lessThan">
      <formula>-0.03</formula>
    </cfRule>
  </conditionalFormatting>
  <conditionalFormatting sqref="Q113:T113">
    <cfRule type="cellIs" dxfId="347" priority="101" operator="greaterThan">
      <formula>0.03</formula>
    </cfRule>
    <cfRule type="cellIs" dxfId="346" priority="102" stopIfTrue="1" operator="lessThan">
      <formula>-0.03</formula>
    </cfRule>
  </conditionalFormatting>
  <conditionalFormatting sqref="Q121:T121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239:T239">
    <cfRule type="cellIs" dxfId="343" priority="33" operator="greaterThan">
      <formula>0.03</formula>
    </cfRule>
    <cfRule type="cellIs" dxfId="342" priority="34" stopIfTrue="1" operator="lessThan">
      <formula>-0.03</formula>
    </cfRule>
  </conditionalFormatting>
  <conditionalFormatting sqref="Q215:T218 Q223:T230 Q203:T206">
    <cfRule type="cellIs" dxfId="341" priority="47" operator="greaterThan">
      <formula>0.03</formula>
    </cfRule>
    <cfRule type="cellIs" dxfId="340" priority="48" stopIfTrue="1" operator="lessThan">
      <formula>-0.03</formula>
    </cfRule>
  </conditionalFormatting>
  <conditionalFormatting sqref="Q219:T222">
    <cfRule type="cellIs" dxfId="339" priority="45" operator="greaterThan">
      <formula>0.03</formula>
    </cfRule>
    <cfRule type="cellIs" dxfId="338" priority="46" stopIfTrue="1" operator="lessThan">
      <formula>-0.03</formula>
    </cfRule>
  </conditionalFormatting>
  <conditionalFormatting sqref="Q232:T234 Q244:T246">
    <cfRule type="cellIs" dxfId="337" priority="43" operator="greaterThan">
      <formula>0.03</formula>
    </cfRule>
    <cfRule type="cellIs" dxfId="336" priority="44" stopIfTrue="1" operator="lessThan">
      <formula>-0.03</formula>
    </cfRule>
  </conditionalFormatting>
  <conditionalFormatting sqref="Q236:T238 Q240:T242">
    <cfRule type="cellIs" dxfId="335" priority="41" operator="greaterThan">
      <formula>0.03</formula>
    </cfRule>
    <cfRule type="cellIs" dxfId="334" priority="42" stopIfTrue="1" operator="lessThan">
      <formula>-0.03</formula>
    </cfRule>
  </conditionalFormatting>
  <conditionalFormatting sqref="Q207:T214">
    <cfRule type="cellIs" dxfId="333" priority="39" operator="greaterThan">
      <formula>0.03</formula>
    </cfRule>
    <cfRule type="cellIs" dxfId="332" priority="40" stopIfTrue="1" operator="lessThan">
      <formula>-0.03</formula>
    </cfRule>
  </conditionalFormatting>
  <conditionalFormatting sqref="Q231:T231">
    <cfRule type="cellIs" dxfId="331" priority="37" operator="greaterThan">
      <formula>0.03</formula>
    </cfRule>
    <cfRule type="cellIs" dxfId="330" priority="38" stopIfTrue="1" operator="lessThan">
      <formula>-0.03</formula>
    </cfRule>
  </conditionalFormatting>
  <conditionalFormatting sqref="Q235:T235">
    <cfRule type="cellIs" dxfId="329" priority="35" operator="greaterThan">
      <formula>0.03</formula>
    </cfRule>
    <cfRule type="cellIs" dxfId="328" priority="36" stopIfTrue="1" operator="lessThan">
      <formula>-0.03</formula>
    </cfRule>
  </conditionalFormatting>
  <conditionalFormatting sqref="Q243:T243">
    <cfRule type="cellIs" dxfId="327" priority="31" operator="greaterThan">
      <formula>0.03</formula>
    </cfRule>
    <cfRule type="cellIs" dxfId="326" priority="32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93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68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3673.43</v>
      </c>
      <c r="D9" s="16">
        <v>37.838000000000001</v>
      </c>
      <c r="E9" s="16">
        <v>39.029000000000003</v>
      </c>
      <c r="F9" s="16">
        <v>41.393000000000001</v>
      </c>
      <c r="G9" s="16">
        <v>1.5</v>
      </c>
      <c r="H9" s="16">
        <f t="shared" ref="H9:H80" si="0">(6*D9+E9+F9)/8</f>
        <v>38.431250000000006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-6.7865577993577397E-2</v>
      </c>
      <c r="R9" s="8">
        <f>bdrate(C9:C12,E9:E12,J9:J12,L9:L12)</f>
        <v>-0.43240220073881441</v>
      </c>
      <c r="S9" s="8">
        <f>bdrate(C9:C12,F9:F12,J9:J12,M9:M12)</f>
        <v>-0.40754495804531732</v>
      </c>
      <c r="T9" s="25">
        <f>bdrate(C9:C12,H9:H12,J9:J12,O9:O12)</f>
        <v>-0.1294949809019017</v>
      </c>
      <c r="U9" s="28">
        <f t="shared" ref="U9:U72" si="2">(N9-G9)/G9</f>
        <v>1.5827333333333333</v>
      </c>
    </row>
    <row r="10" spans="1:21" x14ac:dyDescent="0.25">
      <c r="A10" s="9" t="s">
        <v>36</v>
      </c>
      <c r="B10" s="9"/>
      <c r="C10" s="17">
        <v>2726.48</v>
      </c>
      <c r="D10" s="18">
        <v>36.926000000000002</v>
      </c>
      <c r="E10" s="18">
        <v>38.445999999999998</v>
      </c>
      <c r="F10" s="18">
        <v>40.786999999999999</v>
      </c>
      <c r="G10" s="18">
        <v>1.64</v>
      </c>
      <c r="H10" s="18">
        <f t="shared" si="0"/>
        <v>37.598624999999998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1.7461585365853662</v>
      </c>
    </row>
    <row r="11" spans="1:21" x14ac:dyDescent="0.25">
      <c r="B11" s="9"/>
      <c r="C11" s="17">
        <v>1799.93</v>
      </c>
      <c r="D11" s="18">
        <v>35.686</v>
      </c>
      <c r="E11" s="18">
        <v>37.753999999999998</v>
      </c>
      <c r="F11" s="18">
        <v>40.085000000000001</v>
      </c>
      <c r="G11" s="18">
        <v>1.85</v>
      </c>
      <c r="H11" s="18">
        <f t="shared" si="0"/>
        <v>36.494374999999998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2.0359459459459459</v>
      </c>
    </row>
    <row r="12" spans="1:21" ht="16.5" thickBot="1" x14ac:dyDescent="0.3">
      <c r="B12" s="12"/>
      <c r="C12" s="19">
        <v>867.52</v>
      </c>
      <c r="D12" s="20">
        <v>33.344999999999999</v>
      </c>
      <c r="E12" s="20">
        <v>36.94</v>
      </c>
      <c r="F12" s="20">
        <v>39.219000000000001</v>
      </c>
      <c r="G12" s="20">
        <v>2.23</v>
      </c>
      <c r="H12" s="20">
        <f t="shared" si="0"/>
        <v>34.528624999999998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2.5872645739910318</v>
      </c>
    </row>
    <row r="13" spans="1:21" x14ac:dyDescent="0.25">
      <c r="B13" s="6" t="s">
        <v>47</v>
      </c>
      <c r="C13" s="15">
        <v>4119.2299999999996</v>
      </c>
      <c r="D13" s="16">
        <v>30.413</v>
      </c>
      <c r="E13" s="16">
        <v>38.417999999999999</v>
      </c>
      <c r="F13" s="16">
        <v>39.692999999999998</v>
      </c>
      <c r="G13" s="16">
        <v>0.97</v>
      </c>
      <c r="H13" s="16">
        <f t="shared" si="0"/>
        <v>32.573625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4.5717372648381271E-2</v>
      </c>
      <c r="R13" s="8">
        <f>bdrate(C13:C16,E13:E16,J13:J16,L13:L16)</f>
        <v>-0.62153834317242196</v>
      </c>
      <c r="S13" s="8">
        <f>bdrate(C13:C16,F13:F16,J13:J16,M13:M16)</f>
        <v>-0.58920421257312083</v>
      </c>
      <c r="T13" s="25">
        <f>bdrate(C13:C16,H13:H16,J13:J16,O13:O16)</f>
        <v>-7.9643543734603472E-2</v>
      </c>
      <c r="U13" s="28">
        <f t="shared" si="2"/>
        <v>1.4875257731958764</v>
      </c>
    </row>
    <row r="14" spans="1:21" x14ac:dyDescent="0.25">
      <c r="B14" s="9"/>
      <c r="C14" s="17">
        <v>3062.62</v>
      </c>
      <c r="D14" s="18">
        <v>29.001000000000001</v>
      </c>
      <c r="E14" s="18">
        <v>37.822000000000003</v>
      </c>
      <c r="F14" s="18">
        <v>39.164999999999999</v>
      </c>
      <c r="G14" s="18">
        <v>1.0900000000000001</v>
      </c>
      <c r="H14" s="18">
        <f t="shared" si="0"/>
        <v>31.374124999999999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1.5938532110091743</v>
      </c>
    </row>
    <row r="15" spans="1:21" x14ac:dyDescent="0.25">
      <c r="B15" s="9"/>
      <c r="C15" s="17">
        <v>2026.08</v>
      </c>
      <c r="D15" s="18">
        <v>27.082000000000001</v>
      </c>
      <c r="E15" s="18">
        <v>36.908000000000001</v>
      </c>
      <c r="F15" s="18">
        <v>38.353999999999999</v>
      </c>
      <c r="G15" s="18">
        <v>1.26</v>
      </c>
      <c r="H15" s="18">
        <f t="shared" si="0"/>
        <v>29.719250000000002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1.7479365079365079</v>
      </c>
    </row>
    <row r="16" spans="1:21" ht="16.5" thickBot="1" x14ac:dyDescent="0.3">
      <c r="B16" s="12"/>
      <c r="C16" s="19">
        <v>1496.79</v>
      </c>
      <c r="D16" s="20">
        <v>24.893999999999998</v>
      </c>
      <c r="E16" s="20">
        <v>35.433999999999997</v>
      </c>
      <c r="F16" s="20">
        <v>37.030999999999999</v>
      </c>
      <c r="G16" s="20">
        <v>1.94</v>
      </c>
      <c r="H16" s="20">
        <f t="shared" si="0"/>
        <v>27.728624999999997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1.0565979381443298</v>
      </c>
    </row>
    <row r="17" spans="1:21" x14ac:dyDescent="0.25">
      <c r="A17" s="6" t="s">
        <v>37</v>
      </c>
      <c r="B17" s="6" t="s">
        <v>48</v>
      </c>
      <c r="C17" s="15">
        <v>2006.5</v>
      </c>
      <c r="D17" s="16">
        <v>39.371000000000002</v>
      </c>
      <c r="E17" s="16">
        <v>41.576999999999998</v>
      </c>
      <c r="F17" s="16">
        <v>42.834000000000003</v>
      </c>
      <c r="G17" s="16">
        <v>1.64</v>
      </c>
      <c r="H17" s="16">
        <f t="shared" si="0"/>
        <v>40.079625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0.10077554226824215</v>
      </c>
      <c r="R17" s="8">
        <f>bdrate(C17:C20,E17:E20,J17:J20,L17:L20)</f>
        <v>-0.30832645770865519</v>
      </c>
      <c r="S17" s="8">
        <f>bdrate(C17:C20,F17:F20,J17:J20,M17:M20)</f>
        <v>-0.32557801776430728</v>
      </c>
      <c r="T17" s="25">
        <f>bdrate(C17:C20,H17:H20,J17:J20,O17:O20)</f>
        <v>2.1864852178221206E-2</v>
      </c>
      <c r="U17" s="28">
        <f t="shared" si="2"/>
        <v>2.7225609756097566</v>
      </c>
    </row>
    <row r="18" spans="1:21" x14ac:dyDescent="0.25">
      <c r="A18" s="9" t="s">
        <v>38</v>
      </c>
      <c r="B18" s="9"/>
      <c r="C18" s="17">
        <v>1315.4</v>
      </c>
      <c r="D18" s="18">
        <v>38.055</v>
      </c>
      <c r="E18" s="18">
        <v>40.680999999999997</v>
      </c>
      <c r="F18" s="18">
        <v>41.893999999999998</v>
      </c>
      <c r="G18" s="18">
        <v>1.91</v>
      </c>
      <c r="H18" s="18">
        <f t="shared" si="0"/>
        <v>38.863124999999997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2.8374869109947647</v>
      </c>
    </row>
    <row r="19" spans="1:21" x14ac:dyDescent="0.25">
      <c r="B19" s="9"/>
      <c r="C19" s="17">
        <v>813.6</v>
      </c>
      <c r="D19" s="18">
        <v>36.421999999999997</v>
      </c>
      <c r="E19" s="18">
        <v>39.741999999999997</v>
      </c>
      <c r="F19" s="18">
        <v>41.045999999999999</v>
      </c>
      <c r="G19" s="18">
        <v>2.29</v>
      </c>
      <c r="H19" s="18">
        <f t="shared" si="0"/>
        <v>37.414999999999999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2.9565065502183403</v>
      </c>
    </row>
    <row r="20" spans="1:21" ht="16.5" thickBot="1" x14ac:dyDescent="0.3">
      <c r="B20" s="12"/>
      <c r="C20" s="19">
        <v>482.46</v>
      </c>
      <c r="D20" s="20">
        <v>34.552</v>
      </c>
      <c r="E20" s="20">
        <v>38.770000000000003</v>
      </c>
      <c r="F20" s="20">
        <v>40.28</v>
      </c>
      <c r="G20" s="20">
        <v>2.71</v>
      </c>
      <c r="H20" s="20">
        <f t="shared" si="0"/>
        <v>35.795250000000003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3.2587453874538741</v>
      </c>
    </row>
    <row r="21" spans="1:21" x14ac:dyDescent="0.25">
      <c r="B21" s="6" t="s">
        <v>49</v>
      </c>
      <c r="C21" s="15">
        <v>2246.06</v>
      </c>
      <c r="D21" s="16">
        <v>36.301000000000002</v>
      </c>
      <c r="E21" s="16">
        <v>39.401000000000003</v>
      </c>
      <c r="F21" s="16">
        <v>40.439</v>
      </c>
      <c r="G21" s="16">
        <v>2.2999999999999998</v>
      </c>
      <c r="H21" s="16">
        <f t="shared" si="0"/>
        <v>37.205750000000002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-1.3180729158962401E-2</v>
      </c>
      <c r="R21" s="8">
        <f>bdrate(C21:C24,E21:E24,J21:J24,L21:L24)</f>
        <v>-0.38549540455393994</v>
      </c>
      <c r="S21" s="8">
        <f>bdrate(C21:C24,F21:F24,J21:J24,M21:M24)</f>
        <v>-0.41345307806025366</v>
      </c>
      <c r="T21" s="25">
        <f>bdrate(C21:C24,H21:H24,J21:J24,O21:O24)</f>
        <v>-9.0070221927025296E-2</v>
      </c>
      <c r="U21" s="28">
        <f t="shared" si="2"/>
        <v>1.5716521739130436</v>
      </c>
    </row>
    <row r="22" spans="1:21" x14ac:dyDescent="0.25">
      <c r="B22" s="9"/>
      <c r="C22" s="17">
        <v>1493.49</v>
      </c>
      <c r="D22" s="18">
        <v>34.999000000000002</v>
      </c>
      <c r="E22" s="18">
        <v>38.442999999999998</v>
      </c>
      <c r="F22" s="18">
        <v>39.656999999999996</v>
      </c>
      <c r="G22" s="18">
        <v>2.6</v>
      </c>
      <c r="H22" s="18">
        <f t="shared" si="0"/>
        <v>36.011749999999999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1.8122692307692307</v>
      </c>
    </row>
    <row r="23" spans="1:21" x14ac:dyDescent="0.25">
      <c r="B23" s="9"/>
      <c r="C23" s="17">
        <v>927.64</v>
      </c>
      <c r="D23" s="18">
        <v>33.534999999999997</v>
      </c>
      <c r="E23" s="18">
        <v>37.482999999999997</v>
      </c>
      <c r="F23" s="18">
        <v>38.944000000000003</v>
      </c>
      <c r="G23" s="18">
        <v>2.93</v>
      </c>
      <c r="H23" s="18">
        <f t="shared" si="0"/>
        <v>34.704625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2.186211604095563</v>
      </c>
    </row>
    <row r="24" spans="1:21" ht="16.5" thickBot="1" x14ac:dyDescent="0.3">
      <c r="B24" s="12"/>
      <c r="C24" s="19">
        <v>550.28</v>
      </c>
      <c r="D24" s="20">
        <v>32.000999999999998</v>
      </c>
      <c r="E24" s="20">
        <v>36.600999999999999</v>
      </c>
      <c r="F24" s="20">
        <v>38.378999999999998</v>
      </c>
      <c r="G24" s="20">
        <v>3.31</v>
      </c>
      <c r="H24" s="20">
        <f t="shared" si="0"/>
        <v>33.373249999999999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2.5807854984894254</v>
      </c>
    </row>
    <row r="25" spans="1:21" x14ac:dyDescent="0.25">
      <c r="B25" s="6" t="s">
        <v>50</v>
      </c>
      <c r="C25" s="15">
        <v>2360.4</v>
      </c>
      <c r="D25" s="16">
        <v>34.408000000000001</v>
      </c>
      <c r="E25" s="16">
        <v>37.737000000000002</v>
      </c>
      <c r="F25" s="16">
        <v>39.457999999999998</v>
      </c>
      <c r="G25" s="16">
        <v>2.68</v>
      </c>
      <c r="H25" s="16">
        <f t="shared" si="0"/>
        <v>35.455375000000004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-0.11478082677996293</v>
      </c>
      <c r="R25" s="8">
        <f>bdrate(C25:C28,E25:E28,J25:J28,L25:L28)</f>
        <v>-0.51994755950525506</v>
      </c>
      <c r="S25" s="8">
        <f>bdrate(C25:C28,F25:F28,J25:J28,M25:M28)</f>
        <v>-0.50149560276492355</v>
      </c>
      <c r="T25" s="25">
        <f>bdrate(C25:C28,H25:H28,J25:J28,O25:O28)</f>
        <v>-0.19043434449952679</v>
      </c>
      <c r="U25" s="28">
        <f t="shared" si="2"/>
        <v>2.0540298507462684</v>
      </c>
    </row>
    <row r="26" spans="1:21" x14ac:dyDescent="0.25">
      <c r="B26" s="9"/>
      <c r="C26" s="17">
        <v>1570.24</v>
      </c>
      <c r="D26" s="18">
        <v>33.31</v>
      </c>
      <c r="E26" s="18">
        <v>37.264000000000003</v>
      </c>
      <c r="F26" s="18">
        <v>38.658000000000001</v>
      </c>
      <c r="G26" s="18">
        <v>2.99</v>
      </c>
      <c r="H26" s="18">
        <f t="shared" si="0"/>
        <v>34.472750000000005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2.37943143812709</v>
      </c>
    </row>
    <row r="27" spans="1:21" x14ac:dyDescent="0.25">
      <c r="B27" s="9"/>
      <c r="C27" s="17">
        <v>970.99</v>
      </c>
      <c r="D27" s="18">
        <v>31.943999999999999</v>
      </c>
      <c r="E27" s="18">
        <v>36.649000000000001</v>
      </c>
      <c r="F27" s="18">
        <v>37.701000000000001</v>
      </c>
      <c r="G27" s="18">
        <v>3.4</v>
      </c>
      <c r="H27" s="18">
        <f t="shared" si="0"/>
        <v>33.251750000000001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2.7512058823529411</v>
      </c>
    </row>
    <row r="28" spans="1:21" ht="16.5" thickBot="1" x14ac:dyDescent="0.3">
      <c r="B28" s="12"/>
      <c r="C28" s="19">
        <v>571.79999999999995</v>
      </c>
      <c r="D28" s="20">
        <v>30.312000000000001</v>
      </c>
      <c r="E28" s="20">
        <v>35.840000000000003</v>
      </c>
      <c r="F28" s="20">
        <v>36.433</v>
      </c>
      <c r="G28" s="20">
        <v>3.93</v>
      </c>
      <c r="H28" s="20">
        <f t="shared" si="0"/>
        <v>31.768125000000001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3.1674045801526716</v>
      </c>
    </row>
    <row r="29" spans="1:21" x14ac:dyDescent="0.25">
      <c r="B29" s="6" t="s">
        <v>51</v>
      </c>
      <c r="C29" s="29">
        <v>2409.42</v>
      </c>
      <c r="D29" s="30">
        <v>34.652999999999999</v>
      </c>
      <c r="E29" s="30">
        <v>39.927999999999997</v>
      </c>
      <c r="F29" s="30">
        <v>39.539000000000001</v>
      </c>
      <c r="G29" s="16">
        <v>2.16</v>
      </c>
      <c r="H29" s="16">
        <f t="shared" si="0"/>
        <v>35.923124999999999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-2.7857288433521532E-3</v>
      </c>
      <c r="R29" s="8">
        <f>bdrate(C29:C32,E29:E32,J29:J32,L29:L32)</f>
        <v>-0.45234414273580703</v>
      </c>
      <c r="S29" s="8">
        <f>bdrate(C29:C32,F29:F32,J29:J32,M29:M32)</f>
        <v>-0.40339703532761917</v>
      </c>
      <c r="T29" s="25">
        <f>bdrate(C29:C32,H29:H32,J29:J32,O29:O32)</f>
        <v>-9.5868553742816109E-2</v>
      </c>
      <c r="U29" s="28">
        <f t="shared" si="2"/>
        <v>2.1876388888888885</v>
      </c>
    </row>
    <row r="30" spans="1:21" x14ac:dyDescent="0.25">
      <c r="B30" s="9"/>
      <c r="C30" s="31">
        <v>1599.29</v>
      </c>
      <c r="D30" s="32">
        <v>33.337000000000003</v>
      </c>
      <c r="E30" s="32">
        <v>39.113999999999997</v>
      </c>
      <c r="F30" s="32">
        <v>38.417000000000002</v>
      </c>
      <c r="G30" s="18">
        <v>2.4300000000000002</v>
      </c>
      <c r="H30" s="18">
        <f t="shared" si="0"/>
        <v>34.694125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2.4718930041152265</v>
      </c>
    </row>
    <row r="31" spans="1:21" x14ac:dyDescent="0.25">
      <c r="B31" s="9"/>
      <c r="C31" s="31">
        <v>994</v>
      </c>
      <c r="D31" s="32">
        <v>31.731000000000002</v>
      </c>
      <c r="E31" s="32">
        <v>38.177</v>
      </c>
      <c r="F31" s="32">
        <v>37.06</v>
      </c>
      <c r="G31" s="18">
        <v>2.77</v>
      </c>
      <c r="H31" s="18">
        <f t="shared" si="0"/>
        <v>33.202875000000006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2.8237906137184119</v>
      </c>
    </row>
    <row r="32" spans="1:21" ht="16.5" thickBot="1" x14ac:dyDescent="0.3">
      <c r="B32" s="12"/>
      <c r="C32" s="33">
        <v>592.1</v>
      </c>
      <c r="D32" s="34">
        <v>29.946999999999999</v>
      </c>
      <c r="E32" s="34">
        <v>36.923000000000002</v>
      </c>
      <c r="F32" s="34">
        <v>35.445999999999998</v>
      </c>
      <c r="G32" s="20">
        <v>3.19</v>
      </c>
      <c r="H32" s="20">
        <f t="shared" si="0"/>
        <v>31.506374999999998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3.1466771159874609</v>
      </c>
    </row>
    <row r="33" spans="1:21" x14ac:dyDescent="0.25">
      <c r="B33" s="6" t="s">
        <v>52</v>
      </c>
      <c r="C33" s="15">
        <v>2354.2800000000002</v>
      </c>
      <c r="D33" s="16">
        <v>33.767000000000003</v>
      </c>
      <c r="E33" s="16">
        <v>39.29</v>
      </c>
      <c r="F33" s="16">
        <v>41.929000000000002</v>
      </c>
      <c r="G33" s="16">
        <v>3.45</v>
      </c>
      <c r="H33" s="16">
        <f t="shared" si="0"/>
        <v>35.477625000000003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-0.1122154694408849</v>
      </c>
      <c r="R33" s="8">
        <f>bdrate(C33:C36,E33:E36,J33:J36,L33:L36)</f>
        <v>-0.43987769996101012</v>
      </c>
      <c r="S33" s="8">
        <f>bdrate(C33:C36,F33:F36,J33:J36,M33:M36)</f>
        <v>-0.33617178221181876</v>
      </c>
      <c r="T33" s="25">
        <f>bdrate(C33:C36,H33:H36,J33:J36,O33:O36)</f>
        <v>-0.16217523070878515</v>
      </c>
      <c r="U33" s="28">
        <f t="shared" si="2"/>
        <v>2.0073043478260866</v>
      </c>
    </row>
    <row r="34" spans="1:21" x14ac:dyDescent="0.25">
      <c r="B34" s="9"/>
      <c r="C34" s="17">
        <v>1551.9</v>
      </c>
      <c r="D34" s="18">
        <v>33.106000000000002</v>
      </c>
      <c r="E34" s="18">
        <v>38.841000000000001</v>
      </c>
      <c r="F34" s="18">
        <v>41.573999999999998</v>
      </c>
      <c r="G34" s="18">
        <v>3.78</v>
      </c>
      <c r="H34" s="18">
        <f t="shared" si="0"/>
        <v>34.881375000000006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2.4132539682539687</v>
      </c>
    </row>
    <row r="35" spans="1:21" x14ac:dyDescent="0.25">
      <c r="B35" s="9"/>
      <c r="C35" s="17">
        <v>941.42</v>
      </c>
      <c r="D35" s="18">
        <v>32.103999999999999</v>
      </c>
      <c r="E35" s="18">
        <v>38.326000000000001</v>
      </c>
      <c r="F35" s="18">
        <v>41.076999999999998</v>
      </c>
      <c r="G35" s="18">
        <v>4.2</v>
      </c>
      <c r="H35" s="18">
        <f t="shared" si="0"/>
        <v>34.003374999999998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2.8688571428571423</v>
      </c>
    </row>
    <row r="36" spans="1:21" ht="16.5" thickBot="1" x14ac:dyDescent="0.3">
      <c r="B36" s="12"/>
      <c r="C36" s="19">
        <v>510.43</v>
      </c>
      <c r="D36" s="20">
        <v>30.254000000000001</v>
      </c>
      <c r="E36" s="20">
        <v>37.478999999999999</v>
      </c>
      <c r="F36" s="20">
        <v>40.476999999999997</v>
      </c>
      <c r="G36" s="20">
        <v>4.67</v>
      </c>
      <c r="H36" s="20">
        <f t="shared" si="0"/>
        <v>32.434999999999995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3.3461027837259096</v>
      </c>
    </row>
    <row r="37" spans="1:21" x14ac:dyDescent="0.25">
      <c r="A37" s="6" t="s">
        <v>39</v>
      </c>
      <c r="B37" s="6" t="s">
        <v>53</v>
      </c>
      <c r="C37" s="15">
        <v>1222.6199999999999</v>
      </c>
      <c r="D37" s="16">
        <v>35.683</v>
      </c>
      <c r="E37" s="16">
        <v>39.280999999999999</v>
      </c>
      <c r="F37" s="16">
        <v>39.362000000000002</v>
      </c>
      <c r="G37" s="16">
        <v>8.93</v>
      </c>
      <c r="H37" s="16">
        <f t="shared" si="0"/>
        <v>36.592625000000005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-0.14492383471951487</v>
      </c>
      <c r="R37" s="8">
        <f>bdrate(C37:C40,E37:E40,J37:J40,L37:L40)</f>
        <v>-0.36951207090212379</v>
      </c>
      <c r="S37" s="8">
        <f>bdrate(C37:C40,F37:F40,J37:J40,M37:M40)</f>
        <v>-0.2760695804697576</v>
      </c>
      <c r="T37" s="25">
        <f>bdrate(C37:C40,H37:H40,J37:J40,O37:O40)</f>
        <v>-0.1863776527452915</v>
      </c>
      <c r="U37" s="28">
        <f t="shared" si="2"/>
        <v>1.3912430011198209</v>
      </c>
    </row>
    <row r="38" spans="1:21" x14ac:dyDescent="0.25">
      <c r="A38" s="9" t="s">
        <v>40</v>
      </c>
      <c r="B38" s="9"/>
      <c r="C38" s="17">
        <v>815.32</v>
      </c>
      <c r="D38" s="18">
        <v>34.194000000000003</v>
      </c>
      <c r="E38" s="18">
        <v>37.972000000000001</v>
      </c>
      <c r="F38" s="18">
        <v>38.024000000000001</v>
      </c>
      <c r="G38" s="18">
        <v>10.210000000000001</v>
      </c>
      <c r="H38" s="18">
        <f t="shared" si="0"/>
        <v>35.145000000000003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1.5053281096963758</v>
      </c>
    </row>
    <row r="39" spans="1:21" x14ac:dyDescent="0.25">
      <c r="B39" s="9"/>
      <c r="C39" s="17">
        <v>508.85</v>
      </c>
      <c r="D39" s="18">
        <v>32.622</v>
      </c>
      <c r="E39" s="18">
        <v>36.774000000000001</v>
      </c>
      <c r="F39" s="18">
        <v>36.637999999999998</v>
      </c>
      <c r="G39" s="18">
        <v>12.02</v>
      </c>
      <c r="H39" s="18">
        <f t="shared" si="0"/>
        <v>33.643000000000001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1.5739351081530784</v>
      </c>
    </row>
    <row r="40" spans="1:21" ht="16.5" thickBot="1" x14ac:dyDescent="0.3">
      <c r="B40" s="12"/>
      <c r="C40" s="19">
        <v>301.73</v>
      </c>
      <c r="D40" s="20">
        <v>30.927</v>
      </c>
      <c r="E40" s="20">
        <v>35.454000000000001</v>
      </c>
      <c r="F40" s="20">
        <v>35.036000000000001</v>
      </c>
      <c r="G40" s="20">
        <v>14.22</v>
      </c>
      <c r="H40" s="20">
        <f t="shared" si="0"/>
        <v>32.006500000000003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1.7966104078762308</v>
      </c>
    </row>
    <row r="41" spans="1:21" x14ac:dyDescent="0.25">
      <c r="B41" s="6" t="s">
        <v>54</v>
      </c>
      <c r="C41" s="15">
        <v>1227.2</v>
      </c>
      <c r="D41" s="16">
        <v>35.777000000000001</v>
      </c>
      <c r="E41" s="16">
        <v>40.154000000000003</v>
      </c>
      <c r="F41" s="16">
        <v>41.1</v>
      </c>
      <c r="G41" s="16">
        <v>11.38</v>
      </c>
      <c r="H41" s="16">
        <f t="shared" si="0"/>
        <v>36.9895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-0.14077949873324702</v>
      </c>
      <c r="R41" s="8">
        <f>bdrate(C41:C44,E41:E44,J41:J44,L41:L44)</f>
        <v>-0.41884765729820483</v>
      </c>
      <c r="S41" s="8">
        <f>bdrate(C41:C44,F41:F44,J41:J44,M41:M44)</f>
        <v>-0.37645588445823053</v>
      </c>
      <c r="T41" s="25">
        <f>bdrate(C41:C44,H41:H44,J41:J44,O41:O44)</f>
        <v>-0.19473824770267467</v>
      </c>
      <c r="U41" s="28">
        <f t="shared" si="2"/>
        <v>1.275922671353251</v>
      </c>
    </row>
    <row r="42" spans="1:21" x14ac:dyDescent="0.25">
      <c r="B42" s="9"/>
      <c r="C42" s="17">
        <v>818.78</v>
      </c>
      <c r="D42" s="18">
        <v>34.165999999999997</v>
      </c>
      <c r="E42" s="18">
        <v>39.06</v>
      </c>
      <c r="F42" s="18">
        <v>39.884</v>
      </c>
      <c r="G42" s="18">
        <v>12.94</v>
      </c>
      <c r="H42" s="18">
        <f t="shared" si="0"/>
        <v>35.4925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1.3893585780525501</v>
      </c>
    </row>
    <row r="43" spans="1:21" x14ac:dyDescent="0.25">
      <c r="B43" s="9"/>
      <c r="C43" s="17">
        <v>509.65</v>
      </c>
      <c r="D43" s="18">
        <v>32.191000000000003</v>
      </c>
      <c r="E43" s="18">
        <v>37.728999999999999</v>
      </c>
      <c r="F43" s="18">
        <v>38.424999999999997</v>
      </c>
      <c r="G43" s="18">
        <v>14.91</v>
      </c>
      <c r="H43" s="18">
        <f t="shared" si="0"/>
        <v>33.662500000000001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1.5315425888665326</v>
      </c>
    </row>
    <row r="44" spans="1:21" ht="16.5" thickBot="1" x14ac:dyDescent="0.3">
      <c r="B44" s="12"/>
      <c r="C44" s="19">
        <v>303.13</v>
      </c>
      <c r="D44" s="20">
        <v>29.986000000000001</v>
      </c>
      <c r="E44" s="20">
        <v>36.299999999999997</v>
      </c>
      <c r="F44" s="20">
        <v>36.774999999999999</v>
      </c>
      <c r="G44" s="20">
        <v>16.72</v>
      </c>
      <c r="H44" s="20">
        <f t="shared" si="0"/>
        <v>31.623875000000002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1.8363217703349284</v>
      </c>
    </row>
    <row r="45" spans="1:21" x14ac:dyDescent="0.25">
      <c r="B45" s="6" t="s">
        <v>55</v>
      </c>
      <c r="C45" s="15">
        <v>1095.1300000000001</v>
      </c>
      <c r="D45" s="16">
        <v>30.331</v>
      </c>
      <c r="E45" s="16">
        <v>35.832000000000001</v>
      </c>
      <c r="F45" s="16">
        <v>36.585999999999999</v>
      </c>
      <c r="G45" s="16">
        <v>11.21</v>
      </c>
      <c r="H45" s="16">
        <f t="shared" si="0"/>
        <v>31.8005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-0.13692658507888211</v>
      </c>
      <c r="R45" s="8">
        <f>bdrate(C45:C48,E45:E48,J45:J48,L45:L48)</f>
        <v>-0.46715036006403199</v>
      </c>
      <c r="S45" s="8">
        <f>bdrate(C45:C48,F45:F48,J45:J48,M45:M48)</f>
        <v>-0.45155114357032933</v>
      </c>
      <c r="T45" s="25">
        <f>bdrate(C45:C48,H45:H48,J45:J48,O45:O48)</f>
        <v>-0.19754353571644123</v>
      </c>
      <c r="U45" s="28">
        <f t="shared" si="2"/>
        <v>1.1775646743978587</v>
      </c>
    </row>
    <row r="46" spans="1:21" x14ac:dyDescent="0.25">
      <c r="B46" s="9"/>
      <c r="C46" s="17">
        <v>729.46</v>
      </c>
      <c r="D46" s="18">
        <v>28.962</v>
      </c>
      <c r="E46" s="18">
        <v>35.061999999999998</v>
      </c>
      <c r="F46" s="18">
        <v>35.826999999999998</v>
      </c>
      <c r="G46" s="18">
        <v>12.74</v>
      </c>
      <c r="H46" s="18">
        <f t="shared" si="0"/>
        <v>30.582625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1.359976452119309</v>
      </c>
    </row>
    <row r="47" spans="1:21" x14ac:dyDescent="0.25">
      <c r="B47" s="9"/>
      <c r="C47" s="17">
        <v>453.36</v>
      </c>
      <c r="D47" s="18">
        <v>27.483000000000001</v>
      </c>
      <c r="E47" s="18">
        <v>34.259</v>
      </c>
      <c r="F47" s="18">
        <v>35.015999999999998</v>
      </c>
      <c r="G47" s="18">
        <v>14.7</v>
      </c>
      <c r="H47" s="18">
        <f t="shared" si="0"/>
        <v>29.271624999999997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1.6020204081632652</v>
      </c>
    </row>
    <row r="48" spans="1:21" ht="16.5" thickBot="1" x14ac:dyDescent="0.3">
      <c r="B48" s="12"/>
      <c r="C48" s="19">
        <v>261.33</v>
      </c>
      <c r="D48" s="20">
        <v>25.815999999999999</v>
      </c>
      <c r="E48" s="20">
        <v>33.244999999999997</v>
      </c>
      <c r="F48" s="20">
        <v>34.027000000000001</v>
      </c>
      <c r="G48" s="20">
        <v>17.16</v>
      </c>
      <c r="H48" s="20">
        <f t="shared" si="0"/>
        <v>27.771000000000001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1.8043822843822841</v>
      </c>
    </row>
    <row r="49" spans="1:21" x14ac:dyDescent="0.25">
      <c r="B49" s="6" t="s">
        <v>56</v>
      </c>
      <c r="C49" s="15">
        <v>1110.03</v>
      </c>
      <c r="D49" s="16">
        <v>33.347999999999999</v>
      </c>
      <c r="E49" s="16">
        <v>36.929000000000002</v>
      </c>
      <c r="F49" s="16">
        <v>38.667000000000002</v>
      </c>
      <c r="G49" s="16">
        <v>6.66</v>
      </c>
      <c r="H49" s="16">
        <f t="shared" si="0"/>
        <v>34.460499999999996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0.12619075765677756</v>
      </c>
      <c r="R49" s="8">
        <f>bdrate(C49:C52,E49:E52,J49:J52,L49:L52)</f>
        <v>-0.23220932703032182</v>
      </c>
      <c r="S49" s="8">
        <f>bdrate(C49:C52,F49:F52,J49:J52,M49:M52)</f>
        <v>-0.19013348761186366</v>
      </c>
      <c r="T49" s="25">
        <f>bdrate(C49:C52,H49:H52,J49:J52,O49:O52)</f>
        <v>5.77981078562948E-2</v>
      </c>
      <c r="U49" s="28">
        <f t="shared" si="2"/>
        <v>1.3707957957957957</v>
      </c>
    </row>
    <row r="50" spans="1:21" x14ac:dyDescent="0.25">
      <c r="B50" s="9"/>
      <c r="C50" s="17">
        <v>747.29</v>
      </c>
      <c r="D50" s="18">
        <v>31.898</v>
      </c>
      <c r="E50" s="18">
        <v>35.941000000000003</v>
      </c>
      <c r="F50" s="18">
        <v>37.656999999999996</v>
      </c>
      <c r="G50" s="18">
        <v>7.54</v>
      </c>
      <c r="H50" s="18">
        <f t="shared" si="0"/>
        <v>33.123249999999999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1.5102652519893898</v>
      </c>
    </row>
    <row r="51" spans="1:21" x14ac:dyDescent="0.25">
      <c r="B51" s="9"/>
      <c r="C51" s="17">
        <v>475.8</v>
      </c>
      <c r="D51" s="18">
        <v>30.283999999999999</v>
      </c>
      <c r="E51" s="18">
        <v>34.951999999999998</v>
      </c>
      <c r="F51" s="18">
        <v>36.619</v>
      </c>
      <c r="G51" s="18">
        <v>8.58</v>
      </c>
      <c r="H51" s="18">
        <f t="shared" si="0"/>
        <v>31.659375000000001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1.6972960372960375</v>
      </c>
    </row>
    <row r="52" spans="1:21" ht="16.5" thickBot="1" x14ac:dyDescent="0.3">
      <c r="B52" s="12"/>
      <c r="C52" s="19">
        <v>289.31</v>
      </c>
      <c r="D52" s="20">
        <v>28.632000000000001</v>
      </c>
      <c r="E52" s="20">
        <v>33.848999999999997</v>
      </c>
      <c r="F52" s="20">
        <v>35.353000000000002</v>
      </c>
      <c r="G52" s="20">
        <v>10.08</v>
      </c>
      <c r="H52" s="20">
        <f t="shared" si="0"/>
        <v>30.12425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1.9534523809523812</v>
      </c>
    </row>
    <row r="53" spans="1:21" x14ac:dyDescent="0.25">
      <c r="A53" s="6" t="s">
        <v>41</v>
      </c>
      <c r="B53" s="6" t="s">
        <v>57</v>
      </c>
      <c r="C53" s="15">
        <v>640.66999999999996</v>
      </c>
      <c r="D53" s="16">
        <v>35.652999999999999</v>
      </c>
      <c r="E53" s="16">
        <v>39.97</v>
      </c>
      <c r="F53" s="16">
        <v>38.725999999999999</v>
      </c>
      <c r="G53" s="16">
        <v>27.54</v>
      </c>
      <c r="H53" s="16">
        <f t="shared" si="0"/>
        <v>36.576750000000004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3.6018550982116704E-2</v>
      </c>
      <c r="R53" s="8">
        <f>bdrate(C53:C56,E53:E56,J53:J56,L53:L56)</f>
        <v>-0.26854039884116565</v>
      </c>
      <c r="S53" s="8">
        <f>bdrate(C53:C56,F53:F56,J53:J56,M53:M56)</f>
        <v>-0.20730055203797604</v>
      </c>
      <c r="T53" s="25">
        <f>bdrate(C53:C56,H53:H56,J53:J56,O53:O56)</f>
        <v>-2.402133706154741E-2</v>
      </c>
      <c r="U53" s="28">
        <f t="shared" si="2"/>
        <v>1.4043718228031952</v>
      </c>
    </row>
    <row r="54" spans="1:21" x14ac:dyDescent="0.25">
      <c r="A54" s="9" t="s">
        <v>42</v>
      </c>
      <c r="B54" s="9"/>
      <c r="C54" s="17">
        <v>426.47</v>
      </c>
      <c r="D54" s="18">
        <v>33.820999999999998</v>
      </c>
      <c r="E54" s="18">
        <v>38.697000000000003</v>
      </c>
      <c r="F54" s="18">
        <v>37.270000000000003</v>
      </c>
      <c r="G54" s="18">
        <v>31.52</v>
      </c>
      <c r="H54" s="18">
        <f t="shared" si="0"/>
        <v>34.861624999999997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1.50441307106599</v>
      </c>
    </row>
    <row r="55" spans="1:21" x14ac:dyDescent="0.25">
      <c r="B55" s="9"/>
      <c r="C55" s="17">
        <v>265.79000000000002</v>
      </c>
      <c r="D55" s="18">
        <v>31.835999999999999</v>
      </c>
      <c r="E55" s="18">
        <v>37.366</v>
      </c>
      <c r="F55" s="18">
        <v>35.697000000000003</v>
      </c>
      <c r="G55" s="18">
        <v>36.93</v>
      </c>
      <c r="H55" s="18">
        <f t="shared" si="0"/>
        <v>33.009875000000001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1.6218304901164367</v>
      </c>
    </row>
    <row r="56" spans="1:21" ht="16.5" thickBot="1" x14ac:dyDescent="0.3">
      <c r="B56" s="12"/>
      <c r="C56" s="19">
        <v>127.06</v>
      </c>
      <c r="D56" s="20">
        <v>29.048999999999999</v>
      </c>
      <c r="E56" s="20">
        <v>35.366999999999997</v>
      </c>
      <c r="F56" s="20">
        <v>33.319000000000003</v>
      </c>
      <c r="G56" s="20">
        <v>47.48</v>
      </c>
      <c r="H56" s="20">
        <f t="shared" si="0"/>
        <v>30.372499999999995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1.9219608256107839</v>
      </c>
    </row>
    <row r="57" spans="1:21" x14ac:dyDescent="0.25">
      <c r="B57" s="6" t="s">
        <v>58</v>
      </c>
      <c r="C57" s="15">
        <v>552.13</v>
      </c>
      <c r="D57" s="16">
        <v>33.387999999999998</v>
      </c>
      <c r="E57" s="16">
        <v>40.097000000000001</v>
      </c>
      <c r="F57" s="16">
        <v>40.918999999999997</v>
      </c>
      <c r="G57" s="16">
        <v>46.68</v>
      </c>
      <c r="H57" s="16">
        <f t="shared" si="0"/>
        <v>35.167999999999999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-0.17880253024320736</v>
      </c>
      <c r="R57" s="8">
        <f>bdrate(C57:C60,E57:E60,J57:J60,L57:L60)</f>
        <v>-0.39942880201327935</v>
      </c>
      <c r="S57" s="8">
        <f>bdrate(C57:C60,F57:F60,J57:J60,M57:M60)</f>
        <v>-0.35966043614758481</v>
      </c>
      <c r="T57" s="25">
        <f>bdrate(C57:C60,H57:H60,J57:J60,O57:O60)</f>
        <v>-0.21396878582591095</v>
      </c>
      <c r="U57" s="28">
        <f t="shared" si="2"/>
        <v>0.99495072836332488</v>
      </c>
    </row>
    <row r="58" spans="1:21" x14ac:dyDescent="0.25">
      <c r="B58" s="9"/>
      <c r="C58" s="17">
        <v>363.22</v>
      </c>
      <c r="D58" s="18">
        <v>32.024000000000001</v>
      </c>
      <c r="E58" s="18">
        <v>39.417000000000002</v>
      </c>
      <c r="F58" s="18">
        <v>40.25</v>
      </c>
      <c r="G58" s="18">
        <v>52.83</v>
      </c>
      <c r="H58" s="18">
        <f t="shared" si="0"/>
        <v>33.976375000000004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1.2061347719098998</v>
      </c>
    </row>
    <row r="59" spans="1:21" x14ac:dyDescent="0.25">
      <c r="B59" s="9"/>
      <c r="C59" s="17">
        <v>224.85</v>
      </c>
      <c r="D59" s="18">
        <v>30.478999999999999</v>
      </c>
      <c r="E59" s="18">
        <v>38.700000000000003</v>
      </c>
      <c r="F59" s="18">
        <v>39.56</v>
      </c>
      <c r="G59" s="18">
        <v>60.28</v>
      </c>
      <c r="H59" s="18">
        <f t="shared" si="0"/>
        <v>32.641750000000002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1.5627057067020569</v>
      </c>
    </row>
    <row r="60" spans="1:21" ht="16.5" thickBot="1" x14ac:dyDescent="0.3">
      <c r="B60" s="12"/>
      <c r="C60" s="19">
        <v>103.8</v>
      </c>
      <c r="D60" s="20">
        <v>27.766999999999999</v>
      </c>
      <c r="E60" s="20">
        <v>37.64</v>
      </c>
      <c r="F60" s="20">
        <v>38.390999999999998</v>
      </c>
      <c r="G60" s="20">
        <v>73.260000000000005</v>
      </c>
      <c r="H60" s="20">
        <f t="shared" si="0"/>
        <v>30.329125000000001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2.3871007371007371</v>
      </c>
    </row>
    <row r="61" spans="1:21" x14ac:dyDescent="0.25">
      <c r="B61" s="6" t="s">
        <v>59</v>
      </c>
      <c r="C61" s="29">
        <v>628.24</v>
      </c>
      <c r="D61" s="30">
        <v>33.61</v>
      </c>
      <c r="E61" s="30">
        <v>37.701999999999998</v>
      </c>
      <c r="F61" s="30">
        <v>38.271000000000001</v>
      </c>
      <c r="G61" s="16">
        <v>37.18</v>
      </c>
      <c r="H61" s="16">
        <f t="shared" si="0"/>
        <v>34.704124999999998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-9.279685060703402E-2</v>
      </c>
      <c r="R61" s="8">
        <f>bdrate(C61:C64,E61:E64,J61:J64,L61:L64)</f>
        <v>-0.2940759058466913</v>
      </c>
      <c r="S61" s="8">
        <f>bdrate(C61:C64,F61:F64,J61:J64,M61:M64)</f>
        <v>-0.346428094999784</v>
      </c>
      <c r="T61" s="25">
        <f>bdrate(C61:C64,H61:H64,J61:J64,O61:O64)</f>
        <v>-0.13961841179323831</v>
      </c>
      <c r="U61" s="28">
        <f t="shared" si="2"/>
        <v>1.3359548144163531</v>
      </c>
    </row>
    <row r="62" spans="1:21" x14ac:dyDescent="0.25">
      <c r="B62" s="9"/>
      <c r="C62" s="31">
        <v>418.77</v>
      </c>
      <c r="D62" s="32">
        <v>31.978000000000002</v>
      </c>
      <c r="E62" s="32">
        <v>36.585999999999999</v>
      </c>
      <c r="F62" s="32">
        <v>37.128999999999998</v>
      </c>
      <c r="G62" s="18">
        <v>42.45</v>
      </c>
      <c r="H62" s="18">
        <f t="shared" si="0"/>
        <v>33.197875000000003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1.5087467608951708</v>
      </c>
    </row>
    <row r="63" spans="1:21" x14ac:dyDescent="0.25">
      <c r="B63" s="9"/>
      <c r="C63" s="31">
        <v>260.89</v>
      </c>
      <c r="D63" s="32">
        <v>30.22</v>
      </c>
      <c r="E63" s="32">
        <v>35.514000000000003</v>
      </c>
      <c r="F63" s="32">
        <v>35.982999999999997</v>
      </c>
      <c r="G63" s="18">
        <v>49.61</v>
      </c>
      <c r="H63" s="18">
        <f t="shared" si="0"/>
        <v>31.602125000000001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1.6804817577101392</v>
      </c>
    </row>
    <row r="64" spans="1:21" ht="16.5" thickBot="1" x14ac:dyDescent="0.3">
      <c r="B64" s="12"/>
      <c r="C64" s="33">
        <v>123.07</v>
      </c>
      <c r="D64" s="34">
        <v>27.673999999999999</v>
      </c>
      <c r="E64" s="34">
        <v>33.814</v>
      </c>
      <c r="F64" s="34">
        <v>34.26</v>
      </c>
      <c r="G64" s="20">
        <v>60.7</v>
      </c>
      <c r="H64" s="20">
        <f t="shared" si="0"/>
        <v>29.264749999999996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2.1803986820428332</v>
      </c>
    </row>
    <row r="65" spans="1:21" x14ac:dyDescent="0.25">
      <c r="B65" s="6" t="s">
        <v>60</v>
      </c>
      <c r="C65" s="15">
        <v>578.12</v>
      </c>
      <c r="D65" s="16">
        <v>35.107999999999997</v>
      </c>
      <c r="E65" s="16">
        <v>38.143999999999998</v>
      </c>
      <c r="F65" s="16">
        <v>39.351999999999997</v>
      </c>
      <c r="G65" s="16">
        <v>21.44</v>
      </c>
      <c r="H65" s="16">
        <f t="shared" si="0"/>
        <v>36.017999999999994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8.9005087452580955E-2</v>
      </c>
      <c r="R65" s="8">
        <f>bdrate(C65:C68,E65:E68,J65:J68,L65:L68)</f>
        <v>-0.12303868589136091</v>
      </c>
      <c r="S65" s="8">
        <f>bdrate(C65:C68,F65:F68,J65:J68,M65:M68)</f>
        <v>-9.6278704449918484E-2</v>
      </c>
      <c r="T65" s="25">
        <f>bdrate(C65:C68,H65:H68,J65:J68,O65:O68)</f>
        <v>4.5232428958724258E-2</v>
      </c>
      <c r="U65" s="28">
        <f t="shared" si="2"/>
        <v>1.3418470149253732</v>
      </c>
    </row>
    <row r="66" spans="1:21" x14ac:dyDescent="0.25">
      <c r="B66" s="9"/>
      <c r="C66" s="17">
        <v>387.48</v>
      </c>
      <c r="D66" s="18">
        <v>33.238</v>
      </c>
      <c r="E66" s="18">
        <v>36.877000000000002</v>
      </c>
      <c r="F66" s="18">
        <v>38.055999999999997</v>
      </c>
      <c r="G66" s="18">
        <v>24.65</v>
      </c>
      <c r="H66" s="18">
        <f t="shared" si="0"/>
        <v>34.295124999999999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1.4766774847870183</v>
      </c>
    </row>
    <row r="67" spans="1:21" x14ac:dyDescent="0.25">
      <c r="B67" s="9"/>
      <c r="C67" s="17">
        <v>243.49</v>
      </c>
      <c r="D67" s="18">
        <v>31.297999999999998</v>
      </c>
      <c r="E67" s="18">
        <v>35.524000000000001</v>
      </c>
      <c r="F67" s="18">
        <v>36.643999999999998</v>
      </c>
      <c r="G67" s="18">
        <v>28.83</v>
      </c>
      <c r="H67" s="18">
        <f t="shared" si="0"/>
        <v>32.494499999999995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1.6471210544571631</v>
      </c>
    </row>
    <row r="68" spans="1:21" ht="16.5" thickBot="1" x14ac:dyDescent="0.3">
      <c r="B68" s="12"/>
      <c r="C68" s="19">
        <v>116.87</v>
      </c>
      <c r="D68" s="20">
        <v>28.66</v>
      </c>
      <c r="E68" s="20">
        <v>33.497999999999998</v>
      </c>
      <c r="F68" s="20">
        <v>34.436</v>
      </c>
      <c r="G68" s="20">
        <v>37.85</v>
      </c>
      <c r="H68" s="20">
        <f t="shared" si="0"/>
        <v>29.986750000000001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1.9366525759577278</v>
      </c>
    </row>
    <row r="69" spans="1:21" x14ac:dyDescent="0.25">
      <c r="A69" s="6" t="s">
        <v>43</v>
      </c>
      <c r="B69" s="6" t="s">
        <v>61</v>
      </c>
      <c r="C69" s="15">
        <v>1385.46</v>
      </c>
      <c r="D69" s="16">
        <v>41.313000000000002</v>
      </c>
      <c r="E69" s="16">
        <v>45.290999999999997</v>
      </c>
      <c r="F69" s="16">
        <v>46.627000000000002</v>
      </c>
      <c r="G69" s="16">
        <v>8.61</v>
      </c>
      <c r="H69" s="16">
        <f t="shared" si="0"/>
        <v>42.474499999999999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-0.12603702546239326</v>
      </c>
      <c r="R69" s="8">
        <f>bdrate(C69:C72,E69:E72,J69:J72,L69:L72)</f>
        <v>-0.31024596545648309</v>
      </c>
      <c r="S69" s="8">
        <f>bdrate(C69:C72,F69:F72,J69:J72,M69:M72)</f>
        <v>-0.2440194877405677</v>
      </c>
      <c r="T69" s="25">
        <f>bdrate(C69:C72,H69:H72,J69:J72,O69:O72)</f>
        <v>-0.15994304479543275</v>
      </c>
      <c r="U69" s="28">
        <f t="shared" si="2"/>
        <v>1.5702206736353079</v>
      </c>
    </row>
    <row r="70" spans="1:21" x14ac:dyDescent="0.25">
      <c r="A70" s="9" t="s">
        <v>44</v>
      </c>
      <c r="B70" s="9"/>
      <c r="C70" s="17">
        <v>912.64</v>
      </c>
      <c r="D70" s="18">
        <v>40.192999999999998</v>
      </c>
      <c r="E70" s="18">
        <v>44.304000000000002</v>
      </c>
      <c r="F70" s="18">
        <v>45.679000000000002</v>
      </c>
      <c r="G70" s="18">
        <v>9.7200000000000006</v>
      </c>
      <c r="H70" s="18">
        <f t="shared" si="0"/>
        <v>41.392624999999995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1.79440329218107</v>
      </c>
    </row>
    <row r="71" spans="1:21" x14ac:dyDescent="0.25">
      <c r="B71" s="9"/>
      <c r="C71" s="17">
        <v>542.32000000000005</v>
      </c>
      <c r="D71" s="18">
        <v>38.512999999999998</v>
      </c>
      <c r="E71" s="18">
        <v>42.899000000000001</v>
      </c>
      <c r="F71" s="18">
        <v>44.189</v>
      </c>
      <c r="G71" s="18">
        <v>10.78</v>
      </c>
      <c r="H71" s="18">
        <f t="shared" si="0"/>
        <v>39.77075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2.2852411873840448</v>
      </c>
    </row>
    <row r="72" spans="1:21" ht="16.5" thickBot="1" x14ac:dyDescent="0.3">
      <c r="B72" s="12"/>
      <c r="C72" s="19">
        <v>261.74</v>
      </c>
      <c r="D72" s="20">
        <v>36.176000000000002</v>
      </c>
      <c r="E72" s="20">
        <v>41.42</v>
      </c>
      <c r="F72" s="20">
        <v>42.502000000000002</v>
      </c>
      <c r="G72" s="20">
        <v>12.52</v>
      </c>
      <c r="H72" s="20">
        <f t="shared" si="0"/>
        <v>37.622250000000001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2.9436581469648568</v>
      </c>
    </row>
    <row r="73" spans="1:21" x14ac:dyDescent="0.25">
      <c r="B73" s="6" t="s">
        <v>62</v>
      </c>
      <c r="C73" s="15">
        <v>1430.68</v>
      </c>
      <c r="D73" s="16">
        <v>42.716999999999999</v>
      </c>
      <c r="E73" s="16">
        <v>47.584000000000003</v>
      </c>
      <c r="F73" s="16">
        <v>48.302</v>
      </c>
      <c r="G73" s="16">
        <v>8.7100000000000009</v>
      </c>
      <c r="H73" s="16">
        <f t="shared" si="0"/>
        <v>44.023500000000006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-0.17127986856710531</v>
      </c>
      <c r="R73" s="8">
        <f>bdrate(C73:C76,E73:E76,J73:J76,L73:L76)</f>
        <v>-0.38397813097497435</v>
      </c>
      <c r="S73" s="8">
        <f>bdrate(C73:C76,F73:F76,J73:J76,M73:M76)</f>
        <v>-0.32403312650329819</v>
      </c>
      <c r="T73" s="25">
        <f>bdrate(C73:C76,H73:H76,J73:J76,O73:O76)</f>
        <v>-0.22424189194265298</v>
      </c>
      <c r="U73" s="28">
        <f t="shared" ref="U73:U91" si="3">(N73-G73)/G73</f>
        <v>1.9398392652123995</v>
      </c>
    </row>
    <row r="74" spans="1:21" x14ac:dyDescent="0.25">
      <c r="B74" s="9"/>
      <c r="C74" s="17">
        <v>942.18</v>
      </c>
      <c r="D74" s="18">
        <v>42.198999999999998</v>
      </c>
      <c r="E74" s="18">
        <v>46.973999999999997</v>
      </c>
      <c r="F74" s="18">
        <v>47.723999999999997</v>
      </c>
      <c r="G74" s="18">
        <v>9.76</v>
      </c>
      <c r="H74" s="18">
        <f t="shared" si="0"/>
        <v>43.486499999999999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2.2621618852459013</v>
      </c>
    </row>
    <row r="75" spans="1:21" x14ac:dyDescent="0.25">
      <c r="B75" s="9"/>
      <c r="C75" s="17">
        <v>555.45000000000005</v>
      </c>
      <c r="D75" s="18">
        <v>41.401000000000003</v>
      </c>
      <c r="E75" s="18">
        <v>46.115000000000002</v>
      </c>
      <c r="F75" s="18">
        <v>46.914000000000001</v>
      </c>
      <c r="G75" s="18">
        <v>10.94</v>
      </c>
      <c r="H75" s="18">
        <f t="shared" si="0"/>
        <v>42.679375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2.7803016453382083</v>
      </c>
    </row>
    <row r="76" spans="1:21" ht="16.5" thickBot="1" x14ac:dyDescent="0.3">
      <c r="B76" s="12"/>
      <c r="C76" s="19">
        <v>267.11</v>
      </c>
      <c r="D76" s="20">
        <v>39.829000000000001</v>
      </c>
      <c r="E76" s="20">
        <v>44.685000000000002</v>
      </c>
      <c r="F76" s="20">
        <v>45.47</v>
      </c>
      <c r="G76" s="20">
        <v>12.33</v>
      </c>
      <c r="H76" s="20">
        <f t="shared" si="0"/>
        <v>41.141125000000002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3.7048012976480127</v>
      </c>
    </row>
    <row r="77" spans="1:21" x14ac:dyDescent="0.25">
      <c r="B77" s="6" t="s">
        <v>63</v>
      </c>
      <c r="C77" s="15">
        <v>1490.86</v>
      </c>
      <c r="D77" s="16">
        <v>42.597000000000001</v>
      </c>
      <c r="E77" s="16">
        <v>46.783999999999999</v>
      </c>
      <c r="F77" s="16">
        <v>47.716000000000001</v>
      </c>
      <c r="G77" s="16">
        <v>7.56</v>
      </c>
      <c r="H77" s="16">
        <f t="shared" si="0"/>
        <v>43.760249999999999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-0.12536096788766982</v>
      </c>
      <c r="R77" s="8">
        <f>bdrate(C77:C80,E77:E80,J77:J80,L77:L80)</f>
        <v>-0.29456318911498403</v>
      </c>
      <c r="S77" s="8">
        <f>bdrate(C77:C80,F77:F80,J77:J80,M77:M80)</f>
        <v>-0.23084209607053252</v>
      </c>
      <c r="T77" s="25">
        <f>bdrate(C77:C80,H77:H80,J77:J80,O77:O80)</f>
        <v>-0.1595569470195628</v>
      </c>
      <c r="U77" s="28">
        <f t="shared" si="3"/>
        <v>2.01207671957672</v>
      </c>
    </row>
    <row r="78" spans="1:21" x14ac:dyDescent="0.25">
      <c r="B78" s="9"/>
      <c r="C78" s="17">
        <v>988.83</v>
      </c>
      <c r="D78" s="18">
        <v>41.84</v>
      </c>
      <c r="E78" s="18">
        <v>46.003</v>
      </c>
      <c r="F78" s="18">
        <v>46.956000000000003</v>
      </c>
      <c r="G78" s="18">
        <v>8.49</v>
      </c>
      <c r="H78" s="18">
        <f t="shared" si="0"/>
        <v>42.999875000000003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2.3310365135453477</v>
      </c>
    </row>
    <row r="79" spans="1:21" x14ac:dyDescent="0.25">
      <c r="B79" s="9"/>
      <c r="C79" s="17">
        <v>589.49</v>
      </c>
      <c r="D79" s="18">
        <v>40.584000000000003</v>
      </c>
      <c r="E79" s="18">
        <v>44.756999999999998</v>
      </c>
      <c r="F79" s="18">
        <v>45.777000000000001</v>
      </c>
      <c r="G79" s="18">
        <v>9.64</v>
      </c>
      <c r="H79" s="18">
        <f t="shared" si="0"/>
        <v>41.754750000000001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2.8963692946058091</v>
      </c>
    </row>
    <row r="80" spans="1:21" ht="16.5" thickBot="1" x14ac:dyDescent="0.3">
      <c r="B80" s="12"/>
      <c r="C80" s="19">
        <v>288.62</v>
      </c>
      <c r="D80" s="20">
        <v>38.515999999999998</v>
      </c>
      <c r="E80" s="20">
        <v>43.005000000000003</v>
      </c>
      <c r="F80" s="20">
        <v>44.112000000000002</v>
      </c>
      <c r="G80" s="20">
        <v>11.04</v>
      </c>
      <c r="H80" s="20">
        <f t="shared" si="0"/>
        <v>39.776625000000003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3.8322101449275365</v>
      </c>
    </row>
    <row r="81" spans="1:21" x14ac:dyDescent="0.25">
      <c r="A81" s="6" t="s">
        <v>102</v>
      </c>
      <c r="B81" s="6" t="s">
        <v>103</v>
      </c>
      <c r="C81" s="15">
        <v>1204.98</v>
      </c>
      <c r="D81" s="16">
        <v>44.862000000000002</v>
      </c>
      <c r="E81" s="16">
        <v>49.832999999999998</v>
      </c>
      <c r="F81" s="16">
        <v>51.006</v>
      </c>
      <c r="G81" s="16">
        <v>4.3600000000000003</v>
      </c>
      <c r="H81" s="16">
        <f t="shared" ref="H81:H91" si="4">(6*D81+E81+F81)/8</f>
        <v>46.251374999999996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-0.13859947973619868</v>
      </c>
      <c r="R81" s="8">
        <f>bdrate(C81:C84,E81:E84,J81:J84,L81:L84)</f>
        <v>-0.36774672888911508</v>
      </c>
      <c r="S81" s="8">
        <f>bdrate(C81:C84,F81:F84,J81:J84,M81:M84)</f>
        <v>-0.31487821771559288</v>
      </c>
      <c r="T81" s="25">
        <f>bdrate(C81:C84,H81:H84,J81:J84,O81:O84)</f>
        <v>-0.18504498081990939</v>
      </c>
      <c r="U81" s="28">
        <f t="shared" si="3"/>
        <v>1.660275229357798</v>
      </c>
    </row>
    <row r="82" spans="1:21" x14ac:dyDescent="0.25">
      <c r="A82" s="9" t="s">
        <v>78</v>
      </c>
      <c r="B82" s="9"/>
      <c r="C82" s="17">
        <v>808</v>
      </c>
      <c r="D82" s="18">
        <v>42.91</v>
      </c>
      <c r="E82" s="18">
        <v>47.725000000000001</v>
      </c>
      <c r="F82" s="18">
        <v>49.128999999999998</v>
      </c>
      <c r="G82" s="18">
        <v>4.87</v>
      </c>
      <c r="H82" s="18">
        <f t="shared" si="4"/>
        <v>44.289250000000003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1.8121971252566731</v>
      </c>
    </row>
    <row r="83" spans="1:21" x14ac:dyDescent="0.25">
      <c r="B83" s="9"/>
      <c r="C83" s="17">
        <v>488.25</v>
      </c>
      <c r="D83" s="18">
        <v>40.176000000000002</v>
      </c>
      <c r="E83" s="18">
        <v>45.600999999999999</v>
      </c>
      <c r="F83" s="18">
        <v>46.98</v>
      </c>
      <c r="G83" s="18">
        <v>5.68</v>
      </c>
      <c r="H83" s="18">
        <f t="shared" si="4"/>
        <v>41.704625000000007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2.0180281690140842</v>
      </c>
    </row>
    <row r="84" spans="1:21" ht="16.5" thickBot="1" x14ac:dyDescent="0.3">
      <c r="B84" s="12"/>
      <c r="C84" s="19">
        <v>247.47</v>
      </c>
      <c r="D84" s="20">
        <v>36.676000000000002</v>
      </c>
      <c r="E84" s="20">
        <v>43.206000000000003</v>
      </c>
      <c r="F84" s="20">
        <v>44.332999999999998</v>
      </c>
      <c r="G84" s="20">
        <v>7.08</v>
      </c>
      <c r="H84" s="20">
        <f t="shared" si="4"/>
        <v>38.449375000000003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2.373460451977401</v>
      </c>
    </row>
    <row r="85" spans="1:21" x14ac:dyDescent="0.25">
      <c r="B85" s="6" t="s">
        <v>104</v>
      </c>
      <c r="C85" s="15">
        <v>1483.53</v>
      </c>
      <c r="D85" s="16">
        <v>54.258000000000003</v>
      </c>
      <c r="E85" s="16">
        <v>54.945</v>
      </c>
      <c r="F85" s="16">
        <v>55.334000000000003</v>
      </c>
      <c r="G85" s="16">
        <v>12.65</v>
      </c>
      <c r="H85" s="16">
        <f t="shared" si="4"/>
        <v>54.478375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-3.6041380681488211E-2</v>
      </c>
      <c r="R85" s="8">
        <f>bdrate(C85:C88,E85:E88,J85:J88,L85:L88)</f>
        <v>-1.2509494461461323E-2</v>
      </c>
      <c r="S85" s="8">
        <f>bdrate(C85:C88,F85:F88,J85:J88,M85:M88)</f>
        <v>-7.9915328525692608E-4</v>
      </c>
      <c r="T85" s="25">
        <f>bdrate(C85:C88,H85:H88,J85:J88,O85:O88)</f>
        <v>-2.9273802585273345E-2</v>
      </c>
      <c r="U85" s="28">
        <f t="shared" si="3"/>
        <v>1.3322055335968381</v>
      </c>
    </row>
    <row r="86" spans="1:21" x14ac:dyDescent="0.25">
      <c r="B86" s="9"/>
      <c r="C86" s="17">
        <v>978.19</v>
      </c>
      <c r="D86" s="18">
        <v>51.557000000000002</v>
      </c>
      <c r="E86" s="18">
        <v>52.43</v>
      </c>
      <c r="F86" s="18">
        <v>52.97</v>
      </c>
      <c r="G86" s="18">
        <v>14.1</v>
      </c>
      <c r="H86" s="18">
        <f t="shared" si="4"/>
        <v>51.842749999999995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1.6595177304964539</v>
      </c>
    </row>
    <row r="87" spans="1:21" x14ac:dyDescent="0.25">
      <c r="B87" s="9"/>
      <c r="C87" s="17">
        <v>584.46</v>
      </c>
      <c r="D87" s="18">
        <v>48.368000000000002</v>
      </c>
      <c r="E87" s="18">
        <v>49.509</v>
      </c>
      <c r="F87" s="18">
        <v>50.131</v>
      </c>
      <c r="G87" s="18">
        <v>15.79</v>
      </c>
      <c r="H87" s="18">
        <f t="shared" si="4"/>
        <v>48.731000000000009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1.7944331855604814</v>
      </c>
    </row>
    <row r="88" spans="1:21" ht="16.5" thickBot="1" x14ac:dyDescent="0.3">
      <c r="B88" s="12"/>
      <c r="C88" s="19">
        <v>292.18</v>
      </c>
      <c r="D88" s="20">
        <v>44.167000000000002</v>
      </c>
      <c r="E88" s="20">
        <v>45.609000000000002</v>
      </c>
      <c r="F88" s="20">
        <v>46.27</v>
      </c>
      <c r="G88" s="20">
        <v>18.100000000000001</v>
      </c>
      <c r="H88" s="20">
        <f t="shared" si="4"/>
        <v>44.610124999999996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2.2260939226519332</v>
      </c>
    </row>
    <row r="89" spans="1:21" x14ac:dyDescent="0.25">
      <c r="B89" s="6" t="s">
        <v>105</v>
      </c>
      <c r="C89" s="15">
        <v>1543.03</v>
      </c>
      <c r="D89" s="16">
        <v>43.911999999999999</v>
      </c>
      <c r="E89" s="16">
        <v>45.857999999999997</v>
      </c>
      <c r="F89" s="16">
        <v>46.366</v>
      </c>
      <c r="G89" s="16">
        <v>5.66</v>
      </c>
      <c r="H89" s="16">
        <f t="shared" si="4"/>
        <v>44.461999999999996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-0.12251676043358162</v>
      </c>
      <c r="R89" s="8">
        <f>bdrate(C89:C92,E89:E92,J89:J92,L89:L92)</f>
        <v>-0.21719062224628771</v>
      </c>
      <c r="S89" s="8">
        <f>bdrate(C89:C92,F89:F92,J89:J92,M89:M92)</f>
        <v>-0.19023522273231874</v>
      </c>
      <c r="T89" s="25">
        <f>bdrate(C89:C92,H89:H92,J89:J92,O89:O92)</f>
        <v>-0.14060753313623342</v>
      </c>
      <c r="U89" s="28">
        <f t="shared" si="3"/>
        <v>1.6675971731448762</v>
      </c>
    </row>
    <row r="90" spans="1:21" x14ac:dyDescent="0.25">
      <c r="B90" s="9"/>
      <c r="C90" s="17">
        <v>1029.44</v>
      </c>
      <c r="D90" s="18">
        <v>41.923000000000002</v>
      </c>
      <c r="E90" s="18">
        <v>44.12</v>
      </c>
      <c r="F90" s="18">
        <v>44.627000000000002</v>
      </c>
      <c r="G90" s="18">
        <v>6.19</v>
      </c>
      <c r="H90" s="18">
        <f t="shared" si="4"/>
        <v>42.535625000000003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1.958319870759289</v>
      </c>
    </row>
    <row r="91" spans="1:21" x14ac:dyDescent="0.25">
      <c r="B91" s="9"/>
      <c r="C91" s="17">
        <v>618.48</v>
      </c>
      <c r="D91" s="18">
        <v>39.284999999999997</v>
      </c>
      <c r="E91" s="18">
        <v>41.976999999999997</v>
      </c>
      <c r="F91" s="18">
        <v>42.508000000000003</v>
      </c>
      <c r="G91" s="18">
        <v>7.15</v>
      </c>
      <c r="H91" s="18">
        <f t="shared" si="4"/>
        <v>40.024374999999992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2.186125874125874</v>
      </c>
    </row>
    <row r="92" spans="1:21" ht="16.5" thickBot="1" x14ac:dyDescent="0.3">
      <c r="B92" s="12"/>
      <c r="C92" s="19">
        <v>310.27999999999997</v>
      </c>
      <c r="D92" s="20">
        <v>35.682000000000002</v>
      </c>
      <c r="E92" s="20">
        <v>39.200000000000003</v>
      </c>
      <c r="F92" s="20">
        <v>39.764000000000003</v>
      </c>
      <c r="G92" s="20">
        <v>8.34</v>
      </c>
      <c r="H92" s="20">
        <f t="shared" ref="H92:H124" si="6">(6*D92+E92+F92)/8</f>
        <v>36.632000000000005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2.662002398081535</v>
      </c>
    </row>
    <row r="93" spans="1:21" x14ac:dyDescent="0.25">
      <c r="B93" s="6" t="s">
        <v>106</v>
      </c>
      <c r="C93" s="29">
        <v>1374.06</v>
      </c>
      <c r="D93" s="30">
        <v>39.72</v>
      </c>
      <c r="E93" s="30">
        <v>43.777000000000001</v>
      </c>
      <c r="F93" s="30">
        <v>43.779000000000003</v>
      </c>
      <c r="G93" s="16">
        <v>4.57</v>
      </c>
      <c r="H93" s="16">
        <f t="shared" si="6"/>
        <v>40.734499999999997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2.4693134978942322E-2</v>
      </c>
      <c r="R93" s="8">
        <f>bdrate(C93:C96,E93:E96,J93:J96,L93:L96)</f>
        <v>-0.15707744432932924</v>
      </c>
      <c r="S93" s="8">
        <f>bdrate(C93:C96,F93:F96,J93:J96,M93:M96)</f>
        <v>-0.14902910836559624</v>
      </c>
      <c r="T93" s="25">
        <f>bdrate(C93:C96,H93:H96,J93:J96,O93:O96)</f>
        <v>-1.4612067249510696E-2</v>
      </c>
      <c r="U93" s="28">
        <f t="shared" si="8"/>
        <v>1.9185339168490152</v>
      </c>
    </row>
    <row r="94" spans="1:21" x14ac:dyDescent="0.25">
      <c r="B94" s="9"/>
      <c r="C94" s="31">
        <v>914.64</v>
      </c>
      <c r="D94" s="32">
        <v>37.909999999999997</v>
      </c>
      <c r="E94" s="32">
        <v>42.295000000000002</v>
      </c>
      <c r="F94" s="32">
        <v>42.290999999999997</v>
      </c>
      <c r="G94" s="18">
        <v>5.15</v>
      </c>
      <c r="H94" s="18">
        <f t="shared" si="6"/>
        <v>39.005749999999999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2.0924466019417474</v>
      </c>
    </row>
    <row r="95" spans="1:21" x14ac:dyDescent="0.25">
      <c r="B95" s="9"/>
      <c r="C95" s="31">
        <v>546.97</v>
      </c>
      <c r="D95" s="32">
        <v>35.633000000000003</v>
      </c>
      <c r="E95" s="32">
        <v>40.542000000000002</v>
      </c>
      <c r="F95" s="32">
        <v>40.530999999999999</v>
      </c>
      <c r="G95" s="18">
        <v>5.82</v>
      </c>
      <c r="H95" s="18">
        <f t="shared" si="6"/>
        <v>36.858874999999998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2.4093470790378007</v>
      </c>
    </row>
    <row r="96" spans="1:21" ht="16.5" thickBot="1" x14ac:dyDescent="0.3">
      <c r="B96" s="12"/>
      <c r="C96" s="33">
        <v>272.05</v>
      </c>
      <c r="D96" s="34">
        <v>32.621000000000002</v>
      </c>
      <c r="E96" s="34">
        <v>38.292999999999999</v>
      </c>
      <c r="F96" s="34">
        <v>38.232999999999997</v>
      </c>
      <c r="G96" s="20">
        <v>7.16</v>
      </c>
      <c r="H96" s="20">
        <f t="shared" si="6"/>
        <v>34.031500000000001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2.7364664804469272</v>
      </c>
    </row>
    <row r="97" spans="2:21" x14ac:dyDescent="0.25">
      <c r="B97" s="6" t="s">
        <v>107</v>
      </c>
      <c r="C97" s="15">
        <v>1521.25</v>
      </c>
      <c r="D97" s="16">
        <v>38.036999999999999</v>
      </c>
      <c r="E97" s="16">
        <v>41.83</v>
      </c>
      <c r="F97" s="16">
        <v>42.287999999999997</v>
      </c>
      <c r="G97" s="16">
        <v>5.96</v>
      </c>
      <c r="H97" s="16">
        <f t="shared" si="6"/>
        <v>39.042499999999997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-7.9991321593973264E-2</v>
      </c>
      <c r="R97" s="8">
        <f>bdrate(C97:C100,E97:E100,J97:J100,L97:L100)</f>
        <v>-0.32093284188339011</v>
      </c>
      <c r="S97" s="8">
        <f>bdrate(C97:C100,F97:F100,J97:J100,M97:M100)</f>
        <v>-0.33274087466708946</v>
      </c>
      <c r="T97" s="25">
        <f>bdrate(C97:C100,H97:H100,J97:J100,O97:O100)</f>
        <v>-0.13695205617649786</v>
      </c>
      <c r="U97" s="28">
        <f t="shared" si="8"/>
        <v>1.441023489932886</v>
      </c>
    </row>
    <row r="98" spans="2:21" x14ac:dyDescent="0.25">
      <c r="B98" s="9"/>
      <c r="C98" s="17">
        <v>1015.12</v>
      </c>
      <c r="D98" s="18">
        <v>36.152999999999999</v>
      </c>
      <c r="E98" s="18">
        <v>40.180999999999997</v>
      </c>
      <c r="F98" s="18">
        <v>40.715000000000003</v>
      </c>
      <c r="G98" s="18">
        <v>6.62</v>
      </c>
      <c r="H98" s="18">
        <f t="shared" si="6"/>
        <v>37.226749999999996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1.6229758308157098</v>
      </c>
    </row>
    <row r="99" spans="2:21" x14ac:dyDescent="0.25">
      <c r="B99" s="9"/>
      <c r="C99" s="17">
        <v>609.1</v>
      </c>
      <c r="D99" s="18">
        <v>33.851999999999997</v>
      </c>
      <c r="E99" s="18">
        <v>38.244</v>
      </c>
      <c r="F99" s="18">
        <v>38.893999999999998</v>
      </c>
      <c r="G99" s="18">
        <v>7.46</v>
      </c>
      <c r="H99" s="18">
        <f t="shared" si="6"/>
        <v>35.031249999999993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1.8711930294906165</v>
      </c>
    </row>
    <row r="100" spans="2:21" ht="16.5" thickBot="1" x14ac:dyDescent="0.3">
      <c r="B100" s="12"/>
      <c r="C100" s="19">
        <v>304.3</v>
      </c>
      <c r="D100" s="20">
        <v>30.702999999999999</v>
      </c>
      <c r="E100" s="20">
        <v>35.804000000000002</v>
      </c>
      <c r="F100" s="20">
        <v>36.631</v>
      </c>
      <c r="G100" s="20">
        <v>8.7100000000000009</v>
      </c>
      <c r="H100" s="20">
        <f t="shared" si="6"/>
        <v>32.081625000000003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2.3044316877152697</v>
      </c>
    </row>
    <row r="101" spans="2:21" x14ac:dyDescent="0.25">
      <c r="B101" s="6" t="s">
        <v>108</v>
      </c>
      <c r="C101" s="15">
        <v>1487.65</v>
      </c>
      <c r="D101" s="16">
        <v>38.195999999999998</v>
      </c>
      <c r="E101" s="16">
        <v>43.402999999999999</v>
      </c>
      <c r="F101" s="16">
        <v>45.113</v>
      </c>
      <c r="G101" s="16">
        <v>4.0199999999999996</v>
      </c>
      <c r="H101" s="16">
        <f t="shared" si="6"/>
        <v>39.711500000000001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3.1410961009140426E-2</v>
      </c>
      <c r="R101" s="8">
        <f>bdrate(C101:C104,E101:E104,J101:J104,L101:L104)</f>
        <v>-0.2263655313430839</v>
      </c>
      <c r="S101" s="8">
        <f>bdrate(C101:C104,F101:F104,J101:J104,M101:M104)</f>
        <v>-0.14747160526635816</v>
      </c>
      <c r="T101" s="25">
        <f>bdrate(C101:C104,H101:H104,J101:J104,O101:O104)</f>
        <v>-1.9795304634838029E-2</v>
      </c>
      <c r="U101" s="28">
        <f t="shared" si="8"/>
        <v>2.4320895522388066</v>
      </c>
    </row>
    <row r="102" spans="2:21" x14ac:dyDescent="0.25">
      <c r="B102" s="9"/>
      <c r="C102" s="17">
        <v>992.59</v>
      </c>
      <c r="D102" s="18">
        <v>36.746000000000002</v>
      </c>
      <c r="E102" s="18">
        <v>42.262999999999998</v>
      </c>
      <c r="F102" s="18">
        <v>43.911000000000001</v>
      </c>
      <c r="G102" s="18">
        <v>4.82</v>
      </c>
      <c r="H102" s="18">
        <f t="shared" si="6"/>
        <v>38.331249999999997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2.5008298755186718</v>
      </c>
    </row>
    <row r="103" spans="2:21" x14ac:dyDescent="0.25">
      <c r="B103" s="9"/>
      <c r="C103" s="17">
        <v>595.65</v>
      </c>
      <c r="D103" s="18">
        <v>35.036999999999999</v>
      </c>
      <c r="E103" s="18">
        <v>40.939</v>
      </c>
      <c r="F103" s="18">
        <v>42.347000000000001</v>
      </c>
      <c r="G103" s="18">
        <v>5.67</v>
      </c>
      <c r="H103" s="18">
        <f t="shared" si="6"/>
        <v>36.688499999999998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2.7573721340388011</v>
      </c>
    </row>
    <row r="104" spans="2:21" ht="16.5" thickBot="1" x14ac:dyDescent="0.3">
      <c r="B104" s="12"/>
      <c r="C104" s="19">
        <v>302.35000000000002</v>
      </c>
      <c r="D104" s="20">
        <v>32.936</v>
      </c>
      <c r="E104" s="20">
        <v>39.264000000000003</v>
      </c>
      <c r="F104" s="20">
        <v>40.493000000000002</v>
      </c>
      <c r="G104" s="20">
        <v>7.17</v>
      </c>
      <c r="H104" s="20">
        <f t="shared" si="6"/>
        <v>34.671624999999999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3.0424128312412835</v>
      </c>
    </row>
    <row r="105" spans="2:21" x14ac:dyDescent="0.25">
      <c r="B105" s="6" t="s">
        <v>109</v>
      </c>
      <c r="C105" s="15">
        <v>1613.57</v>
      </c>
      <c r="D105" s="16">
        <v>49.680999999999997</v>
      </c>
      <c r="E105" s="16">
        <v>54.823999999999998</v>
      </c>
      <c r="F105" s="16">
        <v>56.122999999999998</v>
      </c>
      <c r="G105" s="16">
        <v>5.63</v>
      </c>
      <c r="H105" s="16">
        <f t="shared" si="6"/>
        <v>51.129125000000002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-0.12758352931568262</v>
      </c>
      <c r="R105" s="8">
        <f>bdrate(C105:C108,E105:E108,J105:J108,L105:L108)</f>
        <v>2.205497785576549E-2</v>
      </c>
      <c r="S105" s="8">
        <f>bdrate(C105:C108,F105:F108,J105:J108,M105:M108)</f>
        <v>1.6881721965005259E-2</v>
      </c>
      <c r="T105" s="25">
        <f>bdrate(C105:C108,H105:H108,J105:J108,O105:O108)</f>
        <v>-9.4833182388788129E-2</v>
      </c>
      <c r="U105" s="28">
        <f t="shared" si="8"/>
        <v>1.9468206039076377</v>
      </c>
    </row>
    <row r="106" spans="2:21" x14ac:dyDescent="0.25">
      <c r="B106" s="9"/>
      <c r="C106" s="17">
        <v>1069</v>
      </c>
      <c r="D106" s="18">
        <v>47.908999999999999</v>
      </c>
      <c r="E106" s="18">
        <v>53.241</v>
      </c>
      <c r="F106" s="18">
        <v>54.628999999999998</v>
      </c>
      <c r="G106" s="18">
        <v>6.62</v>
      </c>
      <c r="H106" s="18">
        <f t="shared" si="6"/>
        <v>49.415500000000002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2.0190332326283986</v>
      </c>
    </row>
    <row r="107" spans="2:21" x14ac:dyDescent="0.25">
      <c r="B107" s="9"/>
      <c r="C107" s="17">
        <v>638.70000000000005</v>
      </c>
      <c r="D107" s="18">
        <v>45.734000000000002</v>
      </c>
      <c r="E107" s="18">
        <v>51.238</v>
      </c>
      <c r="F107" s="18">
        <v>52.716999999999999</v>
      </c>
      <c r="G107" s="18">
        <v>8.0500000000000007</v>
      </c>
      <c r="H107" s="18">
        <f t="shared" si="6"/>
        <v>47.294874999999998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2.1149440993788815</v>
      </c>
    </row>
    <row r="108" spans="2:21" ht="16.5" thickBot="1" x14ac:dyDescent="0.3">
      <c r="B108" s="12"/>
      <c r="C108" s="19">
        <v>318.63</v>
      </c>
      <c r="D108" s="20">
        <v>42.822000000000003</v>
      </c>
      <c r="E108" s="20">
        <v>48.408999999999999</v>
      </c>
      <c r="F108" s="20">
        <v>49.838999999999999</v>
      </c>
      <c r="G108" s="20">
        <v>10.06</v>
      </c>
      <c r="H108" s="20">
        <f t="shared" si="6"/>
        <v>44.397500000000001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2.5034592445328028</v>
      </c>
    </row>
    <row r="109" spans="2:21" x14ac:dyDescent="0.25">
      <c r="B109" s="6" t="s">
        <v>110</v>
      </c>
      <c r="C109" s="15">
        <v>1466.95</v>
      </c>
      <c r="D109" s="16">
        <v>33.197000000000003</v>
      </c>
      <c r="E109" s="16">
        <v>40.213999999999999</v>
      </c>
      <c r="F109" s="16">
        <v>39.689</v>
      </c>
      <c r="G109" s="16">
        <v>3.75</v>
      </c>
      <c r="H109" s="16">
        <f t="shared" si="6"/>
        <v>34.885625000000005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-1.7228390808453065E-2</v>
      </c>
      <c r="R109" s="8">
        <f>bdrate(C109:C112,E109:E112,J109:J112,L109:L112)</f>
        <v>-0.40671191538897411</v>
      </c>
      <c r="S109" s="8">
        <f>bdrate(C109:C112,F109:F112,J109:J112,M109:M112)</f>
        <v>-0.40417674728206077</v>
      </c>
      <c r="T109" s="25">
        <f>bdrate(C109:C112,H109:H112,J109:J112,O109:O112)</f>
        <v>-0.10370161154793578</v>
      </c>
      <c r="U109" s="28">
        <f t="shared" si="8"/>
        <v>1.2694400000000001</v>
      </c>
    </row>
    <row r="110" spans="2:21" x14ac:dyDescent="0.25">
      <c r="B110" s="9"/>
      <c r="C110" s="17">
        <v>976.62</v>
      </c>
      <c r="D110" s="18">
        <v>31.419</v>
      </c>
      <c r="E110" s="18">
        <v>38.880000000000003</v>
      </c>
      <c r="F110" s="18">
        <v>38.298000000000002</v>
      </c>
      <c r="G110" s="18">
        <v>4.22</v>
      </c>
      <c r="H110" s="18">
        <f t="shared" si="6"/>
        <v>33.211500000000001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1.4226777251184834</v>
      </c>
    </row>
    <row r="111" spans="2:21" x14ac:dyDescent="0.25">
      <c r="B111" s="9"/>
      <c r="C111" s="17">
        <v>585.84</v>
      </c>
      <c r="D111" s="18">
        <v>29.131</v>
      </c>
      <c r="E111" s="18">
        <v>37.198</v>
      </c>
      <c r="F111" s="18">
        <v>36.518999999999998</v>
      </c>
      <c r="G111" s="18">
        <v>4.87</v>
      </c>
      <c r="H111" s="18">
        <f t="shared" si="6"/>
        <v>31.062875000000002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1.6511088295687886</v>
      </c>
    </row>
    <row r="112" spans="2:21" ht="16.5" thickBot="1" x14ac:dyDescent="0.3">
      <c r="B112" s="12"/>
      <c r="C112" s="19">
        <v>283.87</v>
      </c>
      <c r="D112" s="20">
        <v>25.628</v>
      </c>
      <c r="E112" s="20">
        <v>34.029000000000003</v>
      </c>
      <c r="F112" s="20">
        <v>33.662999999999997</v>
      </c>
      <c r="G112" s="20">
        <v>6.45</v>
      </c>
      <c r="H112" s="20">
        <f t="shared" si="6"/>
        <v>27.682499999999997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1.7752093023255813</v>
      </c>
    </row>
    <row r="113" spans="2:21" x14ac:dyDescent="0.25">
      <c r="B113" s="6" t="s">
        <v>111</v>
      </c>
      <c r="C113" s="15">
        <v>1665.89</v>
      </c>
      <c r="D113" s="16">
        <v>47.149000000000001</v>
      </c>
      <c r="E113" s="16">
        <v>47.933</v>
      </c>
      <c r="F113" s="16">
        <v>47.863999999999997</v>
      </c>
      <c r="G113" s="16">
        <v>6.21</v>
      </c>
      <c r="H113" s="16">
        <f t="shared" si="6"/>
        <v>47.336374999999997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-0.10957531557457678</v>
      </c>
      <c r="R113" s="8">
        <f>bdrate(C113:C116,E113:E116,J113:J116,L113:L116)</f>
        <v>-0.18350870963591626</v>
      </c>
      <c r="S113" s="8">
        <f>bdrate(C113:C116,F113:F116,J113:J116,M113:M116)</f>
        <v>-0.18479305460957685</v>
      </c>
      <c r="T113" s="25">
        <f>bdrate(C113:C116,H113:H116,J113:J116,O113:O116)</f>
        <v>-0.12743870614859443</v>
      </c>
      <c r="U113" s="28">
        <f t="shared" si="8"/>
        <v>1.2955716586151369</v>
      </c>
    </row>
    <row r="114" spans="2:21" x14ac:dyDescent="0.25">
      <c r="B114" s="9"/>
      <c r="C114" s="17">
        <v>1101.1300000000001</v>
      </c>
      <c r="D114" s="18">
        <v>45.183999999999997</v>
      </c>
      <c r="E114" s="18">
        <v>46.055</v>
      </c>
      <c r="F114" s="18">
        <v>45.954999999999998</v>
      </c>
      <c r="G114" s="18">
        <v>6.94</v>
      </c>
      <c r="H114" s="18">
        <f t="shared" si="6"/>
        <v>45.389249999999997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1.7462968299711814</v>
      </c>
    </row>
    <row r="115" spans="2:21" x14ac:dyDescent="0.25">
      <c r="B115" s="9"/>
      <c r="C115" s="17">
        <v>656.09</v>
      </c>
      <c r="D115" s="18">
        <v>42.436999999999998</v>
      </c>
      <c r="E115" s="18">
        <v>43.555999999999997</v>
      </c>
      <c r="F115" s="18">
        <v>43.39</v>
      </c>
      <c r="G115" s="18">
        <v>7.91</v>
      </c>
      <c r="H115" s="18">
        <f t="shared" si="6"/>
        <v>42.695999999999998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2.1376738305941845</v>
      </c>
    </row>
    <row r="116" spans="2:21" ht="16.5" thickBot="1" x14ac:dyDescent="0.3">
      <c r="B116" s="12"/>
      <c r="C116" s="19">
        <v>323.91000000000003</v>
      </c>
      <c r="D116" s="20">
        <v>38.222000000000001</v>
      </c>
      <c r="E116" s="20">
        <v>39.92</v>
      </c>
      <c r="F116" s="20">
        <v>39.661999999999999</v>
      </c>
      <c r="G116" s="20">
        <v>9.2799999999999994</v>
      </c>
      <c r="H116" s="20">
        <f t="shared" si="6"/>
        <v>38.614249999999998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2.5606357758620693</v>
      </c>
    </row>
    <row r="117" spans="2:21" x14ac:dyDescent="0.25">
      <c r="B117" s="6" t="s">
        <v>112</v>
      </c>
      <c r="C117" s="15">
        <v>1964.51</v>
      </c>
      <c r="D117" s="16">
        <v>46.966000000000001</v>
      </c>
      <c r="E117" s="16">
        <v>49.033999999999999</v>
      </c>
      <c r="F117" s="16">
        <v>49.249000000000002</v>
      </c>
      <c r="G117" s="16">
        <v>6.51</v>
      </c>
      <c r="H117" s="16">
        <f t="shared" si="6"/>
        <v>47.509875000000001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-0.33996848513253941</v>
      </c>
      <c r="R117" s="8">
        <f>bdrate(C117:C120,E117:E120,J117:J120,L117:L120)</f>
        <v>-0.41566291760269003</v>
      </c>
      <c r="S117" s="8">
        <f>bdrate(C117:C120,F117:F120,J117:J120,M117:M120)</f>
        <v>-0.41285016510717742</v>
      </c>
      <c r="T117" s="25">
        <f>bdrate(C117:C120,H117:H120,J117:J120,O117:O120)</f>
        <v>-0.35894678934102131</v>
      </c>
      <c r="U117" s="28">
        <f t="shared" si="8"/>
        <v>1.6842549923195085</v>
      </c>
    </row>
    <row r="118" spans="2:21" x14ac:dyDescent="0.25">
      <c r="B118" s="9"/>
      <c r="C118" s="17">
        <v>1277.82</v>
      </c>
      <c r="D118" s="18">
        <v>44.512999999999998</v>
      </c>
      <c r="E118" s="18">
        <v>46.524999999999999</v>
      </c>
      <c r="F118" s="18">
        <v>46.768999999999998</v>
      </c>
      <c r="G118" s="18">
        <v>7.75</v>
      </c>
      <c r="H118" s="18">
        <f t="shared" si="6"/>
        <v>45.046499999999995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1.7647741935483869</v>
      </c>
    </row>
    <row r="119" spans="2:21" x14ac:dyDescent="0.25">
      <c r="B119" s="9"/>
      <c r="C119" s="17">
        <v>748.73</v>
      </c>
      <c r="D119" s="18">
        <v>41.865000000000002</v>
      </c>
      <c r="E119" s="18">
        <v>43.902000000000001</v>
      </c>
      <c r="F119" s="18">
        <v>44.173999999999999</v>
      </c>
      <c r="G119" s="18">
        <v>8.93</v>
      </c>
      <c r="H119" s="18">
        <f t="shared" si="6"/>
        <v>42.408249999999995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1.5867861142217248</v>
      </c>
    </row>
    <row r="120" spans="2:21" ht="16.5" thickBot="1" x14ac:dyDescent="0.3">
      <c r="B120" s="12"/>
      <c r="C120" s="19">
        <v>359.72</v>
      </c>
      <c r="D120" s="20">
        <v>38.372</v>
      </c>
      <c r="E120" s="20">
        <v>40.572000000000003</v>
      </c>
      <c r="F120" s="20">
        <v>40.877000000000002</v>
      </c>
      <c r="G120" s="20">
        <v>10.58</v>
      </c>
      <c r="H120" s="20">
        <f t="shared" si="6"/>
        <v>38.960124999999998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2.5022495274102083</v>
      </c>
    </row>
    <row r="121" spans="2:21" x14ac:dyDescent="0.25">
      <c r="B121" s="6" t="s">
        <v>113</v>
      </c>
      <c r="C121" s="29">
        <v>1536.03</v>
      </c>
      <c r="D121" s="30">
        <v>33.606999999999999</v>
      </c>
      <c r="E121" s="30">
        <v>36.741</v>
      </c>
      <c r="F121" s="30">
        <v>35.613</v>
      </c>
      <c r="G121" s="16">
        <v>4.46</v>
      </c>
      <c r="H121" s="16">
        <f t="shared" si="6"/>
        <v>34.249499999999998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-1.147076074839215E-2</v>
      </c>
      <c r="R121" s="8">
        <f>bdrate(C121:C124,E121:E124,J121:J124,L121:L124)</f>
        <v>-0.38112045481469581</v>
      </c>
      <c r="S121" s="8">
        <f>bdrate(C121:C124,F121:F124,J121:J124,M121:M124)</f>
        <v>-0.3729399049990626</v>
      </c>
      <c r="T121" s="25">
        <f>bdrate(C121:C124,H121:H124,J121:J124,O121:O124)</f>
        <v>-9.213670236591498E-2</v>
      </c>
      <c r="U121" s="28">
        <f t="shared" si="8"/>
        <v>1.2866367713004483</v>
      </c>
    </row>
    <row r="122" spans="2:21" x14ac:dyDescent="0.25">
      <c r="B122" s="9"/>
      <c r="C122" s="31">
        <v>1020.49</v>
      </c>
      <c r="D122" s="32">
        <v>31.736000000000001</v>
      </c>
      <c r="E122" s="32">
        <v>35.344999999999999</v>
      </c>
      <c r="F122" s="32">
        <v>34.142000000000003</v>
      </c>
      <c r="G122" s="18">
        <v>5.01</v>
      </c>
      <c r="H122" s="18">
        <f t="shared" si="6"/>
        <v>32.487875000000003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1.540918163672655</v>
      </c>
    </row>
    <row r="123" spans="2:21" x14ac:dyDescent="0.25">
      <c r="B123" s="9"/>
      <c r="C123" s="31">
        <v>608.78</v>
      </c>
      <c r="D123" s="32">
        <v>29.498999999999999</v>
      </c>
      <c r="E123" s="32">
        <v>33.756999999999998</v>
      </c>
      <c r="F123" s="32">
        <v>32.47</v>
      </c>
      <c r="G123" s="18">
        <v>5.78</v>
      </c>
      <c r="H123" s="18">
        <f t="shared" si="6"/>
        <v>30.402625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1.7764532871972314</v>
      </c>
    </row>
    <row r="124" spans="2:21" ht="16.5" thickBot="1" x14ac:dyDescent="0.3">
      <c r="B124" s="12"/>
      <c r="C124" s="33">
        <v>296.58999999999997</v>
      </c>
      <c r="D124" s="34">
        <v>26.558</v>
      </c>
      <c r="E124" s="34">
        <v>31.497</v>
      </c>
      <c r="F124" s="34">
        <v>30.138999999999999</v>
      </c>
      <c r="G124" s="20">
        <v>7.05</v>
      </c>
      <c r="H124" s="20">
        <f t="shared" si="6"/>
        <v>27.623000000000005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2.1126950354609932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-6.7479293467051657E-2</v>
      </c>
      <c r="R125" s="21">
        <f>AVERAGE(R9:R124)</f>
        <v>-0.32373427532926563</v>
      </c>
      <c r="S125" s="21">
        <f>AVERAGE(S9:S124)</f>
        <v>-0.29560860734042388</v>
      </c>
      <c r="T125" s="21">
        <f>AVERAGE(T9:T124)</f>
        <v>-0.11814289922478236</v>
      </c>
      <c r="U125" s="21">
        <f>AVERAGE(U9:U124)</f>
        <v>2.0120562590089754</v>
      </c>
    </row>
    <row r="127" spans="2:21" s="35" customFormat="1" ht="15.75" customHeight="1" x14ac:dyDescent="0.25">
      <c r="B127" s="51" t="s">
        <v>29</v>
      </c>
      <c r="C127" s="56" t="s">
        <v>135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79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3609.54</v>
      </c>
      <c r="D131" s="16">
        <v>37.682000000000002</v>
      </c>
      <c r="E131" s="16">
        <v>38.94</v>
      </c>
      <c r="F131" s="16">
        <v>41.295999999999999</v>
      </c>
      <c r="G131" s="16">
        <v>3.8</v>
      </c>
      <c r="H131" s="16">
        <f t="shared" ref="H131:H202" si="9">(6*D131+E131+F131)/8</f>
        <v>38.291000000000004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-7.5763632682329551E-2</v>
      </c>
      <c r="R131" s="8">
        <f>bdrate(C131:C134,E131:E134,J131:J134,L131:L134)</f>
        <v>-0.45065162009267323</v>
      </c>
      <c r="S131" s="8">
        <f>bdrate(C131:C134,F131:F134,J131:J134,M131:M134)</f>
        <v>-0.42656184112693507</v>
      </c>
      <c r="T131" s="25">
        <f>bdrate(C131:C134,H131:H134,J131:J134,O131:O134)</f>
        <v>-0.13884552046465859</v>
      </c>
      <c r="U131" s="28">
        <f t="shared" ref="U131:U194" si="11">(N131-G131)/G131</f>
        <v>2.2273421052631579</v>
      </c>
    </row>
    <row r="132" spans="1:21" x14ac:dyDescent="0.25">
      <c r="A132" s="9" t="s">
        <v>36</v>
      </c>
      <c r="B132" s="9"/>
      <c r="C132" s="17">
        <v>2695.02</v>
      </c>
      <c r="D132" s="18">
        <v>36.823999999999998</v>
      </c>
      <c r="E132" s="18">
        <v>38.365000000000002</v>
      </c>
      <c r="F132" s="18">
        <v>40.701000000000001</v>
      </c>
      <c r="G132" s="18">
        <v>4.18</v>
      </c>
      <c r="H132" s="18">
        <f t="shared" si="9"/>
        <v>37.501249999999999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2.5996650717703349</v>
      </c>
    </row>
    <row r="133" spans="1:21" x14ac:dyDescent="0.25">
      <c r="B133" s="9"/>
      <c r="C133" s="17">
        <v>1774.29</v>
      </c>
      <c r="D133" s="18">
        <v>35.563000000000002</v>
      </c>
      <c r="E133" s="18">
        <v>37.680999999999997</v>
      </c>
      <c r="F133" s="18">
        <v>40.012</v>
      </c>
      <c r="G133" s="18">
        <v>4.62</v>
      </c>
      <c r="H133" s="18">
        <f t="shared" si="9"/>
        <v>36.383875000000003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2.9488528138528136</v>
      </c>
    </row>
    <row r="134" spans="1:21" ht="16.5" thickBot="1" x14ac:dyDescent="0.3">
      <c r="B134" s="12"/>
      <c r="C134" s="19">
        <v>852.77</v>
      </c>
      <c r="D134" s="20">
        <v>33.122</v>
      </c>
      <c r="E134" s="20">
        <v>36.905999999999999</v>
      </c>
      <c r="F134" s="20">
        <v>39.17</v>
      </c>
      <c r="G134" s="20">
        <v>5.34</v>
      </c>
      <c r="H134" s="20">
        <f t="shared" si="9"/>
        <v>34.350999999999999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3.7377153558052432</v>
      </c>
    </row>
    <row r="135" spans="1:21" x14ac:dyDescent="0.25">
      <c r="B135" s="6" t="s">
        <v>47</v>
      </c>
      <c r="C135" s="15">
        <v>4015.77</v>
      </c>
      <c r="D135" s="16">
        <v>30.233000000000001</v>
      </c>
      <c r="E135" s="16">
        <v>38.325000000000003</v>
      </c>
      <c r="F135" s="16">
        <v>39.582000000000001</v>
      </c>
      <c r="G135" s="16">
        <v>2.58</v>
      </c>
      <c r="H135" s="16">
        <f t="shared" si="9"/>
        <v>32.413125000000001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7.1599451888622268E-2</v>
      </c>
      <c r="R135" s="8">
        <f>bdrate(C135:C138,E135:E138,J135:J138,L135:L138)</f>
        <v>-0.61901436967866919</v>
      </c>
      <c r="S135" s="8">
        <f>bdrate(C135:C138,F135:F138,J135:J138,M135:M138)</f>
        <v>-0.60104116992196788</v>
      </c>
      <c r="T135" s="25">
        <f>bdrate(C135:C138,H135:H138,J135:J138,O135:O138)</f>
        <v>-6.0986580836596471E-2</v>
      </c>
      <c r="U135" s="28">
        <f t="shared" si="11"/>
        <v>2.1445348837209299</v>
      </c>
    </row>
    <row r="136" spans="1:21" x14ac:dyDescent="0.25">
      <c r="B136" s="9"/>
      <c r="C136" s="17">
        <v>3001.8</v>
      </c>
      <c r="D136" s="18">
        <v>28.832999999999998</v>
      </c>
      <c r="E136" s="18">
        <v>37.761000000000003</v>
      </c>
      <c r="F136" s="18">
        <v>39.094999999999999</v>
      </c>
      <c r="G136" s="18">
        <v>2.87</v>
      </c>
      <c r="H136" s="18">
        <f t="shared" si="9"/>
        <v>31.231749999999998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2.4213588850174217</v>
      </c>
    </row>
    <row r="137" spans="1:21" x14ac:dyDescent="0.25">
      <c r="B137" s="9"/>
      <c r="C137" s="17">
        <v>1998.44</v>
      </c>
      <c r="D137" s="18">
        <v>26.916</v>
      </c>
      <c r="E137" s="18">
        <v>36.845999999999997</v>
      </c>
      <c r="F137" s="18">
        <v>38.298000000000002</v>
      </c>
      <c r="G137" s="18">
        <v>3.29</v>
      </c>
      <c r="H137" s="18">
        <f t="shared" si="9"/>
        <v>29.580000000000002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2.6526747720364741</v>
      </c>
    </row>
    <row r="138" spans="1:21" ht="16.5" thickBot="1" x14ac:dyDescent="0.3">
      <c r="B138" s="12"/>
      <c r="C138" s="19">
        <v>1525.82</v>
      </c>
      <c r="D138" s="20">
        <v>24.800999999999998</v>
      </c>
      <c r="E138" s="20">
        <v>35.268000000000001</v>
      </c>
      <c r="F138" s="20">
        <v>36.960999999999999</v>
      </c>
      <c r="G138" s="20">
        <v>4.76</v>
      </c>
      <c r="H138" s="20">
        <f t="shared" si="9"/>
        <v>27.629374999999996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1.8556932773109245</v>
      </c>
    </row>
    <row r="139" spans="1:21" x14ac:dyDescent="0.25">
      <c r="A139" s="6" t="s">
        <v>37</v>
      </c>
      <c r="B139" s="6" t="s">
        <v>48</v>
      </c>
      <c r="C139" s="15">
        <v>1990.91</v>
      </c>
      <c r="D139" s="16">
        <v>39.293999999999997</v>
      </c>
      <c r="E139" s="16">
        <v>41.543999999999997</v>
      </c>
      <c r="F139" s="16">
        <v>42.8</v>
      </c>
      <c r="G139" s="16">
        <v>4.4400000000000004</v>
      </c>
      <c r="H139" s="16">
        <f t="shared" si="9"/>
        <v>40.013500000000001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0.11759197114319142</v>
      </c>
      <c r="R139" s="8">
        <f>bdrate(C139:C142,E139:E142,J139:J142,L139:L142)</f>
        <v>-0.31674223674943858</v>
      </c>
      <c r="S139" s="8">
        <f>bdrate(C139:C142,F139:F142,J139:J142,M139:M142)</f>
        <v>-0.33200506052304446</v>
      </c>
      <c r="T139" s="25">
        <f>bdrate(C139:C142,H139:H142,J139:J142,O139:O142)</f>
        <v>3.2888625009394934E-2</v>
      </c>
      <c r="U139" s="28">
        <f t="shared" si="11"/>
        <v>3.6255405405405403</v>
      </c>
    </row>
    <row r="140" spans="1:21" x14ac:dyDescent="0.25">
      <c r="A140" s="9" t="s">
        <v>38</v>
      </c>
      <c r="B140" s="9"/>
      <c r="C140" s="17">
        <v>1306.1300000000001</v>
      </c>
      <c r="D140" s="18">
        <v>37.963000000000001</v>
      </c>
      <c r="E140" s="18">
        <v>40.658000000000001</v>
      </c>
      <c r="F140" s="18">
        <v>41.865000000000002</v>
      </c>
      <c r="G140" s="18">
        <v>5.12</v>
      </c>
      <c r="H140" s="18">
        <f t="shared" si="9"/>
        <v>38.787625000000006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4.0322070312499996</v>
      </c>
    </row>
    <row r="141" spans="1:21" x14ac:dyDescent="0.25">
      <c r="B141" s="9"/>
      <c r="C141" s="17">
        <v>807.7</v>
      </c>
      <c r="D141" s="18">
        <v>36.328000000000003</v>
      </c>
      <c r="E141" s="18">
        <v>39.689</v>
      </c>
      <c r="F141" s="18">
        <v>40.981000000000002</v>
      </c>
      <c r="G141" s="18">
        <v>6.01</v>
      </c>
      <c r="H141" s="18">
        <f t="shared" si="9"/>
        <v>37.329750000000004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4.2098502495840266</v>
      </c>
    </row>
    <row r="142" spans="1:21" ht="16.5" thickBot="1" x14ac:dyDescent="0.3">
      <c r="B142" s="12"/>
      <c r="C142" s="19">
        <v>479.89</v>
      </c>
      <c r="D142" s="20">
        <v>34.432000000000002</v>
      </c>
      <c r="E142" s="20">
        <v>38.673999999999999</v>
      </c>
      <c r="F142" s="20">
        <v>40.222999999999999</v>
      </c>
      <c r="G142" s="20">
        <v>7.06</v>
      </c>
      <c r="H142" s="20">
        <f t="shared" si="9"/>
        <v>35.686125000000004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4.5856657223796038</v>
      </c>
    </row>
    <row r="143" spans="1:21" x14ac:dyDescent="0.25">
      <c r="B143" s="6" t="s">
        <v>49</v>
      </c>
      <c r="C143" s="15">
        <v>2231.38</v>
      </c>
      <c r="D143" s="16">
        <v>36.225999999999999</v>
      </c>
      <c r="E143" s="16">
        <v>39.362000000000002</v>
      </c>
      <c r="F143" s="16">
        <v>40.402999999999999</v>
      </c>
      <c r="G143" s="16">
        <v>6</v>
      </c>
      <c r="H143" s="16">
        <f t="shared" si="9"/>
        <v>37.140125000000005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-4.0226140135292132E-3</v>
      </c>
      <c r="R143" s="8">
        <f>bdrate(C143:C146,E143:E146,J143:J146,L143:L146)</f>
        <v>-0.38988515081569308</v>
      </c>
      <c r="S143" s="8">
        <f>bdrate(C143:C146,F143:F146,J143:J146,M143:M146)</f>
        <v>-0.43362049128448732</v>
      </c>
      <c r="T143" s="25">
        <f>bdrate(C143:C146,H143:H146,J143:J146,O143:O146)</f>
        <v>-8.6444075693633216E-2</v>
      </c>
      <c r="U143" s="28">
        <f t="shared" si="11"/>
        <v>2.2082166666666669</v>
      </c>
    </row>
    <row r="144" spans="1:21" x14ac:dyDescent="0.25">
      <c r="B144" s="9"/>
      <c r="C144" s="17">
        <v>1482.96</v>
      </c>
      <c r="D144" s="18">
        <v>34.93</v>
      </c>
      <c r="E144" s="18">
        <v>38.417000000000002</v>
      </c>
      <c r="F144" s="18">
        <v>39.601999999999997</v>
      </c>
      <c r="G144" s="18">
        <v>6.73</v>
      </c>
      <c r="H144" s="18">
        <f t="shared" si="9"/>
        <v>35.949874999999999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2.63778603268945</v>
      </c>
    </row>
    <row r="145" spans="1:21" x14ac:dyDescent="0.25">
      <c r="B145" s="9"/>
      <c r="C145" s="17">
        <v>921.17</v>
      </c>
      <c r="D145" s="18">
        <v>33.466000000000001</v>
      </c>
      <c r="E145" s="18">
        <v>37.44</v>
      </c>
      <c r="F145" s="18">
        <v>38.908000000000001</v>
      </c>
      <c r="G145" s="18">
        <v>7.44</v>
      </c>
      <c r="H145" s="18">
        <f t="shared" si="9"/>
        <v>34.643000000000001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3.0596639784946236</v>
      </c>
    </row>
    <row r="146" spans="1:21" ht="16.5" thickBot="1" x14ac:dyDescent="0.3">
      <c r="B146" s="12"/>
      <c r="C146" s="19">
        <v>546.79999999999995</v>
      </c>
      <c r="D146" s="20">
        <v>31.9</v>
      </c>
      <c r="E146" s="20">
        <v>36.564</v>
      </c>
      <c r="F146" s="20">
        <v>38.332999999999998</v>
      </c>
      <c r="G146" s="20">
        <v>8.24</v>
      </c>
      <c r="H146" s="20">
        <f t="shared" si="9"/>
        <v>33.287124999999996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3.5774393203883492</v>
      </c>
    </row>
    <row r="147" spans="1:21" x14ac:dyDescent="0.25">
      <c r="B147" s="6" t="s">
        <v>50</v>
      </c>
      <c r="C147" s="15">
        <v>2353.62</v>
      </c>
      <c r="D147" s="16">
        <v>34.347999999999999</v>
      </c>
      <c r="E147" s="16">
        <v>37.701999999999998</v>
      </c>
      <c r="F147" s="16">
        <v>39.387999999999998</v>
      </c>
      <c r="G147" s="16">
        <v>6.87</v>
      </c>
      <c r="H147" s="16">
        <f t="shared" si="9"/>
        <v>35.39725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-0.10542094599210983</v>
      </c>
      <c r="R147" s="8">
        <f>bdrate(C147:C150,E147:E150,J147:J150,L147:L150)</f>
        <v>-0.53201261388604482</v>
      </c>
      <c r="S147" s="8">
        <f>bdrate(C147:C150,F147:F150,J147:J150,M147:M150)</f>
        <v>-0.50239228671413927</v>
      </c>
      <c r="T147" s="25">
        <f>bdrate(C147:C150,H147:H150,J147:J150,O147:O150)</f>
        <v>-0.18433085366189317</v>
      </c>
      <c r="U147" s="28">
        <f t="shared" si="11"/>
        <v>3.0559679767103347</v>
      </c>
    </row>
    <row r="148" spans="1:21" x14ac:dyDescent="0.25">
      <c r="B148" s="9"/>
      <c r="C148" s="17">
        <v>1567.24</v>
      </c>
      <c r="D148" s="18">
        <v>33.225999999999999</v>
      </c>
      <c r="E148" s="18">
        <v>37.195</v>
      </c>
      <c r="F148" s="18">
        <v>38.573999999999998</v>
      </c>
      <c r="G148" s="18">
        <v>7.64</v>
      </c>
      <c r="H148" s="18">
        <f t="shared" si="9"/>
        <v>34.390625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3.5081675392670157</v>
      </c>
    </row>
    <row r="149" spans="1:21" x14ac:dyDescent="0.25">
      <c r="B149" s="9"/>
      <c r="C149" s="17">
        <v>966.01</v>
      </c>
      <c r="D149" s="18">
        <v>31.8</v>
      </c>
      <c r="E149" s="18">
        <v>36.57</v>
      </c>
      <c r="F149" s="18">
        <v>37.588000000000001</v>
      </c>
      <c r="G149" s="18">
        <v>8.66</v>
      </c>
      <c r="H149" s="18">
        <f t="shared" si="9"/>
        <v>33.119750000000003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3.7977944572748275</v>
      </c>
    </row>
    <row r="150" spans="1:21" ht="16.5" thickBot="1" x14ac:dyDescent="0.3">
      <c r="B150" s="12"/>
      <c r="C150" s="19">
        <v>568.75</v>
      </c>
      <c r="D150" s="20">
        <v>30.042000000000002</v>
      </c>
      <c r="E150" s="20">
        <v>35.673999999999999</v>
      </c>
      <c r="F150" s="20">
        <v>36.195999999999998</v>
      </c>
      <c r="G150" s="20">
        <v>9.86</v>
      </c>
      <c r="H150" s="20">
        <f t="shared" si="9"/>
        <v>31.515250000000002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4.1750101419878298</v>
      </c>
    </row>
    <row r="151" spans="1:21" x14ac:dyDescent="0.25">
      <c r="B151" s="6" t="s">
        <v>51</v>
      </c>
      <c r="C151" s="29">
        <v>2402.7399999999998</v>
      </c>
      <c r="D151" s="30">
        <v>34.590000000000003</v>
      </c>
      <c r="E151" s="30">
        <v>39.899000000000001</v>
      </c>
      <c r="F151" s="30">
        <v>39.497</v>
      </c>
      <c r="G151" s="16">
        <v>5.69</v>
      </c>
      <c r="H151" s="16">
        <f t="shared" si="9"/>
        <v>35.867000000000004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6.4360487339178984E-3</v>
      </c>
      <c r="R151" s="8">
        <f>bdrate(C151:C154,E151:E154,J151:J154,L151:L154)</f>
        <v>-0.4454646395994506</v>
      </c>
      <c r="S151" s="8">
        <f>bdrate(C151:C154,F151:F154,J151:J154,M151:M154)</f>
        <v>-0.39107280799051991</v>
      </c>
      <c r="T151" s="25">
        <f>bdrate(C151:C154,H151:H154,J151:J154,O151:O154)</f>
        <v>-8.6816872232945874E-2</v>
      </c>
      <c r="U151" s="28">
        <f t="shared" si="11"/>
        <v>2.7803163444639716</v>
      </c>
    </row>
    <row r="152" spans="1:21" x14ac:dyDescent="0.25">
      <c r="B152" s="9"/>
      <c r="C152" s="31">
        <v>1594.62</v>
      </c>
      <c r="D152" s="32">
        <v>33.247</v>
      </c>
      <c r="E152" s="32">
        <v>39.057000000000002</v>
      </c>
      <c r="F152" s="32">
        <v>38.323</v>
      </c>
      <c r="G152" s="18">
        <v>6.23</v>
      </c>
      <c r="H152" s="18">
        <f t="shared" si="9"/>
        <v>34.607749999999996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3.3070144462279289</v>
      </c>
    </row>
    <row r="153" spans="1:21" x14ac:dyDescent="0.25">
      <c r="B153" s="9"/>
      <c r="C153" s="31">
        <v>993.06</v>
      </c>
      <c r="D153" s="32">
        <v>31.576000000000001</v>
      </c>
      <c r="E153" s="32">
        <v>38.1</v>
      </c>
      <c r="F153" s="32">
        <v>36.927999999999997</v>
      </c>
      <c r="G153" s="18">
        <v>7.07</v>
      </c>
      <c r="H153" s="18">
        <f t="shared" si="9"/>
        <v>33.060500000000005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3.9030268741159828</v>
      </c>
    </row>
    <row r="154" spans="1:21" ht="16.5" thickBot="1" x14ac:dyDescent="0.3">
      <c r="B154" s="12"/>
      <c r="C154" s="33">
        <v>589.55999999999995</v>
      </c>
      <c r="D154" s="34">
        <v>29.687000000000001</v>
      </c>
      <c r="E154" s="34">
        <v>36.654000000000003</v>
      </c>
      <c r="F154" s="34">
        <v>35.165999999999997</v>
      </c>
      <c r="G154" s="20">
        <v>7.99</v>
      </c>
      <c r="H154" s="20">
        <f t="shared" si="9"/>
        <v>31.242750000000001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4.5788735919899874</v>
      </c>
    </row>
    <row r="155" spans="1:21" x14ac:dyDescent="0.25">
      <c r="B155" s="6" t="s">
        <v>52</v>
      </c>
      <c r="C155" s="15">
        <v>2348.2600000000002</v>
      </c>
      <c r="D155" s="16">
        <v>33.735999999999997</v>
      </c>
      <c r="E155" s="16">
        <v>39.28</v>
      </c>
      <c r="F155" s="16">
        <v>41.905000000000001</v>
      </c>
      <c r="G155" s="16">
        <v>8.4700000000000006</v>
      </c>
      <c r="H155" s="16">
        <f t="shared" si="9"/>
        <v>35.450125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-0.11219507271600371</v>
      </c>
      <c r="R155" s="8">
        <f>bdrate(C155:C158,E155:E158,J155:J158,L155:L158)</f>
        <v>-0.41372718857249569</v>
      </c>
      <c r="S155" s="8">
        <f>bdrate(C155:C158,F155:F158,J155:J158,M155:M158)</f>
        <v>-0.3461126060240215</v>
      </c>
      <c r="T155" s="25">
        <f>bdrate(C155:C158,H155:H158,J155:J158,O155:O158)</f>
        <v>-0.16039139576146078</v>
      </c>
      <c r="U155" s="28">
        <f t="shared" si="11"/>
        <v>2.9725383707201884</v>
      </c>
    </row>
    <row r="156" spans="1:21" x14ac:dyDescent="0.25">
      <c r="B156" s="9"/>
      <c r="C156" s="17">
        <v>1545.53</v>
      </c>
      <c r="D156" s="18">
        <v>33.052</v>
      </c>
      <c r="E156" s="18">
        <v>38.859000000000002</v>
      </c>
      <c r="F156" s="18">
        <v>41.545000000000002</v>
      </c>
      <c r="G156" s="18">
        <v>9.24</v>
      </c>
      <c r="H156" s="18">
        <f t="shared" si="9"/>
        <v>34.839500000000001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3.557489177489177</v>
      </c>
    </row>
    <row r="157" spans="1:21" x14ac:dyDescent="0.25">
      <c r="B157" s="9"/>
      <c r="C157" s="17">
        <v>930.03</v>
      </c>
      <c r="D157" s="18">
        <v>31.952000000000002</v>
      </c>
      <c r="E157" s="18">
        <v>38.258000000000003</v>
      </c>
      <c r="F157" s="18">
        <v>41.033000000000001</v>
      </c>
      <c r="G157" s="18">
        <v>10.14</v>
      </c>
      <c r="H157" s="18">
        <f t="shared" si="9"/>
        <v>33.875375000000005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4.1597140039447726</v>
      </c>
    </row>
    <row r="158" spans="1:21" ht="16.5" thickBot="1" x14ac:dyDescent="0.3">
      <c r="B158" s="12"/>
      <c r="C158" s="19">
        <v>487.44</v>
      </c>
      <c r="D158" s="20">
        <v>29.727</v>
      </c>
      <c r="E158" s="20">
        <v>37.259</v>
      </c>
      <c r="F158" s="20">
        <v>40.274000000000001</v>
      </c>
      <c r="G158" s="20">
        <v>11.09</v>
      </c>
      <c r="H158" s="20">
        <f t="shared" si="9"/>
        <v>31.986874999999998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4.780216411181244</v>
      </c>
    </row>
    <row r="159" spans="1:21" x14ac:dyDescent="0.25">
      <c r="A159" s="6" t="s">
        <v>39</v>
      </c>
      <c r="B159" s="6" t="s">
        <v>53</v>
      </c>
      <c r="C159" s="15">
        <v>1221.2</v>
      </c>
      <c r="D159" s="16">
        <v>35.634</v>
      </c>
      <c r="E159" s="16">
        <v>39.228999999999999</v>
      </c>
      <c r="F159" s="16">
        <v>39.347999999999999</v>
      </c>
      <c r="G159" s="16">
        <v>23.32</v>
      </c>
      <c r="H159" s="16">
        <f t="shared" si="9"/>
        <v>36.547625000000004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-0.16294617607199058</v>
      </c>
      <c r="R159" s="8">
        <f>bdrate(C159:C162,E159:E162,J159:J162,L159:L162)</f>
        <v>-0.3839632629598394</v>
      </c>
      <c r="S159" s="8">
        <f>bdrate(C159:C162,F159:F162,J159:J162,M159:M162)</f>
        <v>-0.29813463830899567</v>
      </c>
      <c r="T159" s="25">
        <f>bdrate(C159:C162,H159:H162,J159:J162,O159:O162)</f>
        <v>-0.20429442108982676</v>
      </c>
      <c r="U159" s="28">
        <f t="shared" si="11"/>
        <v>2.1168524871355059</v>
      </c>
    </row>
    <row r="160" spans="1:21" x14ac:dyDescent="0.25">
      <c r="A160" s="9" t="s">
        <v>40</v>
      </c>
      <c r="B160" s="9"/>
      <c r="C160" s="17">
        <v>813.13</v>
      </c>
      <c r="D160" s="18">
        <v>34.125</v>
      </c>
      <c r="E160" s="18">
        <v>37.924999999999997</v>
      </c>
      <c r="F160" s="18">
        <v>37.950000000000003</v>
      </c>
      <c r="G160" s="18">
        <v>26.44</v>
      </c>
      <c r="H160" s="18">
        <f t="shared" si="9"/>
        <v>35.078125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2.2326059001512859</v>
      </c>
    </row>
    <row r="161" spans="1:21" x14ac:dyDescent="0.25">
      <c r="B161" s="9"/>
      <c r="C161" s="17">
        <v>506.87</v>
      </c>
      <c r="D161" s="18">
        <v>32.502000000000002</v>
      </c>
      <c r="E161" s="18">
        <v>36.668999999999997</v>
      </c>
      <c r="F161" s="18">
        <v>36.567</v>
      </c>
      <c r="G161" s="18">
        <v>30.58</v>
      </c>
      <c r="H161" s="18">
        <f t="shared" si="9"/>
        <v>33.530999999999999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2.370552648790059</v>
      </c>
    </row>
    <row r="162" spans="1:21" ht="16.5" thickBot="1" x14ac:dyDescent="0.3">
      <c r="B162" s="12"/>
      <c r="C162" s="19">
        <v>301.10000000000002</v>
      </c>
      <c r="D162" s="20">
        <v>30.765000000000001</v>
      </c>
      <c r="E162" s="20">
        <v>35.357999999999997</v>
      </c>
      <c r="F162" s="20">
        <v>34.901000000000003</v>
      </c>
      <c r="G162" s="20">
        <v>35.69</v>
      </c>
      <c r="H162" s="20">
        <f t="shared" si="9"/>
        <v>31.856125000000002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2.5921854861305689</v>
      </c>
    </row>
    <row r="163" spans="1:21" x14ac:dyDescent="0.25">
      <c r="B163" s="6" t="s">
        <v>54</v>
      </c>
      <c r="C163" s="15">
        <v>1222.05</v>
      </c>
      <c r="D163" s="16">
        <v>35.700000000000003</v>
      </c>
      <c r="E163" s="16">
        <v>40.097000000000001</v>
      </c>
      <c r="F163" s="16">
        <v>41.036999999999999</v>
      </c>
      <c r="G163" s="16">
        <v>29.01</v>
      </c>
      <c r="H163" s="16">
        <f t="shared" si="9"/>
        <v>36.91675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-0.13471089191762586</v>
      </c>
      <c r="R163" s="8">
        <f>bdrate(C163:C166,E163:E166,J163:J166,L163:L166)</f>
        <v>-0.42422175925189032</v>
      </c>
      <c r="S163" s="8">
        <f>bdrate(C163:C166,F163:F166,J163:J166,M163:M166)</f>
        <v>-0.38558491987938392</v>
      </c>
      <c r="T163" s="25">
        <f>bdrate(C163:C166,H163:H166,J163:J166,O163:O166)</f>
        <v>-0.19161971255339694</v>
      </c>
      <c r="U163" s="28">
        <f t="shared" si="11"/>
        <v>1.8813753877973112</v>
      </c>
    </row>
    <row r="164" spans="1:21" x14ac:dyDescent="0.25">
      <c r="B164" s="9"/>
      <c r="C164" s="17">
        <v>814.67</v>
      </c>
      <c r="D164" s="18">
        <v>34.061</v>
      </c>
      <c r="E164" s="18">
        <v>38.991999999999997</v>
      </c>
      <c r="F164" s="18">
        <v>39.767000000000003</v>
      </c>
      <c r="G164" s="18">
        <v>32.93</v>
      </c>
      <c r="H164" s="18">
        <f t="shared" si="9"/>
        <v>35.390625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2.010154873975099</v>
      </c>
    </row>
    <row r="165" spans="1:21" x14ac:dyDescent="0.25">
      <c r="B165" s="9"/>
      <c r="C165" s="17">
        <v>507.28</v>
      </c>
      <c r="D165" s="18">
        <v>32.045000000000002</v>
      </c>
      <c r="E165" s="18">
        <v>37.618000000000002</v>
      </c>
      <c r="F165" s="18">
        <v>38.293999999999997</v>
      </c>
      <c r="G165" s="18">
        <v>37.630000000000003</v>
      </c>
      <c r="H165" s="18">
        <f t="shared" si="9"/>
        <v>33.522750000000002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2.2017512622907254</v>
      </c>
    </row>
    <row r="166" spans="1:21" ht="16.5" thickBot="1" x14ac:dyDescent="0.3">
      <c r="B166" s="12"/>
      <c r="C166" s="19">
        <v>300.24</v>
      </c>
      <c r="D166" s="20">
        <v>29.74</v>
      </c>
      <c r="E166" s="20">
        <v>36.115000000000002</v>
      </c>
      <c r="F166" s="20">
        <v>36.585000000000001</v>
      </c>
      <c r="G166" s="20">
        <v>42.45</v>
      </c>
      <c r="H166" s="20">
        <f t="shared" si="9"/>
        <v>31.392500000000002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2.4977173144876326</v>
      </c>
    </row>
    <row r="167" spans="1:21" x14ac:dyDescent="0.25">
      <c r="B167" s="6" t="s">
        <v>55</v>
      </c>
      <c r="C167" s="15">
        <v>1091.1199999999999</v>
      </c>
      <c r="D167" s="16">
        <v>30.274000000000001</v>
      </c>
      <c r="E167" s="16">
        <v>35.768999999999998</v>
      </c>
      <c r="F167" s="16">
        <v>36.527000000000001</v>
      </c>
      <c r="G167" s="16">
        <v>28.24</v>
      </c>
      <c r="H167" s="16">
        <f t="shared" si="9"/>
        <v>31.7425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-0.13489402246327142</v>
      </c>
      <c r="R167" s="8">
        <f>bdrate(C167:C170,E167:E170,J167:J170,L167:L170)</f>
        <v>-0.47151933810816704</v>
      </c>
      <c r="S167" s="8">
        <f>bdrate(C167:C170,F167:F170,J167:J170,M167:M170)</f>
        <v>-0.46187062434347781</v>
      </c>
      <c r="T167" s="25">
        <f>bdrate(C167:C170,H167:H170,J167:J170,O167:O170)</f>
        <v>-0.19710495965660513</v>
      </c>
      <c r="U167" s="28">
        <f t="shared" si="11"/>
        <v>1.9025212464589241</v>
      </c>
    </row>
    <row r="168" spans="1:21" x14ac:dyDescent="0.25">
      <c r="B168" s="9"/>
      <c r="C168" s="17">
        <v>726.93</v>
      </c>
      <c r="D168" s="18">
        <v>28.884</v>
      </c>
      <c r="E168" s="18">
        <v>35.033999999999999</v>
      </c>
      <c r="F168" s="18">
        <v>35.792000000000002</v>
      </c>
      <c r="G168" s="18">
        <v>32.18</v>
      </c>
      <c r="H168" s="18">
        <f t="shared" si="9"/>
        <v>30.516249999999999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2.1319484151646986</v>
      </c>
    </row>
    <row r="169" spans="1:21" x14ac:dyDescent="0.25">
      <c r="B169" s="9"/>
      <c r="C169" s="17">
        <v>451.04</v>
      </c>
      <c r="D169" s="18">
        <v>27.382000000000001</v>
      </c>
      <c r="E169" s="18">
        <v>34.213000000000001</v>
      </c>
      <c r="F169" s="18">
        <v>34.984000000000002</v>
      </c>
      <c r="G169" s="18">
        <v>36.299999999999997</v>
      </c>
      <c r="H169" s="18">
        <f t="shared" si="9"/>
        <v>29.186125000000001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2.368575757575758</v>
      </c>
    </row>
    <row r="170" spans="1:21" ht="16.5" thickBot="1" x14ac:dyDescent="0.3">
      <c r="B170" s="12"/>
      <c r="C170" s="19">
        <v>257.66000000000003</v>
      </c>
      <c r="D170" s="20">
        <v>25.606000000000002</v>
      </c>
      <c r="E170" s="20">
        <v>33.1</v>
      </c>
      <c r="F170" s="20">
        <v>33.877000000000002</v>
      </c>
      <c r="G170" s="20">
        <v>42.23</v>
      </c>
      <c r="H170" s="20">
        <f t="shared" si="9"/>
        <v>27.576625000000003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2.6667463888231118</v>
      </c>
    </row>
    <row r="171" spans="1:21" x14ac:dyDescent="0.25">
      <c r="B171" s="6" t="s">
        <v>56</v>
      </c>
      <c r="C171" s="15">
        <v>1103.8499999999999</v>
      </c>
      <c r="D171" s="16">
        <v>33.296999999999997</v>
      </c>
      <c r="E171" s="16">
        <v>36.890999999999998</v>
      </c>
      <c r="F171" s="16">
        <v>38.606999999999999</v>
      </c>
      <c r="G171" s="16">
        <v>17.91</v>
      </c>
      <c r="H171" s="16">
        <f t="shared" si="9"/>
        <v>34.409999999999997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0.14736385545159636</v>
      </c>
      <c r="R171" s="8">
        <f>bdrate(C171:C174,E171:E174,J171:J174,L171:L174)</f>
        <v>-0.22379068943099178</v>
      </c>
      <c r="S171" s="8">
        <f>bdrate(C171:C174,F171:F174,J171:J174,M171:M174)</f>
        <v>-0.18091444660828659</v>
      </c>
      <c r="T171" s="25">
        <f>bdrate(C171:C174,H171:H174,J171:J174,O171:O174)</f>
        <v>7.575465311283236E-2</v>
      </c>
      <c r="U171" s="28">
        <f t="shared" si="11"/>
        <v>2.0588777219430483</v>
      </c>
    </row>
    <row r="172" spans="1:21" x14ac:dyDescent="0.25">
      <c r="B172" s="9"/>
      <c r="C172" s="17">
        <v>743.56</v>
      </c>
      <c r="D172" s="18">
        <v>31.837</v>
      </c>
      <c r="E172" s="18">
        <v>35.902999999999999</v>
      </c>
      <c r="F172" s="18">
        <v>37.637999999999998</v>
      </c>
      <c r="G172" s="18">
        <v>20.100000000000001</v>
      </c>
      <c r="H172" s="18">
        <f t="shared" si="9"/>
        <v>33.070374999999999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2.2432338308457704</v>
      </c>
    </row>
    <row r="173" spans="1:21" x14ac:dyDescent="0.25">
      <c r="B173" s="9"/>
      <c r="C173" s="17">
        <v>473.9</v>
      </c>
      <c r="D173" s="18">
        <v>30.201000000000001</v>
      </c>
      <c r="E173" s="18">
        <v>34.92</v>
      </c>
      <c r="F173" s="18">
        <v>36.537999999999997</v>
      </c>
      <c r="G173" s="18">
        <v>22.7</v>
      </c>
      <c r="H173" s="18">
        <f t="shared" si="9"/>
        <v>31.583000000000006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2.527991189427313</v>
      </c>
    </row>
    <row r="174" spans="1:21" ht="16.5" thickBot="1" x14ac:dyDescent="0.3">
      <c r="B174" s="12"/>
      <c r="C174" s="19">
        <v>288.19</v>
      </c>
      <c r="D174" s="20">
        <v>28.535</v>
      </c>
      <c r="E174" s="20">
        <v>33.741</v>
      </c>
      <c r="F174" s="20">
        <v>35.265000000000001</v>
      </c>
      <c r="G174" s="20">
        <v>26.06</v>
      </c>
      <c r="H174" s="20">
        <f t="shared" si="9"/>
        <v>30.027000000000001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2.8437029930928626</v>
      </c>
    </row>
    <row r="175" spans="1:21" x14ac:dyDescent="0.25">
      <c r="A175" s="6" t="s">
        <v>41</v>
      </c>
      <c r="B175" s="6" t="s">
        <v>57</v>
      </c>
      <c r="C175" s="15">
        <v>639.30999999999995</v>
      </c>
      <c r="D175" s="16">
        <v>35.581000000000003</v>
      </c>
      <c r="E175" s="16">
        <v>39.960999999999999</v>
      </c>
      <c r="F175" s="16">
        <v>38.683999999999997</v>
      </c>
      <c r="G175" s="16">
        <v>47.48</v>
      </c>
      <c r="H175" s="16">
        <f t="shared" si="9"/>
        <v>36.516374999999996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3.8081677774343348E-2</v>
      </c>
      <c r="R175" s="8">
        <f>bdrate(C175:C178,E175:E178,J175:J178,L175:L178)</f>
        <v>-0.2765697993991435</v>
      </c>
      <c r="S175" s="8">
        <f>bdrate(C175:C178,F175:F178,J175:J178,M175:M178)</f>
        <v>-0.21129395441153853</v>
      </c>
      <c r="T175" s="25">
        <f>bdrate(C175:C178,H175:H178,J175:J178,O175:O178)</f>
        <v>-2.3481456296004843E-2</v>
      </c>
      <c r="U175" s="28">
        <f t="shared" si="11"/>
        <v>3.019370261162595</v>
      </c>
    </row>
    <row r="176" spans="1:21" x14ac:dyDescent="0.25">
      <c r="A176" s="9" t="s">
        <v>42</v>
      </c>
      <c r="B176" s="9"/>
      <c r="C176" s="17">
        <v>425.42</v>
      </c>
      <c r="D176" s="18">
        <v>33.732999999999997</v>
      </c>
      <c r="E176" s="18">
        <v>38.643999999999998</v>
      </c>
      <c r="F176" s="18">
        <v>37.18</v>
      </c>
      <c r="G176" s="18">
        <v>54.51</v>
      </c>
      <c r="H176" s="18">
        <f t="shared" si="9"/>
        <v>34.777749999999997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3.0266152999449645</v>
      </c>
    </row>
    <row r="177" spans="1:21" x14ac:dyDescent="0.25">
      <c r="B177" s="9"/>
      <c r="C177" s="17">
        <v>265.11</v>
      </c>
      <c r="D177" s="18">
        <v>31.738</v>
      </c>
      <c r="E177" s="18">
        <v>37.279000000000003</v>
      </c>
      <c r="F177" s="18">
        <v>35.591999999999999</v>
      </c>
      <c r="G177" s="18">
        <v>63.97</v>
      </c>
      <c r="H177" s="18">
        <f t="shared" si="9"/>
        <v>32.912374999999997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3.0730404877286226</v>
      </c>
    </row>
    <row r="178" spans="1:21" ht="16.5" thickBot="1" x14ac:dyDescent="0.3">
      <c r="B178" s="12"/>
      <c r="C178" s="19">
        <v>126.82</v>
      </c>
      <c r="D178" s="20">
        <v>28.893999999999998</v>
      </c>
      <c r="E178" s="20">
        <v>35.302</v>
      </c>
      <c r="F178" s="20">
        <v>33.183</v>
      </c>
      <c r="G178" s="20">
        <v>84.12</v>
      </c>
      <c r="H178" s="20">
        <f t="shared" si="9"/>
        <v>30.231124999999995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3.3291262482168325</v>
      </c>
    </row>
    <row r="179" spans="1:21" x14ac:dyDescent="0.25">
      <c r="B179" s="6" t="s">
        <v>58</v>
      </c>
      <c r="C179" s="15">
        <v>550.16</v>
      </c>
      <c r="D179" s="16">
        <v>33.33</v>
      </c>
      <c r="E179" s="16">
        <v>40.100999999999999</v>
      </c>
      <c r="F179" s="16">
        <v>40.908999999999999</v>
      </c>
      <c r="G179" s="16">
        <v>88.21</v>
      </c>
      <c r="H179" s="16">
        <f t="shared" si="9"/>
        <v>35.123750000000001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-0.17784029796618528</v>
      </c>
      <c r="R179" s="8">
        <f>bdrate(C179:C182,E179:E182,J179:J182,L179:L182)</f>
        <v>-0.41282434815446523</v>
      </c>
      <c r="S179" s="8">
        <f>bdrate(C179:C182,F179:F182,J179:J182,M179:M182)</f>
        <v>-0.40383704953117661</v>
      </c>
      <c r="T179" s="25">
        <f>bdrate(C179:C182,H179:H182,J179:J182,O179:O182)</f>
        <v>-0.21686225305654871</v>
      </c>
      <c r="U179" s="28">
        <f t="shared" si="11"/>
        <v>2.3035211427275821</v>
      </c>
    </row>
    <row r="180" spans="1:21" x14ac:dyDescent="0.25">
      <c r="B180" s="9"/>
      <c r="C180" s="17">
        <v>362.39</v>
      </c>
      <c r="D180" s="18">
        <v>31.954999999999998</v>
      </c>
      <c r="E180" s="18">
        <v>39.384</v>
      </c>
      <c r="F180" s="18">
        <v>40.237000000000002</v>
      </c>
      <c r="G180" s="18">
        <v>100.69</v>
      </c>
      <c r="H180" s="18">
        <f t="shared" si="9"/>
        <v>33.918875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2.4725424570463801</v>
      </c>
    </row>
    <row r="181" spans="1:21" x14ac:dyDescent="0.25">
      <c r="B181" s="9"/>
      <c r="C181" s="17">
        <v>224.72</v>
      </c>
      <c r="D181" s="18">
        <v>30.367999999999999</v>
      </c>
      <c r="E181" s="18">
        <v>38.712000000000003</v>
      </c>
      <c r="F181" s="18">
        <v>39.442</v>
      </c>
      <c r="G181" s="18">
        <v>114.46</v>
      </c>
      <c r="H181" s="18">
        <f t="shared" si="9"/>
        <v>32.545250000000003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2.6941551633758523</v>
      </c>
    </row>
    <row r="182" spans="1:21" ht="16.5" thickBot="1" x14ac:dyDescent="0.3">
      <c r="B182" s="12"/>
      <c r="C182" s="19">
        <v>102.88</v>
      </c>
      <c r="D182" s="20">
        <v>27.536000000000001</v>
      </c>
      <c r="E182" s="20">
        <v>37.604999999999997</v>
      </c>
      <c r="F182" s="20">
        <v>38.229999999999997</v>
      </c>
      <c r="G182" s="20">
        <v>141.41</v>
      </c>
      <c r="H182" s="20">
        <f t="shared" si="9"/>
        <v>30.131374999999998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3.1843999717134577</v>
      </c>
    </row>
    <row r="183" spans="1:21" x14ac:dyDescent="0.25">
      <c r="B183" s="6" t="s">
        <v>59</v>
      </c>
      <c r="C183" s="29">
        <v>626.6</v>
      </c>
      <c r="D183" s="30">
        <v>33.552999999999997</v>
      </c>
      <c r="E183" s="30">
        <v>37.640999999999998</v>
      </c>
      <c r="F183" s="30">
        <v>38.188000000000002</v>
      </c>
      <c r="G183" s="16">
        <v>63.47</v>
      </c>
      <c r="H183" s="16">
        <f t="shared" si="9"/>
        <v>34.643374999999999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-9.8074143168639605E-2</v>
      </c>
      <c r="R183" s="8">
        <f>bdrate(C183:C186,E183:E186,J183:J186,L183:L186)</f>
        <v>-0.30443492245402837</v>
      </c>
      <c r="S183" s="8">
        <f>bdrate(C183:C186,F183:F186,J183:J186,M183:M186)</f>
        <v>-0.36694737122606724</v>
      </c>
      <c r="T183" s="25">
        <f>bdrate(C183:C186,H183:H186,J183:J186,O183:O186)</f>
        <v>-0.14727790119513839</v>
      </c>
      <c r="U183" s="28">
        <f t="shared" si="11"/>
        <v>3.039866078462266</v>
      </c>
    </row>
    <row r="184" spans="1:21" x14ac:dyDescent="0.25">
      <c r="B184" s="9"/>
      <c r="C184" s="31">
        <v>417.31</v>
      </c>
      <c r="D184" s="32">
        <v>31.911999999999999</v>
      </c>
      <c r="E184" s="32">
        <v>36.542999999999999</v>
      </c>
      <c r="F184" s="32">
        <v>37.043999999999997</v>
      </c>
      <c r="G184" s="18">
        <v>77.23</v>
      </c>
      <c r="H184" s="18">
        <f t="shared" si="9"/>
        <v>33.132374999999996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2.9524834908714226</v>
      </c>
    </row>
    <row r="185" spans="1:21" x14ac:dyDescent="0.25">
      <c r="B185" s="9"/>
      <c r="C185" s="31">
        <v>260.05</v>
      </c>
      <c r="D185" s="32">
        <v>30.146000000000001</v>
      </c>
      <c r="E185" s="32">
        <v>35.423999999999999</v>
      </c>
      <c r="F185" s="32">
        <v>35.941000000000003</v>
      </c>
      <c r="G185" s="18">
        <v>89.78</v>
      </c>
      <c r="H185" s="18">
        <f t="shared" si="9"/>
        <v>31.530125000000002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2.9219503230118069</v>
      </c>
    </row>
    <row r="186" spans="1:21" ht="16.5" thickBot="1" x14ac:dyDescent="0.3">
      <c r="B186" s="12"/>
      <c r="C186" s="33">
        <v>121.92</v>
      </c>
      <c r="D186" s="34">
        <v>27.527000000000001</v>
      </c>
      <c r="E186" s="34">
        <v>33.683</v>
      </c>
      <c r="F186" s="34">
        <v>34.146000000000001</v>
      </c>
      <c r="G186" s="20">
        <v>114.05</v>
      </c>
      <c r="H186" s="20">
        <f t="shared" si="9"/>
        <v>29.123874999999998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3.195255589653661</v>
      </c>
    </row>
    <row r="187" spans="1:21" x14ac:dyDescent="0.25">
      <c r="B187" s="6" t="s">
        <v>60</v>
      </c>
      <c r="C187" s="15">
        <v>574.15</v>
      </c>
      <c r="D187" s="16">
        <v>35.055</v>
      </c>
      <c r="E187" s="16">
        <v>38.08</v>
      </c>
      <c r="F187" s="16">
        <v>39.304000000000002</v>
      </c>
      <c r="G187" s="16">
        <v>39.49</v>
      </c>
      <c r="H187" s="16">
        <f t="shared" si="9"/>
        <v>35.964249999999993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0.11326171384133166</v>
      </c>
      <c r="R187" s="8">
        <f>bdrate(C187:C190,E187:E190,J187:J190,L187:L190)</f>
        <v>-0.12228510664902514</v>
      </c>
      <c r="S187" s="8">
        <f>bdrate(C187:C190,F187:F190,J187:J190,M187:M190)</f>
        <v>-0.10355787398048288</v>
      </c>
      <c r="T187" s="25">
        <f>bdrate(C187:C190,H187:H190,J187:J190,O187:O190)</f>
        <v>6.4418178177948926E-2</v>
      </c>
      <c r="U187" s="28">
        <f t="shared" si="11"/>
        <v>2.4297341099012404</v>
      </c>
    </row>
    <row r="188" spans="1:21" x14ac:dyDescent="0.25">
      <c r="B188" s="9"/>
      <c r="C188" s="17">
        <v>385.4</v>
      </c>
      <c r="D188" s="18">
        <v>33.159999999999997</v>
      </c>
      <c r="E188" s="18">
        <v>36.825000000000003</v>
      </c>
      <c r="F188" s="18">
        <v>38</v>
      </c>
      <c r="G188" s="18">
        <v>45.35</v>
      </c>
      <c r="H188" s="18">
        <f t="shared" si="9"/>
        <v>34.223124999999996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2.5056780595369346</v>
      </c>
    </row>
    <row r="189" spans="1:21" x14ac:dyDescent="0.25">
      <c r="B189" s="9"/>
      <c r="C189" s="17">
        <v>242.23</v>
      </c>
      <c r="D189" s="18">
        <v>31.204999999999998</v>
      </c>
      <c r="E189" s="18">
        <v>35.448999999999998</v>
      </c>
      <c r="F189" s="18">
        <v>36.546999999999997</v>
      </c>
      <c r="G189" s="18">
        <v>53.27</v>
      </c>
      <c r="H189" s="18">
        <f t="shared" si="9"/>
        <v>32.40325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2.6832494837619674</v>
      </c>
    </row>
    <row r="190" spans="1:21" ht="16.5" thickBot="1" x14ac:dyDescent="0.3">
      <c r="B190" s="12"/>
      <c r="C190" s="19">
        <v>116.11</v>
      </c>
      <c r="D190" s="20">
        <v>28.535</v>
      </c>
      <c r="E190" s="20">
        <v>33.472999999999999</v>
      </c>
      <c r="F190" s="20">
        <v>34.456000000000003</v>
      </c>
      <c r="G190" s="20">
        <v>70.180000000000007</v>
      </c>
      <c r="H190" s="20">
        <f t="shared" si="9"/>
        <v>29.892375000000001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2.9145810772299798</v>
      </c>
    </row>
    <row r="191" spans="1:21" x14ac:dyDescent="0.25">
      <c r="A191" s="6" t="s">
        <v>43</v>
      </c>
      <c r="B191" s="6" t="s">
        <v>61</v>
      </c>
      <c r="C191" s="15">
        <v>1380.32</v>
      </c>
      <c r="D191" s="16">
        <v>41.27</v>
      </c>
      <c r="E191" s="16">
        <v>45.247999999999998</v>
      </c>
      <c r="F191" s="16">
        <v>46.566000000000003</v>
      </c>
      <c r="G191" s="16">
        <v>21.34</v>
      </c>
      <c r="H191" s="16">
        <f t="shared" si="9"/>
        <v>42.429249999999996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-0.1184897167639033</v>
      </c>
      <c r="R191" s="8">
        <f>bdrate(C191:C194,E191:E194,J191:J194,L191:L194)</f>
        <v>-0.30960811387771936</v>
      </c>
      <c r="S191" s="8">
        <f>bdrate(C191:C194,F191:F194,J191:J194,M191:M194)</f>
        <v>-0.24359562471587282</v>
      </c>
      <c r="T191" s="25">
        <f>bdrate(C191:C194,H191:H194,J191:J194,O191:O194)</f>
        <v>-0.15289665978110456</v>
      </c>
      <c r="U191" s="28">
        <f t="shared" si="11"/>
        <v>1.993955014058107</v>
      </c>
    </row>
    <row r="192" spans="1:21" x14ac:dyDescent="0.25">
      <c r="A192" s="9" t="s">
        <v>44</v>
      </c>
      <c r="B192" s="9"/>
      <c r="C192" s="17">
        <v>909.78</v>
      </c>
      <c r="D192" s="18">
        <v>40.113999999999997</v>
      </c>
      <c r="E192" s="18">
        <v>44.188000000000002</v>
      </c>
      <c r="F192" s="18">
        <v>45.566000000000003</v>
      </c>
      <c r="G192" s="18">
        <v>23.48</v>
      </c>
      <c r="H192" s="18">
        <f t="shared" si="9"/>
        <v>41.304749999999999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2.322972742759795</v>
      </c>
    </row>
    <row r="193" spans="1:21" x14ac:dyDescent="0.25">
      <c r="B193" s="9"/>
      <c r="C193" s="17">
        <v>539.95000000000005</v>
      </c>
      <c r="D193" s="18">
        <v>38.353999999999999</v>
      </c>
      <c r="E193" s="18">
        <v>42.762999999999998</v>
      </c>
      <c r="F193" s="18">
        <v>44.076999999999998</v>
      </c>
      <c r="G193" s="18">
        <v>26.24</v>
      </c>
      <c r="H193" s="18">
        <f t="shared" si="9"/>
        <v>39.6205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2.785110518292683</v>
      </c>
    </row>
    <row r="194" spans="1:21" ht="16.5" thickBot="1" x14ac:dyDescent="0.3">
      <c r="B194" s="12"/>
      <c r="C194" s="19">
        <v>259.69</v>
      </c>
      <c r="D194" s="20">
        <v>35.83</v>
      </c>
      <c r="E194" s="20">
        <v>41.308999999999997</v>
      </c>
      <c r="F194" s="20">
        <v>42.386000000000003</v>
      </c>
      <c r="G194" s="20">
        <v>29.52</v>
      </c>
      <c r="H194" s="20">
        <f t="shared" si="9"/>
        <v>37.334375000000001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3.6036686991869917</v>
      </c>
    </row>
    <row r="195" spans="1:21" x14ac:dyDescent="0.25">
      <c r="B195" s="6" t="s">
        <v>62</v>
      </c>
      <c r="C195" s="15">
        <v>1423.96</v>
      </c>
      <c r="D195" s="16">
        <v>42.656999999999996</v>
      </c>
      <c r="E195" s="16">
        <v>47.472999999999999</v>
      </c>
      <c r="F195" s="16">
        <v>48.140999999999998</v>
      </c>
      <c r="G195" s="16">
        <v>20.98</v>
      </c>
      <c r="H195" s="16">
        <f t="shared" si="9"/>
        <v>43.944499999999998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-0.15204834632438058</v>
      </c>
      <c r="R195" s="8">
        <f>bdrate(C195:C198,E195:E198,J195:J198,L195:L198)</f>
        <v>-0.37449009708531666</v>
      </c>
      <c r="S195" s="8">
        <f>bdrate(C195:C198,F195:F198,J195:J198,M195:M198)</f>
        <v>-0.33178580346438258</v>
      </c>
      <c r="T195" s="25">
        <f>bdrate(C195:C198,H195:H198,J195:J198,O195:O198)</f>
        <v>-0.21193748782715305</v>
      </c>
      <c r="U195" s="28">
        <f t="shared" ref="U195:U213" si="12">(N195-G195)/G195</f>
        <v>2.8259103908484269</v>
      </c>
    </row>
    <row r="196" spans="1:21" x14ac:dyDescent="0.25">
      <c r="B196" s="9"/>
      <c r="C196" s="17">
        <v>938.48</v>
      </c>
      <c r="D196" s="18">
        <v>42.158000000000001</v>
      </c>
      <c r="E196" s="18">
        <v>46.914999999999999</v>
      </c>
      <c r="F196" s="18">
        <v>47.543999999999997</v>
      </c>
      <c r="G196" s="18">
        <v>23.34</v>
      </c>
      <c r="H196" s="18">
        <f t="shared" si="9"/>
        <v>43.425874999999998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3.3139674378748927</v>
      </c>
    </row>
    <row r="197" spans="1:21" x14ac:dyDescent="0.25">
      <c r="B197" s="9"/>
      <c r="C197" s="17">
        <v>552.52</v>
      </c>
      <c r="D197" s="18">
        <v>41.316000000000003</v>
      </c>
      <c r="E197" s="18">
        <v>45.926000000000002</v>
      </c>
      <c r="F197" s="18">
        <v>46.654000000000003</v>
      </c>
      <c r="G197" s="18">
        <v>26.22</v>
      </c>
      <c r="H197" s="18">
        <f t="shared" si="9"/>
        <v>42.5595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3.9391952707856595</v>
      </c>
    </row>
    <row r="198" spans="1:21" ht="16.5" thickBot="1" x14ac:dyDescent="0.3">
      <c r="B198" s="12"/>
      <c r="C198" s="19">
        <v>264.39999999999998</v>
      </c>
      <c r="D198" s="20">
        <v>39.585000000000001</v>
      </c>
      <c r="E198" s="20">
        <v>44.347999999999999</v>
      </c>
      <c r="F198" s="20">
        <v>44.984999999999999</v>
      </c>
      <c r="G198" s="20">
        <v>28.96</v>
      </c>
      <c r="H198" s="20">
        <f t="shared" si="9"/>
        <v>40.855375000000002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5.0087672651933701</v>
      </c>
    </row>
    <row r="199" spans="1:21" x14ac:dyDescent="0.25">
      <c r="B199" s="6" t="s">
        <v>63</v>
      </c>
      <c r="C199" s="15">
        <v>1484.05</v>
      </c>
      <c r="D199" s="16">
        <v>42.524000000000001</v>
      </c>
      <c r="E199" s="16">
        <v>46.658999999999999</v>
      </c>
      <c r="F199" s="16">
        <v>47.61</v>
      </c>
      <c r="G199" s="16">
        <v>18.940000000000001</v>
      </c>
      <c r="H199" s="16">
        <f t="shared" si="9"/>
        <v>43.676625000000001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-0.11284602940943411</v>
      </c>
      <c r="R199" s="8">
        <f>bdrate(C199:C202,E199:E202,J199:J202,L199:L202)</f>
        <v>-0.29167463176574404</v>
      </c>
      <c r="S199" s="8">
        <f>bdrate(C199:C202,F199:F202,J199:J202,M199:M202)</f>
        <v>-0.24236364344344175</v>
      </c>
      <c r="T199" s="25">
        <f>bdrate(C199:C202,H199:H202,J199:J202,O199:O202)</f>
        <v>-0.15106456307779936</v>
      </c>
      <c r="U199" s="28">
        <f t="shared" si="12"/>
        <v>2.6853167898627239</v>
      </c>
    </row>
    <row r="200" spans="1:21" x14ac:dyDescent="0.25">
      <c r="B200" s="9"/>
      <c r="C200" s="17">
        <v>985.9</v>
      </c>
      <c r="D200" s="18">
        <v>41.756999999999998</v>
      </c>
      <c r="E200" s="18">
        <v>45.823999999999998</v>
      </c>
      <c r="F200" s="18">
        <v>46.783000000000001</v>
      </c>
      <c r="G200" s="18">
        <v>21.05</v>
      </c>
      <c r="H200" s="18">
        <f t="shared" si="9"/>
        <v>42.893625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3.1243752969121141</v>
      </c>
    </row>
    <row r="201" spans="1:21" x14ac:dyDescent="0.25">
      <c r="B201" s="9"/>
      <c r="C201" s="17">
        <v>587.4</v>
      </c>
      <c r="D201" s="18">
        <v>40.445</v>
      </c>
      <c r="E201" s="18">
        <v>44.582000000000001</v>
      </c>
      <c r="F201" s="18">
        <v>45.563000000000002</v>
      </c>
      <c r="G201" s="18">
        <v>23.35</v>
      </c>
      <c r="H201" s="18">
        <f t="shared" si="9"/>
        <v>41.601875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3.652531049250535</v>
      </c>
    </row>
    <row r="202" spans="1:21" ht="16.5" thickBot="1" x14ac:dyDescent="0.3">
      <c r="B202" s="12"/>
      <c r="C202" s="19">
        <v>285.14999999999998</v>
      </c>
      <c r="D202" s="20">
        <v>38.232999999999997</v>
      </c>
      <c r="E202" s="20">
        <v>42.710999999999999</v>
      </c>
      <c r="F202" s="20">
        <v>43.759</v>
      </c>
      <c r="G202" s="20">
        <v>26.53</v>
      </c>
      <c r="H202" s="20">
        <f t="shared" si="9"/>
        <v>39.483499999999999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4.7752581982661138</v>
      </c>
    </row>
    <row r="203" spans="1:21" x14ac:dyDescent="0.25">
      <c r="A203" s="6" t="s">
        <v>102</v>
      </c>
      <c r="B203" s="6" t="s">
        <v>103</v>
      </c>
      <c r="C203" s="15">
        <v>1205.1199999999999</v>
      </c>
      <c r="D203" s="16">
        <v>44.805999999999997</v>
      </c>
      <c r="E203" s="16">
        <v>49.887999999999998</v>
      </c>
      <c r="F203" s="16">
        <v>50.707000000000001</v>
      </c>
      <c r="G203" s="16">
        <v>11.45</v>
      </c>
      <c r="H203" s="16">
        <f t="shared" ref="H203:H213" si="13">(6*D203+E203+F203)/8</f>
        <v>46.178874999999998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-0.14236628510204385</v>
      </c>
      <c r="R203" s="8">
        <f>bdrate(C203:C206,E203:E206,J203:J206,L203:L206)</f>
        <v>-0.32157254752175568</v>
      </c>
      <c r="S203" s="8">
        <f>bdrate(C203:C206,F203:F206,J203:J206,M203:M206)</f>
        <v>-0.32230425366680204</v>
      </c>
      <c r="T203" s="25">
        <f>bdrate(C203:C206,H203:H206,J203:J206,O203:O206)</f>
        <v>-0.18264375794135079</v>
      </c>
      <c r="U203" s="28">
        <f t="shared" si="12"/>
        <v>2.3220349344978168</v>
      </c>
    </row>
    <row r="204" spans="1:21" x14ac:dyDescent="0.25">
      <c r="A204" s="9" t="s">
        <v>78</v>
      </c>
      <c r="B204" s="9"/>
      <c r="C204" s="17">
        <v>808.95</v>
      </c>
      <c r="D204" s="18">
        <v>42.642000000000003</v>
      </c>
      <c r="E204" s="18">
        <v>47.968000000000004</v>
      </c>
      <c r="F204" s="18">
        <v>48.996000000000002</v>
      </c>
      <c r="G204" s="18">
        <v>12.63</v>
      </c>
      <c r="H204" s="18">
        <f t="shared" si="13"/>
        <v>44.102000000000004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2.5760886777513852</v>
      </c>
    </row>
    <row r="205" spans="1:21" x14ac:dyDescent="0.25">
      <c r="B205" s="9"/>
      <c r="C205" s="17">
        <v>489.47</v>
      </c>
      <c r="D205" s="18">
        <v>39.963000000000001</v>
      </c>
      <c r="E205" s="18">
        <v>45.661000000000001</v>
      </c>
      <c r="F205" s="18">
        <v>46.929000000000002</v>
      </c>
      <c r="G205" s="18">
        <v>14.58</v>
      </c>
      <c r="H205" s="18">
        <f t="shared" si="13"/>
        <v>41.546000000000006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2.8250342935528119</v>
      </c>
    </row>
    <row r="206" spans="1:21" ht="16.5" thickBot="1" x14ac:dyDescent="0.3">
      <c r="B206" s="12"/>
      <c r="C206" s="19">
        <v>247.8</v>
      </c>
      <c r="D206" s="20">
        <v>36.520000000000003</v>
      </c>
      <c r="E206" s="20">
        <v>42.935000000000002</v>
      </c>
      <c r="F206" s="20">
        <v>44.2</v>
      </c>
      <c r="G206" s="20">
        <v>18.09</v>
      </c>
      <c r="H206" s="20">
        <f t="shared" si="13"/>
        <v>38.281874999999999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3.2802266445550026</v>
      </c>
    </row>
    <row r="207" spans="1:21" x14ac:dyDescent="0.25">
      <c r="B207" s="6" t="s">
        <v>104</v>
      </c>
      <c r="C207" s="15">
        <v>1480.33</v>
      </c>
      <c r="D207" s="16">
        <v>54.122</v>
      </c>
      <c r="E207" s="16">
        <v>54.767000000000003</v>
      </c>
      <c r="F207" s="16">
        <v>55.177</v>
      </c>
      <c r="G207" s="16">
        <v>29.42</v>
      </c>
      <c r="H207" s="16">
        <f t="shared" si="13"/>
        <v>54.334499999999998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-4.2270680344650313E-2</v>
      </c>
      <c r="R207" s="8">
        <f>bdrate(C207:C210,E207:E210,J207:J210,L207:L210)</f>
        <v>-3.2185661608929772E-2</v>
      </c>
      <c r="S207" s="8">
        <f>bdrate(C207:C210,F207:F210,J207:J210,M207:M210)</f>
        <v>-2.1150068600269911E-2</v>
      </c>
      <c r="T207" s="25">
        <f>bdrate(C207:C210,H207:H210,J207:J210,O207:O210)</f>
        <v>-3.8650185174632035E-2</v>
      </c>
      <c r="U207" s="28">
        <f t="shared" si="12"/>
        <v>2.0254112848402444</v>
      </c>
    </row>
    <row r="208" spans="1:21" x14ac:dyDescent="0.25">
      <c r="B208" s="9"/>
      <c r="C208" s="17">
        <v>977.63</v>
      </c>
      <c r="D208" s="18">
        <v>51.411999999999999</v>
      </c>
      <c r="E208" s="18">
        <v>52.243000000000002</v>
      </c>
      <c r="F208" s="18">
        <v>52.780999999999999</v>
      </c>
      <c r="G208" s="18">
        <v>32.82</v>
      </c>
      <c r="H208" s="18">
        <f t="shared" si="13"/>
        <v>51.686999999999998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1.9840920170627663</v>
      </c>
    </row>
    <row r="209" spans="2:21" x14ac:dyDescent="0.25">
      <c r="B209" s="9"/>
      <c r="C209" s="17">
        <v>583.59</v>
      </c>
      <c r="D209" s="18">
        <v>48.195</v>
      </c>
      <c r="E209" s="18">
        <v>49.25</v>
      </c>
      <c r="F209" s="18">
        <v>49.889000000000003</v>
      </c>
      <c r="G209" s="18">
        <v>37.299999999999997</v>
      </c>
      <c r="H209" s="18">
        <f t="shared" si="13"/>
        <v>48.538625000000003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2.4860482573726541</v>
      </c>
    </row>
    <row r="210" spans="2:21" ht="16.5" thickBot="1" x14ac:dyDescent="0.3">
      <c r="B210" s="12"/>
      <c r="C210" s="19">
        <v>291.95</v>
      </c>
      <c r="D210" s="20">
        <v>43.908999999999999</v>
      </c>
      <c r="E210" s="20">
        <v>45.27</v>
      </c>
      <c r="F210" s="20">
        <v>45.911999999999999</v>
      </c>
      <c r="G210" s="20">
        <v>40.770000000000003</v>
      </c>
      <c r="H210" s="20">
        <f t="shared" si="13"/>
        <v>44.329499999999996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2.9419744910473384</v>
      </c>
    </row>
    <row r="211" spans="2:21" x14ac:dyDescent="0.25">
      <c r="B211" s="6" t="s">
        <v>105</v>
      </c>
      <c r="C211" s="15">
        <v>1542.04</v>
      </c>
      <c r="D211" s="16">
        <v>43.853999999999999</v>
      </c>
      <c r="E211" s="16">
        <v>45.786999999999999</v>
      </c>
      <c r="F211" s="16">
        <v>46.298999999999999</v>
      </c>
      <c r="G211" s="16">
        <v>14.52</v>
      </c>
      <c r="H211" s="16">
        <f t="shared" si="13"/>
        <v>44.401249999999997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-0.11677137479286903</v>
      </c>
      <c r="R211" s="8">
        <f>bdrate(C211:C214,E211:E214,J211:J214,L211:L214)</f>
        <v>-0.21888345169711421</v>
      </c>
      <c r="S211" s="8">
        <f>bdrate(C211:C214,F211:F214,J211:J214,M211:M214)</f>
        <v>-0.18852847457488509</v>
      </c>
      <c r="T211" s="25">
        <f>bdrate(C211:C214,H211:H214,J211:J214,O211:O214)</f>
        <v>-0.13604135261561334</v>
      </c>
      <c r="U211" s="28">
        <f t="shared" si="12"/>
        <v>2.2093319559228646</v>
      </c>
    </row>
    <row r="212" spans="2:21" x14ac:dyDescent="0.25">
      <c r="B212" s="9"/>
      <c r="C212" s="17">
        <v>1029.6300000000001</v>
      </c>
      <c r="D212" s="18">
        <v>41.823999999999998</v>
      </c>
      <c r="E212" s="18">
        <v>44.015000000000001</v>
      </c>
      <c r="F212" s="18">
        <v>44.518000000000001</v>
      </c>
      <c r="G212" s="18">
        <v>16.05</v>
      </c>
      <c r="H212" s="18">
        <f t="shared" si="13"/>
        <v>42.434624999999997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2.4179439252336441</v>
      </c>
    </row>
    <row r="213" spans="2:21" x14ac:dyDescent="0.25">
      <c r="B213" s="9"/>
      <c r="C213" s="17">
        <v>617.66999999999996</v>
      </c>
      <c r="D213" s="18">
        <v>39.119</v>
      </c>
      <c r="E213" s="18">
        <v>41.83</v>
      </c>
      <c r="F213" s="18">
        <v>42.356000000000002</v>
      </c>
      <c r="G213" s="18">
        <v>17.86</v>
      </c>
      <c r="H213" s="18">
        <f t="shared" si="13"/>
        <v>39.862499999999997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2.7561086226203813</v>
      </c>
    </row>
    <row r="214" spans="2:21" ht="16.5" thickBot="1" x14ac:dyDescent="0.3">
      <c r="B214" s="12"/>
      <c r="C214" s="19">
        <v>310.39</v>
      </c>
      <c r="D214" s="20">
        <v>35.408000000000001</v>
      </c>
      <c r="E214" s="20">
        <v>38.951000000000001</v>
      </c>
      <c r="F214" s="20">
        <v>39.563000000000002</v>
      </c>
      <c r="G214" s="20">
        <v>20.64</v>
      </c>
      <c r="H214" s="20">
        <f t="shared" ref="H214:H246" si="15">(6*D214+E214+F214)/8</f>
        <v>36.370249999999999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3.3220009689922483</v>
      </c>
    </row>
    <row r="215" spans="2:21" x14ac:dyDescent="0.25">
      <c r="B215" s="6" t="s">
        <v>106</v>
      </c>
      <c r="C215" s="29">
        <v>1372.53</v>
      </c>
      <c r="D215" s="30">
        <v>39.682000000000002</v>
      </c>
      <c r="E215" s="30">
        <v>43.706000000000003</v>
      </c>
      <c r="F215" s="30">
        <v>43.703000000000003</v>
      </c>
      <c r="G215" s="16">
        <v>12.01</v>
      </c>
      <c r="H215" s="16">
        <f t="shared" si="15"/>
        <v>40.687624999999997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2.4051812740821132E-2</v>
      </c>
      <c r="R215" s="8">
        <f>bdrate(C215:C218,E215:E218,J215:J218,L215:L218)</f>
        <v>-0.16163133530809126</v>
      </c>
      <c r="S215" s="8">
        <f>bdrate(C215:C218,F215:F218,J215:J218,M215:M218)</f>
        <v>-0.15890178457704884</v>
      </c>
      <c r="T215" s="25">
        <f>bdrate(C215:C218,H215:H218,J215:J218,O215:O218)</f>
        <v>-1.6425956643080886E-2</v>
      </c>
      <c r="U215" s="28">
        <f t="shared" si="17"/>
        <v>2.3614071606994171</v>
      </c>
    </row>
    <row r="216" spans="2:21" x14ac:dyDescent="0.25">
      <c r="B216" s="9"/>
      <c r="C216" s="31">
        <v>913.5</v>
      </c>
      <c r="D216" s="32">
        <v>37.789000000000001</v>
      </c>
      <c r="E216" s="32">
        <v>42.206000000000003</v>
      </c>
      <c r="F216" s="32">
        <v>42.189</v>
      </c>
      <c r="G216" s="18">
        <v>13.27</v>
      </c>
      <c r="H216" s="18">
        <f t="shared" si="15"/>
        <v>38.891125000000002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2.6812886209495108</v>
      </c>
    </row>
    <row r="217" spans="2:21" x14ac:dyDescent="0.25">
      <c r="B217" s="9"/>
      <c r="C217" s="31">
        <v>546.54999999999995</v>
      </c>
      <c r="D217" s="32">
        <v>35.503</v>
      </c>
      <c r="E217" s="32">
        <v>40.417999999999999</v>
      </c>
      <c r="F217" s="32">
        <v>40.402000000000001</v>
      </c>
      <c r="G217" s="18">
        <v>15.21</v>
      </c>
      <c r="H217" s="18">
        <f t="shared" si="15"/>
        <v>36.729750000000003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3.0489677843523997</v>
      </c>
    </row>
    <row r="218" spans="2:21" ht="16.5" thickBot="1" x14ac:dyDescent="0.3">
      <c r="B218" s="12"/>
      <c r="C218" s="33">
        <v>272.39</v>
      </c>
      <c r="D218" s="34">
        <v>32.393999999999998</v>
      </c>
      <c r="E218" s="34">
        <v>38.116999999999997</v>
      </c>
      <c r="F218" s="34">
        <v>38.073999999999998</v>
      </c>
      <c r="G218" s="20">
        <v>18.03</v>
      </c>
      <c r="H218" s="20">
        <f t="shared" si="15"/>
        <v>33.819374999999994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3.5849916805324455</v>
      </c>
    </row>
    <row r="219" spans="2:21" x14ac:dyDescent="0.25">
      <c r="B219" s="6" t="s">
        <v>107</v>
      </c>
      <c r="C219" s="15">
        <v>1521.07</v>
      </c>
      <c r="D219" s="16">
        <v>37.987000000000002</v>
      </c>
      <c r="E219" s="16">
        <v>41.764000000000003</v>
      </c>
      <c r="F219" s="16">
        <v>42.237000000000002</v>
      </c>
      <c r="G219" s="16">
        <v>15.33</v>
      </c>
      <c r="H219" s="16">
        <f t="shared" si="15"/>
        <v>38.990375000000007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-6.7170446379286819E-2</v>
      </c>
      <c r="R219" s="8">
        <f>bdrate(C219:C222,E219:E222,J219:J222,L219:L222)</f>
        <v>-0.31944725448939459</v>
      </c>
      <c r="S219" s="8">
        <f>bdrate(C219:C222,F219:F222,J219:J222,M219:M222)</f>
        <v>-0.32998903469976437</v>
      </c>
      <c r="T219" s="25">
        <f>bdrate(C219:C222,H219:H222,J219:J222,O219:O222)</f>
        <v>-0.12640466170769338</v>
      </c>
      <c r="U219" s="28">
        <f t="shared" si="17"/>
        <v>2.0554207436399214</v>
      </c>
    </row>
    <row r="220" spans="2:21" x14ac:dyDescent="0.25">
      <c r="B220" s="9"/>
      <c r="C220" s="17">
        <v>1014.97</v>
      </c>
      <c r="D220" s="18">
        <v>36.085000000000001</v>
      </c>
      <c r="E220" s="18">
        <v>40.094000000000001</v>
      </c>
      <c r="F220" s="18">
        <v>40.65</v>
      </c>
      <c r="G220" s="18">
        <v>16.920000000000002</v>
      </c>
      <c r="H220" s="18">
        <f t="shared" si="15"/>
        <v>37.156749999999995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2.271412529550827</v>
      </c>
    </row>
    <row r="221" spans="2:21" x14ac:dyDescent="0.25">
      <c r="B221" s="9"/>
      <c r="C221" s="17">
        <v>608.79999999999995</v>
      </c>
      <c r="D221" s="18">
        <v>33.744999999999997</v>
      </c>
      <c r="E221" s="18">
        <v>38.156999999999996</v>
      </c>
      <c r="F221" s="18">
        <v>38.817999999999998</v>
      </c>
      <c r="G221" s="18">
        <v>18.77</v>
      </c>
      <c r="H221" s="18">
        <f t="shared" si="15"/>
        <v>34.930624999999992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2.5962546616941933</v>
      </c>
    </row>
    <row r="222" spans="2:21" ht="16.5" thickBot="1" x14ac:dyDescent="0.3">
      <c r="B222" s="12"/>
      <c r="C222" s="19">
        <v>303.72000000000003</v>
      </c>
      <c r="D222" s="20">
        <v>30.49</v>
      </c>
      <c r="E222" s="20">
        <v>35.643999999999998</v>
      </c>
      <c r="F222" s="20">
        <v>36.439</v>
      </c>
      <c r="G222" s="20">
        <v>21.54</v>
      </c>
      <c r="H222" s="20">
        <f t="shared" si="15"/>
        <v>31.877875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3.1552135561745591</v>
      </c>
    </row>
    <row r="223" spans="2:21" x14ac:dyDescent="0.25">
      <c r="B223" s="6" t="s">
        <v>108</v>
      </c>
      <c r="C223" s="15">
        <v>1486.98</v>
      </c>
      <c r="D223" s="16">
        <v>38.137</v>
      </c>
      <c r="E223" s="16">
        <v>43.34</v>
      </c>
      <c r="F223" s="16">
        <v>45.048000000000002</v>
      </c>
      <c r="G223" s="16">
        <v>10.96</v>
      </c>
      <c r="H223" s="16">
        <f t="shared" si="15"/>
        <v>39.651250000000005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3.9210460111638312E-2</v>
      </c>
      <c r="R223" s="8">
        <f>bdrate(C223:C226,E223:E226,J223:J226,L223:L226)</f>
        <v>-0.23826335920839181</v>
      </c>
      <c r="S223" s="8">
        <f>bdrate(C223:C226,F223:F226,J223:J226,M223:M226)</f>
        <v>-0.15769705839896564</v>
      </c>
      <c r="T223" s="25">
        <f>bdrate(C223:C226,H223:H226,J223:J226,O223:O226)</f>
        <v>-1.6558626273801225E-2</v>
      </c>
      <c r="U223" s="28">
        <f t="shared" si="17"/>
        <v>3.0486496350364956</v>
      </c>
    </row>
    <row r="224" spans="2:21" x14ac:dyDescent="0.25">
      <c r="B224" s="9"/>
      <c r="C224" s="17">
        <v>992.07</v>
      </c>
      <c r="D224" s="18">
        <v>36.677999999999997</v>
      </c>
      <c r="E224" s="18">
        <v>42.201000000000001</v>
      </c>
      <c r="F224" s="18">
        <v>43.84</v>
      </c>
      <c r="G224" s="18">
        <v>12.43</v>
      </c>
      <c r="H224" s="18">
        <f t="shared" si="15"/>
        <v>38.263625000000005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3.3121560740144811</v>
      </c>
    </row>
    <row r="225" spans="2:21" x14ac:dyDescent="0.25">
      <c r="B225" s="9"/>
      <c r="C225" s="17">
        <v>595.42999999999995</v>
      </c>
      <c r="D225" s="18">
        <v>34.936999999999998</v>
      </c>
      <c r="E225" s="18">
        <v>40.837000000000003</v>
      </c>
      <c r="F225" s="18">
        <v>42.228000000000002</v>
      </c>
      <c r="G225" s="18">
        <v>14.55</v>
      </c>
      <c r="H225" s="18">
        <f t="shared" si="15"/>
        <v>36.585875000000001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3.5719106529209621</v>
      </c>
    </row>
    <row r="226" spans="2:21" ht="16.5" thickBot="1" x14ac:dyDescent="0.3">
      <c r="B226" s="12"/>
      <c r="C226" s="19">
        <v>302.42</v>
      </c>
      <c r="D226" s="20">
        <v>32.801000000000002</v>
      </c>
      <c r="E226" s="20">
        <v>39.170999999999999</v>
      </c>
      <c r="F226" s="20">
        <v>40.366999999999997</v>
      </c>
      <c r="G226" s="20">
        <v>18.07</v>
      </c>
      <c r="H226" s="20">
        <f t="shared" si="15"/>
        <v>34.542999999999999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3.9911123408965143</v>
      </c>
    </row>
    <row r="227" spans="2:21" x14ac:dyDescent="0.25">
      <c r="B227" s="6" t="s">
        <v>109</v>
      </c>
      <c r="C227" s="15">
        <v>1612.39</v>
      </c>
      <c r="D227" s="16">
        <v>49.615000000000002</v>
      </c>
      <c r="E227" s="16">
        <v>54.735999999999997</v>
      </c>
      <c r="F227" s="16">
        <v>56.06</v>
      </c>
      <c r="G227" s="16">
        <v>14.47</v>
      </c>
      <c r="H227" s="16">
        <f t="shared" si="15"/>
        <v>51.060749999999999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-0.12959142208597185</v>
      </c>
      <c r="R227" s="8">
        <f>bdrate(C227:C230,E227:E230,J227:J230,L227:L230)</f>
        <v>-9.7456856406836767E-3</v>
      </c>
      <c r="S227" s="8">
        <f>bdrate(C227:C230,F227:F230,J227:J230,M227:M230)</f>
        <v>-1.0531675790312889E-2</v>
      </c>
      <c r="T227" s="25">
        <f>bdrate(C227:C230,H227:H230,J227:J230,O227:O230)</f>
        <v>-0.10241102603791308</v>
      </c>
      <c r="U227" s="28">
        <f t="shared" si="17"/>
        <v>2.7430753282653768</v>
      </c>
    </row>
    <row r="228" spans="2:21" x14ac:dyDescent="0.25">
      <c r="B228" s="9"/>
      <c r="C228" s="17">
        <v>1068</v>
      </c>
      <c r="D228" s="18">
        <v>47.813000000000002</v>
      </c>
      <c r="E228" s="18">
        <v>53.128999999999998</v>
      </c>
      <c r="F228" s="18">
        <v>54.539000000000001</v>
      </c>
      <c r="G228" s="18">
        <v>16.829999999999998</v>
      </c>
      <c r="H228" s="18">
        <f t="shared" si="15"/>
        <v>49.318250000000006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2.7270707070707072</v>
      </c>
    </row>
    <row r="229" spans="2:21" x14ac:dyDescent="0.25">
      <c r="B229" s="9"/>
      <c r="C229" s="17">
        <v>637.04999999999995</v>
      </c>
      <c r="D229" s="18">
        <v>45.606000000000002</v>
      </c>
      <c r="E229" s="18">
        <v>51.061</v>
      </c>
      <c r="F229" s="18">
        <v>52.540999999999997</v>
      </c>
      <c r="G229" s="18">
        <v>20.11</v>
      </c>
      <c r="H229" s="18">
        <f t="shared" si="15"/>
        <v>47.15475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2.8955743411238193</v>
      </c>
    </row>
    <row r="230" spans="2:21" ht="16.5" thickBot="1" x14ac:dyDescent="0.3">
      <c r="B230" s="12"/>
      <c r="C230" s="19">
        <v>317.98</v>
      </c>
      <c r="D230" s="20">
        <v>42.585000000000001</v>
      </c>
      <c r="E230" s="20">
        <v>48.16</v>
      </c>
      <c r="F230" s="20">
        <v>49.587000000000003</v>
      </c>
      <c r="G230" s="20">
        <v>24.34</v>
      </c>
      <c r="H230" s="20">
        <f t="shared" si="15"/>
        <v>44.157124999999994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3.423175842235004</v>
      </c>
    </row>
    <row r="231" spans="2:21" x14ac:dyDescent="0.25">
      <c r="B231" s="6" t="s">
        <v>110</v>
      </c>
      <c r="C231" s="15">
        <v>1466.55</v>
      </c>
      <c r="D231" s="16">
        <v>33.146000000000001</v>
      </c>
      <c r="E231" s="16">
        <v>40.159999999999997</v>
      </c>
      <c r="F231" s="16">
        <v>39.634</v>
      </c>
      <c r="G231" s="16">
        <v>9.8699999999999992</v>
      </c>
      <c r="H231" s="16">
        <f t="shared" si="15"/>
        <v>34.833750000000002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-2.0570895182743687E-2</v>
      </c>
      <c r="R231" s="8">
        <f>bdrate(C231:C234,E231:E234,J231:J234,L231:L234)</f>
        <v>-0.40901004721705225</v>
      </c>
      <c r="S231" s="8">
        <f>bdrate(C231:C234,F231:F234,J231:J234,M231:M234)</f>
        <v>-0.4063841623782235</v>
      </c>
      <c r="T231" s="25">
        <f>bdrate(C231:C234,H231:H234,J231:J234,O231:O234)</f>
        <v>-0.10635211415792334</v>
      </c>
      <c r="U231" s="28">
        <f t="shared" si="17"/>
        <v>1.9228875379939214</v>
      </c>
    </row>
    <row r="232" spans="2:21" x14ac:dyDescent="0.25">
      <c r="B232" s="9"/>
      <c r="C232" s="17">
        <v>975.22</v>
      </c>
      <c r="D232" s="18">
        <v>31.338999999999999</v>
      </c>
      <c r="E232" s="18">
        <v>38.795999999999999</v>
      </c>
      <c r="F232" s="18">
        <v>38.21</v>
      </c>
      <c r="G232" s="18">
        <v>10.95</v>
      </c>
      <c r="H232" s="18">
        <f t="shared" si="15"/>
        <v>33.129999999999995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2.1324840182648401</v>
      </c>
    </row>
    <row r="233" spans="2:21" x14ac:dyDescent="0.25">
      <c r="B233" s="9"/>
      <c r="C233" s="17">
        <v>585.44000000000005</v>
      </c>
      <c r="D233" s="18">
        <v>29.013000000000002</v>
      </c>
      <c r="E233" s="18">
        <v>37.107999999999997</v>
      </c>
      <c r="F233" s="18">
        <v>36.448999999999998</v>
      </c>
      <c r="G233" s="18">
        <v>12.47</v>
      </c>
      <c r="H233" s="18">
        <f t="shared" si="15"/>
        <v>30.954374999999999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2.4583961507618279</v>
      </c>
    </row>
    <row r="234" spans="2:21" ht="16.5" thickBot="1" x14ac:dyDescent="0.3">
      <c r="B234" s="12"/>
      <c r="C234" s="19">
        <v>280.83999999999997</v>
      </c>
      <c r="D234" s="20">
        <v>25.202999999999999</v>
      </c>
      <c r="E234" s="20">
        <v>33.548000000000002</v>
      </c>
      <c r="F234" s="20">
        <v>33.185000000000002</v>
      </c>
      <c r="G234" s="20">
        <v>16.98</v>
      </c>
      <c r="H234" s="20">
        <f t="shared" si="15"/>
        <v>27.243874999999999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2.4962779740871608</v>
      </c>
    </row>
    <row r="235" spans="2:21" x14ac:dyDescent="0.25">
      <c r="B235" s="6" t="s">
        <v>111</v>
      </c>
      <c r="C235" s="15">
        <v>1663.48</v>
      </c>
      <c r="D235" s="16">
        <v>47.088999999999999</v>
      </c>
      <c r="E235" s="16">
        <v>47.848999999999997</v>
      </c>
      <c r="F235" s="16">
        <v>47.78</v>
      </c>
      <c r="G235" s="16">
        <v>15.93</v>
      </c>
      <c r="H235" s="16">
        <f t="shared" si="15"/>
        <v>47.270375000000001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-0.10621364852989901</v>
      </c>
      <c r="R235" s="8">
        <f>bdrate(C235:C238,E235:E238,J235:J238,L235:L238)</f>
        <v>-0.18912307783399218</v>
      </c>
      <c r="S235" s="8">
        <f>bdrate(C235:C238,F235:F238,J235:J238,M235:M238)</f>
        <v>-0.19359656281276227</v>
      </c>
      <c r="T235" s="25">
        <f>bdrate(C235:C238,H235:H238,J235:J238,O235:O238)</f>
        <v>-0.12613012544422808</v>
      </c>
      <c r="U235" s="28">
        <f t="shared" si="17"/>
        <v>1.950169491525424</v>
      </c>
    </row>
    <row r="236" spans="2:21" x14ac:dyDescent="0.25">
      <c r="B236" s="9"/>
      <c r="C236" s="17">
        <v>1099.25</v>
      </c>
      <c r="D236" s="18">
        <v>45.073</v>
      </c>
      <c r="E236" s="18">
        <v>45.920999999999999</v>
      </c>
      <c r="F236" s="18">
        <v>45.817999999999998</v>
      </c>
      <c r="G236" s="18">
        <v>17.75</v>
      </c>
      <c r="H236" s="18">
        <f t="shared" si="15"/>
        <v>45.272124999999996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2.2437183098591551</v>
      </c>
    </row>
    <row r="237" spans="2:21" x14ac:dyDescent="0.25">
      <c r="B237" s="9"/>
      <c r="C237" s="17">
        <v>654.45000000000005</v>
      </c>
      <c r="D237" s="18">
        <v>42.277999999999999</v>
      </c>
      <c r="E237" s="18">
        <v>43.354999999999997</v>
      </c>
      <c r="F237" s="18">
        <v>43.201000000000001</v>
      </c>
      <c r="G237" s="18">
        <v>19.989999999999998</v>
      </c>
      <c r="H237" s="18">
        <f t="shared" si="15"/>
        <v>42.528000000000006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2.6923361680840423</v>
      </c>
    </row>
    <row r="238" spans="2:21" ht="16.5" thickBot="1" x14ac:dyDescent="0.3">
      <c r="B238" s="12"/>
      <c r="C238" s="19">
        <v>323.32</v>
      </c>
      <c r="D238" s="20">
        <v>37.969000000000001</v>
      </c>
      <c r="E238" s="20">
        <v>39.701999999999998</v>
      </c>
      <c r="F238" s="20">
        <v>39.426000000000002</v>
      </c>
      <c r="G238" s="20">
        <v>23.03</v>
      </c>
      <c r="H238" s="20">
        <f t="shared" si="15"/>
        <v>38.367750000000001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3.281272253582284</v>
      </c>
    </row>
    <row r="239" spans="2:21" x14ac:dyDescent="0.25">
      <c r="B239" s="6" t="s">
        <v>112</v>
      </c>
      <c r="C239" s="15">
        <v>1962.95</v>
      </c>
      <c r="D239" s="16">
        <v>46.927999999999997</v>
      </c>
      <c r="E239" s="16">
        <v>48.924999999999997</v>
      </c>
      <c r="F239" s="16">
        <v>49.164000000000001</v>
      </c>
      <c r="G239" s="16">
        <v>17.47</v>
      </c>
      <c r="H239" s="16">
        <f t="shared" si="15"/>
        <v>47.457124999999998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-0.32037671395938372</v>
      </c>
      <c r="R239" s="8">
        <f>bdrate(C239:C242,E239:E242,J239:J242,L239:L242)</f>
        <v>-0.40141558061549198</v>
      </c>
      <c r="S239" s="8">
        <f>bdrate(C239:C242,F239:F242,J239:J242,M239:M242)</f>
        <v>-0.40105338306269223</v>
      </c>
      <c r="T239" s="25">
        <f>bdrate(C239:C242,H239:H242,J239:J242,O239:O242)</f>
        <v>-0.34076976045559892</v>
      </c>
      <c r="U239" s="28">
        <f t="shared" si="17"/>
        <v>2.0765540927303952</v>
      </c>
    </row>
    <row r="240" spans="2:21" x14ac:dyDescent="0.25">
      <c r="B240" s="9"/>
      <c r="C240" s="17">
        <v>1276.51</v>
      </c>
      <c r="D240" s="18">
        <v>44.436999999999998</v>
      </c>
      <c r="E240" s="18">
        <v>46.427999999999997</v>
      </c>
      <c r="F240" s="18">
        <v>46.658000000000001</v>
      </c>
      <c r="G240" s="18">
        <v>19.57</v>
      </c>
      <c r="H240" s="18">
        <f t="shared" si="15"/>
        <v>44.963499999999996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2.5019059785385798</v>
      </c>
    </row>
    <row r="241" spans="2:21" x14ac:dyDescent="0.25">
      <c r="B241" s="9"/>
      <c r="C241" s="17">
        <v>746.87</v>
      </c>
      <c r="D241" s="18">
        <v>41.78</v>
      </c>
      <c r="E241" s="18">
        <v>43.8</v>
      </c>
      <c r="F241" s="18">
        <v>44.069000000000003</v>
      </c>
      <c r="G241" s="18">
        <v>22.15</v>
      </c>
      <c r="H241" s="18">
        <f t="shared" si="15"/>
        <v>42.318625000000004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2.4240993227990972</v>
      </c>
    </row>
    <row r="242" spans="2:21" ht="16.5" thickBot="1" x14ac:dyDescent="0.3">
      <c r="B242" s="12"/>
      <c r="C242" s="19">
        <v>357.89</v>
      </c>
      <c r="D242" s="20">
        <v>38.029000000000003</v>
      </c>
      <c r="E242" s="20">
        <v>40.249000000000002</v>
      </c>
      <c r="F242" s="20">
        <v>40.579000000000001</v>
      </c>
      <c r="G242" s="20">
        <v>25.96</v>
      </c>
      <c r="H242" s="20">
        <f t="shared" si="15"/>
        <v>38.625250000000008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3.4310747303543909</v>
      </c>
    </row>
    <row r="243" spans="2:21" x14ac:dyDescent="0.25">
      <c r="B243" s="6" t="s">
        <v>113</v>
      </c>
      <c r="C243" s="29">
        <v>1534.58</v>
      </c>
      <c r="D243" s="30">
        <v>33.555</v>
      </c>
      <c r="E243" s="30">
        <v>36.670999999999999</v>
      </c>
      <c r="F243" s="30">
        <v>35.542999999999999</v>
      </c>
      <c r="G243" s="16">
        <v>11.73</v>
      </c>
      <c r="H243" s="16">
        <f t="shared" si="15"/>
        <v>34.192999999999998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-1.7198822088941856E-3</v>
      </c>
      <c r="R243" s="8">
        <f>bdrate(C243:C246,E243:E246,J243:J246,L243:L246)</f>
        <v>-0.37340423930450584</v>
      </c>
      <c r="S243" s="8">
        <f>bdrate(C243:C246,F243:F246,J243:J246,M243:M246)</f>
        <v>-0.36651756299223792</v>
      </c>
      <c r="T243" s="25">
        <f>bdrate(C243:C246,H243:H246,J243:J246,O243:O246)</f>
        <v>-8.3300077902958458E-2</v>
      </c>
      <c r="U243" s="28">
        <f t="shared" si="17"/>
        <v>1.9789684569479966</v>
      </c>
    </row>
    <row r="244" spans="2:21" x14ac:dyDescent="0.25">
      <c r="B244" s="9"/>
      <c r="C244" s="31">
        <v>1019.47</v>
      </c>
      <c r="D244" s="32">
        <v>31.675999999999998</v>
      </c>
      <c r="E244" s="32">
        <v>35.28</v>
      </c>
      <c r="F244" s="32">
        <v>34.058999999999997</v>
      </c>
      <c r="G244" s="18">
        <v>12.92</v>
      </c>
      <c r="H244" s="18">
        <f t="shared" si="15"/>
        <v>32.424374999999998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2.2166331269349846</v>
      </c>
    </row>
    <row r="245" spans="2:21" x14ac:dyDescent="0.25">
      <c r="B245" s="9"/>
      <c r="C245" s="31">
        <v>608.59</v>
      </c>
      <c r="D245" s="32">
        <v>29.395</v>
      </c>
      <c r="E245" s="32">
        <v>33.673000000000002</v>
      </c>
      <c r="F245" s="32">
        <v>32.368000000000002</v>
      </c>
      <c r="G245" s="18">
        <v>14.7</v>
      </c>
      <c r="H245" s="18">
        <f t="shared" si="15"/>
        <v>30.301375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2.4715646258503399</v>
      </c>
    </row>
    <row r="246" spans="2:21" ht="16.5" thickBot="1" x14ac:dyDescent="0.3">
      <c r="B246" s="12"/>
      <c r="C246" s="33">
        <v>293.49</v>
      </c>
      <c r="D246" s="34">
        <v>26.288</v>
      </c>
      <c r="E246" s="34">
        <v>31.190999999999999</v>
      </c>
      <c r="F246" s="34">
        <v>29.856999999999999</v>
      </c>
      <c r="G246" s="20">
        <v>18.38</v>
      </c>
      <c r="H246" s="20">
        <f t="shared" si="15"/>
        <v>27.347000000000001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2.7923068552774759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-6.1334698151368369E-2</v>
      </c>
      <c r="R247" s="21">
        <f>AVERAGE(R131:R246)</f>
        <v>-0.32543317686124823</v>
      </c>
      <c r="S247" s="21">
        <f>AVERAGE(S131:S246)</f>
        <v>-0.30411538741559263</v>
      </c>
      <c r="T247" s="21">
        <f>AVERAGE(T131:T246)</f>
        <v>-0.11437865176687527</v>
      </c>
      <c r="U247" s="21">
        <f>AVERAGE(U131:U246)</f>
        <v>2.8724858076730029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25" priority="453" operator="greaterThan">
      <formula>0.03</formula>
    </cfRule>
    <cfRule type="cellIs" dxfId="324" priority="454" stopIfTrue="1" operator="lessThan">
      <formula>-0.03</formula>
    </cfRule>
  </conditionalFormatting>
  <conditionalFormatting sqref="Q33:T36">
    <cfRule type="cellIs" dxfId="323" priority="451" operator="greaterThan">
      <formula>0.03</formula>
    </cfRule>
    <cfRule type="cellIs" dxfId="322" priority="452" stopIfTrue="1" operator="lessThan">
      <formula>-0.03</formula>
    </cfRule>
  </conditionalFormatting>
  <conditionalFormatting sqref="Q46:T48 Q62:T64">
    <cfRule type="cellIs" dxfId="321" priority="449" operator="greaterThan">
      <formula>0.03</formula>
    </cfRule>
    <cfRule type="cellIs" dxfId="320" priority="450" stopIfTrue="1" operator="lessThan">
      <formula>-0.03</formula>
    </cfRule>
  </conditionalFormatting>
  <conditionalFormatting sqref="Q50:T52 Q54:T56 Q58:T60">
    <cfRule type="cellIs" dxfId="319" priority="447" operator="greaterThan">
      <formula>0.03</formula>
    </cfRule>
    <cfRule type="cellIs" dxfId="318" priority="448" stopIfTrue="1" operator="lessThan">
      <formula>-0.03</formula>
    </cfRule>
  </conditionalFormatting>
  <conditionalFormatting sqref="Q70:T72 Q74:T76">
    <cfRule type="cellIs" dxfId="317" priority="445" operator="greaterThan">
      <formula>0.03</formula>
    </cfRule>
    <cfRule type="cellIs" dxfId="316" priority="446" stopIfTrue="1" operator="lessThan">
      <formula>-0.03</formula>
    </cfRule>
  </conditionalFormatting>
  <conditionalFormatting sqref="Q66:T68">
    <cfRule type="cellIs" dxfId="315" priority="443" operator="greaterThan">
      <formula>0.03</formula>
    </cfRule>
    <cfRule type="cellIs" dxfId="314" priority="444" stopIfTrue="1" operator="lessThan">
      <formula>-0.03</formula>
    </cfRule>
  </conditionalFormatting>
  <conditionalFormatting sqref="Q78:T80">
    <cfRule type="cellIs" dxfId="313" priority="441" operator="greaterThan">
      <formula>0.03</formula>
    </cfRule>
    <cfRule type="cellIs" dxfId="312" priority="442" stopIfTrue="1" operator="lessThan">
      <formula>-0.03</formula>
    </cfRule>
  </conditionalFormatting>
  <conditionalFormatting sqref="Q21:T28">
    <cfRule type="cellIs" dxfId="311" priority="423" operator="greaterThan">
      <formula>0.03</formula>
    </cfRule>
    <cfRule type="cellIs" dxfId="310" priority="424" stopIfTrue="1" operator="lessThan">
      <formula>-0.03</formula>
    </cfRule>
  </conditionalFormatting>
  <conditionalFormatting sqref="Q151:T154 Q159:T166 Q131:T142">
    <cfRule type="cellIs" dxfId="309" priority="419" operator="greaterThan">
      <formula>0.03</formula>
    </cfRule>
    <cfRule type="cellIs" dxfId="308" priority="420" stopIfTrue="1" operator="lessThan">
      <formula>-0.03</formula>
    </cfRule>
  </conditionalFormatting>
  <conditionalFormatting sqref="Q155:T158">
    <cfRule type="cellIs" dxfId="307" priority="417" operator="greaterThan">
      <formula>0.03</formula>
    </cfRule>
    <cfRule type="cellIs" dxfId="306" priority="418" stopIfTrue="1" operator="lessThan">
      <formula>-0.03</formula>
    </cfRule>
  </conditionalFormatting>
  <conditionalFormatting sqref="Q167:T170 Q183:T186">
    <cfRule type="cellIs" dxfId="305" priority="415" operator="greaterThan">
      <formula>0.03</formula>
    </cfRule>
    <cfRule type="cellIs" dxfId="304" priority="416" stopIfTrue="1" operator="lessThan">
      <formula>-0.03</formula>
    </cfRule>
  </conditionalFormatting>
  <conditionalFormatting sqref="Q171:T182">
    <cfRule type="cellIs" dxfId="303" priority="413" operator="greaterThan">
      <formula>0.03</formula>
    </cfRule>
    <cfRule type="cellIs" dxfId="302" priority="414" stopIfTrue="1" operator="lessThan">
      <formula>-0.03</formula>
    </cfRule>
  </conditionalFormatting>
  <conditionalFormatting sqref="Q191:T198">
    <cfRule type="cellIs" dxfId="301" priority="411" operator="greaterThan">
      <formula>0.03</formula>
    </cfRule>
    <cfRule type="cellIs" dxfId="300" priority="412" stopIfTrue="1" operator="lessThan">
      <formula>-0.03</formula>
    </cfRule>
  </conditionalFormatting>
  <conditionalFormatting sqref="Q187:T190">
    <cfRule type="cellIs" dxfId="299" priority="409" operator="greaterThan">
      <formula>0.03</formula>
    </cfRule>
    <cfRule type="cellIs" dxfId="298" priority="410" stopIfTrue="1" operator="lessThan">
      <formula>-0.03</formula>
    </cfRule>
  </conditionalFormatting>
  <conditionalFormatting sqref="Q199:T202">
    <cfRule type="cellIs" dxfId="297" priority="407" operator="greaterThan">
      <formula>0.03</formula>
    </cfRule>
    <cfRule type="cellIs" dxfId="296" priority="408" stopIfTrue="1" operator="lessThan">
      <formula>-0.03</formula>
    </cfRule>
  </conditionalFormatting>
  <conditionalFormatting sqref="Q143:T150">
    <cfRule type="cellIs" dxfId="295" priority="405" operator="greaterThan">
      <formula>0.03</formula>
    </cfRule>
    <cfRule type="cellIs" dxfId="294" priority="406" stopIfTrue="1" operator="lessThan">
      <formula>-0.03</formula>
    </cfRule>
  </conditionalFormatting>
  <conditionalFormatting sqref="Q45:T45">
    <cfRule type="cellIs" dxfId="293" priority="403" operator="greaterThan">
      <formula>0.03</formula>
    </cfRule>
    <cfRule type="cellIs" dxfId="292" priority="404" stopIfTrue="1" operator="lessThan">
      <formula>-0.03</formula>
    </cfRule>
  </conditionalFormatting>
  <conditionalFormatting sqref="Q49:T49">
    <cfRule type="cellIs" dxfId="291" priority="401" operator="greaterThan">
      <formula>0.03</formula>
    </cfRule>
    <cfRule type="cellIs" dxfId="290" priority="402" stopIfTrue="1" operator="lessThan">
      <formula>-0.03</formula>
    </cfRule>
  </conditionalFormatting>
  <conditionalFormatting sqref="Q53:T53">
    <cfRule type="cellIs" dxfId="289" priority="399" operator="greaterThan">
      <formula>0.03</formula>
    </cfRule>
    <cfRule type="cellIs" dxfId="288" priority="400" stopIfTrue="1" operator="lessThan">
      <formula>-0.03</formula>
    </cfRule>
  </conditionalFormatting>
  <conditionalFormatting sqref="Q57:T57">
    <cfRule type="cellIs" dxfId="287" priority="397" operator="greaterThan">
      <formula>0.03</formula>
    </cfRule>
    <cfRule type="cellIs" dxfId="286" priority="398" stopIfTrue="1" operator="lessThan">
      <formula>-0.03</formula>
    </cfRule>
  </conditionalFormatting>
  <conditionalFormatting sqref="Q61:T61">
    <cfRule type="cellIs" dxfId="285" priority="395" operator="greaterThan">
      <formula>0.03</formula>
    </cfRule>
    <cfRule type="cellIs" dxfId="284" priority="396" stopIfTrue="1" operator="lessThan">
      <formula>-0.03</formula>
    </cfRule>
  </conditionalFormatting>
  <conditionalFormatting sqref="Q65:T65">
    <cfRule type="cellIs" dxfId="283" priority="393" operator="greaterThan">
      <formula>0.03</formula>
    </cfRule>
    <cfRule type="cellIs" dxfId="282" priority="394" stopIfTrue="1" operator="lessThan">
      <formula>-0.03</formula>
    </cfRule>
  </conditionalFormatting>
  <conditionalFormatting sqref="Q69:T69">
    <cfRule type="cellIs" dxfId="281" priority="391" operator="greaterThan">
      <formula>0.03</formula>
    </cfRule>
    <cfRule type="cellIs" dxfId="280" priority="392" stopIfTrue="1" operator="lessThan">
      <formula>-0.03</formula>
    </cfRule>
  </conditionalFormatting>
  <conditionalFormatting sqref="Q73:T73">
    <cfRule type="cellIs" dxfId="279" priority="389" operator="greaterThan">
      <formula>0.03</formula>
    </cfRule>
    <cfRule type="cellIs" dxfId="278" priority="390" stopIfTrue="1" operator="lessThan">
      <formula>-0.03</formula>
    </cfRule>
  </conditionalFormatting>
  <conditionalFormatting sqref="Q77:T77">
    <cfRule type="cellIs" dxfId="277" priority="387" operator="greaterThan">
      <formula>0.03</formula>
    </cfRule>
    <cfRule type="cellIs" dxfId="276" priority="388" stopIfTrue="1" operator="lessThan">
      <formula>-0.03</formula>
    </cfRule>
  </conditionalFormatting>
  <conditionalFormatting sqref="Q117:T117">
    <cfRule type="cellIs" dxfId="275" priority="99" operator="greaterThan">
      <formula>0.03</formula>
    </cfRule>
    <cfRule type="cellIs" dxfId="274" priority="100" stopIfTrue="1" operator="lessThan">
      <formula>-0.03</formula>
    </cfRule>
  </conditionalFormatting>
  <conditionalFormatting sqref="Q93:T96 Q101:T108 Q81:T84">
    <cfRule type="cellIs" dxfId="273" priority="113" operator="greaterThan">
      <formula>0.03</formula>
    </cfRule>
    <cfRule type="cellIs" dxfId="272" priority="114" stopIfTrue="1" operator="lessThan">
      <formula>-0.03</formula>
    </cfRule>
  </conditionalFormatting>
  <conditionalFormatting sqref="Q97:T100">
    <cfRule type="cellIs" dxfId="271" priority="111" operator="greaterThan">
      <formula>0.03</formula>
    </cfRule>
    <cfRule type="cellIs" dxfId="270" priority="112" stopIfTrue="1" operator="lessThan">
      <formula>-0.03</formula>
    </cfRule>
  </conditionalFormatting>
  <conditionalFormatting sqref="Q110:T112 Q122:T124">
    <cfRule type="cellIs" dxfId="269" priority="109" operator="greaterThan">
      <formula>0.03</formula>
    </cfRule>
    <cfRule type="cellIs" dxfId="268" priority="110" stopIfTrue="1" operator="lessThan">
      <formula>-0.03</formula>
    </cfRule>
  </conditionalFormatting>
  <conditionalFormatting sqref="Q114:T116 Q118:T120">
    <cfRule type="cellIs" dxfId="267" priority="107" operator="greaterThan">
      <formula>0.03</formula>
    </cfRule>
    <cfRule type="cellIs" dxfId="266" priority="108" stopIfTrue="1" operator="lessThan">
      <formula>-0.03</formula>
    </cfRule>
  </conditionalFormatting>
  <conditionalFormatting sqref="Q85:T92">
    <cfRule type="cellIs" dxfId="265" priority="105" operator="greaterThan">
      <formula>0.03</formula>
    </cfRule>
    <cfRule type="cellIs" dxfId="264" priority="106" stopIfTrue="1" operator="lessThan">
      <formula>-0.03</formula>
    </cfRule>
  </conditionalFormatting>
  <conditionalFormatting sqref="Q109:T109">
    <cfRule type="cellIs" dxfId="263" priority="103" operator="greaterThan">
      <formula>0.03</formula>
    </cfRule>
    <cfRule type="cellIs" dxfId="262" priority="104" stopIfTrue="1" operator="lessThan">
      <formula>-0.03</formula>
    </cfRule>
  </conditionalFormatting>
  <conditionalFormatting sqref="Q113:T113">
    <cfRule type="cellIs" dxfId="261" priority="101" operator="greaterThan">
      <formula>0.03</formula>
    </cfRule>
    <cfRule type="cellIs" dxfId="260" priority="102" stopIfTrue="1" operator="lessThan">
      <formula>-0.03</formula>
    </cfRule>
  </conditionalFormatting>
  <conditionalFormatting sqref="Q121:T121">
    <cfRule type="cellIs" dxfId="259" priority="97" operator="greaterThan">
      <formula>0.03</formula>
    </cfRule>
    <cfRule type="cellIs" dxfId="258" priority="98" stopIfTrue="1" operator="lessThan">
      <formula>-0.03</formula>
    </cfRule>
  </conditionalFormatting>
  <conditionalFormatting sqref="Q239:T239">
    <cfRule type="cellIs" dxfId="257" priority="33" operator="greaterThan">
      <formula>0.03</formula>
    </cfRule>
    <cfRule type="cellIs" dxfId="256" priority="34" stopIfTrue="1" operator="lessThan">
      <formula>-0.03</formula>
    </cfRule>
  </conditionalFormatting>
  <conditionalFormatting sqref="Q215:T218 Q223:T230 Q203:T206">
    <cfRule type="cellIs" dxfId="255" priority="47" operator="greaterThan">
      <formula>0.03</formula>
    </cfRule>
    <cfRule type="cellIs" dxfId="254" priority="48" stopIfTrue="1" operator="lessThan">
      <formula>-0.03</formula>
    </cfRule>
  </conditionalFormatting>
  <conditionalFormatting sqref="Q219:T222">
    <cfRule type="cellIs" dxfId="253" priority="45" operator="greaterThan">
      <formula>0.03</formula>
    </cfRule>
    <cfRule type="cellIs" dxfId="252" priority="46" stopIfTrue="1" operator="lessThan">
      <formula>-0.03</formula>
    </cfRule>
  </conditionalFormatting>
  <conditionalFormatting sqref="Q232:T234 Q244:T246">
    <cfRule type="cellIs" dxfId="251" priority="43" operator="greaterThan">
      <formula>0.03</formula>
    </cfRule>
    <cfRule type="cellIs" dxfId="250" priority="44" stopIfTrue="1" operator="lessThan">
      <formula>-0.03</formula>
    </cfRule>
  </conditionalFormatting>
  <conditionalFormatting sqref="Q236:T238 Q240:T242">
    <cfRule type="cellIs" dxfId="249" priority="41" operator="greaterThan">
      <formula>0.03</formula>
    </cfRule>
    <cfRule type="cellIs" dxfId="248" priority="42" stopIfTrue="1" operator="lessThan">
      <formula>-0.03</formula>
    </cfRule>
  </conditionalFormatting>
  <conditionalFormatting sqref="Q207:T214">
    <cfRule type="cellIs" dxfId="247" priority="39" operator="greaterThan">
      <formula>0.03</formula>
    </cfRule>
    <cfRule type="cellIs" dxfId="246" priority="40" stopIfTrue="1" operator="lessThan">
      <formula>-0.03</formula>
    </cfRule>
  </conditionalFormatting>
  <conditionalFormatting sqref="Q231:T231">
    <cfRule type="cellIs" dxfId="245" priority="37" operator="greaterThan">
      <formula>0.03</formula>
    </cfRule>
    <cfRule type="cellIs" dxfId="244" priority="38" stopIfTrue="1" operator="lessThan">
      <formula>-0.03</formula>
    </cfRule>
  </conditionalFormatting>
  <conditionalFormatting sqref="Q235:T235">
    <cfRule type="cellIs" dxfId="243" priority="35" operator="greaterThan">
      <formula>0.03</formula>
    </cfRule>
    <cfRule type="cellIs" dxfId="242" priority="36" stopIfTrue="1" operator="lessThan">
      <formula>-0.03</formula>
    </cfRule>
  </conditionalFormatting>
  <conditionalFormatting sqref="Q243:T243">
    <cfRule type="cellIs" dxfId="241" priority="31" operator="greaterThan">
      <formula>0.03</formula>
    </cfRule>
    <cfRule type="cellIs" dxfId="2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>
      <selection activeCell="B37" sqref="B3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95</v>
      </c>
    </row>
    <row r="3" spans="1:21" x14ac:dyDescent="0.25">
      <c r="A3" t="s">
        <v>91</v>
      </c>
    </row>
    <row r="4" spans="1:21" x14ac:dyDescent="0.25">
      <c r="A4" t="s">
        <v>94</v>
      </c>
    </row>
    <row r="5" spans="1:21" s="35" customFormat="1" ht="15.75" customHeight="1" x14ac:dyDescent="0.25">
      <c r="B5" s="51" t="s">
        <v>29</v>
      </c>
      <c r="C5" s="56" t="s">
        <v>136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84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3532.12</v>
      </c>
      <c r="D9" s="16">
        <v>37.991</v>
      </c>
      <c r="E9" s="16">
        <v>39.164000000000001</v>
      </c>
      <c r="F9" s="16">
        <v>41.524000000000001</v>
      </c>
      <c r="G9" s="16">
        <v>0.71</v>
      </c>
      <c r="H9" s="16">
        <f t="shared" ref="H9:H80" si="0">(6*D9+E9+F9)/8</f>
        <v>38.579250000000002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-2.4797340058900108E-2</v>
      </c>
      <c r="R9" s="8">
        <f>bdrate(C9:C12,E9:E12,J9:J12,L9:L12)</f>
        <v>-0.39398291587464584</v>
      </c>
      <c r="S9" s="8">
        <f>bdrate(C9:C12,F9:F12,J9:J12,M9:M12)</f>
        <v>-0.3860705118740001</v>
      </c>
      <c r="T9" s="25">
        <f>bdrate(C9:C12,H9:H12,J9:J12,O9:O12)</f>
        <v>-8.8518607670418525E-2</v>
      </c>
      <c r="U9" s="28">
        <f t="shared" ref="U9:U72" si="2">(N9-G9)/G9</f>
        <v>0.97788732394366218</v>
      </c>
    </row>
    <row r="10" spans="1:21" x14ac:dyDescent="0.25">
      <c r="A10" s="9" t="s">
        <v>36</v>
      </c>
      <c r="B10" s="9"/>
      <c r="C10" s="17">
        <v>2641.36</v>
      </c>
      <c r="D10" s="18">
        <v>37.155999999999999</v>
      </c>
      <c r="E10" s="18">
        <v>38.595999999999997</v>
      </c>
      <c r="F10" s="18">
        <v>40.945</v>
      </c>
      <c r="G10" s="18">
        <v>0.8</v>
      </c>
      <c r="H10" s="18">
        <f t="shared" si="0"/>
        <v>37.809624999999997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1.1056250000000001</v>
      </c>
    </row>
    <row r="11" spans="1:21" x14ac:dyDescent="0.25">
      <c r="B11" s="9"/>
      <c r="C11" s="17">
        <v>1743.46</v>
      </c>
      <c r="D11" s="18">
        <v>35.93</v>
      </c>
      <c r="E11" s="18">
        <v>37.884999999999998</v>
      </c>
      <c r="F11" s="18">
        <v>40.231000000000002</v>
      </c>
      <c r="G11" s="18">
        <v>0.92</v>
      </c>
      <c r="H11" s="18">
        <f t="shared" si="0"/>
        <v>36.711999999999996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1.2561956521739128</v>
      </c>
    </row>
    <row r="12" spans="1:21" ht="16.5" thickBot="1" x14ac:dyDescent="0.3">
      <c r="B12" s="12"/>
      <c r="C12" s="19">
        <v>837.96</v>
      </c>
      <c r="D12" s="20">
        <v>33.536000000000001</v>
      </c>
      <c r="E12" s="20">
        <v>37.091999999999999</v>
      </c>
      <c r="F12" s="20">
        <v>39.393999999999998</v>
      </c>
      <c r="G12" s="20">
        <v>1.19</v>
      </c>
      <c r="H12" s="20">
        <f t="shared" si="0"/>
        <v>34.71275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1.580420168067227</v>
      </c>
    </row>
    <row r="13" spans="1:21" x14ac:dyDescent="0.25">
      <c r="B13" s="6" t="s">
        <v>47</v>
      </c>
      <c r="C13" s="15">
        <v>3988.19</v>
      </c>
      <c r="D13" s="16">
        <v>30.847999999999999</v>
      </c>
      <c r="E13" s="16">
        <v>38.494</v>
      </c>
      <c r="F13" s="16">
        <v>39.612000000000002</v>
      </c>
      <c r="G13" s="16">
        <v>0.55000000000000004</v>
      </c>
      <c r="H13" s="16">
        <f t="shared" si="0"/>
        <v>32.899250000000002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0.11051210815377277</v>
      </c>
      <c r="R13" s="8">
        <f>bdrate(C13:C16,E13:E16,J13:J16,L13:L16)</f>
        <v>-0.63866650926203206</v>
      </c>
      <c r="S13" s="8">
        <f>bdrate(C13:C16,F13:F16,J13:J16,M13:M16)</f>
        <v>-0.64282503125230006</v>
      </c>
      <c r="T13" s="25">
        <f>bdrate(C13:C16,H13:H16,J13:J16,O13:O16)</f>
        <v>-3.8014636270202851E-2</v>
      </c>
      <c r="U13" s="28">
        <f t="shared" si="2"/>
        <v>0.74272727272727257</v>
      </c>
    </row>
    <row r="14" spans="1:21" x14ac:dyDescent="0.25">
      <c r="B14" s="9"/>
      <c r="C14" s="17">
        <v>3008.8</v>
      </c>
      <c r="D14" s="18">
        <v>29.486999999999998</v>
      </c>
      <c r="E14" s="18">
        <v>37.89</v>
      </c>
      <c r="F14" s="18">
        <v>39.158999999999999</v>
      </c>
      <c r="G14" s="18">
        <v>0.63</v>
      </c>
      <c r="H14" s="18">
        <f t="shared" si="0"/>
        <v>31.746375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0.75809523809523793</v>
      </c>
    </row>
    <row r="15" spans="1:21" x14ac:dyDescent="0.25">
      <c r="B15" s="9"/>
      <c r="C15" s="17">
        <v>1995.02</v>
      </c>
      <c r="D15" s="18">
        <v>27.542000000000002</v>
      </c>
      <c r="E15" s="18">
        <v>36.999000000000002</v>
      </c>
      <c r="F15" s="18">
        <v>38.372</v>
      </c>
      <c r="G15" s="18">
        <v>0.77</v>
      </c>
      <c r="H15" s="18">
        <f t="shared" si="0"/>
        <v>30.077874999999999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0.76675324675324674</v>
      </c>
    </row>
    <row r="16" spans="1:21" ht="16.5" thickBot="1" x14ac:dyDescent="0.3">
      <c r="B16" s="12"/>
      <c r="C16" s="19">
        <v>1566.12</v>
      </c>
      <c r="D16" s="20">
        <v>25.484999999999999</v>
      </c>
      <c r="E16" s="20">
        <v>35.817</v>
      </c>
      <c r="F16" s="20">
        <v>37.219000000000001</v>
      </c>
      <c r="G16" s="20">
        <v>0.87</v>
      </c>
      <c r="H16" s="20">
        <f t="shared" si="0"/>
        <v>28.24325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0.79390804597701148</v>
      </c>
    </row>
    <row r="17" spans="1:21" x14ac:dyDescent="0.25">
      <c r="A17" s="6" t="s">
        <v>37</v>
      </c>
      <c r="B17" s="6" t="s">
        <v>48</v>
      </c>
      <c r="C17" s="15">
        <v>1974.03</v>
      </c>
      <c r="D17" s="16">
        <v>39.371000000000002</v>
      </c>
      <c r="E17" s="16">
        <v>41.616999999999997</v>
      </c>
      <c r="F17" s="16">
        <v>42.902000000000001</v>
      </c>
      <c r="G17" s="16">
        <v>1</v>
      </c>
      <c r="H17" s="16">
        <f t="shared" si="0"/>
        <v>40.093125000000001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5.0613045955798075E-2</v>
      </c>
      <c r="R17" s="8">
        <f>bdrate(C17:C20,E17:E20,J17:J20,L17:L20)</f>
        <v>-0.38297377788902909</v>
      </c>
      <c r="S17" s="8">
        <f>bdrate(C17:C20,F17:F20,J17:J20,M17:M20)</f>
        <v>-0.39359740970816848</v>
      </c>
      <c r="T17" s="25">
        <f>bdrate(C17:C20,H17:H20,J17:J20,O17:O20)</f>
        <v>-3.483686418063181E-2</v>
      </c>
      <c r="U17" s="28">
        <f t="shared" si="2"/>
        <v>0.72740000000000005</v>
      </c>
    </row>
    <row r="18" spans="1:21" x14ac:dyDescent="0.25">
      <c r="A18" s="9" t="s">
        <v>38</v>
      </c>
      <c r="B18" s="9"/>
      <c r="C18" s="17">
        <v>1294.96</v>
      </c>
      <c r="D18" s="18">
        <v>38.052999999999997</v>
      </c>
      <c r="E18" s="18">
        <v>40.762</v>
      </c>
      <c r="F18" s="18">
        <v>41.978000000000002</v>
      </c>
      <c r="G18" s="18">
        <v>1.19</v>
      </c>
      <c r="H18" s="18">
        <f t="shared" si="0"/>
        <v>38.882249999999999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0.79773109243697482</v>
      </c>
    </row>
    <row r="19" spans="1:21" x14ac:dyDescent="0.25">
      <c r="B19" s="9"/>
      <c r="C19" s="17">
        <v>800.87</v>
      </c>
      <c r="D19" s="18">
        <v>36.456000000000003</v>
      </c>
      <c r="E19" s="18">
        <v>39.841000000000001</v>
      </c>
      <c r="F19" s="18">
        <v>41.137999999999998</v>
      </c>
      <c r="G19" s="18">
        <v>1.43</v>
      </c>
      <c r="H19" s="18">
        <f t="shared" si="0"/>
        <v>37.464374999999997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0.95006993006993024</v>
      </c>
    </row>
    <row r="20" spans="1:21" ht="16.5" thickBot="1" x14ac:dyDescent="0.3">
      <c r="B20" s="12"/>
      <c r="C20" s="19">
        <v>476.5</v>
      </c>
      <c r="D20" s="20">
        <v>34.628</v>
      </c>
      <c r="E20" s="20">
        <v>38.914999999999999</v>
      </c>
      <c r="F20" s="20">
        <v>40.350999999999999</v>
      </c>
      <c r="G20" s="20">
        <v>1.71</v>
      </c>
      <c r="H20" s="20">
        <f t="shared" si="0"/>
        <v>35.879249999999999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1.166140350877193</v>
      </c>
    </row>
    <row r="21" spans="1:21" x14ac:dyDescent="0.25">
      <c r="B21" s="6" t="s">
        <v>49</v>
      </c>
      <c r="C21" s="15">
        <v>2227.48</v>
      </c>
      <c r="D21" s="16">
        <v>36.521000000000001</v>
      </c>
      <c r="E21" s="16">
        <v>39.579000000000001</v>
      </c>
      <c r="F21" s="16">
        <v>40.61</v>
      </c>
      <c r="G21" s="16">
        <v>1.08</v>
      </c>
      <c r="H21" s="16">
        <f t="shared" si="0"/>
        <v>37.414375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1.0183755909755066E-2</v>
      </c>
      <c r="R21" s="8">
        <f>bdrate(C21:C24,E21:E24,J21:J24,L21:L24)</f>
        <v>-0.4194446769360487</v>
      </c>
      <c r="S21" s="8">
        <f>bdrate(C21:C24,F21:F24,J21:J24,M21:M24)</f>
        <v>-0.45571298420346884</v>
      </c>
      <c r="T21" s="25">
        <f>bdrate(C21:C24,H21:H24,J21:J24,O21:O24)</f>
        <v>-8.3865142985619645E-2</v>
      </c>
      <c r="U21" s="28">
        <f t="shared" si="2"/>
        <v>0.94925925925925914</v>
      </c>
    </row>
    <row r="22" spans="1:21" x14ac:dyDescent="0.25">
      <c r="B22" s="9"/>
      <c r="C22" s="17">
        <v>1479.59</v>
      </c>
      <c r="D22" s="18">
        <v>35.228999999999999</v>
      </c>
      <c r="E22" s="18">
        <v>38.618000000000002</v>
      </c>
      <c r="F22" s="18">
        <v>39.781999999999996</v>
      </c>
      <c r="G22" s="18">
        <v>1.26</v>
      </c>
      <c r="H22" s="18">
        <f t="shared" si="0"/>
        <v>36.22175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1.0555555555555554</v>
      </c>
    </row>
    <row r="23" spans="1:21" x14ac:dyDescent="0.25">
      <c r="B23" s="9"/>
      <c r="C23" s="17">
        <v>919.52</v>
      </c>
      <c r="D23" s="18">
        <v>33.762999999999998</v>
      </c>
      <c r="E23" s="18">
        <v>37.642000000000003</v>
      </c>
      <c r="F23" s="18">
        <v>39.064</v>
      </c>
      <c r="G23" s="18">
        <v>1.49</v>
      </c>
      <c r="H23" s="18">
        <f t="shared" si="0"/>
        <v>34.910499999999999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1.2212751677852349</v>
      </c>
    </row>
    <row r="24" spans="1:21" ht="16.5" thickBot="1" x14ac:dyDescent="0.3">
      <c r="B24" s="12"/>
      <c r="C24" s="19">
        <v>544.75</v>
      </c>
      <c r="D24" s="20">
        <v>32.186</v>
      </c>
      <c r="E24" s="20">
        <v>36.75</v>
      </c>
      <c r="F24" s="20">
        <v>38.484000000000002</v>
      </c>
      <c r="G24" s="20">
        <v>1.76</v>
      </c>
      <c r="H24" s="20">
        <f t="shared" si="0"/>
        <v>33.543749999999996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1.4119886363636365</v>
      </c>
    </row>
    <row r="25" spans="1:21" x14ac:dyDescent="0.25">
      <c r="B25" s="6" t="s">
        <v>50</v>
      </c>
      <c r="C25" s="15">
        <v>2358.58</v>
      </c>
      <c r="D25" s="16">
        <v>34.625</v>
      </c>
      <c r="E25" s="16">
        <v>37.871000000000002</v>
      </c>
      <c r="F25" s="16">
        <v>39.625</v>
      </c>
      <c r="G25" s="16">
        <v>1.38</v>
      </c>
      <c r="H25" s="16">
        <f t="shared" si="0"/>
        <v>35.655749999999998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-0.10191845002150912</v>
      </c>
      <c r="R25" s="8">
        <f>bdrate(C25:C28,E25:E28,J25:J28,L25:L28)</f>
        <v>-0.52203843062243471</v>
      </c>
      <c r="S25" s="8">
        <f>bdrate(C25:C28,F25:F28,J25:J28,M25:M28)</f>
        <v>-0.51261296435621229</v>
      </c>
      <c r="T25" s="25">
        <f>bdrate(C25:C28,H25:H28,J25:J28,O25:O28)</f>
        <v>-0.18109039477107836</v>
      </c>
      <c r="U25" s="28">
        <f t="shared" si="2"/>
        <v>0.99362318840579711</v>
      </c>
    </row>
    <row r="26" spans="1:21" x14ac:dyDescent="0.25">
      <c r="B26" s="9"/>
      <c r="C26" s="17">
        <v>1564.64</v>
      </c>
      <c r="D26" s="18">
        <v>33.512</v>
      </c>
      <c r="E26" s="18">
        <v>37.395000000000003</v>
      </c>
      <c r="F26" s="18">
        <v>38.850999999999999</v>
      </c>
      <c r="G26" s="18">
        <v>1.61</v>
      </c>
      <c r="H26" s="18">
        <f t="shared" si="0"/>
        <v>34.664749999999998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1.076583850931677</v>
      </c>
    </row>
    <row r="27" spans="1:21" x14ac:dyDescent="0.25">
      <c r="B27" s="9"/>
      <c r="C27" s="17">
        <v>971.43</v>
      </c>
      <c r="D27" s="18">
        <v>32.148000000000003</v>
      </c>
      <c r="E27" s="18">
        <v>36.817999999999998</v>
      </c>
      <c r="F27" s="18">
        <v>37.935000000000002</v>
      </c>
      <c r="G27" s="18">
        <v>1.9</v>
      </c>
      <c r="H27" s="18">
        <f t="shared" si="0"/>
        <v>33.455125000000002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1.2577894736842103</v>
      </c>
    </row>
    <row r="28" spans="1:21" ht="16.5" thickBot="1" x14ac:dyDescent="0.3">
      <c r="B28" s="12"/>
      <c r="C28" s="19">
        <v>568.51</v>
      </c>
      <c r="D28" s="20">
        <v>30.472000000000001</v>
      </c>
      <c r="E28" s="20">
        <v>36.048000000000002</v>
      </c>
      <c r="F28" s="20">
        <v>36.735999999999997</v>
      </c>
      <c r="G28" s="20">
        <v>2.27</v>
      </c>
      <c r="H28" s="20">
        <f t="shared" si="0"/>
        <v>31.951999999999998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1.5529515418502204</v>
      </c>
    </row>
    <row r="29" spans="1:21" x14ac:dyDescent="0.25">
      <c r="B29" s="6" t="s">
        <v>51</v>
      </c>
      <c r="C29" s="29">
        <v>2418.48</v>
      </c>
      <c r="D29" s="30">
        <v>34.942999999999998</v>
      </c>
      <c r="E29" s="30">
        <v>40.194000000000003</v>
      </c>
      <c r="F29" s="30">
        <v>39.909999999999997</v>
      </c>
      <c r="G29" s="16">
        <v>1.18</v>
      </c>
      <c r="H29" s="16">
        <f t="shared" si="0"/>
        <v>36.220249999999993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1.7067909007309812E-2</v>
      </c>
      <c r="R29" s="8">
        <f>bdrate(C29:C32,E29:E32,J29:J32,L29:L32)</f>
        <v>-0.48592917356763943</v>
      </c>
      <c r="S29" s="8">
        <f>bdrate(C29:C32,F29:F32,J29:J32,M29:M32)</f>
        <v>-0.4060333546535092</v>
      </c>
      <c r="T29" s="25">
        <f>bdrate(C29:C32,H29:H32,J29:J32,O29:O32)</f>
        <v>-8.5244979233320528E-2</v>
      </c>
      <c r="U29" s="28">
        <f t="shared" si="2"/>
        <v>0.97601694915254256</v>
      </c>
    </row>
    <row r="30" spans="1:21" x14ac:dyDescent="0.25">
      <c r="B30" s="9"/>
      <c r="C30" s="31">
        <v>1605.21</v>
      </c>
      <c r="D30" s="32">
        <v>33.633000000000003</v>
      </c>
      <c r="E30" s="32">
        <v>39.424999999999997</v>
      </c>
      <c r="F30" s="32">
        <v>38.814999999999998</v>
      </c>
      <c r="G30" s="18">
        <v>1.39</v>
      </c>
      <c r="H30" s="18">
        <f t="shared" si="0"/>
        <v>35.004750000000001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1.0584892086330937</v>
      </c>
    </row>
    <row r="31" spans="1:21" x14ac:dyDescent="0.25">
      <c r="B31" s="9"/>
      <c r="C31" s="31">
        <v>993.66</v>
      </c>
      <c r="D31" s="32">
        <v>32</v>
      </c>
      <c r="E31" s="32">
        <v>38.450000000000003</v>
      </c>
      <c r="F31" s="32">
        <v>37.552999999999997</v>
      </c>
      <c r="G31" s="18">
        <v>1.64</v>
      </c>
      <c r="H31" s="18">
        <f t="shared" si="0"/>
        <v>33.500374999999998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1.2820731707317072</v>
      </c>
    </row>
    <row r="32" spans="1:21" ht="16.5" thickBot="1" x14ac:dyDescent="0.3">
      <c r="B32" s="12"/>
      <c r="C32" s="33">
        <v>593.24</v>
      </c>
      <c r="D32" s="34">
        <v>30.196000000000002</v>
      </c>
      <c r="E32" s="34">
        <v>37.238</v>
      </c>
      <c r="F32" s="34">
        <v>35.94</v>
      </c>
      <c r="G32" s="20">
        <v>1.94</v>
      </c>
      <c r="H32" s="20">
        <f t="shared" si="0"/>
        <v>31.794250000000002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1.5657731958762886</v>
      </c>
    </row>
    <row r="33" spans="1:21" x14ac:dyDescent="0.25">
      <c r="B33" s="6" t="s">
        <v>52</v>
      </c>
      <c r="C33" s="15">
        <v>2308.73</v>
      </c>
      <c r="D33" s="16">
        <v>34</v>
      </c>
      <c r="E33" s="16">
        <v>39.578000000000003</v>
      </c>
      <c r="F33" s="16">
        <v>42.197000000000003</v>
      </c>
      <c r="G33" s="16">
        <v>1.59</v>
      </c>
      <c r="H33" s="16">
        <f t="shared" si="0"/>
        <v>35.721874999999997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-2.1683572794763295E-2</v>
      </c>
      <c r="R33" s="8">
        <f>bdrate(C33:C36,E33:E36,J33:J36,L33:L36)</f>
        <v>-0.33743826469702309</v>
      </c>
      <c r="S33" s="8">
        <f>bdrate(C33:C36,F33:F36,J33:J36,M33:M36)</f>
        <v>-0.27365245269119609</v>
      </c>
      <c r="T33" s="25">
        <f>bdrate(C33:C36,H33:H36,J33:J36,O33:O36)</f>
        <v>-7.1241560290626227E-2</v>
      </c>
      <c r="U33" s="28">
        <f t="shared" si="2"/>
        <v>1.0906918238993708</v>
      </c>
    </row>
    <row r="34" spans="1:21" x14ac:dyDescent="0.25">
      <c r="B34" s="9"/>
      <c r="C34" s="17">
        <v>1515.55</v>
      </c>
      <c r="D34" s="18">
        <v>33.375</v>
      </c>
      <c r="E34" s="18">
        <v>39.170999999999999</v>
      </c>
      <c r="F34" s="18">
        <v>41.841000000000001</v>
      </c>
      <c r="G34" s="18">
        <v>1.79</v>
      </c>
      <c r="H34" s="18">
        <f t="shared" si="0"/>
        <v>35.15775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1.3749162011173184</v>
      </c>
    </row>
    <row r="35" spans="1:21" x14ac:dyDescent="0.25">
      <c r="B35" s="9"/>
      <c r="C35" s="17">
        <v>916.08</v>
      </c>
      <c r="D35" s="18">
        <v>32.328000000000003</v>
      </c>
      <c r="E35" s="18">
        <v>38.624000000000002</v>
      </c>
      <c r="F35" s="18">
        <v>41.398000000000003</v>
      </c>
      <c r="G35" s="18">
        <v>2.0299999999999998</v>
      </c>
      <c r="H35" s="18">
        <f t="shared" si="0"/>
        <v>34.248750000000001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1.7967980295566506</v>
      </c>
    </row>
    <row r="36" spans="1:21" ht="16.5" thickBot="1" x14ac:dyDescent="0.3">
      <c r="B36" s="12"/>
      <c r="C36" s="19">
        <v>498.31</v>
      </c>
      <c r="D36" s="20">
        <v>30.321999999999999</v>
      </c>
      <c r="E36" s="20">
        <v>37.731999999999999</v>
      </c>
      <c r="F36" s="20">
        <v>40.707999999999998</v>
      </c>
      <c r="G36" s="20">
        <v>2.3199999999999998</v>
      </c>
      <c r="H36" s="20">
        <f t="shared" si="0"/>
        <v>32.546499999999995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2.3700862068965516</v>
      </c>
    </row>
    <row r="37" spans="1:21" x14ac:dyDescent="0.25">
      <c r="A37" s="6" t="s">
        <v>39</v>
      </c>
      <c r="B37" s="6" t="s">
        <v>53</v>
      </c>
      <c r="C37" s="15">
        <v>1220.5899999999999</v>
      </c>
      <c r="D37" s="16">
        <v>36.066000000000003</v>
      </c>
      <c r="E37" s="16">
        <v>39.61</v>
      </c>
      <c r="F37" s="16">
        <v>39.694000000000003</v>
      </c>
      <c r="G37" s="16">
        <v>4.1500000000000004</v>
      </c>
      <c r="H37" s="16">
        <f t="shared" si="0"/>
        <v>36.962500000000006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-0.12928592122136251</v>
      </c>
      <c r="R37" s="8">
        <f>bdrate(C37:C40,E37:E40,J37:J40,L37:L40)</f>
        <v>-0.38991743926485378</v>
      </c>
      <c r="S37" s="8">
        <f>bdrate(C37:C40,F37:F40,J37:J40,M37:M40)</f>
        <v>-0.31777718983893499</v>
      </c>
      <c r="T37" s="25">
        <f>bdrate(C37:C40,H37:H40,J37:J40,O37:O40)</f>
        <v>-0.18160374333961093</v>
      </c>
      <c r="U37" s="28">
        <f t="shared" si="2"/>
        <v>0.73361445783132506</v>
      </c>
    </row>
    <row r="38" spans="1:21" x14ac:dyDescent="0.25">
      <c r="A38" s="9" t="s">
        <v>40</v>
      </c>
      <c r="B38" s="9"/>
      <c r="C38" s="17">
        <v>815.4</v>
      </c>
      <c r="D38" s="18">
        <v>34.536999999999999</v>
      </c>
      <c r="E38" s="18">
        <v>38.270000000000003</v>
      </c>
      <c r="F38" s="18">
        <v>38.271999999999998</v>
      </c>
      <c r="G38" s="18">
        <v>4.93</v>
      </c>
      <c r="H38" s="18">
        <f t="shared" si="0"/>
        <v>35.470500000000001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0.7395943204868155</v>
      </c>
    </row>
    <row r="39" spans="1:21" x14ac:dyDescent="0.25">
      <c r="B39" s="9"/>
      <c r="C39" s="17">
        <v>506.18</v>
      </c>
      <c r="D39" s="18">
        <v>32.866999999999997</v>
      </c>
      <c r="E39" s="18">
        <v>37.008000000000003</v>
      </c>
      <c r="F39" s="18">
        <v>36.898000000000003</v>
      </c>
      <c r="G39" s="18">
        <v>6.15</v>
      </c>
      <c r="H39" s="18">
        <f t="shared" si="0"/>
        <v>33.888500000000001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0.72668292682926816</v>
      </c>
    </row>
    <row r="40" spans="1:21" ht="16.5" thickBot="1" x14ac:dyDescent="0.3">
      <c r="B40" s="12"/>
      <c r="C40" s="19">
        <v>301.20999999999998</v>
      </c>
      <c r="D40" s="20">
        <v>31.206</v>
      </c>
      <c r="E40" s="20">
        <v>35.915999999999997</v>
      </c>
      <c r="F40" s="20">
        <v>35.430999999999997</v>
      </c>
      <c r="G40" s="20">
        <v>7.87</v>
      </c>
      <c r="H40" s="20">
        <f t="shared" si="0"/>
        <v>32.322874999999996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0.75984752223634044</v>
      </c>
    </row>
    <row r="41" spans="1:21" x14ac:dyDescent="0.25">
      <c r="B41" s="6" t="s">
        <v>54</v>
      </c>
      <c r="C41" s="15">
        <v>1226.4100000000001</v>
      </c>
      <c r="D41" s="16">
        <v>36.122999999999998</v>
      </c>
      <c r="E41" s="16">
        <v>40.353999999999999</v>
      </c>
      <c r="F41" s="16">
        <v>41.290999999999997</v>
      </c>
      <c r="G41" s="16">
        <v>4.9000000000000004</v>
      </c>
      <c r="H41" s="16">
        <f t="shared" si="0"/>
        <v>37.297874999999998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-0.11284221703722319</v>
      </c>
      <c r="R41" s="8">
        <f>bdrate(C41:C44,E41:E44,J41:J44,L41:L44)</f>
        <v>-0.46177671109599472</v>
      </c>
      <c r="S41" s="8">
        <f>bdrate(C41:C44,F41:F44,J41:J44,M41:M44)</f>
        <v>-0.44271495711818187</v>
      </c>
      <c r="T41" s="25">
        <f>bdrate(C41:C44,H41:H44,J41:J44,O41:O44)</f>
        <v>-0.18631817745668033</v>
      </c>
      <c r="U41" s="28">
        <f t="shared" si="2"/>
        <v>0.82667346938775488</v>
      </c>
    </row>
    <row r="42" spans="1:21" x14ac:dyDescent="0.25">
      <c r="B42" s="9"/>
      <c r="C42" s="17">
        <v>817.28</v>
      </c>
      <c r="D42" s="18">
        <v>34.508000000000003</v>
      </c>
      <c r="E42" s="18">
        <v>39.246000000000002</v>
      </c>
      <c r="F42" s="18">
        <v>40.06</v>
      </c>
      <c r="G42" s="18">
        <v>5.82</v>
      </c>
      <c r="H42" s="18">
        <f t="shared" si="0"/>
        <v>35.794250000000005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0.87563573883161505</v>
      </c>
    </row>
    <row r="43" spans="1:21" x14ac:dyDescent="0.25">
      <c r="B43" s="9"/>
      <c r="C43" s="17">
        <v>509.31</v>
      </c>
      <c r="D43" s="18">
        <v>32.512999999999998</v>
      </c>
      <c r="E43" s="18">
        <v>37.947000000000003</v>
      </c>
      <c r="F43" s="18">
        <v>38.634</v>
      </c>
      <c r="G43" s="18">
        <v>7.07</v>
      </c>
      <c r="H43" s="18">
        <f t="shared" si="0"/>
        <v>33.957374999999999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0.93995756718529</v>
      </c>
    </row>
    <row r="44" spans="1:21" ht="16.5" thickBot="1" x14ac:dyDescent="0.3">
      <c r="B44" s="12"/>
      <c r="C44" s="19">
        <v>301.52999999999997</v>
      </c>
      <c r="D44" s="20">
        <v>30.207000000000001</v>
      </c>
      <c r="E44" s="20">
        <v>36.534999999999997</v>
      </c>
      <c r="F44" s="20">
        <v>36.987000000000002</v>
      </c>
      <c r="G44" s="20">
        <v>8.68</v>
      </c>
      <c r="H44" s="20">
        <f t="shared" si="0"/>
        <v>31.845500000000001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1.0239631336405532</v>
      </c>
    </row>
    <row r="45" spans="1:21" x14ac:dyDescent="0.25">
      <c r="B45" s="6" t="s">
        <v>55</v>
      </c>
      <c r="C45" s="15">
        <v>1088.4000000000001</v>
      </c>
      <c r="D45" s="16">
        <v>30.640999999999998</v>
      </c>
      <c r="E45" s="16">
        <v>35.941000000000003</v>
      </c>
      <c r="F45" s="16">
        <v>36.734999999999999</v>
      </c>
      <c r="G45" s="16">
        <v>4.45</v>
      </c>
      <c r="H45" s="16">
        <f t="shared" si="0"/>
        <v>32.065249999999999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-0.10632001868063035</v>
      </c>
      <c r="R45" s="8">
        <f>bdrate(C45:C48,E45:E48,J45:J48,L45:L48)</f>
        <v>-0.51774926663956233</v>
      </c>
      <c r="S45" s="8">
        <f>bdrate(C45:C48,F45:F48,J45:J48,M45:M48)</f>
        <v>-0.50097262899721184</v>
      </c>
      <c r="T45" s="25">
        <f>bdrate(C45:C48,H45:H48,J45:J48,O45:O48)</f>
        <v>-0.18596864913497524</v>
      </c>
      <c r="U45" s="28">
        <f t="shared" si="2"/>
        <v>1.0485617977528088</v>
      </c>
    </row>
    <row r="46" spans="1:21" x14ac:dyDescent="0.25">
      <c r="B46" s="9"/>
      <c r="C46" s="17">
        <v>724.73</v>
      </c>
      <c r="D46" s="18">
        <v>29.225000000000001</v>
      </c>
      <c r="E46" s="18">
        <v>35.192</v>
      </c>
      <c r="F46" s="18">
        <v>35.99</v>
      </c>
      <c r="G46" s="18">
        <v>5.29</v>
      </c>
      <c r="H46" s="18">
        <f t="shared" si="0"/>
        <v>30.816500000000005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1.138412098298677</v>
      </c>
    </row>
    <row r="47" spans="1:21" x14ac:dyDescent="0.25">
      <c r="B47" s="9"/>
      <c r="C47" s="17">
        <v>449.67</v>
      </c>
      <c r="D47" s="18">
        <v>27.696999999999999</v>
      </c>
      <c r="E47" s="18">
        <v>34.372999999999998</v>
      </c>
      <c r="F47" s="18">
        <v>35.173999999999999</v>
      </c>
      <c r="G47" s="18">
        <v>6.52</v>
      </c>
      <c r="H47" s="18">
        <f t="shared" si="0"/>
        <v>29.466124999999998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1.2310889570552148</v>
      </c>
    </row>
    <row r="48" spans="1:21" ht="16.5" thickBot="1" x14ac:dyDescent="0.3">
      <c r="B48" s="12"/>
      <c r="C48" s="19">
        <v>257.31</v>
      </c>
      <c r="D48" s="20">
        <v>25.957999999999998</v>
      </c>
      <c r="E48" s="20">
        <v>33.319000000000003</v>
      </c>
      <c r="F48" s="20">
        <v>34.156999999999996</v>
      </c>
      <c r="G48" s="20">
        <v>8.32</v>
      </c>
      <c r="H48" s="20">
        <f t="shared" si="0"/>
        <v>27.902999999999999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1.2280168269230767</v>
      </c>
    </row>
    <row r="49" spans="1:21" x14ac:dyDescent="0.25">
      <c r="B49" s="6" t="s">
        <v>56</v>
      </c>
      <c r="C49" s="15">
        <v>1094.3</v>
      </c>
      <c r="D49" s="16">
        <v>33.728000000000002</v>
      </c>
      <c r="E49" s="16">
        <v>37.173000000000002</v>
      </c>
      <c r="F49" s="16">
        <v>38.886000000000003</v>
      </c>
      <c r="G49" s="16">
        <v>3</v>
      </c>
      <c r="H49" s="16">
        <f t="shared" si="0"/>
        <v>34.803375000000003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0.14178801232844074</v>
      </c>
      <c r="R49" s="8">
        <f>bdrate(C49:C52,E49:E52,J49:J52,L49:L52)</f>
        <v>-0.30098022598697316</v>
      </c>
      <c r="S49" s="8">
        <f>bdrate(C49:C52,F49:F52,J49:J52,M49:M52)</f>
        <v>-0.30116330914024303</v>
      </c>
      <c r="T49" s="25">
        <f>bdrate(C49:C52,H49:H52,J49:J52,O49:O52)</f>
        <v>5.2282393289068363E-2</v>
      </c>
      <c r="U49" s="28">
        <f t="shared" si="2"/>
        <v>0.81426666666666669</v>
      </c>
    </row>
    <row r="50" spans="1:21" x14ac:dyDescent="0.25">
      <c r="B50" s="9"/>
      <c r="C50" s="17">
        <v>738.11</v>
      </c>
      <c r="D50" s="18">
        <v>32.252000000000002</v>
      </c>
      <c r="E50" s="18">
        <v>36.198999999999998</v>
      </c>
      <c r="F50" s="18">
        <v>37.923999999999999</v>
      </c>
      <c r="G50" s="18">
        <v>3.55</v>
      </c>
      <c r="H50" s="18">
        <f t="shared" si="0"/>
        <v>33.454374999999999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0.84070422535211287</v>
      </c>
    </row>
    <row r="51" spans="1:21" x14ac:dyDescent="0.25">
      <c r="B51" s="9"/>
      <c r="C51" s="17">
        <v>470.04</v>
      </c>
      <c r="D51" s="18">
        <v>30.605</v>
      </c>
      <c r="E51" s="18">
        <v>35.24</v>
      </c>
      <c r="F51" s="18">
        <v>36.875</v>
      </c>
      <c r="G51" s="18">
        <v>4.32</v>
      </c>
      <c r="H51" s="18">
        <f t="shared" si="0"/>
        <v>31.968125000000001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0.8349305555555554</v>
      </c>
    </row>
    <row r="52" spans="1:21" ht="16.5" thickBot="1" x14ac:dyDescent="0.3">
      <c r="B52" s="12"/>
      <c r="C52" s="19">
        <v>286.25</v>
      </c>
      <c r="D52" s="20">
        <v>28.905000000000001</v>
      </c>
      <c r="E52" s="20">
        <v>34.167999999999999</v>
      </c>
      <c r="F52" s="20">
        <v>35.729999999999997</v>
      </c>
      <c r="G52" s="20">
        <v>5.33</v>
      </c>
      <c r="H52" s="20">
        <f t="shared" si="0"/>
        <v>30.416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0.92474671669793629</v>
      </c>
    </row>
    <row r="53" spans="1:21" x14ac:dyDescent="0.25">
      <c r="A53" s="6" t="s">
        <v>41</v>
      </c>
      <c r="B53" s="6" t="s">
        <v>57</v>
      </c>
      <c r="C53" s="15">
        <v>636.16</v>
      </c>
      <c r="D53" s="16">
        <v>36.122999999999998</v>
      </c>
      <c r="E53" s="16">
        <v>40.232999999999997</v>
      </c>
      <c r="F53" s="16">
        <v>39.03</v>
      </c>
      <c r="G53" s="16">
        <v>7.7</v>
      </c>
      <c r="H53" s="16">
        <f t="shared" si="0"/>
        <v>37.000124999999997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4.280145411568248E-2</v>
      </c>
      <c r="R53" s="8">
        <f>bdrate(C53:C56,E53:E56,J53:J56,L53:L56)</f>
        <v>-0.3671798780484048</v>
      </c>
      <c r="S53" s="8">
        <f>bdrate(C53:C56,F53:F56,J53:J56,M53:M56)</f>
        <v>-0.27507991046806246</v>
      </c>
      <c r="T53" s="25">
        <f>bdrate(C53:C56,H53:H56,J53:J56,O53:O56)</f>
        <v>-3.6231432969510591E-2</v>
      </c>
      <c r="U53" s="28">
        <f t="shared" si="2"/>
        <v>1.6129740259740262</v>
      </c>
    </row>
    <row r="54" spans="1:21" x14ac:dyDescent="0.25">
      <c r="A54" s="9" t="s">
        <v>42</v>
      </c>
      <c r="B54" s="9"/>
      <c r="C54" s="17">
        <v>424.04</v>
      </c>
      <c r="D54" s="18">
        <v>34.223999999999997</v>
      </c>
      <c r="E54" s="18">
        <v>38.877000000000002</v>
      </c>
      <c r="F54" s="18">
        <v>37.511000000000003</v>
      </c>
      <c r="G54" s="18">
        <v>9.23</v>
      </c>
      <c r="H54" s="18">
        <f t="shared" si="0"/>
        <v>35.216500000000003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1.5837594799566628</v>
      </c>
    </row>
    <row r="55" spans="1:21" x14ac:dyDescent="0.25">
      <c r="B55" s="9"/>
      <c r="C55" s="17">
        <v>265.01</v>
      </c>
      <c r="D55" s="18">
        <v>32.201000000000001</v>
      </c>
      <c r="E55" s="18">
        <v>37.537999999999997</v>
      </c>
      <c r="F55" s="18">
        <v>35.972000000000001</v>
      </c>
      <c r="G55" s="18">
        <v>11.47</v>
      </c>
      <c r="H55" s="18">
        <f t="shared" si="0"/>
        <v>33.339500000000001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1.5106277244986923</v>
      </c>
    </row>
    <row r="56" spans="1:21" ht="16.5" thickBot="1" x14ac:dyDescent="0.3">
      <c r="B56" s="12"/>
      <c r="C56" s="19">
        <v>125.98</v>
      </c>
      <c r="D56" s="20">
        <v>29.245000000000001</v>
      </c>
      <c r="E56" s="20">
        <v>35.573</v>
      </c>
      <c r="F56" s="20">
        <v>33.540999999999997</v>
      </c>
      <c r="G56" s="20">
        <v>16.45</v>
      </c>
      <c r="H56" s="20">
        <f t="shared" si="0"/>
        <v>30.573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1.4111671732522797</v>
      </c>
    </row>
    <row r="57" spans="1:21" x14ac:dyDescent="0.25">
      <c r="B57" s="6" t="s">
        <v>58</v>
      </c>
      <c r="C57" s="15">
        <v>548.77</v>
      </c>
      <c r="D57" s="16">
        <v>33.677</v>
      </c>
      <c r="E57" s="16">
        <v>40.308999999999997</v>
      </c>
      <c r="F57" s="16">
        <v>41.158999999999999</v>
      </c>
      <c r="G57" s="16">
        <v>11.36</v>
      </c>
      <c r="H57" s="16">
        <f t="shared" si="0"/>
        <v>35.441250000000004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-0.14414536890316987</v>
      </c>
      <c r="R57" s="8">
        <f>bdrate(C57:C60,E57:E60,J57:J60,L57:L60)</f>
        <v>-0.46901831520448434</v>
      </c>
      <c r="S57" s="8">
        <f>bdrate(C57:C60,F57:F60,J57:J60,M57:M60)</f>
        <v>-0.44498849709779731</v>
      </c>
      <c r="T57" s="25">
        <f>bdrate(C57:C60,H57:H60,J57:J60,O57:O60)</f>
        <v>-0.19930048624579533</v>
      </c>
      <c r="U57" s="28">
        <f t="shared" si="2"/>
        <v>1.5685387323943663</v>
      </c>
    </row>
    <row r="58" spans="1:21" x14ac:dyDescent="0.25">
      <c r="B58" s="9"/>
      <c r="C58" s="17">
        <v>361.96</v>
      </c>
      <c r="D58" s="18">
        <v>32.316000000000003</v>
      </c>
      <c r="E58" s="18">
        <v>39.545000000000002</v>
      </c>
      <c r="F58" s="18">
        <v>40.46</v>
      </c>
      <c r="G58" s="18">
        <v>13.12</v>
      </c>
      <c r="H58" s="18">
        <f t="shared" si="0"/>
        <v>34.237625000000001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1.8378353658536588</v>
      </c>
    </row>
    <row r="59" spans="1:21" x14ac:dyDescent="0.25">
      <c r="B59" s="9"/>
      <c r="C59" s="17">
        <v>224.22</v>
      </c>
      <c r="D59" s="18">
        <v>30.782</v>
      </c>
      <c r="E59" s="18">
        <v>38.853999999999999</v>
      </c>
      <c r="F59" s="18">
        <v>39.715000000000003</v>
      </c>
      <c r="G59" s="18">
        <v>15.43</v>
      </c>
      <c r="H59" s="18">
        <f t="shared" si="0"/>
        <v>32.907624999999996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2.2455800388852887</v>
      </c>
    </row>
    <row r="60" spans="1:21" ht="16.5" thickBot="1" x14ac:dyDescent="0.3">
      <c r="B60" s="12"/>
      <c r="C60" s="19">
        <v>102.88</v>
      </c>
      <c r="D60" s="20">
        <v>28.021000000000001</v>
      </c>
      <c r="E60" s="20">
        <v>37.69</v>
      </c>
      <c r="F60" s="20">
        <v>38.482999999999997</v>
      </c>
      <c r="G60" s="20">
        <v>20.51</v>
      </c>
      <c r="H60" s="20">
        <f t="shared" si="0"/>
        <v>30.537375000000001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2.7505168210628961</v>
      </c>
    </row>
    <row r="61" spans="1:21" x14ac:dyDescent="0.25">
      <c r="B61" s="6" t="s">
        <v>59</v>
      </c>
      <c r="C61" s="29">
        <v>625.62</v>
      </c>
      <c r="D61" s="30">
        <v>34</v>
      </c>
      <c r="E61" s="30">
        <v>37.847999999999999</v>
      </c>
      <c r="F61" s="30">
        <v>38.405999999999999</v>
      </c>
      <c r="G61" s="16">
        <v>8.81</v>
      </c>
      <c r="H61" s="16">
        <f t="shared" si="0"/>
        <v>35.031750000000002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-9.0475522423806631E-2</v>
      </c>
      <c r="R61" s="8">
        <f>bdrate(C61:C64,E61:E64,J61:J64,L61:L64)</f>
        <v>-0.39007201623436716</v>
      </c>
      <c r="S61" s="8">
        <f>bdrate(C61:C64,F61:F64,J61:J64,M61:M64)</f>
        <v>-0.43972692653865553</v>
      </c>
      <c r="T61" s="25">
        <f>bdrate(C61:C64,H61:H64,J61:J64,O61:O64)</f>
        <v>-0.16072940941708735</v>
      </c>
      <c r="U61" s="28">
        <f t="shared" si="2"/>
        <v>1.714971623155505</v>
      </c>
    </row>
    <row r="62" spans="1:21" x14ac:dyDescent="0.25">
      <c r="B62" s="9"/>
      <c r="C62" s="31">
        <v>416.59</v>
      </c>
      <c r="D62" s="32">
        <v>32.331000000000003</v>
      </c>
      <c r="E62" s="32">
        <v>36.713999999999999</v>
      </c>
      <c r="F62" s="32">
        <v>37.256999999999998</v>
      </c>
      <c r="G62" s="18">
        <v>9.98</v>
      </c>
      <c r="H62" s="18">
        <f t="shared" si="0"/>
        <v>33.494624999999999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1.9062124248496994</v>
      </c>
    </row>
    <row r="63" spans="1:21" x14ac:dyDescent="0.25">
      <c r="B63" s="9"/>
      <c r="C63" s="31">
        <v>259.73</v>
      </c>
      <c r="D63" s="32">
        <v>30.49</v>
      </c>
      <c r="E63" s="32">
        <v>35.552</v>
      </c>
      <c r="F63" s="32">
        <v>36.073999999999998</v>
      </c>
      <c r="G63" s="18">
        <v>12.64</v>
      </c>
      <c r="H63" s="18">
        <f t="shared" si="0"/>
        <v>31.820749999999997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1.771257911392405</v>
      </c>
    </row>
    <row r="64" spans="1:21" ht="16.5" thickBot="1" x14ac:dyDescent="0.3">
      <c r="B64" s="12"/>
      <c r="C64" s="33">
        <v>122.38</v>
      </c>
      <c r="D64" s="34">
        <v>27.81</v>
      </c>
      <c r="E64" s="34">
        <v>33.834000000000003</v>
      </c>
      <c r="F64" s="34">
        <v>34.276000000000003</v>
      </c>
      <c r="G64" s="20">
        <v>17.57</v>
      </c>
      <c r="H64" s="20">
        <f t="shared" si="0"/>
        <v>29.37125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1.8369664200341491</v>
      </c>
    </row>
    <row r="65" spans="1:21" x14ac:dyDescent="0.25">
      <c r="B65" s="6" t="s">
        <v>60</v>
      </c>
      <c r="C65" s="15">
        <v>574.20000000000005</v>
      </c>
      <c r="D65" s="16">
        <v>35.634999999999998</v>
      </c>
      <c r="E65" s="16">
        <v>38.417000000000002</v>
      </c>
      <c r="F65" s="16">
        <v>39.597000000000001</v>
      </c>
      <c r="G65" s="16">
        <v>5.64</v>
      </c>
      <c r="H65" s="16">
        <f t="shared" si="0"/>
        <v>36.478000000000002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0.11506084291096252</v>
      </c>
      <c r="R65" s="8">
        <f>bdrate(C65:C68,E65:E68,J65:J68,L65:L68)</f>
        <v>-0.22380853946520685</v>
      </c>
      <c r="S65" s="8">
        <f>bdrate(C65:C68,F65:F68,J65:J68,M65:M68)</f>
        <v>-0.23519864846665328</v>
      </c>
      <c r="T65" s="25">
        <f>bdrate(C65:C68,H65:H68,J65:J68,O65:O68)</f>
        <v>4.0480523562753001E-2</v>
      </c>
      <c r="U65" s="28">
        <f t="shared" si="2"/>
        <v>1.200549645390071</v>
      </c>
    </row>
    <row r="66" spans="1:21" x14ac:dyDescent="0.25">
      <c r="B66" s="9"/>
      <c r="C66" s="17">
        <v>384.98</v>
      </c>
      <c r="D66" s="18">
        <v>33.713000000000001</v>
      </c>
      <c r="E66" s="18">
        <v>37.103000000000002</v>
      </c>
      <c r="F66" s="18">
        <v>38.286999999999999</v>
      </c>
      <c r="G66" s="18">
        <v>6.76</v>
      </c>
      <c r="H66" s="18">
        <f t="shared" si="0"/>
        <v>34.708500000000001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1.247026627218935</v>
      </c>
    </row>
    <row r="67" spans="1:21" x14ac:dyDescent="0.25">
      <c r="B67" s="9"/>
      <c r="C67" s="17">
        <v>241.52</v>
      </c>
      <c r="D67" s="18">
        <v>31.686</v>
      </c>
      <c r="E67" s="18">
        <v>35.722999999999999</v>
      </c>
      <c r="F67" s="18">
        <v>36.843000000000004</v>
      </c>
      <c r="G67" s="18">
        <v>8.39</v>
      </c>
      <c r="H67" s="18">
        <f t="shared" si="0"/>
        <v>32.835250000000002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1.2515494636471989</v>
      </c>
    </row>
    <row r="68" spans="1:21" ht="16.5" thickBot="1" x14ac:dyDescent="0.3">
      <c r="B68" s="12"/>
      <c r="C68" s="19">
        <v>115.91</v>
      </c>
      <c r="D68" s="20">
        <v>28.901</v>
      </c>
      <c r="E68" s="20">
        <v>33.771999999999998</v>
      </c>
      <c r="F68" s="20">
        <v>34.777999999999999</v>
      </c>
      <c r="G68" s="20">
        <v>12.22</v>
      </c>
      <c r="H68" s="20">
        <f t="shared" si="0"/>
        <v>30.244499999999999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1.1557692307692307</v>
      </c>
    </row>
    <row r="69" spans="1:21" x14ac:dyDescent="0.25">
      <c r="A69" s="6" t="s">
        <v>43</v>
      </c>
      <c r="B69" s="6" t="s">
        <v>61</v>
      </c>
      <c r="C69" s="15">
        <v>1373.68</v>
      </c>
      <c r="D69" s="16">
        <v>41.533000000000001</v>
      </c>
      <c r="E69" s="16">
        <v>45.567999999999998</v>
      </c>
      <c r="F69" s="16">
        <v>46.841000000000001</v>
      </c>
      <c r="G69" s="16">
        <v>3.85</v>
      </c>
      <c r="H69" s="16">
        <f t="shared" si="0"/>
        <v>42.700875000000003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-5.3172269646163728E-2</v>
      </c>
      <c r="R69" s="8">
        <f>bdrate(C69:C72,E69:E72,J69:J72,L69:L72)</f>
        <v>-0.26712200691290833</v>
      </c>
      <c r="S69" s="8">
        <f>bdrate(C69:C72,F69:F72,J69:J72,M69:M72)</f>
        <v>-0.2370303323917351</v>
      </c>
      <c r="T69" s="25">
        <f>bdrate(C69:C72,H69:H72,J69:J72,O69:O72)</f>
        <v>-9.7168557001165778E-2</v>
      </c>
      <c r="U69" s="28">
        <f t="shared" si="2"/>
        <v>0.60418181818181815</v>
      </c>
    </row>
    <row r="70" spans="1:21" x14ac:dyDescent="0.25">
      <c r="A70" s="9" t="s">
        <v>44</v>
      </c>
      <c r="B70" s="9"/>
      <c r="C70" s="17">
        <v>905.4</v>
      </c>
      <c r="D70" s="18">
        <v>40.475999999999999</v>
      </c>
      <c r="E70" s="18">
        <v>44.488999999999997</v>
      </c>
      <c r="F70" s="18">
        <v>45.841999999999999</v>
      </c>
      <c r="G70" s="18">
        <v>4.3600000000000003</v>
      </c>
      <c r="H70" s="18">
        <f t="shared" si="0"/>
        <v>41.648374999999994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0.79766055045871542</v>
      </c>
    </row>
    <row r="71" spans="1:21" x14ac:dyDescent="0.25">
      <c r="B71" s="9"/>
      <c r="C71" s="17">
        <v>538.38</v>
      </c>
      <c r="D71" s="18">
        <v>38.776000000000003</v>
      </c>
      <c r="E71" s="18">
        <v>43.143999999999998</v>
      </c>
      <c r="F71" s="18">
        <v>44.402999999999999</v>
      </c>
      <c r="G71" s="18">
        <v>5.0999999999999996</v>
      </c>
      <c r="H71" s="18">
        <f t="shared" si="0"/>
        <v>40.025375000000004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1.040294117647059</v>
      </c>
    </row>
    <row r="72" spans="1:21" ht="16.5" thickBot="1" x14ac:dyDescent="0.3">
      <c r="B72" s="12"/>
      <c r="C72" s="19">
        <v>259.85000000000002</v>
      </c>
      <c r="D72" s="20">
        <v>36.314</v>
      </c>
      <c r="E72" s="20">
        <v>41.695</v>
      </c>
      <c r="F72" s="20">
        <v>42.701000000000001</v>
      </c>
      <c r="G72" s="20">
        <v>6.29</v>
      </c>
      <c r="H72" s="20">
        <f t="shared" si="0"/>
        <v>37.785000000000004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1.4746263910969795</v>
      </c>
    </row>
    <row r="73" spans="1:21" x14ac:dyDescent="0.25">
      <c r="B73" s="6" t="s">
        <v>62</v>
      </c>
      <c r="C73" s="15">
        <v>1417.27</v>
      </c>
      <c r="D73" s="16">
        <v>42.744999999999997</v>
      </c>
      <c r="E73" s="16">
        <v>47.814</v>
      </c>
      <c r="F73" s="16">
        <v>48.402000000000001</v>
      </c>
      <c r="G73" s="16">
        <v>4.0599999999999996</v>
      </c>
      <c r="H73" s="16">
        <f t="shared" si="0"/>
        <v>44.085749999999997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-0.13250730081471684</v>
      </c>
      <c r="R73" s="8">
        <f>bdrate(C73:C76,E73:E76,J73:J76,L73:L76)</f>
        <v>-0.33884839608099637</v>
      </c>
      <c r="S73" s="8">
        <f>bdrate(C73:C76,F73:F76,J73:J76,M73:M76)</f>
        <v>-0.34533010787005791</v>
      </c>
      <c r="T73" s="25">
        <f>bdrate(C73:C76,H73:H76,J73:J76,O73:O76)</f>
        <v>-0.19416528786858722</v>
      </c>
      <c r="U73" s="28">
        <f t="shared" ref="U73:U91" si="3">(N73-G73)/G73</f>
        <v>0.75155172413793114</v>
      </c>
    </row>
    <row r="74" spans="1:21" x14ac:dyDescent="0.25">
      <c r="B74" s="9"/>
      <c r="C74" s="17">
        <v>934.34</v>
      </c>
      <c r="D74" s="18">
        <v>42.292999999999999</v>
      </c>
      <c r="E74" s="18">
        <v>47.2</v>
      </c>
      <c r="F74" s="18">
        <v>47.819000000000003</v>
      </c>
      <c r="G74" s="18">
        <v>4.49</v>
      </c>
      <c r="H74" s="18">
        <f t="shared" si="0"/>
        <v>43.597124999999998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0.97367483296213808</v>
      </c>
    </row>
    <row r="75" spans="1:21" x14ac:dyDescent="0.25">
      <c r="B75" s="9"/>
      <c r="C75" s="17">
        <v>550.19000000000005</v>
      </c>
      <c r="D75" s="18">
        <v>41.540999999999997</v>
      </c>
      <c r="E75" s="18">
        <v>46.326999999999998</v>
      </c>
      <c r="F75" s="18">
        <v>46.936999999999998</v>
      </c>
      <c r="G75" s="18">
        <v>5.07</v>
      </c>
      <c r="H75" s="18">
        <f t="shared" si="0"/>
        <v>42.813749999999999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1.3630374753451677</v>
      </c>
    </row>
    <row r="76" spans="1:21" ht="16.5" thickBot="1" x14ac:dyDescent="0.3">
      <c r="B76" s="12"/>
      <c r="C76" s="19">
        <v>263.67</v>
      </c>
      <c r="D76" s="20">
        <v>39.933</v>
      </c>
      <c r="E76" s="20">
        <v>44.828000000000003</v>
      </c>
      <c r="F76" s="20">
        <v>45.393000000000001</v>
      </c>
      <c r="G76" s="20">
        <v>5.92</v>
      </c>
      <c r="H76" s="20">
        <f t="shared" si="0"/>
        <v>41.227375000000009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2.0088006756756758</v>
      </c>
    </row>
    <row r="77" spans="1:21" x14ac:dyDescent="0.25">
      <c r="B77" s="6" t="s">
        <v>63</v>
      </c>
      <c r="C77" s="15">
        <v>1481.51</v>
      </c>
      <c r="D77" s="16">
        <v>42.688000000000002</v>
      </c>
      <c r="E77" s="16">
        <v>46.905000000000001</v>
      </c>
      <c r="F77" s="16">
        <v>47.78</v>
      </c>
      <c r="G77" s="16">
        <v>3.5</v>
      </c>
      <c r="H77" s="16">
        <f t="shared" si="0"/>
        <v>43.851624999999999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-7.7570217642664918E-2</v>
      </c>
      <c r="R77" s="8">
        <f>bdrate(C77:C80,E77:E80,J77:J80,L77:L80)</f>
        <v>-0.28989759269444304</v>
      </c>
      <c r="S77" s="8">
        <f>bdrate(C77:C80,F77:F80,J77:J80,M77:M80)</f>
        <v>-0.28613065696425799</v>
      </c>
      <c r="T77" s="25">
        <f>bdrate(C77:C80,H77:H80,J77:J80,O77:O80)</f>
        <v>-0.13098561365323824</v>
      </c>
      <c r="U77" s="28">
        <f t="shared" si="3"/>
        <v>0.80111428571428556</v>
      </c>
    </row>
    <row r="78" spans="1:21" x14ac:dyDescent="0.25">
      <c r="B78" s="9"/>
      <c r="C78" s="17">
        <v>984.27</v>
      </c>
      <c r="D78" s="18">
        <v>41.972000000000001</v>
      </c>
      <c r="E78" s="18">
        <v>46.106999999999999</v>
      </c>
      <c r="F78" s="18">
        <v>47.029000000000003</v>
      </c>
      <c r="G78" s="18">
        <v>4.0199999999999996</v>
      </c>
      <c r="H78" s="18">
        <f t="shared" si="0"/>
        <v>43.120999999999995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0.95171641791044803</v>
      </c>
    </row>
    <row r="79" spans="1:21" x14ac:dyDescent="0.25">
      <c r="B79" s="9"/>
      <c r="C79" s="17">
        <v>586.75</v>
      </c>
      <c r="D79" s="18">
        <v>40.738</v>
      </c>
      <c r="E79" s="18">
        <v>44.845999999999997</v>
      </c>
      <c r="F79" s="18">
        <v>45.744</v>
      </c>
      <c r="G79" s="18">
        <v>4.59</v>
      </c>
      <c r="H79" s="18">
        <f t="shared" si="0"/>
        <v>41.877250000000004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1.2767755991285403</v>
      </c>
    </row>
    <row r="80" spans="1:21" ht="16.5" thickBot="1" x14ac:dyDescent="0.3">
      <c r="B80" s="12"/>
      <c r="C80" s="19">
        <v>286.48</v>
      </c>
      <c r="D80" s="20">
        <v>38.606000000000002</v>
      </c>
      <c r="E80" s="20">
        <v>43.164000000000001</v>
      </c>
      <c r="F80" s="20">
        <v>44.048000000000002</v>
      </c>
      <c r="G80" s="20">
        <v>5.54</v>
      </c>
      <c r="H80" s="20">
        <f t="shared" si="0"/>
        <v>39.856000000000002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1.8324187725631766</v>
      </c>
    </row>
    <row r="81" spans="1:21" x14ac:dyDescent="0.25">
      <c r="A81" s="6" t="s">
        <v>102</v>
      </c>
      <c r="B81" s="6" t="s">
        <v>103</v>
      </c>
      <c r="C81" s="15">
        <v>1287.94</v>
      </c>
      <c r="D81" s="16">
        <v>46.051000000000002</v>
      </c>
      <c r="E81" s="16">
        <v>50.947000000000003</v>
      </c>
      <c r="F81" s="16">
        <v>51.863</v>
      </c>
      <c r="G81" s="16">
        <v>2.2599999999999998</v>
      </c>
      <c r="H81" s="16">
        <f t="shared" ref="H81:H91" si="4">(6*D81+E81+F81)/8</f>
        <v>47.389500000000005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-0.10509287406826551</v>
      </c>
      <c r="R81" s="8">
        <f>bdrate(C81:C84,E81:E84,J81:J84,L81:L84)</f>
        <v>-0.32850822306028871</v>
      </c>
      <c r="S81" s="8">
        <f>bdrate(C81:C84,F81:F84,J81:J84,M81:M84)</f>
        <v>-0.32415178633137176</v>
      </c>
      <c r="T81" s="25">
        <f>bdrate(C81:C84,H81:H84,J81:J84,O81:O84)</f>
        <v>-0.1551567934411533</v>
      </c>
      <c r="U81" s="28">
        <f t="shared" si="3"/>
        <v>0.58628318584070804</v>
      </c>
    </row>
    <row r="82" spans="1:21" x14ac:dyDescent="0.25">
      <c r="A82" s="9" t="s">
        <v>78</v>
      </c>
      <c r="B82" s="9"/>
      <c r="C82" s="17">
        <v>859.88</v>
      </c>
      <c r="D82" s="18">
        <v>43.768000000000001</v>
      </c>
      <c r="E82" s="18">
        <v>48.962000000000003</v>
      </c>
      <c r="F82" s="18">
        <v>50.014000000000003</v>
      </c>
      <c r="G82" s="18">
        <v>2.65</v>
      </c>
      <c r="H82" s="18">
        <f t="shared" si="4"/>
        <v>45.198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0.57690566037735846</v>
      </c>
    </row>
    <row r="83" spans="1:21" x14ac:dyDescent="0.25">
      <c r="B83" s="9"/>
      <c r="C83" s="17">
        <v>519.35</v>
      </c>
      <c r="D83" s="18">
        <v>40.966999999999999</v>
      </c>
      <c r="E83" s="18">
        <v>46.58</v>
      </c>
      <c r="F83" s="18">
        <v>47.789000000000001</v>
      </c>
      <c r="G83" s="18">
        <v>3.23</v>
      </c>
      <c r="H83" s="18">
        <f t="shared" si="4"/>
        <v>42.521374999999999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0.63934984520123828</v>
      </c>
    </row>
    <row r="84" spans="1:21" ht="16.5" thickBot="1" x14ac:dyDescent="0.3">
      <c r="B84" s="12"/>
      <c r="C84" s="19">
        <v>261.91000000000003</v>
      </c>
      <c r="D84" s="20">
        <v>37.512</v>
      </c>
      <c r="E84" s="20">
        <v>43.677999999999997</v>
      </c>
      <c r="F84" s="20">
        <v>45.033999999999999</v>
      </c>
      <c r="G84" s="20">
        <v>4.28</v>
      </c>
      <c r="H84" s="20">
        <f t="shared" si="4"/>
        <v>39.222999999999999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0.78446261682242979</v>
      </c>
    </row>
    <row r="85" spans="1:21" x14ac:dyDescent="0.25">
      <c r="B85" s="6" t="s">
        <v>104</v>
      </c>
      <c r="C85" s="15">
        <v>1471.32</v>
      </c>
      <c r="D85" s="16">
        <v>54.918999999999997</v>
      </c>
      <c r="E85" s="16">
        <v>55.374000000000002</v>
      </c>
      <c r="F85" s="16">
        <v>55.76</v>
      </c>
      <c r="G85" s="16">
        <v>4.68</v>
      </c>
      <c r="H85" s="16">
        <f t="shared" si="4"/>
        <v>55.081000000000003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1.1171361072497721E-2</v>
      </c>
      <c r="R85" s="8">
        <f>bdrate(C85:C88,E85:E88,J85:J88,L85:L88)</f>
        <v>-4.101107131527848E-2</v>
      </c>
      <c r="S85" s="8">
        <f>bdrate(C85:C88,F85:F88,J85:J88,M85:M88)</f>
        <v>-4.0676754148943228E-2</v>
      </c>
      <c r="T85" s="25">
        <f>bdrate(C85:C88,H85:H88,J85:J88,O85:O88)</f>
        <v>-1.302673245608621E-3</v>
      </c>
      <c r="U85" s="28">
        <f t="shared" si="3"/>
        <v>1.256260683760684</v>
      </c>
    </row>
    <row r="86" spans="1:21" x14ac:dyDescent="0.25">
      <c r="B86" s="9"/>
      <c r="C86" s="17">
        <v>969.58</v>
      </c>
      <c r="D86" s="18">
        <v>52.206000000000003</v>
      </c>
      <c r="E86" s="18">
        <v>52.83</v>
      </c>
      <c r="F86" s="18">
        <v>53.323999999999998</v>
      </c>
      <c r="G86" s="18">
        <v>5.38</v>
      </c>
      <c r="H86" s="18">
        <f t="shared" si="4"/>
        <v>52.423749999999998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1.1958736059479556</v>
      </c>
    </row>
    <row r="87" spans="1:21" x14ac:dyDescent="0.25">
      <c r="B87" s="9"/>
      <c r="C87" s="17">
        <v>578.89</v>
      </c>
      <c r="D87" s="18">
        <v>49.078000000000003</v>
      </c>
      <c r="E87" s="18">
        <v>49.953000000000003</v>
      </c>
      <c r="F87" s="18">
        <v>50.536000000000001</v>
      </c>
      <c r="G87" s="18">
        <v>6.32</v>
      </c>
      <c r="H87" s="18">
        <f t="shared" si="4"/>
        <v>49.369625000000006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1.2174208860759492</v>
      </c>
    </row>
    <row r="88" spans="1:21" ht="16.5" thickBot="1" x14ac:dyDescent="0.3">
      <c r="B88" s="12"/>
      <c r="C88" s="19">
        <v>290.99</v>
      </c>
      <c r="D88" s="20">
        <v>44.832999999999998</v>
      </c>
      <c r="E88" s="20">
        <v>45.991</v>
      </c>
      <c r="F88" s="20">
        <v>46.597000000000001</v>
      </c>
      <c r="G88" s="20">
        <v>7.94</v>
      </c>
      <c r="H88" s="20">
        <f t="shared" si="4"/>
        <v>45.198249999999994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1.3629093198992444</v>
      </c>
    </row>
    <row r="89" spans="1:21" x14ac:dyDescent="0.25">
      <c r="B89" s="6" t="s">
        <v>105</v>
      </c>
      <c r="C89" s="15">
        <v>1547.37</v>
      </c>
      <c r="D89" s="16">
        <v>44.710999999999999</v>
      </c>
      <c r="E89" s="16">
        <v>46.427</v>
      </c>
      <c r="F89" s="16">
        <v>46.906999999999996</v>
      </c>
      <c r="G89" s="16">
        <v>2.59</v>
      </c>
      <c r="H89" s="16">
        <f t="shared" si="4"/>
        <v>45.199999999999996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-8.7441895624537858E-2</v>
      </c>
      <c r="R89" s="8">
        <f>bdrate(C89:C92,E89:E92,J89:J92,L89:L92)</f>
        <v>-0.23000799812790762</v>
      </c>
      <c r="S89" s="8">
        <f>bdrate(C89:C92,F89:F92,J89:J92,M89:M92)</f>
        <v>-0.22498987248463775</v>
      </c>
      <c r="T89" s="25">
        <f>bdrate(C89:C92,H89:H92,J89:J92,O89:O92)</f>
        <v>-0.11837379725965946</v>
      </c>
      <c r="U89" s="28">
        <f t="shared" si="3"/>
        <v>0.7432432432432432</v>
      </c>
    </row>
    <row r="90" spans="1:21" x14ac:dyDescent="0.25">
      <c r="B90" s="9"/>
      <c r="C90" s="17">
        <v>1032.9000000000001</v>
      </c>
      <c r="D90" s="18">
        <v>42.673999999999999</v>
      </c>
      <c r="E90" s="18">
        <v>44.683</v>
      </c>
      <c r="F90" s="18">
        <v>45.140999999999998</v>
      </c>
      <c r="G90" s="18">
        <v>3.03</v>
      </c>
      <c r="H90" s="18">
        <f t="shared" si="4"/>
        <v>43.233499999999999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0.77372937293729371</v>
      </c>
    </row>
    <row r="91" spans="1:21" x14ac:dyDescent="0.25">
      <c r="B91" s="9"/>
      <c r="C91" s="17">
        <v>620.02</v>
      </c>
      <c r="D91" s="18">
        <v>39.969000000000001</v>
      </c>
      <c r="E91" s="18">
        <v>42.521999999999998</v>
      </c>
      <c r="F91" s="18">
        <v>42.94</v>
      </c>
      <c r="G91" s="18">
        <v>3.6</v>
      </c>
      <c r="H91" s="18">
        <f t="shared" si="4"/>
        <v>40.659500000000001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0.86469444444444443</v>
      </c>
    </row>
    <row r="92" spans="1:21" ht="16.5" thickBot="1" x14ac:dyDescent="0.3">
      <c r="B92" s="12"/>
      <c r="C92" s="19">
        <v>311.17</v>
      </c>
      <c r="D92" s="20">
        <v>36.247999999999998</v>
      </c>
      <c r="E92" s="20">
        <v>39.703000000000003</v>
      </c>
      <c r="F92" s="20">
        <v>40.186</v>
      </c>
      <c r="G92" s="20">
        <v>4.5</v>
      </c>
      <c r="H92" s="20">
        <f t="shared" ref="H92:H124" si="6">(6*D92+E92+F92)/8</f>
        <v>37.172125000000001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1.0436444444444446</v>
      </c>
    </row>
    <row r="93" spans="1:21" x14ac:dyDescent="0.25">
      <c r="B93" s="6" t="s">
        <v>106</v>
      </c>
      <c r="C93" s="29">
        <v>1373.57</v>
      </c>
      <c r="D93" s="30">
        <v>40.252000000000002</v>
      </c>
      <c r="E93" s="30">
        <v>44.103999999999999</v>
      </c>
      <c r="F93" s="30">
        <v>44.1</v>
      </c>
      <c r="G93" s="16">
        <v>2.29</v>
      </c>
      <c r="H93" s="16">
        <f t="shared" si="6"/>
        <v>41.214500000000001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2.2153182004368777E-2</v>
      </c>
      <c r="R93" s="8">
        <f>bdrate(C93:C96,E93:E96,J93:J96,L93:L96)</f>
        <v>-0.23701405718073942</v>
      </c>
      <c r="S93" s="8">
        <f>bdrate(C93:C96,F93:F96,J93:J96,M93:M96)</f>
        <v>-0.22718102451927991</v>
      </c>
      <c r="T93" s="25">
        <f>bdrate(C93:C96,H93:H96,J93:J96,O93:O96)</f>
        <v>-3.3004672705606697E-2</v>
      </c>
      <c r="U93" s="28">
        <f t="shared" si="8"/>
        <v>0.68646288209606987</v>
      </c>
    </row>
    <row r="94" spans="1:21" x14ac:dyDescent="0.25">
      <c r="B94" s="9"/>
      <c r="C94" s="31">
        <v>914.11</v>
      </c>
      <c r="D94" s="32">
        <v>38.363999999999997</v>
      </c>
      <c r="E94" s="32">
        <v>42.65</v>
      </c>
      <c r="F94" s="32">
        <v>42.618000000000002</v>
      </c>
      <c r="G94" s="18">
        <v>2.67</v>
      </c>
      <c r="H94" s="18">
        <f t="shared" si="6"/>
        <v>39.431499999999993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0.74074906367041204</v>
      </c>
    </row>
    <row r="95" spans="1:21" x14ac:dyDescent="0.25">
      <c r="B95" s="9"/>
      <c r="C95" s="31">
        <v>547.13</v>
      </c>
      <c r="D95" s="32">
        <v>36.052</v>
      </c>
      <c r="E95" s="32">
        <v>40.942</v>
      </c>
      <c r="F95" s="32">
        <v>40.892000000000003</v>
      </c>
      <c r="G95" s="18">
        <v>3.21</v>
      </c>
      <c r="H95" s="18">
        <f t="shared" si="6"/>
        <v>37.268250000000002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0.81657320872274142</v>
      </c>
    </row>
    <row r="96" spans="1:21" ht="16.5" thickBot="1" x14ac:dyDescent="0.3">
      <c r="B96" s="12"/>
      <c r="C96" s="33">
        <v>272.04000000000002</v>
      </c>
      <c r="D96" s="34">
        <v>32.951999999999998</v>
      </c>
      <c r="E96" s="34">
        <v>38.655000000000001</v>
      </c>
      <c r="F96" s="34">
        <v>38.6</v>
      </c>
      <c r="G96" s="20">
        <v>4.12</v>
      </c>
      <c r="H96" s="20">
        <f t="shared" si="6"/>
        <v>34.370874999999998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0.9874271844660194</v>
      </c>
    </row>
    <row r="97" spans="2:21" x14ac:dyDescent="0.25">
      <c r="B97" s="6" t="s">
        <v>107</v>
      </c>
      <c r="C97" s="15">
        <v>1519.09</v>
      </c>
      <c r="D97" s="16">
        <v>38.790999999999997</v>
      </c>
      <c r="E97" s="16">
        <v>42.314</v>
      </c>
      <c r="F97" s="16">
        <v>42.783000000000001</v>
      </c>
      <c r="G97" s="16">
        <v>2.44</v>
      </c>
      <c r="H97" s="16">
        <f t="shared" si="6"/>
        <v>39.730375000000002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-1.0537634516726846E-2</v>
      </c>
      <c r="R97" s="8">
        <f>bdrate(C97:C100,E97:E100,J97:J100,L97:L100)</f>
        <v>-0.3273028653160156</v>
      </c>
      <c r="S97" s="8">
        <f>bdrate(C97:C100,F97:F100,J97:J100,M97:M100)</f>
        <v>-0.33597150977080625</v>
      </c>
      <c r="T97" s="25">
        <f>bdrate(C97:C100,H97:H100,J97:J100,O97:O100)</f>
        <v>-8.5742489217284223E-2</v>
      </c>
      <c r="U97" s="28">
        <f t="shared" si="8"/>
        <v>1.0370081967213114</v>
      </c>
    </row>
    <row r="98" spans="2:21" x14ac:dyDescent="0.25">
      <c r="B98" s="9"/>
      <c r="C98" s="17">
        <v>1014.12</v>
      </c>
      <c r="D98" s="18">
        <v>36.871000000000002</v>
      </c>
      <c r="E98" s="18">
        <v>40.646999999999998</v>
      </c>
      <c r="F98" s="18">
        <v>41.174999999999997</v>
      </c>
      <c r="G98" s="18">
        <v>2.9</v>
      </c>
      <c r="H98" s="18">
        <f t="shared" si="6"/>
        <v>37.881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1.0691034482758621</v>
      </c>
    </row>
    <row r="99" spans="2:21" x14ac:dyDescent="0.25">
      <c r="B99" s="9"/>
      <c r="C99" s="17">
        <v>609.41</v>
      </c>
      <c r="D99" s="18">
        <v>34.509</v>
      </c>
      <c r="E99" s="18">
        <v>38.679000000000002</v>
      </c>
      <c r="F99" s="18">
        <v>39.314999999999998</v>
      </c>
      <c r="G99" s="18">
        <v>3.47</v>
      </c>
      <c r="H99" s="18">
        <f t="shared" si="6"/>
        <v>35.631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1.1458501440922191</v>
      </c>
    </row>
    <row r="100" spans="2:21" ht="16.5" thickBot="1" x14ac:dyDescent="0.3">
      <c r="B100" s="12"/>
      <c r="C100" s="19">
        <v>304.36</v>
      </c>
      <c r="D100" s="20">
        <v>31.265999999999998</v>
      </c>
      <c r="E100" s="20">
        <v>36.234999999999999</v>
      </c>
      <c r="F100" s="20">
        <v>36.981999999999999</v>
      </c>
      <c r="G100" s="20">
        <v>4.42</v>
      </c>
      <c r="H100" s="20">
        <f t="shared" si="6"/>
        <v>32.601624999999999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1.2782579185520364</v>
      </c>
    </row>
    <row r="101" spans="2:21" x14ac:dyDescent="0.25">
      <c r="B101" s="6" t="s">
        <v>108</v>
      </c>
      <c r="C101" s="15">
        <v>1507.62</v>
      </c>
      <c r="D101" s="16">
        <v>38.661999999999999</v>
      </c>
      <c r="E101" s="16">
        <v>43.651000000000003</v>
      </c>
      <c r="F101" s="16">
        <v>45.41</v>
      </c>
      <c r="G101" s="16">
        <v>2.0499999999999998</v>
      </c>
      <c r="H101" s="16">
        <f t="shared" si="6"/>
        <v>40.129125000000002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2.4697504371355539E-2</v>
      </c>
      <c r="R101" s="8">
        <f>bdrate(C101:C104,E101:E104,J101:J104,L101:L104)</f>
        <v>-0.33596490138819113</v>
      </c>
      <c r="S101" s="8">
        <f>bdrate(C101:C104,F101:F104,J101:J104,M101:M104)</f>
        <v>-0.26805354209292032</v>
      </c>
      <c r="T101" s="25">
        <f>bdrate(C101:C104,H101:H104,J101:J104,O101:O104)</f>
        <v>-5.2324941558588689E-2</v>
      </c>
      <c r="U101" s="28">
        <f t="shared" si="8"/>
        <v>0.71258536585365873</v>
      </c>
    </row>
    <row r="102" spans="2:21" x14ac:dyDescent="0.25">
      <c r="B102" s="9"/>
      <c r="C102" s="17">
        <v>1006.19</v>
      </c>
      <c r="D102" s="18">
        <v>37.155000000000001</v>
      </c>
      <c r="E102" s="18">
        <v>42.505000000000003</v>
      </c>
      <c r="F102" s="18">
        <v>44.247</v>
      </c>
      <c r="G102" s="18">
        <v>2.4</v>
      </c>
      <c r="H102" s="18">
        <f t="shared" si="6"/>
        <v>38.710250000000002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0.75854166666666689</v>
      </c>
    </row>
    <row r="103" spans="2:21" x14ac:dyDescent="0.25">
      <c r="B103" s="9"/>
      <c r="C103" s="17">
        <v>603.15</v>
      </c>
      <c r="D103" s="18">
        <v>35.404000000000003</v>
      </c>
      <c r="E103" s="18">
        <v>41.155000000000001</v>
      </c>
      <c r="F103" s="18">
        <v>42.726999999999997</v>
      </c>
      <c r="G103" s="18">
        <v>3.03</v>
      </c>
      <c r="H103" s="18">
        <f t="shared" si="6"/>
        <v>37.038250000000005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0.767062706270627</v>
      </c>
    </row>
    <row r="104" spans="2:21" ht="16.5" thickBot="1" x14ac:dyDescent="0.3">
      <c r="B104" s="12"/>
      <c r="C104" s="19">
        <v>301.64</v>
      </c>
      <c r="D104" s="20">
        <v>33.222000000000001</v>
      </c>
      <c r="E104" s="20">
        <v>39.505000000000003</v>
      </c>
      <c r="F104" s="20">
        <v>40.85</v>
      </c>
      <c r="G104" s="20">
        <v>4</v>
      </c>
      <c r="H104" s="20">
        <f t="shared" si="6"/>
        <v>34.960875000000001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0.93007499999999999</v>
      </c>
    </row>
    <row r="105" spans="2:21" x14ac:dyDescent="0.25">
      <c r="B105" s="6" t="s">
        <v>109</v>
      </c>
      <c r="C105" s="15">
        <v>1620.03</v>
      </c>
      <c r="D105" s="16">
        <v>50.587000000000003</v>
      </c>
      <c r="E105" s="16">
        <v>55.296999999999997</v>
      </c>
      <c r="F105" s="16">
        <v>56.573</v>
      </c>
      <c r="G105" s="16">
        <v>2.48</v>
      </c>
      <c r="H105" s="16">
        <f t="shared" si="6"/>
        <v>51.924000000000007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-8.3795122680214162E-2</v>
      </c>
      <c r="R105" s="8">
        <f>bdrate(C105:C108,E105:E108,J105:J108,L105:L108)</f>
        <v>-0.10607780798014887</v>
      </c>
      <c r="S105" s="8">
        <f>bdrate(C105:C108,F105:F108,J105:J108,M105:M108)</f>
        <v>-0.12186376744984195</v>
      </c>
      <c r="T105" s="25">
        <f>bdrate(C105:C108,H105:H108,J105:J108,O105:O108)</f>
        <v>-9.0928721869367957E-2</v>
      </c>
      <c r="U105" s="28">
        <f t="shared" si="8"/>
        <v>0.64758064516129044</v>
      </c>
    </row>
    <row r="106" spans="2:21" x14ac:dyDescent="0.25">
      <c r="B106" s="9"/>
      <c r="C106" s="17">
        <v>1073.75</v>
      </c>
      <c r="D106" s="18">
        <v>48.837000000000003</v>
      </c>
      <c r="E106" s="18">
        <v>53.732999999999997</v>
      </c>
      <c r="F106" s="18">
        <v>55.113999999999997</v>
      </c>
      <c r="G106" s="18">
        <v>2.99</v>
      </c>
      <c r="H106" s="18">
        <f t="shared" si="6"/>
        <v>50.233625000000004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0.68033444816053512</v>
      </c>
    </row>
    <row r="107" spans="2:21" x14ac:dyDescent="0.25">
      <c r="B107" s="9"/>
      <c r="C107" s="17">
        <v>639.19000000000005</v>
      </c>
      <c r="D107" s="18">
        <v>46.573</v>
      </c>
      <c r="E107" s="18">
        <v>51.734000000000002</v>
      </c>
      <c r="F107" s="18">
        <v>53.180999999999997</v>
      </c>
      <c r="G107" s="18">
        <v>3.76</v>
      </c>
      <c r="H107" s="18">
        <f t="shared" si="6"/>
        <v>48.044124999999994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0.76130319148936165</v>
      </c>
    </row>
    <row r="108" spans="2:21" ht="16.5" thickBot="1" x14ac:dyDescent="0.3">
      <c r="B108" s="12"/>
      <c r="C108" s="19">
        <v>318.45</v>
      </c>
      <c r="D108" s="20">
        <v>43.511000000000003</v>
      </c>
      <c r="E108" s="20">
        <v>48.823999999999998</v>
      </c>
      <c r="F108" s="20">
        <v>50.231999999999999</v>
      </c>
      <c r="G108" s="20">
        <v>4.84</v>
      </c>
      <c r="H108" s="20">
        <f t="shared" si="6"/>
        <v>45.015250000000009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1.0892768595041322</v>
      </c>
    </row>
    <row r="109" spans="2:21" x14ac:dyDescent="0.25">
      <c r="B109" s="6" t="s">
        <v>110</v>
      </c>
      <c r="C109" s="15">
        <v>1463.04</v>
      </c>
      <c r="D109" s="16">
        <v>33.780999999999999</v>
      </c>
      <c r="E109" s="16">
        <v>40.728999999999999</v>
      </c>
      <c r="F109" s="16">
        <v>40.228000000000002</v>
      </c>
      <c r="G109" s="16">
        <v>1.95</v>
      </c>
      <c r="H109" s="16">
        <f t="shared" si="6"/>
        <v>35.455374999999997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2.8532090517636721E-3</v>
      </c>
      <c r="R109" s="8">
        <f>bdrate(C109:C112,E109:E112,J109:J112,L109:L112)</f>
        <v>-0.4192739538853042</v>
      </c>
      <c r="S109" s="8">
        <f>bdrate(C109:C112,F109:F112,J109:J112,M109:M112)</f>
        <v>-0.40902724002261126</v>
      </c>
      <c r="T109" s="25">
        <f>bdrate(C109:C112,H109:H112,J109:J112,O109:O112)</f>
        <v>-8.9963374473848057E-2</v>
      </c>
      <c r="U109" s="28">
        <f t="shared" si="8"/>
        <v>0.5456923076923077</v>
      </c>
    </row>
    <row r="110" spans="2:21" x14ac:dyDescent="0.25">
      <c r="B110" s="9"/>
      <c r="C110" s="17">
        <v>975.25</v>
      </c>
      <c r="D110" s="18">
        <v>32.037999999999997</v>
      </c>
      <c r="E110" s="18">
        <v>39.433</v>
      </c>
      <c r="F110" s="18">
        <v>38.929000000000002</v>
      </c>
      <c r="G110" s="18">
        <v>2.34</v>
      </c>
      <c r="H110" s="18">
        <f t="shared" si="6"/>
        <v>33.823749999999997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0.52965811965811982</v>
      </c>
    </row>
    <row r="111" spans="2:21" x14ac:dyDescent="0.25">
      <c r="B111" s="9"/>
      <c r="C111" s="17">
        <v>585.54</v>
      </c>
      <c r="D111" s="18">
        <v>29.731000000000002</v>
      </c>
      <c r="E111" s="18">
        <v>37.859000000000002</v>
      </c>
      <c r="F111" s="18">
        <v>37.231999999999999</v>
      </c>
      <c r="G111" s="18">
        <v>2.91</v>
      </c>
      <c r="H111" s="18">
        <f t="shared" si="6"/>
        <v>31.684625000000004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0.57378006872852227</v>
      </c>
    </row>
    <row r="112" spans="2:21" ht="16.5" thickBot="1" x14ac:dyDescent="0.3">
      <c r="B112" s="12"/>
      <c r="C112" s="19">
        <v>281.51</v>
      </c>
      <c r="D112" s="20">
        <v>26.013000000000002</v>
      </c>
      <c r="E112" s="20">
        <v>34.597000000000001</v>
      </c>
      <c r="F112" s="20">
        <v>34.177</v>
      </c>
      <c r="G112" s="20">
        <v>4.13</v>
      </c>
      <c r="H112" s="20">
        <f t="shared" si="6"/>
        <v>28.1065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0.59835351089588396</v>
      </c>
    </row>
    <row r="113" spans="2:21" x14ac:dyDescent="0.25">
      <c r="B113" s="6" t="s">
        <v>111</v>
      </c>
      <c r="C113" s="15">
        <v>1660.95</v>
      </c>
      <c r="D113" s="16">
        <v>48.01</v>
      </c>
      <c r="E113" s="16">
        <v>48.591999999999999</v>
      </c>
      <c r="F113" s="16">
        <v>48.55</v>
      </c>
      <c r="G113" s="16">
        <v>2.66</v>
      </c>
      <c r="H113" s="16">
        <f t="shared" si="6"/>
        <v>48.15025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-8.6821528723742381E-2</v>
      </c>
      <c r="R113" s="8">
        <f>bdrate(C113:C116,E113:E116,J113:J116,L113:L116)</f>
        <v>-0.21234382004241059</v>
      </c>
      <c r="S113" s="8">
        <f>bdrate(C113:C116,F113:F116,J113:J116,M113:M116)</f>
        <v>-0.21133105190367685</v>
      </c>
      <c r="T113" s="25">
        <f>bdrate(C113:C116,H113:H116,J113:J116,O113:O116)</f>
        <v>-0.11570725341446042</v>
      </c>
      <c r="U113" s="28">
        <f t="shared" si="8"/>
        <v>0.82063909774436083</v>
      </c>
    </row>
    <row r="114" spans="2:21" x14ac:dyDescent="0.25">
      <c r="B114" s="9"/>
      <c r="C114" s="17">
        <v>1097.58</v>
      </c>
      <c r="D114" s="18">
        <v>46.046999999999997</v>
      </c>
      <c r="E114" s="18">
        <v>46.73</v>
      </c>
      <c r="F114" s="18">
        <v>46.667999999999999</v>
      </c>
      <c r="G114" s="18">
        <v>3.1</v>
      </c>
      <c r="H114" s="18">
        <f t="shared" si="6"/>
        <v>46.21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0.84764516129032241</v>
      </c>
    </row>
    <row r="115" spans="2:21" x14ac:dyDescent="0.25">
      <c r="B115" s="9"/>
      <c r="C115" s="17">
        <v>652.5</v>
      </c>
      <c r="D115" s="18">
        <v>43.332999999999998</v>
      </c>
      <c r="E115" s="18">
        <v>44.237000000000002</v>
      </c>
      <c r="F115" s="18">
        <v>44.106000000000002</v>
      </c>
      <c r="G115" s="18">
        <v>3.74</v>
      </c>
      <c r="H115" s="18">
        <f t="shared" si="6"/>
        <v>43.542625000000001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0.8911229946524063</v>
      </c>
    </row>
    <row r="116" spans="2:21" ht="16.5" thickBot="1" x14ac:dyDescent="0.3">
      <c r="B116" s="12"/>
      <c r="C116" s="19">
        <v>323.12</v>
      </c>
      <c r="D116" s="20">
        <v>39.090000000000003</v>
      </c>
      <c r="E116" s="20">
        <v>40.604999999999997</v>
      </c>
      <c r="F116" s="20">
        <v>40.359000000000002</v>
      </c>
      <c r="G116" s="20">
        <v>4.76</v>
      </c>
      <c r="H116" s="20">
        <f t="shared" si="6"/>
        <v>39.438000000000002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1.0771638655462186</v>
      </c>
    </row>
    <row r="117" spans="2:21" x14ac:dyDescent="0.25">
      <c r="B117" s="6" t="s">
        <v>112</v>
      </c>
      <c r="C117" s="15">
        <v>1942.94</v>
      </c>
      <c r="D117" s="16">
        <v>48.09</v>
      </c>
      <c r="E117" s="16">
        <v>49.862000000000002</v>
      </c>
      <c r="F117" s="16">
        <v>50.076000000000001</v>
      </c>
      <c r="G117" s="16">
        <v>2.54</v>
      </c>
      <c r="H117" s="16">
        <f t="shared" si="6"/>
        <v>48.559750000000008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-0.25871052648068049</v>
      </c>
      <c r="R117" s="8">
        <f>bdrate(C117:C120,E117:E120,J117:J120,L117:L120)</f>
        <v>-0.39534610698867112</v>
      </c>
      <c r="S117" s="8">
        <f>bdrate(C117:C120,F117:F120,J117:J120,M117:M120)</f>
        <v>-0.390164905439773</v>
      </c>
      <c r="T117" s="25">
        <f>bdrate(C117:C120,H117:H120,J117:J120,O117:O120)</f>
        <v>-0.29346289821905336</v>
      </c>
      <c r="U117" s="28">
        <f t="shared" si="8"/>
        <v>1.4213779527559054</v>
      </c>
    </row>
    <row r="118" spans="2:21" x14ac:dyDescent="0.25">
      <c r="B118" s="9"/>
      <c r="C118" s="17">
        <v>1264.6199999999999</v>
      </c>
      <c r="D118" s="18">
        <v>45.244</v>
      </c>
      <c r="E118" s="18">
        <v>47.051000000000002</v>
      </c>
      <c r="F118" s="18">
        <v>47.305</v>
      </c>
      <c r="G118" s="18">
        <v>3</v>
      </c>
      <c r="H118" s="18">
        <f t="shared" si="6"/>
        <v>45.727499999999999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1.4357666666666666</v>
      </c>
    </row>
    <row r="119" spans="2:21" x14ac:dyDescent="0.25">
      <c r="B119" s="9"/>
      <c r="C119" s="17">
        <v>741.27</v>
      </c>
      <c r="D119" s="18">
        <v>42.348999999999997</v>
      </c>
      <c r="E119" s="18">
        <v>44.247999999999998</v>
      </c>
      <c r="F119" s="18">
        <v>44.508000000000003</v>
      </c>
      <c r="G119" s="18">
        <v>3.64</v>
      </c>
      <c r="H119" s="18">
        <f t="shared" si="6"/>
        <v>42.856249999999996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1.3673351648351648</v>
      </c>
    </row>
    <row r="120" spans="2:21" ht="16.5" thickBot="1" x14ac:dyDescent="0.3">
      <c r="B120" s="12"/>
      <c r="C120" s="19">
        <v>356.17</v>
      </c>
      <c r="D120" s="20">
        <v>38.642000000000003</v>
      </c>
      <c r="E120" s="20">
        <v>40.752000000000002</v>
      </c>
      <c r="F120" s="20">
        <v>41.088999999999999</v>
      </c>
      <c r="G120" s="20">
        <v>4.74</v>
      </c>
      <c r="H120" s="20">
        <f t="shared" si="6"/>
        <v>39.211625000000005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1.690168776371308</v>
      </c>
    </row>
    <row r="121" spans="2:21" x14ac:dyDescent="0.25">
      <c r="B121" s="6" t="s">
        <v>113</v>
      </c>
      <c r="C121" s="29">
        <v>1538.65</v>
      </c>
      <c r="D121" s="30">
        <v>34.338000000000001</v>
      </c>
      <c r="E121" s="30">
        <v>37.234000000000002</v>
      </c>
      <c r="F121" s="30">
        <v>36.133000000000003</v>
      </c>
      <c r="G121" s="16">
        <v>2.19</v>
      </c>
      <c r="H121" s="16">
        <f t="shared" si="6"/>
        <v>34.924375000000005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5.3359060466022346E-2</v>
      </c>
      <c r="R121" s="8">
        <f>bdrate(C121:C124,E121:E124,J121:J124,L121:L124)</f>
        <v>-0.3546049048899238</v>
      </c>
      <c r="S121" s="8">
        <f>bdrate(C121:C124,F121:F124,J121:J124,M121:M124)</f>
        <v>-0.33772305870247266</v>
      </c>
      <c r="T121" s="25">
        <f>bdrate(C121:C124,H121:H124,J121:J124,O121:O124)</f>
        <v>-3.4326956900071148E-2</v>
      </c>
      <c r="U121" s="28">
        <f t="shared" si="8"/>
        <v>0.7978082191780822</v>
      </c>
    </row>
    <row r="122" spans="2:21" x14ac:dyDescent="0.25">
      <c r="B122" s="9"/>
      <c r="C122" s="31">
        <v>1021.83</v>
      </c>
      <c r="D122" s="32">
        <v>32.381</v>
      </c>
      <c r="E122" s="32">
        <v>35.851999999999997</v>
      </c>
      <c r="F122" s="32">
        <v>34.679000000000002</v>
      </c>
      <c r="G122" s="18">
        <v>2.58</v>
      </c>
      <c r="H122" s="18">
        <f t="shared" si="6"/>
        <v>33.102125000000001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0.77465116279069757</v>
      </c>
    </row>
    <row r="123" spans="2:21" x14ac:dyDescent="0.25">
      <c r="B123" s="9"/>
      <c r="C123" s="31">
        <v>608.76</v>
      </c>
      <c r="D123" s="32">
        <v>30.016999999999999</v>
      </c>
      <c r="E123" s="32">
        <v>34.249000000000002</v>
      </c>
      <c r="F123" s="32">
        <v>32.976999999999997</v>
      </c>
      <c r="G123" s="18">
        <v>3.19</v>
      </c>
      <c r="H123" s="18">
        <f t="shared" si="6"/>
        <v>30.916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0.7950470219435738</v>
      </c>
    </row>
    <row r="124" spans="2:21" ht="16.5" thickBot="1" x14ac:dyDescent="0.3">
      <c r="B124" s="12"/>
      <c r="C124" s="33">
        <v>297.32</v>
      </c>
      <c r="D124" s="34">
        <v>26.946000000000002</v>
      </c>
      <c r="E124" s="34">
        <v>31.96</v>
      </c>
      <c r="F124" s="34">
        <v>30.637</v>
      </c>
      <c r="G124" s="20">
        <v>4.22</v>
      </c>
      <c r="H124" s="20">
        <f t="shared" si="6"/>
        <v>28.034125000000003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0.87670616113744082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-3.5339873654874079E-2</v>
      </c>
      <c r="R125" s="21">
        <f>AVERAGE(R9:R124)</f>
        <v>-0.351182753332825</v>
      </c>
      <c r="S125" s="21">
        <f>AVERAGE(S9:S124)</f>
        <v>-0.33750870298265456</v>
      </c>
      <c r="T125" s="21">
        <f>AVERAGE(T9:T124)</f>
        <v>-0.10113155854970446</v>
      </c>
      <c r="U125" s="21">
        <f>AVERAGE(U9:U124)</f>
        <v>1.1036255398387389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39" priority="337" operator="greaterThan">
      <formula>0.03</formula>
    </cfRule>
    <cfRule type="cellIs" dxfId="238" priority="338" stopIfTrue="1" operator="lessThan">
      <formula>-0.03</formula>
    </cfRule>
  </conditionalFormatting>
  <conditionalFormatting sqref="Q33:T36">
    <cfRule type="cellIs" dxfId="237" priority="335" operator="greaterThan">
      <formula>0.03</formula>
    </cfRule>
    <cfRule type="cellIs" dxfId="236" priority="336" stopIfTrue="1" operator="lessThan">
      <formula>-0.03</formula>
    </cfRule>
  </conditionalFormatting>
  <conditionalFormatting sqref="Q45:T48 Q61:T64">
    <cfRule type="cellIs" dxfId="235" priority="333" operator="greaterThan">
      <formula>0.03</formula>
    </cfRule>
    <cfRule type="cellIs" dxfId="234" priority="334" stopIfTrue="1" operator="lessThan">
      <formula>-0.03</formula>
    </cfRule>
  </conditionalFormatting>
  <conditionalFormatting sqref="Q49:T60">
    <cfRule type="cellIs" dxfId="233" priority="331" operator="greaterThan">
      <formula>0.03</formula>
    </cfRule>
    <cfRule type="cellIs" dxfId="232" priority="332" stopIfTrue="1" operator="lessThan">
      <formula>-0.03</formula>
    </cfRule>
  </conditionalFormatting>
  <conditionalFormatting sqref="Q69:T76">
    <cfRule type="cellIs" dxfId="231" priority="329" operator="greaterThan">
      <formula>0.03</formula>
    </cfRule>
    <cfRule type="cellIs" dxfId="230" priority="330" stopIfTrue="1" operator="lessThan">
      <formula>-0.03</formula>
    </cfRule>
  </conditionalFormatting>
  <conditionalFormatting sqref="Q65:T68">
    <cfRule type="cellIs" dxfId="229" priority="327" operator="greaterThan">
      <formula>0.03</formula>
    </cfRule>
    <cfRule type="cellIs" dxfId="228" priority="328" stopIfTrue="1" operator="lessThan">
      <formula>-0.03</formula>
    </cfRule>
  </conditionalFormatting>
  <conditionalFormatting sqref="Q77:T80">
    <cfRule type="cellIs" dxfId="227" priority="325" operator="greaterThan">
      <formula>0.03</formula>
    </cfRule>
    <cfRule type="cellIs" dxfId="226" priority="326" stopIfTrue="1" operator="lessThan">
      <formula>-0.03</formula>
    </cfRule>
  </conditionalFormatting>
  <conditionalFormatting sqref="Q21:T28">
    <cfRule type="cellIs" dxfId="225" priority="323" operator="greaterThan">
      <formula>0.03</formula>
    </cfRule>
    <cfRule type="cellIs" dxfId="224" priority="324" stopIfTrue="1" operator="lessThan">
      <formula>-0.03</formula>
    </cfRule>
  </conditionalFormatting>
  <conditionalFormatting sqref="Q117:T117">
    <cfRule type="cellIs" dxfId="223" priority="33" operator="greaterThan">
      <formula>0.03</formula>
    </cfRule>
    <cfRule type="cellIs" dxfId="222" priority="34" stopIfTrue="1" operator="lessThan">
      <formula>-0.03</formula>
    </cfRule>
  </conditionalFormatting>
  <conditionalFormatting sqref="Q93:T96 Q101:T108 Q81:T84">
    <cfRule type="cellIs" dxfId="221" priority="47" operator="greaterThan">
      <formula>0.03</formula>
    </cfRule>
    <cfRule type="cellIs" dxfId="220" priority="48" stopIfTrue="1" operator="lessThan">
      <formula>-0.03</formula>
    </cfRule>
  </conditionalFormatting>
  <conditionalFormatting sqref="Q97:T100">
    <cfRule type="cellIs" dxfId="219" priority="45" operator="greaterThan">
      <formula>0.03</formula>
    </cfRule>
    <cfRule type="cellIs" dxfId="218" priority="46" stopIfTrue="1" operator="lessThan">
      <formula>-0.03</formula>
    </cfRule>
  </conditionalFormatting>
  <conditionalFormatting sqref="Q110:T112 Q122:T124">
    <cfRule type="cellIs" dxfId="217" priority="43" operator="greaterThan">
      <formula>0.03</formula>
    </cfRule>
    <cfRule type="cellIs" dxfId="216" priority="44" stopIfTrue="1" operator="lessThan">
      <formula>-0.03</formula>
    </cfRule>
  </conditionalFormatting>
  <conditionalFormatting sqref="Q114:T116 Q118:T120">
    <cfRule type="cellIs" dxfId="215" priority="41" operator="greaterThan">
      <formula>0.03</formula>
    </cfRule>
    <cfRule type="cellIs" dxfId="214" priority="42" stopIfTrue="1" operator="lessThan">
      <formula>-0.03</formula>
    </cfRule>
  </conditionalFormatting>
  <conditionalFormatting sqref="Q85:T92">
    <cfRule type="cellIs" dxfId="213" priority="39" operator="greaterThan">
      <formula>0.03</formula>
    </cfRule>
    <cfRule type="cellIs" dxfId="212" priority="40" stopIfTrue="1" operator="lessThan">
      <formula>-0.03</formula>
    </cfRule>
  </conditionalFormatting>
  <conditionalFormatting sqref="Q109:T109">
    <cfRule type="cellIs" dxfId="211" priority="37" operator="greaterThan">
      <formula>0.03</formula>
    </cfRule>
    <cfRule type="cellIs" dxfId="210" priority="38" stopIfTrue="1" operator="lessThan">
      <formula>-0.03</formula>
    </cfRule>
  </conditionalFormatting>
  <conditionalFormatting sqref="Q113:T113">
    <cfRule type="cellIs" dxfId="209" priority="35" operator="greaterThan">
      <formula>0.03</formula>
    </cfRule>
    <cfRule type="cellIs" dxfId="208" priority="36" stopIfTrue="1" operator="lessThan">
      <formula>-0.03</formula>
    </cfRule>
  </conditionalFormatting>
  <conditionalFormatting sqref="Q121:T121">
    <cfRule type="cellIs" dxfId="207" priority="31" operator="greaterThan">
      <formula>0.03</formula>
    </cfRule>
    <cfRule type="cellIs" dxfId="206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>
      <selection activeCell="B3" sqref="B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145</v>
      </c>
    </row>
    <row r="2" spans="1:21" x14ac:dyDescent="0.25">
      <c r="A2" t="s">
        <v>143</v>
      </c>
    </row>
    <row r="3" spans="1:21" x14ac:dyDescent="0.25">
      <c r="A3" t="s">
        <v>89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150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141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4240.2294921875</v>
      </c>
      <c r="D9" s="16">
        <v>36.122</v>
      </c>
      <c r="E9" s="16">
        <v>38.588000000000001</v>
      </c>
      <c r="F9" s="16">
        <v>40.881</v>
      </c>
      <c r="G9" s="16">
        <v>14.23</v>
      </c>
      <c r="H9" s="16">
        <f t="shared" ref="H9:H80" si="0">(6*D9+E9+F9)/8</f>
        <v>37.025125000000003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-0.40017568529533198</v>
      </c>
      <c r="R9" s="8">
        <f>bdrate(C9:C12,E9:E12,J9:J12,L9:L12)</f>
        <v>-0.45962289914498833</v>
      </c>
      <c r="S9" s="8">
        <f>bdrate(C9:C12,F9:F12,J9:J12,M9:M12)</f>
        <v>-0.47639850256359839</v>
      </c>
      <c r="T9" s="25">
        <f>bdrate(C9:C12,H9:H12,J9:J12,O9:O12)</f>
        <v>-0.41222343129582983</v>
      </c>
      <c r="U9" s="28">
        <f t="shared" ref="U9:U72" si="2">(N9-G9)/G9</f>
        <v>0.16296556570625431</v>
      </c>
    </row>
    <row r="10" spans="1:21" x14ac:dyDescent="0.25">
      <c r="A10" s="9" t="s">
        <v>36</v>
      </c>
      <c r="B10" s="9"/>
      <c r="C10" s="17">
        <v>3170.7421875</v>
      </c>
      <c r="D10" s="18">
        <v>35.216000000000001</v>
      </c>
      <c r="E10" s="18">
        <v>38.058</v>
      </c>
      <c r="F10" s="18">
        <v>40.283999999999999</v>
      </c>
      <c r="G10" s="18">
        <v>14.68</v>
      </c>
      <c r="H10" s="18">
        <f t="shared" si="0"/>
        <v>36.204749999999997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0.28933242506811985</v>
      </c>
    </row>
    <row r="11" spans="1:21" x14ac:dyDescent="0.25">
      <c r="B11" s="9"/>
      <c r="C11" s="17">
        <v>2137.521484375</v>
      </c>
      <c r="D11" s="18">
        <v>33.895000000000003</v>
      </c>
      <c r="E11" s="18">
        <v>37.265999999999998</v>
      </c>
      <c r="F11" s="18">
        <v>39.402999999999999</v>
      </c>
      <c r="G11" s="18">
        <v>15.59</v>
      </c>
      <c r="H11" s="18">
        <f t="shared" si="0"/>
        <v>35.004874999999998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0.42120590121873003</v>
      </c>
    </row>
    <row r="12" spans="1:21" ht="16.5" thickBot="1" x14ac:dyDescent="0.3">
      <c r="B12" s="12"/>
      <c r="C12" s="19">
        <v>1096.005859375</v>
      </c>
      <c r="D12" s="20">
        <v>31.102</v>
      </c>
      <c r="E12" s="20">
        <v>35.744999999999997</v>
      </c>
      <c r="F12" s="20">
        <v>37.673999999999999</v>
      </c>
      <c r="G12" s="20">
        <v>18.36</v>
      </c>
      <c r="H12" s="20">
        <f t="shared" si="0"/>
        <v>32.503875000000001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0.57751089324618743</v>
      </c>
    </row>
    <row r="13" spans="1:21" x14ac:dyDescent="0.25">
      <c r="B13" s="6" t="s">
        <v>47</v>
      </c>
      <c r="C13" s="15">
        <v>4762.2294921875</v>
      </c>
      <c r="D13" s="16">
        <v>28.03</v>
      </c>
      <c r="E13" s="16">
        <v>38.781999999999996</v>
      </c>
      <c r="F13" s="16">
        <v>39.816000000000003</v>
      </c>
      <c r="G13" s="16">
        <v>12.3</v>
      </c>
      <c r="H13" s="16">
        <f t="shared" si="0"/>
        <v>30.847249999999999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-0.30239310755649207</v>
      </c>
      <c r="R13" s="8">
        <f>bdrate(C13:C16,E13:E16,J13:J16,L13:L16)</f>
        <v>-0.53440304262239968</v>
      </c>
      <c r="S13" s="8">
        <f>bdrate(C13:C16,F13:F16,J13:J16,M13:M16)</f>
        <v>-0.55036827662085896</v>
      </c>
      <c r="T13" s="25">
        <f>bdrate(C13:C16,H13:H16,J13:J16,O13:O16)</f>
        <v>-0.34490470343974211</v>
      </c>
      <c r="U13" s="28">
        <f t="shared" si="2"/>
        <v>-2.6414634146341567E-2</v>
      </c>
    </row>
    <row r="14" spans="1:21" x14ac:dyDescent="0.25">
      <c r="B14" s="9"/>
      <c r="C14" s="17">
        <v>4095.2666015625</v>
      </c>
      <c r="D14" s="18">
        <v>27.666</v>
      </c>
      <c r="E14" s="18">
        <v>38.234000000000002</v>
      </c>
      <c r="F14" s="18">
        <v>39.261000000000003</v>
      </c>
      <c r="G14" s="18">
        <v>12.62</v>
      </c>
      <c r="H14" s="18">
        <f t="shared" si="0"/>
        <v>30.436375000000002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0.11720285261489706</v>
      </c>
    </row>
    <row r="15" spans="1:21" x14ac:dyDescent="0.25">
      <c r="B15" s="9"/>
      <c r="C15" s="17">
        <v>3409.58203125</v>
      </c>
      <c r="D15" s="18">
        <v>27.236000000000001</v>
      </c>
      <c r="E15" s="18">
        <v>37.610999999999997</v>
      </c>
      <c r="F15" s="18">
        <v>38.527999999999999</v>
      </c>
      <c r="G15" s="18">
        <v>12.29</v>
      </c>
      <c r="H15" s="18">
        <f t="shared" si="0"/>
        <v>29.944374999999997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0.44609438567941434</v>
      </c>
    </row>
    <row r="16" spans="1:21" ht="16.5" thickBot="1" x14ac:dyDescent="0.3">
      <c r="B16" s="12"/>
      <c r="C16" s="19">
        <v>2870.1015625</v>
      </c>
      <c r="D16" s="20">
        <v>26.567</v>
      </c>
      <c r="E16" s="20">
        <v>36.459000000000003</v>
      </c>
      <c r="F16" s="20">
        <v>37.225999999999999</v>
      </c>
      <c r="G16" s="20">
        <v>12.65</v>
      </c>
      <c r="H16" s="20">
        <f t="shared" si="0"/>
        <v>29.135874999999999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0.84498023715415005</v>
      </c>
    </row>
    <row r="17" spans="1:21" x14ac:dyDescent="0.25">
      <c r="A17" s="6" t="s">
        <v>37</v>
      </c>
      <c r="B17" s="6" t="s">
        <v>48</v>
      </c>
      <c r="C17" s="15">
        <v>2016.111328125</v>
      </c>
      <c r="D17" s="16">
        <v>36.972999999999999</v>
      </c>
      <c r="E17" s="16">
        <v>40.981999999999999</v>
      </c>
      <c r="F17" s="16">
        <v>42.165999999999997</v>
      </c>
      <c r="G17" s="16">
        <v>24.02</v>
      </c>
      <c r="H17" s="16">
        <f t="shared" si="0"/>
        <v>38.123249999999999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-0.44261729178721521</v>
      </c>
      <c r="R17" s="8">
        <f>bdrate(C17:C20,E17:E20,J17:J20,L17:L20)</f>
        <v>-0.36907733638637363</v>
      </c>
      <c r="S17" s="8">
        <f>bdrate(C17:C20,F17:F20,J17:J20,M17:M20)</f>
        <v>-0.37924821796117636</v>
      </c>
      <c r="T17" s="25">
        <f>bdrate(C17:C20,H17:H20,J17:J20,O17:O20)</f>
        <v>-0.43390061039020655</v>
      </c>
      <c r="U17" s="28">
        <f t="shared" si="2"/>
        <v>0.31244796003330555</v>
      </c>
    </row>
    <row r="18" spans="1:21" x14ac:dyDescent="0.25">
      <c r="A18" s="9" t="s">
        <v>38</v>
      </c>
      <c r="B18" s="9"/>
      <c r="C18" s="17">
        <v>1416.314453125</v>
      </c>
      <c r="D18" s="18">
        <v>35.607999999999997</v>
      </c>
      <c r="E18" s="18">
        <v>40.335000000000001</v>
      </c>
      <c r="F18" s="18">
        <v>41.488</v>
      </c>
      <c r="G18" s="18">
        <v>26.23</v>
      </c>
      <c r="H18" s="18">
        <f t="shared" si="0"/>
        <v>36.933875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0.3670758673274877</v>
      </c>
    </row>
    <row r="19" spans="1:21" x14ac:dyDescent="0.25">
      <c r="B19" s="9"/>
      <c r="C19" s="17">
        <v>958.91015625</v>
      </c>
      <c r="D19" s="18">
        <v>33.926000000000002</v>
      </c>
      <c r="E19" s="18">
        <v>39.448999999999998</v>
      </c>
      <c r="F19" s="18">
        <v>40.609000000000002</v>
      </c>
      <c r="G19" s="18">
        <v>28.5</v>
      </c>
      <c r="H19" s="18">
        <f t="shared" si="0"/>
        <v>35.451749999999997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0.48284210526315802</v>
      </c>
    </row>
    <row r="20" spans="1:21" ht="16.5" thickBot="1" x14ac:dyDescent="0.3">
      <c r="B20" s="12"/>
      <c r="C20" s="19">
        <v>591.73046875</v>
      </c>
      <c r="D20" s="20">
        <v>31.788</v>
      </c>
      <c r="E20" s="20">
        <v>38.286000000000001</v>
      </c>
      <c r="F20" s="20">
        <v>39.418999999999997</v>
      </c>
      <c r="G20" s="20">
        <v>31.68</v>
      </c>
      <c r="H20" s="20">
        <f t="shared" si="0"/>
        <v>33.554124999999999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0.61323547979797988</v>
      </c>
    </row>
    <row r="21" spans="1:21" x14ac:dyDescent="0.25">
      <c r="B21" s="6" t="s">
        <v>49</v>
      </c>
      <c r="C21" s="15">
        <v>2483.6513671875</v>
      </c>
      <c r="D21" s="16">
        <v>34.587000000000003</v>
      </c>
      <c r="E21" s="16">
        <v>38.743000000000002</v>
      </c>
      <c r="F21" s="16">
        <v>39.991</v>
      </c>
      <c r="G21" s="16">
        <v>24.2</v>
      </c>
      <c r="H21" s="16">
        <f t="shared" si="0"/>
        <v>35.782000000000004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-0.33403394806731657</v>
      </c>
      <c r="R21" s="8">
        <f>bdrate(C21:C24,E21:E24,J21:J24,L21:L24)</f>
        <v>-0.46324696931979081</v>
      </c>
      <c r="S21" s="8">
        <f>bdrate(C21:C24,F21:F24,J21:J24,M21:M24)</f>
        <v>-0.45745979416951665</v>
      </c>
      <c r="T21" s="25">
        <f>bdrate(C21:C24,H21:H24,J21:J24,O21:O24)</f>
        <v>-0.35657220068165252</v>
      </c>
      <c r="U21" s="28">
        <f t="shared" si="2"/>
        <v>0.17088016528925623</v>
      </c>
    </row>
    <row r="22" spans="1:21" x14ac:dyDescent="0.25">
      <c r="B22" s="9"/>
      <c r="C22" s="17">
        <v>1678.5498046875</v>
      </c>
      <c r="D22" s="18">
        <v>33.509</v>
      </c>
      <c r="E22" s="18">
        <v>38.015999999999998</v>
      </c>
      <c r="F22" s="18">
        <v>39.377000000000002</v>
      </c>
      <c r="G22" s="18">
        <v>25.38</v>
      </c>
      <c r="H22" s="18">
        <f t="shared" si="0"/>
        <v>34.805875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0.34704491725768338</v>
      </c>
    </row>
    <row r="23" spans="1:21" x14ac:dyDescent="0.25">
      <c r="B23" s="9"/>
      <c r="C23" s="17">
        <v>1042.265625</v>
      </c>
      <c r="D23" s="18">
        <v>32.146000000000001</v>
      </c>
      <c r="E23" s="18">
        <v>37.091000000000001</v>
      </c>
      <c r="F23" s="18">
        <v>38.646000000000001</v>
      </c>
      <c r="G23" s="18">
        <v>27.19</v>
      </c>
      <c r="H23" s="18">
        <f t="shared" si="0"/>
        <v>33.576625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0.52501287237955119</v>
      </c>
    </row>
    <row r="24" spans="1:21" ht="16.5" thickBot="1" x14ac:dyDescent="0.3">
      <c r="B24" s="12"/>
      <c r="C24" s="19">
        <v>625.6708984375</v>
      </c>
      <c r="D24" s="20">
        <v>30.579000000000001</v>
      </c>
      <c r="E24" s="20">
        <v>36.159999999999997</v>
      </c>
      <c r="F24" s="20">
        <v>37.936</v>
      </c>
      <c r="G24" s="20">
        <v>29.75</v>
      </c>
      <c r="H24" s="20">
        <f t="shared" si="0"/>
        <v>32.196249999999999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0.68982521008403364</v>
      </c>
    </row>
    <row r="25" spans="1:21" x14ac:dyDescent="0.25">
      <c r="B25" s="6" t="s">
        <v>50</v>
      </c>
      <c r="C25" s="15">
        <v>2443.83203125</v>
      </c>
      <c r="D25" s="16">
        <v>32.697000000000003</v>
      </c>
      <c r="E25" s="16">
        <v>37.456000000000003</v>
      </c>
      <c r="F25" s="16">
        <v>38.76</v>
      </c>
      <c r="G25" s="16">
        <v>30.99</v>
      </c>
      <c r="H25" s="16">
        <f t="shared" si="0"/>
        <v>34.049750000000003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-0.40358817181928086</v>
      </c>
      <c r="R25" s="8">
        <f>bdrate(C25:C28,E25:E28,J25:J28,L25:L28)</f>
        <v>-0.52435051784973996</v>
      </c>
      <c r="S25" s="8">
        <f>bdrate(C25:C28,F25:F28,J25:J28,M25:M28)</f>
        <v>-0.54538843397040715</v>
      </c>
      <c r="T25" s="25">
        <f>bdrate(C25:C28,H25:H28,J25:J28,O25:O28)</f>
        <v>-0.42918907577155752</v>
      </c>
      <c r="U25" s="28">
        <f t="shared" si="2"/>
        <v>0.26751855437237826</v>
      </c>
    </row>
    <row r="26" spans="1:21" x14ac:dyDescent="0.25">
      <c r="B26" s="9"/>
      <c r="C26" s="17">
        <v>1638.05859375</v>
      </c>
      <c r="D26" s="18">
        <v>31.349</v>
      </c>
      <c r="E26" s="18">
        <v>36.707000000000001</v>
      </c>
      <c r="F26" s="18">
        <v>37.566000000000003</v>
      </c>
      <c r="G26" s="18">
        <v>33.14</v>
      </c>
      <c r="H26" s="18">
        <f t="shared" si="0"/>
        <v>32.795874999999995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0.43077248038624011</v>
      </c>
    </row>
    <row r="27" spans="1:21" x14ac:dyDescent="0.25">
      <c r="B27" s="9"/>
      <c r="C27" s="17">
        <v>1050.5712890625</v>
      </c>
      <c r="D27" s="18">
        <v>29.584</v>
      </c>
      <c r="E27" s="18">
        <v>35.676000000000002</v>
      </c>
      <c r="F27" s="18">
        <v>36.015000000000001</v>
      </c>
      <c r="G27" s="18">
        <v>37.450000000000003</v>
      </c>
      <c r="H27" s="18">
        <f t="shared" si="0"/>
        <v>31.149374999999999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0.51751935914552727</v>
      </c>
    </row>
    <row r="28" spans="1:21" ht="16.5" thickBot="1" x14ac:dyDescent="0.3">
      <c r="B28" s="12"/>
      <c r="C28" s="19">
        <v>822.51171875</v>
      </c>
      <c r="D28" s="20">
        <v>28.585999999999999</v>
      </c>
      <c r="E28" s="20">
        <v>34.831000000000003</v>
      </c>
      <c r="F28" s="20">
        <v>34.781999999999996</v>
      </c>
      <c r="G28" s="20">
        <v>36.380000000000003</v>
      </c>
      <c r="H28" s="20">
        <f t="shared" si="0"/>
        <v>30.141124999999995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0.9112534359538208</v>
      </c>
    </row>
    <row r="29" spans="1:21" x14ac:dyDescent="0.25">
      <c r="B29" s="6" t="s">
        <v>51</v>
      </c>
      <c r="C29" s="29">
        <v>2254.8193359375</v>
      </c>
      <c r="D29" s="30">
        <v>31.608000000000001</v>
      </c>
      <c r="E29" s="30">
        <v>38.442</v>
      </c>
      <c r="F29" s="30">
        <v>37.198999999999998</v>
      </c>
      <c r="G29" s="16">
        <v>29.63</v>
      </c>
      <c r="H29" s="16">
        <f t="shared" si="0"/>
        <v>33.161124999999998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-0.49606303818646624</v>
      </c>
      <c r="R29" s="8">
        <f>bdrate(C29:C32,E29:E32,J29:J32,L29:L32)</f>
        <v>-0.58410146603573188</v>
      </c>
      <c r="S29" s="8">
        <f>bdrate(C29:C32,F29:F32,J29:J32,M29:M32)</f>
        <v>-0.64063409677948924</v>
      </c>
      <c r="T29" s="25">
        <f>bdrate(C29:C32,H29:H32,J29:J32,O29:O32)</f>
        <v>-0.52534102824149309</v>
      </c>
      <c r="U29" s="28">
        <f t="shared" si="2"/>
        <v>0.18995612554843075</v>
      </c>
    </row>
    <row r="30" spans="1:21" x14ac:dyDescent="0.25">
      <c r="B30" s="9"/>
      <c r="C30" s="31">
        <v>1648.83984375</v>
      </c>
      <c r="D30" s="32">
        <v>30.27</v>
      </c>
      <c r="E30" s="32">
        <v>37.439</v>
      </c>
      <c r="F30" s="32">
        <v>35.948999999999998</v>
      </c>
      <c r="G30" s="18">
        <v>32.119999999999997</v>
      </c>
      <c r="H30" s="18">
        <f t="shared" si="0"/>
        <v>31.875999999999998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0.30439290161892918</v>
      </c>
    </row>
    <row r="31" spans="1:21" x14ac:dyDescent="0.25">
      <c r="B31" s="9"/>
      <c r="C31" s="31">
        <v>1261.32421875</v>
      </c>
      <c r="D31" s="32">
        <v>29.193000000000001</v>
      </c>
      <c r="E31" s="32">
        <v>36.334000000000003</v>
      </c>
      <c r="F31" s="32">
        <v>34.857999999999997</v>
      </c>
      <c r="G31" s="18">
        <v>33.4</v>
      </c>
      <c r="H31" s="18">
        <f t="shared" si="0"/>
        <v>30.793750000000003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0.51350299401197619</v>
      </c>
    </row>
    <row r="32" spans="1:21" ht="16.5" thickBot="1" x14ac:dyDescent="0.3">
      <c r="B32" s="12"/>
      <c r="C32" s="33">
        <v>1137.3134765625</v>
      </c>
      <c r="D32" s="34">
        <v>28.753</v>
      </c>
      <c r="E32" s="34">
        <v>35.685000000000002</v>
      </c>
      <c r="F32" s="34">
        <v>34.293999999999997</v>
      </c>
      <c r="G32" s="20">
        <v>32.520000000000003</v>
      </c>
      <c r="H32" s="20">
        <f t="shared" si="0"/>
        <v>30.312125000000002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0.90262915129151278</v>
      </c>
    </row>
    <row r="33" spans="1:21" x14ac:dyDescent="0.25">
      <c r="B33" s="6" t="s">
        <v>52</v>
      </c>
      <c r="C33" s="15">
        <v>2493.087890625</v>
      </c>
      <c r="D33" s="16">
        <v>31.408999999999999</v>
      </c>
      <c r="E33" s="16">
        <v>38.481000000000002</v>
      </c>
      <c r="F33" s="16">
        <v>41.033000000000001</v>
      </c>
      <c r="G33" s="16">
        <v>29.02</v>
      </c>
      <c r="H33" s="16">
        <f t="shared" si="0"/>
        <v>33.496000000000002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-0.64808445997446573</v>
      </c>
      <c r="R33" s="8">
        <f>bdrate(C33:C36,E33:E36,J33:J36,L33:L36)</f>
        <v>-0.66317296286303529</v>
      </c>
      <c r="S33" s="8">
        <f>bdrate(C33:C36,F33:F36,J33:J36,M33:M36)</f>
        <v>-0.65434917840537232</v>
      </c>
      <c r="T33" s="25">
        <f>bdrate(C33:C36,H33:H36,J33:J36,O33:O36)</f>
        <v>-0.65033050667842818</v>
      </c>
      <c r="U33" s="28">
        <f t="shared" si="2"/>
        <v>0.51991385251550659</v>
      </c>
    </row>
    <row r="34" spans="1:21" x14ac:dyDescent="0.25">
      <c r="B34" s="9"/>
      <c r="C34" s="17">
        <v>1664.498046875</v>
      </c>
      <c r="D34" s="18">
        <v>30.427</v>
      </c>
      <c r="E34" s="18">
        <v>37.857999999999997</v>
      </c>
      <c r="F34" s="18">
        <v>40.374000000000002</v>
      </c>
      <c r="G34" s="18">
        <v>31.1</v>
      </c>
      <c r="H34" s="18">
        <f t="shared" si="0"/>
        <v>32.599250000000005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0.6468295819935691</v>
      </c>
    </row>
    <row r="35" spans="1:21" x14ac:dyDescent="0.25">
      <c r="B35" s="9"/>
      <c r="C35" s="17">
        <v>1050.4501953125</v>
      </c>
      <c r="D35" s="18">
        <v>28.981999999999999</v>
      </c>
      <c r="E35" s="18">
        <v>37.04</v>
      </c>
      <c r="F35" s="18">
        <v>39.33</v>
      </c>
      <c r="G35" s="18">
        <v>34.03</v>
      </c>
      <c r="H35" s="18">
        <f t="shared" si="0"/>
        <v>31.28275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0.72553335292389065</v>
      </c>
    </row>
    <row r="36" spans="1:21" ht="16.5" thickBot="1" x14ac:dyDescent="0.3">
      <c r="B36" s="12"/>
      <c r="C36" s="19">
        <v>749.2080078125</v>
      </c>
      <c r="D36" s="20">
        <v>27.54</v>
      </c>
      <c r="E36" s="20">
        <v>36.212000000000003</v>
      </c>
      <c r="F36" s="20">
        <v>38.137999999999998</v>
      </c>
      <c r="G36" s="20">
        <v>35.729999999999997</v>
      </c>
      <c r="H36" s="20">
        <f t="shared" si="0"/>
        <v>29.94875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0.87878813322138261</v>
      </c>
    </row>
    <row r="37" spans="1:21" x14ac:dyDescent="0.25">
      <c r="A37" s="6" t="s">
        <v>39</v>
      </c>
      <c r="B37" s="6" t="s">
        <v>53</v>
      </c>
      <c r="C37" s="15">
        <v>1241.1337890625</v>
      </c>
      <c r="D37" s="16">
        <v>33.451000000000001</v>
      </c>
      <c r="E37" s="16">
        <v>37.723999999999997</v>
      </c>
      <c r="F37" s="16">
        <v>37.186</v>
      </c>
      <c r="G37" s="16">
        <v>136.47999999999999</v>
      </c>
      <c r="H37" s="16">
        <f t="shared" si="0"/>
        <v>34.451999999999998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-0.3387421360046956</v>
      </c>
      <c r="R37" s="8">
        <f>bdrate(C37:C40,E37:E40,J37:J40,L37:L40)</f>
        <v>-0.41844938598537817</v>
      </c>
      <c r="S37" s="8">
        <f>bdrate(C37:C40,F37:F40,J37:J40,M37:M40)</f>
        <v>-0.45930194899191734</v>
      </c>
      <c r="T37" s="25">
        <f>bdrate(C37:C40,H37:H40,J37:J40,O37:O40)</f>
        <v>-0.36303612641485838</v>
      </c>
      <c r="U37" s="28">
        <f t="shared" si="2"/>
        <v>-6.06308616647128E-2</v>
      </c>
    </row>
    <row r="38" spans="1:21" x14ac:dyDescent="0.25">
      <c r="A38" s="9" t="s">
        <v>40</v>
      </c>
      <c r="B38" s="9"/>
      <c r="C38" s="17">
        <v>835.7138671875</v>
      </c>
      <c r="D38" s="18">
        <v>32.061</v>
      </c>
      <c r="E38" s="18">
        <v>36.558</v>
      </c>
      <c r="F38" s="18">
        <v>35.883000000000003</v>
      </c>
      <c r="G38" s="18">
        <v>149.47</v>
      </c>
      <c r="H38" s="18">
        <f t="shared" si="0"/>
        <v>33.100874999999995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3.0863718471934209E-2</v>
      </c>
    </row>
    <row r="39" spans="1:21" x14ac:dyDescent="0.25">
      <c r="B39" s="9"/>
      <c r="C39" s="17">
        <v>522.380859375</v>
      </c>
      <c r="D39" s="18">
        <v>30.417999999999999</v>
      </c>
      <c r="E39" s="18">
        <v>35.171999999999997</v>
      </c>
      <c r="F39" s="18">
        <v>34.308999999999997</v>
      </c>
      <c r="G39" s="18">
        <v>167.66</v>
      </c>
      <c r="H39" s="18">
        <f t="shared" si="0"/>
        <v>31.498624999999997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0.13134498389597993</v>
      </c>
    </row>
    <row r="40" spans="1:21" ht="16.5" thickBot="1" x14ac:dyDescent="0.3">
      <c r="B40" s="12"/>
      <c r="C40" s="19">
        <v>323.890625</v>
      </c>
      <c r="D40" s="20">
        <v>28.629000000000001</v>
      </c>
      <c r="E40" s="20">
        <v>33.552999999999997</v>
      </c>
      <c r="F40" s="20">
        <v>32.539000000000001</v>
      </c>
      <c r="G40" s="20">
        <v>191.46</v>
      </c>
      <c r="H40" s="20">
        <f t="shared" si="0"/>
        <v>29.733249999999998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0.27764755040217276</v>
      </c>
    </row>
    <row r="41" spans="1:21" x14ac:dyDescent="0.25">
      <c r="B41" s="6" t="s">
        <v>54</v>
      </c>
      <c r="C41" s="15">
        <v>1229.83984375</v>
      </c>
      <c r="D41" s="16">
        <v>32.732999999999997</v>
      </c>
      <c r="E41" s="16">
        <v>38.936</v>
      </c>
      <c r="F41" s="16">
        <v>39.54</v>
      </c>
      <c r="G41" s="16">
        <v>138.4</v>
      </c>
      <c r="H41" s="16">
        <f t="shared" si="0"/>
        <v>34.359249999999996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-0.44682418802243806</v>
      </c>
      <c r="R41" s="8">
        <f>bdrate(C41:C44,E41:E44,J41:J44,L41:L44)</f>
        <v>-0.50469088884086366</v>
      </c>
      <c r="S41" s="8">
        <f>bdrate(C41:C44,F41:F44,J41:J44,M41:M44)</f>
        <v>-0.51546155136764771</v>
      </c>
      <c r="T41" s="25">
        <f>bdrate(C41:C44,H41:H44,J41:J44,O41:O44)</f>
        <v>-0.46038732332842802</v>
      </c>
      <c r="U41" s="28">
        <f t="shared" si="2"/>
        <v>-3.1659682080924817E-2</v>
      </c>
    </row>
    <row r="42" spans="1:21" x14ac:dyDescent="0.25">
      <c r="B42" s="9"/>
      <c r="C42" s="17">
        <v>821.720703125</v>
      </c>
      <c r="D42" s="18">
        <v>31.314</v>
      </c>
      <c r="E42" s="18">
        <v>37.890999999999998</v>
      </c>
      <c r="F42" s="18">
        <v>38.375</v>
      </c>
      <c r="G42" s="18">
        <v>149.72999999999999</v>
      </c>
      <c r="H42" s="18">
        <f t="shared" si="0"/>
        <v>33.018749999999997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7.4896146396847704E-2</v>
      </c>
    </row>
    <row r="43" spans="1:21" x14ac:dyDescent="0.25">
      <c r="B43" s="9"/>
      <c r="C43" s="17">
        <v>524.2470703125</v>
      </c>
      <c r="D43" s="18">
        <v>29.611000000000001</v>
      </c>
      <c r="E43" s="18">
        <v>36.686</v>
      </c>
      <c r="F43" s="18">
        <v>36.997999999999998</v>
      </c>
      <c r="G43" s="18">
        <v>163.81</v>
      </c>
      <c r="H43" s="18">
        <f t="shared" si="0"/>
        <v>31.418749999999999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0.20406995909895606</v>
      </c>
    </row>
    <row r="44" spans="1:21" ht="16.5" thickBot="1" x14ac:dyDescent="0.3">
      <c r="B44" s="12"/>
      <c r="C44" s="19">
        <v>357.025390625</v>
      </c>
      <c r="D44" s="20">
        <v>28.006</v>
      </c>
      <c r="E44" s="20">
        <v>35.609000000000002</v>
      </c>
      <c r="F44" s="20">
        <v>35.787999999999997</v>
      </c>
      <c r="G44" s="20">
        <v>172.44</v>
      </c>
      <c r="H44" s="20">
        <f t="shared" si="0"/>
        <v>29.929124999999999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0.4389874739039667</v>
      </c>
    </row>
    <row r="45" spans="1:21" x14ac:dyDescent="0.25">
      <c r="B45" s="6" t="s">
        <v>55</v>
      </c>
      <c r="C45" s="15">
        <v>1326.212890625</v>
      </c>
      <c r="D45" s="16">
        <v>28.44</v>
      </c>
      <c r="E45" s="16">
        <v>35.277000000000001</v>
      </c>
      <c r="F45" s="16">
        <v>36.091999999999999</v>
      </c>
      <c r="G45" s="16">
        <v>110.82</v>
      </c>
      <c r="H45" s="16">
        <f t="shared" si="0"/>
        <v>30.251125000000002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-0.45760845113172666</v>
      </c>
      <c r="R45" s="8">
        <f>bdrate(C45:C48,E45:E48,J45:J48,L45:L48)</f>
        <v>-0.58466965962545858</v>
      </c>
      <c r="S45" s="8">
        <f>bdrate(C45:C48,F45:F48,J45:J48,M45:M48)</f>
        <v>-0.56215500323108891</v>
      </c>
      <c r="T45" s="25">
        <f>bdrate(C45:C48,H45:H48,J45:J48,O45:O48)</f>
        <v>-0.4814492580190719</v>
      </c>
      <c r="U45" s="28">
        <f t="shared" si="2"/>
        <v>8.32701678397402E-2</v>
      </c>
    </row>
    <row r="46" spans="1:21" x14ac:dyDescent="0.25">
      <c r="B46" s="9"/>
      <c r="C46" s="17">
        <v>905.3251953125</v>
      </c>
      <c r="D46" s="18">
        <v>27.382999999999999</v>
      </c>
      <c r="E46" s="18">
        <v>34.518999999999998</v>
      </c>
      <c r="F46" s="18">
        <v>35.341000000000001</v>
      </c>
      <c r="G46" s="18">
        <v>117.63</v>
      </c>
      <c r="H46" s="18">
        <f t="shared" si="0"/>
        <v>29.269750000000002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0.25572132959279098</v>
      </c>
    </row>
    <row r="47" spans="1:21" x14ac:dyDescent="0.25">
      <c r="B47" s="9"/>
      <c r="C47" s="17">
        <v>568.490234375</v>
      </c>
      <c r="D47" s="18">
        <v>26.164999999999999</v>
      </c>
      <c r="E47" s="18">
        <v>33.625</v>
      </c>
      <c r="F47" s="18">
        <v>34.369999999999997</v>
      </c>
      <c r="G47" s="18">
        <v>126.65</v>
      </c>
      <c r="H47" s="18">
        <f t="shared" si="0"/>
        <v>28.123125000000002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0.43768653770232918</v>
      </c>
    </row>
    <row r="48" spans="1:21" ht="16.5" thickBot="1" x14ac:dyDescent="0.3">
      <c r="B48" s="12"/>
      <c r="C48" s="19">
        <v>366.2333984375</v>
      </c>
      <c r="D48" s="20">
        <v>24.989000000000001</v>
      </c>
      <c r="E48" s="20">
        <v>32.651000000000003</v>
      </c>
      <c r="F48" s="20">
        <v>33.463000000000001</v>
      </c>
      <c r="G48" s="20">
        <v>134.76</v>
      </c>
      <c r="H48" s="20">
        <f t="shared" si="0"/>
        <v>27.006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0.7106040368061739</v>
      </c>
    </row>
    <row r="49" spans="1:21" x14ac:dyDescent="0.25">
      <c r="B49" s="6" t="s">
        <v>56</v>
      </c>
      <c r="C49" s="15">
        <v>1162.6240234375</v>
      </c>
      <c r="D49" s="16">
        <v>30.82</v>
      </c>
      <c r="E49" s="16">
        <v>35.447000000000003</v>
      </c>
      <c r="F49" s="16">
        <v>37.020000000000003</v>
      </c>
      <c r="G49" s="16">
        <v>105.33</v>
      </c>
      <c r="H49" s="16">
        <f t="shared" si="0"/>
        <v>32.173375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-0.31912655204806828</v>
      </c>
      <c r="R49" s="8">
        <f>bdrate(C49:C52,E49:E52,J49:J52,L49:L52)</f>
        <v>-0.5280075625483388</v>
      </c>
      <c r="S49" s="8">
        <f>bdrate(C49:C52,F49:F52,J49:J52,M49:M52)</f>
        <v>-0.51996050063412702</v>
      </c>
      <c r="T49" s="25">
        <f>bdrate(C49:C52,H49:H52,J49:J52,O49:O52)</f>
        <v>-0.36429991803346096</v>
      </c>
      <c r="U49" s="28">
        <f t="shared" si="2"/>
        <v>-0.17395803664672926</v>
      </c>
    </row>
    <row r="50" spans="1:21" x14ac:dyDescent="0.25">
      <c r="B50" s="9"/>
      <c r="C50" s="17">
        <v>835.6748046875</v>
      </c>
      <c r="D50" s="18">
        <v>29.667999999999999</v>
      </c>
      <c r="E50" s="18">
        <v>34.594000000000001</v>
      </c>
      <c r="F50" s="18">
        <v>36.136000000000003</v>
      </c>
      <c r="G50" s="18">
        <v>113.98</v>
      </c>
      <c r="H50" s="18">
        <f t="shared" si="0"/>
        <v>31.092249999999996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-7.8094402526759102E-2</v>
      </c>
    </row>
    <row r="51" spans="1:21" x14ac:dyDescent="0.25">
      <c r="B51" s="9"/>
      <c r="C51" s="17">
        <v>558.33203125</v>
      </c>
      <c r="D51" s="18">
        <v>28.263999999999999</v>
      </c>
      <c r="E51" s="18">
        <v>33.500999999999998</v>
      </c>
      <c r="F51" s="18">
        <v>34.899000000000001</v>
      </c>
      <c r="G51" s="18">
        <v>125.24</v>
      </c>
      <c r="H51" s="18">
        <f t="shared" si="0"/>
        <v>29.748000000000001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5.1537048866177021E-2</v>
      </c>
    </row>
    <row r="52" spans="1:21" ht="16.5" thickBot="1" x14ac:dyDescent="0.3">
      <c r="B52" s="12"/>
      <c r="C52" s="19">
        <v>361.3974609375</v>
      </c>
      <c r="D52" s="20">
        <v>26.954999999999998</v>
      </c>
      <c r="E52" s="20">
        <v>32.399000000000001</v>
      </c>
      <c r="F52" s="20">
        <v>33.656999999999996</v>
      </c>
      <c r="G52" s="20">
        <v>135.41999999999999</v>
      </c>
      <c r="H52" s="20">
        <f t="shared" si="0"/>
        <v>28.47325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0.24596736080342657</v>
      </c>
    </row>
    <row r="53" spans="1:21" x14ac:dyDescent="0.25">
      <c r="A53" s="6" t="s">
        <v>41</v>
      </c>
      <c r="B53" s="6" t="s">
        <v>57</v>
      </c>
      <c r="C53" s="15">
        <v>580.1328125</v>
      </c>
      <c r="D53" s="16">
        <v>32.665999999999997</v>
      </c>
      <c r="E53" s="16">
        <v>38.325000000000003</v>
      </c>
      <c r="F53" s="16">
        <v>36.042999999999999</v>
      </c>
      <c r="G53" s="16">
        <v>436.2</v>
      </c>
      <c r="H53" s="16">
        <f t="shared" si="0"/>
        <v>33.795499999999997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-0.26104107585288439</v>
      </c>
      <c r="R53" s="8">
        <f>bdrate(C53:C56,E53:E56,J53:J56,L53:L56)</f>
        <v>-0.40006252396489261</v>
      </c>
      <c r="S53" s="8">
        <f>bdrate(C53:C56,F53:F56,J53:J56,M53:M56)</f>
        <v>-0.52812687429309646</v>
      </c>
      <c r="T53" s="25">
        <f>bdrate(C53:C56,H53:H56,J53:J56,O53:O56)</f>
        <v>-0.30866011473465704</v>
      </c>
      <c r="U53" s="28">
        <f t="shared" si="2"/>
        <v>-0.22654309949564425</v>
      </c>
    </row>
    <row r="54" spans="1:21" x14ac:dyDescent="0.25">
      <c r="A54" s="9" t="s">
        <v>42</v>
      </c>
      <c r="B54" s="9"/>
      <c r="C54" s="17">
        <v>403.4228515625</v>
      </c>
      <c r="D54" s="18">
        <v>31.222999999999999</v>
      </c>
      <c r="E54" s="18">
        <v>37.334000000000003</v>
      </c>
      <c r="F54" s="18">
        <v>34.86</v>
      </c>
      <c r="G54" s="18">
        <v>465.47</v>
      </c>
      <c r="H54" s="18">
        <f t="shared" si="0"/>
        <v>32.441499999999998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-0.1280980514318861</v>
      </c>
    </row>
    <row r="55" spans="1:21" x14ac:dyDescent="0.25">
      <c r="B55" s="9"/>
      <c r="C55" s="17">
        <v>258.79296875</v>
      </c>
      <c r="D55" s="18">
        <v>29.582999999999998</v>
      </c>
      <c r="E55" s="18">
        <v>36.131999999999998</v>
      </c>
      <c r="F55" s="18">
        <v>33.456000000000003</v>
      </c>
      <c r="G55" s="18">
        <v>511.97</v>
      </c>
      <c r="H55" s="18">
        <f t="shared" si="0"/>
        <v>30.885750000000002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-3.6864269390784625E-2</v>
      </c>
    </row>
    <row r="56" spans="1:21" ht="16.5" thickBot="1" x14ac:dyDescent="0.3">
      <c r="B56" s="12"/>
      <c r="C56" s="19">
        <v>139.201171875</v>
      </c>
      <c r="D56" s="20">
        <v>27.431999999999999</v>
      </c>
      <c r="E56" s="20">
        <v>34.439</v>
      </c>
      <c r="F56" s="20">
        <v>31.608000000000001</v>
      </c>
      <c r="G56" s="20">
        <v>571.04999999999995</v>
      </c>
      <c r="H56" s="20">
        <f t="shared" si="0"/>
        <v>28.829874999999998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0.27635583574117872</v>
      </c>
    </row>
    <row r="57" spans="1:21" x14ac:dyDescent="0.25">
      <c r="B57" s="6" t="s">
        <v>58</v>
      </c>
      <c r="C57" s="15">
        <v>639.7802734375</v>
      </c>
      <c r="D57" s="16">
        <v>29.722999999999999</v>
      </c>
      <c r="E57" s="16">
        <v>39.828000000000003</v>
      </c>
      <c r="F57" s="16">
        <v>40.57</v>
      </c>
      <c r="G57" s="16">
        <v>399.05</v>
      </c>
      <c r="H57" s="16">
        <f t="shared" si="0"/>
        <v>32.341999999999999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-0.70791978178239279</v>
      </c>
      <c r="R57" s="8">
        <f>bdrate(C57:C60,E57:E60,J57:J60,L57:L60)</f>
        <v>-0.49949912182690792</v>
      </c>
      <c r="S57" s="8">
        <f>bdrate(C57:C60,F57:F60,J57:J60,M57:M60)</f>
        <v>-0.48765389002050075</v>
      </c>
      <c r="T57" s="25">
        <f>bdrate(C57:C60,H57:H60,J57:J60,O57:O60)</f>
        <v>-0.68064313660650511</v>
      </c>
      <c r="U57" s="28">
        <f t="shared" si="2"/>
        <v>3.7188322265379785E-3</v>
      </c>
    </row>
    <row r="58" spans="1:21" x14ac:dyDescent="0.25">
      <c r="B58" s="9"/>
      <c r="C58" s="17">
        <v>436.140625</v>
      </c>
      <c r="D58" s="18">
        <v>28.638999999999999</v>
      </c>
      <c r="E58" s="18">
        <v>39.195</v>
      </c>
      <c r="F58" s="18">
        <v>39.831000000000003</v>
      </c>
      <c r="G58" s="18">
        <v>424.36</v>
      </c>
      <c r="H58" s="18">
        <f t="shared" si="0"/>
        <v>31.357500000000002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0.20845626354981625</v>
      </c>
    </row>
    <row r="59" spans="1:21" x14ac:dyDescent="0.25">
      <c r="B59" s="9"/>
      <c r="C59" s="17">
        <v>272.6572265625</v>
      </c>
      <c r="D59" s="18">
        <v>27.41</v>
      </c>
      <c r="E59" s="18">
        <v>38.424999999999997</v>
      </c>
      <c r="F59" s="18">
        <v>38.987000000000002</v>
      </c>
      <c r="G59" s="18">
        <v>446.05</v>
      </c>
      <c r="H59" s="18">
        <f t="shared" si="0"/>
        <v>30.233999999999998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0.43711601838358938</v>
      </c>
    </row>
    <row r="60" spans="1:21" ht="16.5" thickBot="1" x14ac:dyDescent="0.3">
      <c r="B60" s="12"/>
      <c r="C60" s="19">
        <v>131.091796875</v>
      </c>
      <c r="D60" s="20">
        <v>25.457999999999998</v>
      </c>
      <c r="E60" s="20">
        <v>37.393999999999998</v>
      </c>
      <c r="F60" s="20">
        <v>37.57</v>
      </c>
      <c r="G60" s="20">
        <v>502.48</v>
      </c>
      <c r="H60" s="20">
        <f t="shared" si="0"/>
        <v>28.463999999999999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0.74063763731889809</v>
      </c>
    </row>
    <row r="61" spans="1:21" x14ac:dyDescent="0.25">
      <c r="B61" s="6" t="s">
        <v>59</v>
      </c>
      <c r="C61" s="29">
        <v>648.056640625</v>
      </c>
      <c r="D61" s="30">
        <v>30.600999999999999</v>
      </c>
      <c r="E61" s="30">
        <v>36.307000000000002</v>
      </c>
      <c r="F61" s="30">
        <v>37.051000000000002</v>
      </c>
      <c r="G61" s="16">
        <v>391.17</v>
      </c>
      <c r="H61" s="16">
        <f t="shared" si="0"/>
        <v>32.1205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-0.46324583106073258</v>
      </c>
      <c r="R61" s="8">
        <f>bdrate(C61:C64,E61:E64,J61:J64,L61:L64)</f>
        <v>-0.54710971446304424</v>
      </c>
      <c r="S61" s="8">
        <f>bdrate(C61:C64,F61:F64,J61:J64,M61:M64)</f>
        <v>-0.53573278825489612</v>
      </c>
      <c r="T61" s="25">
        <f>bdrate(C61:C64,H61:H64,J61:J64,O61:O64)</f>
        <v>-0.48101535368727255</v>
      </c>
      <c r="U61" s="28">
        <f t="shared" si="2"/>
        <v>-8.958918117442545E-2</v>
      </c>
    </row>
    <row r="62" spans="1:21" x14ac:dyDescent="0.25">
      <c r="B62" s="9"/>
      <c r="C62" s="31">
        <v>441.921875</v>
      </c>
      <c r="D62" s="32">
        <v>29.454999999999998</v>
      </c>
      <c r="E62" s="32">
        <v>35.328000000000003</v>
      </c>
      <c r="F62" s="32">
        <v>36.031999999999996</v>
      </c>
      <c r="G62" s="18">
        <v>410.2</v>
      </c>
      <c r="H62" s="18">
        <f t="shared" si="0"/>
        <v>31.011249999999997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8.5411994149195522E-2</v>
      </c>
    </row>
    <row r="63" spans="1:21" x14ac:dyDescent="0.25">
      <c r="B63" s="9"/>
      <c r="C63" s="31">
        <v>279.0693359375</v>
      </c>
      <c r="D63" s="32">
        <v>28.202999999999999</v>
      </c>
      <c r="E63" s="32">
        <v>34.328000000000003</v>
      </c>
      <c r="F63" s="32">
        <v>35</v>
      </c>
      <c r="G63" s="18">
        <v>436.44</v>
      </c>
      <c r="H63" s="18">
        <f t="shared" si="0"/>
        <v>29.818249999999999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0.24390110897259643</v>
      </c>
    </row>
    <row r="64" spans="1:21" ht="16.5" thickBot="1" x14ac:dyDescent="0.3">
      <c r="B64" s="12"/>
      <c r="C64" s="33">
        <v>134.6240234375</v>
      </c>
      <c r="D64" s="34">
        <v>26.349</v>
      </c>
      <c r="E64" s="34">
        <v>32.901000000000003</v>
      </c>
      <c r="F64" s="34">
        <v>33.56</v>
      </c>
      <c r="G64" s="20">
        <v>485.99</v>
      </c>
      <c r="H64" s="20">
        <f t="shared" si="0"/>
        <v>28.069375000000001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0.61005905471305999</v>
      </c>
    </row>
    <row r="65" spans="1:21" x14ac:dyDescent="0.25">
      <c r="B65" s="6" t="s">
        <v>60</v>
      </c>
      <c r="C65" s="15">
        <v>589.5283203125</v>
      </c>
      <c r="D65" s="16">
        <v>32.191000000000003</v>
      </c>
      <c r="E65" s="16">
        <v>36.058</v>
      </c>
      <c r="F65" s="16">
        <v>37.139000000000003</v>
      </c>
      <c r="G65" s="16">
        <v>348.5</v>
      </c>
      <c r="H65" s="16">
        <f t="shared" si="0"/>
        <v>33.292875000000002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-0.29386769458812434</v>
      </c>
      <c r="R65" s="8">
        <f>bdrate(C65:C68,E65:E68,J65:J68,L65:L68)</f>
        <v>-0.48798269158763696</v>
      </c>
      <c r="S65" s="8">
        <f>bdrate(C65:C68,F65:F68,J65:J68,M65:M68)</f>
        <v>-0.47630886802963202</v>
      </c>
      <c r="T65" s="25">
        <f>bdrate(C65:C68,H65:H68,J65:J68,O65:O68)</f>
        <v>-0.33565328165629671</v>
      </c>
      <c r="U65" s="28">
        <f t="shared" si="2"/>
        <v>-0.31023070301291245</v>
      </c>
    </row>
    <row r="66" spans="1:21" x14ac:dyDescent="0.25">
      <c r="B66" s="9"/>
      <c r="C66" s="17">
        <v>423.3896484375</v>
      </c>
      <c r="D66" s="18">
        <v>30.899000000000001</v>
      </c>
      <c r="E66" s="18">
        <v>35.106999999999999</v>
      </c>
      <c r="F66" s="18">
        <v>36.218000000000004</v>
      </c>
      <c r="G66" s="18">
        <v>376.65</v>
      </c>
      <c r="H66" s="18">
        <f t="shared" si="0"/>
        <v>32.089874999999999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-0.2145015266162219</v>
      </c>
    </row>
    <row r="67" spans="1:21" x14ac:dyDescent="0.25">
      <c r="B67" s="9"/>
      <c r="C67" s="17">
        <v>281.4755859375</v>
      </c>
      <c r="D67" s="18">
        <v>29.41</v>
      </c>
      <c r="E67" s="18">
        <v>33.979999999999997</v>
      </c>
      <c r="F67" s="18">
        <v>35.069000000000003</v>
      </c>
      <c r="G67" s="18">
        <v>401.82</v>
      </c>
      <c r="H67" s="18">
        <f t="shared" si="0"/>
        <v>30.688625000000002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-9.721517097207702E-2</v>
      </c>
    </row>
    <row r="68" spans="1:21" ht="16.5" thickBot="1" x14ac:dyDescent="0.3">
      <c r="B68" s="12"/>
      <c r="C68" s="19">
        <v>140.935546875</v>
      </c>
      <c r="D68" s="20">
        <v>27.11</v>
      </c>
      <c r="E68" s="20">
        <v>32.149000000000001</v>
      </c>
      <c r="F68" s="20">
        <v>33.097000000000001</v>
      </c>
      <c r="G68" s="20">
        <v>462.99</v>
      </c>
      <c r="H68" s="20">
        <f t="shared" si="0"/>
        <v>28.488250000000001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0.18674377416358889</v>
      </c>
    </row>
    <row r="69" spans="1:21" x14ac:dyDescent="0.25">
      <c r="A69" s="6" t="s">
        <v>43</v>
      </c>
      <c r="B69" s="6" t="s">
        <v>61</v>
      </c>
      <c r="C69" s="15">
        <v>1497.3505859375</v>
      </c>
      <c r="D69" s="16">
        <v>39.994</v>
      </c>
      <c r="E69" s="16">
        <v>45.09</v>
      </c>
      <c r="F69" s="16">
        <v>46.256</v>
      </c>
      <c r="G69" s="16">
        <v>85.85</v>
      </c>
      <c r="H69" s="16">
        <f t="shared" si="0"/>
        <v>41.413749999999993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-0.37338090736843055</v>
      </c>
      <c r="R69" s="8">
        <f>bdrate(C69:C72,E69:E72,J69:J72,L69:L72)</f>
        <v>-0.2655496601689934</v>
      </c>
      <c r="S69" s="8">
        <f>bdrate(C69:C72,F69:F72,J69:J72,M69:M72)</f>
        <v>-0.26564901237884897</v>
      </c>
      <c r="T69" s="25">
        <f>bdrate(C69:C72,H69:H72,J69:J72,O69:O72)</f>
        <v>-0.35479331109863099</v>
      </c>
      <c r="U69" s="28">
        <f t="shared" si="2"/>
        <v>0.21083401281304617</v>
      </c>
    </row>
    <row r="70" spans="1:21" x14ac:dyDescent="0.25">
      <c r="A70" s="9" t="s">
        <v>44</v>
      </c>
      <c r="B70" s="9"/>
      <c r="C70" s="17">
        <v>1001.3349609375</v>
      </c>
      <c r="D70" s="18">
        <v>38.713000000000001</v>
      </c>
      <c r="E70" s="18">
        <v>44.073</v>
      </c>
      <c r="F70" s="18">
        <v>45.215000000000003</v>
      </c>
      <c r="G70" s="18">
        <v>89.99</v>
      </c>
      <c r="H70" s="18">
        <f t="shared" si="0"/>
        <v>40.195750000000004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0.35681853539282149</v>
      </c>
    </row>
    <row r="71" spans="1:21" x14ac:dyDescent="0.25">
      <c r="B71" s="9"/>
      <c r="C71" s="17">
        <v>601.8681640625</v>
      </c>
      <c r="D71" s="18">
        <v>36.634999999999998</v>
      </c>
      <c r="E71" s="18">
        <v>42.488999999999997</v>
      </c>
      <c r="F71" s="18">
        <v>43.558</v>
      </c>
      <c r="G71" s="18">
        <v>94.96</v>
      </c>
      <c r="H71" s="18">
        <f t="shared" si="0"/>
        <v>38.232124999999996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0.50010636057287283</v>
      </c>
    </row>
    <row r="72" spans="1:21" ht="16.5" thickBot="1" x14ac:dyDescent="0.3">
      <c r="B72" s="12"/>
      <c r="C72" s="19">
        <v>302.0390625</v>
      </c>
      <c r="D72" s="20">
        <v>33.006</v>
      </c>
      <c r="E72" s="20">
        <v>39.960999999999999</v>
      </c>
      <c r="F72" s="20">
        <v>40.743000000000002</v>
      </c>
      <c r="G72" s="20">
        <v>102.44</v>
      </c>
      <c r="H72" s="20">
        <f t="shared" si="0"/>
        <v>34.842500000000001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0.72216614603670448</v>
      </c>
    </row>
    <row r="73" spans="1:21" x14ac:dyDescent="0.25">
      <c r="B73" s="6" t="s">
        <v>62</v>
      </c>
      <c r="C73" s="15">
        <v>1506.7958984375</v>
      </c>
      <c r="D73" s="16">
        <v>41.268999999999998</v>
      </c>
      <c r="E73" s="16">
        <v>47.134</v>
      </c>
      <c r="F73" s="16">
        <v>47.774000000000001</v>
      </c>
      <c r="G73" s="16">
        <v>82.83</v>
      </c>
      <c r="H73" s="16">
        <f t="shared" si="0"/>
        <v>42.815249999999999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-0.56827209741407625</v>
      </c>
      <c r="R73" s="8">
        <f>bdrate(C73:C76,E73:E76,J73:J76,L73:L76)</f>
        <v>-0.39921097008261386</v>
      </c>
      <c r="S73" s="8">
        <f>bdrate(C73:C76,F73:F76,J73:J76,M73:M76)</f>
        <v>-0.39128771256272743</v>
      </c>
      <c r="T73" s="25">
        <f>bdrate(C73:C76,H73:H76,J73:J76,O73:O76)</f>
        <v>-0.53030175692083503</v>
      </c>
      <c r="U73" s="28">
        <f t="shared" ref="U73:U124" si="3">(N73-G73)/G73</f>
        <v>0.39437039719908246</v>
      </c>
    </row>
    <row r="74" spans="1:21" x14ac:dyDescent="0.25">
      <c r="B74" s="9"/>
      <c r="C74" s="17">
        <v>999.5673828125</v>
      </c>
      <c r="D74" s="18">
        <v>40.593000000000004</v>
      </c>
      <c r="E74" s="18">
        <v>46.487000000000002</v>
      </c>
      <c r="F74" s="18">
        <v>47.093000000000004</v>
      </c>
      <c r="G74" s="18">
        <v>89</v>
      </c>
      <c r="H74" s="18">
        <f t="shared" si="0"/>
        <v>42.142250000000004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0.56598651685393275</v>
      </c>
    </row>
    <row r="75" spans="1:21" x14ac:dyDescent="0.25">
      <c r="B75" s="9"/>
      <c r="C75" s="17">
        <v>603.232421875</v>
      </c>
      <c r="D75" s="18">
        <v>39.481000000000002</v>
      </c>
      <c r="E75" s="18">
        <v>45.271000000000001</v>
      </c>
      <c r="F75" s="18">
        <v>45.871000000000002</v>
      </c>
      <c r="G75" s="18">
        <v>93.15</v>
      </c>
      <c r="H75" s="18">
        <f t="shared" si="0"/>
        <v>41.003500000000003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0.65839935587761655</v>
      </c>
    </row>
    <row r="76" spans="1:21" ht="16.5" thickBot="1" x14ac:dyDescent="0.3">
      <c r="B76" s="12"/>
      <c r="C76" s="19">
        <v>296.3916015625</v>
      </c>
      <c r="D76" s="20">
        <v>37.203000000000003</v>
      </c>
      <c r="E76" s="20">
        <v>43.01</v>
      </c>
      <c r="F76" s="20">
        <v>43.469000000000001</v>
      </c>
      <c r="G76" s="20">
        <v>100.43</v>
      </c>
      <c r="H76" s="20">
        <f t="shared" si="0"/>
        <v>38.712125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0.84108135019416497</v>
      </c>
    </row>
    <row r="77" spans="1:21" x14ac:dyDescent="0.25">
      <c r="B77" s="6" t="s">
        <v>63</v>
      </c>
      <c r="C77" s="15">
        <v>1500.056640625</v>
      </c>
      <c r="D77" s="16">
        <v>41.063000000000002</v>
      </c>
      <c r="E77" s="16">
        <v>46.079000000000001</v>
      </c>
      <c r="F77" s="16">
        <v>46.933999999999997</v>
      </c>
      <c r="G77" s="16">
        <v>81</v>
      </c>
      <c r="H77" s="16">
        <f t="shared" si="0"/>
        <v>42.423874999999995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-0.4617652647288959</v>
      </c>
      <c r="R77" s="8">
        <f>bdrate(C77:C80,E77:E80,J77:J80,L77:L80)</f>
        <v>-0.312771028844677</v>
      </c>
      <c r="S77" s="8">
        <f>bdrate(C77:C80,F77:F80,J77:J80,M77:M80)</f>
        <v>-0.31002027655723208</v>
      </c>
      <c r="T77" s="25">
        <f>bdrate(C77:C80,H77:H80,J77:J80,O77:O80)</f>
        <v>-0.43152108945617274</v>
      </c>
      <c r="U77" s="28">
        <f t="shared" si="3"/>
        <v>0.26622345679012344</v>
      </c>
    </row>
    <row r="78" spans="1:21" x14ac:dyDescent="0.25">
      <c r="B78" s="9"/>
      <c r="C78" s="17">
        <v>1003.35546875</v>
      </c>
      <c r="D78" s="18">
        <v>39.994999999999997</v>
      </c>
      <c r="E78" s="18">
        <v>45.212000000000003</v>
      </c>
      <c r="F78" s="18">
        <v>46.029000000000003</v>
      </c>
      <c r="G78" s="18">
        <v>86.51</v>
      </c>
      <c r="H78" s="18">
        <f t="shared" si="0"/>
        <v>41.401374999999994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0.4113986822332677</v>
      </c>
    </row>
    <row r="79" spans="1:21" x14ac:dyDescent="0.25">
      <c r="B79" s="9"/>
      <c r="C79" s="17">
        <v>606.22265625</v>
      </c>
      <c r="D79" s="18">
        <v>38.238999999999997</v>
      </c>
      <c r="E79" s="18">
        <v>43.698</v>
      </c>
      <c r="F79" s="18">
        <v>44.500999999999998</v>
      </c>
      <c r="G79" s="18">
        <v>91.91</v>
      </c>
      <c r="H79" s="18">
        <f t="shared" si="0"/>
        <v>39.704124999999991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0.51640517897943661</v>
      </c>
    </row>
    <row r="80" spans="1:21" ht="16.5" thickBot="1" x14ac:dyDescent="0.3">
      <c r="B80" s="12"/>
      <c r="C80" s="19">
        <v>303.068359375</v>
      </c>
      <c r="D80" s="20">
        <v>35.055999999999997</v>
      </c>
      <c r="E80" s="20">
        <v>41.009</v>
      </c>
      <c r="F80" s="20">
        <v>41.789000000000001</v>
      </c>
      <c r="G80" s="20">
        <v>104.83</v>
      </c>
      <c r="H80" s="20">
        <f t="shared" si="0"/>
        <v>36.641749999999995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0.62370313841457592</v>
      </c>
    </row>
    <row r="81" spans="1:21" x14ac:dyDescent="0.25">
      <c r="A81" s="6" t="s">
        <v>102</v>
      </c>
      <c r="B81" s="6" t="s">
        <v>103</v>
      </c>
      <c r="C81" s="15">
        <v>1458.4326171875</v>
      </c>
      <c r="D81" s="16">
        <v>44.305</v>
      </c>
      <c r="E81" s="16">
        <v>49.655000000000001</v>
      </c>
      <c r="F81" s="16">
        <v>50.122</v>
      </c>
      <c r="G81" s="16">
        <v>65.239999999999995</v>
      </c>
      <c r="H81" s="16">
        <f t="shared" ref="H81:H124" si="4">(6*D81+E81+F81)/8</f>
        <v>45.700875000000003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124" si="5">(6*K81+L81+M81)/8</f>
        <v>45.109512500000001</v>
      </c>
      <c r="P81" s="7"/>
      <c r="Q81" s="8">
        <f>bdrate(C81:C84,D81:D84,J81:J84,K81:K84)</f>
        <v>-0.20076565203513708</v>
      </c>
      <c r="R81" s="8">
        <f>bdrate(C81:C84,E81:E84,J81:J84,L81:L84)</f>
        <v>-0.21570850101780192</v>
      </c>
      <c r="S81" s="8">
        <f>bdrate(C81:C84,F81:F84,J81:J84,M81:M84)</f>
        <v>-0.3195210351722847</v>
      </c>
      <c r="T81" s="25">
        <f>bdrate(C81:C84,H81:H84,J81:J84,O81:O84)</f>
        <v>-0.21502420282115053</v>
      </c>
      <c r="U81" s="28">
        <f t="shared" si="3"/>
        <v>-6.0239117106069787E-2</v>
      </c>
    </row>
    <row r="82" spans="1:21" x14ac:dyDescent="0.25">
      <c r="A82" s="9" t="s">
        <v>78</v>
      </c>
      <c r="B82" s="9"/>
      <c r="C82" s="17">
        <v>1025.666015625</v>
      </c>
      <c r="D82" s="18">
        <v>42.235999999999997</v>
      </c>
      <c r="E82" s="18">
        <v>47.847999999999999</v>
      </c>
      <c r="F82" s="18">
        <v>48.381</v>
      </c>
      <c r="G82" s="18">
        <v>70.77</v>
      </c>
      <c r="H82" s="18">
        <f t="shared" si="4"/>
        <v>43.705624999999998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-5.7002967359050381E-2</v>
      </c>
    </row>
    <row r="83" spans="1:21" x14ac:dyDescent="0.25">
      <c r="B83" s="9"/>
      <c r="C83" s="17">
        <v>679.900390625</v>
      </c>
      <c r="D83" s="18">
        <v>39.457000000000001</v>
      </c>
      <c r="E83" s="18">
        <v>45.625999999999998</v>
      </c>
      <c r="F83" s="18">
        <v>46.271999999999998</v>
      </c>
      <c r="G83" s="18">
        <v>77.75</v>
      </c>
      <c r="H83" s="18">
        <f t="shared" si="4"/>
        <v>41.08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0.13809517684887468</v>
      </c>
    </row>
    <row r="84" spans="1:21" ht="16.5" thickBot="1" x14ac:dyDescent="0.3">
      <c r="B84" s="12"/>
      <c r="C84" s="19">
        <v>453.0390625</v>
      </c>
      <c r="D84" s="20">
        <v>35.972000000000001</v>
      </c>
      <c r="E84" s="20">
        <v>42.774000000000001</v>
      </c>
      <c r="F84" s="20">
        <v>43.664999999999999</v>
      </c>
      <c r="G84" s="20">
        <v>80.900000000000006</v>
      </c>
      <c r="H84" s="20">
        <f t="shared" si="4"/>
        <v>37.783875000000002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0.48877132262051898</v>
      </c>
    </row>
    <row r="85" spans="1:21" x14ac:dyDescent="0.25">
      <c r="B85" s="6" t="s">
        <v>104</v>
      </c>
      <c r="C85" s="15">
        <v>1625.017578125</v>
      </c>
      <c r="D85" s="16">
        <v>50.427</v>
      </c>
      <c r="E85" s="16">
        <v>51.241999999999997</v>
      </c>
      <c r="F85" s="16">
        <v>51.607999999999997</v>
      </c>
      <c r="G85" s="16">
        <v>131.77000000000001</v>
      </c>
      <c r="H85" s="16">
        <f t="shared" si="4"/>
        <v>50.676500000000004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-0.33516927354561332</v>
      </c>
      <c r="R85" s="8">
        <f>bdrate(C85:C88,E85:E88,J85:J88,L85:L88)</f>
        <v>-0.36016235479479997</v>
      </c>
      <c r="S85" s="8">
        <f>bdrate(C85:C88,F85:F88,J85:J88,M85:M88)</f>
        <v>-0.37599710583403989</v>
      </c>
      <c r="T85" s="25">
        <f>bdrate(C85:C88,H85:H88,J85:J88,O85:O88)</f>
        <v>-0.34310068228374302</v>
      </c>
      <c r="U85" s="28">
        <f t="shared" si="3"/>
        <v>-0.16446459740456862</v>
      </c>
    </row>
    <row r="86" spans="1:21" x14ac:dyDescent="0.25">
      <c r="B86" s="9"/>
      <c r="C86" s="17">
        <v>1138.873046875</v>
      </c>
      <c r="D86" s="18">
        <v>48.231000000000002</v>
      </c>
      <c r="E86" s="18">
        <v>49.192999999999998</v>
      </c>
      <c r="F86" s="18">
        <v>49.595999999999997</v>
      </c>
      <c r="G86" s="18">
        <v>138.29</v>
      </c>
      <c r="H86" s="18">
        <f t="shared" si="4"/>
        <v>48.521875000000001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6.4270735411092877E-3</v>
      </c>
    </row>
    <row r="87" spans="1:21" x14ac:dyDescent="0.25">
      <c r="B87" s="9"/>
      <c r="C87" s="17">
        <v>717.3173828125</v>
      </c>
      <c r="D87" s="18">
        <v>45.372999999999998</v>
      </c>
      <c r="E87" s="18">
        <v>46.552</v>
      </c>
      <c r="F87" s="18">
        <v>46.976999999999997</v>
      </c>
      <c r="G87" s="18">
        <v>146.43</v>
      </c>
      <c r="H87" s="18">
        <f t="shared" si="4"/>
        <v>45.720874999999999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0.10059687222563683</v>
      </c>
    </row>
    <row r="88" spans="1:21" ht="16.5" thickBot="1" x14ac:dyDescent="0.3">
      <c r="B88" s="12"/>
      <c r="C88" s="19">
        <v>397.3798828125</v>
      </c>
      <c r="D88" s="20">
        <v>41.73</v>
      </c>
      <c r="E88" s="20">
        <v>43.246000000000002</v>
      </c>
      <c r="F88" s="20">
        <v>43.640999999999998</v>
      </c>
      <c r="G88" s="20">
        <v>152.85</v>
      </c>
      <c r="H88" s="20">
        <f t="shared" si="4"/>
        <v>42.158374999999999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0.17951259404645081</v>
      </c>
    </row>
    <row r="89" spans="1:21" x14ac:dyDescent="0.25">
      <c r="B89" s="6" t="s">
        <v>105</v>
      </c>
      <c r="C89" s="15">
        <v>1806.998046875</v>
      </c>
      <c r="D89" s="16">
        <v>40.75</v>
      </c>
      <c r="E89" s="16">
        <v>43.576000000000001</v>
      </c>
      <c r="F89" s="16">
        <v>43.966999999999999</v>
      </c>
      <c r="G89" s="16">
        <v>74.010000000000005</v>
      </c>
      <c r="H89" s="16">
        <f t="shared" si="4"/>
        <v>41.505375000000001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-0.45892334018707104</v>
      </c>
      <c r="R89" s="8">
        <f>bdrate(C89:C92,E89:E92,J89:J92,L89:L92)</f>
        <v>-0.49470885429106903</v>
      </c>
      <c r="S89" s="8">
        <f>bdrate(C89:C92,F89:F92,J89:J92,M89:M92)</f>
        <v>-0.49820744020288543</v>
      </c>
      <c r="T89" s="25">
        <f>bdrate(C89:C92,H89:H92,J89:J92,O89:O92)</f>
        <v>-0.467113182642655</v>
      </c>
      <c r="U89" s="28">
        <f t="shared" si="3"/>
        <v>4.1452506418051538E-2</v>
      </c>
    </row>
    <row r="90" spans="1:21" x14ac:dyDescent="0.25">
      <c r="B90" s="9"/>
      <c r="C90" s="17">
        <v>1277.310546875</v>
      </c>
      <c r="D90" s="18">
        <v>38.912999999999997</v>
      </c>
      <c r="E90" s="18">
        <v>42.048000000000002</v>
      </c>
      <c r="F90" s="18">
        <v>42.47</v>
      </c>
      <c r="G90" s="18">
        <v>78.989999999999995</v>
      </c>
      <c r="H90" s="18">
        <f t="shared" si="4"/>
        <v>39.749499999999998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5.3911887580706579E-2</v>
      </c>
    </row>
    <row r="91" spans="1:21" x14ac:dyDescent="0.25">
      <c r="B91" s="9"/>
      <c r="C91" s="17">
        <v>834.0654296875</v>
      </c>
      <c r="D91" s="18">
        <v>36.640999999999998</v>
      </c>
      <c r="E91" s="18">
        <v>40.207999999999998</v>
      </c>
      <c r="F91" s="18">
        <v>40.619999999999997</v>
      </c>
      <c r="G91" s="18">
        <v>83.01</v>
      </c>
      <c r="H91" s="18">
        <f t="shared" si="4"/>
        <v>37.584249999999997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0.34175641488977221</v>
      </c>
    </row>
    <row r="92" spans="1:21" ht="16.5" thickBot="1" x14ac:dyDescent="0.3">
      <c r="B92" s="12"/>
      <c r="C92" s="19">
        <v>498.79296875</v>
      </c>
      <c r="D92" s="20">
        <v>33.728000000000002</v>
      </c>
      <c r="E92" s="20">
        <v>37.898000000000003</v>
      </c>
      <c r="F92" s="20">
        <v>38.402000000000001</v>
      </c>
      <c r="G92" s="20">
        <v>86.76</v>
      </c>
      <c r="H92" s="20">
        <f t="shared" si="4"/>
        <v>34.833500000000001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si="5"/>
        <v>35.66395</v>
      </c>
      <c r="P92" s="7"/>
      <c r="Q92" s="13"/>
      <c r="R92" s="14"/>
      <c r="S92" s="14"/>
      <c r="T92" s="27"/>
      <c r="U92" s="28">
        <f t="shared" si="3"/>
        <v>0.56828838174273832</v>
      </c>
    </row>
    <row r="93" spans="1:21" x14ac:dyDescent="0.25">
      <c r="B93" s="6" t="s">
        <v>106</v>
      </c>
      <c r="C93" s="29">
        <v>1677.7998046875</v>
      </c>
      <c r="D93" s="30">
        <v>37.116999999999997</v>
      </c>
      <c r="E93" s="30">
        <v>42.008000000000003</v>
      </c>
      <c r="F93" s="30">
        <v>42.006</v>
      </c>
      <c r="G93" s="16">
        <v>62.95</v>
      </c>
      <c r="H93" s="16">
        <f t="shared" si="4"/>
        <v>38.339500000000001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5"/>
        <v>40.095375000000004</v>
      </c>
      <c r="P93" s="7"/>
      <c r="Q93" s="8">
        <f>bdrate(C93:C96,D93:D96,J93:J96,K93:K96)</f>
        <v>-0.43132161243875555</v>
      </c>
      <c r="R93" s="8">
        <f>bdrate(C93:C96,E93:E96,J93:J96,L93:L96)</f>
        <v>-0.51545941002220819</v>
      </c>
      <c r="S93" s="8">
        <f>bdrate(C93:C96,F93:F96,J93:J96,M93:M96)</f>
        <v>-0.51169157931496057</v>
      </c>
      <c r="T93" s="25">
        <f>bdrate(C93:C96,H93:H96,J93:J96,O93:O96)</f>
        <v>-0.44968514263861292</v>
      </c>
      <c r="U93" s="28">
        <f t="shared" si="3"/>
        <v>6.6308181096107949E-2</v>
      </c>
    </row>
    <row r="94" spans="1:21" x14ac:dyDescent="0.25">
      <c r="B94" s="9"/>
      <c r="C94" s="31">
        <v>1175.52734375</v>
      </c>
      <c r="D94" s="32">
        <v>35.341000000000001</v>
      </c>
      <c r="E94" s="32">
        <v>40.496000000000002</v>
      </c>
      <c r="F94" s="32">
        <v>40.502000000000002</v>
      </c>
      <c r="G94" s="18">
        <v>66.430000000000007</v>
      </c>
      <c r="H94" s="18">
        <f t="shared" si="4"/>
        <v>36.630499999999998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5"/>
        <v>38.383474999999997</v>
      </c>
      <c r="P94" s="7"/>
      <c r="Q94" s="10"/>
      <c r="R94" s="11"/>
      <c r="S94" s="11"/>
      <c r="T94" s="26"/>
      <c r="U94" s="28">
        <f t="shared" si="3"/>
        <v>0.20454312810477174</v>
      </c>
    </row>
    <row r="95" spans="1:21" x14ac:dyDescent="0.25">
      <c r="B95" s="9"/>
      <c r="C95" s="31">
        <v>724.0390625</v>
      </c>
      <c r="D95" s="32">
        <v>33.058999999999997</v>
      </c>
      <c r="E95" s="32">
        <v>38.651000000000003</v>
      </c>
      <c r="F95" s="32">
        <v>38.628999999999998</v>
      </c>
      <c r="G95" s="18">
        <v>72.64</v>
      </c>
      <c r="H95" s="18">
        <f t="shared" si="4"/>
        <v>34.454250000000002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5"/>
        <v>36.297525</v>
      </c>
      <c r="P95" s="7"/>
      <c r="Q95" s="10"/>
      <c r="R95" s="11"/>
      <c r="S95" s="11"/>
      <c r="T95" s="26"/>
      <c r="U95" s="28">
        <f t="shared" si="3"/>
        <v>0.33821585903083695</v>
      </c>
    </row>
    <row r="96" spans="1:21" ht="16.5" thickBot="1" x14ac:dyDescent="0.3">
      <c r="B96" s="12"/>
      <c r="C96" s="33">
        <v>426.232421875</v>
      </c>
      <c r="D96" s="34">
        <v>30.484000000000002</v>
      </c>
      <c r="E96" s="34">
        <v>36.433</v>
      </c>
      <c r="F96" s="34">
        <v>36.338999999999999</v>
      </c>
      <c r="G96" s="20">
        <v>76.739999999999995</v>
      </c>
      <c r="H96" s="20">
        <f t="shared" si="4"/>
        <v>31.959499999999998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5"/>
        <v>33.493099999999998</v>
      </c>
      <c r="P96" s="7"/>
      <c r="Q96" s="13"/>
      <c r="R96" s="14"/>
      <c r="S96" s="14"/>
      <c r="T96" s="27"/>
      <c r="U96" s="28">
        <f t="shared" si="3"/>
        <v>0.63786161063330737</v>
      </c>
    </row>
    <row r="97" spans="2:21" x14ac:dyDescent="0.25">
      <c r="B97" s="6" t="s">
        <v>107</v>
      </c>
      <c r="C97" s="15">
        <v>1570.998046875</v>
      </c>
      <c r="D97" s="16">
        <v>34.725999999999999</v>
      </c>
      <c r="E97" s="16">
        <v>39.396000000000001</v>
      </c>
      <c r="F97" s="16">
        <v>40.158999999999999</v>
      </c>
      <c r="G97" s="16">
        <v>69.319999999999993</v>
      </c>
      <c r="H97" s="16">
        <f t="shared" si="4"/>
        <v>35.988875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5"/>
        <v>38.160262500000002</v>
      </c>
      <c r="P97" s="7"/>
      <c r="Q97" s="8">
        <f>bdrate(C97:C100,D97:D100,J97:J100,K97:K100)</f>
        <v>-0.39789033810985319</v>
      </c>
      <c r="R97" s="8">
        <f>bdrate(C97:C100,E97:E100,J97:J100,L97:L100)</f>
        <v>-0.53153710181041092</v>
      </c>
      <c r="S97" s="8">
        <f>bdrate(C97:C100,F97:F100,J97:J100,M97:M100)</f>
        <v>-0.5096082170706675</v>
      </c>
      <c r="T97" s="25">
        <f>bdrate(C97:C100,H97:H100,J97:J100,O97:O100)</f>
        <v>-0.4271539141845988</v>
      </c>
      <c r="U97" s="28">
        <f t="shared" si="3"/>
        <v>-1.5673687247547415E-2</v>
      </c>
    </row>
    <row r="98" spans="2:21" x14ac:dyDescent="0.25">
      <c r="B98" s="9"/>
      <c r="C98" s="17">
        <v>1074.0390625</v>
      </c>
      <c r="D98" s="18">
        <v>33.055999999999997</v>
      </c>
      <c r="E98" s="18">
        <v>37.9</v>
      </c>
      <c r="F98" s="18">
        <v>38.729999999999997</v>
      </c>
      <c r="G98" s="18">
        <v>71.27</v>
      </c>
      <c r="H98" s="18">
        <f t="shared" si="4"/>
        <v>34.370750000000001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5"/>
        <v>36.409187500000002</v>
      </c>
      <c r="P98" s="7"/>
      <c r="Q98" s="10"/>
      <c r="R98" s="11"/>
      <c r="S98" s="11"/>
      <c r="T98" s="26"/>
      <c r="U98" s="28">
        <f t="shared" si="3"/>
        <v>0.13535989897572626</v>
      </c>
    </row>
    <row r="99" spans="2:21" x14ac:dyDescent="0.25">
      <c r="B99" s="9"/>
      <c r="C99" s="17">
        <v>660.611328125</v>
      </c>
      <c r="D99" s="18">
        <v>30.885000000000002</v>
      </c>
      <c r="E99" s="18">
        <v>35.97</v>
      </c>
      <c r="F99" s="18">
        <v>36.89</v>
      </c>
      <c r="G99" s="18">
        <v>76.849999999999994</v>
      </c>
      <c r="H99" s="18">
        <f t="shared" si="4"/>
        <v>32.271250000000002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5"/>
        <v>34.217250000000007</v>
      </c>
      <c r="P99" s="7"/>
      <c r="Q99" s="10"/>
      <c r="R99" s="11"/>
      <c r="S99" s="11"/>
      <c r="T99" s="26"/>
      <c r="U99" s="28">
        <f t="shared" si="3"/>
        <v>0.25534677944046852</v>
      </c>
    </row>
    <row r="100" spans="2:21" ht="16.5" thickBot="1" x14ac:dyDescent="0.3">
      <c r="B100" s="12"/>
      <c r="C100" s="19">
        <v>408.3720703125</v>
      </c>
      <c r="D100" s="20">
        <v>28.818000000000001</v>
      </c>
      <c r="E100" s="20">
        <v>34.142000000000003</v>
      </c>
      <c r="F100" s="20">
        <v>35.043999999999997</v>
      </c>
      <c r="G100" s="20">
        <v>79.45</v>
      </c>
      <c r="H100" s="20">
        <f t="shared" si="4"/>
        <v>30.261749999999999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5"/>
        <v>31.3979125</v>
      </c>
      <c r="P100" s="7"/>
      <c r="Q100" s="13"/>
      <c r="R100" s="14"/>
      <c r="S100" s="14"/>
      <c r="T100" s="27"/>
      <c r="U100" s="28">
        <f t="shared" si="3"/>
        <v>0.54667967275015739</v>
      </c>
    </row>
    <row r="101" spans="2:21" x14ac:dyDescent="0.25">
      <c r="B101" s="6" t="s">
        <v>108</v>
      </c>
      <c r="C101" s="15">
        <v>1618.66015625</v>
      </c>
      <c r="D101" s="16">
        <v>35.786000000000001</v>
      </c>
      <c r="E101" s="16">
        <v>41.58</v>
      </c>
      <c r="F101" s="16">
        <v>43.192999999999998</v>
      </c>
      <c r="G101" s="16">
        <v>57.44</v>
      </c>
      <c r="H101" s="16">
        <f t="shared" si="4"/>
        <v>37.436124999999997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5"/>
        <v>38.747287500000006</v>
      </c>
      <c r="P101" s="7"/>
      <c r="Q101" s="8">
        <f>bdrate(C101:C104,D101:D104,J101:J104,K101:K104)</f>
        <v>-0.41229922752127457</v>
      </c>
      <c r="R101" s="8">
        <f>bdrate(C101:C104,E101:E104,J101:J104,L101:L104)</f>
        <v>-0.543894500301491</v>
      </c>
      <c r="S101" s="8">
        <f>bdrate(C101:C104,F101:F104,J101:J104,M101:M104)</f>
        <v>-0.48471276585897227</v>
      </c>
      <c r="T101" s="25">
        <f>bdrate(C101:C104,H101:H104,J101:J104,O101:O104)</f>
        <v>-0.43682728723765518</v>
      </c>
      <c r="U101" s="28">
        <f t="shared" si="3"/>
        <v>0.13105675487465185</v>
      </c>
    </row>
    <row r="102" spans="2:21" x14ac:dyDescent="0.25">
      <c r="B102" s="9"/>
      <c r="C102" s="17">
        <v>1094.7587890625</v>
      </c>
      <c r="D102" s="18">
        <v>34.338000000000001</v>
      </c>
      <c r="E102" s="18">
        <v>40.399000000000001</v>
      </c>
      <c r="F102" s="18">
        <v>41.814999999999998</v>
      </c>
      <c r="G102" s="18">
        <v>61.44</v>
      </c>
      <c r="H102" s="18">
        <f t="shared" si="4"/>
        <v>36.030250000000002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5"/>
        <v>37.449874999999999</v>
      </c>
      <c r="P102" s="7"/>
      <c r="Q102" s="10"/>
      <c r="R102" s="11"/>
      <c r="S102" s="11"/>
      <c r="T102" s="26"/>
      <c r="U102" s="28">
        <f t="shared" si="3"/>
        <v>0.2569986979166668</v>
      </c>
    </row>
    <row r="103" spans="2:21" x14ac:dyDescent="0.25">
      <c r="B103" s="9"/>
      <c r="C103" s="17">
        <v>658.6806640625</v>
      </c>
      <c r="D103" s="18">
        <v>32.488</v>
      </c>
      <c r="E103" s="18">
        <v>38.844000000000001</v>
      </c>
      <c r="F103" s="18">
        <v>39.917999999999999</v>
      </c>
      <c r="G103" s="18">
        <v>69.39</v>
      </c>
      <c r="H103" s="18">
        <f t="shared" si="4"/>
        <v>34.21125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5"/>
        <v>35.854500000000002</v>
      </c>
      <c r="P103" s="7"/>
      <c r="Q103" s="10"/>
      <c r="R103" s="11"/>
      <c r="S103" s="11"/>
      <c r="T103" s="26"/>
      <c r="U103" s="28">
        <f t="shared" si="3"/>
        <v>0.32707450641302782</v>
      </c>
    </row>
    <row r="104" spans="2:21" ht="16.5" thickBot="1" x14ac:dyDescent="0.3">
      <c r="B104" s="12"/>
      <c r="C104" s="19">
        <v>360.1376953125</v>
      </c>
      <c r="D104" s="20">
        <v>30.533000000000001</v>
      </c>
      <c r="E104" s="20">
        <v>36.963999999999999</v>
      </c>
      <c r="F104" s="20">
        <v>37.536000000000001</v>
      </c>
      <c r="G104" s="20">
        <v>78.260000000000005</v>
      </c>
      <c r="H104" s="20">
        <f t="shared" si="4"/>
        <v>32.212249999999997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5"/>
        <v>34.026325</v>
      </c>
      <c r="P104" s="7"/>
      <c r="Q104" s="13"/>
      <c r="R104" s="14"/>
      <c r="S104" s="14"/>
      <c r="T104" s="27"/>
      <c r="U104" s="28">
        <f t="shared" si="3"/>
        <v>0.53416815742397117</v>
      </c>
    </row>
    <row r="105" spans="2:21" x14ac:dyDescent="0.25">
      <c r="B105" s="6" t="s">
        <v>109</v>
      </c>
      <c r="C105" s="15">
        <v>1403.8125</v>
      </c>
      <c r="D105" s="16">
        <v>44.003</v>
      </c>
      <c r="E105" s="16">
        <v>48.750999999999998</v>
      </c>
      <c r="F105" s="16">
        <v>50.404000000000003</v>
      </c>
      <c r="G105" s="16">
        <v>81.14</v>
      </c>
      <c r="H105" s="16">
        <f t="shared" si="4"/>
        <v>45.396625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5"/>
        <v>48.759812500000002</v>
      </c>
      <c r="P105" s="7"/>
      <c r="Q105" s="8">
        <f>bdrate(C105:C108,D105:D108,J105:J108,K105:K108)</f>
        <v>-0.46599825521277749</v>
      </c>
      <c r="R105" s="8">
        <f>bdrate(C105:C108,E105:E108,J105:J108,L105:L108)</f>
        <v>-0.56446894543673409</v>
      </c>
      <c r="S105" s="8">
        <f>bdrate(C105:C108,F105:F108,J105:J108,M105:M108)</f>
        <v>-0.52608897298308865</v>
      </c>
      <c r="T105" s="25">
        <f>bdrate(C105:C108,H105:H108,J105:J108,O105:O108)</f>
        <v>-0.48650549482931826</v>
      </c>
      <c r="U105" s="28">
        <f t="shared" si="3"/>
        <v>-2.5897214690658057E-2</v>
      </c>
    </row>
    <row r="106" spans="2:21" x14ac:dyDescent="0.25">
      <c r="B106" s="9"/>
      <c r="C106" s="17">
        <v>1006.4443359375</v>
      </c>
      <c r="D106" s="18">
        <v>42.47</v>
      </c>
      <c r="E106" s="18">
        <v>47.372</v>
      </c>
      <c r="F106" s="18">
        <v>49.088000000000001</v>
      </c>
      <c r="G106" s="18">
        <v>87.67</v>
      </c>
      <c r="H106" s="18">
        <f t="shared" si="4"/>
        <v>43.910000000000004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5"/>
        <v>46.975462499999999</v>
      </c>
      <c r="P106" s="7"/>
      <c r="Q106" s="10"/>
      <c r="R106" s="11"/>
      <c r="S106" s="11"/>
      <c r="T106" s="26"/>
      <c r="U106" s="28">
        <f t="shared" si="3"/>
        <v>0.10346983004448505</v>
      </c>
    </row>
    <row r="107" spans="2:21" x14ac:dyDescent="0.25">
      <c r="B107" s="9"/>
      <c r="C107" s="17">
        <v>622.7744140625</v>
      </c>
      <c r="D107" s="18">
        <v>40.448999999999998</v>
      </c>
      <c r="E107" s="18">
        <v>45.433999999999997</v>
      </c>
      <c r="F107" s="18">
        <v>47.078000000000003</v>
      </c>
      <c r="G107" s="18">
        <v>97.5</v>
      </c>
      <c r="H107" s="18">
        <f t="shared" si="4"/>
        <v>41.900750000000002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5"/>
        <v>44.650700000000001</v>
      </c>
      <c r="P107" s="7"/>
      <c r="Q107" s="10"/>
      <c r="R107" s="11"/>
      <c r="S107" s="11"/>
      <c r="T107" s="26"/>
      <c r="U107" s="28">
        <f t="shared" si="3"/>
        <v>0.22056512820512819</v>
      </c>
    </row>
    <row r="108" spans="2:21" ht="16.5" thickBot="1" x14ac:dyDescent="0.3">
      <c r="B108" s="12"/>
      <c r="C108" s="19">
        <v>316.3583984375</v>
      </c>
      <c r="D108" s="20">
        <v>37.837000000000003</v>
      </c>
      <c r="E108" s="20">
        <v>42.817</v>
      </c>
      <c r="F108" s="20">
        <v>44.503999999999998</v>
      </c>
      <c r="G108" s="20">
        <v>110.74</v>
      </c>
      <c r="H108" s="20">
        <f t="shared" si="4"/>
        <v>39.292875000000002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5"/>
        <v>41.558900000000001</v>
      </c>
      <c r="P108" s="7"/>
      <c r="Q108" s="13"/>
      <c r="R108" s="14"/>
      <c r="S108" s="14"/>
      <c r="T108" s="27"/>
      <c r="U108" s="28">
        <f t="shared" si="3"/>
        <v>0.35943561495394633</v>
      </c>
    </row>
    <row r="109" spans="2:21" x14ac:dyDescent="0.25">
      <c r="B109" s="6" t="s">
        <v>110</v>
      </c>
      <c r="C109" s="15">
        <v>1529.75</v>
      </c>
      <c r="D109" s="16">
        <v>29.802</v>
      </c>
      <c r="E109" s="16">
        <v>38.110999999999997</v>
      </c>
      <c r="F109" s="16">
        <v>37.517000000000003</v>
      </c>
      <c r="G109" s="16">
        <v>53.33</v>
      </c>
      <c r="H109" s="16">
        <f t="shared" si="4"/>
        <v>31.805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5"/>
        <v>33.964649999999999</v>
      </c>
      <c r="P109" s="7"/>
      <c r="Q109" s="8">
        <f>bdrate(C109:C112,D109:D112,J109:J112,K109:K112)</f>
        <v>-0.39384535483032501</v>
      </c>
      <c r="R109" s="8">
        <f>bdrate(C109:C112,E109:E112,J109:J112,L109:L112)</f>
        <v>-0.61269550844417209</v>
      </c>
      <c r="S109" s="8">
        <f>bdrate(C109:C112,F109:F112,J109:J112,M109:M112)</f>
        <v>-0.60098979077934422</v>
      </c>
      <c r="T109" s="25">
        <f>bdrate(C109:C112,H109:H112,J109:J112,O109:O112)</f>
        <v>-0.44586402482605259</v>
      </c>
      <c r="U109" s="28">
        <f t="shared" si="3"/>
        <v>-6.5012188261766274E-2</v>
      </c>
    </row>
    <row r="110" spans="2:21" x14ac:dyDescent="0.25">
      <c r="B110" s="9"/>
      <c r="C110" s="17">
        <v>1114.9189453125</v>
      </c>
      <c r="D110" s="18">
        <v>28.47</v>
      </c>
      <c r="E110" s="18">
        <v>36.863999999999997</v>
      </c>
      <c r="F110" s="18">
        <v>36.317999999999998</v>
      </c>
      <c r="G110" s="18">
        <v>57.73</v>
      </c>
      <c r="H110" s="18">
        <f t="shared" si="4"/>
        <v>30.500250000000001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5"/>
        <v>32.393324999999997</v>
      </c>
      <c r="P110" s="7"/>
      <c r="Q110" s="10"/>
      <c r="R110" s="11"/>
      <c r="S110" s="11"/>
      <c r="T110" s="26"/>
      <c r="U110" s="28">
        <f t="shared" si="3"/>
        <v>3.5593279057682323E-2</v>
      </c>
    </row>
    <row r="111" spans="2:21" x14ac:dyDescent="0.25">
      <c r="B111" s="9"/>
      <c r="C111" s="17">
        <v>847.54296875</v>
      </c>
      <c r="D111" s="18">
        <v>27.555</v>
      </c>
      <c r="E111" s="18">
        <v>35.863</v>
      </c>
      <c r="F111" s="18">
        <v>35.311</v>
      </c>
      <c r="G111" s="18">
        <v>59.86</v>
      </c>
      <c r="H111" s="18">
        <f t="shared" si="4"/>
        <v>29.562999999999999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5"/>
        <v>30.4288375</v>
      </c>
      <c r="P111" s="7"/>
      <c r="Q111" s="10"/>
      <c r="R111" s="11"/>
      <c r="S111" s="11"/>
      <c r="T111" s="26"/>
      <c r="U111" s="28">
        <f t="shared" si="3"/>
        <v>0.26643167390578015</v>
      </c>
    </row>
    <row r="112" spans="2:21" ht="16.5" thickBot="1" x14ac:dyDescent="0.3">
      <c r="B112" s="12"/>
      <c r="C112" s="19">
        <v>669.427734375</v>
      </c>
      <c r="D112" s="20">
        <v>26.614999999999998</v>
      </c>
      <c r="E112" s="20">
        <v>34.654000000000003</v>
      </c>
      <c r="F112" s="20">
        <v>34.19</v>
      </c>
      <c r="G112" s="20">
        <v>60.55</v>
      </c>
      <c r="H112" s="20">
        <f t="shared" si="4"/>
        <v>28.566749999999999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5"/>
        <v>27.780337499999998</v>
      </c>
      <c r="P112" s="7"/>
      <c r="Q112" s="13"/>
      <c r="R112" s="14"/>
      <c r="S112" s="14"/>
      <c r="T112" s="27"/>
      <c r="U112" s="28">
        <f t="shared" si="3"/>
        <v>0.71359867877786953</v>
      </c>
    </row>
    <row r="113" spans="2:21" x14ac:dyDescent="0.25">
      <c r="B113" s="6" t="s">
        <v>111</v>
      </c>
      <c r="C113" s="15">
        <v>1982.09765625</v>
      </c>
      <c r="D113" s="16">
        <v>44.127000000000002</v>
      </c>
      <c r="E113" s="16">
        <v>45.351999999999997</v>
      </c>
      <c r="F113" s="16">
        <v>45.225000000000001</v>
      </c>
      <c r="G113" s="16">
        <v>73.56</v>
      </c>
      <c r="H113" s="16">
        <f t="shared" si="4"/>
        <v>44.417375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5"/>
        <v>45.104050000000001</v>
      </c>
      <c r="P113" s="7"/>
      <c r="Q113" s="8">
        <f>bdrate(C113:C116,D113:D116,J113:J116,K113:K116)</f>
        <v>-0.42546725466099344</v>
      </c>
      <c r="R113" s="8">
        <f>bdrate(C113:C116,E113:E116,J113:J116,L113:L116)</f>
        <v>-0.44883206725392488</v>
      </c>
      <c r="S113" s="8">
        <f>bdrate(C113:C116,F113:F116,J113:J116,M113:M116)</f>
        <v>-0.44813472382797126</v>
      </c>
      <c r="T113" s="25">
        <f>bdrate(C113:C116,H113:H116,J113:J116,O113:O116)</f>
        <v>-0.43102650249867613</v>
      </c>
      <c r="U113" s="28">
        <f t="shared" si="3"/>
        <v>-6.1307775965198458E-2</v>
      </c>
    </row>
    <row r="114" spans="2:21" x14ac:dyDescent="0.25">
      <c r="B114" s="9"/>
      <c r="C114" s="17">
        <v>1405.853515625</v>
      </c>
      <c r="D114" s="18">
        <v>41.957000000000001</v>
      </c>
      <c r="E114" s="18">
        <v>43.462000000000003</v>
      </c>
      <c r="F114" s="18">
        <v>43.304000000000002</v>
      </c>
      <c r="G114" s="18">
        <v>81.709999999999994</v>
      </c>
      <c r="H114" s="18">
        <f t="shared" si="4"/>
        <v>42.313500000000005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5"/>
        <v>43.270450000000004</v>
      </c>
      <c r="P114" s="7"/>
      <c r="Q114" s="10"/>
      <c r="R114" s="11"/>
      <c r="S114" s="11"/>
      <c r="T114" s="26"/>
      <c r="U114" s="28">
        <f t="shared" si="3"/>
        <v>9.7231672989842144E-2</v>
      </c>
    </row>
    <row r="115" spans="2:21" x14ac:dyDescent="0.25">
      <c r="B115" s="9"/>
      <c r="C115" s="17">
        <v>903.5712890625</v>
      </c>
      <c r="D115" s="18">
        <v>39.216999999999999</v>
      </c>
      <c r="E115" s="18">
        <v>41.034999999999997</v>
      </c>
      <c r="F115" s="18">
        <v>40.859000000000002</v>
      </c>
      <c r="G115" s="18">
        <v>89.34</v>
      </c>
      <c r="H115" s="18">
        <f t="shared" si="4"/>
        <v>39.649499999999996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5"/>
        <v>40.54829999999999</v>
      </c>
      <c r="P115" s="7"/>
      <c r="Q115" s="10"/>
      <c r="R115" s="11"/>
      <c r="S115" s="11"/>
      <c r="T115" s="26"/>
      <c r="U115" s="28">
        <f t="shared" si="3"/>
        <v>0.24070181329751511</v>
      </c>
    </row>
    <row r="116" spans="2:21" ht="16.5" thickBot="1" x14ac:dyDescent="0.3">
      <c r="B116" s="12"/>
      <c r="C116" s="19">
        <v>528.53515625</v>
      </c>
      <c r="D116" s="20">
        <v>35.722999999999999</v>
      </c>
      <c r="E116" s="20">
        <v>37.881</v>
      </c>
      <c r="F116" s="20">
        <v>37.658000000000001</v>
      </c>
      <c r="G116" s="20">
        <v>94.39</v>
      </c>
      <c r="H116" s="20">
        <f t="shared" si="4"/>
        <v>36.234625000000001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5"/>
        <v>36.390724999999996</v>
      </c>
      <c r="P116" s="7"/>
      <c r="Q116" s="13"/>
      <c r="R116" s="14"/>
      <c r="S116" s="14"/>
      <c r="T116" s="27"/>
      <c r="U116" s="28">
        <f t="shared" si="3"/>
        <v>0.46398135395698703</v>
      </c>
    </row>
    <row r="117" spans="2:21" x14ac:dyDescent="0.25">
      <c r="B117" s="6" t="s">
        <v>112</v>
      </c>
      <c r="C117" s="15">
        <v>2141.20703125</v>
      </c>
      <c r="D117" s="16">
        <v>45.381999999999998</v>
      </c>
      <c r="E117" s="16">
        <v>46.844999999999999</v>
      </c>
      <c r="F117" s="16">
        <v>47.076999999999998</v>
      </c>
      <c r="G117" s="16">
        <v>76.92</v>
      </c>
      <c r="H117" s="16">
        <f t="shared" si="4"/>
        <v>45.776749999999993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5"/>
        <v>46.062537500000005</v>
      </c>
      <c r="P117" s="7"/>
      <c r="Q117" s="8">
        <f>bdrate(C117:C120,D117:D120,J117:J120,K117:K120)</f>
        <v>-0.26988032044638666</v>
      </c>
      <c r="R117" s="8">
        <f>bdrate(C117:C120,E117:E120,J117:J120,L117:L120)</f>
        <v>-0.35415220709269601</v>
      </c>
      <c r="S117" s="8">
        <f>bdrate(C117:C120,F117:F120,J117:J120,M117:M120)</f>
        <v>-0.35914946378058044</v>
      </c>
      <c r="T117" s="25">
        <f>bdrate(C117:C120,H117:H120,J117:J120,O117:O120)</f>
        <v>-0.29136770073522056</v>
      </c>
      <c r="U117" s="28">
        <f t="shared" si="3"/>
        <v>-0.13691107644305769</v>
      </c>
    </row>
    <row r="118" spans="2:21" x14ac:dyDescent="0.25">
      <c r="B118" s="9"/>
      <c r="C118" s="17">
        <v>1618.609375</v>
      </c>
      <c r="D118" s="18">
        <v>44.411000000000001</v>
      </c>
      <c r="E118" s="18">
        <v>46.021000000000001</v>
      </c>
      <c r="F118" s="18">
        <v>46.250999999999998</v>
      </c>
      <c r="G118" s="18">
        <v>80.87</v>
      </c>
      <c r="H118" s="18">
        <f t="shared" si="4"/>
        <v>44.84225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5"/>
        <v>44.529612499999999</v>
      </c>
      <c r="P118" s="7"/>
      <c r="Q118" s="10"/>
      <c r="R118" s="11"/>
      <c r="S118" s="11"/>
      <c r="T118" s="26"/>
      <c r="U118" s="28">
        <f t="shared" si="3"/>
        <v>-5.8223074069494257E-2</v>
      </c>
    </row>
    <row r="119" spans="2:21" x14ac:dyDescent="0.25">
      <c r="B119" s="9"/>
      <c r="C119" s="17">
        <v>939.1728515625</v>
      </c>
      <c r="D119" s="18">
        <v>41.802</v>
      </c>
      <c r="E119" s="18">
        <v>43.906999999999996</v>
      </c>
      <c r="F119" s="18">
        <v>44.149000000000001</v>
      </c>
      <c r="G119" s="18">
        <v>84.07</v>
      </c>
      <c r="H119" s="18">
        <f t="shared" si="4"/>
        <v>42.358499999999999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5"/>
        <v>41.989175000000003</v>
      </c>
      <c r="P119" s="7"/>
      <c r="Q119" s="10"/>
      <c r="R119" s="11"/>
      <c r="S119" s="11"/>
      <c r="T119" s="26"/>
      <c r="U119" s="28">
        <f t="shared" si="3"/>
        <v>4.213869394552168E-2</v>
      </c>
    </row>
    <row r="120" spans="2:21" ht="16.5" thickBot="1" x14ac:dyDescent="0.3">
      <c r="B120" s="12"/>
      <c r="C120" s="19">
        <v>501.2119140625</v>
      </c>
      <c r="D120" s="20">
        <v>38.503999999999998</v>
      </c>
      <c r="E120" s="20">
        <v>40.975000000000001</v>
      </c>
      <c r="F120" s="20">
        <v>41.207000000000001</v>
      </c>
      <c r="G120" s="20">
        <v>91.17</v>
      </c>
      <c r="H120" s="20">
        <f t="shared" si="4"/>
        <v>39.150750000000002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5"/>
        <v>38.045887499999999</v>
      </c>
      <c r="P120" s="7"/>
      <c r="Q120" s="13"/>
      <c r="R120" s="14"/>
      <c r="S120" s="14"/>
      <c r="T120" s="27"/>
      <c r="U120" s="28">
        <f t="shared" si="3"/>
        <v>0.49073818141932635</v>
      </c>
    </row>
    <row r="121" spans="2:21" x14ac:dyDescent="0.25">
      <c r="B121" s="6" t="s">
        <v>113</v>
      </c>
      <c r="C121" s="29">
        <v>1706.587890625</v>
      </c>
      <c r="D121" s="30">
        <v>31.315999999999999</v>
      </c>
      <c r="E121" s="30">
        <v>35.030999999999999</v>
      </c>
      <c r="F121" s="30">
        <v>33.764000000000003</v>
      </c>
      <c r="G121" s="16">
        <v>58.71</v>
      </c>
      <c r="H121" s="16">
        <f t="shared" si="4"/>
        <v>32.086374999999997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5"/>
        <v>33.269275</v>
      </c>
      <c r="P121" s="7"/>
      <c r="Q121" s="8">
        <f>bdrate(C121:C124,D121:D124,J121:J124,K121:K124)</f>
        <v>-0.27884463604073828</v>
      </c>
      <c r="R121" s="8">
        <f>bdrate(C121:C124,E121:E124,J121:J124,L121:L124)</f>
        <v>-0.57317132854731212</v>
      </c>
      <c r="S121" s="8">
        <f>bdrate(C121:C124,F121:F124,J121:J124,M121:M124)</f>
        <v>-0.57345809956726135</v>
      </c>
      <c r="T121" s="25">
        <f>bdrate(C121:C124,H121:H124,J121:J124,O121:O124)</f>
        <v>-0.348207392049252</v>
      </c>
      <c r="U121" s="28">
        <f t="shared" si="3"/>
        <v>1.0986203372508874E-2</v>
      </c>
    </row>
    <row r="122" spans="2:21" x14ac:dyDescent="0.25">
      <c r="B122" s="9"/>
      <c r="C122" s="31">
        <v>1177.84375</v>
      </c>
      <c r="D122" s="32">
        <v>29.77</v>
      </c>
      <c r="E122" s="32">
        <v>33.835999999999999</v>
      </c>
      <c r="F122" s="32">
        <v>32.540999999999997</v>
      </c>
      <c r="G122" s="18">
        <v>62.56</v>
      </c>
      <c r="H122" s="18">
        <f t="shared" si="4"/>
        <v>30.624625000000002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5"/>
        <v>31.589962499999999</v>
      </c>
      <c r="P122" s="7"/>
      <c r="Q122" s="10"/>
      <c r="R122" s="11"/>
      <c r="S122" s="11"/>
      <c r="T122" s="26"/>
      <c r="U122" s="28">
        <f t="shared" si="3"/>
        <v>0.14630914322250629</v>
      </c>
    </row>
    <row r="123" spans="2:21" x14ac:dyDescent="0.25">
      <c r="B123" s="9"/>
      <c r="C123" s="31">
        <v>807.1904296875</v>
      </c>
      <c r="D123" s="32">
        <v>28.29</v>
      </c>
      <c r="E123" s="32">
        <v>32.625999999999998</v>
      </c>
      <c r="F123" s="32">
        <v>31.324999999999999</v>
      </c>
      <c r="G123" s="18">
        <v>65.45</v>
      </c>
      <c r="H123" s="18">
        <f t="shared" si="4"/>
        <v>29.211375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5"/>
        <v>29.688137500000003</v>
      </c>
      <c r="P123" s="7"/>
      <c r="Q123" s="10"/>
      <c r="R123" s="11"/>
      <c r="S123" s="11"/>
      <c r="T123" s="26"/>
      <c r="U123" s="28">
        <f t="shared" si="3"/>
        <v>0.36662184873949583</v>
      </c>
    </row>
    <row r="124" spans="2:21" ht="16.5" thickBot="1" x14ac:dyDescent="0.3">
      <c r="B124" s="12"/>
      <c r="C124" s="33">
        <v>561.96875</v>
      </c>
      <c r="D124" s="34">
        <v>26.759</v>
      </c>
      <c r="E124" s="34">
        <v>31.294</v>
      </c>
      <c r="F124" s="34">
        <v>30.024999999999999</v>
      </c>
      <c r="G124" s="20">
        <v>65.81</v>
      </c>
      <c r="H124" s="20">
        <f t="shared" si="4"/>
        <v>27.734125000000002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5"/>
        <v>27.337724999999999</v>
      </c>
      <c r="P124" s="7"/>
      <c r="Q124" s="13"/>
      <c r="R124" s="14"/>
      <c r="S124" s="14"/>
      <c r="T124" s="27"/>
      <c r="U124" s="28">
        <f t="shared" si="3"/>
        <v>0.83394620878285963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-0.40652258440406769</v>
      </c>
      <c r="R125" s="21">
        <f>AVERAGE(R9:R124)</f>
        <v>-0.47450928210943066</v>
      </c>
      <c r="S125" s="21">
        <f>AVERAGE(S9:S124)</f>
        <v>-0.48148496969600663</v>
      </c>
      <c r="T125" s="21">
        <f>AVERAGE(T9:T124)</f>
        <v>-0.4236585432138632</v>
      </c>
      <c r="U125" s="21">
        <f>AVERAGE(U9:U124)</f>
        <v>0.28107241559481166</v>
      </c>
    </row>
    <row r="127" spans="2:21" s="35" customFormat="1" ht="15.75" customHeight="1" x14ac:dyDescent="0.25">
      <c r="B127" s="51" t="s">
        <v>29</v>
      </c>
      <c r="C127" s="56" t="s">
        <v>151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142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4240.2294921875</v>
      </c>
      <c r="D131" s="16">
        <v>36.122</v>
      </c>
      <c r="E131" s="16">
        <v>38.588000000000001</v>
      </c>
      <c r="F131" s="16">
        <v>40.881</v>
      </c>
      <c r="G131" s="16">
        <v>37.67</v>
      </c>
      <c r="H131" s="16">
        <f t="shared" ref="H131:H202" si="6">(6*D131+E131+F131)/8</f>
        <v>37.025125000000003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7">(6*K131+L131+M131)/8</f>
        <v>38.575087500000002</v>
      </c>
      <c r="P131" s="7"/>
      <c r="Q131" s="8">
        <f>bdrate(C131:C134,D131:D134,J131:J134,K131:K134)</f>
        <v>-0.38597393525342427</v>
      </c>
      <c r="R131" s="8">
        <f>bdrate(C131:C134,E131:E134,J131:J134,L131:L134)</f>
        <v>-0.45887678869187754</v>
      </c>
      <c r="S131" s="8">
        <f>bdrate(C131:C134,F131:F134,J131:J134,M131:M134)</f>
        <v>-0.47612677246752921</v>
      </c>
      <c r="T131" s="25">
        <f>bdrate(C131:C134,H131:H134,J131:J134,O131:O134)</f>
        <v>-0.40034510863081585</v>
      </c>
      <c r="U131" s="28">
        <f t="shared" ref="U131:U194" si="8">(N131-G131)/G131</f>
        <v>-9.1709583222723712E-2</v>
      </c>
    </row>
    <row r="132" spans="1:21" x14ac:dyDescent="0.25">
      <c r="A132" s="9" t="s">
        <v>36</v>
      </c>
      <c r="B132" s="9"/>
      <c r="C132" s="17">
        <v>3170.7421875</v>
      </c>
      <c r="D132" s="18">
        <v>35.216000000000001</v>
      </c>
      <c r="E132" s="18">
        <v>38.058</v>
      </c>
      <c r="F132" s="18">
        <v>40.283999999999999</v>
      </c>
      <c r="G132" s="18">
        <v>40.729999999999997</v>
      </c>
      <c r="H132" s="18">
        <f t="shared" si="6"/>
        <v>36.204749999999997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7"/>
        <v>37.663250000000005</v>
      </c>
      <c r="P132" s="7"/>
      <c r="Q132" s="10"/>
      <c r="R132" s="11"/>
      <c r="S132" s="11"/>
      <c r="T132" s="26"/>
      <c r="U132" s="28">
        <f t="shared" si="8"/>
        <v>0.3181070464031428</v>
      </c>
    </row>
    <row r="133" spans="1:21" x14ac:dyDescent="0.25">
      <c r="B133" s="9"/>
      <c r="C133" s="17">
        <v>2137.521484375</v>
      </c>
      <c r="D133" s="18">
        <v>33.895000000000003</v>
      </c>
      <c r="E133" s="18">
        <v>37.265999999999998</v>
      </c>
      <c r="F133" s="18">
        <v>39.402999999999999</v>
      </c>
      <c r="G133" s="18">
        <v>41.76</v>
      </c>
      <c r="H133" s="18">
        <f t="shared" si="6"/>
        <v>35.004874999999998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7"/>
        <v>36.296475000000001</v>
      </c>
      <c r="P133" s="7"/>
      <c r="Q133" s="10"/>
      <c r="R133" s="11"/>
      <c r="S133" s="11"/>
      <c r="T133" s="26"/>
      <c r="U133" s="28">
        <f t="shared" si="8"/>
        <v>0.49353687739463609</v>
      </c>
    </row>
    <row r="134" spans="1:21" ht="16.5" thickBot="1" x14ac:dyDescent="0.3">
      <c r="B134" s="12"/>
      <c r="C134" s="19">
        <v>1096.005859375</v>
      </c>
      <c r="D134" s="20">
        <v>31.102</v>
      </c>
      <c r="E134" s="20">
        <v>35.744999999999997</v>
      </c>
      <c r="F134" s="20">
        <v>37.673999999999999</v>
      </c>
      <c r="G134" s="20">
        <v>49.91</v>
      </c>
      <c r="H134" s="20">
        <f t="shared" si="6"/>
        <v>32.503875000000001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7"/>
        <v>33.751037499999995</v>
      </c>
      <c r="P134" s="7"/>
      <c r="Q134" s="13"/>
      <c r="R134" s="14"/>
      <c r="S134" s="14"/>
      <c r="T134" s="27"/>
      <c r="U134" s="28">
        <f t="shared" si="8"/>
        <v>0.50420957723903048</v>
      </c>
    </row>
    <row r="135" spans="1:21" x14ac:dyDescent="0.25">
      <c r="B135" s="6" t="s">
        <v>47</v>
      </c>
      <c r="C135" s="15">
        <v>4762.2294921875</v>
      </c>
      <c r="D135" s="16">
        <v>28.03</v>
      </c>
      <c r="E135" s="16">
        <v>38.781999999999996</v>
      </c>
      <c r="F135" s="16">
        <v>39.816000000000003</v>
      </c>
      <c r="G135" s="16">
        <v>34.119999999999997</v>
      </c>
      <c r="H135" s="16">
        <f t="shared" si="6"/>
        <v>30.847249999999999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7"/>
        <v>32.009187500000003</v>
      </c>
      <c r="P135" s="7"/>
      <c r="Q135" s="8">
        <f>bdrate(C135:C138,D135:D138,J135:J138,K135:K138)</f>
        <v>-0.2872669783870343</v>
      </c>
      <c r="R135" s="8">
        <f>bdrate(C135:C138,E135:E138,J135:J138,L135:L138)</f>
        <v>-0.52100806377157438</v>
      </c>
      <c r="S135" s="8">
        <f>bdrate(C135:C138,F135:F138,J135:J138,M135:M138)</f>
        <v>-0.54067717653973579</v>
      </c>
      <c r="T135" s="25">
        <f>bdrate(C135:C138,H135:H138,J135:J138,O135:O138)</f>
        <v>-0.33047061527620969</v>
      </c>
      <c r="U135" s="28">
        <f t="shared" si="8"/>
        <v>-0.16421160609613125</v>
      </c>
    </row>
    <row r="136" spans="1:21" x14ac:dyDescent="0.25">
      <c r="B136" s="9"/>
      <c r="C136" s="17">
        <v>4095.2666015625</v>
      </c>
      <c r="D136" s="18">
        <v>27.666</v>
      </c>
      <c r="E136" s="18">
        <v>38.234000000000002</v>
      </c>
      <c r="F136" s="18">
        <v>39.261000000000003</v>
      </c>
      <c r="G136" s="18">
        <v>34.729999999999997</v>
      </c>
      <c r="H136" s="18">
        <f t="shared" si="6"/>
        <v>30.436375000000002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7"/>
        <v>30.919875000000001</v>
      </c>
      <c r="P136" s="7"/>
      <c r="Q136" s="10"/>
      <c r="R136" s="11"/>
      <c r="S136" s="11"/>
      <c r="T136" s="26"/>
      <c r="U136" s="28">
        <f t="shared" si="8"/>
        <v>0.26918514252807385</v>
      </c>
    </row>
    <row r="137" spans="1:21" x14ac:dyDescent="0.25">
      <c r="B137" s="9"/>
      <c r="C137" s="17">
        <v>3409.58203125</v>
      </c>
      <c r="D137" s="18">
        <v>27.236000000000001</v>
      </c>
      <c r="E137" s="18">
        <v>37.610999999999997</v>
      </c>
      <c r="F137" s="18">
        <v>38.527999999999999</v>
      </c>
      <c r="G137" s="18">
        <v>35.07</v>
      </c>
      <c r="H137" s="18">
        <f t="shared" si="6"/>
        <v>29.944374999999997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7"/>
        <v>29.3722125</v>
      </c>
      <c r="P137" s="7"/>
      <c r="Q137" s="10"/>
      <c r="R137" s="11"/>
      <c r="S137" s="11"/>
      <c r="T137" s="26"/>
      <c r="U137" s="28">
        <f t="shared" si="8"/>
        <v>0.49029940119760479</v>
      </c>
    </row>
    <row r="138" spans="1:21" ht="16.5" thickBot="1" x14ac:dyDescent="0.3">
      <c r="B138" s="12"/>
      <c r="C138" s="19">
        <v>2870.1015625</v>
      </c>
      <c r="D138" s="20">
        <v>26.567</v>
      </c>
      <c r="E138" s="20">
        <v>36.459000000000003</v>
      </c>
      <c r="F138" s="20">
        <v>37.225999999999999</v>
      </c>
      <c r="G138" s="20">
        <v>35.26</v>
      </c>
      <c r="H138" s="20">
        <f t="shared" si="6"/>
        <v>29.135874999999999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7"/>
        <v>27.408487499999996</v>
      </c>
      <c r="P138" s="7"/>
      <c r="Q138" s="13"/>
      <c r="R138" s="14"/>
      <c r="S138" s="14"/>
      <c r="T138" s="27"/>
      <c r="U138" s="28">
        <f t="shared" si="8"/>
        <v>0.8179977311401021</v>
      </c>
    </row>
    <row r="139" spans="1:21" x14ac:dyDescent="0.25">
      <c r="A139" s="6" t="s">
        <v>37</v>
      </c>
      <c r="B139" s="6" t="s">
        <v>48</v>
      </c>
      <c r="C139" s="15">
        <v>2016.111328125</v>
      </c>
      <c r="D139" s="16">
        <v>36.972999999999999</v>
      </c>
      <c r="E139" s="16">
        <v>40.981999999999999</v>
      </c>
      <c r="F139" s="16">
        <v>42.165999999999997</v>
      </c>
      <c r="G139" s="16">
        <v>65.33</v>
      </c>
      <c r="H139" s="16">
        <f t="shared" si="6"/>
        <v>38.123249999999999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7"/>
        <v>39.936149999999998</v>
      </c>
      <c r="P139" s="7"/>
      <c r="Q139" s="8">
        <f>bdrate(C139:C142,D139:D142,J139:J142,K139:K142)</f>
        <v>-0.43093961561040717</v>
      </c>
      <c r="R139" s="8">
        <f>bdrate(C139:C142,E139:E142,J139:J142,L139:L142)</f>
        <v>-0.36799223921895485</v>
      </c>
      <c r="S139" s="8">
        <f>bdrate(C139:C142,F139:F142,J139:J142,M139:M142)</f>
        <v>-0.37584735820411097</v>
      </c>
      <c r="T139" s="25">
        <f>bdrate(C139:C142,H139:H142,J139:J142,O139:O142)</f>
        <v>-0.42334511525244745</v>
      </c>
      <c r="U139" s="28">
        <f t="shared" si="8"/>
        <v>7.4797183529771896E-2</v>
      </c>
    </row>
    <row r="140" spans="1:21" x14ac:dyDescent="0.25">
      <c r="A140" s="9" t="s">
        <v>38</v>
      </c>
      <c r="B140" s="9"/>
      <c r="C140" s="17">
        <v>1416.314453125</v>
      </c>
      <c r="D140" s="18">
        <v>35.607999999999997</v>
      </c>
      <c r="E140" s="18">
        <v>40.335000000000001</v>
      </c>
      <c r="F140" s="18">
        <v>41.488</v>
      </c>
      <c r="G140" s="18">
        <v>71.61</v>
      </c>
      <c r="H140" s="18">
        <f t="shared" si="6"/>
        <v>36.933875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7"/>
        <v>38.802600000000005</v>
      </c>
      <c r="P140" s="7"/>
      <c r="Q140" s="10"/>
      <c r="R140" s="11"/>
      <c r="S140" s="11"/>
      <c r="T140" s="26"/>
      <c r="U140" s="28">
        <f t="shared" si="8"/>
        <v>0.53386119257086995</v>
      </c>
    </row>
    <row r="141" spans="1:21" x14ac:dyDescent="0.25">
      <c r="B141" s="9"/>
      <c r="C141" s="17">
        <v>958.91015625</v>
      </c>
      <c r="D141" s="18">
        <v>33.926000000000002</v>
      </c>
      <c r="E141" s="18">
        <v>39.448999999999998</v>
      </c>
      <c r="F141" s="18">
        <v>40.609000000000002</v>
      </c>
      <c r="G141" s="18">
        <v>76.64</v>
      </c>
      <c r="H141" s="18">
        <f t="shared" si="6"/>
        <v>35.451749999999997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7"/>
        <v>37.3969375</v>
      </c>
      <c r="P141" s="7"/>
      <c r="Q141" s="10"/>
      <c r="R141" s="11"/>
      <c r="S141" s="11"/>
      <c r="T141" s="26"/>
      <c r="U141" s="28">
        <f t="shared" si="8"/>
        <v>0.61752218162839245</v>
      </c>
    </row>
    <row r="142" spans="1:21" ht="16.5" thickBot="1" x14ac:dyDescent="0.3">
      <c r="B142" s="12"/>
      <c r="C142" s="19">
        <v>591.73046875</v>
      </c>
      <c r="D142" s="20">
        <v>31.788</v>
      </c>
      <c r="E142" s="20">
        <v>38.286000000000001</v>
      </c>
      <c r="F142" s="20">
        <v>39.418999999999997</v>
      </c>
      <c r="G142" s="20">
        <v>84.76</v>
      </c>
      <c r="H142" s="20">
        <f t="shared" si="6"/>
        <v>33.554124999999999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7"/>
        <v>35.814949999999996</v>
      </c>
      <c r="P142" s="7"/>
      <c r="Q142" s="13"/>
      <c r="R142" s="14"/>
      <c r="S142" s="14"/>
      <c r="T142" s="27"/>
      <c r="U142" s="28">
        <f t="shared" si="8"/>
        <v>0.6794336951392167</v>
      </c>
    </row>
    <row r="143" spans="1:21" x14ac:dyDescent="0.25">
      <c r="B143" s="6" t="s">
        <v>49</v>
      </c>
      <c r="C143" s="15">
        <v>2483.6513671875</v>
      </c>
      <c r="D143" s="16">
        <v>34.587000000000003</v>
      </c>
      <c r="E143" s="16">
        <v>38.743000000000002</v>
      </c>
      <c r="F143" s="16">
        <v>39.991</v>
      </c>
      <c r="G143" s="16">
        <v>64.459999999999994</v>
      </c>
      <c r="H143" s="16">
        <f t="shared" si="6"/>
        <v>35.782000000000004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7"/>
        <v>37.128050000000002</v>
      </c>
      <c r="P143" s="7"/>
      <c r="Q143" s="8">
        <f>bdrate(C143:C146,D143:D146,J143:J146,K143:K146)</f>
        <v>-0.3287954177949709</v>
      </c>
      <c r="R143" s="8">
        <f>bdrate(C143:C146,E143:E146,J143:J146,L143:L146)</f>
        <v>-0.45976546397037799</v>
      </c>
      <c r="S143" s="8">
        <f>bdrate(C143:C146,F143:F146,J143:J146,M143:M146)</f>
        <v>-0.45691214705563565</v>
      </c>
      <c r="T143" s="25">
        <f>bdrate(C143:C146,H143:H146,J143:J146,O143:O146)</f>
        <v>-0.3518645502550084</v>
      </c>
      <c r="U143" s="28">
        <f t="shared" si="8"/>
        <v>0.18160564691281436</v>
      </c>
    </row>
    <row r="144" spans="1:21" x14ac:dyDescent="0.25">
      <c r="B144" s="9"/>
      <c r="C144" s="17">
        <v>1678.5498046875</v>
      </c>
      <c r="D144" s="18">
        <v>33.509</v>
      </c>
      <c r="E144" s="18">
        <v>38.015999999999998</v>
      </c>
      <c r="F144" s="18">
        <v>39.377000000000002</v>
      </c>
      <c r="G144" s="18">
        <v>68.180000000000007</v>
      </c>
      <c r="H144" s="18">
        <f t="shared" si="6"/>
        <v>34.805875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7"/>
        <v>35.957675000000002</v>
      </c>
      <c r="P144" s="7"/>
      <c r="Q144" s="10"/>
      <c r="R144" s="11"/>
      <c r="S144" s="11"/>
      <c r="T144" s="26"/>
      <c r="U144" s="28">
        <f t="shared" si="8"/>
        <v>0.494097975946025</v>
      </c>
    </row>
    <row r="145" spans="1:21" x14ac:dyDescent="0.25">
      <c r="B145" s="9"/>
      <c r="C145" s="17">
        <v>1042.265625</v>
      </c>
      <c r="D145" s="18">
        <v>32.146000000000001</v>
      </c>
      <c r="E145" s="18">
        <v>37.091000000000001</v>
      </c>
      <c r="F145" s="18">
        <v>38.646000000000001</v>
      </c>
      <c r="G145" s="18">
        <v>73.180000000000007</v>
      </c>
      <c r="H145" s="18">
        <f t="shared" si="6"/>
        <v>33.576625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7"/>
        <v>34.6017875</v>
      </c>
      <c r="P145" s="7"/>
      <c r="Q145" s="10"/>
      <c r="R145" s="11"/>
      <c r="S145" s="11"/>
      <c r="T145" s="26"/>
      <c r="U145" s="28">
        <f t="shared" si="8"/>
        <v>0.64225608089641972</v>
      </c>
    </row>
    <row r="146" spans="1:21" ht="16.5" thickBot="1" x14ac:dyDescent="0.3">
      <c r="B146" s="12"/>
      <c r="C146" s="19">
        <v>625.6708984375</v>
      </c>
      <c r="D146" s="20">
        <v>30.579000000000001</v>
      </c>
      <c r="E146" s="20">
        <v>36.159999999999997</v>
      </c>
      <c r="F146" s="20">
        <v>37.936</v>
      </c>
      <c r="G146" s="20">
        <v>78.66</v>
      </c>
      <c r="H146" s="20">
        <f t="shared" si="6"/>
        <v>32.196249999999999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7"/>
        <v>33.151599999999995</v>
      </c>
      <c r="P146" s="7"/>
      <c r="Q146" s="13"/>
      <c r="R146" s="14"/>
      <c r="S146" s="14"/>
      <c r="T146" s="27"/>
      <c r="U146" s="28">
        <f t="shared" si="8"/>
        <v>0.77803330790744973</v>
      </c>
    </row>
    <row r="147" spans="1:21" x14ac:dyDescent="0.25">
      <c r="B147" s="6" t="s">
        <v>50</v>
      </c>
      <c r="C147" s="15">
        <v>2443.83203125</v>
      </c>
      <c r="D147" s="16">
        <v>32.697000000000003</v>
      </c>
      <c r="E147" s="16">
        <v>37.456000000000003</v>
      </c>
      <c r="F147" s="16">
        <v>38.76</v>
      </c>
      <c r="G147" s="16">
        <v>68.62</v>
      </c>
      <c r="H147" s="16">
        <f t="shared" si="6"/>
        <v>34.049750000000003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7"/>
        <v>35.300450000000005</v>
      </c>
      <c r="P147" s="7"/>
      <c r="Q147" s="8">
        <f>bdrate(C147:C150,D147:D150,J147:J150,K147:K150)</f>
        <v>-0.37689288389680065</v>
      </c>
      <c r="R147" s="8">
        <f>bdrate(C147:C150,E147:E150,J147:J150,L147:L150)</f>
        <v>-0.5027319539977686</v>
      </c>
      <c r="S147" s="8">
        <f>bdrate(C147:C150,F147:F150,J147:J150,M147:M150)</f>
        <v>-0.52727590967453386</v>
      </c>
      <c r="T147" s="25">
        <f>bdrate(C147:C150,H147:H150,J147:J150,O147:O150)</f>
        <v>-0.40395909794954499</v>
      </c>
      <c r="U147" s="28">
        <f t="shared" si="8"/>
        <v>0.20358496065287085</v>
      </c>
    </row>
    <row r="148" spans="1:21" x14ac:dyDescent="0.25">
      <c r="B148" s="9"/>
      <c r="C148" s="17">
        <v>1638.05859375</v>
      </c>
      <c r="D148" s="18">
        <v>31.349</v>
      </c>
      <c r="E148" s="18">
        <v>36.707000000000001</v>
      </c>
      <c r="F148" s="18">
        <v>37.566000000000003</v>
      </c>
      <c r="G148" s="18">
        <v>74.290000000000006</v>
      </c>
      <c r="H148" s="18">
        <f t="shared" si="6"/>
        <v>32.795874999999995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7"/>
        <v>34.226837500000002</v>
      </c>
      <c r="P148" s="7"/>
      <c r="Q148" s="10"/>
      <c r="R148" s="11"/>
      <c r="S148" s="11"/>
      <c r="T148" s="26"/>
      <c r="U148" s="28">
        <f t="shared" si="8"/>
        <v>0.7814672230448243</v>
      </c>
    </row>
    <row r="149" spans="1:21" x14ac:dyDescent="0.25">
      <c r="B149" s="9"/>
      <c r="C149" s="17">
        <v>1050.5712890625</v>
      </c>
      <c r="D149" s="18">
        <v>29.584</v>
      </c>
      <c r="E149" s="18">
        <v>35.676000000000002</v>
      </c>
      <c r="F149" s="18">
        <v>36.015000000000001</v>
      </c>
      <c r="G149" s="18">
        <v>81.61</v>
      </c>
      <c r="H149" s="18">
        <f t="shared" si="6"/>
        <v>31.149374999999999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7"/>
        <v>32.816737500000002</v>
      </c>
      <c r="P149" s="7"/>
      <c r="Q149" s="10"/>
      <c r="R149" s="11"/>
      <c r="S149" s="11"/>
      <c r="T149" s="26"/>
      <c r="U149" s="28">
        <f t="shared" si="8"/>
        <v>0.78464894008087227</v>
      </c>
    </row>
    <row r="150" spans="1:21" ht="16.5" thickBot="1" x14ac:dyDescent="0.3">
      <c r="B150" s="12"/>
      <c r="C150" s="19">
        <v>822.51171875</v>
      </c>
      <c r="D150" s="20">
        <v>28.585999999999999</v>
      </c>
      <c r="E150" s="20">
        <v>34.831000000000003</v>
      </c>
      <c r="F150" s="20">
        <v>34.781999999999996</v>
      </c>
      <c r="G150" s="20">
        <v>82.74</v>
      </c>
      <c r="H150" s="20">
        <f t="shared" si="6"/>
        <v>30.141124999999995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7"/>
        <v>31.285</v>
      </c>
      <c r="P150" s="7"/>
      <c r="Q150" s="13"/>
      <c r="R150" s="14"/>
      <c r="S150" s="14"/>
      <c r="T150" s="27"/>
      <c r="U150" s="28">
        <f t="shared" si="8"/>
        <v>0.98522600918540015</v>
      </c>
    </row>
    <row r="151" spans="1:21" x14ac:dyDescent="0.25">
      <c r="B151" s="6" t="s">
        <v>51</v>
      </c>
      <c r="C151" s="29">
        <v>2254.8193359375</v>
      </c>
      <c r="D151" s="30">
        <v>31.608000000000001</v>
      </c>
      <c r="E151" s="30">
        <v>38.442</v>
      </c>
      <c r="F151" s="30">
        <v>37.198999999999998</v>
      </c>
      <c r="G151" s="16">
        <v>75</v>
      </c>
      <c r="H151" s="16">
        <f t="shared" si="6"/>
        <v>33.161124999999998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7"/>
        <v>35.4979625</v>
      </c>
      <c r="P151" s="7"/>
      <c r="Q151" s="8">
        <f>bdrate(C151:C154,D151:D154,J151:J154,K151:K154)</f>
        <v>-0.46801004685338776</v>
      </c>
      <c r="R151" s="8">
        <f>bdrate(C151:C154,E151:E154,J151:J154,L151:L154)</f>
        <v>-0.56809339540333492</v>
      </c>
      <c r="S151" s="8">
        <f>bdrate(C151:C154,F151:F154,J151:J154,M151:M154)</f>
        <v>-0.61959918319072105</v>
      </c>
      <c r="T151" s="25">
        <f>bdrate(C151:C154,H151:H154,J151:J154,O151:O154)</f>
        <v>-0.49965900219350246</v>
      </c>
      <c r="U151" s="28">
        <f t="shared" si="8"/>
        <v>7.8574666666666723E-2</v>
      </c>
    </row>
    <row r="152" spans="1:21" x14ac:dyDescent="0.25">
      <c r="B152" s="9"/>
      <c r="C152" s="31">
        <v>1648.83984375</v>
      </c>
      <c r="D152" s="32">
        <v>30.27</v>
      </c>
      <c r="E152" s="32">
        <v>37.439</v>
      </c>
      <c r="F152" s="32">
        <v>35.948999999999998</v>
      </c>
      <c r="G152" s="18">
        <v>81.209999999999994</v>
      </c>
      <c r="H152" s="18">
        <f t="shared" si="6"/>
        <v>31.875999999999998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7"/>
        <v>34.219224999999994</v>
      </c>
      <c r="P152" s="7"/>
      <c r="Q152" s="10"/>
      <c r="R152" s="11"/>
      <c r="S152" s="11"/>
      <c r="T152" s="26"/>
      <c r="U152" s="28">
        <f t="shared" si="8"/>
        <v>0.49984854082009617</v>
      </c>
    </row>
    <row r="153" spans="1:21" x14ac:dyDescent="0.25">
      <c r="B153" s="9"/>
      <c r="C153" s="31">
        <v>1261.32421875</v>
      </c>
      <c r="D153" s="32">
        <v>29.193000000000001</v>
      </c>
      <c r="E153" s="32">
        <v>36.334000000000003</v>
      </c>
      <c r="F153" s="32">
        <v>34.857999999999997</v>
      </c>
      <c r="G153" s="18">
        <v>83.84</v>
      </c>
      <c r="H153" s="18">
        <f t="shared" si="6"/>
        <v>30.793750000000003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7"/>
        <v>32.590662500000001</v>
      </c>
      <c r="P153" s="7"/>
      <c r="Q153" s="10"/>
      <c r="R153" s="11"/>
      <c r="S153" s="11"/>
      <c r="T153" s="26"/>
      <c r="U153" s="28">
        <f t="shared" si="8"/>
        <v>0.66864623091603059</v>
      </c>
    </row>
    <row r="154" spans="1:21" ht="16.5" thickBot="1" x14ac:dyDescent="0.3">
      <c r="B154" s="12"/>
      <c r="C154" s="33">
        <v>1137.3134765625</v>
      </c>
      <c r="D154" s="34">
        <v>28.753</v>
      </c>
      <c r="E154" s="34">
        <v>35.685000000000002</v>
      </c>
      <c r="F154" s="34">
        <v>34.293999999999997</v>
      </c>
      <c r="G154" s="20">
        <v>83.86</v>
      </c>
      <c r="H154" s="20">
        <f t="shared" si="6"/>
        <v>30.312125000000002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7"/>
        <v>30.717212499999995</v>
      </c>
      <c r="P154" s="7"/>
      <c r="Q154" s="13"/>
      <c r="R154" s="14"/>
      <c r="S154" s="14"/>
      <c r="T154" s="27"/>
      <c r="U154" s="28">
        <f t="shared" si="8"/>
        <v>0.90064393036012413</v>
      </c>
    </row>
    <row r="155" spans="1:21" x14ac:dyDescent="0.25">
      <c r="B155" s="6" t="s">
        <v>52</v>
      </c>
      <c r="C155" s="15">
        <v>2493.087890625</v>
      </c>
      <c r="D155" s="16">
        <v>31.408999999999999</v>
      </c>
      <c r="E155" s="16">
        <v>38.481000000000002</v>
      </c>
      <c r="F155" s="16">
        <v>41.033000000000001</v>
      </c>
      <c r="G155" s="16">
        <v>77.900000000000006</v>
      </c>
      <c r="H155" s="16">
        <f t="shared" si="6"/>
        <v>33.496000000000002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7"/>
        <v>35.417699999999996</v>
      </c>
      <c r="P155" s="7"/>
      <c r="Q155" s="8">
        <f>bdrate(C155:C158,D155:D158,J155:J158,K155:K158)</f>
        <v>-0.62933482413282427</v>
      </c>
      <c r="R155" s="8">
        <f>bdrate(C155:C158,E155:E158,J155:J158,L155:L158)</f>
        <v>-0.6489391164315178</v>
      </c>
      <c r="S155" s="8">
        <f>bdrate(C155:C158,F155:F158,J155:J158,M155:M158)</f>
        <v>-0.64110995275583038</v>
      </c>
      <c r="T155" s="25">
        <f>bdrate(C155:C158,H155:H158,J155:J158,O155:O158)</f>
        <v>-0.63254810766647684</v>
      </c>
      <c r="U155" s="28">
        <f t="shared" si="8"/>
        <v>0.12424261874197688</v>
      </c>
    </row>
    <row r="156" spans="1:21" x14ac:dyDescent="0.25">
      <c r="B156" s="9"/>
      <c r="C156" s="17">
        <v>1664.498046875</v>
      </c>
      <c r="D156" s="18">
        <v>30.427</v>
      </c>
      <c r="E156" s="18">
        <v>37.857999999999997</v>
      </c>
      <c r="F156" s="18">
        <v>40.374000000000002</v>
      </c>
      <c r="G156" s="18">
        <v>83.56</v>
      </c>
      <c r="H156" s="18">
        <f t="shared" si="6"/>
        <v>32.599250000000005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7"/>
        <v>34.764399999999995</v>
      </c>
      <c r="P156" s="7"/>
      <c r="Q156" s="10"/>
      <c r="R156" s="11"/>
      <c r="S156" s="11"/>
      <c r="T156" s="26"/>
      <c r="U156" s="28">
        <f t="shared" si="8"/>
        <v>0.64350406893250345</v>
      </c>
    </row>
    <row r="157" spans="1:21" x14ac:dyDescent="0.25">
      <c r="B157" s="9"/>
      <c r="C157" s="17">
        <v>1050.4501953125</v>
      </c>
      <c r="D157" s="18">
        <v>28.981999999999999</v>
      </c>
      <c r="E157" s="18">
        <v>37.04</v>
      </c>
      <c r="F157" s="18">
        <v>39.33</v>
      </c>
      <c r="G157" s="18">
        <v>89.78</v>
      </c>
      <c r="H157" s="18">
        <f t="shared" si="6"/>
        <v>31.28275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7"/>
        <v>33.793624999999999</v>
      </c>
      <c r="P157" s="7"/>
      <c r="Q157" s="10"/>
      <c r="R157" s="11"/>
      <c r="S157" s="11"/>
      <c r="T157" s="26"/>
      <c r="U157" s="28">
        <f t="shared" si="8"/>
        <v>0.73404321675206063</v>
      </c>
    </row>
    <row r="158" spans="1:21" ht="16.5" thickBot="1" x14ac:dyDescent="0.3">
      <c r="B158" s="12"/>
      <c r="C158" s="19">
        <v>749.2080078125</v>
      </c>
      <c r="D158" s="20">
        <v>27.54</v>
      </c>
      <c r="E158" s="20">
        <v>36.212000000000003</v>
      </c>
      <c r="F158" s="20">
        <v>38.137999999999998</v>
      </c>
      <c r="G158" s="20">
        <v>93.59</v>
      </c>
      <c r="H158" s="20">
        <f t="shared" si="6"/>
        <v>29.94875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7"/>
        <v>32.5105875</v>
      </c>
      <c r="P158" s="7"/>
      <c r="Q158" s="13"/>
      <c r="R158" s="14"/>
      <c r="S158" s="14"/>
      <c r="T158" s="27"/>
      <c r="U158" s="28">
        <f t="shared" si="8"/>
        <v>0.80895608505182159</v>
      </c>
    </row>
    <row r="159" spans="1:21" x14ac:dyDescent="0.25">
      <c r="A159" s="6" t="s">
        <v>39</v>
      </c>
      <c r="B159" s="6" t="s">
        <v>53</v>
      </c>
      <c r="C159" s="15">
        <v>1241.1337890625</v>
      </c>
      <c r="D159" s="16">
        <v>33.451000000000001</v>
      </c>
      <c r="E159" s="16">
        <v>37.723999999999997</v>
      </c>
      <c r="F159" s="16">
        <v>37.186</v>
      </c>
      <c r="G159" s="16">
        <v>221.65</v>
      </c>
      <c r="H159" s="16">
        <f t="shared" si="6"/>
        <v>34.451999999999998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7"/>
        <v>35.978937500000001</v>
      </c>
      <c r="P159" s="7"/>
      <c r="Q159" s="8">
        <f>bdrate(C159:C162,D159:D162,J159:J162,K159:K162)</f>
        <v>-0.31062953329762966</v>
      </c>
      <c r="R159" s="8">
        <f>bdrate(C159:C162,E159:E162,J159:J162,L159:L162)</f>
        <v>-0.39821282370681599</v>
      </c>
      <c r="S159" s="8">
        <f>bdrate(C159:C162,F159:F162,J159:J162,M159:M162)</f>
        <v>-0.43593905973911906</v>
      </c>
      <c r="T159" s="25">
        <f>bdrate(C159:C162,H159:H162,J159:J162,O159:O162)</f>
        <v>-0.33648795667410836</v>
      </c>
      <c r="U159" s="28">
        <f t="shared" si="8"/>
        <v>0.82952853598014875</v>
      </c>
    </row>
    <row r="160" spans="1:21" x14ac:dyDescent="0.25">
      <c r="A160" s="9" t="s">
        <v>40</v>
      </c>
      <c r="B160" s="9"/>
      <c r="C160" s="17">
        <v>835.7138671875</v>
      </c>
      <c r="D160" s="18">
        <v>32.061</v>
      </c>
      <c r="E160" s="18">
        <v>36.558</v>
      </c>
      <c r="F160" s="18">
        <v>35.883000000000003</v>
      </c>
      <c r="G160" s="18">
        <v>241.29</v>
      </c>
      <c r="H160" s="18">
        <f t="shared" si="6"/>
        <v>33.100874999999995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7"/>
        <v>34.502525000000006</v>
      </c>
      <c r="P160" s="7"/>
      <c r="Q160" s="10"/>
      <c r="R160" s="11"/>
      <c r="S160" s="11"/>
      <c r="T160" s="26"/>
      <c r="U160" s="28">
        <f t="shared" si="8"/>
        <v>0.95305856023871682</v>
      </c>
    </row>
    <row r="161" spans="1:21" x14ac:dyDescent="0.25">
      <c r="B161" s="9"/>
      <c r="C161" s="17">
        <v>522.380859375</v>
      </c>
      <c r="D161" s="18">
        <v>30.417999999999999</v>
      </c>
      <c r="E161" s="18">
        <v>35.171999999999997</v>
      </c>
      <c r="F161" s="18">
        <v>34.308999999999997</v>
      </c>
      <c r="G161" s="18">
        <v>271.86</v>
      </c>
      <c r="H161" s="18">
        <f t="shared" si="6"/>
        <v>31.498624999999997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7"/>
        <v>32.754300000000001</v>
      </c>
      <c r="P161" s="7"/>
      <c r="Q161" s="10"/>
      <c r="R161" s="11"/>
      <c r="S161" s="11"/>
      <c r="T161" s="26"/>
      <c r="U161" s="28">
        <f t="shared" si="8"/>
        <v>1.0322452733024352</v>
      </c>
    </row>
    <row r="162" spans="1:21" ht="16.5" thickBot="1" x14ac:dyDescent="0.3">
      <c r="B162" s="12"/>
      <c r="C162" s="19">
        <v>323.890625</v>
      </c>
      <c r="D162" s="20">
        <v>28.629000000000001</v>
      </c>
      <c r="E162" s="20">
        <v>33.552999999999997</v>
      </c>
      <c r="F162" s="20">
        <v>32.539000000000001</v>
      </c>
      <c r="G162" s="20">
        <v>308.11</v>
      </c>
      <c r="H162" s="20">
        <f t="shared" si="6"/>
        <v>29.733249999999998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7"/>
        <v>30.942612500000003</v>
      </c>
      <c r="P162" s="7"/>
      <c r="Q162" s="13"/>
      <c r="R162" s="14"/>
      <c r="S162" s="14"/>
      <c r="T162" s="27"/>
      <c r="U162" s="28">
        <f t="shared" si="8"/>
        <v>1.1666180909415467</v>
      </c>
    </row>
    <row r="163" spans="1:21" x14ac:dyDescent="0.25">
      <c r="B163" s="6" t="s">
        <v>54</v>
      </c>
      <c r="C163" s="15">
        <v>1229.83984375</v>
      </c>
      <c r="D163" s="16">
        <v>32.732999999999997</v>
      </c>
      <c r="E163" s="16">
        <v>38.936</v>
      </c>
      <c r="F163" s="16">
        <v>39.54</v>
      </c>
      <c r="G163" s="16">
        <v>233.43</v>
      </c>
      <c r="H163" s="16">
        <f t="shared" si="6"/>
        <v>34.359249999999996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7"/>
        <v>36.581325</v>
      </c>
      <c r="P163" s="7"/>
      <c r="Q163" s="8">
        <f>bdrate(C163:C166,D163:D166,J163:J166,K163:K166)</f>
        <v>-0.42773184015648713</v>
      </c>
      <c r="R163" s="8">
        <f>bdrate(C163:C166,E163:E166,J163:J166,L163:L166)</f>
        <v>-0.50074635870324302</v>
      </c>
      <c r="S163" s="8">
        <f>bdrate(C163:C166,F163:F166,J163:J166,M163:M166)</f>
        <v>-0.50650405411349042</v>
      </c>
      <c r="T163" s="25">
        <f>bdrate(C163:C166,H163:H166,J163:J166,O163:O166)</f>
        <v>-0.44368376344510629</v>
      </c>
      <c r="U163" s="28">
        <f t="shared" si="8"/>
        <v>0.7533174827571435</v>
      </c>
    </row>
    <row r="164" spans="1:21" x14ac:dyDescent="0.25">
      <c r="B164" s="9"/>
      <c r="C164" s="17">
        <v>821.720703125</v>
      </c>
      <c r="D164" s="18">
        <v>31.314</v>
      </c>
      <c r="E164" s="18">
        <v>37.890999999999998</v>
      </c>
      <c r="F164" s="18">
        <v>38.375</v>
      </c>
      <c r="G164" s="18">
        <v>254.4</v>
      </c>
      <c r="H164" s="18">
        <f t="shared" si="6"/>
        <v>33.018749999999997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7"/>
        <v>35.132137499999999</v>
      </c>
      <c r="P164" s="7"/>
      <c r="Q164" s="10"/>
      <c r="R164" s="11"/>
      <c r="S164" s="11"/>
      <c r="T164" s="26"/>
      <c r="U164" s="28">
        <f t="shared" si="8"/>
        <v>0.91435927672955963</v>
      </c>
    </row>
    <row r="165" spans="1:21" x14ac:dyDescent="0.25">
      <c r="B165" s="9"/>
      <c r="C165" s="17">
        <v>524.2470703125</v>
      </c>
      <c r="D165" s="18">
        <v>29.611000000000001</v>
      </c>
      <c r="E165" s="18">
        <v>36.686</v>
      </c>
      <c r="F165" s="18">
        <v>36.997999999999998</v>
      </c>
      <c r="G165" s="18">
        <v>277.38</v>
      </c>
      <c r="H165" s="18">
        <f t="shared" si="6"/>
        <v>31.418749999999999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7"/>
        <v>33.423124999999999</v>
      </c>
      <c r="P165" s="7"/>
      <c r="Q165" s="10"/>
      <c r="R165" s="11"/>
      <c r="S165" s="11"/>
      <c r="T165" s="26"/>
      <c r="U165" s="28">
        <f t="shared" si="8"/>
        <v>1.0387345879299155</v>
      </c>
    </row>
    <row r="166" spans="1:21" ht="16.5" thickBot="1" x14ac:dyDescent="0.3">
      <c r="B166" s="12"/>
      <c r="C166" s="19">
        <v>357.025390625</v>
      </c>
      <c r="D166" s="20">
        <v>28.006</v>
      </c>
      <c r="E166" s="20">
        <v>35.609000000000002</v>
      </c>
      <c r="F166" s="20">
        <v>35.787999999999997</v>
      </c>
      <c r="G166" s="20">
        <v>294.35000000000002</v>
      </c>
      <c r="H166" s="20">
        <f t="shared" si="6"/>
        <v>29.929124999999999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7"/>
        <v>31.561650000000004</v>
      </c>
      <c r="P166" s="7"/>
      <c r="Q166" s="13"/>
      <c r="R166" s="14"/>
      <c r="S166" s="14"/>
      <c r="T166" s="27"/>
      <c r="U166" s="28">
        <f t="shared" si="8"/>
        <v>1.1777666043825379</v>
      </c>
    </row>
    <row r="167" spans="1:21" x14ac:dyDescent="0.25">
      <c r="B167" s="6" t="s">
        <v>55</v>
      </c>
      <c r="C167" s="15">
        <v>1326.212890625</v>
      </c>
      <c r="D167" s="16">
        <v>28.44</v>
      </c>
      <c r="E167" s="16">
        <v>35.277000000000001</v>
      </c>
      <c r="F167" s="16">
        <v>36.091999999999999</v>
      </c>
      <c r="G167" s="16">
        <v>188.31</v>
      </c>
      <c r="H167" s="16">
        <f t="shared" si="6"/>
        <v>30.251125000000002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7"/>
        <v>31.987012499999999</v>
      </c>
      <c r="P167" s="7"/>
      <c r="Q167" s="8">
        <f>bdrate(C167:C170,D167:D170,J167:J170,K167:K170)</f>
        <v>-0.43953572857908418</v>
      </c>
      <c r="R167" s="8">
        <f>bdrate(C167:C170,E167:E170,J167:J170,L167:L170)</f>
        <v>-0.56752302448723291</v>
      </c>
      <c r="S167" s="8">
        <f>bdrate(C167:C170,F167:F170,J167:J170,M167:M170)</f>
        <v>-0.54310672230307633</v>
      </c>
      <c r="T167" s="25">
        <f>bdrate(C167:C170,H167:H170,J167:J170,O167:O170)</f>
        <v>-0.46364480503166328</v>
      </c>
      <c r="U167" s="28">
        <f t="shared" si="8"/>
        <v>0.95666613562742275</v>
      </c>
    </row>
    <row r="168" spans="1:21" x14ac:dyDescent="0.25">
      <c r="B168" s="9"/>
      <c r="C168" s="17">
        <v>905.3251953125</v>
      </c>
      <c r="D168" s="18">
        <v>27.382999999999999</v>
      </c>
      <c r="E168" s="18">
        <v>34.518999999999998</v>
      </c>
      <c r="F168" s="18">
        <v>35.341000000000001</v>
      </c>
      <c r="G168" s="18">
        <v>200.81</v>
      </c>
      <c r="H168" s="18">
        <f t="shared" si="6"/>
        <v>29.269750000000002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7"/>
        <v>30.770375000000001</v>
      </c>
      <c r="P168" s="7"/>
      <c r="Q168" s="10"/>
      <c r="R168" s="11"/>
      <c r="S168" s="11"/>
      <c r="T168" s="26"/>
      <c r="U168" s="28">
        <f t="shared" si="8"/>
        <v>1.2492465514665605</v>
      </c>
    </row>
    <row r="169" spans="1:21" x14ac:dyDescent="0.25">
      <c r="B169" s="9"/>
      <c r="C169" s="17">
        <v>568.490234375</v>
      </c>
      <c r="D169" s="18">
        <v>26.164999999999999</v>
      </c>
      <c r="E169" s="18">
        <v>33.625</v>
      </c>
      <c r="F169" s="18">
        <v>34.369999999999997</v>
      </c>
      <c r="G169" s="18">
        <v>217</v>
      </c>
      <c r="H169" s="18">
        <f t="shared" si="6"/>
        <v>28.123125000000002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7"/>
        <v>29.411924999999997</v>
      </c>
      <c r="P169" s="7"/>
      <c r="Q169" s="10"/>
      <c r="R169" s="11"/>
      <c r="S169" s="11"/>
      <c r="T169" s="26"/>
      <c r="U169" s="28">
        <f t="shared" si="8"/>
        <v>1.4616958525345622</v>
      </c>
    </row>
    <row r="170" spans="1:21" ht="16.5" thickBot="1" x14ac:dyDescent="0.3">
      <c r="B170" s="12"/>
      <c r="C170" s="19">
        <v>366.2333984375</v>
      </c>
      <c r="D170" s="20">
        <v>24.989000000000001</v>
      </c>
      <c r="E170" s="20">
        <v>32.651000000000003</v>
      </c>
      <c r="F170" s="20">
        <v>33.463000000000001</v>
      </c>
      <c r="G170" s="20">
        <v>232.63</v>
      </c>
      <c r="H170" s="20">
        <f t="shared" si="6"/>
        <v>27.006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7"/>
        <v>28.032362499999998</v>
      </c>
      <c r="P170" s="7"/>
      <c r="Q170" s="13"/>
      <c r="R170" s="14"/>
      <c r="S170" s="14"/>
      <c r="T170" s="27"/>
      <c r="U170" s="28">
        <f t="shared" si="8"/>
        <v>1.7001706572669046</v>
      </c>
    </row>
    <row r="171" spans="1:21" x14ac:dyDescent="0.25">
      <c r="B171" s="6" t="s">
        <v>56</v>
      </c>
      <c r="C171" s="15">
        <v>1162.6240234375</v>
      </c>
      <c r="D171" s="16">
        <v>30.82</v>
      </c>
      <c r="E171" s="16">
        <v>35.447000000000003</v>
      </c>
      <c r="F171" s="16">
        <v>37.020000000000003</v>
      </c>
      <c r="G171" s="16">
        <v>173.25</v>
      </c>
      <c r="H171" s="16">
        <f t="shared" si="6"/>
        <v>32.173375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7"/>
        <v>33.6227625</v>
      </c>
      <c r="P171" s="7"/>
      <c r="Q171" s="8">
        <f>bdrate(C171:C174,D171:D174,J171:J174,K171:K174)</f>
        <v>-0.29717076080223692</v>
      </c>
      <c r="R171" s="8">
        <f>bdrate(C171:C174,E171:E174,J171:J174,L171:L174)</f>
        <v>-0.51205706046607546</v>
      </c>
      <c r="S171" s="8">
        <f>bdrate(C171:C174,F171:F174,J171:J174,M171:M174)</f>
        <v>-0.51057903624812639</v>
      </c>
      <c r="T171" s="25">
        <f>bdrate(C171:C174,H171:H174,J171:J174,O171:O174)</f>
        <v>-0.34497326841414666</v>
      </c>
      <c r="U171" s="28">
        <f t="shared" si="8"/>
        <v>0.63204675324675319</v>
      </c>
    </row>
    <row r="172" spans="1:21" x14ac:dyDescent="0.25">
      <c r="B172" s="9"/>
      <c r="C172" s="17">
        <v>835.6748046875</v>
      </c>
      <c r="D172" s="18">
        <v>29.667999999999999</v>
      </c>
      <c r="E172" s="18">
        <v>34.594000000000001</v>
      </c>
      <c r="F172" s="18">
        <v>36.136000000000003</v>
      </c>
      <c r="G172" s="18">
        <v>187.61</v>
      </c>
      <c r="H172" s="18">
        <f t="shared" si="6"/>
        <v>31.092249999999996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7"/>
        <v>32.2492625</v>
      </c>
      <c r="P172" s="7"/>
      <c r="Q172" s="10"/>
      <c r="R172" s="11"/>
      <c r="S172" s="11"/>
      <c r="T172" s="26"/>
      <c r="U172" s="28">
        <f t="shared" si="8"/>
        <v>0.86370822450828844</v>
      </c>
    </row>
    <row r="173" spans="1:21" x14ac:dyDescent="0.25">
      <c r="B173" s="9"/>
      <c r="C173" s="17">
        <v>558.33203125</v>
      </c>
      <c r="D173" s="18">
        <v>28.263999999999999</v>
      </c>
      <c r="E173" s="18">
        <v>33.500999999999998</v>
      </c>
      <c r="F173" s="18">
        <v>34.899000000000001</v>
      </c>
      <c r="G173" s="18">
        <v>207.77</v>
      </c>
      <c r="H173" s="18">
        <f t="shared" si="6"/>
        <v>29.748000000000001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7"/>
        <v>30.764949999999999</v>
      </c>
      <c r="P173" s="7"/>
      <c r="Q173" s="10"/>
      <c r="R173" s="11"/>
      <c r="S173" s="11"/>
      <c r="T173" s="26"/>
      <c r="U173" s="28">
        <f t="shared" si="8"/>
        <v>0.92777590604995896</v>
      </c>
    </row>
    <row r="174" spans="1:21" ht="16.5" thickBot="1" x14ac:dyDescent="0.3">
      <c r="B174" s="12"/>
      <c r="C174" s="19">
        <v>361.3974609375</v>
      </c>
      <c r="D174" s="20">
        <v>26.954999999999998</v>
      </c>
      <c r="E174" s="20">
        <v>32.399000000000001</v>
      </c>
      <c r="F174" s="20">
        <v>33.656999999999996</v>
      </c>
      <c r="G174" s="20">
        <v>225.97</v>
      </c>
      <c r="H174" s="20">
        <f t="shared" si="6"/>
        <v>28.47325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7"/>
        <v>29.3010625</v>
      </c>
      <c r="P174" s="7"/>
      <c r="Q174" s="13"/>
      <c r="R174" s="14"/>
      <c r="S174" s="14"/>
      <c r="T174" s="27"/>
      <c r="U174" s="28">
        <f t="shared" si="8"/>
        <v>1.2350334115148029</v>
      </c>
    </row>
    <row r="175" spans="1:21" x14ac:dyDescent="0.25">
      <c r="A175" s="6" t="s">
        <v>41</v>
      </c>
      <c r="B175" s="6" t="s">
        <v>57</v>
      </c>
      <c r="C175" s="15">
        <v>580.1328125</v>
      </c>
      <c r="D175" s="16">
        <v>32.665999999999997</v>
      </c>
      <c r="E175" s="16">
        <v>38.325000000000003</v>
      </c>
      <c r="F175" s="16">
        <v>36.042999999999999</v>
      </c>
      <c r="G175" s="16">
        <v>433.47</v>
      </c>
      <c r="H175" s="16">
        <f t="shared" si="6"/>
        <v>33.795499999999997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7"/>
        <v>35.460462499999998</v>
      </c>
      <c r="P175" s="7"/>
      <c r="Q175" s="8">
        <f>bdrate(C175:C178,D175:D178,J175:J178,K175:K178)</f>
        <v>-0.24259172095834081</v>
      </c>
      <c r="R175" s="8">
        <f>bdrate(C175:C178,E175:E178,J175:J178,L175:L178)</f>
        <v>-0.39116974290943551</v>
      </c>
      <c r="S175" s="8">
        <f>bdrate(C175:C178,F175:F178,J175:J178,M175:M178)</f>
        <v>-0.51907989824680312</v>
      </c>
      <c r="T175" s="25">
        <f>bdrate(C175:C178,H175:H178,J175:J178,O175:O178)</f>
        <v>-0.29262621669491562</v>
      </c>
      <c r="U175" s="28">
        <f t="shared" si="8"/>
        <v>1.2397716104920753</v>
      </c>
    </row>
    <row r="176" spans="1:21" x14ac:dyDescent="0.25">
      <c r="A176" s="9" t="s">
        <v>42</v>
      </c>
      <c r="B176" s="9"/>
      <c r="C176" s="17">
        <v>403.4228515625</v>
      </c>
      <c r="D176" s="18">
        <v>31.222999999999999</v>
      </c>
      <c r="E176" s="18">
        <v>37.334000000000003</v>
      </c>
      <c r="F176" s="18">
        <v>34.86</v>
      </c>
      <c r="G176" s="18">
        <v>466.6</v>
      </c>
      <c r="H176" s="18">
        <f t="shared" si="6"/>
        <v>32.441499999999998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7"/>
        <v>33.786875000000002</v>
      </c>
      <c r="P176" s="7"/>
      <c r="Q176" s="10"/>
      <c r="R176" s="11"/>
      <c r="S176" s="11"/>
      <c r="T176" s="26"/>
      <c r="U176" s="28">
        <f t="shared" si="8"/>
        <v>1.452132018859837</v>
      </c>
    </row>
    <row r="177" spans="1:21" x14ac:dyDescent="0.25">
      <c r="B177" s="9"/>
      <c r="C177" s="17">
        <v>258.79296875</v>
      </c>
      <c r="D177" s="18">
        <v>29.582999999999998</v>
      </c>
      <c r="E177" s="18">
        <v>36.131999999999998</v>
      </c>
      <c r="F177" s="18">
        <v>33.456000000000003</v>
      </c>
      <c r="G177" s="18">
        <v>510.56</v>
      </c>
      <c r="H177" s="18">
        <f t="shared" si="6"/>
        <v>30.885750000000002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7"/>
        <v>32.0174375</v>
      </c>
      <c r="P177" s="7"/>
      <c r="Q177" s="10"/>
      <c r="R177" s="11"/>
      <c r="S177" s="11"/>
      <c r="T177" s="26"/>
      <c r="U177" s="28">
        <f t="shared" si="8"/>
        <v>1.6115114775932311</v>
      </c>
    </row>
    <row r="178" spans="1:21" ht="16.5" thickBot="1" x14ac:dyDescent="0.3">
      <c r="B178" s="12"/>
      <c r="C178" s="19">
        <v>139.201171875</v>
      </c>
      <c r="D178" s="20">
        <v>27.431999999999999</v>
      </c>
      <c r="E178" s="20">
        <v>34.439</v>
      </c>
      <c r="F178" s="20">
        <v>31.608000000000001</v>
      </c>
      <c r="G178" s="20">
        <v>569.82000000000005</v>
      </c>
      <c r="H178" s="20">
        <f t="shared" si="6"/>
        <v>28.829874999999998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7"/>
        <v>29.452112499999998</v>
      </c>
      <c r="P178" s="7"/>
      <c r="Q178" s="13"/>
      <c r="R178" s="14"/>
      <c r="S178" s="14"/>
      <c r="T178" s="27"/>
      <c r="U178" s="28">
        <f t="shared" si="8"/>
        <v>2.3112079253097466</v>
      </c>
    </row>
    <row r="179" spans="1:21" x14ac:dyDescent="0.25">
      <c r="B179" s="6" t="s">
        <v>58</v>
      </c>
      <c r="C179" s="15">
        <v>639.7802734375</v>
      </c>
      <c r="D179" s="16">
        <v>29.722999999999999</v>
      </c>
      <c r="E179" s="16">
        <v>39.828000000000003</v>
      </c>
      <c r="F179" s="16">
        <v>40.57</v>
      </c>
      <c r="G179" s="16">
        <v>400.34</v>
      </c>
      <c r="H179" s="16">
        <f t="shared" si="6"/>
        <v>32.341999999999999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7"/>
        <v>35.618137499999996</v>
      </c>
      <c r="P179" s="7"/>
      <c r="Q179" s="8">
        <f>bdrate(C179:C182,D179:D182,J179:J182,K179:K182)</f>
        <v>-0.69379234457644468</v>
      </c>
      <c r="R179" s="8">
        <f>bdrate(C179:C182,E179:E182,J179:J182,L179:L182)</f>
        <v>-0.49569846874254597</v>
      </c>
      <c r="S179" s="8">
        <f>bdrate(C179:C182,F179:F182,J179:J182,M179:M182)</f>
        <v>-0.47675150853798043</v>
      </c>
      <c r="T179" s="25">
        <f>bdrate(C179:C182,H179:H182,J179:J182,O179:O182)</f>
        <v>-0.66660383010160351</v>
      </c>
      <c r="U179" s="28">
        <f t="shared" si="8"/>
        <v>1.8224596592896043</v>
      </c>
    </row>
    <row r="180" spans="1:21" x14ac:dyDescent="0.25">
      <c r="B180" s="9"/>
      <c r="C180" s="17">
        <v>436.140625</v>
      </c>
      <c r="D180" s="18">
        <v>28.638999999999999</v>
      </c>
      <c r="E180" s="18">
        <v>39.195</v>
      </c>
      <c r="F180" s="18">
        <v>39.831000000000003</v>
      </c>
      <c r="G180" s="18">
        <v>422.09</v>
      </c>
      <c r="H180" s="18">
        <f t="shared" si="6"/>
        <v>31.357500000000002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7"/>
        <v>34.418824999999998</v>
      </c>
      <c r="P180" s="7"/>
      <c r="Q180" s="10"/>
      <c r="R180" s="11"/>
      <c r="S180" s="11"/>
      <c r="T180" s="26"/>
      <c r="U180" s="28">
        <f t="shared" si="8"/>
        <v>2.252855315217134</v>
      </c>
    </row>
    <row r="181" spans="1:21" x14ac:dyDescent="0.25">
      <c r="B181" s="9"/>
      <c r="C181" s="17">
        <v>272.6572265625</v>
      </c>
      <c r="D181" s="18">
        <v>27.41</v>
      </c>
      <c r="E181" s="18">
        <v>38.424999999999997</v>
      </c>
      <c r="F181" s="18">
        <v>38.987000000000002</v>
      </c>
      <c r="G181" s="18">
        <v>446.27</v>
      </c>
      <c r="H181" s="18">
        <f t="shared" si="6"/>
        <v>30.233999999999998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7"/>
        <v>33.017249999999997</v>
      </c>
      <c r="P181" s="7"/>
      <c r="Q181" s="10"/>
      <c r="R181" s="11"/>
      <c r="S181" s="11"/>
      <c r="T181" s="26"/>
      <c r="U181" s="28">
        <f t="shared" si="8"/>
        <v>2.5948598382145338</v>
      </c>
    </row>
    <row r="182" spans="1:21" ht="16.5" thickBot="1" x14ac:dyDescent="0.3">
      <c r="B182" s="12"/>
      <c r="C182" s="19">
        <v>131.091796875</v>
      </c>
      <c r="D182" s="20">
        <v>25.457999999999998</v>
      </c>
      <c r="E182" s="20">
        <v>37.393999999999998</v>
      </c>
      <c r="F182" s="20">
        <v>37.57</v>
      </c>
      <c r="G182" s="20">
        <v>501.28</v>
      </c>
      <c r="H182" s="20">
        <f t="shared" si="6"/>
        <v>28.463999999999999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7"/>
        <v>30.697937499999998</v>
      </c>
      <c r="P182" s="7"/>
      <c r="Q182" s="13"/>
      <c r="R182" s="14"/>
      <c r="S182" s="14"/>
      <c r="T182" s="27"/>
      <c r="U182" s="28">
        <f t="shared" si="8"/>
        <v>2.8363327880625602</v>
      </c>
    </row>
    <row r="183" spans="1:21" x14ac:dyDescent="0.25">
      <c r="B183" s="6" t="s">
        <v>59</v>
      </c>
      <c r="C183" s="29">
        <v>648.056640625</v>
      </c>
      <c r="D183" s="30">
        <v>30.600999999999999</v>
      </c>
      <c r="E183" s="30">
        <v>36.307000000000002</v>
      </c>
      <c r="F183" s="30">
        <v>37.051000000000002</v>
      </c>
      <c r="G183" s="16">
        <v>391.9</v>
      </c>
      <c r="H183" s="16">
        <f t="shared" si="6"/>
        <v>32.1205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7"/>
        <v>34.409462499999997</v>
      </c>
      <c r="P183" s="7"/>
      <c r="Q183" s="8">
        <f>bdrate(C183:C186,D183:D186,J183:J186,K183:K186)</f>
        <v>-0.45106427136479588</v>
      </c>
      <c r="R183" s="8">
        <f>bdrate(C183:C186,E183:E186,J183:J186,L183:L186)</f>
        <v>-0.52265795352295719</v>
      </c>
      <c r="S183" s="8">
        <f>bdrate(C183:C186,F183:F186,J183:J186,M183:M186)</f>
        <v>-0.53183445047935829</v>
      </c>
      <c r="T183" s="25">
        <f>bdrate(C183:C186,H183:H186,J183:J186,O183:O186)</f>
        <v>-0.46858629615636072</v>
      </c>
      <c r="U183" s="28">
        <f t="shared" si="8"/>
        <v>1.4773508548099006</v>
      </c>
    </row>
    <row r="184" spans="1:21" x14ac:dyDescent="0.25">
      <c r="B184" s="9"/>
      <c r="C184" s="31">
        <v>441.921875</v>
      </c>
      <c r="D184" s="32">
        <v>29.454999999999998</v>
      </c>
      <c r="E184" s="32">
        <v>35.328000000000003</v>
      </c>
      <c r="F184" s="32">
        <v>36.031999999999996</v>
      </c>
      <c r="G184" s="18">
        <v>411.92</v>
      </c>
      <c r="H184" s="18">
        <f t="shared" si="6"/>
        <v>31.011249999999997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7"/>
        <v>33.062750000000001</v>
      </c>
      <c r="P184" s="7"/>
      <c r="Q184" s="10"/>
      <c r="R184" s="11"/>
      <c r="S184" s="11"/>
      <c r="T184" s="26"/>
      <c r="U184" s="28">
        <f t="shared" si="8"/>
        <v>1.9971059914546512</v>
      </c>
    </row>
    <row r="185" spans="1:21" x14ac:dyDescent="0.25">
      <c r="B185" s="9"/>
      <c r="C185" s="31">
        <v>279.0693359375</v>
      </c>
      <c r="D185" s="32">
        <v>28.202999999999999</v>
      </c>
      <c r="E185" s="32">
        <v>34.328000000000003</v>
      </c>
      <c r="F185" s="32">
        <v>35</v>
      </c>
      <c r="G185" s="18">
        <v>436.15</v>
      </c>
      <c r="H185" s="18">
        <f t="shared" si="6"/>
        <v>29.818249999999999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7"/>
        <v>31.458100000000002</v>
      </c>
      <c r="P185" s="7"/>
      <c r="Q185" s="10"/>
      <c r="R185" s="11"/>
      <c r="S185" s="11"/>
      <c r="T185" s="26"/>
      <c r="U185" s="28">
        <f t="shared" si="8"/>
        <v>2.1932997821850284</v>
      </c>
    </row>
    <row r="186" spans="1:21" ht="16.5" thickBot="1" x14ac:dyDescent="0.3">
      <c r="B186" s="12"/>
      <c r="C186" s="33">
        <v>134.6240234375</v>
      </c>
      <c r="D186" s="34">
        <v>26.349</v>
      </c>
      <c r="E186" s="34">
        <v>32.901000000000003</v>
      </c>
      <c r="F186" s="34">
        <v>33.56</v>
      </c>
      <c r="G186" s="20">
        <v>484.68</v>
      </c>
      <c r="H186" s="20">
        <f t="shared" si="6"/>
        <v>28.069375000000001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7"/>
        <v>29.246700000000001</v>
      </c>
      <c r="P186" s="7"/>
      <c r="Q186" s="13"/>
      <c r="R186" s="14"/>
      <c r="S186" s="14"/>
      <c r="T186" s="27"/>
      <c r="U186" s="28">
        <f t="shared" si="8"/>
        <v>2.8782272839811833</v>
      </c>
    </row>
    <row r="187" spans="1:21" x14ac:dyDescent="0.25">
      <c r="B187" s="6" t="s">
        <v>60</v>
      </c>
      <c r="C187" s="15">
        <v>589.5283203125</v>
      </c>
      <c r="D187" s="16">
        <v>32.191000000000003</v>
      </c>
      <c r="E187" s="16">
        <v>36.058</v>
      </c>
      <c r="F187" s="16">
        <v>37.139000000000003</v>
      </c>
      <c r="G187" s="16">
        <v>350.75</v>
      </c>
      <c r="H187" s="16">
        <f t="shared" si="6"/>
        <v>33.292875000000002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7"/>
        <v>34.965837499999999</v>
      </c>
      <c r="P187" s="7"/>
      <c r="Q187" s="8">
        <f>bdrate(C187:C190,D187:D190,J187:J190,K187:K190)</f>
        <v>-0.27969536740413325</v>
      </c>
      <c r="R187" s="8">
        <f>bdrate(C187:C190,E187:E190,J187:J190,L187:L190)</f>
        <v>-0.476908358710876</v>
      </c>
      <c r="S187" s="8">
        <f>bdrate(C187:C190,F187:F190,J187:J190,M187:M190)</f>
        <v>-0.45816221390857226</v>
      </c>
      <c r="T187" s="25">
        <f>bdrate(C187:C190,H187:H190,J187:J190,O187:O190)</f>
        <v>-0.32149195952800846</v>
      </c>
      <c r="U187" s="28">
        <f t="shared" si="8"/>
        <v>0.77082822523164662</v>
      </c>
    </row>
    <row r="188" spans="1:21" x14ac:dyDescent="0.25">
      <c r="B188" s="9"/>
      <c r="C188" s="17">
        <v>423.3896484375</v>
      </c>
      <c r="D188" s="18">
        <v>30.899000000000001</v>
      </c>
      <c r="E188" s="18">
        <v>35.106999999999999</v>
      </c>
      <c r="F188" s="18">
        <v>36.218000000000004</v>
      </c>
      <c r="G188" s="18">
        <v>371.79</v>
      </c>
      <c r="H188" s="18">
        <f t="shared" si="6"/>
        <v>32.089874999999999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7"/>
        <v>33.284837500000002</v>
      </c>
      <c r="P188" s="7"/>
      <c r="Q188" s="10"/>
      <c r="R188" s="11"/>
      <c r="S188" s="11"/>
      <c r="T188" s="26"/>
      <c r="U188" s="28">
        <f t="shared" si="8"/>
        <v>1.2476521692353209</v>
      </c>
    </row>
    <row r="189" spans="1:21" x14ac:dyDescent="0.25">
      <c r="B189" s="9"/>
      <c r="C189" s="17">
        <v>281.4755859375</v>
      </c>
      <c r="D189" s="18">
        <v>29.41</v>
      </c>
      <c r="E189" s="18">
        <v>33.979999999999997</v>
      </c>
      <c r="F189" s="18">
        <v>35.069000000000003</v>
      </c>
      <c r="G189" s="18">
        <v>403.05</v>
      </c>
      <c r="H189" s="18">
        <f t="shared" si="6"/>
        <v>30.688625000000002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7"/>
        <v>31.583425000000002</v>
      </c>
      <c r="P189" s="7"/>
      <c r="Q189" s="10"/>
      <c r="R189" s="11"/>
      <c r="S189" s="11"/>
      <c r="T189" s="26"/>
      <c r="U189" s="28">
        <f t="shared" si="8"/>
        <v>1.5146098498945542</v>
      </c>
    </row>
    <row r="190" spans="1:21" ht="16.5" thickBot="1" x14ac:dyDescent="0.3">
      <c r="B190" s="12"/>
      <c r="C190" s="19">
        <v>140.935546875</v>
      </c>
      <c r="D190" s="20">
        <v>27.11</v>
      </c>
      <c r="E190" s="20">
        <v>32.149000000000001</v>
      </c>
      <c r="F190" s="20">
        <v>33.097000000000001</v>
      </c>
      <c r="G190" s="20">
        <v>459.53</v>
      </c>
      <c r="H190" s="20">
        <f t="shared" si="6"/>
        <v>28.488250000000001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7"/>
        <v>29.323662500000001</v>
      </c>
      <c r="P190" s="7"/>
      <c r="Q190" s="13"/>
      <c r="R190" s="14"/>
      <c r="S190" s="14"/>
      <c r="T190" s="27"/>
      <c r="U190" s="28">
        <f t="shared" si="8"/>
        <v>1.9946832633342764</v>
      </c>
    </row>
    <row r="191" spans="1:21" x14ac:dyDescent="0.25">
      <c r="A191" s="6" t="s">
        <v>43</v>
      </c>
      <c r="B191" s="6" t="s">
        <v>61</v>
      </c>
      <c r="C191" s="15">
        <v>1497.3505859375</v>
      </c>
      <c r="D191" s="16">
        <v>39.994</v>
      </c>
      <c r="E191" s="16">
        <v>45.09</v>
      </c>
      <c r="F191" s="16">
        <v>46.256</v>
      </c>
      <c r="G191" s="16">
        <v>205.97</v>
      </c>
      <c r="H191" s="16">
        <f t="shared" si="6"/>
        <v>41.413749999999993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7"/>
        <v>42.533825</v>
      </c>
      <c r="P191" s="7"/>
      <c r="Q191" s="8">
        <f>bdrate(C191:C194,D191:D194,J191:J194,K191:K194)</f>
        <v>-0.34042042723531818</v>
      </c>
      <c r="R191" s="8">
        <f>bdrate(C191:C194,E191:E194,J191:J194,L191:L194)</f>
        <v>-0.23324572107127306</v>
      </c>
      <c r="S191" s="8">
        <f>bdrate(C191:C194,F191:F194,J191:J194,M191:M194)</f>
        <v>-0.24365144827105545</v>
      </c>
      <c r="T191" s="25">
        <f>bdrate(C191:C194,H191:H194,J191:J194,O191:O194)</f>
        <v>-0.32267063429504195</v>
      </c>
      <c r="U191" s="28">
        <f t="shared" si="8"/>
        <v>-0.15880856435403215</v>
      </c>
    </row>
    <row r="192" spans="1:21" x14ac:dyDescent="0.25">
      <c r="A192" s="9" t="s">
        <v>44</v>
      </c>
      <c r="B192" s="9"/>
      <c r="C192" s="17">
        <v>1001.3349609375</v>
      </c>
      <c r="D192" s="18">
        <v>38.713000000000001</v>
      </c>
      <c r="E192" s="18">
        <v>44.073</v>
      </c>
      <c r="F192" s="18">
        <v>45.215000000000003</v>
      </c>
      <c r="G192" s="18">
        <v>218.74</v>
      </c>
      <c r="H192" s="18">
        <f t="shared" si="6"/>
        <v>40.195750000000004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7"/>
        <v>41.447750000000006</v>
      </c>
      <c r="P192" s="7"/>
      <c r="Q192" s="10"/>
      <c r="R192" s="11"/>
      <c r="S192" s="11"/>
      <c r="T192" s="26"/>
      <c r="U192" s="28">
        <f t="shared" si="8"/>
        <v>0.33154475633171787</v>
      </c>
    </row>
    <row r="193" spans="1:21" x14ac:dyDescent="0.25">
      <c r="B193" s="9"/>
      <c r="C193" s="17">
        <v>601.8681640625</v>
      </c>
      <c r="D193" s="18">
        <v>36.634999999999998</v>
      </c>
      <c r="E193" s="18">
        <v>42.488999999999997</v>
      </c>
      <c r="F193" s="18">
        <v>43.558</v>
      </c>
      <c r="G193" s="18">
        <v>228.94</v>
      </c>
      <c r="H193" s="18">
        <f t="shared" si="6"/>
        <v>38.232124999999996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7"/>
        <v>39.568074999999993</v>
      </c>
      <c r="P193" s="7"/>
      <c r="Q193" s="10"/>
      <c r="R193" s="11"/>
      <c r="S193" s="11"/>
      <c r="T193" s="26"/>
      <c r="U193" s="28">
        <f t="shared" si="8"/>
        <v>0.47317244692932647</v>
      </c>
    </row>
    <row r="194" spans="1:21" ht="16.5" thickBot="1" x14ac:dyDescent="0.3">
      <c r="B194" s="12"/>
      <c r="C194" s="19">
        <v>302.0390625</v>
      </c>
      <c r="D194" s="20">
        <v>33.006</v>
      </c>
      <c r="E194" s="20">
        <v>39.960999999999999</v>
      </c>
      <c r="F194" s="20">
        <v>40.743000000000002</v>
      </c>
      <c r="G194" s="20">
        <v>254.7</v>
      </c>
      <c r="H194" s="20">
        <f t="shared" si="6"/>
        <v>34.842500000000001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7"/>
        <v>36.5735375</v>
      </c>
      <c r="P194" s="7"/>
      <c r="Q194" s="13"/>
      <c r="R194" s="14"/>
      <c r="S194" s="14"/>
      <c r="T194" s="27"/>
      <c r="U194" s="28">
        <f t="shared" si="8"/>
        <v>0.60580290537887715</v>
      </c>
    </row>
    <row r="195" spans="1:21" x14ac:dyDescent="0.25">
      <c r="B195" s="6" t="s">
        <v>62</v>
      </c>
      <c r="C195" s="15">
        <v>1506.7958984375</v>
      </c>
      <c r="D195" s="16">
        <v>41.268999999999998</v>
      </c>
      <c r="E195" s="16">
        <v>47.134</v>
      </c>
      <c r="F195" s="16">
        <v>47.774000000000001</v>
      </c>
      <c r="G195" s="16">
        <v>172.12</v>
      </c>
      <c r="H195" s="16">
        <f t="shared" si="6"/>
        <v>42.815249999999999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7"/>
        <v>43.940749999999994</v>
      </c>
      <c r="P195" s="7"/>
      <c r="Q195" s="8">
        <f>bdrate(C195:C198,D195:D198,J195:J198,K195:K198)</f>
        <v>-0.54326574706572583</v>
      </c>
      <c r="R195" s="8">
        <f>bdrate(C195:C198,E195:E198,J195:J198,L195:L198)</f>
        <v>-0.36965378959231454</v>
      </c>
      <c r="S195" s="8">
        <f>bdrate(C195:C198,F195:F198,J195:J198,M195:M198)</f>
        <v>-0.36223900373178286</v>
      </c>
      <c r="T195" s="25">
        <f>bdrate(C195:C198,H195:H198,J195:J198,O195:O198)</f>
        <v>-0.50449935063796358</v>
      </c>
      <c r="U195" s="28">
        <f t="shared" ref="U195:U246" si="9">(N195-G195)/G195</f>
        <v>0.24809900069718799</v>
      </c>
    </row>
    <row r="196" spans="1:21" x14ac:dyDescent="0.25">
      <c r="B196" s="9"/>
      <c r="C196" s="17">
        <v>999.5673828125</v>
      </c>
      <c r="D196" s="18">
        <v>40.593000000000004</v>
      </c>
      <c r="E196" s="18">
        <v>46.487000000000002</v>
      </c>
      <c r="F196" s="18">
        <v>47.093000000000004</v>
      </c>
      <c r="G196" s="18">
        <v>200.53</v>
      </c>
      <c r="H196" s="18">
        <f t="shared" si="6"/>
        <v>42.142250000000004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7"/>
        <v>43.414250000000003</v>
      </c>
      <c r="P196" s="7"/>
      <c r="Q196" s="10"/>
      <c r="R196" s="11"/>
      <c r="S196" s="11"/>
      <c r="T196" s="26"/>
      <c r="U196" s="28">
        <f t="shared" si="9"/>
        <v>0.68188350870193992</v>
      </c>
    </row>
    <row r="197" spans="1:21" x14ac:dyDescent="0.25">
      <c r="B197" s="9"/>
      <c r="C197" s="17">
        <v>603.232421875</v>
      </c>
      <c r="D197" s="18">
        <v>39.481000000000002</v>
      </c>
      <c r="E197" s="18">
        <v>45.271000000000001</v>
      </c>
      <c r="F197" s="18">
        <v>45.871000000000002</v>
      </c>
      <c r="G197" s="18">
        <v>216.83</v>
      </c>
      <c r="H197" s="18">
        <f t="shared" si="6"/>
        <v>41.003500000000003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7"/>
        <v>42.4825625</v>
      </c>
      <c r="P197" s="7"/>
      <c r="Q197" s="10"/>
      <c r="R197" s="11"/>
      <c r="S197" s="11"/>
      <c r="T197" s="26"/>
      <c r="U197" s="28">
        <f t="shared" si="9"/>
        <v>0.67300189088225792</v>
      </c>
    </row>
    <row r="198" spans="1:21" ht="16.5" thickBot="1" x14ac:dyDescent="0.3">
      <c r="B198" s="12"/>
      <c r="C198" s="19">
        <v>296.3916015625</v>
      </c>
      <c r="D198" s="20">
        <v>37.203000000000003</v>
      </c>
      <c r="E198" s="20">
        <v>43.01</v>
      </c>
      <c r="F198" s="20">
        <v>43.469000000000001</v>
      </c>
      <c r="G198" s="20">
        <v>239.34</v>
      </c>
      <c r="H198" s="20">
        <f t="shared" si="6"/>
        <v>38.712125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7"/>
        <v>40.642375000000001</v>
      </c>
      <c r="P198" s="7"/>
      <c r="Q198" s="13"/>
      <c r="R198" s="14"/>
      <c r="S198" s="14"/>
      <c r="T198" s="27"/>
      <c r="U198" s="28">
        <f t="shared" si="9"/>
        <v>0.76541823347539051</v>
      </c>
    </row>
    <row r="199" spans="1:21" x14ac:dyDescent="0.25">
      <c r="B199" s="6" t="s">
        <v>63</v>
      </c>
      <c r="C199" s="15">
        <v>1500.056640625</v>
      </c>
      <c r="D199" s="16">
        <v>41.063000000000002</v>
      </c>
      <c r="E199" s="16">
        <v>46.079000000000001</v>
      </c>
      <c r="F199" s="16">
        <v>46.933999999999997</v>
      </c>
      <c r="G199" s="16">
        <v>198.92</v>
      </c>
      <c r="H199" s="16">
        <f t="shared" si="6"/>
        <v>42.423874999999995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7"/>
        <v>43.654162499999998</v>
      </c>
      <c r="P199" s="7"/>
      <c r="Q199" s="8">
        <f>bdrate(C199:C202,D199:D202,J199:J202,K199:K202)</f>
        <v>-0.44589676460060901</v>
      </c>
      <c r="R199" s="8">
        <f>bdrate(C199:C202,E199:E202,J199:J202,L199:L202)</f>
        <v>-0.30755572173224754</v>
      </c>
      <c r="S199" s="8">
        <f>bdrate(C199:C202,F199:F202,J199:J202,M199:M202)</f>
        <v>-0.30222257146545084</v>
      </c>
      <c r="T199" s="25">
        <f>bdrate(C199:C202,H199:H202,J199:J202,O199:O202)</f>
        <v>-0.41776278390432009</v>
      </c>
      <c r="U199" s="28">
        <f t="shared" si="9"/>
        <v>6.2073195254373624E-2</v>
      </c>
    </row>
    <row r="200" spans="1:21" x14ac:dyDescent="0.25">
      <c r="B200" s="9"/>
      <c r="C200" s="17">
        <v>1003.35546875</v>
      </c>
      <c r="D200" s="18">
        <v>39.994999999999997</v>
      </c>
      <c r="E200" s="18">
        <v>45.212000000000003</v>
      </c>
      <c r="F200" s="18">
        <v>46.029000000000003</v>
      </c>
      <c r="G200" s="18">
        <v>211.54</v>
      </c>
      <c r="H200" s="18">
        <f t="shared" si="6"/>
        <v>41.401374999999994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7"/>
        <v>42.835475000000002</v>
      </c>
      <c r="P200" s="7"/>
      <c r="Q200" s="10"/>
      <c r="R200" s="11"/>
      <c r="S200" s="11"/>
      <c r="T200" s="26"/>
      <c r="U200" s="28">
        <f t="shared" si="9"/>
        <v>0.38764347168384239</v>
      </c>
    </row>
    <row r="201" spans="1:21" x14ac:dyDescent="0.25">
      <c r="B201" s="9"/>
      <c r="C201" s="17">
        <v>606.22265625</v>
      </c>
      <c r="D201" s="18">
        <v>38.238999999999997</v>
      </c>
      <c r="E201" s="18">
        <v>43.698</v>
      </c>
      <c r="F201" s="18">
        <v>44.500999999999998</v>
      </c>
      <c r="G201" s="18">
        <v>224.52</v>
      </c>
      <c r="H201" s="18">
        <f t="shared" si="6"/>
        <v>39.704124999999991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7"/>
        <v>41.476499999999994</v>
      </c>
      <c r="P201" s="7"/>
      <c r="Q201" s="10"/>
      <c r="R201" s="11"/>
      <c r="S201" s="11"/>
      <c r="T201" s="26"/>
      <c r="U201" s="28">
        <f t="shared" si="9"/>
        <v>0.60117895955816836</v>
      </c>
    </row>
    <row r="202" spans="1:21" ht="16.5" thickBot="1" x14ac:dyDescent="0.3">
      <c r="B202" s="12"/>
      <c r="C202" s="19">
        <v>303.068359375</v>
      </c>
      <c r="D202" s="20">
        <v>35.055999999999997</v>
      </c>
      <c r="E202" s="20">
        <v>41.009</v>
      </c>
      <c r="F202" s="20">
        <v>41.789000000000001</v>
      </c>
      <c r="G202" s="20">
        <v>254.05</v>
      </c>
      <c r="H202" s="20">
        <f t="shared" si="6"/>
        <v>36.641749999999995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7"/>
        <v>38.9054</v>
      </c>
      <c r="P202" s="7"/>
      <c r="Q202" s="13"/>
      <c r="R202" s="14"/>
      <c r="S202" s="14"/>
      <c r="T202" s="27"/>
      <c r="U202" s="28">
        <f t="shared" si="9"/>
        <v>0.54463019090730158</v>
      </c>
    </row>
    <row r="203" spans="1:21" x14ac:dyDescent="0.25">
      <c r="A203" s="6" t="s">
        <v>102</v>
      </c>
      <c r="B203" s="6" t="s">
        <v>103</v>
      </c>
      <c r="C203" s="15">
        <v>1458.4326171875</v>
      </c>
      <c r="D203" s="16">
        <v>44.305</v>
      </c>
      <c r="E203" s="16">
        <v>49.655000000000001</v>
      </c>
      <c r="F203" s="16">
        <v>50.122</v>
      </c>
      <c r="G203" s="16">
        <v>160.29</v>
      </c>
      <c r="H203" s="16">
        <f t="shared" ref="H203:H246" si="10">(6*D203+E203+F203)/8</f>
        <v>45.700875000000003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46" si="11">(6*K203+L203+M203)/8</f>
        <v>45.063924999999998</v>
      </c>
      <c r="P203" s="7"/>
      <c r="Q203" s="8">
        <f>bdrate(C203:C206,D203:D206,J203:J206,K203:K206)</f>
        <v>-0.19330589756240413</v>
      </c>
      <c r="R203" s="8">
        <f>bdrate(C203:C206,E203:E206,J203:J206,L203:L206)</f>
        <v>-0.21094848845795733</v>
      </c>
      <c r="S203" s="8">
        <f>bdrate(C203:C206,F203:F206,J203:J206,M203:M206)</f>
        <v>-0.31088825424689803</v>
      </c>
      <c r="T203" s="25">
        <f>bdrate(C203:C206,H203:H206,J203:J206,O203:O206)</f>
        <v>-0.20766806732836696</v>
      </c>
      <c r="U203" s="28">
        <f t="shared" si="9"/>
        <v>8.5969180859690937E-4</v>
      </c>
    </row>
    <row r="204" spans="1:21" x14ac:dyDescent="0.25">
      <c r="A204" s="9" t="s">
        <v>78</v>
      </c>
      <c r="B204" s="9"/>
      <c r="C204" s="17">
        <v>1025.666015625</v>
      </c>
      <c r="D204" s="18">
        <v>42.235999999999997</v>
      </c>
      <c r="E204" s="18">
        <v>47.847999999999999</v>
      </c>
      <c r="F204" s="18">
        <v>48.381</v>
      </c>
      <c r="G204" s="18">
        <v>174.51</v>
      </c>
      <c r="H204" s="18">
        <f t="shared" si="10"/>
        <v>43.705624999999998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1"/>
        <v>43.429087500000001</v>
      </c>
      <c r="P204" s="7"/>
      <c r="Q204" s="10"/>
      <c r="R204" s="11"/>
      <c r="S204" s="11"/>
      <c r="T204" s="26"/>
      <c r="U204" s="28">
        <f t="shared" si="9"/>
        <v>0.27592688098103269</v>
      </c>
    </row>
    <row r="205" spans="1:21" x14ac:dyDescent="0.25">
      <c r="B205" s="9"/>
      <c r="C205" s="17">
        <v>679.900390625</v>
      </c>
      <c r="D205" s="18">
        <v>39.457000000000001</v>
      </c>
      <c r="E205" s="18">
        <v>45.625999999999998</v>
      </c>
      <c r="F205" s="18">
        <v>46.271999999999998</v>
      </c>
      <c r="G205" s="18">
        <v>182.43</v>
      </c>
      <c r="H205" s="18">
        <f t="shared" si="10"/>
        <v>41.08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1"/>
        <v>41.196075000000008</v>
      </c>
      <c r="P205" s="7"/>
      <c r="Q205" s="10"/>
      <c r="R205" s="11"/>
      <c r="S205" s="11"/>
      <c r="T205" s="26"/>
      <c r="U205" s="28">
        <f t="shared" si="9"/>
        <v>0.46044948747464776</v>
      </c>
    </row>
    <row r="206" spans="1:21" ht="16.5" thickBot="1" x14ac:dyDescent="0.3">
      <c r="B206" s="12"/>
      <c r="C206" s="19">
        <v>453.0390625</v>
      </c>
      <c r="D206" s="20">
        <v>35.972000000000001</v>
      </c>
      <c r="E206" s="20">
        <v>42.774000000000001</v>
      </c>
      <c r="F206" s="20">
        <v>43.664999999999999</v>
      </c>
      <c r="G206" s="20">
        <v>198.52</v>
      </c>
      <c r="H206" s="20">
        <f t="shared" si="10"/>
        <v>37.783875000000002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1"/>
        <v>38.408537500000001</v>
      </c>
      <c r="P206" s="7"/>
      <c r="Q206" s="13"/>
      <c r="R206" s="14"/>
      <c r="S206" s="14"/>
      <c r="T206" s="27"/>
      <c r="U206" s="28">
        <f t="shared" si="9"/>
        <v>0.66920058432399765</v>
      </c>
    </row>
    <row r="207" spans="1:21" x14ac:dyDescent="0.25">
      <c r="B207" s="6" t="s">
        <v>104</v>
      </c>
      <c r="C207" s="15">
        <v>1625.017578125</v>
      </c>
      <c r="D207" s="16">
        <v>50.427</v>
      </c>
      <c r="E207" s="16">
        <v>51.241999999999997</v>
      </c>
      <c r="F207" s="16">
        <v>51.607999999999997</v>
      </c>
      <c r="G207" s="16">
        <v>222.65</v>
      </c>
      <c r="H207" s="16">
        <f t="shared" si="10"/>
        <v>50.676500000000004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1"/>
        <v>51.710475000000002</v>
      </c>
      <c r="P207" s="7"/>
      <c r="Q207" s="8">
        <f>bdrate(C207:C210,D207:D210,J207:J210,K207:K210)</f>
        <v>-0.31942195995149414</v>
      </c>
      <c r="R207" s="8">
        <f>bdrate(C207:C210,E207:E210,J207:J210,L207:L210)</f>
        <v>-0.34145633689000554</v>
      </c>
      <c r="S207" s="8">
        <f>bdrate(C207:C210,F207:F210,J207:J210,M207:M210)</f>
        <v>-0.35725524474405623</v>
      </c>
      <c r="T207" s="25">
        <f>bdrate(C207:C210,H207:H210,J207:J210,O207:O210)</f>
        <v>-0.32664173877458125</v>
      </c>
      <c r="U207" s="28">
        <f t="shared" si="9"/>
        <v>6.2780148214686251E-3</v>
      </c>
    </row>
    <row r="208" spans="1:21" x14ac:dyDescent="0.25">
      <c r="B208" s="9"/>
      <c r="C208" s="17">
        <v>1138.873046875</v>
      </c>
      <c r="D208" s="18">
        <v>48.231000000000002</v>
      </c>
      <c r="E208" s="18">
        <v>49.192999999999998</v>
      </c>
      <c r="F208" s="18">
        <v>49.595999999999997</v>
      </c>
      <c r="G208" s="18">
        <v>255.09</v>
      </c>
      <c r="H208" s="18">
        <f t="shared" si="10"/>
        <v>48.521875000000001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1"/>
        <v>49.843562500000004</v>
      </c>
      <c r="P208" s="7"/>
      <c r="Q208" s="10"/>
      <c r="R208" s="11"/>
      <c r="S208" s="11"/>
      <c r="T208" s="26"/>
      <c r="U208" s="28">
        <f t="shared" si="9"/>
        <v>0.31061154886510633</v>
      </c>
    </row>
    <row r="209" spans="2:21" x14ac:dyDescent="0.25">
      <c r="B209" s="9"/>
      <c r="C209" s="17">
        <v>717.3173828125</v>
      </c>
      <c r="D209" s="18">
        <v>45.372999999999998</v>
      </c>
      <c r="E209" s="18">
        <v>46.552</v>
      </c>
      <c r="F209" s="18">
        <v>46.976999999999997</v>
      </c>
      <c r="G209" s="18">
        <v>273.14</v>
      </c>
      <c r="H209" s="18">
        <f t="shared" si="10"/>
        <v>45.720874999999999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1"/>
        <v>46.980674999999998</v>
      </c>
      <c r="P209" s="7"/>
      <c r="Q209" s="10"/>
      <c r="R209" s="11"/>
      <c r="S209" s="11"/>
      <c r="T209" s="26"/>
      <c r="U209" s="28">
        <f t="shared" si="9"/>
        <v>0.4178197993702864</v>
      </c>
    </row>
    <row r="210" spans="2:21" ht="16.5" thickBot="1" x14ac:dyDescent="0.3">
      <c r="B210" s="12"/>
      <c r="C210" s="19">
        <v>397.3798828125</v>
      </c>
      <c r="D210" s="20">
        <v>41.73</v>
      </c>
      <c r="E210" s="20">
        <v>43.246000000000002</v>
      </c>
      <c r="F210" s="20">
        <v>43.640999999999998</v>
      </c>
      <c r="G210" s="20">
        <v>276.14999999999998</v>
      </c>
      <c r="H210" s="20">
        <f t="shared" si="10"/>
        <v>42.158374999999999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1"/>
        <v>42.836549999999995</v>
      </c>
      <c r="P210" s="7"/>
      <c r="Q210" s="13"/>
      <c r="R210" s="14"/>
      <c r="S210" s="14"/>
      <c r="T210" s="27"/>
      <c r="U210" s="28">
        <f t="shared" si="9"/>
        <v>0.50292739453195734</v>
      </c>
    </row>
    <row r="211" spans="2:21" x14ac:dyDescent="0.25">
      <c r="B211" s="6" t="s">
        <v>105</v>
      </c>
      <c r="C211" s="15">
        <v>1806.998046875</v>
      </c>
      <c r="D211" s="16">
        <v>40.75</v>
      </c>
      <c r="E211" s="16">
        <v>43.576000000000001</v>
      </c>
      <c r="F211" s="16">
        <v>43.966999999999999</v>
      </c>
      <c r="G211" s="16">
        <v>163.21</v>
      </c>
      <c r="H211" s="16">
        <f t="shared" si="10"/>
        <v>41.505375000000001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1"/>
        <v>43.224699999999999</v>
      </c>
      <c r="P211" s="7"/>
      <c r="Q211" s="8">
        <f>bdrate(C211:C214,D211:D214,J211:J214,K211:K214)</f>
        <v>-0.44830317493430272</v>
      </c>
      <c r="R211" s="8">
        <f>bdrate(C211:C214,E211:E214,J211:J214,L211:L214)</f>
        <v>-0.48195569968336771</v>
      </c>
      <c r="S211" s="8">
        <f>bdrate(C211:C214,F211:F214,J211:J214,M211:M214)</f>
        <v>-0.48683870636746207</v>
      </c>
      <c r="T211" s="25">
        <f>bdrate(C211:C214,H211:H214,J211:J214,O211:O214)</f>
        <v>-0.45619660795301831</v>
      </c>
      <c r="U211" s="28">
        <f t="shared" si="9"/>
        <v>0.24463758348140432</v>
      </c>
    </row>
    <row r="212" spans="2:21" x14ac:dyDescent="0.25">
      <c r="B212" s="9"/>
      <c r="C212" s="17">
        <v>1277.310546875</v>
      </c>
      <c r="D212" s="18">
        <v>38.912999999999997</v>
      </c>
      <c r="E212" s="18">
        <v>42.048000000000002</v>
      </c>
      <c r="F212" s="18">
        <v>42.47</v>
      </c>
      <c r="G212" s="18">
        <v>186.9</v>
      </c>
      <c r="H212" s="18">
        <f t="shared" si="10"/>
        <v>39.749499999999998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1"/>
        <v>41.353349999999999</v>
      </c>
      <c r="P212" s="7"/>
      <c r="Q212" s="10"/>
      <c r="R212" s="11"/>
      <c r="S212" s="11"/>
      <c r="T212" s="26"/>
      <c r="U212" s="28">
        <f t="shared" si="9"/>
        <v>0.32473408239700374</v>
      </c>
    </row>
    <row r="213" spans="2:21" x14ac:dyDescent="0.25">
      <c r="B213" s="9"/>
      <c r="C213" s="17">
        <v>834.0654296875</v>
      </c>
      <c r="D213" s="18">
        <v>36.640999999999998</v>
      </c>
      <c r="E213" s="18">
        <v>40.207999999999998</v>
      </c>
      <c r="F213" s="18">
        <v>40.619999999999997</v>
      </c>
      <c r="G213" s="18">
        <v>201.32</v>
      </c>
      <c r="H213" s="18">
        <f t="shared" si="10"/>
        <v>37.584249999999997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1"/>
        <v>39.019137499999999</v>
      </c>
      <c r="P213" s="7"/>
      <c r="Q213" s="10"/>
      <c r="R213" s="11"/>
      <c r="S213" s="11"/>
      <c r="T213" s="26"/>
      <c r="U213" s="28">
        <f t="shared" si="9"/>
        <v>0.49215428174051279</v>
      </c>
    </row>
    <row r="214" spans="2:21" ht="16.5" thickBot="1" x14ac:dyDescent="0.3">
      <c r="B214" s="12"/>
      <c r="C214" s="19">
        <v>498.79296875</v>
      </c>
      <c r="D214" s="20">
        <v>33.728000000000002</v>
      </c>
      <c r="E214" s="20">
        <v>37.898000000000003</v>
      </c>
      <c r="F214" s="20">
        <v>38.402000000000001</v>
      </c>
      <c r="G214" s="20">
        <v>214.98</v>
      </c>
      <c r="H214" s="20">
        <f t="shared" si="10"/>
        <v>34.833500000000001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si="11"/>
        <v>35.512724999999996</v>
      </c>
      <c r="P214" s="7"/>
      <c r="Q214" s="13"/>
      <c r="R214" s="14"/>
      <c r="S214" s="14"/>
      <c r="T214" s="27"/>
      <c r="U214" s="28">
        <f t="shared" si="9"/>
        <v>0.6465824727881665</v>
      </c>
    </row>
    <row r="215" spans="2:21" x14ac:dyDescent="0.25">
      <c r="B215" s="6" t="s">
        <v>106</v>
      </c>
      <c r="C215" s="29">
        <v>1677.7998046875</v>
      </c>
      <c r="D215" s="30">
        <v>37.116999999999997</v>
      </c>
      <c r="E215" s="30">
        <v>42.008000000000003</v>
      </c>
      <c r="F215" s="30">
        <v>42.006</v>
      </c>
      <c r="G215" s="16">
        <v>153.30000000000001</v>
      </c>
      <c r="H215" s="16">
        <f t="shared" si="10"/>
        <v>38.339500000000001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1"/>
        <v>40.021200000000007</v>
      </c>
      <c r="P215" s="7"/>
      <c r="Q215" s="8">
        <f>bdrate(C215:C218,D215:D218,J215:J218,K215:K218)</f>
        <v>-0.41749396268779682</v>
      </c>
      <c r="R215" s="8">
        <f>bdrate(C215:C218,E215:E218,J215:J218,L215:L218)</f>
        <v>-0.50945778406296816</v>
      </c>
      <c r="S215" s="8">
        <f>bdrate(C215:C218,F215:F218,J215:J218,M215:M218)</f>
        <v>-0.49483665400164356</v>
      </c>
      <c r="T215" s="25">
        <f>bdrate(C215:C218,H215:H218,J215:J218,O215:O218)</f>
        <v>-0.43654730027289423</v>
      </c>
      <c r="U215" s="28">
        <f t="shared" si="9"/>
        <v>0.1335857795172862</v>
      </c>
    </row>
    <row r="216" spans="2:21" x14ac:dyDescent="0.25">
      <c r="B216" s="9"/>
      <c r="C216" s="31">
        <v>1175.52734375</v>
      </c>
      <c r="D216" s="32">
        <v>35.341000000000001</v>
      </c>
      <c r="E216" s="32">
        <v>40.496000000000002</v>
      </c>
      <c r="F216" s="32">
        <v>40.502000000000002</v>
      </c>
      <c r="G216" s="18">
        <v>167.65</v>
      </c>
      <c r="H216" s="18">
        <f t="shared" si="10"/>
        <v>36.630499999999998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1"/>
        <v>38.306637500000001</v>
      </c>
      <c r="P216" s="7"/>
      <c r="Q216" s="10"/>
      <c r="R216" s="11"/>
      <c r="S216" s="11"/>
      <c r="T216" s="26"/>
      <c r="U216" s="28">
        <f t="shared" si="9"/>
        <v>0.35975842529078439</v>
      </c>
    </row>
    <row r="217" spans="2:21" x14ac:dyDescent="0.25">
      <c r="B217" s="9"/>
      <c r="C217" s="31">
        <v>724.0390625</v>
      </c>
      <c r="D217" s="32">
        <v>33.058999999999997</v>
      </c>
      <c r="E217" s="32">
        <v>38.651000000000003</v>
      </c>
      <c r="F217" s="32">
        <v>38.628999999999998</v>
      </c>
      <c r="G217" s="18">
        <v>182.4</v>
      </c>
      <c r="H217" s="18">
        <f t="shared" si="10"/>
        <v>34.454250000000002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1"/>
        <v>36.188212500000006</v>
      </c>
      <c r="P217" s="7"/>
      <c r="Q217" s="10"/>
      <c r="R217" s="11"/>
      <c r="S217" s="11"/>
      <c r="T217" s="26"/>
      <c r="U217" s="28">
        <f t="shared" si="9"/>
        <v>0.51658552631578947</v>
      </c>
    </row>
    <row r="218" spans="2:21" ht="16.5" thickBot="1" x14ac:dyDescent="0.3">
      <c r="B218" s="12"/>
      <c r="C218" s="33">
        <v>426.232421875</v>
      </c>
      <c r="D218" s="34">
        <v>30.484000000000002</v>
      </c>
      <c r="E218" s="34">
        <v>36.433</v>
      </c>
      <c r="F218" s="34">
        <v>36.338999999999999</v>
      </c>
      <c r="G218" s="20">
        <v>192.76</v>
      </c>
      <c r="H218" s="20">
        <f t="shared" si="10"/>
        <v>31.959499999999998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1"/>
        <v>33.333712499999997</v>
      </c>
      <c r="P218" s="7"/>
      <c r="Q218" s="13"/>
      <c r="R218" s="14"/>
      <c r="S218" s="14"/>
      <c r="T218" s="27"/>
      <c r="U218" s="28">
        <f t="shared" si="9"/>
        <v>0.73989883793318123</v>
      </c>
    </row>
    <row r="219" spans="2:21" x14ac:dyDescent="0.25">
      <c r="B219" s="6" t="s">
        <v>107</v>
      </c>
      <c r="C219" s="15">
        <v>1570.998046875</v>
      </c>
      <c r="D219" s="16">
        <v>34.725999999999999</v>
      </c>
      <c r="E219" s="16">
        <v>39.396000000000001</v>
      </c>
      <c r="F219" s="16">
        <v>40.158999999999999</v>
      </c>
      <c r="G219" s="16">
        <v>169.63</v>
      </c>
      <c r="H219" s="16">
        <f t="shared" si="10"/>
        <v>35.988875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1"/>
        <v>38.167075000000004</v>
      </c>
      <c r="P219" s="7"/>
      <c r="Q219" s="8">
        <f>bdrate(C219:C222,D219:D222,J219:J222,K219:K222)</f>
        <v>-0.37536314919728797</v>
      </c>
      <c r="R219" s="8">
        <f>bdrate(C219:C222,E219:E222,J219:J222,L219:L222)</f>
        <v>-0.5195967357518706</v>
      </c>
      <c r="S219" s="8">
        <f>bdrate(C219:C222,F219:F222,J219:J222,M219:M222)</f>
        <v>-0.49584311254315205</v>
      </c>
      <c r="T219" s="25">
        <f>bdrate(C219:C222,H219:H222,J219:J222,O219:O222)</f>
        <v>-0.40703934425036248</v>
      </c>
      <c r="U219" s="28">
        <f t="shared" si="9"/>
        <v>0.14112598007427932</v>
      </c>
    </row>
    <row r="220" spans="2:21" x14ac:dyDescent="0.25">
      <c r="B220" s="9"/>
      <c r="C220" s="17">
        <v>1074.0390625</v>
      </c>
      <c r="D220" s="18">
        <v>33.055999999999997</v>
      </c>
      <c r="E220" s="18">
        <v>37.9</v>
      </c>
      <c r="F220" s="18">
        <v>38.729999999999997</v>
      </c>
      <c r="G220" s="18">
        <v>173.06</v>
      </c>
      <c r="H220" s="18">
        <f t="shared" si="10"/>
        <v>34.370750000000001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1"/>
        <v>36.318537499999998</v>
      </c>
      <c r="P220" s="7"/>
      <c r="Q220" s="10"/>
      <c r="R220" s="11"/>
      <c r="S220" s="11"/>
      <c r="T220" s="26"/>
      <c r="U220" s="28">
        <f t="shared" si="9"/>
        <v>0.40630301629492654</v>
      </c>
    </row>
    <row r="221" spans="2:21" x14ac:dyDescent="0.25">
      <c r="B221" s="9"/>
      <c r="C221" s="17">
        <v>660.611328125</v>
      </c>
      <c r="D221" s="18">
        <v>30.885000000000002</v>
      </c>
      <c r="E221" s="18">
        <v>35.97</v>
      </c>
      <c r="F221" s="18">
        <v>36.89</v>
      </c>
      <c r="G221" s="18">
        <v>195.08</v>
      </c>
      <c r="H221" s="18">
        <f t="shared" si="10"/>
        <v>32.271250000000002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1"/>
        <v>34.085724999999996</v>
      </c>
      <c r="P221" s="7"/>
      <c r="Q221" s="10"/>
      <c r="R221" s="11"/>
      <c r="S221" s="11"/>
      <c r="T221" s="26"/>
      <c r="U221" s="28">
        <f t="shared" si="9"/>
        <v>0.44578224318228415</v>
      </c>
    </row>
    <row r="222" spans="2:21" ht="16.5" thickBot="1" x14ac:dyDescent="0.3">
      <c r="B222" s="12"/>
      <c r="C222" s="19">
        <v>408.3720703125</v>
      </c>
      <c r="D222" s="20">
        <v>28.818000000000001</v>
      </c>
      <c r="E222" s="20">
        <v>34.142000000000003</v>
      </c>
      <c r="F222" s="20">
        <v>35.043999999999997</v>
      </c>
      <c r="G222" s="20">
        <v>202.06</v>
      </c>
      <c r="H222" s="20">
        <f t="shared" si="10"/>
        <v>30.261749999999999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1"/>
        <v>31.146599999999999</v>
      </c>
      <c r="P222" s="7"/>
      <c r="Q222" s="13"/>
      <c r="R222" s="14"/>
      <c r="S222" s="14"/>
      <c r="T222" s="27"/>
      <c r="U222" s="28">
        <f t="shared" si="9"/>
        <v>0.66478125309314051</v>
      </c>
    </row>
    <row r="223" spans="2:21" x14ac:dyDescent="0.25">
      <c r="B223" s="6" t="s">
        <v>108</v>
      </c>
      <c r="C223" s="15">
        <v>1618.66015625</v>
      </c>
      <c r="D223" s="16">
        <v>35.786000000000001</v>
      </c>
      <c r="E223" s="16">
        <v>41.58</v>
      </c>
      <c r="F223" s="16">
        <v>43.192999999999998</v>
      </c>
      <c r="G223" s="16">
        <v>149.46</v>
      </c>
      <c r="H223" s="16">
        <f t="shared" si="10"/>
        <v>37.436124999999997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1"/>
        <v>38.689262499999998</v>
      </c>
      <c r="P223" s="7"/>
      <c r="Q223" s="8">
        <f>bdrate(C223:C226,D223:D226,J223:J226,K223:K226)</f>
        <v>-0.39517442527888547</v>
      </c>
      <c r="R223" s="8">
        <f>bdrate(C223:C226,E223:E226,J223:J226,L223:L226)</f>
        <v>-0.53910419076086225</v>
      </c>
      <c r="S223" s="8">
        <f>bdrate(C223:C226,F223:F226,J223:J226,M223:M226)</f>
        <v>-0.47662099391453605</v>
      </c>
      <c r="T223" s="25">
        <f>bdrate(C223:C226,H223:H226,J223:J226,O223:O226)</f>
        <v>-0.42239752894071825</v>
      </c>
      <c r="U223" s="28">
        <f t="shared" si="9"/>
        <v>0.17818011508095807</v>
      </c>
    </row>
    <row r="224" spans="2:21" x14ac:dyDescent="0.25">
      <c r="B224" s="9"/>
      <c r="C224" s="17">
        <v>1094.7587890625</v>
      </c>
      <c r="D224" s="18">
        <v>34.338000000000001</v>
      </c>
      <c r="E224" s="18">
        <v>40.399000000000001</v>
      </c>
      <c r="F224" s="18">
        <v>41.814999999999998</v>
      </c>
      <c r="G224" s="18">
        <v>161.85</v>
      </c>
      <c r="H224" s="18">
        <f t="shared" si="10"/>
        <v>36.030250000000002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1"/>
        <v>37.363399999999999</v>
      </c>
      <c r="P224" s="7"/>
      <c r="Q224" s="10"/>
      <c r="R224" s="11"/>
      <c r="S224" s="11"/>
      <c r="T224" s="26"/>
      <c r="U224" s="28">
        <f t="shared" si="9"/>
        <v>0.45453938832252094</v>
      </c>
    </row>
    <row r="225" spans="2:21" x14ac:dyDescent="0.25">
      <c r="B225" s="9"/>
      <c r="C225" s="17">
        <v>658.6806640625</v>
      </c>
      <c r="D225" s="18">
        <v>32.488</v>
      </c>
      <c r="E225" s="18">
        <v>38.844000000000001</v>
      </c>
      <c r="F225" s="18">
        <v>39.917999999999999</v>
      </c>
      <c r="G225" s="18">
        <v>179.79</v>
      </c>
      <c r="H225" s="18">
        <f t="shared" si="10"/>
        <v>34.21125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1"/>
        <v>35.802975000000004</v>
      </c>
      <c r="P225" s="7"/>
      <c r="Q225" s="10"/>
      <c r="R225" s="11"/>
      <c r="S225" s="11"/>
      <c r="T225" s="26"/>
      <c r="U225" s="28">
        <f t="shared" si="9"/>
        <v>0.51715112075198844</v>
      </c>
    </row>
    <row r="226" spans="2:21" ht="16.5" thickBot="1" x14ac:dyDescent="0.3">
      <c r="B226" s="12"/>
      <c r="C226" s="19">
        <v>360.1376953125</v>
      </c>
      <c r="D226" s="20">
        <v>30.533000000000001</v>
      </c>
      <c r="E226" s="20">
        <v>36.963999999999999</v>
      </c>
      <c r="F226" s="20">
        <v>37.536000000000001</v>
      </c>
      <c r="G226" s="20">
        <v>195.52</v>
      </c>
      <c r="H226" s="20">
        <f t="shared" si="10"/>
        <v>32.212249999999997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1"/>
        <v>33.823012500000004</v>
      </c>
      <c r="P226" s="7"/>
      <c r="Q226" s="13"/>
      <c r="R226" s="14"/>
      <c r="S226" s="14"/>
      <c r="T226" s="27"/>
      <c r="U226" s="28">
        <f t="shared" si="9"/>
        <v>0.7051713379705401</v>
      </c>
    </row>
    <row r="227" spans="2:21" x14ac:dyDescent="0.25">
      <c r="B227" s="6" t="s">
        <v>109</v>
      </c>
      <c r="C227" s="15">
        <v>1403.8125</v>
      </c>
      <c r="D227" s="16">
        <v>44.003</v>
      </c>
      <c r="E227" s="16">
        <v>48.750999999999998</v>
      </c>
      <c r="F227" s="16">
        <v>50.404000000000003</v>
      </c>
      <c r="G227" s="16">
        <v>185.76</v>
      </c>
      <c r="H227" s="16">
        <f t="shared" si="10"/>
        <v>45.396625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1"/>
        <v>48.637549999999997</v>
      </c>
      <c r="P227" s="7"/>
      <c r="Q227" s="8">
        <f>bdrate(C227:C230,D227:D230,J227:J230,K227:K230)</f>
        <v>-0.44303404777117461</v>
      </c>
      <c r="R227" s="8">
        <f>bdrate(C227:C230,E227:E230,J227:J230,L227:L230)</f>
        <v>-0.55137575544721817</v>
      </c>
      <c r="S227" s="8">
        <f>bdrate(C227:C230,F227:F230,J227:J230,M227:M230)</f>
        <v>-0.51451045791441896</v>
      </c>
      <c r="T227" s="25">
        <f>bdrate(C227:C230,H227:H230,J227:J230,O227:O230)</f>
        <v>-0.46632145695181682</v>
      </c>
      <c r="U227" s="28">
        <f t="shared" si="9"/>
        <v>0.16386735572782085</v>
      </c>
    </row>
    <row r="228" spans="2:21" x14ac:dyDescent="0.25">
      <c r="B228" s="9"/>
      <c r="C228" s="17">
        <v>1006.4443359375</v>
      </c>
      <c r="D228" s="18">
        <v>42.47</v>
      </c>
      <c r="E228" s="18">
        <v>47.372</v>
      </c>
      <c r="F228" s="18">
        <v>49.088000000000001</v>
      </c>
      <c r="G228" s="18">
        <v>198.41</v>
      </c>
      <c r="H228" s="18">
        <f t="shared" si="10"/>
        <v>43.910000000000004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1"/>
        <v>46.829100000000004</v>
      </c>
      <c r="P228" s="7"/>
      <c r="Q228" s="10"/>
      <c r="R228" s="11"/>
      <c r="S228" s="11"/>
      <c r="T228" s="26"/>
      <c r="U228" s="28">
        <f t="shared" si="9"/>
        <v>0.37047830250491415</v>
      </c>
    </row>
    <row r="229" spans="2:21" x14ac:dyDescent="0.25">
      <c r="B229" s="9"/>
      <c r="C229" s="17">
        <v>622.7744140625</v>
      </c>
      <c r="D229" s="18">
        <v>40.448999999999998</v>
      </c>
      <c r="E229" s="18">
        <v>45.433999999999997</v>
      </c>
      <c r="F229" s="18">
        <v>47.078000000000003</v>
      </c>
      <c r="G229" s="18">
        <v>229.32</v>
      </c>
      <c r="H229" s="18">
        <f t="shared" si="10"/>
        <v>41.900750000000002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1"/>
        <v>44.515749999999997</v>
      </c>
      <c r="P229" s="7"/>
      <c r="Q229" s="10"/>
      <c r="R229" s="11"/>
      <c r="S229" s="11"/>
      <c r="T229" s="26"/>
      <c r="U229" s="28">
        <f t="shared" si="9"/>
        <v>0.40464329321472181</v>
      </c>
    </row>
    <row r="230" spans="2:21" ht="16.5" thickBot="1" x14ac:dyDescent="0.3">
      <c r="B230" s="12"/>
      <c r="C230" s="19">
        <v>316.3583984375</v>
      </c>
      <c r="D230" s="20">
        <v>37.837000000000003</v>
      </c>
      <c r="E230" s="20">
        <v>42.817</v>
      </c>
      <c r="F230" s="20">
        <v>44.503999999999998</v>
      </c>
      <c r="G230" s="20">
        <v>263.83999999999997</v>
      </c>
      <c r="H230" s="20">
        <f t="shared" si="10"/>
        <v>39.292875000000002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1"/>
        <v>41.346887500000001</v>
      </c>
      <c r="P230" s="7"/>
      <c r="Q230" s="13"/>
      <c r="R230" s="14"/>
      <c r="S230" s="14"/>
      <c r="T230" s="27"/>
      <c r="U230" s="28">
        <f t="shared" si="9"/>
        <v>0.28505950576106737</v>
      </c>
    </row>
    <row r="231" spans="2:21" x14ac:dyDescent="0.25">
      <c r="B231" s="6" t="s">
        <v>110</v>
      </c>
      <c r="C231" s="15">
        <v>1529.75</v>
      </c>
      <c r="D231" s="16">
        <v>29.802</v>
      </c>
      <c r="E231" s="16">
        <v>38.110999999999997</v>
      </c>
      <c r="F231" s="16">
        <v>37.517000000000003</v>
      </c>
      <c r="G231" s="16">
        <v>134.56</v>
      </c>
      <c r="H231" s="16">
        <f t="shared" si="10"/>
        <v>31.805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1"/>
        <v>33.925012500000001</v>
      </c>
      <c r="P231" s="7"/>
      <c r="Q231" s="8">
        <f>bdrate(C231:C234,D231:D234,J231:J234,K231:K234)</f>
        <v>-0.37588784596145897</v>
      </c>
      <c r="R231" s="8">
        <f>bdrate(C231:C234,E231:E234,J231:J234,L231:L234)</f>
        <v>-0.597544659506831</v>
      </c>
      <c r="S231" s="8">
        <f>bdrate(C231:C234,F231:F234,J231:J234,M231:M234)</f>
        <v>-0.58342242892197649</v>
      </c>
      <c r="T231" s="25">
        <f>bdrate(C231:C234,H231:H234,J231:J234,O231:O234)</f>
        <v>-0.4271331288285819</v>
      </c>
      <c r="U231" s="28">
        <f t="shared" si="9"/>
        <v>0.1426441736028537</v>
      </c>
    </row>
    <row r="232" spans="2:21" x14ac:dyDescent="0.25">
      <c r="B232" s="9"/>
      <c r="C232" s="17">
        <v>1114.9189453125</v>
      </c>
      <c r="D232" s="18">
        <v>28.47</v>
      </c>
      <c r="E232" s="18">
        <v>36.863999999999997</v>
      </c>
      <c r="F232" s="18">
        <v>36.317999999999998</v>
      </c>
      <c r="G232" s="18">
        <v>144.66</v>
      </c>
      <c r="H232" s="18">
        <f t="shared" si="10"/>
        <v>30.500250000000001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1"/>
        <v>32.329574999999998</v>
      </c>
      <c r="P232" s="7"/>
      <c r="Q232" s="10"/>
      <c r="R232" s="11"/>
      <c r="S232" s="11"/>
      <c r="T232" s="26"/>
      <c r="U232" s="28">
        <f t="shared" si="9"/>
        <v>0.3447497580533665</v>
      </c>
    </row>
    <row r="233" spans="2:21" x14ac:dyDescent="0.25">
      <c r="B233" s="9"/>
      <c r="C233" s="17">
        <v>847.54296875</v>
      </c>
      <c r="D233" s="18">
        <v>27.555</v>
      </c>
      <c r="E233" s="18">
        <v>35.863</v>
      </c>
      <c r="F233" s="18">
        <v>35.311</v>
      </c>
      <c r="G233" s="18">
        <v>146.53</v>
      </c>
      <c r="H233" s="18">
        <f t="shared" si="10"/>
        <v>29.562999999999999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1"/>
        <v>30.301475</v>
      </c>
      <c r="P233" s="7"/>
      <c r="Q233" s="10"/>
      <c r="R233" s="11"/>
      <c r="S233" s="11"/>
      <c r="T233" s="26"/>
      <c r="U233" s="28">
        <f t="shared" si="9"/>
        <v>0.61336654609977481</v>
      </c>
    </row>
    <row r="234" spans="2:21" ht="16.5" thickBot="1" x14ac:dyDescent="0.3">
      <c r="B234" s="12"/>
      <c r="C234" s="19">
        <v>669.427734375</v>
      </c>
      <c r="D234" s="20">
        <v>26.614999999999998</v>
      </c>
      <c r="E234" s="20">
        <v>34.654000000000003</v>
      </c>
      <c r="F234" s="20">
        <v>34.19</v>
      </c>
      <c r="G234" s="20">
        <v>155.36000000000001</v>
      </c>
      <c r="H234" s="20">
        <f t="shared" si="10"/>
        <v>28.566749999999999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1"/>
        <v>27.572500000000002</v>
      </c>
      <c r="P234" s="7"/>
      <c r="Q234" s="13"/>
      <c r="R234" s="14"/>
      <c r="S234" s="14"/>
      <c r="T234" s="27"/>
      <c r="U234" s="28">
        <f t="shared" si="9"/>
        <v>0.95412268280123547</v>
      </c>
    </row>
    <row r="235" spans="2:21" x14ac:dyDescent="0.25">
      <c r="B235" s="6" t="s">
        <v>111</v>
      </c>
      <c r="C235" s="15">
        <v>1982.09765625</v>
      </c>
      <c r="D235" s="16">
        <v>44.127000000000002</v>
      </c>
      <c r="E235" s="16">
        <v>45.351999999999997</v>
      </c>
      <c r="F235" s="16">
        <v>45.225000000000001</v>
      </c>
      <c r="G235" s="16">
        <v>166.52</v>
      </c>
      <c r="H235" s="16">
        <f t="shared" si="10"/>
        <v>44.417375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1"/>
        <v>45.048587499999996</v>
      </c>
      <c r="P235" s="7"/>
      <c r="Q235" s="8">
        <f>bdrate(C235:C238,D235:D238,J235:J238,K235:K238)</f>
        <v>-0.40572017197869337</v>
      </c>
      <c r="R235" s="8">
        <f>bdrate(C235:C238,E235:E238,J235:J238,L235:L238)</f>
        <v>-0.43112649141057457</v>
      </c>
      <c r="S235" s="8">
        <f>bdrate(C235:C238,F235:F238,J235:J238,M235:M238)</f>
        <v>-0.43118221841131343</v>
      </c>
      <c r="T235" s="25">
        <f>bdrate(C235:C238,H235:H238,J235:J238,O235:O238)</f>
        <v>-0.41168796424043108</v>
      </c>
      <c r="U235" s="28">
        <f t="shared" si="9"/>
        <v>0.14156858035070852</v>
      </c>
    </row>
    <row r="236" spans="2:21" x14ac:dyDescent="0.25">
      <c r="B236" s="9"/>
      <c r="C236" s="17">
        <v>1405.853515625</v>
      </c>
      <c r="D236" s="18">
        <v>41.957000000000001</v>
      </c>
      <c r="E236" s="18">
        <v>43.462000000000003</v>
      </c>
      <c r="F236" s="18">
        <v>43.304000000000002</v>
      </c>
      <c r="G236" s="18">
        <v>191.1</v>
      </c>
      <c r="H236" s="18">
        <f t="shared" si="10"/>
        <v>42.313500000000005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1"/>
        <v>43.211887500000003</v>
      </c>
      <c r="P236" s="7"/>
      <c r="Q236" s="10"/>
      <c r="R236" s="11"/>
      <c r="S236" s="11"/>
      <c r="T236" s="26"/>
      <c r="U236" s="28">
        <f t="shared" si="9"/>
        <v>0.27890737833594986</v>
      </c>
    </row>
    <row r="237" spans="2:21" x14ac:dyDescent="0.25">
      <c r="B237" s="9"/>
      <c r="C237" s="17">
        <v>903.5712890625</v>
      </c>
      <c r="D237" s="18">
        <v>39.216999999999999</v>
      </c>
      <c r="E237" s="18">
        <v>41.034999999999997</v>
      </c>
      <c r="F237" s="18">
        <v>40.859000000000002</v>
      </c>
      <c r="G237" s="18">
        <v>215.35</v>
      </c>
      <c r="H237" s="18">
        <f t="shared" si="10"/>
        <v>39.649499999999996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1"/>
        <v>40.270824999999995</v>
      </c>
      <c r="P237" s="7"/>
      <c r="Q237" s="10"/>
      <c r="R237" s="11"/>
      <c r="S237" s="11"/>
      <c r="T237" s="26"/>
      <c r="U237" s="28">
        <f t="shared" si="9"/>
        <v>0.39168934293011393</v>
      </c>
    </row>
    <row r="238" spans="2:21" ht="16.5" thickBot="1" x14ac:dyDescent="0.3">
      <c r="B238" s="12"/>
      <c r="C238" s="19">
        <v>528.53515625</v>
      </c>
      <c r="D238" s="20">
        <v>35.722999999999999</v>
      </c>
      <c r="E238" s="20">
        <v>37.881</v>
      </c>
      <c r="F238" s="20">
        <v>37.658000000000001</v>
      </c>
      <c r="G238" s="20">
        <v>229.26</v>
      </c>
      <c r="H238" s="20">
        <f t="shared" si="10"/>
        <v>36.234625000000001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1"/>
        <v>36.084499999999998</v>
      </c>
      <c r="P238" s="7"/>
      <c r="Q238" s="13"/>
      <c r="R238" s="14"/>
      <c r="S238" s="14"/>
      <c r="T238" s="27"/>
      <c r="U238" s="28">
        <f t="shared" si="9"/>
        <v>0.54371761319026424</v>
      </c>
    </row>
    <row r="239" spans="2:21" x14ac:dyDescent="0.25">
      <c r="B239" s="6" t="s">
        <v>112</v>
      </c>
      <c r="C239" s="15">
        <v>2141.20703125</v>
      </c>
      <c r="D239" s="16">
        <v>45.381999999999998</v>
      </c>
      <c r="E239" s="16">
        <v>46.844999999999999</v>
      </c>
      <c r="F239" s="16">
        <v>47.076999999999998</v>
      </c>
      <c r="G239" s="16">
        <v>182.53</v>
      </c>
      <c r="H239" s="16">
        <f t="shared" si="10"/>
        <v>45.776749999999993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1"/>
        <v>46.047337500000005</v>
      </c>
      <c r="P239" s="7"/>
      <c r="Q239" s="8">
        <f>bdrate(C239:C242,D239:D242,J239:J242,K239:K242)</f>
        <v>-0.25508389199506265</v>
      </c>
      <c r="R239" s="8">
        <f>bdrate(C239:C242,E239:E242,J239:J242,L239:L242)</f>
        <v>-0.3368669585729841</v>
      </c>
      <c r="S239" s="8">
        <f>bdrate(C239:C242,F239:F242,J239:J242,M239:M242)</f>
        <v>-0.3386514694516054</v>
      </c>
      <c r="T239" s="25">
        <f>bdrate(C239:C242,H239:H242,J239:J242,O239:O242)</f>
        <v>-0.27571399795500362</v>
      </c>
      <c r="U239" s="28">
        <f t="shared" si="9"/>
        <v>1.4442009532679554E-2</v>
      </c>
    </row>
    <row r="240" spans="2:21" x14ac:dyDescent="0.25">
      <c r="B240" s="9"/>
      <c r="C240" s="17">
        <v>1618.609375</v>
      </c>
      <c r="D240" s="18">
        <v>44.411000000000001</v>
      </c>
      <c r="E240" s="18">
        <v>46.021000000000001</v>
      </c>
      <c r="F240" s="18">
        <v>46.250999999999998</v>
      </c>
      <c r="G240" s="18">
        <v>196.74</v>
      </c>
      <c r="H240" s="18">
        <f t="shared" si="10"/>
        <v>44.84225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1"/>
        <v>44.549837500000002</v>
      </c>
      <c r="P240" s="7"/>
      <c r="Q240" s="10"/>
      <c r="R240" s="11"/>
      <c r="S240" s="11"/>
      <c r="T240" s="26"/>
      <c r="U240" s="28">
        <f t="shared" si="9"/>
        <v>0.18419995933719624</v>
      </c>
    </row>
    <row r="241" spans="2:21" x14ac:dyDescent="0.25">
      <c r="B241" s="9"/>
      <c r="C241" s="17">
        <v>939.1728515625</v>
      </c>
      <c r="D241" s="18">
        <v>41.802</v>
      </c>
      <c r="E241" s="18">
        <v>43.906999999999996</v>
      </c>
      <c r="F241" s="18">
        <v>44.149000000000001</v>
      </c>
      <c r="G241" s="18">
        <v>207.24</v>
      </c>
      <c r="H241" s="18">
        <f t="shared" si="10"/>
        <v>42.358499999999999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1"/>
        <v>41.827949999999994</v>
      </c>
      <c r="P241" s="7"/>
      <c r="Q241" s="10"/>
      <c r="R241" s="11"/>
      <c r="S241" s="11"/>
      <c r="T241" s="26"/>
      <c r="U241" s="28">
        <f t="shared" si="9"/>
        <v>0.27391912758154791</v>
      </c>
    </row>
    <row r="242" spans="2:21" ht="16.5" thickBot="1" x14ac:dyDescent="0.3">
      <c r="B242" s="12"/>
      <c r="C242" s="19">
        <v>501.2119140625</v>
      </c>
      <c r="D242" s="20">
        <v>38.503999999999998</v>
      </c>
      <c r="E242" s="20">
        <v>40.975000000000001</v>
      </c>
      <c r="F242" s="20">
        <v>41.207000000000001</v>
      </c>
      <c r="G242" s="20">
        <v>230.16</v>
      </c>
      <c r="H242" s="20">
        <f t="shared" si="10"/>
        <v>39.150750000000002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1"/>
        <v>37.684975000000001</v>
      </c>
      <c r="P242" s="7"/>
      <c r="Q242" s="13"/>
      <c r="R242" s="14"/>
      <c r="S242" s="14"/>
      <c r="T242" s="27"/>
      <c r="U242" s="28">
        <f t="shared" si="9"/>
        <v>0.5666358185610012</v>
      </c>
    </row>
    <row r="243" spans="2:21" x14ac:dyDescent="0.25">
      <c r="B243" s="6" t="s">
        <v>113</v>
      </c>
      <c r="C243" s="29">
        <v>1706.587890625</v>
      </c>
      <c r="D243" s="30">
        <v>31.315999999999999</v>
      </c>
      <c r="E243" s="30">
        <v>35.030999999999999</v>
      </c>
      <c r="F243" s="30">
        <v>33.764000000000003</v>
      </c>
      <c r="G243" s="16">
        <v>144.35</v>
      </c>
      <c r="H243" s="16">
        <f t="shared" si="10"/>
        <v>32.086374999999997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1"/>
        <v>33.231437499999998</v>
      </c>
      <c r="P243" s="7"/>
      <c r="Q243" s="8">
        <f>bdrate(C243:C246,D243:D246,J243:J246,K243:K246)</f>
        <v>-0.26564005033475913</v>
      </c>
      <c r="R243" s="8">
        <f>bdrate(C243:C246,E243:E246,J243:J246,L243:L246)</f>
        <v>-0.558472980363384</v>
      </c>
      <c r="S243" s="8">
        <f>bdrate(C243:C246,F243:F246,J243:J246,M243:M246)</f>
        <v>-0.55925468135853162</v>
      </c>
      <c r="T243" s="25">
        <f>bdrate(C243:C246,H243:H246,J243:J246,O243:O246)</f>
        <v>-0.33345005053248222</v>
      </c>
      <c r="U243" s="28">
        <f t="shared" si="9"/>
        <v>0.24896778662971947</v>
      </c>
    </row>
    <row r="244" spans="2:21" x14ac:dyDescent="0.25">
      <c r="B244" s="9"/>
      <c r="C244" s="31">
        <v>1177.84375</v>
      </c>
      <c r="D244" s="32">
        <v>29.77</v>
      </c>
      <c r="E244" s="32">
        <v>33.835999999999999</v>
      </c>
      <c r="F244" s="32">
        <v>32.540999999999997</v>
      </c>
      <c r="G244" s="18">
        <v>157.72999999999999</v>
      </c>
      <c r="H244" s="18">
        <f t="shared" si="10"/>
        <v>30.624625000000002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1"/>
        <v>31.545137499999999</v>
      </c>
      <c r="P244" s="7"/>
      <c r="Q244" s="10"/>
      <c r="R244" s="11"/>
      <c r="S244" s="11"/>
      <c r="T244" s="26"/>
      <c r="U244" s="28">
        <f t="shared" si="9"/>
        <v>0.39067837443732967</v>
      </c>
    </row>
    <row r="245" spans="2:21" x14ac:dyDescent="0.25">
      <c r="B245" s="9"/>
      <c r="C245" s="31">
        <v>807.1904296875</v>
      </c>
      <c r="D245" s="32">
        <v>28.29</v>
      </c>
      <c r="E245" s="32">
        <v>32.625999999999998</v>
      </c>
      <c r="F245" s="32">
        <v>31.324999999999999</v>
      </c>
      <c r="G245" s="18">
        <v>159.81</v>
      </c>
      <c r="H245" s="18">
        <f t="shared" si="10"/>
        <v>29.211375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1"/>
        <v>29.606962500000002</v>
      </c>
      <c r="P245" s="7"/>
      <c r="Q245" s="10"/>
      <c r="R245" s="11"/>
      <c r="S245" s="11"/>
      <c r="T245" s="26"/>
      <c r="U245" s="28">
        <f t="shared" si="9"/>
        <v>0.65516175458356785</v>
      </c>
    </row>
    <row r="246" spans="2:21" ht="16.5" thickBot="1" x14ac:dyDescent="0.3">
      <c r="B246" s="12"/>
      <c r="C246" s="33">
        <v>561.96875</v>
      </c>
      <c r="D246" s="34">
        <v>26.759</v>
      </c>
      <c r="E246" s="34">
        <v>31.294</v>
      </c>
      <c r="F246" s="34">
        <v>30.024999999999999</v>
      </c>
      <c r="G246" s="20">
        <v>167.85</v>
      </c>
      <c r="H246" s="20">
        <f t="shared" si="10"/>
        <v>27.734125000000002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1"/>
        <v>27.1374</v>
      </c>
      <c r="P246" s="7"/>
      <c r="Q246" s="13"/>
      <c r="R246" s="14"/>
      <c r="S246" s="14"/>
      <c r="T246" s="27"/>
      <c r="U246" s="28">
        <f t="shared" si="9"/>
        <v>0.9691260053619305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-0.38873919950424046</v>
      </c>
      <c r="R247" s="21">
        <f>AVERAGE(R131:R246)</f>
        <v>-0.4614049008978775</v>
      </c>
      <c r="S247" s="21">
        <f>AVERAGE(S131:S246)</f>
        <v>-0.46816974788994858</v>
      </c>
      <c r="T247" s="21">
        <f>AVERAGE(T131:T246)</f>
        <v>-0.40675929821156898</v>
      </c>
      <c r="U247" s="21">
        <f>AVERAGE(U131:U246)</f>
        <v>0.72161981474498682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205" priority="85" operator="greaterThan">
      <formula>0.03</formula>
    </cfRule>
    <cfRule type="cellIs" dxfId="204" priority="86" stopIfTrue="1" operator="lessThan">
      <formula>-0.03</formula>
    </cfRule>
  </conditionalFormatting>
  <conditionalFormatting sqref="Q33:T36">
    <cfRule type="cellIs" dxfId="203" priority="83" operator="greaterThan">
      <formula>0.03</formula>
    </cfRule>
    <cfRule type="cellIs" dxfId="202" priority="84" stopIfTrue="1" operator="lessThan">
      <formula>-0.03</formula>
    </cfRule>
  </conditionalFormatting>
  <conditionalFormatting sqref="Q46:T48 Q62:T64">
    <cfRule type="cellIs" dxfId="201" priority="81" operator="greaterThan">
      <formula>0.03</formula>
    </cfRule>
    <cfRule type="cellIs" dxfId="200" priority="82" stopIfTrue="1" operator="lessThan">
      <formula>-0.03</formula>
    </cfRule>
  </conditionalFormatting>
  <conditionalFormatting sqref="Q50:T52 Q54:T56 Q58:T60">
    <cfRule type="cellIs" dxfId="199" priority="79" operator="greaterThan">
      <formula>0.03</formula>
    </cfRule>
    <cfRule type="cellIs" dxfId="198" priority="80" stopIfTrue="1" operator="lessThan">
      <formula>-0.03</formula>
    </cfRule>
  </conditionalFormatting>
  <conditionalFormatting sqref="Q70:T72 Q74:T76">
    <cfRule type="cellIs" dxfId="197" priority="77" operator="greaterThan">
      <formula>0.03</formula>
    </cfRule>
    <cfRule type="cellIs" dxfId="196" priority="78" stopIfTrue="1" operator="lessThan">
      <formula>-0.03</formula>
    </cfRule>
  </conditionalFormatting>
  <conditionalFormatting sqref="Q66:T68">
    <cfRule type="cellIs" dxfId="195" priority="75" operator="greaterThan">
      <formula>0.03</formula>
    </cfRule>
    <cfRule type="cellIs" dxfId="194" priority="76" stopIfTrue="1" operator="lessThan">
      <formula>-0.03</formula>
    </cfRule>
  </conditionalFormatting>
  <conditionalFormatting sqref="Q78:T80">
    <cfRule type="cellIs" dxfId="193" priority="73" operator="greaterThan">
      <formula>0.03</formula>
    </cfRule>
    <cfRule type="cellIs" dxfId="192" priority="74" stopIfTrue="1" operator="lessThan">
      <formula>-0.03</formula>
    </cfRule>
  </conditionalFormatting>
  <conditionalFormatting sqref="Q21:T28">
    <cfRule type="cellIs" dxfId="191" priority="71" operator="greaterThan">
      <formula>0.03</formula>
    </cfRule>
    <cfRule type="cellIs" dxfId="190" priority="72" stopIfTrue="1" operator="lessThan">
      <formula>-0.03</formula>
    </cfRule>
  </conditionalFormatting>
  <conditionalFormatting sqref="Q151:T154 Q159:T166 Q131:T142">
    <cfRule type="cellIs" dxfId="189" priority="69" operator="greaterThan">
      <formula>0.03</formula>
    </cfRule>
    <cfRule type="cellIs" dxfId="188" priority="70" stopIfTrue="1" operator="lessThan">
      <formula>-0.03</formula>
    </cfRule>
  </conditionalFormatting>
  <conditionalFormatting sqref="Q155:T158">
    <cfRule type="cellIs" dxfId="187" priority="67" operator="greaterThan">
      <formula>0.03</formula>
    </cfRule>
    <cfRule type="cellIs" dxfId="186" priority="68" stopIfTrue="1" operator="lessThan">
      <formula>-0.03</formula>
    </cfRule>
  </conditionalFormatting>
  <conditionalFormatting sqref="Q167:T170 Q183:T186">
    <cfRule type="cellIs" dxfId="185" priority="65" operator="greaterThan">
      <formula>0.03</formula>
    </cfRule>
    <cfRule type="cellIs" dxfId="184" priority="66" stopIfTrue="1" operator="lessThan">
      <formula>-0.03</formula>
    </cfRule>
  </conditionalFormatting>
  <conditionalFormatting sqref="Q171:T182">
    <cfRule type="cellIs" dxfId="183" priority="63" operator="greaterThan">
      <formula>0.03</formula>
    </cfRule>
    <cfRule type="cellIs" dxfId="182" priority="64" stopIfTrue="1" operator="lessThan">
      <formula>-0.03</formula>
    </cfRule>
  </conditionalFormatting>
  <conditionalFormatting sqref="Q191:T198">
    <cfRule type="cellIs" dxfId="181" priority="61" operator="greaterThan">
      <formula>0.03</formula>
    </cfRule>
    <cfRule type="cellIs" dxfId="180" priority="62" stopIfTrue="1" operator="lessThan">
      <formula>-0.03</formula>
    </cfRule>
  </conditionalFormatting>
  <conditionalFormatting sqref="Q187:T190">
    <cfRule type="cellIs" dxfId="179" priority="59" operator="greaterThan">
      <formula>0.03</formula>
    </cfRule>
    <cfRule type="cellIs" dxfId="178" priority="60" stopIfTrue="1" operator="lessThan">
      <formula>-0.03</formula>
    </cfRule>
  </conditionalFormatting>
  <conditionalFormatting sqref="Q199:T202">
    <cfRule type="cellIs" dxfId="177" priority="57" operator="greaterThan">
      <formula>0.03</formula>
    </cfRule>
    <cfRule type="cellIs" dxfId="176" priority="58" stopIfTrue="1" operator="lessThan">
      <formula>-0.03</formula>
    </cfRule>
  </conditionalFormatting>
  <conditionalFormatting sqref="Q143:T150">
    <cfRule type="cellIs" dxfId="175" priority="55" operator="greaterThan">
      <formula>0.03</formula>
    </cfRule>
    <cfRule type="cellIs" dxfId="174" priority="56" stopIfTrue="1" operator="lessThan">
      <formula>-0.03</formula>
    </cfRule>
  </conditionalFormatting>
  <conditionalFormatting sqref="Q45:T45">
    <cfRule type="cellIs" dxfId="173" priority="53" operator="greaterThan">
      <formula>0.03</formula>
    </cfRule>
    <cfRule type="cellIs" dxfId="172" priority="54" stopIfTrue="1" operator="lessThan">
      <formula>-0.03</formula>
    </cfRule>
  </conditionalFormatting>
  <conditionalFormatting sqref="Q49:T49">
    <cfRule type="cellIs" dxfId="171" priority="51" operator="greaterThan">
      <formula>0.03</formula>
    </cfRule>
    <cfRule type="cellIs" dxfId="170" priority="52" stopIfTrue="1" operator="lessThan">
      <formula>-0.03</formula>
    </cfRule>
  </conditionalFormatting>
  <conditionalFormatting sqref="Q53:T53">
    <cfRule type="cellIs" dxfId="169" priority="49" operator="greaterThan">
      <formula>0.03</formula>
    </cfRule>
    <cfRule type="cellIs" dxfId="168" priority="50" stopIfTrue="1" operator="lessThan">
      <formula>-0.03</formula>
    </cfRule>
  </conditionalFormatting>
  <conditionalFormatting sqref="Q57:T57">
    <cfRule type="cellIs" dxfId="167" priority="47" operator="greaterThan">
      <formula>0.03</formula>
    </cfRule>
    <cfRule type="cellIs" dxfId="166" priority="48" stopIfTrue="1" operator="lessThan">
      <formula>-0.03</formula>
    </cfRule>
  </conditionalFormatting>
  <conditionalFormatting sqref="Q61:T61">
    <cfRule type="cellIs" dxfId="165" priority="45" operator="greaterThan">
      <formula>0.03</formula>
    </cfRule>
    <cfRule type="cellIs" dxfId="164" priority="46" stopIfTrue="1" operator="lessThan">
      <formula>-0.03</formula>
    </cfRule>
  </conditionalFormatting>
  <conditionalFormatting sqref="Q65:T65">
    <cfRule type="cellIs" dxfId="163" priority="43" operator="greaterThan">
      <formula>0.03</formula>
    </cfRule>
    <cfRule type="cellIs" dxfId="162" priority="44" stopIfTrue="1" operator="lessThan">
      <formula>-0.03</formula>
    </cfRule>
  </conditionalFormatting>
  <conditionalFormatting sqref="Q69:T69">
    <cfRule type="cellIs" dxfId="161" priority="41" operator="greaterThan">
      <formula>0.03</formula>
    </cfRule>
    <cfRule type="cellIs" dxfId="160" priority="42" stopIfTrue="1" operator="lessThan">
      <formula>-0.03</formula>
    </cfRule>
  </conditionalFormatting>
  <conditionalFormatting sqref="Q73:T73">
    <cfRule type="cellIs" dxfId="159" priority="39" operator="greaterThan">
      <formula>0.03</formula>
    </cfRule>
    <cfRule type="cellIs" dxfId="158" priority="40" stopIfTrue="1" operator="lessThan">
      <formula>-0.03</formula>
    </cfRule>
  </conditionalFormatting>
  <conditionalFormatting sqref="Q77:T77">
    <cfRule type="cellIs" dxfId="157" priority="37" operator="greaterThan">
      <formula>0.03</formula>
    </cfRule>
    <cfRule type="cellIs" dxfId="156" priority="38" stopIfTrue="1" operator="lessThan">
      <formula>-0.03</formula>
    </cfRule>
  </conditionalFormatting>
  <conditionalFormatting sqref="Q117:T117">
    <cfRule type="cellIs" dxfId="155" priority="21" operator="greaterThan">
      <formula>0.03</formula>
    </cfRule>
    <cfRule type="cellIs" dxfId="154" priority="22" stopIfTrue="1" operator="lessThan">
      <formula>-0.03</formula>
    </cfRule>
  </conditionalFormatting>
  <conditionalFormatting sqref="Q93:T96 Q101:T108 Q81:T84">
    <cfRule type="cellIs" dxfId="153" priority="35" operator="greaterThan">
      <formula>0.03</formula>
    </cfRule>
    <cfRule type="cellIs" dxfId="152" priority="36" stopIfTrue="1" operator="lessThan">
      <formula>-0.03</formula>
    </cfRule>
  </conditionalFormatting>
  <conditionalFormatting sqref="Q97:T100">
    <cfRule type="cellIs" dxfId="151" priority="33" operator="greaterThan">
      <formula>0.03</formula>
    </cfRule>
    <cfRule type="cellIs" dxfId="150" priority="34" stopIfTrue="1" operator="lessThan">
      <formula>-0.03</formula>
    </cfRule>
  </conditionalFormatting>
  <conditionalFormatting sqref="Q110:T112 Q122:T124">
    <cfRule type="cellIs" dxfId="149" priority="31" operator="greaterThan">
      <formula>0.03</formula>
    </cfRule>
    <cfRule type="cellIs" dxfId="148" priority="32" stopIfTrue="1" operator="lessThan">
      <formula>-0.03</formula>
    </cfRule>
  </conditionalFormatting>
  <conditionalFormatting sqref="Q114:T116 Q118:T120">
    <cfRule type="cellIs" dxfId="147" priority="29" operator="greaterThan">
      <formula>0.03</formula>
    </cfRule>
    <cfRule type="cellIs" dxfId="146" priority="30" stopIfTrue="1" operator="lessThan">
      <formula>-0.03</formula>
    </cfRule>
  </conditionalFormatting>
  <conditionalFormatting sqref="Q85:T92">
    <cfRule type="cellIs" dxfId="145" priority="27" operator="greaterThan">
      <formula>0.03</formula>
    </cfRule>
    <cfRule type="cellIs" dxfId="144" priority="28" stopIfTrue="1" operator="lessThan">
      <formula>-0.03</formula>
    </cfRule>
  </conditionalFormatting>
  <conditionalFormatting sqref="Q109:T109">
    <cfRule type="cellIs" dxfId="143" priority="25" operator="greaterThan">
      <formula>0.03</formula>
    </cfRule>
    <cfRule type="cellIs" dxfId="142" priority="26" stopIfTrue="1" operator="lessThan">
      <formula>-0.03</formula>
    </cfRule>
  </conditionalFormatting>
  <conditionalFormatting sqref="Q113:T113">
    <cfRule type="cellIs" dxfId="141" priority="23" operator="greaterThan">
      <formula>0.03</formula>
    </cfRule>
    <cfRule type="cellIs" dxfId="140" priority="24" stopIfTrue="1" operator="lessThan">
      <formula>-0.03</formula>
    </cfRule>
  </conditionalFormatting>
  <conditionalFormatting sqref="Q121:T121">
    <cfRule type="cellIs" dxfId="139" priority="19" operator="greaterThan">
      <formula>0.03</formula>
    </cfRule>
    <cfRule type="cellIs" dxfId="138" priority="20" stopIfTrue="1" operator="lessThan">
      <formula>-0.03</formula>
    </cfRule>
  </conditionalFormatting>
  <conditionalFormatting sqref="Q239:T239">
    <cfRule type="cellIs" dxfId="137" priority="3" operator="greaterThan">
      <formula>0.03</formula>
    </cfRule>
    <cfRule type="cellIs" dxfId="136" priority="4" stopIfTrue="1" operator="lessThan">
      <formula>-0.03</formula>
    </cfRule>
  </conditionalFormatting>
  <conditionalFormatting sqref="Q215:T218 Q223:T230 Q203:T206">
    <cfRule type="cellIs" dxfId="135" priority="17" operator="greaterThan">
      <formula>0.03</formula>
    </cfRule>
    <cfRule type="cellIs" dxfId="134" priority="18" stopIfTrue="1" operator="lessThan">
      <formula>-0.03</formula>
    </cfRule>
  </conditionalFormatting>
  <conditionalFormatting sqref="Q219:T222">
    <cfRule type="cellIs" dxfId="133" priority="15" operator="greaterThan">
      <formula>0.03</formula>
    </cfRule>
    <cfRule type="cellIs" dxfId="132" priority="16" stopIfTrue="1" operator="lessThan">
      <formula>-0.03</formula>
    </cfRule>
  </conditionalFormatting>
  <conditionalFormatting sqref="Q232:T234 Q244:T246">
    <cfRule type="cellIs" dxfId="131" priority="13" operator="greaterThan">
      <formula>0.03</formula>
    </cfRule>
    <cfRule type="cellIs" dxfId="130" priority="14" stopIfTrue="1" operator="lessThan">
      <formula>-0.03</formula>
    </cfRule>
  </conditionalFormatting>
  <conditionalFormatting sqref="Q236:T238 Q240:T242">
    <cfRule type="cellIs" dxfId="129" priority="11" operator="greaterThan">
      <formula>0.03</formula>
    </cfRule>
    <cfRule type="cellIs" dxfId="128" priority="12" stopIfTrue="1" operator="lessThan">
      <formula>-0.03</formula>
    </cfRule>
  </conditionalFormatting>
  <conditionalFormatting sqref="Q207:T214">
    <cfRule type="cellIs" dxfId="127" priority="9" operator="greaterThan">
      <formula>0.03</formula>
    </cfRule>
    <cfRule type="cellIs" dxfId="126" priority="10" stopIfTrue="1" operator="lessThan">
      <formula>-0.03</formula>
    </cfRule>
  </conditionalFormatting>
  <conditionalFormatting sqref="Q231:T231">
    <cfRule type="cellIs" dxfId="125" priority="7" operator="greaterThan">
      <formula>0.03</formula>
    </cfRule>
    <cfRule type="cellIs" dxfId="124" priority="8" stopIfTrue="1" operator="lessThan">
      <formula>-0.03</formula>
    </cfRule>
  </conditionalFormatting>
  <conditionalFormatting sqref="Q235:T235">
    <cfRule type="cellIs" dxfId="123" priority="5" operator="greaterThan">
      <formula>0.03</formula>
    </cfRule>
    <cfRule type="cellIs" dxfId="122" priority="6" stopIfTrue="1" operator="lessThan">
      <formula>-0.03</formula>
    </cfRule>
  </conditionalFormatting>
  <conditionalFormatting sqref="Q243:T243">
    <cfRule type="cellIs" dxfId="121" priority="1" operator="greaterThan">
      <formula>0.03</formula>
    </cfRule>
    <cfRule type="cellIs" dxfId="120" priority="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148</v>
      </c>
    </row>
    <row r="2" spans="1:21" x14ac:dyDescent="0.25">
      <c r="A2" t="s">
        <v>85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152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146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4274.2587890625</v>
      </c>
      <c r="D9" s="16">
        <v>38.317</v>
      </c>
      <c r="E9" s="16">
        <v>39.488999999999997</v>
      </c>
      <c r="F9" s="16">
        <v>41.970999999999997</v>
      </c>
      <c r="G9" s="16">
        <v>1.56</v>
      </c>
      <c r="H9" s="16">
        <f t="shared" ref="H9:H80" si="0">(6*D9+E9+F9)/8</f>
        <v>38.920249999999996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-0.20852131483968295</v>
      </c>
      <c r="R9" s="8">
        <f>bdrate(C9:C12,E9:E12,J9:J12,L9:L12)</f>
        <v>-0.42837226792504168</v>
      </c>
      <c r="S9" s="8">
        <f>bdrate(C9:C12,F9:F12,J9:J12,M9:M12)</f>
        <v>-0.40660721990500659</v>
      </c>
      <c r="T9" s="25">
        <f>bdrate(C9:C12,H9:H12,J9:J12,O9:O12)</f>
        <v>-0.24644298085847216</v>
      </c>
      <c r="U9" s="28">
        <f t="shared" ref="U9:U72" si="2">(N9-G9)/G9</f>
        <v>1.4833974358974358</v>
      </c>
    </row>
    <row r="10" spans="1:21" x14ac:dyDescent="0.25">
      <c r="A10" s="9" t="s">
        <v>36</v>
      </c>
      <c r="B10" s="9"/>
      <c r="C10" s="17">
        <v>3164.6015625</v>
      </c>
      <c r="D10" s="18">
        <v>37.188000000000002</v>
      </c>
      <c r="E10" s="18">
        <v>38.786999999999999</v>
      </c>
      <c r="F10" s="18">
        <v>41.180999999999997</v>
      </c>
      <c r="G10" s="18">
        <v>1.75</v>
      </c>
      <c r="H10" s="18">
        <f t="shared" si="0"/>
        <v>37.887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1.5735428571428574</v>
      </c>
    </row>
    <row r="11" spans="1:21" x14ac:dyDescent="0.25">
      <c r="B11" s="9"/>
      <c r="C11" s="17">
        <v>2099.3671875</v>
      </c>
      <c r="D11" s="18">
        <v>35.57</v>
      </c>
      <c r="E11" s="18">
        <v>37.832000000000001</v>
      </c>
      <c r="F11" s="18">
        <v>40.192999999999998</v>
      </c>
      <c r="G11" s="18">
        <v>2.06</v>
      </c>
      <c r="H11" s="18">
        <f t="shared" si="0"/>
        <v>36.430624999999999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1.7264563106796118</v>
      </c>
    </row>
    <row r="12" spans="1:21" ht="16.5" thickBot="1" x14ac:dyDescent="0.3">
      <c r="B12" s="12"/>
      <c r="C12" s="19">
        <v>1056.3671875</v>
      </c>
      <c r="D12" s="20">
        <v>32.756999999999998</v>
      </c>
      <c r="E12" s="20">
        <v>36.201000000000001</v>
      </c>
      <c r="F12" s="20">
        <v>38.619999999999997</v>
      </c>
      <c r="G12" s="20">
        <v>2.52</v>
      </c>
      <c r="H12" s="20">
        <f t="shared" si="0"/>
        <v>33.920374999999993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2.1744444444444442</v>
      </c>
    </row>
    <row r="13" spans="1:21" x14ac:dyDescent="0.25">
      <c r="B13" s="6" t="s">
        <v>47</v>
      </c>
      <c r="C13" s="15">
        <v>4885.2216796875</v>
      </c>
      <c r="D13" s="16">
        <v>29.326000000000001</v>
      </c>
      <c r="E13" s="16">
        <v>40.204000000000001</v>
      </c>
      <c r="F13" s="16">
        <v>41.026000000000003</v>
      </c>
      <c r="G13" s="16">
        <v>1.85</v>
      </c>
      <c r="H13" s="16">
        <f t="shared" si="0"/>
        <v>32.148250000000004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-0.19750674188568784</v>
      </c>
      <c r="R13" s="8">
        <f>bdrate(C13:C16,E13:E16,J13:J16,L13:L16)</f>
        <v>-0.43658407397571386</v>
      </c>
      <c r="S13" s="8">
        <f>bdrate(C13:C16,F13:F16,J13:J16,M13:M16)</f>
        <v>-0.45467992122309431</v>
      </c>
      <c r="T13" s="25">
        <f>bdrate(C13:C16,H13:H16,J13:J16,O13:O16)</f>
        <v>-0.2336303334865486</v>
      </c>
      <c r="U13" s="28">
        <f t="shared" si="2"/>
        <v>0.3042702702702702</v>
      </c>
    </row>
    <row r="14" spans="1:21" x14ac:dyDescent="0.25">
      <c r="B14" s="9"/>
      <c r="C14" s="17">
        <v>3888.0546875</v>
      </c>
      <c r="D14" s="18">
        <v>28.600999999999999</v>
      </c>
      <c r="E14" s="18">
        <v>39.51</v>
      </c>
      <c r="F14" s="18">
        <v>40.442</v>
      </c>
      <c r="G14" s="18">
        <v>1.92</v>
      </c>
      <c r="H14" s="18">
        <f t="shared" si="0"/>
        <v>31.444749999999999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0.47255208333333348</v>
      </c>
    </row>
    <row r="15" spans="1:21" x14ac:dyDescent="0.25">
      <c r="B15" s="9"/>
      <c r="C15" s="17">
        <v>3144</v>
      </c>
      <c r="D15" s="18">
        <v>28.033000000000001</v>
      </c>
      <c r="E15" s="18">
        <v>38.555</v>
      </c>
      <c r="F15" s="18">
        <v>39.637999999999998</v>
      </c>
      <c r="G15" s="18">
        <v>1.93</v>
      </c>
      <c r="H15" s="18">
        <f t="shared" si="0"/>
        <v>30.798875000000002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0.7939896373056996</v>
      </c>
    </row>
    <row r="16" spans="1:21" ht="16.5" thickBot="1" x14ac:dyDescent="0.3">
      <c r="B16" s="12"/>
      <c r="C16" s="19">
        <v>2722.0654296875</v>
      </c>
      <c r="D16" s="20">
        <v>27.611999999999998</v>
      </c>
      <c r="E16" s="20">
        <v>37.704000000000001</v>
      </c>
      <c r="F16" s="20">
        <v>38.893999999999998</v>
      </c>
      <c r="G16" s="20">
        <v>1.9</v>
      </c>
      <c r="H16" s="20">
        <f t="shared" si="0"/>
        <v>30.283750000000001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1.0998947368421053</v>
      </c>
    </row>
    <row r="17" spans="1:21" x14ac:dyDescent="0.25">
      <c r="A17" s="6" t="s">
        <v>37</v>
      </c>
      <c r="B17" s="6" t="s">
        <v>48</v>
      </c>
      <c r="C17" s="15">
        <v>2182.470703125</v>
      </c>
      <c r="D17" s="16">
        <v>38.820999999999998</v>
      </c>
      <c r="E17" s="16">
        <v>41.878</v>
      </c>
      <c r="F17" s="16">
        <v>43.222999999999999</v>
      </c>
      <c r="G17" s="16">
        <v>2.77</v>
      </c>
      <c r="H17" s="16">
        <f t="shared" si="0"/>
        <v>39.753374999999998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-0.14545995569938908</v>
      </c>
      <c r="R17" s="8">
        <f>bdrate(C17:C20,E17:E20,J17:J20,L17:L20)</f>
        <v>-0.1763484601585561</v>
      </c>
      <c r="S17" s="8">
        <f>bdrate(C17:C20,F17:F20,J17:J20,M17:M20)</f>
        <v>-0.19913165165970348</v>
      </c>
      <c r="T17" s="25">
        <f>bdrate(C17:C20,H17:H20,J17:J20,O17:O20)</f>
        <v>-0.15340850247114801</v>
      </c>
      <c r="U17" s="28">
        <f t="shared" si="2"/>
        <v>1.2039711191335742</v>
      </c>
    </row>
    <row r="18" spans="1:21" x14ac:dyDescent="0.25">
      <c r="A18" s="9" t="s">
        <v>38</v>
      </c>
      <c r="B18" s="9"/>
      <c r="C18" s="17">
        <v>1528.2158203125</v>
      </c>
      <c r="D18" s="18">
        <v>37.679000000000002</v>
      </c>
      <c r="E18" s="18">
        <v>41.268999999999998</v>
      </c>
      <c r="F18" s="18">
        <v>42.514000000000003</v>
      </c>
      <c r="G18" s="18">
        <v>3.27</v>
      </c>
      <c r="H18" s="18">
        <f t="shared" si="0"/>
        <v>38.732125000000003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1.2414678899082567</v>
      </c>
    </row>
    <row r="19" spans="1:21" x14ac:dyDescent="0.25">
      <c r="B19" s="9"/>
      <c r="C19" s="17">
        <v>980.3564453125</v>
      </c>
      <c r="D19" s="18">
        <v>36.258000000000003</v>
      </c>
      <c r="E19" s="18">
        <v>40.457000000000001</v>
      </c>
      <c r="F19" s="18">
        <v>41.655000000000001</v>
      </c>
      <c r="G19" s="18">
        <v>3.85</v>
      </c>
      <c r="H19" s="18">
        <f t="shared" si="0"/>
        <v>37.457499999999996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1.3533506493506493</v>
      </c>
    </row>
    <row r="20" spans="1:21" ht="16.5" thickBot="1" x14ac:dyDescent="0.3">
      <c r="B20" s="12"/>
      <c r="C20" s="19">
        <v>598.17578125</v>
      </c>
      <c r="D20" s="20">
        <v>34.695999999999998</v>
      </c>
      <c r="E20" s="20">
        <v>39.512</v>
      </c>
      <c r="F20" s="20">
        <v>40.799999999999997</v>
      </c>
      <c r="G20" s="20">
        <v>4.45</v>
      </c>
      <c r="H20" s="20">
        <f t="shared" si="0"/>
        <v>36.061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1.5935280898876403</v>
      </c>
    </row>
    <row r="21" spans="1:21" x14ac:dyDescent="0.25">
      <c r="B21" s="6" t="s">
        <v>49</v>
      </c>
      <c r="C21" s="15">
        <v>2542.611328125</v>
      </c>
      <c r="D21" s="16">
        <v>36.295999999999999</v>
      </c>
      <c r="E21" s="16">
        <v>39.923000000000002</v>
      </c>
      <c r="F21" s="16">
        <v>41.006</v>
      </c>
      <c r="G21" s="16">
        <v>2.63</v>
      </c>
      <c r="H21" s="16">
        <f t="shared" si="0"/>
        <v>37.338125000000005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-0.15610717052260648</v>
      </c>
      <c r="R21" s="8">
        <f>bdrate(C21:C24,E21:E24,J21:J24,L21:L24)</f>
        <v>-0.31432682610399632</v>
      </c>
      <c r="S21" s="8">
        <f>bdrate(C21:C24,F21:F24,J21:J24,M21:M24)</f>
        <v>-0.34521139424350378</v>
      </c>
      <c r="T21" s="25">
        <f>bdrate(C21:C24,H21:H24,J21:J24,O21:O24)</f>
        <v>-0.19000505985219407</v>
      </c>
      <c r="U21" s="28">
        <f t="shared" si="2"/>
        <v>1.2489733840304182</v>
      </c>
    </row>
    <row r="22" spans="1:21" x14ac:dyDescent="0.25">
      <c r="B22" s="9"/>
      <c r="C22" s="17">
        <v>1708.75</v>
      </c>
      <c r="D22" s="18">
        <v>34.959000000000003</v>
      </c>
      <c r="E22" s="18">
        <v>38.954999999999998</v>
      </c>
      <c r="F22" s="18">
        <v>40.084000000000003</v>
      </c>
      <c r="G22" s="18">
        <v>3.09</v>
      </c>
      <c r="H22" s="18">
        <f t="shared" si="0"/>
        <v>36.099125000000001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1.3663106796116504</v>
      </c>
    </row>
    <row r="23" spans="1:21" x14ac:dyDescent="0.25">
      <c r="B23" s="9"/>
      <c r="C23" s="17">
        <v>1051.8291015625</v>
      </c>
      <c r="D23" s="18">
        <v>33.402999999999999</v>
      </c>
      <c r="E23" s="18">
        <v>37.798000000000002</v>
      </c>
      <c r="F23" s="18">
        <v>39.133000000000003</v>
      </c>
      <c r="G23" s="18">
        <v>3.81</v>
      </c>
      <c r="H23" s="18">
        <f t="shared" si="0"/>
        <v>34.668624999999999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1.4502887139107608</v>
      </c>
    </row>
    <row r="24" spans="1:21" ht="16.5" thickBot="1" x14ac:dyDescent="0.3">
      <c r="B24" s="12"/>
      <c r="C24" s="19">
        <v>628.4326171875</v>
      </c>
      <c r="D24" s="20">
        <v>31.815999999999999</v>
      </c>
      <c r="E24" s="20">
        <v>36.756999999999998</v>
      </c>
      <c r="F24" s="20">
        <v>38.404000000000003</v>
      </c>
      <c r="G24" s="20">
        <v>4.51</v>
      </c>
      <c r="H24" s="20">
        <f t="shared" si="0"/>
        <v>33.257125000000002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1.6280266075388026</v>
      </c>
    </row>
    <row r="25" spans="1:21" x14ac:dyDescent="0.25">
      <c r="B25" s="6" t="s">
        <v>50</v>
      </c>
      <c r="C25" s="15">
        <v>2463.8388671875</v>
      </c>
      <c r="D25" s="16">
        <v>34.143000000000001</v>
      </c>
      <c r="E25" s="16">
        <v>38.078000000000003</v>
      </c>
      <c r="F25" s="16">
        <v>39.954000000000001</v>
      </c>
      <c r="G25" s="16">
        <v>4.43</v>
      </c>
      <c r="H25" s="16">
        <f t="shared" si="0"/>
        <v>35.361249999999998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-0.29158328684058332</v>
      </c>
      <c r="R25" s="8">
        <f>bdrate(C25:C28,E25:E28,J25:J28,L25:L28)</f>
        <v>-0.46030619181606913</v>
      </c>
      <c r="S25" s="8">
        <f>bdrate(C25:C28,F25:F28,J25:J28,M25:M28)</f>
        <v>-0.46458918151442341</v>
      </c>
      <c r="T25" s="25">
        <f>bdrate(C25:C28,H25:H28,J25:J28,O25:O28)</f>
        <v>-0.32572743065777199</v>
      </c>
      <c r="U25" s="28">
        <f t="shared" si="2"/>
        <v>0.84758465011286677</v>
      </c>
    </row>
    <row r="26" spans="1:21" x14ac:dyDescent="0.25">
      <c r="B26" s="9"/>
      <c r="C26" s="17">
        <v>1639.4072265625</v>
      </c>
      <c r="D26" s="18">
        <v>32.835999999999999</v>
      </c>
      <c r="E26" s="18">
        <v>37.404000000000003</v>
      </c>
      <c r="F26" s="18">
        <v>38.804000000000002</v>
      </c>
      <c r="G26" s="18">
        <v>5.03</v>
      </c>
      <c r="H26" s="18">
        <f t="shared" si="0"/>
        <v>34.152999999999999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1.0088469184890654</v>
      </c>
    </row>
    <row r="27" spans="1:21" x14ac:dyDescent="0.25">
      <c r="B27" s="9"/>
      <c r="C27" s="17">
        <v>1023.89453125</v>
      </c>
      <c r="D27" s="18">
        <v>31.286000000000001</v>
      </c>
      <c r="E27" s="18">
        <v>36.536999999999999</v>
      </c>
      <c r="F27" s="18">
        <v>37.444000000000003</v>
      </c>
      <c r="G27" s="18">
        <v>5.5</v>
      </c>
      <c r="H27" s="18">
        <f t="shared" si="0"/>
        <v>32.712125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1.3189272727272725</v>
      </c>
    </row>
    <row r="28" spans="1:21" ht="16.5" thickBot="1" x14ac:dyDescent="0.3">
      <c r="B28" s="12"/>
      <c r="C28" s="19">
        <v>641.125</v>
      </c>
      <c r="D28" s="20">
        <v>29.734000000000002</v>
      </c>
      <c r="E28" s="20">
        <v>35.576000000000001</v>
      </c>
      <c r="F28" s="20">
        <v>36.027999999999999</v>
      </c>
      <c r="G28" s="20">
        <v>6.01</v>
      </c>
      <c r="H28" s="20">
        <f t="shared" si="0"/>
        <v>31.250999999999998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1.7251081530782031</v>
      </c>
    </row>
    <row r="29" spans="1:21" x14ac:dyDescent="0.25">
      <c r="B29" s="6" t="s">
        <v>51</v>
      </c>
      <c r="C29" s="29">
        <v>2397.9130859375</v>
      </c>
      <c r="D29" s="30">
        <v>33.89</v>
      </c>
      <c r="E29" s="30">
        <v>40.25</v>
      </c>
      <c r="F29" s="30">
        <v>39.567999999999998</v>
      </c>
      <c r="G29" s="16">
        <v>3.97</v>
      </c>
      <c r="H29" s="16">
        <f t="shared" si="0"/>
        <v>35.394750000000002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-0.17537285495664012</v>
      </c>
      <c r="R29" s="8">
        <f>bdrate(C29:C32,E29:E32,J29:J32,L29:L32)</f>
        <v>-0.36833914892279496</v>
      </c>
      <c r="S29" s="8">
        <f>bdrate(C29:C32,F29:F32,J29:J32,M29:M32)</f>
        <v>-0.4240830412905563</v>
      </c>
      <c r="T29" s="25">
        <f>bdrate(C29:C32,H29:H32,J29:J32,O29:O32)</f>
        <v>-0.2261353290882766</v>
      </c>
      <c r="U29" s="28">
        <f t="shared" si="2"/>
        <v>0.73433249370277065</v>
      </c>
    </row>
    <row r="30" spans="1:21" x14ac:dyDescent="0.25">
      <c r="B30" s="9"/>
      <c r="C30" s="31">
        <v>1611.7451171875</v>
      </c>
      <c r="D30" s="32">
        <v>32.688000000000002</v>
      </c>
      <c r="E30" s="32">
        <v>39.384</v>
      </c>
      <c r="F30" s="32">
        <v>38.302999999999997</v>
      </c>
      <c r="G30" s="18">
        <v>4.3499999999999996</v>
      </c>
      <c r="H30" s="18">
        <f t="shared" si="0"/>
        <v>34.226875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0.93947126436781625</v>
      </c>
    </row>
    <row r="31" spans="1:21" x14ac:dyDescent="0.25">
      <c r="B31" s="9"/>
      <c r="C31" s="31">
        <v>1046.9033203125</v>
      </c>
      <c r="D31" s="32">
        <v>31.359000000000002</v>
      </c>
      <c r="E31" s="32">
        <v>38.335000000000001</v>
      </c>
      <c r="F31" s="32">
        <v>37.005000000000003</v>
      </c>
      <c r="G31" s="18">
        <v>4.84</v>
      </c>
      <c r="H31" s="18">
        <f t="shared" si="0"/>
        <v>32.936750000000004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1.1884090909090912</v>
      </c>
    </row>
    <row r="32" spans="1:21" ht="16.5" thickBot="1" x14ac:dyDescent="0.3">
      <c r="B32" s="12"/>
      <c r="C32" s="33">
        <v>821.109375</v>
      </c>
      <c r="D32" s="34">
        <v>30.548999999999999</v>
      </c>
      <c r="E32" s="34">
        <v>37.597000000000001</v>
      </c>
      <c r="F32" s="34">
        <v>36.173999999999999</v>
      </c>
      <c r="G32" s="20">
        <v>4.7699999999999996</v>
      </c>
      <c r="H32" s="20">
        <f t="shared" si="0"/>
        <v>32.133125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1.7731446540880507</v>
      </c>
    </row>
    <row r="33" spans="1:21" x14ac:dyDescent="0.25">
      <c r="B33" s="6" t="s">
        <v>52</v>
      </c>
      <c r="C33" s="15">
        <v>2578.4072265625</v>
      </c>
      <c r="D33" s="16">
        <v>33.630000000000003</v>
      </c>
      <c r="E33" s="16">
        <v>39.46</v>
      </c>
      <c r="F33" s="16">
        <v>41.91</v>
      </c>
      <c r="G33" s="16">
        <v>2.64</v>
      </c>
      <c r="H33" s="16">
        <f t="shared" si="0"/>
        <v>35.393750000000004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-0.34360826182785031</v>
      </c>
      <c r="R33" s="8">
        <f>bdrate(C33:C36,E33:E36,J33:J36,L33:L36)</f>
        <v>-0.49081155838799839</v>
      </c>
      <c r="S33" s="8">
        <f>bdrate(C33:C36,F33:F36,J33:J36,M33:M36)</f>
        <v>-0.48446774004190685</v>
      </c>
      <c r="T33" s="25">
        <f>bdrate(C33:C36,H33:H36,J33:J36,O33:O36)</f>
        <v>-0.37026291498442454</v>
      </c>
      <c r="U33" s="28">
        <f t="shared" si="2"/>
        <v>2.9299999999999993</v>
      </c>
    </row>
    <row r="34" spans="1:21" x14ac:dyDescent="0.25">
      <c r="B34" s="9"/>
      <c r="C34" s="17">
        <v>1727.2724609375</v>
      </c>
      <c r="D34" s="18">
        <v>32.768000000000001</v>
      </c>
      <c r="E34" s="18">
        <v>38.835000000000001</v>
      </c>
      <c r="F34" s="18">
        <v>41.408999999999999</v>
      </c>
      <c r="G34" s="18">
        <v>3.28</v>
      </c>
      <c r="H34" s="18">
        <f t="shared" si="0"/>
        <v>34.606500000000004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2.9335670731707322</v>
      </c>
    </row>
    <row r="35" spans="1:21" x14ac:dyDescent="0.25">
      <c r="B35" s="9"/>
      <c r="C35" s="17">
        <v>1083.28515625</v>
      </c>
      <c r="D35" s="18">
        <v>31.574000000000002</v>
      </c>
      <c r="E35" s="18">
        <v>38.116</v>
      </c>
      <c r="F35" s="18">
        <v>40.805999999999997</v>
      </c>
      <c r="G35" s="18">
        <v>4.13</v>
      </c>
      <c r="H35" s="18">
        <f t="shared" si="0"/>
        <v>33.545749999999998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2.9344309927360772</v>
      </c>
    </row>
    <row r="36" spans="1:21" ht="16.5" thickBot="1" x14ac:dyDescent="0.3">
      <c r="B36" s="12"/>
      <c r="C36" s="19">
        <v>670.1943359375</v>
      </c>
      <c r="D36" s="20">
        <v>30.178000000000001</v>
      </c>
      <c r="E36" s="20">
        <v>37.412999999999997</v>
      </c>
      <c r="F36" s="20">
        <v>40.161000000000001</v>
      </c>
      <c r="G36" s="20">
        <v>4.67</v>
      </c>
      <c r="H36" s="20">
        <f t="shared" si="0"/>
        <v>32.330249999999999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3.3461027837259096</v>
      </c>
    </row>
    <row r="37" spans="1:21" x14ac:dyDescent="0.25">
      <c r="A37" s="6" t="s">
        <v>39</v>
      </c>
      <c r="B37" s="6" t="s">
        <v>53</v>
      </c>
      <c r="C37" s="15">
        <v>1241.58984375</v>
      </c>
      <c r="D37" s="16">
        <v>35.973999999999997</v>
      </c>
      <c r="E37" s="16">
        <v>40.192999999999998</v>
      </c>
      <c r="F37" s="16">
        <v>40.046999999999997</v>
      </c>
      <c r="G37" s="16">
        <v>18.059999999999999</v>
      </c>
      <c r="H37" s="16">
        <f t="shared" si="0"/>
        <v>37.010499999999993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-0.1572190075796015</v>
      </c>
      <c r="R37" s="8">
        <f>bdrate(C37:C40,E37:E40,J37:J40,L37:L40)</f>
        <v>-0.1835144883215194</v>
      </c>
      <c r="S37" s="8">
        <f>bdrate(C37:C40,F37:F40,J37:J40,M37:M40)</f>
        <v>-0.1981188791159002</v>
      </c>
      <c r="T37" s="25">
        <f>bdrate(C37:C40,H37:H40,J37:J40,O37:O40)</f>
        <v>-0.16761283724647003</v>
      </c>
      <c r="U37" s="28">
        <f t="shared" si="2"/>
        <v>0.18238095238095245</v>
      </c>
    </row>
    <row r="38" spans="1:21" x14ac:dyDescent="0.25">
      <c r="A38" s="9" t="s">
        <v>40</v>
      </c>
      <c r="B38" s="9"/>
      <c r="C38" s="17">
        <v>852.6416015625</v>
      </c>
      <c r="D38" s="18">
        <v>34.369</v>
      </c>
      <c r="E38" s="18">
        <v>38.924999999999997</v>
      </c>
      <c r="F38" s="18">
        <v>38.564999999999998</v>
      </c>
      <c r="G38" s="18">
        <v>20.73</v>
      </c>
      <c r="H38" s="18">
        <f t="shared" si="0"/>
        <v>35.463000000000001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0.2339315002411963</v>
      </c>
    </row>
    <row r="39" spans="1:21" x14ac:dyDescent="0.25">
      <c r="B39" s="9"/>
      <c r="C39" s="17">
        <v>527.6826171875</v>
      </c>
      <c r="D39" s="18">
        <v>32.622</v>
      </c>
      <c r="E39" s="18">
        <v>37.362000000000002</v>
      </c>
      <c r="F39" s="18">
        <v>36.837000000000003</v>
      </c>
      <c r="G39" s="18">
        <v>20.88</v>
      </c>
      <c r="H39" s="18">
        <f t="shared" si="0"/>
        <v>33.741374999999998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0.48173850574712657</v>
      </c>
    </row>
    <row r="40" spans="1:21" ht="16.5" thickBot="1" x14ac:dyDescent="0.3">
      <c r="B40" s="12"/>
      <c r="C40" s="19">
        <v>314.4765625</v>
      </c>
      <c r="D40" s="20">
        <v>30.888999999999999</v>
      </c>
      <c r="E40" s="20">
        <v>35.753</v>
      </c>
      <c r="F40" s="20">
        <v>35.082000000000001</v>
      </c>
      <c r="G40" s="20">
        <v>23.11</v>
      </c>
      <c r="H40" s="20">
        <f t="shared" si="0"/>
        <v>32.021124999999998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0.72080484638684561</v>
      </c>
    </row>
    <row r="41" spans="1:21" x14ac:dyDescent="0.25">
      <c r="B41" s="6" t="s">
        <v>54</v>
      </c>
      <c r="C41" s="15">
        <v>1289.328125</v>
      </c>
      <c r="D41" s="16">
        <v>35.122</v>
      </c>
      <c r="E41" s="16">
        <v>40.493000000000002</v>
      </c>
      <c r="F41" s="16">
        <v>41.325000000000003</v>
      </c>
      <c r="G41" s="16">
        <v>15.32</v>
      </c>
      <c r="H41" s="16">
        <f t="shared" si="0"/>
        <v>36.568750000000001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-0.29348190491708914</v>
      </c>
      <c r="R41" s="8">
        <f>bdrate(C41:C44,E41:E44,J41:J44,L41:L44)</f>
        <v>-0.38521103523150813</v>
      </c>
      <c r="S41" s="8">
        <f>bdrate(C41:C44,F41:F44,J41:J44,M41:M44)</f>
        <v>-0.37853357290397505</v>
      </c>
      <c r="T41" s="25">
        <f>bdrate(C41:C44,H41:H44,J41:J44,O41:O44)</f>
        <v>-0.31303314074871535</v>
      </c>
      <c r="U41" s="28">
        <f t="shared" si="2"/>
        <v>0.69060052219321133</v>
      </c>
    </row>
    <row r="42" spans="1:21" x14ac:dyDescent="0.25">
      <c r="B42" s="9"/>
      <c r="C42" s="17">
        <v>859.1025390625</v>
      </c>
      <c r="D42" s="18">
        <v>33.54</v>
      </c>
      <c r="E42" s="18">
        <v>39.301000000000002</v>
      </c>
      <c r="F42" s="18">
        <v>39.987000000000002</v>
      </c>
      <c r="G42" s="18">
        <v>16.79</v>
      </c>
      <c r="H42" s="18">
        <f t="shared" si="0"/>
        <v>35.066000000000003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0.84147111375818939</v>
      </c>
    </row>
    <row r="43" spans="1:21" x14ac:dyDescent="0.25">
      <c r="B43" s="9"/>
      <c r="C43" s="17">
        <v>535.4921875</v>
      </c>
      <c r="D43" s="18">
        <v>31.684000000000001</v>
      </c>
      <c r="E43" s="18">
        <v>37.915999999999997</v>
      </c>
      <c r="F43" s="18">
        <v>38.447000000000003</v>
      </c>
      <c r="G43" s="18">
        <v>18.170000000000002</v>
      </c>
      <c r="H43" s="18">
        <f t="shared" si="0"/>
        <v>33.308374999999998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1.0773417721518985</v>
      </c>
    </row>
    <row r="44" spans="1:21" ht="16.5" thickBot="1" x14ac:dyDescent="0.3">
      <c r="B44" s="12"/>
      <c r="C44" s="19">
        <v>330.7978515625</v>
      </c>
      <c r="D44" s="20">
        <v>29.777000000000001</v>
      </c>
      <c r="E44" s="20">
        <v>36.530999999999999</v>
      </c>
      <c r="F44" s="20">
        <v>36.956000000000003</v>
      </c>
      <c r="G44" s="20">
        <v>19.36</v>
      </c>
      <c r="H44" s="20">
        <f t="shared" si="0"/>
        <v>31.518625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1.4495506198347108</v>
      </c>
    </row>
    <row r="45" spans="1:21" x14ac:dyDescent="0.25">
      <c r="B45" s="6" t="s">
        <v>55</v>
      </c>
      <c r="C45" s="15">
        <v>1384.5625</v>
      </c>
      <c r="D45" s="16">
        <v>30.640999999999998</v>
      </c>
      <c r="E45" s="16">
        <v>36.945</v>
      </c>
      <c r="F45" s="16">
        <v>37.695999999999998</v>
      </c>
      <c r="G45" s="16">
        <v>11.26</v>
      </c>
      <c r="H45" s="16">
        <f t="shared" si="0"/>
        <v>32.310874999999996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-0.27176769383426003</v>
      </c>
      <c r="R45" s="8">
        <f>bdrate(C45:C48,E45:E48,J45:J48,L45:L48)</f>
        <v>-0.32146011312617773</v>
      </c>
      <c r="S45" s="8">
        <f>bdrate(C45:C48,F45:F48,J45:J48,M45:M48)</f>
        <v>-0.31175464521461149</v>
      </c>
      <c r="T45" s="25">
        <f>bdrate(C45:C48,H45:H48,J45:J48,O45:O48)</f>
        <v>-0.28262193479410447</v>
      </c>
      <c r="U45" s="28">
        <f t="shared" si="2"/>
        <v>1.1678952042628774</v>
      </c>
    </row>
    <row r="46" spans="1:21" x14ac:dyDescent="0.25">
      <c r="B46" s="9"/>
      <c r="C46" s="17">
        <v>960.390625</v>
      </c>
      <c r="D46" s="18">
        <v>29.265000000000001</v>
      </c>
      <c r="E46" s="18">
        <v>36.042999999999999</v>
      </c>
      <c r="F46" s="18">
        <v>36.789000000000001</v>
      </c>
      <c r="G46" s="18">
        <v>11.67</v>
      </c>
      <c r="H46" s="18">
        <f t="shared" si="0"/>
        <v>31.052750000000003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1.5763581833761779</v>
      </c>
    </row>
    <row r="47" spans="1:21" x14ac:dyDescent="0.25">
      <c r="B47" s="9"/>
      <c r="C47" s="17">
        <v>597.5751953125</v>
      </c>
      <c r="D47" s="18">
        <v>27.797999999999998</v>
      </c>
      <c r="E47" s="18">
        <v>34.901000000000003</v>
      </c>
      <c r="F47" s="18">
        <v>35.695</v>
      </c>
      <c r="G47" s="18">
        <v>12.52</v>
      </c>
      <c r="H47" s="18">
        <f t="shared" si="0"/>
        <v>29.672999999999998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2.05508785942492</v>
      </c>
    </row>
    <row r="48" spans="1:21" ht="16.5" thickBot="1" x14ac:dyDescent="0.3">
      <c r="B48" s="12"/>
      <c r="C48" s="19">
        <v>362.5087890625</v>
      </c>
      <c r="D48" s="20">
        <v>26.428000000000001</v>
      </c>
      <c r="E48" s="20">
        <v>33.780999999999999</v>
      </c>
      <c r="F48" s="20">
        <v>34.567999999999998</v>
      </c>
      <c r="G48" s="20">
        <v>13.58</v>
      </c>
      <c r="H48" s="20">
        <f t="shared" si="0"/>
        <v>28.364625000000004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2.5436818851251841</v>
      </c>
    </row>
    <row r="49" spans="1:21" x14ac:dyDescent="0.25">
      <c r="B49" s="6" t="s">
        <v>56</v>
      </c>
      <c r="C49" s="15">
        <v>1272.0654296875</v>
      </c>
      <c r="D49" s="16">
        <v>32.692999999999998</v>
      </c>
      <c r="E49" s="16">
        <v>37.213000000000001</v>
      </c>
      <c r="F49" s="16">
        <v>38.935000000000002</v>
      </c>
      <c r="G49" s="16">
        <v>12.45</v>
      </c>
      <c r="H49" s="16">
        <f t="shared" si="0"/>
        <v>34.038249999999998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-0.20290076720072336</v>
      </c>
      <c r="R49" s="8">
        <f>bdrate(C49:C52,E49:E52,J49:J52,L49:L52)</f>
        <v>-0.27695021048942514</v>
      </c>
      <c r="S49" s="8">
        <f>bdrate(C49:C52,F49:F52,J49:J52,M49:M52)</f>
        <v>-0.24903747351373962</v>
      </c>
      <c r="T49" s="25">
        <f>bdrate(C49:C52,H49:H52,J49:J52,O49:O52)</f>
        <v>-0.21908972870258259</v>
      </c>
      <c r="U49" s="28">
        <f t="shared" si="2"/>
        <v>0.26823293172690771</v>
      </c>
    </row>
    <row r="50" spans="1:21" x14ac:dyDescent="0.25">
      <c r="B50" s="9"/>
      <c r="C50" s="17">
        <v>919.0859375</v>
      </c>
      <c r="D50" s="18">
        <v>31.358000000000001</v>
      </c>
      <c r="E50" s="18">
        <v>36.292999999999999</v>
      </c>
      <c r="F50" s="18">
        <v>37.991999999999997</v>
      </c>
      <c r="G50" s="18">
        <v>13.28</v>
      </c>
      <c r="H50" s="18">
        <f t="shared" si="0"/>
        <v>32.804124999999999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0.42525602409638552</v>
      </c>
    </row>
    <row r="51" spans="1:21" x14ac:dyDescent="0.25">
      <c r="B51" s="9"/>
      <c r="C51" s="17">
        <v>607.20703125</v>
      </c>
      <c r="D51" s="18">
        <v>29.888000000000002</v>
      </c>
      <c r="E51" s="18">
        <v>35.213000000000001</v>
      </c>
      <c r="F51" s="18">
        <v>36.845999999999997</v>
      </c>
      <c r="G51" s="18">
        <v>13.68</v>
      </c>
      <c r="H51" s="18">
        <f t="shared" si="0"/>
        <v>31.423375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0.69172514619883052</v>
      </c>
    </row>
    <row r="52" spans="1:21" ht="16.5" thickBot="1" x14ac:dyDescent="0.3">
      <c r="B52" s="12"/>
      <c r="C52" s="19">
        <v>362.2685546875</v>
      </c>
      <c r="D52" s="20">
        <v>28.411000000000001</v>
      </c>
      <c r="E52" s="20">
        <v>34.052</v>
      </c>
      <c r="F52" s="20">
        <v>35.630000000000003</v>
      </c>
      <c r="G52" s="20">
        <v>14.97</v>
      </c>
      <c r="H52" s="20">
        <f t="shared" si="0"/>
        <v>30.0185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0.98869739478957919</v>
      </c>
    </row>
    <row r="53" spans="1:21" x14ac:dyDescent="0.25">
      <c r="A53" s="6" t="s">
        <v>41</v>
      </c>
      <c r="B53" s="6" t="s">
        <v>57</v>
      </c>
      <c r="C53" s="15">
        <v>601.890625</v>
      </c>
      <c r="D53" s="16">
        <v>34.378</v>
      </c>
      <c r="E53" s="16">
        <v>40.383000000000003</v>
      </c>
      <c r="F53" s="16">
        <v>38.476999999999997</v>
      </c>
      <c r="G53" s="16">
        <v>52.15</v>
      </c>
      <c r="H53" s="16">
        <f t="shared" si="0"/>
        <v>35.640999999999998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-0.14493348143978368</v>
      </c>
      <c r="R53" s="8">
        <f>bdrate(C53:C56,E53:E56,J53:J56,L53:L56)</f>
        <v>-0.13399105840669479</v>
      </c>
      <c r="S53" s="8">
        <f>bdrate(C53:C56,F53:F56,J53:J56,M53:M56)</f>
        <v>-0.24492414951254438</v>
      </c>
      <c r="T53" s="25">
        <f>bdrate(C53:C56,H53:H56,J53:J56,O53:O56)</f>
        <v>-0.16084703915516052</v>
      </c>
      <c r="U53" s="28">
        <f t="shared" si="2"/>
        <v>0.26972962607861928</v>
      </c>
    </row>
    <row r="54" spans="1:21" x14ac:dyDescent="0.25">
      <c r="A54" s="9" t="s">
        <v>42</v>
      </c>
      <c r="B54" s="9"/>
      <c r="C54" s="17">
        <v>421.9658203125</v>
      </c>
      <c r="D54" s="18">
        <v>32.825000000000003</v>
      </c>
      <c r="E54" s="18">
        <v>39.195</v>
      </c>
      <c r="F54" s="18">
        <v>37.097999999999999</v>
      </c>
      <c r="G54" s="18">
        <v>57.33</v>
      </c>
      <c r="H54" s="18">
        <f t="shared" si="0"/>
        <v>34.155374999999999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0.3769248212105355</v>
      </c>
    </row>
    <row r="55" spans="1:21" x14ac:dyDescent="0.25">
      <c r="B55" s="9"/>
      <c r="C55" s="17">
        <v>269.41796875</v>
      </c>
      <c r="D55" s="18">
        <v>31.100999999999999</v>
      </c>
      <c r="E55" s="18">
        <v>37.796999999999997</v>
      </c>
      <c r="F55" s="18">
        <v>35.573</v>
      </c>
      <c r="G55" s="18">
        <v>59.65</v>
      </c>
      <c r="H55" s="18">
        <f t="shared" si="0"/>
        <v>32.497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0.62320536462699094</v>
      </c>
    </row>
    <row r="56" spans="1:21" ht="16.5" thickBot="1" x14ac:dyDescent="0.3">
      <c r="B56" s="12"/>
      <c r="C56" s="19">
        <v>134.1923828125</v>
      </c>
      <c r="D56" s="20">
        <v>28.722999999999999</v>
      </c>
      <c r="E56" s="20">
        <v>35.731999999999999</v>
      </c>
      <c r="F56" s="20">
        <v>33.323999999999998</v>
      </c>
      <c r="G56" s="20">
        <v>67.58</v>
      </c>
      <c r="H56" s="20">
        <f t="shared" si="0"/>
        <v>30.174250000000001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1.0528958271678013</v>
      </c>
    </row>
    <row r="57" spans="1:21" x14ac:dyDescent="0.25">
      <c r="B57" s="6" t="s">
        <v>58</v>
      </c>
      <c r="C57" s="15">
        <v>691.6796875</v>
      </c>
      <c r="D57" s="16">
        <v>34.133000000000003</v>
      </c>
      <c r="E57" s="16">
        <v>41.731000000000002</v>
      </c>
      <c r="F57" s="16">
        <v>42.643000000000001</v>
      </c>
      <c r="G57" s="16">
        <v>31.93</v>
      </c>
      <c r="H57" s="16">
        <f t="shared" si="0"/>
        <v>36.146500000000003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-0.23290581078058858</v>
      </c>
      <c r="R57" s="8">
        <f>bdrate(C57:C60,E57:E60,J57:J60,L57:L60)</f>
        <v>-0.13796635678110503</v>
      </c>
      <c r="S57" s="8">
        <f>bdrate(C57:C60,F57:F60,J57:J60,M57:M60)</f>
        <v>-0.13862277506599696</v>
      </c>
      <c r="T57" s="25">
        <f>bdrate(C57:C60,H57:H60,J57:J60,O57:O60)</f>
        <v>-0.21654933838105062</v>
      </c>
      <c r="U57" s="28">
        <f t="shared" si="2"/>
        <v>1.9165142499217038</v>
      </c>
    </row>
    <row r="58" spans="1:21" x14ac:dyDescent="0.25">
      <c r="B58" s="9"/>
      <c r="C58" s="17">
        <v>512.91015625</v>
      </c>
      <c r="D58" s="18">
        <v>33.082999999999998</v>
      </c>
      <c r="E58" s="18">
        <v>41.095999999999997</v>
      </c>
      <c r="F58" s="18">
        <v>41.960999999999999</v>
      </c>
      <c r="G58" s="18">
        <v>37.700000000000003</v>
      </c>
      <c r="H58" s="18">
        <f t="shared" si="0"/>
        <v>35.194375000000001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2.0915145888594164</v>
      </c>
    </row>
    <row r="59" spans="1:21" x14ac:dyDescent="0.25">
      <c r="B59" s="9"/>
      <c r="C59" s="17">
        <v>333.224609375</v>
      </c>
      <c r="D59" s="18">
        <v>31.515999999999998</v>
      </c>
      <c r="E59" s="18">
        <v>40.052</v>
      </c>
      <c r="F59" s="18">
        <v>40.831000000000003</v>
      </c>
      <c r="G59" s="18">
        <v>43.56</v>
      </c>
      <c r="H59" s="18">
        <f t="shared" si="0"/>
        <v>33.747374999999998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2.5463705234159772</v>
      </c>
    </row>
    <row r="60" spans="1:21" ht="16.5" thickBot="1" x14ac:dyDescent="0.3">
      <c r="B60" s="12"/>
      <c r="C60" s="19">
        <v>150.447265625</v>
      </c>
      <c r="D60" s="20">
        <v>28.661000000000001</v>
      </c>
      <c r="E60" s="20">
        <v>38.307000000000002</v>
      </c>
      <c r="F60" s="20">
        <v>38.927999999999997</v>
      </c>
      <c r="G60" s="20">
        <v>52.46</v>
      </c>
      <c r="H60" s="20">
        <f t="shared" si="0"/>
        <v>31.150125000000003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3.7300609988562714</v>
      </c>
    </row>
    <row r="61" spans="1:21" x14ac:dyDescent="0.25">
      <c r="B61" s="6" t="s">
        <v>59</v>
      </c>
      <c r="C61" s="29">
        <v>674.08984375</v>
      </c>
      <c r="D61" s="30">
        <v>33.463999999999999</v>
      </c>
      <c r="E61" s="30">
        <v>38.640999999999998</v>
      </c>
      <c r="F61" s="30">
        <v>39.521000000000001</v>
      </c>
      <c r="G61" s="16">
        <v>36.729999999999997</v>
      </c>
      <c r="H61" s="16">
        <f t="shared" si="0"/>
        <v>34.868249999999996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-0.19703252229676793</v>
      </c>
      <c r="R61" s="8">
        <f>bdrate(C61:C64,E61:E64,J61:J64,L61:L64)</f>
        <v>-0.18264439655278186</v>
      </c>
      <c r="S61" s="8">
        <f>bdrate(C61:C64,F61:F64,J61:J64,M61:M64)</f>
        <v>-0.14806039648775982</v>
      </c>
      <c r="T61" s="25">
        <f>bdrate(C61:C64,H61:H64,J61:J64,O61:O64)</f>
        <v>-0.19280914514559944</v>
      </c>
      <c r="U61" s="28">
        <f t="shared" si="2"/>
        <v>1.3645739177783831</v>
      </c>
    </row>
    <row r="62" spans="1:21" x14ac:dyDescent="0.25">
      <c r="B62" s="9"/>
      <c r="C62" s="31">
        <v>474.5322265625</v>
      </c>
      <c r="D62" s="32">
        <v>31.98</v>
      </c>
      <c r="E62" s="32">
        <v>37.417999999999999</v>
      </c>
      <c r="F62" s="32">
        <v>38.259</v>
      </c>
      <c r="G62" s="18">
        <v>41.88</v>
      </c>
      <c r="H62" s="18">
        <f t="shared" si="0"/>
        <v>33.444625000000002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1.5428915950334285</v>
      </c>
    </row>
    <row r="63" spans="1:21" x14ac:dyDescent="0.25">
      <c r="B63" s="9"/>
      <c r="C63" s="31">
        <v>307.22265625</v>
      </c>
      <c r="D63" s="32">
        <v>30.337</v>
      </c>
      <c r="E63" s="32">
        <v>36.076000000000001</v>
      </c>
      <c r="F63" s="32">
        <v>36.914000000000001</v>
      </c>
      <c r="G63" s="18">
        <v>44.53</v>
      </c>
      <c r="H63" s="18">
        <f t="shared" si="0"/>
        <v>31.8765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1.9862721760610824</v>
      </c>
    </row>
    <row r="64" spans="1:21" ht="16.5" thickBot="1" x14ac:dyDescent="0.3">
      <c r="B64" s="12"/>
      <c r="C64" s="33">
        <v>147.56640625</v>
      </c>
      <c r="D64" s="34">
        <v>27.963999999999999</v>
      </c>
      <c r="E64" s="34">
        <v>34.213000000000001</v>
      </c>
      <c r="F64" s="34">
        <v>34.957000000000001</v>
      </c>
      <c r="G64" s="20">
        <v>49.37</v>
      </c>
      <c r="H64" s="20">
        <f t="shared" si="0"/>
        <v>29.619249999999997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2.9102734454121935</v>
      </c>
    </row>
    <row r="65" spans="1:21" x14ac:dyDescent="0.25">
      <c r="B65" s="6" t="s">
        <v>60</v>
      </c>
      <c r="C65" s="15">
        <v>623.43359375</v>
      </c>
      <c r="D65" s="16">
        <v>34.232999999999997</v>
      </c>
      <c r="E65" s="16">
        <v>38.509</v>
      </c>
      <c r="F65" s="16">
        <v>39.704000000000001</v>
      </c>
      <c r="G65" s="16">
        <v>39.770000000000003</v>
      </c>
      <c r="H65" s="16">
        <f t="shared" si="0"/>
        <v>35.451374999999999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-0.19167850420379051</v>
      </c>
      <c r="R65" s="8">
        <f>bdrate(C65:C68,E65:E68,J65:J68,L65:L68)</f>
        <v>-0.15435828944901542</v>
      </c>
      <c r="S65" s="8">
        <f>bdrate(C65:C68,F65:F68,J65:J68,M65:M68)</f>
        <v>-0.1217049052889847</v>
      </c>
      <c r="T65" s="25">
        <f>bdrate(C65:C68,H65:H68,J65:J68,O65:O68)</f>
        <v>-0.18521008911940817</v>
      </c>
      <c r="U65" s="28">
        <f t="shared" si="2"/>
        <v>0.26248931355292932</v>
      </c>
    </row>
    <row r="66" spans="1:21" x14ac:dyDescent="0.25">
      <c r="B66" s="9"/>
      <c r="C66" s="17">
        <v>443.7021484375</v>
      </c>
      <c r="D66" s="18">
        <v>32.642000000000003</v>
      </c>
      <c r="E66" s="18">
        <v>37.265000000000001</v>
      </c>
      <c r="F66" s="18">
        <v>38.493000000000002</v>
      </c>
      <c r="G66" s="18">
        <v>45.48</v>
      </c>
      <c r="H66" s="18">
        <f t="shared" si="0"/>
        <v>33.951250000000002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0.34235048372911181</v>
      </c>
    </row>
    <row r="67" spans="1:21" x14ac:dyDescent="0.25">
      <c r="B67" s="9"/>
      <c r="C67" s="17">
        <v>303.90625</v>
      </c>
      <c r="D67" s="18">
        <v>30.951000000000001</v>
      </c>
      <c r="E67" s="18">
        <v>35.950000000000003</v>
      </c>
      <c r="F67" s="18">
        <v>37.149000000000001</v>
      </c>
      <c r="G67" s="18">
        <v>48.8</v>
      </c>
      <c r="H67" s="18">
        <f t="shared" si="0"/>
        <v>32.350625000000001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0.56386270491803303</v>
      </c>
    </row>
    <row r="68" spans="1:21" ht="16.5" thickBot="1" x14ac:dyDescent="0.3">
      <c r="B68" s="12"/>
      <c r="C68" s="19">
        <v>155.1142578125</v>
      </c>
      <c r="D68" s="20">
        <v>28.454999999999998</v>
      </c>
      <c r="E68" s="20">
        <v>33.875999999999998</v>
      </c>
      <c r="F68" s="20">
        <v>35.011000000000003</v>
      </c>
      <c r="G68" s="20">
        <v>52.51</v>
      </c>
      <c r="H68" s="20">
        <f t="shared" si="0"/>
        <v>29.952124999999999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1.1167834698152732</v>
      </c>
    </row>
    <row r="69" spans="1:21" x14ac:dyDescent="0.25">
      <c r="A69" s="6" t="s">
        <v>43</v>
      </c>
      <c r="B69" s="6" t="s">
        <v>61</v>
      </c>
      <c r="C69" s="15">
        <v>1541.23828125</v>
      </c>
      <c r="D69" s="16">
        <v>41.671999999999997</v>
      </c>
      <c r="E69" s="16">
        <v>46.064999999999998</v>
      </c>
      <c r="F69" s="16">
        <v>47.384999999999998</v>
      </c>
      <c r="G69" s="16">
        <v>7.42</v>
      </c>
      <c r="H69" s="16">
        <f t="shared" si="0"/>
        <v>42.935249999999996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-0.21911261359380674</v>
      </c>
      <c r="R69" s="8">
        <f>bdrate(C69:C72,E69:E72,J69:J72,L69:L72)</f>
        <v>-0.19405728632024499</v>
      </c>
      <c r="S69" s="8">
        <f>bdrate(C69:C72,F69:F72,J69:J72,M69:M72)</f>
        <v>-0.14922002398615641</v>
      </c>
      <c r="T69" s="25">
        <f>bdrate(C69:C72,H69:H72,J69:J72,O69:O72)</f>
        <v>-0.20970192751318129</v>
      </c>
      <c r="U69" s="28">
        <f t="shared" si="2"/>
        <v>1.9824258760107818</v>
      </c>
    </row>
    <row r="70" spans="1:21" x14ac:dyDescent="0.25">
      <c r="A70" s="9" t="s">
        <v>44</v>
      </c>
      <c r="B70" s="9"/>
      <c r="C70" s="17">
        <v>1050.861328125</v>
      </c>
      <c r="D70" s="18">
        <v>40.540999999999997</v>
      </c>
      <c r="E70" s="18">
        <v>45.186999999999998</v>
      </c>
      <c r="F70" s="18">
        <v>46.463000000000001</v>
      </c>
      <c r="G70" s="18">
        <v>8.8000000000000007</v>
      </c>
      <c r="H70" s="18">
        <f t="shared" si="0"/>
        <v>41.862000000000002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2.0865454545454543</v>
      </c>
    </row>
    <row r="71" spans="1:21" x14ac:dyDescent="0.25">
      <c r="B71" s="9"/>
      <c r="C71" s="17">
        <v>646.4296875</v>
      </c>
      <c r="D71" s="18">
        <v>38.738999999999997</v>
      </c>
      <c r="E71" s="18">
        <v>43.789000000000001</v>
      </c>
      <c r="F71" s="18">
        <v>45.023000000000003</v>
      </c>
      <c r="G71" s="18">
        <v>10.96</v>
      </c>
      <c r="H71" s="18">
        <f t="shared" si="0"/>
        <v>40.155749999999998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2.2312864963503651</v>
      </c>
    </row>
    <row r="72" spans="1:21" ht="16.5" thickBot="1" x14ac:dyDescent="0.3">
      <c r="B72" s="12"/>
      <c r="C72" s="19">
        <v>328.525390625</v>
      </c>
      <c r="D72" s="20">
        <v>35.567999999999998</v>
      </c>
      <c r="E72" s="20">
        <v>41.365000000000002</v>
      </c>
      <c r="F72" s="20">
        <v>42.470999999999997</v>
      </c>
      <c r="G72" s="20">
        <v>13.92</v>
      </c>
      <c r="H72" s="20">
        <f t="shared" si="0"/>
        <v>37.155499999999996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2.5470258620689656</v>
      </c>
    </row>
    <row r="73" spans="1:21" x14ac:dyDescent="0.25">
      <c r="B73" s="6" t="s">
        <v>62</v>
      </c>
      <c r="C73" s="15">
        <v>1579.9453125</v>
      </c>
      <c r="D73" s="16">
        <v>43.01</v>
      </c>
      <c r="E73" s="16">
        <v>48.314999999999998</v>
      </c>
      <c r="F73" s="16">
        <v>48.953000000000003</v>
      </c>
      <c r="G73" s="16">
        <v>5.65</v>
      </c>
      <c r="H73" s="16">
        <f t="shared" si="0"/>
        <v>44.415999999999997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-0.1543203280788531</v>
      </c>
      <c r="R73" s="8">
        <f>bdrate(C73:C76,E73:E76,J73:J76,L73:L76)</f>
        <v>-6.7392356373696893E-2</v>
      </c>
      <c r="S73" s="8">
        <f>bdrate(C73:C76,F73:F76,J73:J76,M73:M76)</f>
        <v>-7.8730088104794649E-2</v>
      </c>
      <c r="T73" s="25">
        <f>bdrate(C73:C76,H73:H76,J73:J76,O73:O76)</f>
        <v>-0.1360366587771793</v>
      </c>
      <c r="U73" s="28">
        <f t="shared" ref="U73:U124" si="3">(N73-G73)/G73</f>
        <v>3.5320353982300889</v>
      </c>
    </row>
    <row r="74" spans="1:21" x14ac:dyDescent="0.25">
      <c r="B74" s="9"/>
      <c r="C74" s="17">
        <v>1132.4267578125</v>
      </c>
      <c r="D74" s="18">
        <v>42.63</v>
      </c>
      <c r="E74" s="18">
        <v>48.036000000000001</v>
      </c>
      <c r="F74" s="18">
        <v>48.673999999999999</v>
      </c>
      <c r="G74" s="18">
        <v>6.69</v>
      </c>
      <c r="H74" s="18">
        <f t="shared" si="0"/>
        <v>44.061250000000001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3.7591479820627796</v>
      </c>
    </row>
    <row r="75" spans="1:21" x14ac:dyDescent="0.25">
      <c r="B75" s="9"/>
      <c r="C75" s="17">
        <v>717.8134765625</v>
      </c>
      <c r="D75" s="18">
        <v>41.887</v>
      </c>
      <c r="E75" s="18">
        <v>47.335999999999999</v>
      </c>
      <c r="F75" s="18">
        <v>47.962000000000003</v>
      </c>
      <c r="G75" s="18">
        <v>8.31</v>
      </c>
      <c r="H75" s="18">
        <f t="shared" si="0"/>
        <v>43.327500000000001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3.9767148014440425</v>
      </c>
    </row>
    <row r="76" spans="1:21" ht="16.5" thickBot="1" x14ac:dyDescent="0.3">
      <c r="B76" s="12"/>
      <c r="C76" s="19">
        <v>348.7841796875</v>
      </c>
      <c r="D76" s="20">
        <v>40.119999999999997</v>
      </c>
      <c r="E76" s="20">
        <v>45.610999999999997</v>
      </c>
      <c r="F76" s="20">
        <v>46.268999999999998</v>
      </c>
      <c r="G76" s="20">
        <v>11.18</v>
      </c>
      <c r="H76" s="20">
        <f t="shared" si="0"/>
        <v>41.574999999999996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4.1887477638640425</v>
      </c>
    </row>
    <row r="77" spans="1:21" x14ac:dyDescent="0.25">
      <c r="B77" s="6" t="s">
        <v>63</v>
      </c>
      <c r="C77" s="15">
        <v>1537.9658203125</v>
      </c>
      <c r="D77" s="16">
        <v>42.628</v>
      </c>
      <c r="E77" s="16">
        <v>47.156999999999996</v>
      </c>
      <c r="F77" s="16">
        <v>48.085000000000001</v>
      </c>
      <c r="G77" s="16">
        <v>7.23</v>
      </c>
      <c r="H77" s="16">
        <f t="shared" si="0"/>
        <v>43.876249999999999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-0.21126666309240516</v>
      </c>
      <c r="R77" s="8">
        <f>bdrate(C77:C80,E77:E80,J77:J80,L77:L80)</f>
        <v>-0.1818107039930269</v>
      </c>
      <c r="S77" s="8">
        <f>bdrate(C77:C80,F77:F80,J77:J80,M77:M80)</f>
        <v>-0.14396093097936979</v>
      </c>
      <c r="T77" s="25">
        <f>bdrate(C77:C80,H77:H80,J77:J80,O77:O80)</f>
        <v>-0.20050077712730829</v>
      </c>
      <c r="U77" s="28">
        <f t="shared" si="3"/>
        <v>2.1495573997233746</v>
      </c>
    </row>
    <row r="78" spans="1:21" x14ac:dyDescent="0.25">
      <c r="B78" s="9"/>
      <c r="C78" s="17">
        <v>1074.4462890625</v>
      </c>
      <c r="D78" s="18">
        <v>41.914999999999999</v>
      </c>
      <c r="E78" s="18">
        <v>46.591000000000001</v>
      </c>
      <c r="F78" s="18">
        <v>47.497999999999998</v>
      </c>
      <c r="G78" s="18">
        <v>8.43</v>
      </c>
      <c r="H78" s="18">
        <f t="shared" si="0"/>
        <v>43.197375000000001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2.3547449584816134</v>
      </c>
    </row>
    <row r="79" spans="1:21" x14ac:dyDescent="0.25">
      <c r="B79" s="9"/>
      <c r="C79" s="17">
        <v>671.7880859375</v>
      </c>
      <c r="D79" s="18">
        <v>40.668999999999997</v>
      </c>
      <c r="E79" s="18">
        <v>45.444000000000003</v>
      </c>
      <c r="F79" s="18">
        <v>46.37</v>
      </c>
      <c r="G79" s="18">
        <v>10.16</v>
      </c>
      <c r="H79" s="18">
        <f t="shared" si="0"/>
        <v>41.978499999999997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2.6969488188976376</v>
      </c>
    </row>
    <row r="80" spans="1:21" ht="16.5" thickBot="1" x14ac:dyDescent="0.3">
      <c r="B80" s="12"/>
      <c r="C80" s="19">
        <v>332.7060546875</v>
      </c>
      <c r="D80" s="20">
        <v>38.131999999999998</v>
      </c>
      <c r="E80" s="20">
        <v>43.264000000000003</v>
      </c>
      <c r="F80" s="20">
        <v>44.186</v>
      </c>
      <c r="G80" s="20">
        <v>13.52</v>
      </c>
      <c r="H80" s="20">
        <f t="shared" si="0"/>
        <v>39.530249999999995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2.9458284023668644</v>
      </c>
    </row>
    <row r="81" spans="1:21" x14ac:dyDescent="0.25">
      <c r="A81" s="6" t="s">
        <v>102</v>
      </c>
      <c r="B81" s="6" t="s">
        <v>103</v>
      </c>
      <c r="C81" s="15">
        <v>1455.0009765625</v>
      </c>
      <c r="D81" s="16">
        <v>47.488</v>
      </c>
      <c r="E81" s="16">
        <v>52.884</v>
      </c>
      <c r="F81" s="16">
        <v>53.593000000000004</v>
      </c>
      <c r="G81" s="16">
        <v>10.07</v>
      </c>
      <c r="H81" s="16">
        <f t="shared" ref="H81:H124" si="4">(6*D81+E81+F81)/8</f>
        <v>48.925625000000004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124" si="5">(6*K81+L81+M81)/8</f>
        <v>46.824862500000002</v>
      </c>
      <c r="P81" s="7"/>
      <c r="Q81" s="8">
        <f>bdrate(C81:C84,D81:D84,J81:J84,K81:K84)</f>
        <v>9.3679404331723504E-2</v>
      </c>
      <c r="R81" s="8">
        <f>bdrate(C81:C84,E81:E84,J81:J84,L81:L84)</f>
        <v>3.8121508410624338E-2</v>
      </c>
      <c r="S81" s="8">
        <f>bdrate(C81:C84,F81:F84,J81:J84,M81:M84)</f>
        <v>-3.3273952235645554E-2</v>
      </c>
      <c r="T81" s="25">
        <f>bdrate(C81:C84,H81:H84,J81:J84,O81:O84)</f>
        <v>7.689363080257916E-2</v>
      </c>
      <c r="U81" s="28">
        <f t="shared" si="3"/>
        <v>0.15181727904667333</v>
      </c>
    </row>
    <row r="82" spans="1:21" x14ac:dyDescent="0.25">
      <c r="A82" s="9" t="s">
        <v>78</v>
      </c>
      <c r="B82" s="9"/>
      <c r="C82" s="17">
        <v>1025.99609375</v>
      </c>
      <c r="D82" s="18">
        <v>45.706000000000003</v>
      </c>
      <c r="E82" s="18">
        <v>51.225999999999999</v>
      </c>
      <c r="F82" s="18">
        <v>51.838999999999999</v>
      </c>
      <c r="G82" s="18">
        <v>11.33</v>
      </c>
      <c r="H82" s="18">
        <f t="shared" si="4"/>
        <v>47.162624999999998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0.20877316857899375</v>
      </c>
    </row>
    <row r="83" spans="1:21" x14ac:dyDescent="0.25">
      <c r="B83" s="9"/>
      <c r="C83" s="17">
        <v>647.04296875</v>
      </c>
      <c r="D83" s="18">
        <v>43.29</v>
      </c>
      <c r="E83" s="18">
        <v>49.265000000000001</v>
      </c>
      <c r="F83" s="18">
        <v>49.872999999999998</v>
      </c>
      <c r="G83" s="18">
        <v>12.73</v>
      </c>
      <c r="H83" s="18">
        <f t="shared" si="4"/>
        <v>44.859749999999998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0.34661429693637064</v>
      </c>
    </row>
    <row r="84" spans="1:21" ht="16.5" thickBot="1" x14ac:dyDescent="0.3">
      <c r="B84" s="12"/>
      <c r="C84" s="19">
        <v>372.5048828125</v>
      </c>
      <c r="D84" s="20">
        <v>38.887</v>
      </c>
      <c r="E84" s="20">
        <v>45.433</v>
      </c>
      <c r="F84" s="20">
        <v>46.482999999999997</v>
      </c>
      <c r="G84" s="20">
        <v>13.94</v>
      </c>
      <c r="H84" s="20">
        <f t="shared" si="4"/>
        <v>40.65475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0.7133500717360115</v>
      </c>
    </row>
    <row r="85" spans="1:21" x14ac:dyDescent="0.25">
      <c r="B85" s="6" t="s">
        <v>104</v>
      </c>
      <c r="C85" s="15">
        <v>1933.6630859375</v>
      </c>
      <c r="D85" s="16">
        <v>54.844000000000001</v>
      </c>
      <c r="E85" s="16">
        <v>55.866</v>
      </c>
      <c r="F85" s="16">
        <v>56.189</v>
      </c>
      <c r="G85" s="16">
        <v>11.64</v>
      </c>
      <c r="H85" s="16">
        <f t="shared" si="4"/>
        <v>55.139875000000004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-0.25709087879622528</v>
      </c>
      <c r="R85" s="8">
        <f>bdrate(C85:C88,E85:E88,J85:J88,L85:L88)</f>
        <v>-0.20770536276601248</v>
      </c>
      <c r="S85" s="8">
        <f>bdrate(C85:C88,F85:F88,J85:J88,M85:M88)</f>
        <v>-0.21238457124980337</v>
      </c>
      <c r="T85" s="25">
        <f>bdrate(C85:C88,H85:H88,J85:J88,O85:O88)</f>
        <v>-0.24630691191915466</v>
      </c>
      <c r="U85" s="28">
        <f t="shared" si="3"/>
        <v>1.5345704467353951</v>
      </c>
    </row>
    <row r="86" spans="1:21" x14ac:dyDescent="0.25">
      <c r="B86" s="9"/>
      <c r="C86" s="17">
        <v>1364.7236328125</v>
      </c>
      <c r="D86" s="18">
        <v>52.359000000000002</v>
      </c>
      <c r="E86" s="18">
        <v>53.482999999999997</v>
      </c>
      <c r="F86" s="18">
        <v>53.871000000000002</v>
      </c>
      <c r="G86" s="18">
        <v>12.73</v>
      </c>
      <c r="H86" s="18">
        <f t="shared" si="4"/>
        <v>52.688499999999998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1.9457344854673999</v>
      </c>
    </row>
    <row r="87" spans="1:21" x14ac:dyDescent="0.25">
      <c r="B87" s="9"/>
      <c r="C87" s="17">
        <v>871.150390625</v>
      </c>
      <c r="D87" s="18">
        <v>49.213000000000001</v>
      </c>
      <c r="E87" s="18">
        <v>50.55</v>
      </c>
      <c r="F87" s="18">
        <v>51.036000000000001</v>
      </c>
      <c r="G87" s="18">
        <v>14.06</v>
      </c>
      <c r="H87" s="18">
        <f t="shared" si="4"/>
        <v>49.608000000000004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2.1382716927453767</v>
      </c>
    </row>
    <row r="88" spans="1:21" ht="16.5" thickBot="1" x14ac:dyDescent="0.3">
      <c r="B88" s="12"/>
      <c r="C88" s="19">
        <v>456.69140625</v>
      </c>
      <c r="D88" s="20">
        <v>44.856000000000002</v>
      </c>
      <c r="E88" s="20">
        <v>46.414999999999999</v>
      </c>
      <c r="F88" s="20">
        <v>46.985999999999997</v>
      </c>
      <c r="G88" s="20">
        <v>15.84</v>
      </c>
      <c r="H88" s="20">
        <f t="shared" si="4"/>
        <v>45.317125000000004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2.6863825757575759</v>
      </c>
    </row>
    <row r="89" spans="1:21" x14ac:dyDescent="0.25">
      <c r="B89" s="6" t="s">
        <v>105</v>
      </c>
      <c r="C89" s="15">
        <v>1957.4775390625</v>
      </c>
      <c r="D89" s="16">
        <v>43.584000000000003</v>
      </c>
      <c r="E89" s="16">
        <v>46.112000000000002</v>
      </c>
      <c r="F89" s="16">
        <v>46.561</v>
      </c>
      <c r="G89" s="16">
        <v>7.92</v>
      </c>
      <c r="H89" s="16">
        <f t="shared" si="4"/>
        <v>44.272125000000003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-0.32744600555861236</v>
      </c>
      <c r="R89" s="8">
        <f>bdrate(C89:C92,E89:E92,J89:J92,L89:L92)</f>
        <v>-0.31634901465653753</v>
      </c>
      <c r="S89" s="8">
        <f>bdrate(C89:C92,F89:F92,J89:J92,M89:M92)</f>
        <v>-0.30603514405267596</v>
      </c>
      <c r="T89" s="25">
        <f>bdrate(C89:C92,H89:H92,J89:J92,O89:O92)</f>
        <v>-0.32401107698561527</v>
      </c>
      <c r="U89" s="28">
        <f t="shared" si="3"/>
        <v>0.9063888888888888</v>
      </c>
    </row>
    <row r="90" spans="1:21" x14ac:dyDescent="0.25">
      <c r="B90" s="9"/>
      <c r="C90" s="17">
        <v>1354.0751953125</v>
      </c>
      <c r="D90" s="18">
        <v>41.844000000000001</v>
      </c>
      <c r="E90" s="18">
        <v>44.661999999999999</v>
      </c>
      <c r="F90" s="18">
        <v>45.095999999999997</v>
      </c>
      <c r="G90" s="18">
        <v>8.9600000000000009</v>
      </c>
      <c r="H90" s="18">
        <f t="shared" si="4"/>
        <v>42.60275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1.04375</v>
      </c>
    </row>
    <row r="91" spans="1:21" x14ac:dyDescent="0.25">
      <c r="B91" s="9"/>
      <c r="C91" s="17">
        <v>877.3369140625</v>
      </c>
      <c r="D91" s="18">
        <v>39.753</v>
      </c>
      <c r="E91" s="18">
        <v>42.857999999999997</v>
      </c>
      <c r="F91" s="18">
        <v>43.302</v>
      </c>
      <c r="G91" s="18">
        <v>10.220000000000001</v>
      </c>
      <c r="H91" s="18">
        <f t="shared" si="4"/>
        <v>40.58475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1.2290410958904108</v>
      </c>
    </row>
    <row r="92" spans="1:21" ht="16.5" thickBot="1" x14ac:dyDescent="0.3">
      <c r="B92" s="12"/>
      <c r="C92" s="19">
        <v>485.765625</v>
      </c>
      <c r="D92" s="20">
        <v>36.906999999999996</v>
      </c>
      <c r="E92" s="20">
        <v>40.515999999999998</v>
      </c>
      <c r="F92" s="20">
        <v>40.97</v>
      </c>
      <c r="G92" s="20">
        <v>12.16</v>
      </c>
      <c r="H92" s="20">
        <f t="shared" si="4"/>
        <v>37.866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si="5"/>
        <v>37.338487499999999</v>
      </c>
      <c r="P92" s="7"/>
      <c r="Q92" s="13"/>
      <c r="R92" s="14"/>
      <c r="S92" s="14"/>
      <c r="T92" s="27"/>
      <c r="U92" s="28">
        <f t="shared" si="3"/>
        <v>1.5116036184210526</v>
      </c>
    </row>
    <row r="93" spans="1:21" x14ac:dyDescent="0.25">
      <c r="B93" s="6" t="s">
        <v>106</v>
      </c>
      <c r="C93" s="29">
        <v>1859.5205078125</v>
      </c>
      <c r="D93" s="30">
        <v>39.442</v>
      </c>
      <c r="E93" s="30">
        <v>44.206000000000003</v>
      </c>
      <c r="F93" s="30">
        <v>44.186</v>
      </c>
      <c r="G93" s="16">
        <v>8.68</v>
      </c>
      <c r="H93" s="16">
        <f t="shared" si="4"/>
        <v>40.630499999999998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5"/>
        <v>41.121949999999998</v>
      </c>
      <c r="P93" s="7"/>
      <c r="Q93" s="8">
        <f>bdrate(C93:C96,D93:D96,J93:J96,K93:K96)</f>
        <v>-0.25976608520854549</v>
      </c>
      <c r="R93" s="8">
        <f>bdrate(C93:C96,E93:E96,J93:J96,L93:L96)</f>
        <v>-0.27658689198783104</v>
      </c>
      <c r="S93" s="8">
        <f>bdrate(C93:C96,F93:F96,J93:J96,M93:M96)</f>
        <v>-0.28459873427574545</v>
      </c>
      <c r="T93" s="25">
        <f>bdrate(C93:C96,H93:H96,J93:J96,O93:O96)</f>
        <v>-0.26649758197284168</v>
      </c>
      <c r="U93" s="28">
        <f t="shared" si="3"/>
        <v>0.53660138248847933</v>
      </c>
    </row>
    <row r="94" spans="1:21" x14ac:dyDescent="0.25">
      <c r="B94" s="9"/>
      <c r="C94" s="31">
        <v>1205.6611328125</v>
      </c>
      <c r="D94" s="32">
        <v>37.682000000000002</v>
      </c>
      <c r="E94" s="32">
        <v>42.765999999999998</v>
      </c>
      <c r="F94" s="32">
        <v>42.713000000000001</v>
      </c>
      <c r="G94" s="18">
        <v>9.76</v>
      </c>
      <c r="H94" s="18">
        <f t="shared" si="4"/>
        <v>38.946375000000003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5"/>
        <v>39.375399999999999</v>
      </c>
      <c r="P94" s="7"/>
      <c r="Q94" s="10"/>
      <c r="R94" s="11"/>
      <c r="S94" s="11"/>
      <c r="T94" s="26"/>
      <c r="U94" s="28">
        <f t="shared" si="3"/>
        <v>0.63177254098360658</v>
      </c>
    </row>
    <row r="95" spans="1:21" x14ac:dyDescent="0.25">
      <c r="B95" s="9"/>
      <c r="C95" s="31">
        <v>780.6591796875</v>
      </c>
      <c r="D95" s="32">
        <v>35.701000000000001</v>
      </c>
      <c r="E95" s="32">
        <v>41.134999999999998</v>
      </c>
      <c r="F95" s="32">
        <v>41.04</v>
      </c>
      <c r="G95" s="18">
        <v>11.14</v>
      </c>
      <c r="H95" s="18">
        <f t="shared" si="4"/>
        <v>37.047625000000004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5"/>
        <v>37.305350000000004</v>
      </c>
      <c r="P95" s="7"/>
      <c r="Q95" s="10"/>
      <c r="R95" s="11"/>
      <c r="S95" s="11"/>
      <c r="T95" s="26"/>
      <c r="U95" s="28">
        <f t="shared" si="3"/>
        <v>0.78118491921005384</v>
      </c>
    </row>
    <row r="96" spans="1:21" ht="16.5" thickBot="1" x14ac:dyDescent="0.3">
      <c r="B96" s="12"/>
      <c r="C96" s="33">
        <v>391.9189453125</v>
      </c>
      <c r="D96" s="34">
        <v>33.085999999999999</v>
      </c>
      <c r="E96" s="34">
        <v>38.973999999999997</v>
      </c>
      <c r="F96" s="34">
        <v>38.853000000000002</v>
      </c>
      <c r="G96" s="20">
        <v>12.93</v>
      </c>
      <c r="H96" s="20">
        <f t="shared" si="4"/>
        <v>34.542874999999995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5"/>
        <v>34.619649999999993</v>
      </c>
      <c r="P96" s="7"/>
      <c r="Q96" s="13"/>
      <c r="R96" s="14"/>
      <c r="S96" s="14"/>
      <c r="T96" s="27"/>
      <c r="U96" s="28">
        <f t="shared" si="3"/>
        <v>1.0690719257540604</v>
      </c>
    </row>
    <row r="97" spans="2:21" x14ac:dyDescent="0.25">
      <c r="B97" s="6" t="s">
        <v>107</v>
      </c>
      <c r="C97" s="15">
        <v>1616.931640625</v>
      </c>
      <c r="D97" s="16">
        <v>37.253999999999998</v>
      </c>
      <c r="E97" s="16">
        <v>42.134</v>
      </c>
      <c r="F97" s="16">
        <v>42.694000000000003</v>
      </c>
      <c r="G97" s="16">
        <v>8.6300000000000008</v>
      </c>
      <c r="H97" s="16">
        <f t="shared" si="4"/>
        <v>38.544000000000004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5"/>
        <v>39.681775000000002</v>
      </c>
      <c r="P97" s="7"/>
      <c r="Q97" s="8">
        <f>bdrate(C97:C100,D97:D100,J97:J100,K97:K100)</f>
        <v>-0.27345658966308117</v>
      </c>
      <c r="R97" s="8">
        <f>bdrate(C97:C100,E97:E100,J97:J100,L97:L100)</f>
        <v>-0.33795932334912882</v>
      </c>
      <c r="S97" s="8">
        <f>bdrate(C97:C100,F97:F100,J97:J100,M97:M100)</f>
        <v>-0.32500238489250632</v>
      </c>
      <c r="T97" s="25">
        <f>bdrate(C97:C100,H97:H100,J97:J100,O97:O100)</f>
        <v>-0.28934861656950328</v>
      </c>
      <c r="U97" s="28">
        <f t="shared" si="3"/>
        <v>0.68580533024333712</v>
      </c>
    </row>
    <row r="98" spans="2:21" x14ac:dyDescent="0.25">
      <c r="B98" s="9"/>
      <c r="C98" s="17">
        <v>1111.982421875</v>
      </c>
      <c r="D98" s="18">
        <v>35.468000000000004</v>
      </c>
      <c r="E98" s="18">
        <v>40.5</v>
      </c>
      <c r="F98" s="18">
        <v>41.176000000000002</v>
      </c>
      <c r="G98" s="18">
        <v>9.7899999999999991</v>
      </c>
      <c r="H98" s="18">
        <f t="shared" si="4"/>
        <v>36.810500000000005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5"/>
        <v>37.859112499999995</v>
      </c>
      <c r="P98" s="7"/>
      <c r="Q98" s="10"/>
      <c r="R98" s="11"/>
      <c r="S98" s="11"/>
      <c r="T98" s="26"/>
      <c r="U98" s="28">
        <f t="shared" si="3"/>
        <v>0.77365679264555687</v>
      </c>
    </row>
    <row r="99" spans="2:21" x14ac:dyDescent="0.25">
      <c r="B99" s="9"/>
      <c r="C99" s="17">
        <v>686.4775390625</v>
      </c>
      <c r="D99" s="18">
        <v>33.280999999999999</v>
      </c>
      <c r="E99" s="18">
        <v>38.442</v>
      </c>
      <c r="F99" s="18">
        <v>39.198999999999998</v>
      </c>
      <c r="G99" s="18">
        <v>10.66</v>
      </c>
      <c r="H99" s="18">
        <f t="shared" si="4"/>
        <v>34.665875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5"/>
        <v>35.622512499999999</v>
      </c>
      <c r="P99" s="7"/>
      <c r="Q99" s="10"/>
      <c r="R99" s="11"/>
      <c r="S99" s="11"/>
      <c r="T99" s="26"/>
      <c r="U99" s="28">
        <f t="shared" si="3"/>
        <v>1.009296435272045</v>
      </c>
    </row>
    <row r="100" spans="2:21" ht="16.5" thickBot="1" x14ac:dyDescent="0.3">
      <c r="B100" s="12"/>
      <c r="C100" s="19">
        <v>384.390625</v>
      </c>
      <c r="D100" s="20">
        <v>30.79</v>
      </c>
      <c r="E100" s="20">
        <v>36.119</v>
      </c>
      <c r="F100" s="20">
        <v>36.933999999999997</v>
      </c>
      <c r="G100" s="20">
        <v>11.99</v>
      </c>
      <c r="H100" s="20">
        <f t="shared" si="4"/>
        <v>32.224125000000001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5"/>
        <v>32.709049999999998</v>
      </c>
      <c r="P100" s="7"/>
      <c r="Q100" s="13"/>
      <c r="R100" s="14"/>
      <c r="S100" s="14"/>
      <c r="T100" s="27"/>
      <c r="U100" s="28">
        <f t="shared" si="3"/>
        <v>1.4004670558799002</v>
      </c>
    </row>
    <row r="101" spans="2:21" x14ac:dyDescent="0.25">
      <c r="B101" s="6" t="s">
        <v>108</v>
      </c>
      <c r="C101" s="15">
        <v>1708.9150390625</v>
      </c>
      <c r="D101" s="16">
        <v>37.536000000000001</v>
      </c>
      <c r="E101" s="16">
        <v>43.798999999999999</v>
      </c>
      <c r="F101" s="16">
        <v>45.637999999999998</v>
      </c>
      <c r="G101" s="16">
        <v>6.93</v>
      </c>
      <c r="H101" s="16">
        <f t="shared" si="4"/>
        <v>39.331624999999995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5"/>
        <v>39.685337500000003</v>
      </c>
      <c r="P101" s="7"/>
      <c r="Q101" s="8">
        <f>bdrate(C101:C104,D101:D104,J101:J104,K101:K104)</f>
        <v>-0.2278237492061399</v>
      </c>
      <c r="R101" s="8">
        <f>bdrate(C101:C104,E101:E104,J101:J104,L101:L104)</f>
        <v>-0.19755099939435883</v>
      </c>
      <c r="S101" s="8">
        <f>bdrate(C101:C104,F101:F104,J101:J104,M101:M104)</f>
        <v>-0.12139838223841459</v>
      </c>
      <c r="T101" s="25">
        <f>bdrate(C101:C104,H101:H104,J101:J104,O101:O104)</f>
        <v>-0.21595293678768368</v>
      </c>
      <c r="U101" s="28">
        <f t="shared" si="3"/>
        <v>0.99090909090909107</v>
      </c>
    </row>
    <row r="102" spans="2:21" x14ac:dyDescent="0.25">
      <c r="B102" s="9"/>
      <c r="C102" s="17">
        <v>1137.3984375</v>
      </c>
      <c r="D102" s="18">
        <v>36.204999999999998</v>
      </c>
      <c r="E102" s="18">
        <v>42.735999999999997</v>
      </c>
      <c r="F102" s="18">
        <v>44.436</v>
      </c>
      <c r="G102" s="18">
        <v>8.16</v>
      </c>
      <c r="H102" s="18">
        <f t="shared" si="4"/>
        <v>38.050249999999998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5"/>
        <v>38.359475000000003</v>
      </c>
      <c r="P102" s="7"/>
      <c r="Q102" s="10"/>
      <c r="R102" s="11"/>
      <c r="S102" s="11"/>
      <c r="T102" s="26"/>
      <c r="U102" s="28">
        <f t="shared" si="3"/>
        <v>1.0678921568627449</v>
      </c>
    </row>
    <row r="103" spans="2:21" x14ac:dyDescent="0.25">
      <c r="B103" s="9"/>
      <c r="C103" s="17">
        <v>688.3154296875</v>
      </c>
      <c r="D103" s="18">
        <v>34.593000000000004</v>
      </c>
      <c r="E103" s="18">
        <v>41.356999999999999</v>
      </c>
      <c r="F103" s="18">
        <v>42.868000000000002</v>
      </c>
      <c r="G103" s="18">
        <v>9.7899999999999991</v>
      </c>
      <c r="H103" s="18">
        <f t="shared" si="4"/>
        <v>36.472875000000002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5"/>
        <v>36.825062500000001</v>
      </c>
      <c r="P103" s="7"/>
      <c r="Q103" s="10"/>
      <c r="R103" s="11"/>
      <c r="S103" s="11"/>
      <c r="T103" s="26"/>
      <c r="U103" s="28">
        <f t="shared" si="3"/>
        <v>1.1761287027579166</v>
      </c>
    </row>
    <row r="104" spans="2:21" ht="16.5" thickBot="1" x14ac:dyDescent="0.3">
      <c r="B104" s="12"/>
      <c r="C104" s="19">
        <v>349.9140625</v>
      </c>
      <c r="D104" s="20">
        <v>32.604999999999997</v>
      </c>
      <c r="E104" s="20">
        <v>39.552999999999997</v>
      </c>
      <c r="F104" s="20">
        <v>40.683999999999997</v>
      </c>
      <c r="G104" s="20">
        <v>11.92</v>
      </c>
      <c r="H104" s="20">
        <f t="shared" si="4"/>
        <v>34.483374999999995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5"/>
        <v>34.913649999999997</v>
      </c>
      <c r="P104" s="7"/>
      <c r="Q104" s="13"/>
      <c r="R104" s="14"/>
      <c r="S104" s="14"/>
      <c r="T104" s="27"/>
      <c r="U104" s="28">
        <f t="shared" si="3"/>
        <v>1.431552013422819</v>
      </c>
    </row>
    <row r="105" spans="2:21" x14ac:dyDescent="0.25">
      <c r="B105" s="6" t="s">
        <v>109</v>
      </c>
      <c r="C105" s="15">
        <v>1422.126953125</v>
      </c>
      <c r="D105" s="16">
        <v>47.610999999999997</v>
      </c>
      <c r="E105" s="16">
        <v>53.488999999999997</v>
      </c>
      <c r="F105" s="16">
        <v>54.792000000000002</v>
      </c>
      <c r="G105" s="16">
        <v>8.7100000000000009</v>
      </c>
      <c r="H105" s="16">
        <f t="shared" si="4"/>
        <v>49.243375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5"/>
        <v>51.125112500000007</v>
      </c>
      <c r="P105" s="7"/>
      <c r="Q105" s="8">
        <f>bdrate(C105:C108,D105:D108,J105:J108,K105:K108)</f>
        <v>-0.37320781788339552</v>
      </c>
      <c r="R105" s="8">
        <f>bdrate(C105:C108,E105:E108,J105:J108,L105:L108)</f>
        <v>-0.14851267513681776</v>
      </c>
      <c r="S105" s="8">
        <f>bdrate(C105:C108,F105:F108,J105:J108,M105:M108)</f>
        <v>-0.1816092809667349</v>
      </c>
      <c r="T105" s="25">
        <f>bdrate(C105:C108,H105:H108,J105:J108,O105:O108)</f>
        <v>-0.32882647417403965</v>
      </c>
      <c r="U105" s="28">
        <f t="shared" si="3"/>
        <v>0.90477611940298475</v>
      </c>
    </row>
    <row r="106" spans="2:21" x14ac:dyDescent="0.25">
      <c r="B106" s="9"/>
      <c r="C106" s="17">
        <v>1013.80078125</v>
      </c>
      <c r="D106" s="18">
        <v>46.286999999999999</v>
      </c>
      <c r="E106" s="18">
        <v>52.408000000000001</v>
      </c>
      <c r="F106" s="18">
        <v>53.744</v>
      </c>
      <c r="G106" s="18">
        <v>9.64</v>
      </c>
      <c r="H106" s="18">
        <f t="shared" si="4"/>
        <v>47.984250000000003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5"/>
        <v>49.511537500000003</v>
      </c>
      <c r="P106" s="7"/>
      <c r="Q106" s="10"/>
      <c r="R106" s="11"/>
      <c r="S106" s="11"/>
      <c r="T106" s="26"/>
      <c r="U106" s="28">
        <f t="shared" si="3"/>
        <v>1.0732365145228215</v>
      </c>
    </row>
    <row r="107" spans="2:21" x14ac:dyDescent="0.25">
      <c r="B107" s="9"/>
      <c r="C107" s="17">
        <v>635.021484375</v>
      </c>
      <c r="D107" s="18">
        <v>44.393999999999998</v>
      </c>
      <c r="E107" s="18">
        <v>50.57</v>
      </c>
      <c r="F107" s="18">
        <v>51.857999999999997</v>
      </c>
      <c r="G107" s="18">
        <v>11.2</v>
      </c>
      <c r="H107" s="18">
        <f t="shared" si="4"/>
        <v>46.098999999999997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5"/>
        <v>47.494524999999996</v>
      </c>
      <c r="P107" s="7"/>
      <c r="Q107" s="10"/>
      <c r="R107" s="11"/>
      <c r="S107" s="11"/>
      <c r="T107" s="26"/>
      <c r="U107" s="28">
        <f t="shared" si="3"/>
        <v>1.2388660714285715</v>
      </c>
    </row>
    <row r="108" spans="2:21" ht="16.5" thickBot="1" x14ac:dyDescent="0.3">
      <c r="B108" s="12"/>
      <c r="C108" s="19">
        <v>330.8525390625</v>
      </c>
      <c r="D108" s="20">
        <v>41.570999999999998</v>
      </c>
      <c r="E108" s="20">
        <v>47.503999999999998</v>
      </c>
      <c r="F108" s="20">
        <v>48.898000000000003</v>
      </c>
      <c r="G108" s="20">
        <v>13.68</v>
      </c>
      <c r="H108" s="20">
        <f t="shared" si="4"/>
        <v>43.228500000000004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5"/>
        <v>44.626612499999993</v>
      </c>
      <c r="P108" s="7"/>
      <c r="Q108" s="13"/>
      <c r="R108" s="14"/>
      <c r="S108" s="14"/>
      <c r="T108" s="27"/>
      <c r="U108" s="28">
        <f t="shared" si="3"/>
        <v>1.5763742690058478</v>
      </c>
    </row>
    <row r="109" spans="2:21" x14ac:dyDescent="0.25">
      <c r="B109" s="6" t="s">
        <v>110</v>
      </c>
      <c r="C109" s="15">
        <v>1611.71875</v>
      </c>
      <c r="D109" s="16">
        <v>32.124000000000002</v>
      </c>
      <c r="E109" s="16">
        <v>40.776000000000003</v>
      </c>
      <c r="F109" s="16">
        <v>40.192</v>
      </c>
      <c r="G109" s="16">
        <v>7.96</v>
      </c>
      <c r="H109" s="16">
        <f t="shared" si="4"/>
        <v>34.214000000000006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5"/>
        <v>35.007000000000005</v>
      </c>
      <c r="P109" s="7"/>
      <c r="Q109" s="8">
        <f>bdrate(C109:C112,D109:D112,J109:J112,K109:K112)</f>
        <v>-0.22782135701309147</v>
      </c>
      <c r="R109" s="8">
        <f>bdrate(C109:C112,E109:E112,J109:J112,L109:L112)</f>
        <v>-0.36057569520920296</v>
      </c>
      <c r="S109" s="8">
        <f>bdrate(C109:C112,F109:F112,J109:J112,M109:M112)</f>
        <v>-0.36072405411752906</v>
      </c>
      <c r="T109" s="25">
        <f>bdrate(C109:C112,H109:H112,J109:J112,O109:O112)</f>
        <v>-0.25453414901489002</v>
      </c>
      <c r="U109" s="28">
        <f t="shared" si="3"/>
        <v>6.9145728643216164E-2</v>
      </c>
    </row>
    <row r="110" spans="2:21" x14ac:dyDescent="0.25">
      <c r="B110" s="9"/>
      <c r="C110" s="17">
        <v>1090.0673828125</v>
      </c>
      <c r="D110" s="18">
        <v>30.603999999999999</v>
      </c>
      <c r="E110" s="18">
        <v>39.423999999999999</v>
      </c>
      <c r="F110" s="18">
        <v>38.826999999999998</v>
      </c>
      <c r="G110" s="18">
        <v>8.86</v>
      </c>
      <c r="H110" s="18">
        <f t="shared" si="4"/>
        <v>32.734375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5"/>
        <v>33.5187375</v>
      </c>
      <c r="P110" s="7"/>
      <c r="Q110" s="10"/>
      <c r="R110" s="11"/>
      <c r="S110" s="11"/>
      <c r="T110" s="26"/>
      <c r="U110" s="28">
        <f t="shared" si="3"/>
        <v>0.15391647855530471</v>
      </c>
    </row>
    <row r="111" spans="2:21" x14ac:dyDescent="0.25">
      <c r="B111" s="9"/>
      <c r="C111" s="17">
        <v>711.4189453125</v>
      </c>
      <c r="D111" s="18">
        <v>29.088999999999999</v>
      </c>
      <c r="E111" s="18">
        <v>37.965000000000003</v>
      </c>
      <c r="F111" s="18">
        <v>37.356000000000002</v>
      </c>
      <c r="G111" s="18">
        <v>9.61</v>
      </c>
      <c r="H111" s="18">
        <f t="shared" si="4"/>
        <v>31.231874999999999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5"/>
        <v>31.6238125</v>
      </c>
      <c r="P111" s="7"/>
      <c r="Q111" s="10"/>
      <c r="R111" s="11"/>
      <c r="S111" s="11"/>
      <c r="T111" s="26"/>
      <c r="U111" s="28">
        <f t="shared" si="3"/>
        <v>0.34348595213319466</v>
      </c>
    </row>
    <row r="112" spans="2:21" ht="16.5" thickBot="1" x14ac:dyDescent="0.3">
      <c r="B112" s="12"/>
      <c r="C112" s="19">
        <v>526.9208984375</v>
      </c>
      <c r="D112" s="20">
        <v>27.963999999999999</v>
      </c>
      <c r="E112" s="20">
        <v>36.67</v>
      </c>
      <c r="F112" s="20">
        <v>36.064</v>
      </c>
      <c r="G112" s="20">
        <v>9.66</v>
      </c>
      <c r="H112" s="20">
        <f t="shared" si="4"/>
        <v>30.06475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5"/>
        <v>29.089312499999998</v>
      </c>
      <c r="P112" s="7"/>
      <c r="Q112" s="13"/>
      <c r="R112" s="14"/>
      <c r="S112" s="14"/>
      <c r="T112" s="27"/>
      <c r="U112" s="28">
        <f t="shared" si="3"/>
        <v>0.85301242236024821</v>
      </c>
    </row>
    <row r="113" spans="2:21" x14ac:dyDescent="0.25">
      <c r="B113" s="6" t="s">
        <v>111</v>
      </c>
      <c r="C113" s="15">
        <v>2193.0205078125</v>
      </c>
      <c r="D113" s="16">
        <v>48.531999999999996</v>
      </c>
      <c r="E113" s="16">
        <v>49.973999999999997</v>
      </c>
      <c r="F113" s="16">
        <v>49.886000000000003</v>
      </c>
      <c r="G113" s="16">
        <v>7.76</v>
      </c>
      <c r="H113" s="16">
        <f t="shared" si="4"/>
        <v>48.881500000000003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5"/>
        <v>47.130674999999997</v>
      </c>
      <c r="P113" s="7"/>
      <c r="Q113" s="8">
        <f>bdrate(C113:C116,D113:D116,J113:J116,K113:K116)</f>
        <v>-0.33290340499663207</v>
      </c>
      <c r="R113" s="8">
        <f>bdrate(C113:C116,E113:E116,J113:J116,L113:L116)</f>
        <v>-0.30278476058941961</v>
      </c>
      <c r="S113" s="8">
        <f>bdrate(C113:C116,F113:F116,J113:J116,M113:M116)</f>
        <v>-0.30883005212381909</v>
      </c>
      <c r="T113" s="25">
        <f>bdrate(C113:C116,H113:H116,J113:J116,O113:O116)</f>
        <v>-0.32648468386391327</v>
      </c>
      <c r="U113" s="28">
        <f t="shared" si="3"/>
        <v>0.83704896907216497</v>
      </c>
    </row>
    <row r="114" spans="2:21" x14ac:dyDescent="0.25">
      <c r="B114" s="9"/>
      <c r="C114" s="17">
        <v>1548.447265625</v>
      </c>
      <c r="D114" s="18">
        <v>45.814999999999998</v>
      </c>
      <c r="E114" s="18">
        <v>47.372999999999998</v>
      </c>
      <c r="F114" s="18">
        <v>47.228000000000002</v>
      </c>
      <c r="G114" s="18">
        <v>9.27</v>
      </c>
      <c r="H114" s="18">
        <f t="shared" si="4"/>
        <v>46.186374999999998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5"/>
        <v>45.547387500000006</v>
      </c>
      <c r="P114" s="7"/>
      <c r="Q114" s="10"/>
      <c r="R114" s="11"/>
      <c r="S114" s="11"/>
      <c r="T114" s="26"/>
      <c r="U114" s="28">
        <f t="shared" si="3"/>
        <v>1.0560194174757283</v>
      </c>
    </row>
    <row r="115" spans="2:21" x14ac:dyDescent="0.25">
      <c r="B115" s="9"/>
      <c r="C115" s="17">
        <v>957.5595703125</v>
      </c>
      <c r="D115" s="18">
        <v>42.826000000000001</v>
      </c>
      <c r="E115" s="18">
        <v>44.591000000000001</v>
      </c>
      <c r="F115" s="18">
        <v>44.417000000000002</v>
      </c>
      <c r="G115" s="18">
        <v>10.77</v>
      </c>
      <c r="H115" s="18">
        <f t="shared" si="4"/>
        <v>43.245500000000007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5"/>
        <v>42.947225000000003</v>
      </c>
      <c r="P115" s="7"/>
      <c r="Q115" s="10"/>
      <c r="R115" s="11"/>
      <c r="S115" s="11"/>
      <c r="T115" s="26"/>
      <c r="U115" s="28">
        <f t="shared" si="3"/>
        <v>1.3044568245125348</v>
      </c>
    </row>
    <row r="116" spans="2:21" ht="16.5" thickBot="1" x14ac:dyDescent="0.3">
      <c r="B116" s="12"/>
      <c r="C116" s="19">
        <v>513.1123046875</v>
      </c>
      <c r="D116" s="20">
        <v>39.072000000000003</v>
      </c>
      <c r="E116" s="20">
        <v>41.137</v>
      </c>
      <c r="F116" s="20">
        <v>40.893999999999998</v>
      </c>
      <c r="G116" s="20">
        <v>12.51</v>
      </c>
      <c r="H116" s="20">
        <f t="shared" si="4"/>
        <v>39.557875000000003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5"/>
        <v>38.830487500000004</v>
      </c>
      <c r="P116" s="7"/>
      <c r="Q116" s="13"/>
      <c r="R116" s="14"/>
      <c r="S116" s="14"/>
      <c r="T116" s="27"/>
      <c r="U116" s="28">
        <f t="shared" si="3"/>
        <v>1.6413029576338933</v>
      </c>
    </row>
    <row r="117" spans="2:21" x14ac:dyDescent="0.25">
      <c r="B117" s="6" t="s">
        <v>112</v>
      </c>
      <c r="C117" s="15">
        <v>1512.9970703125</v>
      </c>
      <c r="D117" s="16">
        <v>52.375</v>
      </c>
      <c r="E117" s="16">
        <v>55.216999999999999</v>
      </c>
      <c r="F117" s="16">
        <v>55.148000000000003</v>
      </c>
      <c r="G117" s="16">
        <v>7.77</v>
      </c>
      <c r="H117" s="16">
        <f t="shared" si="4"/>
        <v>53.076875000000001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5"/>
        <v>48.225987499999988</v>
      </c>
      <c r="P117" s="7"/>
      <c r="Q117" s="8">
        <f>bdrate(C117:C120,D117:D120,J117:J120,K117:K120)</f>
        <v>0.42896416133685533</v>
      </c>
      <c r="R117" s="8">
        <f>bdrate(C117:C120,E117:E120,J117:J120,L117:L120)</f>
        <v>0.43230557855706464</v>
      </c>
      <c r="S117" s="8">
        <f>bdrate(C117:C120,F117:F120,J117:J120,M117:M120)</f>
        <v>0.41634545205043572</v>
      </c>
      <c r="T117" s="25">
        <f>bdrate(C117:C120,H117:H120,J117:J120,O117:O120)</f>
        <v>0.42911820070917162</v>
      </c>
      <c r="U117" s="28">
        <f t="shared" si="3"/>
        <v>1.2489703989703991</v>
      </c>
    </row>
    <row r="118" spans="2:21" x14ac:dyDescent="0.25">
      <c r="B118" s="9"/>
      <c r="C118" s="17">
        <v>1135.841796875</v>
      </c>
      <c r="D118" s="18">
        <v>54.091999999999999</v>
      </c>
      <c r="E118" s="18">
        <v>57.1</v>
      </c>
      <c r="F118" s="18">
        <v>56.875</v>
      </c>
      <c r="G118" s="18">
        <v>11.02</v>
      </c>
      <c r="H118" s="18">
        <f t="shared" si="4"/>
        <v>54.815875000000005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5"/>
        <v>47.167587499999996</v>
      </c>
      <c r="P118" s="7"/>
      <c r="Q118" s="10"/>
      <c r="R118" s="11"/>
      <c r="S118" s="11"/>
      <c r="T118" s="26"/>
      <c r="U118" s="28">
        <f t="shared" si="3"/>
        <v>0.94437386569872961</v>
      </c>
    </row>
    <row r="119" spans="2:21" x14ac:dyDescent="0.25">
      <c r="B119" s="9"/>
      <c r="C119" s="17">
        <v>819.322265625</v>
      </c>
      <c r="D119" s="18">
        <v>51.844999999999999</v>
      </c>
      <c r="E119" s="18">
        <v>54.872999999999998</v>
      </c>
      <c r="F119" s="18">
        <v>54.637999999999998</v>
      </c>
      <c r="G119" s="18">
        <v>11.91</v>
      </c>
      <c r="H119" s="18">
        <f t="shared" si="4"/>
        <v>52.572624999999995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5"/>
        <v>43.880187499999998</v>
      </c>
      <c r="P119" s="7"/>
      <c r="Q119" s="10"/>
      <c r="R119" s="11"/>
      <c r="S119" s="11"/>
      <c r="T119" s="26"/>
      <c r="U119" s="28">
        <f t="shared" si="3"/>
        <v>0.93954659949622177</v>
      </c>
    </row>
    <row r="120" spans="2:21" ht="16.5" thickBot="1" x14ac:dyDescent="0.3">
      <c r="B120" s="12"/>
      <c r="C120" s="19">
        <v>484.361328125</v>
      </c>
      <c r="D120" s="20">
        <v>41.087000000000003</v>
      </c>
      <c r="E120" s="20">
        <v>43.875999999999998</v>
      </c>
      <c r="F120" s="20">
        <v>44.075000000000003</v>
      </c>
      <c r="G120" s="20">
        <v>11.14</v>
      </c>
      <c r="H120" s="20">
        <f t="shared" si="4"/>
        <v>41.809125000000002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5"/>
        <v>39.799774999999997</v>
      </c>
      <c r="P120" s="7"/>
      <c r="Q120" s="13"/>
      <c r="R120" s="14"/>
      <c r="S120" s="14"/>
      <c r="T120" s="27"/>
      <c r="U120" s="28">
        <f t="shared" si="3"/>
        <v>2.3261938958707362</v>
      </c>
    </row>
    <row r="121" spans="2:21" x14ac:dyDescent="0.25">
      <c r="B121" s="6" t="s">
        <v>113</v>
      </c>
      <c r="C121" s="29">
        <v>1702.0771484375</v>
      </c>
      <c r="D121" s="30">
        <v>32.860999999999997</v>
      </c>
      <c r="E121" s="30">
        <v>36.670999999999999</v>
      </c>
      <c r="F121" s="30">
        <v>35.418999999999997</v>
      </c>
      <c r="G121" s="16">
        <v>8.2799999999999994</v>
      </c>
      <c r="H121" s="16">
        <f t="shared" si="4"/>
        <v>33.656999999999996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5"/>
        <v>34.352737500000003</v>
      </c>
      <c r="P121" s="7"/>
      <c r="Q121" s="8">
        <f>bdrate(C121:C124,D121:D124,J121:J124,K121:K124)</f>
        <v>-0.19772307250303345</v>
      </c>
      <c r="R121" s="8">
        <f>bdrate(C121:C124,E121:E124,J121:J124,L121:L124)</f>
        <v>-0.45196179849359086</v>
      </c>
      <c r="S121" s="8">
        <f>bdrate(C121:C124,F121:F124,J121:J124,M121:M124)</f>
        <v>-0.46389442457079366</v>
      </c>
      <c r="T121" s="25">
        <f>bdrate(C121:C124,H121:H124,J121:J124,O121:O124)</f>
        <v>-0.25561165619541049</v>
      </c>
      <c r="U121" s="28">
        <f t="shared" si="3"/>
        <v>0.23169082125603868</v>
      </c>
    </row>
    <row r="122" spans="2:21" x14ac:dyDescent="0.25">
      <c r="B122" s="9"/>
      <c r="C122" s="31">
        <v>1147.375</v>
      </c>
      <c r="D122" s="32">
        <v>31.202999999999999</v>
      </c>
      <c r="E122" s="32">
        <v>35.35</v>
      </c>
      <c r="F122" s="32">
        <v>34.049999999999997</v>
      </c>
      <c r="G122" s="18">
        <v>9</v>
      </c>
      <c r="H122" s="18">
        <f t="shared" si="4"/>
        <v>32.077249999999999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5"/>
        <v>32.700249999999997</v>
      </c>
      <c r="P122" s="7"/>
      <c r="Q122" s="10"/>
      <c r="R122" s="11"/>
      <c r="S122" s="11"/>
      <c r="T122" s="26"/>
      <c r="U122" s="28">
        <f t="shared" si="3"/>
        <v>0.4144444444444445</v>
      </c>
    </row>
    <row r="123" spans="2:21" x14ac:dyDescent="0.25">
      <c r="B123" s="9"/>
      <c r="C123" s="31">
        <v>722.8310546875</v>
      </c>
      <c r="D123" s="32">
        <v>29.416</v>
      </c>
      <c r="E123" s="32">
        <v>33.914999999999999</v>
      </c>
      <c r="F123" s="32">
        <v>32.561</v>
      </c>
      <c r="G123" s="18">
        <v>9.6999999999999993</v>
      </c>
      <c r="H123" s="18">
        <f t="shared" si="4"/>
        <v>30.371500000000001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5"/>
        <v>30.765712499999999</v>
      </c>
      <c r="P123" s="7"/>
      <c r="Q123" s="10"/>
      <c r="R123" s="11"/>
      <c r="S123" s="11"/>
      <c r="T123" s="26"/>
      <c r="U123" s="28">
        <f t="shared" si="3"/>
        <v>0.65442268041237106</v>
      </c>
    </row>
    <row r="124" spans="2:21" ht="16.5" thickBot="1" x14ac:dyDescent="0.3">
      <c r="B124" s="12"/>
      <c r="C124" s="33">
        <v>496.0986328125</v>
      </c>
      <c r="D124" s="34">
        <v>27.93</v>
      </c>
      <c r="E124" s="34">
        <v>32.582999999999998</v>
      </c>
      <c r="F124" s="34">
        <v>31.265000000000001</v>
      </c>
      <c r="G124" s="20">
        <v>9.74</v>
      </c>
      <c r="H124" s="20">
        <f t="shared" si="4"/>
        <v>28.9285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5"/>
        <v>28.508724999999998</v>
      </c>
      <c r="P124" s="7"/>
      <c r="Q124" s="13"/>
      <c r="R124" s="14"/>
      <c r="S124" s="14"/>
      <c r="T124" s="27"/>
      <c r="U124" s="28">
        <f t="shared" si="3"/>
        <v>1.2530287474332651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-0.19825428547414781</v>
      </c>
      <c r="R125" s="21">
        <f>AVERAGE(R9:R124)</f>
        <v>-0.24220704334312335</v>
      </c>
      <c r="S125" s="21">
        <f>AVERAGE(S9:S124)</f>
        <v>-0.24561529374914692</v>
      </c>
      <c r="T125" s="21">
        <f>AVERAGE(T9:T124)</f>
        <v>-0.2079719801407206</v>
      </c>
      <c r="U125" s="21">
        <f>AVERAGE(U9:U124)</f>
        <v>1.3790673808925571</v>
      </c>
    </row>
    <row r="127" spans="2:21" s="35" customFormat="1" ht="15.75" customHeight="1" x14ac:dyDescent="0.25">
      <c r="B127" s="51" t="s">
        <v>29</v>
      </c>
      <c r="C127" s="56" t="s">
        <v>153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147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4274.2587890625</v>
      </c>
      <c r="D131" s="16">
        <v>38.317</v>
      </c>
      <c r="E131" s="16">
        <v>39.488999999999997</v>
      </c>
      <c r="F131" s="16">
        <v>41.970999999999997</v>
      </c>
      <c r="G131" s="16">
        <v>3.7</v>
      </c>
      <c r="H131" s="16">
        <f t="shared" ref="H131:H202" si="6">(6*D131+E131+F131)/8</f>
        <v>38.920249999999996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7">(6*K131+L131+M131)/8</f>
        <v>39.241612500000002</v>
      </c>
      <c r="P131" s="7"/>
      <c r="Q131" s="8">
        <f>bdrate(C131:C134,D131:D134,J131:J134,K131:K134)</f>
        <v>-0.19698839318982186</v>
      </c>
      <c r="R131" s="8">
        <f>bdrate(C131:C134,E131:E134,J131:J134,L131:L134)</f>
        <v>-0.42940123422028387</v>
      </c>
      <c r="S131" s="8">
        <f>bdrate(C131:C134,F131:F134,J131:J134,M131:M134)</f>
        <v>-0.408136875100237</v>
      </c>
      <c r="T131" s="25">
        <f>bdrate(C131:C134,H131:H134,J131:J134,O131:O134)</f>
        <v>-0.23746738451264859</v>
      </c>
      <c r="U131" s="28">
        <f t="shared" ref="U131:U194" si="8">(N131-G131)/G131</f>
        <v>2.3145675675675674</v>
      </c>
    </row>
    <row r="132" spans="1:21" x14ac:dyDescent="0.25">
      <c r="A132" s="9" t="s">
        <v>36</v>
      </c>
      <c r="B132" s="9"/>
      <c r="C132" s="17">
        <v>3164.6015625</v>
      </c>
      <c r="D132" s="18">
        <v>37.188000000000002</v>
      </c>
      <c r="E132" s="18">
        <v>38.786999999999999</v>
      </c>
      <c r="F132" s="18">
        <v>41.180999999999997</v>
      </c>
      <c r="G132" s="18">
        <v>3.96</v>
      </c>
      <c r="H132" s="18">
        <f t="shared" si="6"/>
        <v>37.887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7"/>
        <v>38.407337499999997</v>
      </c>
      <c r="P132" s="7"/>
      <c r="Q132" s="10"/>
      <c r="R132" s="11"/>
      <c r="S132" s="11"/>
      <c r="T132" s="26"/>
      <c r="U132" s="28">
        <f t="shared" si="8"/>
        <v>2.7996464646464649</v>
      </c>
    </row>
    <row r="133" spans="1:21" x14ac:dyDescent="0.25">
      <c r="B133" s="9"/>
      <c r="C133" s="17">
        <v>2099.3671875</v>
      </c>
      <c r="D133" s="18">
        <v>35.57</v>
      </c>
      <c r="E133" s="18">
        <v>37.832000000000001</v>
      </c>
      <c r="F133" s="18">
        <v>40.192999999999998</v>
      </c>
      <c r="G133" s="18">
        <v>4.41</v>
      </c>
      <c r="H133" s="18">
        <f t="shared" si="6"/>
        <v>36.430624999999999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7"/>
        <v>37.156374999999997</v>
      </c>
      <c r="P133" s="7"/>
      <c r="Q133" s="10"/>
      <c r="R133" s="11"/>
      <c r="S133" s="11"/>
      <c r="T133" s="26"/>
      <c r="U133" s="28">
        <f t="shared" si="8"/>
        <v>3.1368934240362814</v>
      </c>
    </row>
    <row r="134" spans="1:21" ht="16.5" thickBot="1" x14ac:dyDescent="0.3">
      <c r="B134" s="12"/>
      <c r="C134" s="19">
        <v>1056.3671875</v>
      </c>
      <c r="D134" s="20">
        <v>32.756999999999998</v>
      </c>
      <c r="E134" s="20">
        <v>36.201000000000001</v>
      </c>
      <c r="F134" s="20">
        <v>38.619999999999997</v>
      </c>
      <c r="G134" s="20">
        <v>4.95</v>
      </c>
      <c r="H134" s="20">
        <f t="shared" si="6"/>
        <v>33.920374999999993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7"/>
        <v>34.801750000000006</v>
      </c>
      <c r="P134" s="7"/>
      <c r="Q134" s="13"/>
      <c r="R134" s="14"/>
      <c r="S134" s="14"/>
      <c r="T134" s="27"/>
      <c r="U134" s="28">
        <f t="shared" si="8"/>
        <v>4.1109898989898985</v>
      </c>
    </row>
    <row r="135" spans="1:21" x14ac:dyDescent="0.25">
      <c r="B135" s="6" t="s">
        <v>47</v>
      </c>
      <c r="C135" s="15">
        <v>4885.2216796875</v>
      </c>
      <c r="D135" s="16">
        <v>29.326000000000001</v>
      </c>
      <c r="E135" s="16">
        <v>40.204000000000001</v>
      </c>
      <c r="F135" s="16">
        <v>41.026000000000003</v>
      </c>
      <c r="G135" s="16">
        <v>4.12</v>
      </c>
      <c r="H135" s="16">
        <f t="shared" si="6"/>
        <v>32.148250000000004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7"/>
        <v>32.613062499999998</v>
      </c>
      <c r="P135" s="7"/>
      <c r="Q135" s="8">
        <f>bdrate(C135:C138,D135:D138,J135:J138,K135:K138)</f>
        <v>-0.16004197004497267</v>
      </c>
      <c r="R135" s="8">
        <f>bdrate(C135:C138,E135:E138,J135:J138,L135:L138)</f>
        <v>-0.4305832297715011</v>
      </c>
      <c r="S135" s="8">
        <f>bdrate(C135:C138,F135:F138,J135:J138,M135:M138)</f>
        <v>-0.45262885127204122</v>
      </c>
      <c r="T135" s="25">
        <f>bdrate(C135:C138,H135:H138,J135:J138,O135:O138)</f>
        <v>-0.20278661421474675</v>
      </c>
      <c r="U135" s="28">
        <f t="shared" si="8"/>
        <v>0.96915048543689308</v>
      </c>
    </row>
    <row r="136" spans="1:21" x14ac:dyDescent="0.25">
      <c r="B136" s="9"/>
      <c r="C136" s="17">
        <v>3888.0546875</v>
      </c>
      <c r="D136" s="18">
        <v>28.600999999999999</v>
      </c>
      <c r="E136" s="18">
        <v>39.51</v>
      </c>
      <c r="F136" s="18">
        <v>40.442</v>
      </c>
      <c r="G136" s="18">
        <v>4.2</v>
      </c>
      <c r="H136" s="18">
        <f t="shared" si="6"/>
        <v>31.444749999999999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7"/>
        <v>31.496450000000003</v>
      </c>
      <c r="P136" s="7"/>
      <c r="Q136" s="10"/>
      <c r="R136" s="11"/>
      <c r="S136" s="11"/>
      <c r="T136" s="26"/>
      <c r="U136" s="28">
        <f t="shared" si="8"/>
        <v>1.3379285714285714</v>
      </c>
    </row>
    <row r="137" spans="1:21" x14ac:dyDescent="0.25">
      <c r="B137" s="9"/>
      <c r="C137" s="17">
        <v>3144</v>
      </c>
      <c r="D137" s="18">
        <v>28.033000000000001</v>
      </c>
      <c r="E137" s="18">
        <v>38.555</v>
      </c>
      <c r="F137" s="18">
        <v>39.637999999999998</v>
      </c>
      <c r="G137" s="18">
        <v>4.26</v>
      </c>
      <c r="H137" s="18">
        <f t="shared" si="6"/>
        <v>30.798875000000002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7"/>
        <v>30.064924999999999</v>
      </c>
      <c r="P137" s="7"/>
      <c r="Q137" s="10"/>
      <c r="R137" s="11"/>
      <c r="S137" s="11"/>
      <c r="T137" s="26"/>
      <c r="U137" s="28">
        <f t="shared" si="8"/>
        <v>1.8209624413145542</v>
      </c>
    </row>
    <row r="138" spans="1:21" ht="16.5" thickBot="1" x14ac:dyDescent="0.3">
      <c r="B138" s="12"/>
      <c r="C138" s="19">
        <v>2722.0654296875</v>
      </c>
      <c r="D138" s="20">
        <v>27.611999999999998</v>
      </c>
      <c r="E138" s="20">
        <v>37.704000000000001</v>
      </c>
      <c r="F138" s="20">
        <v>38.893999999999998</v>
      </c>
      <c r="G138" s="20">
        <v>4.22</v>
      </c>
      <c r="H138" s="20">
        <f t="shared" si="6"/>
        <v>30.283750000000001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7"/>
        <v>28.90165</v>
      </c>
      <c r="P138" s="7"/>
      <c r="Q138" s="13"/>
      <c r="R138" s="14"/>
      <c r="S138" s="14"/>
      <c r="T138" s="27"/>
      <c r="U138" s="28">
        <f t="shared" si="8"/>
        <v>2.2211137440758297</v>
      </c>
    </row>
    <row r="139" spans="1:21" x14ac:dyDescent="0.25">
      <c r="A139" s="6" t="s">
        <v>37</v>
      </c>
      <c r="B139" s="6" t="s">
        <v>48</v>
      </c>
      <c r="C139" s="15">
        <v>2182.470703125</v>
      </c>
      <c r="D139" s="16">
        <v>38.820999999999998</v>
      </c>
      <c r="E139" s="16">
        <v>41.878</v>
      </c>
      <c r="F139" s="16">
        <v>43.222999999999999</v>
      </c>
      <c r="G139" s="16">
        <v>6.06</v>
      </c>
      <c r="H139" s="16">
        <f t="shared" si="6"/>
        <v>39.753374999999998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7"/>
        <v>40.169262500000002</v>
      </c>
      <c r="P139" s="7"/>
      <c r="Q139" s="8">
        <f>bdrate(C139:C142,D139:D142,J139:J142,K139:K142)</f>
        <v>-0.11126019072154525</v>
      </c>
      <c r="R139" s="8">
        <f>bdrate(C139:C142,E139:E142,J139:J142,L139:L142)</f>
        <v>-0.17902025168847868</v>
      </c>
      <c r="S139" s="8">
        <f>bdrate(C139:C142,F139:F142,J139:J142,M139:M142)</f>
        <v>-0.20106601543501934</v>
      </c>
      <c r="T139" s="25">
        <f>bdrate(C139:C142,H139:H142,J139:J142,O139:O142)</f>
        <v>-0.12528542856067726</v>
      </c>
      <c r="U139" s="28">
        <f t="shared" si="8"/>
        <v>2.3890099009900996</v>
      </c>
    </row>
    <row r="140" spans="1:21" x14ac:dyDescent="0.25">
      <c r="A140" s="9" t="s">
        <v>38</v>
      </c>
      <c r="B140" s="9"/>
      <c r="C140" s="17">
        <v>1528.2158203125</v>
      </c>
      <c r="D140" s="18">
        <v>37.679000000000002</v>
      </c>
      <c r="E140" s="18">
        <v>41.268999999999998</v>
      </c>
      <c r="F140" s="18">
        <v>42.514000000000003</v>
      </c>
      <c r="G140" s="18">
        <v>6.75</v>
      </c>
      <c r="H140" s="18">
        <f t="shared" si="6"/>
        <v>38.732125000000003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7"/>
        <v>39.162149999999997</v>
      </c>
      <c r="P140" s="7"/>
      <c r="Q140" s="10"/>
      <c r="R140" s="11"/>
      <c r="S140" s="11"/>
      <c r="T140" s="26"/>
      <c r="U140" s="28">
        <f t="shared" si="8"/>
        <v>2.8170222222222225</v>
      </c>
    </row>
    <row r="141" spans="1:21" x14ac:dyDescent="0.25">
      <c r="B141" s="9"/>
      <c r="C141" s="17">
        <v>980.3564453125</v>
      </c>
      <c r="D141" s="18">
        <v>36.258000000000003</v>
      </c>
      <c r="E141" s="18">
        <v>40.457000000000001</v>
      </c>
      <c r="F141" s="18">
        <v>41.655000000000001</v>
      </c>
      <c r="G141" s="18">
        <v>7.5</v>
      </c>
      <c r="H141" s="18">
        <f t="shared" si="6"/>
        <v>37.457499999999996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7"/>
        <v>37.866425</v>
      </c>
      <c r="P141" s="7"/>
      <c r="Q141" s="10"/>
      <c r="R141" s="11"/>
      <c r="S141" s="11"/>
      <c r="T141" s="26"/>
      <c r="U141" s="28">
        <f t="shared" si="8"/>
        <v>3.1748266666666667</v>
      </c>
    </row>
    <row r="142" spans="1:21" ht="16.5" thickBot="1" x14ac:dyDescent="0.3">
      <c r="B142" s="12"/>
      <c r="C142" s="19">
        <v>598.17578125</v>
      </c>
      <c r="D142" s="20">
        <v>34.695999999999998</v>
      </c>
      <c r="E142" s="20">
        <v>39.512</v>
      </c>
      <c r="F142" s="20">
        <v>40.799999999999997</v>
      </c>
      <c r="G142" s="20">
        <v>7.93</v>
      </c>
      <c r="H142" s="20">
        <f t="shared" si="6"/>
        <v>36.061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7"/>
        <v>36.356587500000003</v>
      </c>
      <c r="P142" s="7"/>
      <c r="Q142" s="13"/>
      <c r="R142" s="14"/>
      <c r="S142" s="14"/>
      <c r="T142" s="27"/>
      <c r="U142" s="28">
        <f t="shared" si="8"/>
        <v>3.9728625472887775</v>
      </c>
    </row>
    <row r="143" spans="1:21" x14ac:dyDescent="0.25">
      <c r="B143" s="6" t="s">
        <v>49</v>
      </c>
      <c r="C143" s="15">
        <v>2542.611328125</v>
      </c>
      <c r="D143" s="16">
        <v>36.295999999999999</v>
      </c>
      <c r="E143" s="16">
        <v>39.923000000000002</v>
      </c>
      <c r="F143" s="16">
        <v>41.006</v>
      </c>
      <c r="G143" s="16">
        <v>6.18</v>
      </c>
      <c r="H143" s="16">
        <f t="shared" si="6"/>
        <v>37.338125000000005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7"/>
        <v>37.727562500000005</v>
      </c>
      <c r="P143" s="7"/>
      <c r="Q143" s="8">
        <f>bdrate(C143:C146,D143:D146,J143:J146,K143:K146)</f>
        <v>-0.13419028514455777</v>
      </c>
      <c r="R143" s="8">
        <f>bdrate(C143:C146,E143:E146,J143:J146,L143:L146)</f>
        <v>-0.31656887384295296</v>
      </c>
      <c r="S143" s="8">
        <f>bdrate(C143:C146,F143:F146,J143:J146,M143:M146)</f>
        <v>-0.35445725349003454</v>
      </c>
      <c r="T143" s="25">
        <f>bdrate(C143:C146,H143:H146,J143:J146,O143:O146)</f>
        <v>-0.1739989740415262</v>
      </c>
      <c r="U143" s="28">
        <f t="shared" si="8"/>
        <v>2.1147734627831718</v>
      </c>
    </row>
    <row r="144" spans="1:21" x14ac:dyDescent="0.25">
      <c r="B144" s="9"/>
      <c r="C144" s="17">
        <v>1708.75</v>
      </c>
      <c r="D144" s="18">
        <v>34.959000000000003</v>
      </c>
      <c r="E144" s="18">
        <v>38.954999999999998</v>
      </c>
      <c r="F144" s="18">
        <v>40.084000000000003</v>
      </c>
      <c r="G144" s="18">
        <v>6.92</v>
      </c>
      <c r="H144" s="18">
        <f t="shared" si="6"/>
        <v>36.099125000000001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7"/>
        <v>36.568824999999997</v>
      </c>
      <c r="P144" s="7"/>
      <c r="Q144" s="10"/>
      <c r="R144" s="11"/>
      <c r="S144" s="11"/>
      <c r="T144" s="26"/>
      <c r="U144" s="28">
        <f t="shared" si="8"/>
        <v>2.5379046242774566</v>
      </c>
    </row>
    <row r="145" spans="1:21" x14ac:dyDescent="0.25">
      <c r="B145" s="9"/>
      <c r="C145" s="17">
        <v>1051.8291015625</v>
      </c>
      <c r="D145" s="18">
        <v>33.402999999999999</v>
      </c>
      <c r="E145" s="18">
        <v>37.798000000000002</v>
      </c>
      <c r="F145" s="18">
        <v>39.133000000000003</v>
      </c>
      <c r="G145" s="18">
        <v>8</v>
      </c>
      <c r="H145" s="18">
        <f t="shared" si="6"/>
        <v>34.668624999999999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7"/>
        <v>35.228625000000001</v>
      </c>
      <c r="P145" s="7"/>
      <c r="Q145" s="10"/>
      <c r="R145" s="11"/>
      <c r="S145" s="11"/>
      <c r="T145" s="26"/>
      <c r="U145" s="28">
        <f t="shared" si="8"/>
        <v>2.7754875000000001</v>
      </c>
    </row>
    <row r="146" spans="1:21" ht="16.5" thickBot="1" x14ac:dyDescent="0.3">
      <c r="B146" s="12"/>
      <c r="C146" s="19">
        <v>628.4326171875</v>
      </c>
      <c r="D146" s="20">
        <v>31.815999999999999</v>
      </c>
      <c r="E146" s="20">
        <v>36.756999999999998</v>
      </c>
      <c r="F146" s="20">
        <v>38.404000000000003</v>
      </c>
      <c r="G146" s="20">
        <v>8.93</v>
      </c>
      <c r="H146" s="20">
        <f t="shared" si="6"/>
        <v>33.257125000000002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7"/>
        <v>33.8395625</v>
      </c>
      <c r="P146" s="7"/>
      <c r="Q146" s="13"/>
      <c r="R146" s="14"/>
      <c r="S146" s="14"/>
      <c r="T146" s="27"/>
      <c r="U146" s="28">
        <f t="shared" si="8"/>
        <v>3.2237513997760359</v>
      </c>
    </row>
    <row r="147" spans="1:21" x14ac:dyDescent="0.25">
      <c r="B147" s="6" t="s">
        <v>50</v>
      </c>
      <c r="C147" s="15">
        <v>2463.8388671875</v>
      </c>
      <c r="D147" s="16">
        <v>34.143000000000001</v>
      </c>
      <c r="E147" s="16">
        <v>38.078000000000003</v>
      </c>
      <c r="F147" s="16">
        <v>39.954000000000001</v>
      </c>
      <c r="G147" s="16">
        <v>8.23</v>
      </c>
      <c r="H147" s="16">
        <f t="shared" si="6"/>
        <v>35.361249999999998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7"/>
        <v>35.994162500000002</v>
      </c>
      <c r="P147" s="7"/>
      <c r="Q147" s="8">
        <f>bdrate(C147:C150,D147:D150,J147:J150,K147:K150)</f>
        <v>-0.2590131267871576</v>
      </c>
      <c r="R147" s="8">
        <f>bdrate(C147:C150,E147:E150,J147:J150,L147:L150)</f>
        <v>-0.4542992692981852</v>
      </c>
      <c r="S147" s="8">
        <f>bdrate(C147:C150,F147:F150,J147:J150,M147:M150)</f>
        <v>-0.45448749744852024</v>
      </c>
      <c r="T147" s="25">
        <f>bdrate(C147:C150,H147:H150,J147:J150,O147:O150)</f>
        <v>-0.29833159784231356</v>
      </c>
      <c r="U147" s="28">
        <f t="shared" si="8"/>
        <v>2.3857229647630618</v>
      </c>
    </row>
    <row r="148" spans="1:21" x14ac:dyDescent="0.25">
      <c r="B148" s="9"/>
      <c r="C148" s="17">
        <v>1639.4072265625</v>
      </c>
      <c r="D148" s="18">
        <v>32.835999999999999</v>
      </c>
      <c r="E148" s="18">
        <v>37.404000000000003</v>
      </c>
      <c r="F148" s="18">
        <v>38.804000000000002</v>
      </c>
      <c r="G148" s="18">
        <v>9.0299999999999994</v>
      </c>
      <c r="H148" s="18">
        <f t="shared" si="6"/>
        <v>34.152999999999999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7"/>
        <v>35.014412499999999</v>
      </c>
      <c r="P148" s="7"/>
      <c r="Q148" s="10"/>
      <c r="R148" s="11"/>
      <c r="S148" s="11"/>
      <c r="T148" s="26"/>
      <c r="U148" s="28">
        <f t="shared" si="8"/>
        <v>2.8142192691029901</v>
      </c>
    </row>
    <row r="149" spans="1:21" x14ac:dyDescent="0.25">
      <c r="B149" s="9"/>
      <c r="C149" s="17">
        <v>1023.89453125</v>
      </c>
      <c r="D149" s="18">
        <v>31.286000000000001</v>
      </c>
      <c r="E149" s="18">
        <v>36.536999999999999</v>
      </c>
      <c r="F149" s="18">
        <v>37.444000000000003</v>
      </c>
      <c r="G149" s="18">
        <v>9.4499999999999993</v>
      </c>
      <c r="H149" s="18">
        <f t="shared" si="6"/>
        <v>32.712125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7"/>
        <v>33.7496875</v>
      </c>
      <c r="P149" s="7"/>
      <c r="Q149" s="10"/>
      <c r="R149" s="11"/>
      <c r="S149" s="11"/>
      <c r="T149" s="26"/>
      <c r="U149" s="28">
        <f t="shared" si="8"/>
        <v>3.396708994708995</v>
      </c>
    </row>
    <row r="150" spans="1:21" ht="16.5" thickBot="1" x14ac:dyDescent="0.3">
      <c r="B150" s="12"/>
      <c r="C150" s="19">
        <v>641.125</v>
      </c>
      <c r="D150" s="20">
        <v>29.734000000000002</v>
      </c>
      <c r="E150" s="20">
        <v>35.576000000000001</v>
      </c>
      <c r="F150" s="20">
        <v>36.027999999999999</v>
      </c>
      <c r="G150" s="20">
        <v>9.9600000000000009</v>
      </c>
      <c r="H150" s="20">
        <f t="shared" si="6"/>
        <v>31.250999999999998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7"/>
        <v>32.234612499999997</v>
      </c>
      <c r="P150" s="7"/>
      <c r="Q150" s="13"/>
      <c r="R150" s="14"/>
      <c r="S150" s="14"/>
      <c r="T150" s="27"/>
      <c r="U150" s="28">
        <f t="shared" si="8"/>
        <v>4.1230522088353405</v>
      </c>
    </row>
    <row r="151" spans="1:21" x14ac:dyDescent="0.25">
      <c r="B151" s="6" t="s">
        <v>51</v>
      </c>
      <c r="C151" s="29">
        <v>2397.9130859375</v>
      </c>
      <c r="D151" s="30">
        <v>33.89</v>
      </c>
      <c r="E151" s="30">
        <v>40.25</v>
      </c>
      <c r="F151" s="30">
        <v>39.567999999999998</v>
      </c>
      <c r="G151" s="16">
        <v>6.61</v>
      </c>
      <c r="H151" s="16">
        <f t="shared" si="6"/>
        <v>35.394750000000002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7"/>
        <v>36.072200000000002</v>
      </c>
      <c r="P151" s="7"/>
      <c r="Q151" s="8">
        <f>bdrate(C151:C154,D151:D154,J151:J154,K151:K154)</f>
        <v>-0.13495680429093715</v>
      </c>
      <c r="R151" s="8">
        <f>bdrate(C151:C154,E151:E154,J151:J154,L151:L154)</f>
        <v>-0.35074130569063311</v>
      </c>
      <c r="S151" s="8">
        <f>bdrate(C151:C154,F151:F154,J151:J154,M151:M154)</f>
        <v>-0.39558658076424724</v>
      </c>
      <c r="T151" s="25">
        <f>bdrate(C151:C154,H151:H154,J151:J154,O151:O154)</f>
        <v>-0.18745919277065415</v>
      </c>
      <c r="U151" s="28">
        <f t="shared" si="8"/>
        <v>2.2541603630862332</v>
      </c>
    </row>
    <row r="152" spans="1:21" x14ac:dyDescent="0.25">
      <c r="B152" s="9"/>
      <c r="C152" s="31">
        <v>1611.7451171875</v>
      </c>
      <c r="D152" s="32">
        <v>32.688000000000002</v>
      </c>
      <c r="E152" s="32">
        <v>39.384</v>
      </c>
      <c r="F152" s="32">
        <v>38.302999999999997</v>
      </c>
      <c r="G152" s="18">
        <v>7.09</v>
      </c>
      <c r="H152" s="18">
        <f t="shared" si="6"/>
        <v>34.226875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7"/>
        <v>34.916262500000002</v>
      </c>
      <c r="P152" s="7"/>
      <c r="Q152" s="10"/>
      <c r="R152" s="11"/>
      <c r="S152" s="11"/>
      <c r="T152" s="26"/>
      <c r="U152" s="28">
        <f t="shared" si="8"/>
        <v>2.7845839210155146</v>
      </c>
    </row>
    <row r="153" spans="1:21" x14ac:dyDescent="0.25">
      <c r="B153" s="9"/>
      <c r="C153" s="31">
        <v>1046.9033203125</v>
      </c>
      <c r="D153" s="32">
        <v>31.359000000000002</v>
      </c>
      <c r="E153" s="32">
        <v>38.335000000000001</v>
      </c>
      <c r="F153" s="32">
        <v>37.005000000000003</v>
      </c>
      <c r="G153" s="18">
        <v>7.5</v>
      </c>
      <c r="H153" s="18">
        <f t="shared" si="6"/>
        <v>32.936750000000004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7"/>
        <v>33.469037499999999</v>
      </c>
      <c r="P153" s="7"/>
      <c r="Q153" s="10"/>
      <c r="R153" s="11"/>
      <c r="S153" s="11"/>
      <c r="T153" s="26"/>
      <c r="U153" s="28">
        <f t="shared" si="8"/>
        <v>3.6219200000000003</v>
      </c>
    </row>
    <row r="154" spans="1:21" ht="16.5" thickBot="1" x14ac:dyDescent="0.3">
      <c r="B154" s="12"/>
      <c r="C154" s="33">
        <v>821.109375</v>
      </c>
      <c r="D154" s="34">
        <v>30.548999999999999</v>
      </c>
      <c r="E154" s="34">
        <v>37.597000000000001</v>
      </c>
      <c r="F154" s="34">
        <v>36.173999999999999</v>
      </c>
      <c r="G154" s="20">
        <v>7.53</v>
      </c>
      <c r="H154" s="20">
        <f t="shared" si="6"/>
        <v>32.133125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7"/>
        <v>31.812250000000002</v>
      </c>
      <c r="P154" s="7"/>
      <c r="Q154" s="13"/>
      <c r="R154" s="14"/>
      <c r="S154" s="14"/>
      <c r="T154" s="27"/>
      <c r="U154" s="28">
        <f t="shared" si="8"/>
        <v>4.9196812749003982</v>
      </c>
    </row>
    <row r="155" spans="1:21" x14ac:dyDescent="0.25">
      <c r="B155" s="6" t="s">
        <v>52</v>
      </c>
      <c r="C155" s="15">
        <v>2578.4072265625</v>
      </c>
      <c r="D155" s="16">
        <v>33.630000000000003</v>
      </c>
      <c r="E155" s="16">
        <v>39.46</v>
      </c>
      <c r="F155" s="16">
        <v>41.91</v>
      </c>
      <c r="G155" s="16">
        <v>5.9</v>
      </c>
      <c r="H155" s="16">
        <f t="shared" si="6"/>
        <v>35.393750000000004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7"/>
        <v>35.7719375</v>
      </c>
      <c r="P155" s="7"/>
      <c r="Q155" s="8">
        <f>bdrate(C155:C158,D155:D158,J155:J158,K155:K158)</f>
        <v>-0.3171144664301675</v>
      </c>
      <c r="R155" s="8">
        <f>bdrate(C155:C158,E155:E158,J155:J158,L155:L158)</f>
        <v>-0.47735046652138347</v>
      </c>
      <c r="S155" s="8">
        <f>bdrate(C155:C158,F155:F158,J155:J158,M155:M158)</f>
        <v>-0.48500346796601956</v>
      </c>
      <c r="T155" s="25">
        <f>bdrate(C155:C158,H155:H158,J155:J158,O155:O158)</f>
        <v>-0.34731063733427625</v>
      </c>
      <c r="U155" s="28">
        <f t="shared" si="8"/>
        <v>4.7029491525423728</v>
      </c>
    </row>
    <row r="156" spans="1:21" x14ac:dyDescent="0.25">
      <c r="B156" s="9"/>
      <c r="C156" s="17">
        <v>1727.2724609375</v>
      </c>
      <c r="D156" s="18">
        <v>32.768000000000001</v>
      </c>
      <c r="E156" s="18">
        <v>38.835000000000001</v>
      </c>
      <c r="F156" s="18">
        <v>41.408999999999999</v>
      </c>
      <c r="G156" s="18">
        <v>6.82</v>
      </c>
      <c r="H156" s="18">
        <f t="shared" si="6"/>
        <v>34.606500000000004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7"/>
        <v>35.216387499999996</v>
      </c>
      <c r="P156" s="7"/>
      <c r="Q156" s="10"/>
      <c r="R156" s="11"/>
      <c r="S156" s="11"/>
      <c r="T156" s="26"/>
      <c r="U156" s="28">
        <f t="shared" si="8"/>
        <v>5.1746627565982397</v>
      </c>
    </row>
    <row r="157" spans="1:21" x14ac:dyDescent="0.25">
      <c r="B157" s="9"/>
      <c r="C157" s="17">
        <v>1083.28515625</v>
      </c>
      <c r="D157" s="18">
        <v>31.574000000000002</v>
      </c>
      <c r="E157" s="18">
        <v>38.116</v>
      </c>
      <c r="F157" s="18">
        <v>40.805999999999997</v>
      </c>
      <c r="G157" s="18">
        <v>7.73</v>
      </c>
      <c r="H157" s="18">
        <f t="shared" si="6"/>
        <v>33.545749999999998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7"/>
        <v>34.334099999999999</v>
      </c>
      <c r="P157" s="7"/>
      <c r="Q157" s="10"/>
      <c r="R157" s="11"/>
      <c r="S157" s="11"/>
      <c r="T157" s="26"/>
      <c r="U157" s="28">
        <f t="shared" si="8"/>
        <v>5.7683699870633891</v>
      </c>
    </row>
    <row r="158" spans="1:21" ht="16.5" thickBot="1" x14ac:dyDescent="0.3">
      <c r="B158" s="12"/>
      <c r="C158" s="19">
        <v>670.1943359375</v>
      </c>
      <c r="D158" s="20">
        <v>30.178000000000001</v>
      </c>
      <c r="E158" s="20">
        <v>37.412999999999997</v>
      </c>
      <c r="F158" s="20">
        <v>40.161000000000001</v>
      </c>
      <c r="G158" s="20">
        <v>8.3699999999999992</v>
      </c>
      <c r="H158" s="20">
        <f t="shared" si="6"/>
        <v>32.330249999999999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7"/>
        <v>33.183624999999999</v>
      </c>
      <c r="P158" s="7"/>
      <c r="Q158" s="13"/>
      <c r="R158" s="14"/>
      <c r="S158" s="14"/>
      <c r="T158" s="27"/>
      <c r="U158" s="28">
        <f t="shared" si="8"/>
        <v>6.658614097968937</v>
      </c>
    </row>
    <row r="159" spans="1:21" x14ac:dyDescent="0.25">
      <c r="A159" s="6" t="s">
        <v>39</v>
      </c>
      <c r="B159" s="6" t="s">
        <v>53</v>
      </c>
      <c r="C159" s="15">
        <v>1241.58984375</v>
      </c>
      <c r="D159" s="16">
        <v>35.973999999999997</v>
      </c>
      <c r="E159" s="16">
        <v>40.192999999999998</v>
      </c>
      <c r="F159" s="16">
        <v>40.046999999999997</v>
      </c>
      <c r="G159" s="16">
        <v>27.69</v>
      </c>
      <c r="H159" s="16">
        <f t="shared" si="6"/>
        <v>37.010499999999993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7"/>
        <v>37.6569</v>
      </c>
      <c r="P159" s="7"/>
      <c r="Q159" s="8">
        <f>bdrate(C159:C162,D159:D162,J159:J162,K159:K162)</f>
        <v>-0.15628650421467816</v>
      </c>
      <c r="R159" s="8">
        <f>bdrate(C159:C162,E159:E162,J159:J162,L159:L162)</f>
        <v>-0.19162829974403051</v>
      </c>
      <c r="S159" s="8">
        <f>bdrate(C159:C162,F159:F162,J159:J162,M159:M162)</f>
        <v>-0.21195305655056318</v>
      </c>
      <c r="T159" s="25">
        <f>bdrate(C159:C162,H159:H162,J159:J162,O159:O162)</f>
        <v>-0.16948067186981752</v>
      </c>
      <c r="U159" s="28">
        <f t="shared" si="8"/>
        <v>1.6249548573492236</v>
      </c>
    </row>
    <row r="160" spans="1:21" x14ac:dyDescent="0.25">
      <c r="A160" s="9" t="s">
        <v>40</v>
      </c>
      <c r="B160" s="9"/>
      <c r="C160" s="17">
        <v>852.6416015625</v>
      </c>
      <c r="D160" s="18">
        <v>34.369</v>
      </c>
      <c r="E160" s="18">
        <v>38.924999999999997</v>
      </c>
      <c r="F160" s="18">
        <v>38.564999999999998</v>
      </c>
      <c r="G160" s="18">
        <v>31.13</v>
      </c>
      <c r="H160" s="18">
        <f t="shared" si="6"/>
        <v>35.463000000000001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7"/>
        <v>35.993949999999998</v>
      </c>
      <c r="P160" s="7"/>
      <c r="Q160" s="10"/>
      <c r="R160" s="11"/>
      <c r="S160" s="11"/>
      <c r="T160" s="26"/>
      <c r="U160" s="28">
        <f t="shared" si="8"/>
        <v>1.7455862512046261</v>
      </c>
    </row>
    <row r="161" spans="1:21" x14ac:dyDescent="0.25">
      <c r="B161" s="9"/>
      <c r="C161" s="17">
        <v>527.6826171875</v>
      </c>
      <c r="D161" s="18">
        <v>32.622</v>
      </c>
      <c r="E161" s="18">
        <v>37.362000000000002</v>
      </c>
      <c r="F161" s="18">
        <v>36.837000000000003</v>
      </c>
      <c r="G161" s="18">
        <v>31.02</v>
      </c>
      <c r="H161" s="18">
        <f t="shared" si="6"/>
        <v>33.741374999999998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7"/>
        <v>34.213237500000005</v>
      </c>
      <c r="P161" s="7"/>
      <c r="Q161" s="10"/>
      <c r="R161" s="11"/>
      <c r="S161" s="11"/>
      <c r="T161" s="26"/>
      <c r="U161" s="28">
        <f t="shared" si="8"/>
        <v>2.322743391360413</v>
      </c>
    </row>
    <row r="162" spans="1:21" ht="16.5" thickBot="1" x14ac:dyDescent="0.3">
      <c r="B162" s="12"/>
      <c r="C162" s="19">
        <v>314.4765625</v>
      </c>
      <c r="D162" s="20">
        <v>30.888999999999999</v>
      </c>
      <c r="E162" s="20">
        <v>35.753</v>
      </c>
      <c r="F162" s="20">
        <v>35.082000000000001</v>
      </c>
      <c r="G162" s="20">
        <v>33.840000000000003</v>
      </c>
      <c r="H162" s="20">
        <f t="shared" si="6"/>
        <v>32.021124999999998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7"/>
        <v>32.383075000000005</v>
      </c>
      <c r="P162" s="7"/>
      <c r="Q162" s="13"/>
      <c r="R162" s="14"/>
      <c r="S162" s="14"/>
      <c r="T162" s="27"/>
      <c r="U162" s="28">
        <f t="shared" si="8"/>
        <v>2.7885667848699756</v>
      </c>
    </row>
    <row r="163" spans="1:21" x14ac:dyDescent="0.25">
      <c r="B163" s="6" t="s">
        <v>54</v>
      </c>
      <c r="C163" s="15">
        <v>1289.328125</v>
      </c>
      <c r="D163" s="16">
        <v>35.122</v>
      </c>
      <c r="E163" s="16">
        <v>40.493000000000002</v>
      </c>
      <c r="F163" s="16">
        <v>41.325000000000003</v>
      </c>
      <c r="G163" s="16">
        <v>23.34</v>
      </c>
      <c r="H163" s="16">
        <f t="shared" si="6"/>
        <v>36.568750000000001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7"/>
        <v>37.433875</v>
      </c>
      <c r="P163" s="7"/>
      <c r="Q163" s="8">
        <f>bdrate(C163:C166,D163:D166,J163:J166,K163:K166)</f>
        <v>-0.26692185916303512</v>
      </c>
      <c r="R163" s="8">
        <f>bdrate(C163:C166,E163:E166,J163:J166,L163:L166)</f>
        <v>-0.37809559909855395</v>
      </c>
      <c r="S163" s="8">
        <f>bdrate(C163:C166,F163:F166,J163:J166,M163:M166)</f>
        <v>-0.36831514690013711</v>
      </c>
      <c r="T163" s="25">
        <f>bdrate(C163:C166,H163:H166,J163:J166,O163:O166)</f>
        <v>-0.29036585172529294</v>
      </c>
      <c r="U163" s="28">
        <f t="shared" si="8"/>
        <v>2.5813496143958869</v>
      </c>
    </row>
    <row r="164" spans="1:21" x14ac:dyDescent="0.25">
      <c r="B164" s="9"/>
      <c r="C164" s="17">
        <v>859.1025390625</v>
      </c>
      <c r="D164" s="18">
        <v>33.54</v>
      </c>
      <c r="E164" s="18">
        <v>39.301000000000002</v>
      </c>
      <c r="F164" s="18">
        <v>39.987000000000002</v>
      </c>
      <c r="G164" s="18">
        <v>25.07</v>
      </c>
      <c r="H164" s="18">
        <f t="shared" si="6"/>
        <v>35.066000000000003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7"/>
        <v>36.046262499999997</v>
      </c>
      <c r="P164" s="7"/>
      <c r="Q164" s="10"/>
      <c r="R164" s="11"/>
      <c r="S164" s="11"/>
      <c r="T164" s="26"/>
      <c r="U164" s="28">
        <f t="shared" si="8"/>
        <v>2.9539050658157153</v>
      </c>
    </row>
    <row r="165" spans="1:21" x14ac:dyDescent="0.25">
      <c r="B165" s="9"/>
      <c r="C165" s="17">
        <v>535.4921875</v>
      </c>
      <c r="D165" s="18">
        <v>31.684000000000001</v>
      </c>
      <c r="E165" s="18">
        <v>37.915999999999997</v>
      </c>
      <c r="F165" s="18">
        <v>38.447000000000003</v>
      </c>
      <c r="G165" s="18">
        <v>26.77</v>
      </c>
      <c r="H165" s="18">
        <f t="shared" si="6"/>
        <v>33.308374999999998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7"/>
        <v>34.371299999999998</v>
      </c>
      <c r="P165" s="7"/>
      <c r="Q165" s="10"/>
      <c r="R165" s="11"/>
      <c r="S165" s="11"/>
      <c r="T165" s="26"/>
      <c r="U165" s="28">
        <f t="shared" si="8"/>
        <v>3.5006313036981695</v>
      </c>
    </row>
    <row r="166" spans="1:21" ht="16.5" thickBot="1" x14ac:dyDescent="0.3">
      <c r="B166" s="12"/>
      <c r="C166" s="19">
        <v>330.7978515625</v>
      </c>
      <c r="D166" s="20">
        <v>29.777000000000001</v>
      </c>
      <c r="E166" s="20">
        <v>36.530999999999999</v>
      </c>
      <c r="F166" s="20">
        <v>36.956000000000003</v>
      </c>
      <c r="G166" s="20">
        <v>28.08</v>
      </c>
      <c r="H166" s="20">
        <f t="shared" si="6"/>
        <v>31.518625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7"/>
        <v>32.529412499999999</v>
      </c>
      <c r="P166" s="7"/>
      <c r="Q166" s="13"/>
      <c r="R166" s="14"/>
      <c r="S166" s="14"/>
      <c r="T166" s="27"/>
      <c r="U166" s="28">
        <f t="shared" si="8"/>
        <v>4.2876816239316247</v>
      </c>
    </row>
    <row r="167" spans="1:21" x14ac:dyDescent="0.25">
      <c r="B167" s="6" t="s">
        <v>55</v>
      </c>
      <c r="C167" s="15">
        <v>1384.5625</v>
      </c>
      <c r="D167" s="16">
        <v>30.640999999999998</v>
      </c>
      <c r="E167" s="16">
        <v>36.945</v>
      </c>
      <c r="F167" s="16">
        <v>37.695999999999998</v>
      </c>
      <c r="G167" s="16">
        <v>17.66</v>
      </c>
      <c r="H167" s="16">
        <f t="shared" si="6"/>
        <v>32.310874999999996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7"/>
        <v>32.685749999999999</v>
      </c>
      <c r="P167" s="7"/>
      <c r="Q167" s="8">
        <f>bdrate(C167:C170,D167:D170,J167:J170,K167:K170)</f>
        <v>-0.25273451585795248</v>
      </c>
      <c r="R167" s="8">
        <f>bdrate(C167:C170,E167:E170,J167:J170,L167:L170)</f>
        <v>-0.31924311082315793</v>
      </c>
      <c r="S167" s="8">
        <f>bdrate(C167:C170,F167:F170,J167:J170,M167:M170)</f>
        <v>-0.31633623624767981</v>
      </c>
      <c r="T167" s="25">
        <f>bdrate(C167:C170,H167:H170,J167:J170,O167:O170)</f>
        <v>-0.26773500662235938</v>
      </c>
      <c r="U167" s="28">
        <f t="shared" si="8"/>
        <v>3.6414043035107593</v>
      </c>
    </row>
    <row r="168" spans="1:21" x14ac:dyDescent="0.25">
      <c r="B168" s="9"/>
      <c r="C168" s="17">
        <v>960.390625</v>
      </c>
      <c r="D168" s="18">
        <v>29.265000000000001</v>
      </c>
      <c r="E168" s="18">
        <v>36.042999999999999</v>
      </c>
      <c r="F168" s="18">
        <v>36.789000000000001</v>
      </c>
      <c r="G168" s="18">
        <v>18.16</v>
      </c>
      <c r="H168" s="18">
        <f t="shared" si="6"/>
        <v>31.052750000000003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7"/>
        <v>31.423000000000002</v>
      </c>
      <c r="P168" s="7"/>
      <c r="Q168" s="10"/>
      <c r="R168" s="11"/>
      <c r="S168" s="11"/>
      <c r="T168" s="26"/>
      <c r="U168" s="28">
        <f t="shared" si="8"/>
        <v>4.5498953744493393</v>
      </c>
    </row>
    <row r="169" spans="1:21" x14ac:dyDescent="0.25">
      <c r="B169" s="9"/>
      <c r="C169" s="17">
        <v>597.5751953125</v>
      </c>
      <c r="D169" s="18">
        <v>27.797999999999998</v>
      </c>
      <c r="E169" s="18">
        <v>34.901000000000003</v>
      </c>
      <c r="F169" s="18">
        <v>35.695</v>
      </c>
      <c r="G169" s="18">
        <v>19.55</v>
      </c>
      <c r="H169" s="18">
        <f t="shared" si="6"/>
        <v>29.672999999999998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7"/>
        <v>30.096262500000002</v>
      </c>
      <c r="P169" s="7"/>
      <c r="Q169" s="10"/>
      <c r="R169" s="11"/>
      <c r="S169" s="11"/>
      <c r="T169" s="26"/>
      <c r="U169" s="28">
        <f t="shared" si="8"/>
        <v>5.254695652173913</v>
      </c>
    </row>
    <row r="170" spans="1:21" ht="16.5" thickBot="1" x14ac:dyDescent="0.3">
      <c r="B170" s="12"/>
      <c r="C170" s="19">
        <v>362.5087890625</v>
      </c>
      <c r="D170" s="20">
        <v>26.428000000000001</v>
      </c>
      <c r="E170" s="20">
        <v>33.780999999999999</v>
      </c>
      <c r="F170" s="20">
        <v>34.567999999999998</v>
      </c>
      <c r="G170" s="20">
        <v>21.44</v>
      </c>
      <c r="H170" s="20">
        <f t="shared" si="6"/>
        <v>28.364625000000004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7"/>
        <v>28.753425</v>
      </c>
      <c r="P170" s="7"/>
      <c r="Q170" s="13"/>
      <c r="R170" s="14"/>
      <c r="S170" s="14"/>
      <c r="T170" s="27"/>
      <c r="U170" s="28">
        <f t="shared" si="8"/>
        <v>6.222327425373134</v>
      </c>
    </row>
    <row r="171" spans="1:21" x14ac:dyDescent="0.25">
      <c r="B171" s="6" t="s">
        <v>56</v>
      </c>
      <c r="C171" s="15">
        <v>1272.0654296875</v>
      </c>
      <c r="D171" s="16">
        <v>32.692999999999998</v>
      </c>
      <c r="E171" s="16">
        <v>37.213000000000001</v>
      </c>
      <c r="F171" s="16">
        <v>38.935000000000002</v>
      </c>
      <c r="G171" s="16">
        <v>18.73</v>
      </c>
      <c r="H171" s="16">
        <f t="shared" si="6"/>
        <v>34.038249999999998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7"/>
        <v>34.366225</v>
      </c>
      <c r="P171" s="7"/>
      <c r="Q171" s="8">
        <f>bdrate(C171:C174,D171:D174,J171:J174,K171:K174)</f>
        <v>-0.1718712178963091</v>
      </c>
      <c r="R171" s="8">
        <f>bdrate(C171:C174,E171:E174,J171:J174,L171:L174)</f>
        <v>-0.26513225658041817</v>
      </c>
      <c r="S171" s="8">
        <f>bdrate(C171:C174,F171:F174,J171:J174,M171:M174)</f>
        <v>-0.23319867333970734</v>
      </c>
      <c r="T171" s="25">
        <f>bdrate(C171:C174,H171:H174,J171:J174,O171:O174)</f>
        <v>-0.18937974293370818</v>
      </c>
      <c r="U171" s="28">
        <f t="shared" si="8"/>
        <v>1.9249599572877738</v>
      </c>
    </row>
    <row r="172" spans="1:21" x14ac:dyDescent="0.25">
      <c r="B172" s="9"/>
      <c r="C172" s="17">
        <v>919.0859375</v>
      </c>
      <c r="D172" s="18">
        <v>31.358000000000001</v>
      </c>
      <c r="E172" s="18">
        <v>36.292999999999999</v>
      </c>
      <c r="F172" s="18">
        <v>37.991999999999997</v>
      </c>
      <c r="G172" s="18">
        <v>20.010000000000002</v>
      </c>
      <c r="H172" s="18">
        <f t="shared" si="6"/>
        <v>32.804124999999999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7"/>
        <v>33.008600000000001</v>
      </c>
      <c r="P172" s="7"/>
      <c r="Q172" s="10"/>
      <c r="R172" s="11"/>
      <c r="S172" s="11"/>
      <c r="T172" s="26"/>
      <c r="U172" s="28">
        <f t="shared" si="8"/>
        <v>2.2578210894552715</v>
      </c>
    </row>
    <row r="173" spans="1:21" x14ac:dyDescent="0.25">
      <c r="B173" s="9"/>
      <c r="C173" s="17">
        <v>607.20703125</v>
      </c>
      <c r="D173" s="18">
        <v>29.888000000000002</v>
      </c>
      <c r="E173" s="18">
        <v>35.213000000000001</v>
      </c>
      <c r="F173" s="18">
        <v>36.845999999999997</v>
      </c>
      <c r="G173" s="18">
        <v>20.309999999999999</v>
      </c>
      <c r="H173" s="18">
        <f t="shared" si="6"/>
        <v>31.423375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7"/>
        <v>31.507137499999999</v>
      </c>
      <c r="P173" s="7"/>
      <c r="Q173" s="10"/>
      <c r="R173" s="11"/>
      <c r="S173" s="11"/>
      <c r="T173" s="26"/>
      <c r="U173" s="28">
        <f t="shared" si="8"/>
        <v>2.9431511570654854</v>
      </c>
    </row>
    <row r="174" spans="1:21" ht="16.5" thickBot="1" x14ac:dyDescent="0.3">
      <c r="B174" s="12"/>
      <c r="C174" s="19">
        <v>362.2685546875</v>
      </c>
      <c r="D174" s="20">
        <v>28.411000000000001</v>
      </c>
      <c r="E174" s="20">
        <v>34.052</v>
      </c>
      <c r="F174" s="20">
        <v>35.630000000000003</v>
      </c>
      <c r="G174" s="20">
        <v>21.75</v>
      </c>
      <c r="H174" s="20">
        <f t="shared" si="6"/>
        <v>30.0185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7"/>
        <v>30.031575</v>
      </c>
      <c r="P174" s="7"/>
      <c r="Q174" s="13"/>
      <c r="R174" s="14"/>
      <c r="S174" s="14"/>
      <c r="T174" s="27"/>
      <c r="U174" s="28">
        <f t="shared" si="8"/>
        <v>3.6053747126436781</v>
      </c>
    </row>
    <row r="175" spans="1:21" x14ac:dyDescent="0.25">
      <c r="A175" s="6" t="s">
        <v>41</v>
      </c>
      <c r="B175" s="6" t="s">
        <v>57</v>
      </c>
      <c r="C175" s="15">
        <v>601.890625</v>
      </c>
      <c r="D175" s="16">
        <v>34.378</v>
      </c>
      <c r="E175" s="16">
        <v>40.383000000000003</v>
      </c>
      <c r="F175" s="16">
        <v>38.476999999999997</v>
      </c>
      <c r="G175" s="16">
        <v>52.02</v>
      </c>
      <c r="H175" s="16">
        <f t="shared" si="6"/>
        <v>35.640999999999998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7"/>
        <v>36.372487499999998</v>
      </c>
      <c r="P175" s="7"/>
      <c r="Q175" s="8">
        <f>bdrate(C175:C178,D175:D178,J175:J178,K175:K178)</f>
        <v>-0.12274425373346376</v>
      </c>
      <c r="R175" s="8">
        <f>bdrate(C175:C178,E175:E178,J175:J178,L175:L178)</f>
        <v>-0.12910894727491551</v>
      </c>
      <c r="S175" s="8">
        <f>bdrate(C175:C178,F175:F178,J175:J178,M175:M178)</f>
        <v>-0.22850756538663708</v>
      </c>
      <c r="T175" s="25">
        <f>bdrate(C175:C178,H175:H178,J175:J178,O175:O178)</f>
        <v>-0.13781806550493714</v>
      </c>
      <c r="U175" s="28">
        <f t="shared" si="8"/>
        <v>2.6685832372164549</v>
      </c>
    </row>
    <row r="176" spans="1:21" x14ac:dyDescent="0.25">
      <c r="A176" s="9" t="s">
        <v>42</v>
      </c>
      <c r="B176" s="9"/>
      <c r="C176" s="17">
        <v>421.9658203125</v>
      </c>
      <c r="D176" s="18">
        <v>32.825000000000003</v>
      </c>
      <c r="E176" s="18">
        <v>39.195</v>
      </c>
      <c r="F176" s="18">
        <v>37.097999999999999</v>
      </c>
      <c r="G176" s="18">
        <v>57.28</v>
      </c>
      <c r="H176" s="18">
        <f t="shared" si="6"/>
        <v>34.155374999999999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7"/>
        <v>34.635875000000006</v>
      </c>
      <c r="P176" s="7"/>
      <c r="Q176" s="10"/>
      <c r="R176" s="11"/>
      <c r="S176" s="11"/>
      <c r="T176" s="26"/>
      <c r="U176" s="28">
        <f t="shared" si="8"/>
        <v>2.8318924581005587</v>
      </c>
    </row>
    <row r="177" spans="1:21" x14ac:dyDescent="0.25">
      <c r="B177" s="9"/>
      <c r="C177" s="17">
        <v>269.41796875</v>
      </c>
      <c r="D177" s="18">
        <v>31.100999999999999</v>
      </c>
      <c r="E177" s="18">
        <v>37.796999999999997</v>
      </c>
      <c r="F177" s="18">
        <v>35.573</v>
      </c>
      <c r="G177" s="18">
        <v>59.56</v>
      </c>
      <c r="H177" s="18">
        <f t="shared" si="6"/>
        <v>32.497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7"/>
        <v>32.791150000000002</v>
      </c>
      <c r="P177" s="7"/>
      <c r="Q177" s="10"/>
      <c r="R177" s="11"/>
      <c r="S177" s="11"/>
      <c r="T177" s="26"/>
      <c r="U177" s="28">
        <f t="shared" si="8"/>
        <v>3.3746205507051705</v>
      </c>
    </row>
    <row r="178" spans="1:21" ht="16.5" thickBot="1" x14ac:dyDescent="0.3">
      <c r="B178" s="12"/>
      <c r="C178" s="19">
        <v>134.1923828125</v>
      </c>
      <c r="D178" s="20">
        <v>28.722999999999999</v>
      </c>
      <c r="E178" s="20">
        <v>35.731999999999999</v>
      </c>
      <c r="F178" s="20">
        <v>33.323999999999998</v>
      </c>
      <c r="G178" s="20">
        <v>67.58</v>
      </c>
      <c r="H178" s="20">
        <f t="shared" si="6"/>
        <v>30.174250000000001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7"/>
        <v>30.159875</v>
      </c>
      <c r="P178" s="7"/>
      <c r="Q178" s="13"/>
      <c r="R178" s="14"/>
      <c r="S178" s="14"/>
      <c r="T178" s="27"/>
      <c r="U178" s="28">
        <f t="shared" si="8"/>
        <v>4.3886667653151816</v>
      </c>
    </row>
    <row r="179" spans="1:21" x14ac:dyDescent="0.25">
      <c r="B179" s="6" t="s">
        <v>58</v>
      </c>
      <c r="C179" s="15">
        <v>691.6796875</v>
      </c>
      <c r="D179" s="16">
        <v>34.133000000000003</v>
      </c>
      <c r="E179" s="16">
        <v>41.731000000000002</v>
      </c>
      <c r="F179" s="16">
        <v>42.643000000000001</v>
      </c>
      <c r="G179" s="16">
        <v>31.9</v>
      </c>
      <c r="H179" s="16">
        <f t="shared" si="6"/>
        <v>36.146500000000003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7"/>
        <v>36.210312500000001</v>
      </c>
      <c r="P179" s="7"/>
      <c r="Q179" s="8">
        <f>bdrate(C179:C182,D179:D182,J179:J182,K179:K182)</f>
        <v>-0.21440108873628905</v>
      </c>
      <c r="R179" s="8">
        <f>bdrate(C179:C182,E179:E182,J179:J182,L179:L182)</f>
        <v>-0.14569128317131141</v>
      </c>
      <c r="S179" s="8">
        <f>bdrate(C179:C182,F179:F182,J179:J182,M179:M182)</f>
        <v>-0.15563871002733409</v>
      </c>
      <c r="T179" s="25">
        <f>bdrate(C179:C182,H179:H182,J179:J182,O179:O182)</f>
        <v>-0.20373872184828612</v>
      </c>
      <c r="U179" s="28">
        <f t="shared" si="8"/>
        <v>8.1349090909090922</v>
      </c>
    </row>
    <row r="180" spans="1:21" x14ac:dyDescent="0.25">
      <c r="B180" s="9"/>
      <c r="C180" s="17">
        <v>512.91015625</v>
      </c>
      <c r="D180" s="18">
        <v>33.082999999999998</v>
      </c>
      <c r="E180" s="18">
        <v>41.095999999999997</v>
      </c>
      <c r="F180" s="18">
        <v>41.960999999999999</v>
      </c>
      <c r="G180" s="18">
        <v>37.75</v>
      </c>
      <c r="H180" s="18">
        <f t="shared" si="6"/>
        <v>35.194375000000001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7"/>
        <v>34.986487499999996</v>
      </c>
      <c r="P180" s="7"/>
      <c r="Q180" s="10"/>
      <c r="R180" s="11"/>
      <c r="S180" s="11"/>
      <c r="T180" s="26"/>
      <c r="U180" s="28">
        <f t="shared" si="8"/>
        <v>8.2622596026490065</v>
      </c>
    </row>
    <row r="181" spans="1:21" x14ac:dyDescent="0.25">
      <c r="B181" s="9"/>
      <c r="C181" s="17">
        <v>333.224609375</v>
      </c>
      <c r="D181" s="18">
        <v>31.515999999999998</v>
      </c>
      <c r="E181" s="18">
        <v>40.052</v>
      </c>
      <c r="F181" s="18">
        <v>40.831000000000003</v>
      </c>
      <c r="G181" s="18">
        <v>43.53</v>
      </c>
      <c r="H181" s="18">
        <f t="shared" si="6"/>
        <v>33.747374999999998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7"/>
        <v>33.544537499999997</v>
      </c>
      <c r="P181" s="7"/>
      <c r="Q181" s="10"/>
      <c r="R181" s="11"/>
      <c r="S181" s="11"/>
      <c r="T181" s="26"/>
      <c r="U181" s="28">
        <f t="shared" si="8"/>
        <v>8.7135998162187001</v>
      </c>
    </row>
    <row r="182" spans="1:21" ht="16.5" thickBot="1" x14ac:dyDescent="0.3">
      <c r="B182" s="12"/>
      <c r="C182" s="19">
        <v>150.447265625</v>
      </c>
      <c r="D182" s="20">
        <v>28.661000000000001</v>
      </c>
      <c r="E182" s="20">
        <v>38.307000000000002</v>
      </c>
      <c r="F182" s="20">
        <v>38.927999999999997</v>
      </c>
      <c r="G182" s="20">
        <v>52.54</v>
      </c>
      <c r="H182" s="20">
        <f t="shared" si="6"/>
        <v>31.150125000000003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7"/>
        <v>31.295124999999999</v>
      </c>
      <c r="P182" s="7"/>
      <c r="Q182" s="13"/>
      <c r="R182" s="14"/>
      <c r="S182" s="14"/>
      <c r="T182" s="27"/>
      <c r="U182" s="28">
        <f t="shared" si="8"/>
        <v>10.262200228397413</v>
      </c>
    </row>
    <row r="183" spans="1:21" x14ac:dyDescent="0.25">
      <c r="B183" s="6" t="s">
        <v>59</v>
      </c>
      <c r="C183" s="29">
        <v>674.08984375</v>
      </c>
      <c r="D183" s="30">
        <v>33.463999999999999</v>
      </c>
      <c r="E183" s="30">
        <v>38.640999999999998</v>
      </c>
      <c r="F183" s="30">
        <v>39.521000000000001</v>
      </c>
      <c r="G183" s="16">
        <v>36.729999999999997</v>
      </c>
      <c r="H183" s="16">
        <f t="shared" si="6"/>
        <v>34.868249999999996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7"/>
        <v>34.911412499999997</v>
      </c>
      <c r="P183" s="7"/>
      <c r="Q183" s="8">
        <f>bdrate(C183:C186,D183:D186,J183:J186,K183:K186)</f>
        <v>-0.18603444796128488</v>
      </c>
      <c r="R183" s="8">
        <f>bdrate(C183:C186,E183:E186,J183:J186,L183:L186)</f>
        <v>-0.18701537907485677</v>
      </c>
      <c r="S183" s="8">
        <f>bdrate(C183:C186,F183:F186,J183:J186,M183:M186)</f>
        <v>-0.16614600456264628</v>
      </c>
      <c r="T183" s="25">
        <f>bdrate(C183:C186,H183:H186,J183:J186,O183:O186)</f>
        <v>-0.18482733370267523</v>
      </c>
      <c r="U183" s="28">
        <f t="shared" si="8"/>
        <v>5.9809501769670579</v>
      </c>
    </row>
    <row r="184" spans="1:21" x14ac:dyDescent="0.25">
      <c r="B184" s="9"/>
      <c r="C184" s="31">
        <v>474.5322265625</v>
      </c>
      <c r="D184" s="32">
        <v>31.98</v>
      </c>
      <c r="E184" s="32">
        <v>37.417999999999999</v>
      </c>
      <c r="F184" s="32">
        <v>38.259</v>
      </c>
      <c r="G184" s="18">
        <v>41.86</v>
      </c>
      <c r="H184" s="18">
        <f t="shared" si="6"/>
        <v>33.444625000000002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7"/>
        <v>33.459362499999997</v>
      </c>
      <c r="P184" s="7"/>
      <c r="Q184" s="10"/>
      <c r="R184" s="11"/>
      <c r="S184" s="11"/>
      <c r="T184" s="26"/>
      <c r="U184" s="28">
        <f t="shared" si="8"/>
        <v>6.2921715241280456</v>
      </c>
    </row>
    <row r="185" spans="1:21" x14ac:dyDescent="0.25">
      <c r="B185" s="9"/>
      <c r="C185" s="31">
        <v>307.22265625</v>
      </c>
      <c r="D185" s="32">
        <v>30.337</v>
      </c>
      <c r="E185" s="32">
        <v>36.076000000000001</v>
      </c>
      <c r="F185" s="32">
        <v>36.914000000000001</v>
      </c>
      <c r="G185" s="18">
        <v>44.54</v>
      </c>
      <c r="H185" s="18">
        <f t="shared" si="6"/>
        <v>31.8765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7"/>
        <v>31.9059375</v>
      </c>
      <c r="P185" s="7"/>
      <c r="Q185" s="10"/>
      <c r="R185" s="11"/>
      <c r="S185" s="11"/>
      <c r="T185" s="26"/>
      <c r="U185" s="28">
        <f t="shared" si="8"/>
        <v>6.9055388414907952</v>
      </c>
    </row>
    <row r="186" spans="1:21" ht="16.5" thickBot="1" x14ac:dyDescent="0.3">
      <c r="B186" s="12"/>
      <c r="C186" s="33">
        <v>147.56640625</v>
      </c>
      <c r="D186" s="34">
        <v>27.963999999999999</v>
      </c>
      <c r="E186" s="34">
        <v>34.213000000000001</v>
      </c>
      <c r="F186" s="34">
        <v>34.957000000000001</v>
      </c>
      <c r="G186" s="20">
        <v>49.42</v>
      </c>
      <c r="H186" s="20">
        <f t="shared" si="6"/>
        <v>29.619249999999997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7"/>
        <v>29.701337500000001</v>
      </c>
      <c r="P186" s="7"/>
      <c r="Q186" s="13"/>
      <c r="R186" s="14"/>
      <c r="S186" s="14"/>
      <c r="T186" s="27"/>
      <c r="U186" s="28">
        <f t="shared" si="8"/>
        <v>8.6816855524079326</v>
      </c>
    </row>
    <row r="187" spans="1:21" x14ac:dyDescent="0.25">
      <c r="B187" s="6" t="s">
        <v>60</v>
      </c>
      <c r="C187" s="15">
        <v>623.43359375</v>
      </c>
      <c r="D187" s="16">
        <v>34.232999999999997</v>
      </c>
      <c r="E187" s="16">
        <v>38.509</v>
      </c>
      <c r="F187" s="16">
        <v>39.704000000000001</v>
      </c>
      <c r="G187" s="16">
        <v>39.590000000000003</v>
      </c>
      <c r="H187" s="16">
        <f t="shared" si="6"/>
        <v>35.451374999999999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7"/>
        <v>35.732887500000004</v>
      </c>
      <c r="P187" s="7"/>
      <c r="Q187" s="8">
        <f>bdrate(C187:C190,D187:D190,J187:J190,K187:K190)</f>
        <v>-0.15883999656660663</v>
      </c>
      <c r="R187" s="8">
        <f>bdrate(C187:C190,E187:E190,J187:J190,L187:L190)</f>
        <v>-0.15054740363670172</v>
      </c>
      <c r="S187" s="8">
        <f>bdrate(C187:C190,F187:F190,J187:J190,M187:M190)</f>
        <v>-0.12230644292105675</v>
      </c>
      <c r="T187" s="25">
        <f>bdrate(C187:C190,H187:H190,J187:J190,O187:O190)</f>
        <v>-0.156414457290036</v>
      </c>
      <c r="U187" s="28">
        <f t="shared" si="8"/>
        <v>2.4210709775195753</v>
      </c>
    </row>
    <row r="188" spans="1:21" x14ac:dyDescent="0.25">
      <c r="B188" s="9"/>
      <c r="C188" s="17">
        <v>443.7021484375</v>
      </c>
      <c r="D188" s="18">
        <v>32.642000000000003</v>
      </c>
      <c r="E188" s="18">
        <v>37.265000000000001</v>
      </c>
      <c r="F188" s="18">
        <v>38.493000000000002</v>
      </c>
      <c r="G188" s="18">
        <v>45.5</v>
      </c>
      <c r="H188" s="18">
        <f t="shared" si="6"/>
        <v>33.951250000000002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7"/>
        <v>34.030324999999998</v>
      </c>
      <c r="P188" s="7"/>
      <c r="Q188" s="10"/>
      <c r="R188" s="11"/>
      <c r="S188" s="11"/>
      <c r="T188" s="26"/>
      <c r="U188" s="28">
        <f t="shared" si="8"/>
        <v>2.4941208791208789</v>
      </c>
    </row>
    <row r="189" spans="1:21" x14ac:dyDescent="0.25">
      <c r="B189" s="9"/>
      <c r="C189" s="17">
        <v>303.90625</v>
      </c>
      <c r="D189" s="18">
        <v>30.951000000000001</v>
      </c>
      <c r="E189" s="18">
        <v>35.950000000000003</v>
      </c>
      <c r="F189" s="18">
        <v>37.149000000000001</v>
      </c>
      <c r="G189" s="18">
        <v>48.98</v>
      </c>
      <c r="H189" s="18">
        <f t="shared" si="6"/>
        <v>32.350625000000001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7"/>
        <v>32.193212500000001</v>
      </c>
      <c r="P189" s="7"/>
      <c r="Q189" s="10"/>
      <c r="R189" s="11"/>
      <c r="S189" s="11"/>
      <c r="T189" s="26"/>
      <c r="U189" s="28">
        <f t="shared" si="8"/>
        <v>3.0058534095549212</v>
      </c>
    </row>
    <row r="190" spans="1:21" ht="16.5" thickBot="1" x14ac:dyDescent="0.3">
      <c r="B190" s="12"/>
      <c r="C190" s="19">
        <v>155.1142578125</v>
      </c>
      <c r="D190" s="20">
        <v>28.454999999999998</v>
      </c>
      <c r="E190" s="20">
        <v>33.875999999999998</v>
      </c>
      <c r="F190" s="20">
        <v>35.011000000000003</v>
      </c>
      <c r="G190" s="20">
        <v>52.39</v>
      </c>
      <c r="H190" s="20">
        <f t="shared" si="6"/>
        <v>29.952124999999999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7"/>
        <v>29.826724999999996</v>
      </c>
      <c r="P190" s="7"/>
      <c r="Q190" s="13"/>
      <c r="R190" s="14"/>
      <c r="S190" s="14"/>
      <c r="T190" s="27"/>
      <c r="U190" s="28">
        <f t="shared" si="8"/>
        <v>4.243849971368582</v>
      </c>
    </row>
    <row r="191" spans="1:21" x14ac:dyDescent="0.25">
      <c r="A191" s="6" t="s">
        <v>43</v>
      </c>
      <c r="B191" s="6" t="s">
        <v>61</v>
      </c>
      <c r="C191" s="15">
        <v>1541.23828125</v>
      </c>
      <c r="D191" s="16">
        <v>41.671999999999997</v>
      </c>
      <c r="E191" s="16">
        <v>46.064999999999998</v>
      </c>
      <c r="F191" s="16">
        <v>47.384999999999998</v>
      </c>
      <c r="G191" s="16">
        <v>17.18</v>
      </c>
      <c r="H191" s="16">
        <f t="shared" si="6"/>
        <v>42.935249999999996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7"/>
        <v>43.117212500000008</v>
      </c>
      <c r="P191" s="7"/>
      <c r="Q191" s="8">
        <f>bdrate(C191:C194,D191:D194,J191:J194,K191:K194)</f>
        <v>-0.18536151107299448</v>
      </c>
      <c r="R191" s="8">
        <f>bdrate(C191:C194,E191:E194,J191:J194,L191:L194)</f>
        <v>-0.1603023153060168</v>
      </c>
      <c r="S191" s="8">
        <f>bdrate(C191:C194,F191:F194,J191:J194,M191:M194)</f>
        <v>-0.12064485246037993</v>
      </c>
      <c r="T191" s="25">
        <f>bdrate(C191:C194,H191:H194,J191:J194,O191:O194)</f>
        <v>-0.17675495462628898</v>
      </c>
      <c r="U191" s="28">
        <f t="shared" si="8"/>
        <v>2.7189173457508731</v>
      </c>
    </row>
    <row r="192" spans="1:21" x14ac:dyDescent="0.25">
      <c r="A192" s="9" t="s">
        <v>44</v>
      </c>
      <c r="B192" s="9"/>
      <c r="C192" s="17">
        <v>1050.861328125</v>
      </c>
      <c r="D192" s="18">
        <v>40.540999999999997</v>
      </c>
      <c r="E192" s="18">
        <v>45.186999999999998</v>
      </c>
      <c r="F192" s="18">
        <v>46.463000000000001</v>
      </c>
      <c r="G192" s="18">
        <v>19.25</v>
      </c>
      <c r="H192" s="18">
        <f t="shared" si="6"/>
        <v>41.862000000000002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7"/>
        <v>42.178625000000004</v>
      </c>
      <c r="P192" s="7"/>
      <c r="Q192" s="10"/>
      <c r="R192" s="11"/>
      <c r="S192" s="11"/>
      <c r="T192" s="26"/>
      <c r="U192" s="28">
        <f t="shared" si="8"/>
        <v>3.0531636363636361</v>
      </c>
    </row>
    <row r="193" spans="1:21" x14ac:dyDescent="0.25">
      <c r="B193" s="9"/>
      <c r="C193" s="17">
        <v>646.4296875</v>
      </c>
      <c r="D193" s="18">
        <v>38.738999999999997</v>
      </c>
      <c r="E193" s="18">
        <v>43.789000000000001</v>
      </c>
      <c r="F193" s="18">
        <v>45.023000000000003</v>
      </c>
      <c r="G193" s="18">
        <v>22.01</v>
      </c>
      <c r="H193" s="18">
        <f t="shared" si="6"/>
        <v>40.155749999999998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7"/>
        <v>40.562449999999998</v>
      </c>
      <c r="P193" s="7"/>
      <c r="Q193" s="10"/>
      <c r="R193" s="11"/>
      <c r="S193" s="11"/>
      <c r="T193" s="26"/>
      <c r="U193" s="28">
        <f t="shared" si="8"/>
        <v>3.512553384825079</v>
      </c>
    </row>
    <row r="194" spans="1:21" ht="16.5" thickBot="1" x14ac:dyDescent="0.3">
      <c r="B194" s="12"/>
      <c r="C194" s="19">
        <v>328.525390625</v>
      </c>
      <c r="D194" s="20">
        <v>35.567999999999998</v>
      </c>
      <c r="E194" s="20">
        <v>41.365000000000002</v>
      </c>
      <c r="F194" s="20">
        <v>42.470999999999997</v>
      </c>
      <c r="G194" s="20">
        <v>25.14</v>
      </c>
      <c r="H194" s="20">
        <f t="shared" si="6"/>
        <v>37.155499999999996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7"/>
        <v>37.822699999999998</v>
      </c>
      <c r="P194" s="7"/>
      <c r="Q194" s="13"/>
      <c r="R194" s="14"/>
      <c r="S194" s="14"/>
      <c r="T194" s="27"/>
      <c r="U194" s="28">
        <f t="shared" si="8"/>
        <v>4.405739856801909</v>
      </c>
    </row>
    <row r="195" spans="1:21" x14ac:dyDescent="0.25">
      <c r="B195" s="6" t="s">
        <v>62</v>
      </c>
      <c r="C195" s="15">
        <v>1579.9453125</v>
      </c>
      <c r="D195" s="16">
        <v>43.01</v>
      </c>
      <c r="E195" s="16">
        <v>48.314999999999998</v>
      </c>
      <c r="F195" s="16">
        <v>48.953000000000003</v>
      </c>
      <c r="G195" s="16">
        <v>12.86</v>
      </c>
      <c r="H195" s="16">
        <f t="shared" si="6"/>
        <v>44.415999999999997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7"/>
        <v>44.322474999999997</v>
      </c>
      <c r="P195" s="7"/>
      <c r="Q195" s="8">
        <f>bdrate(C195:C198,D195:D198,J195:J198,K195:K198)</f>
        <v>-0.11092039545259458</v>
      </c>
      <c r="R195" s="8">
        <f>bdrate(C195:C198,E195:E198,J195:J198,L195:L198)</f>
        <v>-2.6481108336626091E-2</v>
      </c>
      <c r="S195" s="8">
        <f>bdrate(C195:C198,F195:F198,J195:J198,M195:M198)</f>
        <v>-5.4325586215914212E-3</v>
      </c>
      <c r="T195" s="25">
        <f>bdrate(C195:C198,H195:H198,J195:J198,O195:O198)</f>
        <v>-8.7389709199288124E-2</v>
      </c>
      <c r="U195" s="28">
        <f t="shared" ref="U195:U246" si="9">(N195-G195)/G195</f>
        <v>5.2416485225505447</v>
      </c>
    </row>
    <row r="196" spans="1:21" x14ac:dyDescent="0.25">
      <c r="B196" s="9"/>
      <c r="C196" s="17">
        <v>1132.4267578125</v>
      </c>
      <c r="D196" s="18">
        <v>42.63</v>
      </c>
      <c r="E196" s="18">
        <v>48.036000000000001</v>
      </c>
      <c r="F196" s="18">
        <v>48.673999999999999</v>
      </c>
      <c r="G196" s="18">
        <v>14.41</v>
      </c>
      <c r="H196" s="18">
        <f t="shared" si="6"/>
        <v>44.061250000000001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7"/>
        <v>43.898312500000003</v>
      </c>
      <c r="P196" s="7"/>
      <c r="Q196" s="10"/>
      <c r="R196" s="11"/>
      <c r="S196" s="11"/>
      <c r="T196" s="26"/>
      <c r="U196" s="28">
        <f t="shared" si="9"/>
        <v>5.9873698820263712</v>
      </c>
    </row>
    <row r="197" spans="1:21" x14ac:dyDescent="0.25">
      <c r="B197" s="9"/>
      <c r="C197" s="17">
        <v>717.8134765625</v>
      </c>
      <c r="D197" s="18">
        <v>41.887</v>
      </c>
      <c r="E197" s="18">
        <v>47.335999999999999</v>
      </c>
      <c r="F197" s="18">
        <v>47.962000000000003</v>
      </c>
      <c r="G197" s="18">
        <v>16.79</v>
      </c>
      <c r="H197" s="18">
        <f t="shared" si="6"/>
        <v>43.327500000000001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7"/>
        <v>43.106562500000003</v>
      </c>
      <c r="P197" s="7"/>
      <c r="Q197" s="10"/>
      <c r="R197" s="11"/>
      <c r="S197" s="11"/>
      <c r="T197" s="26"/>
      <c r="U197" s="28">
        <f t="shared" si="9"/>
        <v>6.7132638475282906</v>
      </c>
    </row>
    <row r="198" spans="1:21" ht="16.5" thickBot="1" x14ac:dyDescent="0.3">
      <c r="B198" s="12"/>
      <c r="C198" s="19">
        <v>348.7841796875</v>
      </c>
      <c r="D198" s="20">
        <v>40.119999999999997</v>
      </c>
      <c r="E198" s="20">
        <v>45.610999999999997</v>
      </c>
      <c r="F198" s="20">
        <v>46.268999999999998</v>
      </c>
      <c r="G198" s="20">
        <v>20.7</v>
      </c>
      <c r="H198" s="20">
        <f t="shared" si="6"/>
        <v>41.574999999999996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7"/>
        <v>41.329100000000004</v>
      </c>
      <c r="P198" s="7"/>
      <c r="Q198" s="13"/>
      <c r="R198" s="14"/>
      <c r="S198" s="14"/>
      <c r="T198" s="27"/>
      <c r="U198" s="28">
        <f t="shared" si="9"/>
        <v>7.4064685990338175</v>
      </c>
    </row>
    <row r="199" spans="1:21" x14ac:dyDescent="0.25">
      <c r="B199" s="6" t="s">
        <v>63</v>
      </c>
      <c r="C199" s="15">
        <v>1537.9658203125</v>
      </c>
      <c r="D199" s="16">
        <v>42.628</v>
      </c>
      <c r="E199" s="16">
        <v>47.156999999999996</v>
      </c>
      <c r="F199" s="16">
        <v>48.085000000000001</v>
      </c>
      <c r="G199" s="16">
        <v>16.04</v>
      </c>
      <c r="H199" s="16">
        <f t="shared" si="6"/>
        <v>43.876249999999999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7"/>
        <v>44.071737499999998</v>
      </c>
      <c r="P199" s="7"/>
      <c r="Q199" s="8">
        <f>bdrate(C199:C202,D199:D202,J199:J202,K199:K202)</f>
        <v>-0.16665281874193727</v>
      </c>
      <c r="R199" s="8">
        <f>bdrate(C199:C202,E199:E202,J199:J202,L199:L202)</f>
        <v>-0.12691006717861197</v>
      </c>
      <c r="S199" s="8">
        <f>bdrate(C199:C202,F199:F202,J199:J202,M199:M202)</f>
        <v>-9.0954215886613565E-2</v>
      </c>
      <c r="T199" s="25">
        <f>bdrate(C199:C202,H199:H202,J199:J202,O199:O202)</f>
        <v>-0.15387807755671357</v>
      </c>
      <c r="U199" s="28">
        <f t="shared" si="9"/>
        <v>3.3516147132169576</v>
      </c>
    </row>
    <row r="200" spans="1:21" x14ac:dyDescent="0.25">
      <c r="B200" s="9"/>
      <c r="C200" s="17">
        <v>1074.4462890625</v>
      </c>
      <c r="D200" s="18">
        <v>41.914999999999999</v>
      </c>
      <c r="E200" s="18">
        <v>46.591000000000001</v>
      </c>
      <c r="F200" s="18">
        <v>47.497999999999998</v>
      </c>
      <c r="G200" s="18">
        <v>17.87</v>
      </c>
      <c r="H200" s="18">
        <f t="shared" si="6"/>
        <v>43.197375000000001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7"/>
        <v>43.371912500000001</v>
      </c>
      <c r="P200" s="7"/>
      <c r="Q200" s="10"/>
      <c r="R200" s="11"/>
      <c r="S200" s="11"/>
      <c r="T200" s="26"/>
      <c r="U200" s="28">
        <f t="shared" si="9"/>
        <v>3.8583156127588132</v>
      </c>
    </row>
    <row r="201" spans="1:21" x14ac:dyDescent="0.25">
      <c r="B201" s="9"/>
      <c r="C201" s="17">
        <v>671.7880859375</v>
      </c>
      <c r="D201" s="18">
        <v>40.668999999999997</v>
      </c>
      <c r="E201" s="18">
        <v>45.444000000000003</v>
      </c>
      <c r="F201" s="18">
        <v>46.37</v>
      </c>
      <c r="G201" s="18">
        <v>20.34</v>
      </c>
      <c r="H201" s="18">
        <f t="shared" si="6"/>
        <v>41.978499999999997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7"/>
        <v>42.141624999999998</v>
      </c>
      <c r="P201" s="7"/>
      <c r="Q201" s="10"/>
      <c r="R201" s="11"/>
      <c r="S201" s="11"/>
      <c r="T201" s="26"/>
      <c r="U201" s="28">
        <f t="shared" si="9"/>
        <v>4.3410324483775806</v>
      </c>
    </row>
    <row r="202" spans="1:21" ht="16.5" thickBot="1" x14ac:dyDescent="0.3">
      <c r="B202" s="12"/>
      <c r="C202" s="19">
        <v>332.7060546875</v>
      </c>
      <c r="D202" s="20">
        <v>38.131999999999998</v>
      </c>
      <c r="E202" s="20">
        <v>43.264000000000003</v>
      </c>
      <c r="F202" s="20">
        <v>44.186</v>
      </c>
      <c r="G202" s="20">
        <v>24.14</v>
      </c>
      <c r="H202" s="20">
        <f t="shared" si="6"/>
        <v>39.530249999999995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7"/>
        <v>39.907137500000005</v>
      </c>
      <c r="P202" s="7"/>
      <c r="Q202" s="13"/>
      <c r="R202" s="14"/>
      <c r="S202" s="14"/>
      <c r="T202" s="27"/>
      <c r="U202" s="28">
        <f t="shared" si="9"/>
        <v>5.3470422535211277</v>
      </c>
    </row>
    <row r="203" spans="1:21" x14ac:dyDescent="0.25">
      <c r="A203" s="6" t="s">
        <v>102</v>
      </c>
      <c r="B203" s="6" t="s">
        <v>103</v>
      </c>
      <c r="C203" s="15">
        <v>1455.0009765625</v>
      </c>
      <c r="D203" s="16">
        <v>47.488</v>
      </c>
      <c r="E203" s="16">
        <v>52.884</v>
      </c>
      <c r="F203" s="16">
        <v>53.593000000000004</v>
      </c>
      <c r="G203" s="16">
        <v>18.809999999999999</v>
      </c>
      <c r="H203" s="16">
        <f t="shared" ref="H203:H246" si="10">(6*D203+E203+F203)/8</f>
        <v>48.925625000000004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46" si="11">(6*K203+L203+M203)/8</f>
        <v>46.747025000000001</v>
      </c>
      <c r="P203" s="7"/>
      <c r="Q203" s="8">
        <f>bdrate(C203:C206,D203:D206,J203:J206,K203:K206)</f>
        <v>0.12961465471981071</v>
      </c>
      <c r="R203" s="8">
        <f>bdrate(C203:C206,E203:E206,J203:J206,L203:L206)</f>
        <v>7.0725846279774851E-2</v>
      </c>
      <c r="S203" s="8">
        <f>bdrate(C203:C206,F203:F206,J203:J206,M203:M206)</f>
        <v>2.2812353071592906E-3</v>
      </c>
      <c r="T203" s="25">
        <f>bdrate(C203:C206,H203:H206,J203:J206,O203:O206)</f>
        <v>0.11208978436839145</v>
      </c>
      <c r="U203" s="28">
        <f t="shared" si="9"/>
        <v>1.0221850079744819</v>
      </c>
    </row>
    <row r="204" spans="1:21" x14ac:dyDescent="0.25">
      <c r="A204" s="9" t="s">
        <v>78</v>
      </c>
      <c r="B204" s="9"/>
      <c r="C204" s="17">
        <v>1025.99609375</v>
      </c>
      <c r="D204" s="18">
        <v>45.706000000000003</v>
      </c>
      <c r="E204" s="18">
        <v>51.225999999999999</v>
      </c>
      <c r="F204" s="18">
        <v>51.838999999999999</v>
      </c>
      <c r="G204" s="18">
        <v>20.36</v>
      </c>
      <c r="H204" s="18">
        <f t="shared" si="10"/>
        <v>47.162624999999998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1"/>
        <v>45.067275000000009</v>
      </c>
      <c r="P204" s="7"/>
      <c r="Q204" s="10"/>
      <c r="R204" s="11"/>
      <c r="S204" s="11"/>
      <c r="T204" s="26"/>
      <c r="U204" s="28">
        <f t="shared" si="9"/>
        <v>1.218369351669941</v>
      </c>
    </row>
    <row r="205" spans="1:21" x14ac:dyDescent="0.25">
      <c r="B205" s="9"/>
      <c r="C205" s="17">
        <v>647.04296875</v>
      </c>
      <c r="D205" s="18">
        <v>43.29</v>
      </c>
      <c r="E205" s="18">
        <v>49.265000000000001</v>
      </c>
      <c r="F205" s="18">
        <v>49.872999999999998</v>
      </c>
      <c r="G205" s="18">
        <v>22.08</v>
      </c>
      <c r="H205" s="18">
        <f t="shared" si="10"/>
        <v>44.859749999999998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1"/>
        <v>42.828450000000004</v>
      </c>
      <c r="P205" s="7"/>
      <c r="Q205" s="10"/>
      <c r="R205" s="11"/>
      <c r="S205" s="11"/>
      <c r="T205" s="26"/>
      <c r="U205" s="28">
        <f t="shared" si="9"/>
        <v>1.525769927536232</v>
      </c>
    </row>
    <row r="206" spans="1:21" ht="16.5" thickBot="1" x14ac:dyDescent="0.3">
      <c r="B206" s="12"/>
      <c r="C206" s="19">
        <v>372.5048828125</v>
      </c>
      <c r="D206" s="20">
        <v>38.887</v>
      </c>
      <c r="E206" s="20">
        <v>45.433</v>
      </c>
      <c r="F206" s="20">
        <v>46.482999999999997</v>
      </c>
      <c r="G206" s="20">
        <v>23.3</v>
      </c>
      <c r="H206" s="20">
        <f t="shared" si="10"/>
        <v>40.65475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1"/>
        <v>39.433087499999999</v>
      </c>
      <c r="P206" s="7"/>
      <c r="Q206" s="13"/>
      <c r="R206" s="14"/>
      <c r="S206" s="14"/>
      <c r="T206" s="27"/>
      <c r="U206" s="28">
        <f t="shared" si="9"/>
        <v>2.323145922746781</v>
      </c>
    </row>
    <row r="207" spans="1:21" x14ac:dyDescent="0.25">
      <c r="B207" s="6" t="s">
        <v>104</v>
      </c>
      <c r="C207" s="15">
        <v>1933.6630859375</v>
      </c>
      <c r="D207" s="16">
        <v>54.844000000000001</v>
      </c>
      <c r="E207" s="16">
        <v>55.866</v>
      </c>
      <c r="F207" s="16">
        <v>56.189</v>
      </c>
      <c r="G207" s="16">
        <v>17.489999999999998</v>
      </c>
      <c r="H207" s="16">
        <f t="shared" si="10"/>
        <v>55.139875000000004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1"/>
        <v>53.637012500000004</v>
      </c>
      <c r="P207" s="7"/>
      <c r="Q207" s="8">
        <f>bdrate(C207:C210,D207:D210,J207:J210,K207:K210)</f>
        <v>-0.24469594082880552</v>
      </c>
      <c r="R207" s="8">
        <f>bdrate(C207:C210,E207:E210,J207:J210,L207:L210)</f>
        <v>-0.19415943685110448</v>
      </c>
      <c r="S207" s="8">
        <f>bdrate(C207:C210,F207:F210,J207:J210,M207:M210)</f>
        <v>-0.19994515900542753</v>
      </c>
      <c r="T207" s="25">
        <f>bdrate(C207:C210,H207:H210,J207:J210,O207:O210)</f>
        <v>-0.23379779253927202</v>
      </c>
      <c r="U207" s="28">
        <f t="shared" si="9"/>
        <v>4.0890566037735852</v>
      </c>
    </row>
    <row r="208" spans="1:21" x14ac:dyDescent="0.25">
      <c r="B208" s="9"/>
      <c r="C208" s="17">
        <v>1364.7236328125</v>
      </c>
      <c r="D208" s="18">
        <v>52.359000000000002</v>
      </c>
      <c r="E208" s="18">
        <v>53.482999999999997</v>
      </c>
      <c r="F208" s="18">
        <v>53.871000000000002</v>
      </c>
      <c r="G208" s="18">
        <v>18.670000000000002</v>
      </c>
      <c r="H208" s="18">
        <f t="shared" si="10"/>
        <v>52.688499999999998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1"/>
        <v>51.779374999999995</v>
      </c>
      <c r="P208" s="7"/>
      <c r="Q208" s="10"/>
      <c r="R208" s="11"/>
      <c r="S208" s="11"/>
      <c r="T208" s="26"/>
      <c r="U208" s="28">
        <f t="shared" si="9"/>
        <v>4.245736475629351</v>
      </c>
    </row>
    <row r="209" spans="2:21" x14ac:dyDescent="0.25">
      <c r="B209" s="9"/>
      <c r="C209" s="17">
        <v>871.150390625</v>
      </c>
      <c r="D209" s="18">
        <v>49.213000000000001</v>
      </c>
      <c r="E209" s="18">
        <v>50.55</v>
      </c>
      <c r="F209" s="18">
        <v>51.036000000000001</v>
      </c>
      <c r="G209" s="18">
        <v>19.95</v>
      </c>
      <c r="H209" s="18">
        <f t="shared" si="10"/>
        <v>49.608000000000004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1"/>
        <v>49.134587499999995</v>
      </c>
      <c r="P209" s="7"/>
      <c r="Q209" s="10"/>
      <c r="R209" s="11"/>
      <c r="S209" s="11"/>
      <c r="T209" s="26"/>
      <c r="U209" s="28">
        <f t="shared" si="9"/>
        <v>5.5177744360902254</v>
      </c>
    </row>
    <row r="210" spans="2:21" ht="16.5" thickBot="1" x14ac:dyDescent="0.3">
      <c r="B210" s="12"/>
      <c r="C210" s="19">
        <v>456.69140625</v>
      </c>
      <c r="D210" s="20">
        <v>44.856000000000002</v>
      </c>
      <c r="E210" s="20">
        <v>46.414999999999999</v>
      </c>
      <c r="F210" s="20">
        <v>46.985999999999997</v>
      </c>
      <c r="G210" s="20">
        <v>21.83</v>
      </c>
      <c r="H210" s="20">
        <f t="shared" si="10"/>
        <v>45.317125000000004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1"/>
        <v>44.681325000000001</v>
      </c>
      <c r="P210" s="7"/>
      <c r="Q210" s="13"/>
      <c r="R210" s="14"/>
      <c r="S210" s="14"/>
      <c r="T210" s="27"/>
      <c r="U210" s="28">
        <f t="shared" si="9"/>
        <v>6.3620842876775088</v>
      </c>
    </row>
    <row r="211" spans="2:21" x14ac:dyDescent="0.25">
      <c r="B211" s="6" t="s">
        <v>105</v>
      </c>
      <c r="C211" s="15">
        <v>1957.4775390625</v>
      </c>
      <c r="D211" s="16">
        <v>43.584000000000003</v>
      </c>
      <c r="E211" s="16">
        <v>46.112000000000002</v>
      </c>
      <c r="F211" s="16">
        <v>46.561</v>
      </c>
      <c r="G211" s="16">
        <v>16.5</v>
      </c>
      <c r="H211" s="16">
        <f t="shared" si="10"/>
        <v>44.272125000000003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1"/>
        <v>44.701837500000003</v>
      </c>
      <c r="P211" s="7"/>
      <c r="Q211" s="8">
        <f>bdrate(C211:C214,D211:D214,J211:J214,K211:K214)</f>
        <v>-0.30590304769267185</v>
      </c>
      <c r="R211" s="8">
        <f>bdrate(C211:C214,E211:E214,J211:J214,L211:L214)</f>
        <v>-0.2941380211672604</v>
      </c>
      <c r="S211" s="8">
        <f>bdrate(C211:C214,F211:F214,J211:J214,M211:M214)</f>
        <v>-0.28046727888087364</v>
      </c>
      <c r="T211" s="25">
        <f>bdrate(C211:C214,H211:H214,J211:J214,O211:O214)</f>
        <v>-0.30203179827996274</v>
      </c>
      <c r="U211" s="28">
        <f t="shared" si="9"/>
        <v>1.8242121212121212</v>
      </c>
    </row>
    <row r="212" spans="2:21" x14ac:dyDescent="0.25">
      <c r="B212" s="9"/>
      <c r="C212" s="17">
        <v>1354.0751953125</v>
      </c>
      <c r="D212" s="18">
        <v>41.844000000000001</v>
      </c>
      <c r="E212" s="18">
        <v>44.661999999999999</v>
      </c>
      <c r="F212" s="18">
        <v>45.095999999999997</v>
      </c>
      <c r="G212" s="18">
        <v>18.010000000000002</v>
      </c>
      <c r="H212" s="18">
        <f t="shared" si="10"/>
        <v>42.60275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1"/>
        <v>42.896274999999996</v>
      </c>
      <c r="P212" s="7"/>
      <c r="Q212" s="10"/>
      <c r="R212" s="11"/>
      <c r="S212" s="11"/>
      <c r="T212" s="26"/>
      <c r="U212" s="28">
        <f t="shared" si="9"/>
        <v>2.0459744586340918</v>
      </c>
    </row>
    <row r="213" spans="2:21" x14ac:dyDescent="0.25">
      <c r="B213" s="9"/>
      <c r="C213" s="17">
        <v>877.3369140625</v>
      </c>
      <c r="D213" s="18">
        <v>39.753</v>
      </c>
      <c r="E213" s="18">
        <v>42.857999999999997</v>
      </c>
      <c r="F213" s="18">
        <v>43.302</v>
      </c>
      <c r="G213" s="18">
        <v>19.77</v>
      </c>
      <c r="H213" s="18">
        <f t="shared" si="10"/>
        <v>40.58475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1"/>
        <v>40.500012499999997</v>
      </c>
      <c r="P213" s="7"/>
      <c r="Q213" s="10"/>
      <c r="R213" s="11"/>
      <c r="S213" s="11"/>
      <c r="T213" s="26"/>
      <c r="U213" s="28">
        <f t="shared" si="9"/>
        <v>2.3932271117855342</v>
      </c>
    </row>
    <row r="214" spans="2:21" ht="16.5" thickBot="1" x14ac:dyDescent="0.3">
      <c r="B214" s="12"/>
      <c r="C214" s="19">
        <v>485.765625</v>
      </c>
      <c r="D214" s="20">
        <v>36.906999999999996</v>
      </c>
      <c r="E214" s="20">
        <v>40.515999999999998</v>
      </c>
      <c r="F214" s="20">
        <v>40.97</v>
      </c>
      <c r="G214" s="20">
        <v>21.84</v>
      </c>
      <c r="H214" s="20">
        <f t="shared" si="10"/>
        <v>37.866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si="11"/>
        <v>36.975462499999999</v>
      </c>
      <c r="P214" s="7"/>
      <c r="Q214" s="13"/>
      <c r="R214" s="14"/>
      <c r="S214" s="14"/>
      <c r="T214" s="27"/>
      <c r="U214" s="28">
        <f t="shared" si="9"/>
        <v>3.0845283882783883</v>
      </c>
    </row>
    <row r="215" spans="2:21" x14ac:dyDescent="0.25">
      <c r="B215" s="6" t="s">
        <v>106</v>
      </c>
      <c r="C215" s="29">
        <v>1859.5205078125</v>
      </c>
      <c r="D215" s="30">
        <v>39.442</v>
      </c>
      <c r="E215" s="30">
        <v>44.206000000000003</v>
      </c>
      <c r="F215" s="30">
        <v>44.186</v>
      </c>
      <c r="G215" s="16">
        <v>16.829999999999998</v>
      </c>
      <c r="H215" s="16">
        <f t="shared" si="10"/>
        <v>40.630499999999998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1"/>
        <v>41.060199999999995</v>
      </c>
      <c r="P215" s="7"/>
      <c r="Q215" s="8">
        <f>bdrate(C215:C218,D215:D218,J215:J218,K215:K218)</f>
        <v>-0.23870319054160827</v>
      </c>
      <c r="R215" s="8">
        <f>bdrate(C215:C218,E215:E218,J215:J218,L215:L218)</f>
        <v>-0.2600136037973384</v>
      </c>
      <c r="S215" s="8">
        <f>bdrate(C215:C218,F215:F218,J215:J218,M215:M218)</f>
        <v>-0.27086397252149119</v>
      </c>
      <c r="T215" s="25">
        <f>bdrate(C215:C218,H215:H218,J215:J218,O215:O218)</f>
        <v>-0.24516623761741529</v>
      </c>
      <c r="U215" s="28">
        <f t="shared" si="9"/>
        <v>1.3987225193107549</v>
      </c>
    </row>
    <row r="216" spans="2:21" x14ac:dyDescent="0.25">
      <c r="B216" s="9"/>
      <c r="C216" s="31">
        <v>1205.6611328125</v>
      </c>
      <c r="D216" s="32">
        <v>37.682000000000002</v>
      </c>
      <c r="E216" s="32">
        <v>42.765999999999998</v>
      </c>
      <c r="F216" s="32">
        <v>42.713000000000001</v>
      </c>
      <c r="G216" s="18">
        <v>18.329999999999998</v>
      </c>
      <c r="H216" s="18">
        <f t="shared" si="10"/>
        <v>38.946375000000003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1"/>
        <v>39.306987499999998</v>
      </c>
      <c r="P216" s="7"/>
      <c r="Q216" s="10"/>
      <c r="R216" s="11"/>
      <c r="S216" s="11"/>
      <c r="T216" s="26"/>
      <c r="U216" s="28">
        <f t="shared" si="9"/>
        <v>1.6650681942171308</v>
      </c>
    </row>
    <row r="217" spans="2:21" x14ac:dyDescent="0.25">
      <c r="B217" s="9"/>
      <c r="C217" s="31">
        <v>780.6591796875</v>
      </c>
      <c r="D217" s="32">
        <v>35.701000000000001</v>
      </c>
      <c r="E217" s="32">
        <v>41.134999999999998</v>
      </c>
      <c r="F217" s="32">
        <v>41.04</v>
      </c>
      <c r="G217" s="18">
        <v>19.82</v>
      </c>
      <c r="H217" s="18">
        <f t="shared" si="10"/>
        <v>37.047625000000004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1"/>
        <v>37.167087500000001</v>
      </c>
      <c r="P217" s="7"/>
      <c r="Q217" s="10"/>
      <c r="R217" s="11"/>
      <c r="S217" s="11"/>
      <c r="T217" s="26"/>
      <c r="U217" s="28">
        <f t="shared" si="9"/>
        <v>2.107204843592331</v>
      </c>
    </row>
    <row r="218" spans="2:21" ht="16.5" thickBot="1" x14ac:dyDescent="0.3">
      <c r="B218" s="12"/>
      <c r="C218" s="33">
        <v>391.9189453125</v>
      </c>
      <c r="D218" s="34">
        <v>33.085999999999999</v>
      </c>
      <c r="E218" s="34">
        <v>38.973999999999997</v>
      </c>
      <c r="F218" s="34">
        <v>38.853000000000002</v>
      </c>
      <c r="G218" s="20">
        <v>21.48</v>
      </c>
      <c r="H218" s="20">
        <f t="shared" si="10"/>
        <v>34.542874999999995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1"/>
        <v>34.420949999999998</v>
      </c>
      <c r="P218" s="7"/>
      <c r="Q218" s="13"/>
      <c r="R218" s="14"/>
      <c r="S218" s="14"/>
      <c r="T218" s="27"/>
      <c r="U218" s="28">
        <f t="shared" si="9"/>
        <v>2.8485754189944132</v>
      </c>
    </row>
    <row r="219" spans="2:21" x14ac:dyDescent="0.25">
      <c r="B219" s="6" t="s">
        <v>107</v>
      </c>
      <c r="C219" s="15">
        <v>1616.931640625</v>
      </c>
      <c r="D219" s="16">
        <v>37.253999999999998</v>
      </c>
      <c r="E219" s="16">
        <v>42.134</v>
      </c>
      <c r="F219" s="16">
        <v>42.694000000000003</v>
      </c>
      <c r="G219" s="16">
        <v>17.309999999999999</v>
      </c>
      <c r="H219" s="16">
        <f t="shared" si="10"/>
        <v>38.544000000000004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1"/>
        <v>39.526262500000001</v>
      </c>
      <c r="P219" s="7"/>
      <c r="Q219" s="8">
        <f>bdrate(C219:C222,D219:D222,J219:J222,K219:K222)</f>
        <v>-0.2460194375872119</v>
      </c>
      <c r="R219" s="8">
        <f>bdrate(C219:C222,E219:E222,J219:J222,L219:L222)</f>
        <v>-0.32277385043793827</v>
      </c>
      <c r="S219" s="8">
        <f>bdrate(C219:C222,F219:F222,J219:J222,M219:M222)</f>
        <v>-0.31069574243190878</v>
      </c>
      <c r="T219" s="25">
        <f>bdrate(C219:C222,H219:H222,J219:J222,O219:O222)</f>
        <v>-0.26477956407862624</v>
      </c>
      <c r="U219" s="28">
        <f t="shared" si="9"/>
        <v>1.7059272097053726</v>
      </c>
    </row>
    <row r="220" spans="2:21" x14ac:dyDescent="0.25">
      <c r="B220" s="9"/>
      <c r="C220" s="17">
        <v>1111.982421875</v>
      </c>
      <c r="D220" s="18">
        <v>35.468000000000004</v>
      </c>
      <c r="E220" s="18">
        <v>40.5</v>
      </c>
      <c r="F220" s="18">
        <v>41.176000000000002</v>
      </c>
      <c r="G220" s="18">
        <v>18.96</v>
      </c>
      <c r="H220" s="18">
        <f t="shared" si="10"/>
        <v>36.810500000000005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1"/>
        <v>37.719437499999998</v>
      </c>
      <c r="P220" s="7"/>
      <c r="Q220" s="10"/>
      <c r="R220" s="11"/>
      <c r="S220" s="11"/>
      <c r="T220" s="26"/>
      <c r="U220" s="28">
        <f t="shared" si="9"/>
        <v>1.9194251054852318</v>
      </c>
    </row>
    <row r="221" spans="2:21" x14ac:dyDescent="0.25">
      <c r="B221" s="9"/>
      <c r="C221" s="17">
        <v>686.4775390625</v>
      </c>
      <c r="D221" s="18">
        <v>33.280999999999999</v>
      </c>
      <c r="E221" s="18">
        <v>38.442</v>
      </c>
      <c r="F221" s="18">
        <v>39.198999999999998</v>
      </c>
      <c r="G221" s="18">
        <v>20.09</v>
      </c>
      <c r="H221" s="18">
        <f t="shared" si="10"/>
        <v>34.665875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1"/>
        <v>35.516800000000003</v>
      </c>
      <c r="P221" s="7"/>
      <c r="Q221" s="10"/>
      <c r="R221" s="11"/>
      <c r="S221" s="11"/>
      <c r="T221" s="26"/>
      <c r="U221" s="28">
        <f t="shared" si="9"/>
        <v>2.3599651567944249</v>
      </c>
    </row>
    <row r="222" spans="2:21" ht="16.5" thickBot="1" x14ac:dyDescent="0.3">
      <c r="B222" s="12"/>
      <c r="C222" s="19">
        <v>384.390625</v>
      </c>
      <c r="D222" s="20">
        <v>30.79</v>
      </c>
      <c r="E222" s="20">
        <v>36.119</v>
      </c>
      <c r="F222" s="20">
        <v>36.933999999999997</v>
      </c>
      <c r="G222" s="20">
        <v>21.28</v>
      </c>
      <c r="H222" s="20">
        <f t="shared" si="10"/>
        <v>32.224125000000001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1"/>
        <v>32.501750000000001</v>
      </c>
      <c r="P222" s="7"/>
      <c r="Q222" s="13"/>
      <c r="R222" s="14"/>
      <c r="S222" s="14"/>
      <c r="T222" s="27"/>
      <c r="U222" s="28">
        <f t="shared" si="9"/>
        <v>3.2059821428571422</v>
      </c>
    </row>
    <row r="223" spans="2:21" x14ac:dyDescent="0.25">
      <c r="B223" s="6" t="s">
        <v>108</v>
      </c>
      <c r="C223" s="15">
        <v>1708.9150390625</v>
      </c>
      <c r="D223" s="16">
        <v>37.536000000000001</v>
      </c>
      <c r="E223" s="16">
        <v>43.798999999999999</v>
      </c>
      <c r="F223" s="16">
        <v>45.637999999999998</v>
      </c>
      <c r="G223" s="16">
        <v>15.46</v>
      </c>
      <c r="H223" s="16">
        <f t="shared" si="10"/>
        <v>39.331624999999995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1"/>
        <v>39.634249999999994</v>
      </c>
      <c r="P223" s="7"/>
      <c r="Q223" s="8">
        <f>bdrate(C223:C226,D223:D226,J223:J226,K223:K226)</f>
        <v>-0.19742987901113451</v>
      </c>
      <c r="R223" s="8">
        <f>bdrate(C223:C226,E223:E226,J223:J226,L223:L226)</f>
        <v>-0.18630442372125944</v>
      </c>
      <c r="S223" s="8">
        <f>bdrate(C223:C226,F223:F226,J223:J226,M223:M226)</f>
        <v>-0.1048632720540853</v>
      </c>
      <c r="T223" s="25">
        <f>bdrate(C223:C226,H223:H226,J223:J226,O223:O226)</f>
        <v>-0.18909459886400293</v>
      </c>
      <c r="U223" s="28">
        <f t="shared" si="9"/>
        <v>1.87019404915912</v>
      </c>
    </row>
    <row r="224" spans="2:21" x14ac:dyDescent="0.25">
      <c r="B224" s="9"/>
      <c r="C224" s="17">
        <v>1137.3984375</v>
      </c>
      <c r="D224" s="18">
        <v>36.204999999999998</v>
      </c>
      <c r="E224" s="18">
        <v>42.735999999999997</v>
      </c>
      <c r="F224" s="18">
        <v>44.436</v>
      </c>
      <c r="G224" s="18">
        <v>17.16</v>
      </c>
      <c r="H224" s="18">
        <f t="shared" si="10"/>
        <v>38.050249999999998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1"/>
        <v>38.273074999999999</v>
      </c>
      <c r="P224" s="7"/>
      <c r="Q224" s="10"/>
      <c r="R224" s="11"/>
      <c r="S224" s="11"/>
      <c r="T224" s="26"/>
      <c r="U224" s="28">
        <f t="shared" si="9"/>
        <v>2.1235489510489511</v>
      </c>
    </row>
    <row r="225" spans="2:21" x14ac:dyDescent="0.25">
      <c r="B225" s="9"/>
      <c r="C225" s="17">
        <v>688.3154296875</v>
      </c>
      <c r="D225" s="18">
        <v>34.593000000000004</v>
      </c>
      <c r="E225" s="18">
        <v>41.356999999999999</v>
      </c>
      <c r="F225" s="18">
        <v>42.868000000000002</v>
      </c>
      <c r="G225" s="18">
        <v>19.47</v>
      </c>
      <c r="H225" s="18">
        <f t="shared" si="10"/>
        <v>36.472875000000002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1"/>
        <v>36.714899999999993</v>
      </c>
      <c r="P225" s="7"/>
      <c r="Q225" s="10"/>
      <c r="R225" s="11"/>
      <c r="S225" s="11"/>
      <c r="T225" s="26"/>
      <c r="U225" s="28">
        <f t="shared" si="9"/>
        <v>2.4166050333846942</v>
      </c>
    </row>
    <row r="226" spans="2:21" ht="16.5" thickBot="1" x14ac:dyDescent="0.3">
      <c r="B226" s="12"/>
      <c r="C226" s="19">
        <v>349.9140625</v>
      </c>
      <c r="D226" s="20">
        <v>32.604999999999997</v>
      </c>
      <c r="E226" s="20">
        <v>39.552999999999997</v>
      </c>
      <c r="F226" s="20">
        <v>40.683999999999997</v>
      </c>
      <c r="G226" s="20">
        <v>22</v>
      </c>
      <c r="H226" s="20">
        <f t="shared" si="10"/>
        <v>34.483374999999995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1"/>
        <v>34.744975000000004</v>
      </c>
      <c r="P226" s="7"/>
      <c r="Q226" s="13"/>
      <c r="R226" s="14"/>
      <c r="S226" s="14"/>
      <c r="T226" s="27"/>
      <c r="U226" s="28">
        <f t="shared" si="9"/>
        <v>3.0995181818181821</v>
      </c>
    </row>
    <row r="227" spans="2:21" x14ac:dyDescent="0.25">
      <c r="B227" s="6" t="s">
        <v>109</v>
      </c>
      <c r="C227" s="15">
        <v>1422.126953125</v>
      </c>
      <c r="D227" s="16">
        <v>47.610999999999997</v>
      </c>
      <c r="E227" s="16">
        <v>53.488999999999997</v>
      </c>
      <c r="F227" s="16">
        <v>54.792000000000002</v>
      </c>
      <c r="G227" s="16">
        <v>17.850000000000001</v>
      </c>
      <c r="H227" s="16">
        <f t="shared" si="10"/>
        <v>49.243375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1"/>
        <v>50.992175000000003</v>
      </c>
      <c r="P227" s="7"/>
      <c r="Q227" s="8">
        <f>bdrate(C227:C230,D227:D230,J227:J230,K227:K230)</f>
        <v>-0.35577016107349879</v>
      </c>
      <c r="R227" s="8">
        <f>bdrate(C227:C230,E227:E230,J227:J230,L227:L230)</f>
        <v>-0.14147549391177638</v>
      </c>
      <c r="S227" s="8">
        <f>bdrate(C227:C230,F227:F230,J227:J230,M227:M230)</f>
        <v>-0.17205897826991956</v>
      </c>
      <c r="T227" s="25">
        <f>bdrate(C227:C230,H227:H230,J227:J230,O227:O230)</f>
        <v>-0.31329900131263899</v>
      </c>
      <c r="U227" s="28">
        <f t="shared" si="9"/>
        <v>2.0343025210084034</v>
      </c>
    </row>
    <row r="228" spans="2:21" x14ac:dyDescent="0.25">
      <c r="B228" s="9"/>
      <c r="C228" s="17">
        <v>1013.80078125</v>
      </c>
      <c r="D228" s="18">
        <v>46.286999999999999</v>
      </c>
      <c r="E228" s="18">
        <v>52.408000000000001</v>
      </c>
      <c r="F228" s="18">
        <v>53.744</v>
      </c>
      <c r="G228" s="18">
        <v>19.260000000000002</v>
      </c>
      <c r="H228" s="18">
        <f t="shared" si="10"/>
        <v>47.984250000000003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1"/>
        <v>49.4433875</v>
      </c>
      <c r="P228" s="7"/>
      <c r="Q228" s="10"/>
      <c r="R228" s="11"/>
      <c r="S228" s="11"/>
      <c r="T228" s="26"/>
      <c r="U228" s="28">
        <f t="shared" si="9"/>
        <v>2.2568328141225336</v>
      </c>
    </row>
    <row r="229" spans="2:21" x14ac:dyDescent="0.25">
      <c r="B229" s="9"/>
      <c r="C229" s="17">
        <v>635.021484375</v>
      </c>
      <c r="D229" s="18">
        <v>44.393999999999998</v>
      </c>
      <c r="E229" s="18">
        <v>50.57</v>
      </c>
      <c r="F229" s="18">
        <v>51.857999999999997</v>
      </c>
      <c r="G229" s="18">
        <v>20.99</v>
      </c>
      <c r="H229" s="18">
        <f t="shared" si="10"/>
        <v>46.098999999999997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1"/>
        <v>47.400900000000007</v>
      </c>
      <c r="P229" s="7"/>
      <c r="Q229" s="10"/>
      <c r="R229" s="11"/>
      <c r="S229" s="11"/>
      <c r="T229" s="26"/>
      <c r="U229" s="28">
        <f t="shared" si="9"/>
        <v>2.7322534540257273</v>
      </c>
    </row>
    <row r="230" spans="2:21" ht="16.5" thickBot="1" x14ac:dyDescent="0.3">
      <c r="B230" s="12"/>
      <c r="C230" s="19">
        <v>330.8525390625</v>
      </c>
      <c r="D230" s="20">
        <v>41.570999999999998</v>
      </c>
      <c r="E230" s="20">
        <v>47.503999999999998</v>
      </c>
      <c r="F230" s="20">
        <v>48.898000000000003</v>
      </c>
      <c r="G230" s="20">
        <v>23.52</v>
      </c>
      <c r="H230" s="20">
        <f t="shared" si="10"/>
        <v>43.228500000000004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1"/>
        <v>44.495412499999993</v>
      </c>
      <c r="P230" s="7"/>
      <c r="Q230" s="13"/>
      <c r="R230" s="14"/>
      <c r="S230" s="14"/>
      <c r="T230" s="27"/>
      <c r="U230" s="28">
        <f t="shared" si="9"/>
        <v>3.577385204081633</v>
      </c>
    </row>
    <row r="231" spans="2:21" x14ac:dyDescent="0.25">
      <c r="B231" s="6" t="s">
        <v>110</v>
      </c>
      <c r="C231" s="15">
        <v>1611.71875</v>
      </c>
      <c r="D231" s="16">
        <v>32.124000000000002</v>
      </c>
      <c r="E231" s="16">
        <v>40.776000000000003</v>
      </c>
      <c r="F231" s="16">
        <v>40.192</v>
      </c>
      <c r="G231" s="16">
        <v>17.03</v>
      </c>
      <c r="H231" s="16">
        <f t="shared" si="10"/>
        <v>34.214000000000006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1"/>
        <v>34.955874999999999</v>
      </c>
      <c r="P231" s="7"/>
      <c r="Q231" s="8">
        <f>bdrate(C231:C234,D231:D234,J231:J234,K231:K234)</f>
        <v>-0.21012930977440347</v>
      </c>
      <c r="R231" s="8">
        <f>bdrate(C231:C234,E231:E234,J231:J234,L231:L234)</f>
        <v>-0.35047985028600637</v>
      </c>
      <c r="S231" s="8">
        <f>bdrate(C231:C234,F231:F234,J231:J234,M231:M234)</f>
        <v>-0.35037268248474729</v>
      </c>
      <c r="T231" s="25">
        <f>bdrate(C231:C234,H231:H234,J231:J234,O231:O234)</f>
        <v>-0.23731920148408336</v>
      </c>
      <c r="U231" s="28">
        <f t="shared" si="9"/>
        <v>0.69400469759248373</v>
      </c>
    </row>
    <row r="232" spans="2:21" x14ac:dyDescent="0.25">
      <c r="B232" s="9"/>
      <c r="C232" s="17">
        <v>1090.0673828125</v>
      </c>
      <c r="D232" s="18">
        <v>30.603999999999999</v>
      </c>
      <c r="E232" s="18">
        <v>39.423999999999999</v>
      </c>
      <c r="F232" s="18">
        <v>38.826999999999998</v>
      </c>
      <c r="G232" s="18">
        <v>18.25</v>
      </c>
      <c r="H232" s="18">
        <f t="shared" si="10"/>
        <v>32.734375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1"/>
        <v>33.467737499999998</v>
      </c>
      <c r="P232" s="7"/>
      <c r="Q232" s="10"/>
      <c r="R232" s="11"/>
      <c r="S232" s="11"/>
      <c r="T232" s="26"/>
      <c r="U232" s="28">
        <f t="shared" si="9"/>
        <v>0.87949041095890401</v>
      </c>
    </row>
    <row r="233" spans="2:21" x14ac:dyDescent="0.25">
      <c r="B233" s="9"/>
      <c r="C233" s="17">
        <v>711.4189453125</v>
      </c>
      <c r="D233" s="18">
        <v>29.088999999999999</v>
      </c>
      <c r="E233" s="18">
        <v>37.965000000000003</v>
      </c>
      <c r="F233" s="18">
        <v>37.356000000000002</v>
      </c>
      <c r="G233" s="18">
        <v>19.3</v>
      </c>
      <c r="H233" s="18">
        <f t="shared" si="10"/>
        <v>31.231874999999999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1"/>
        <v>31.5223625</v>
      </c>
      <c r="P233" s="7"/>
      <c r="Q233" s="10"/>
      <c r="R233" s="11"/>
      <c r="S233" s="11"/>
      <c r="T233" s="26"/>
      <c r="U233" s="28">
        <f t="shared" si="9"/>
        <v>1.2345181347150256</v>
      </c>
    </row>
    <row r="234" spans="2:21" ht="16.5" thickBot="1" x14ac:dyDescent="0.3">
      <c r="B234" s="12"/>
      <c r="C234" s="19">
        <v>526.9208984375</v>
      </c>
      <c r="D234" s="20">
        <v>27.963999999999999</v>
      </c>
      <c r="E234" s="20">
        <v>36.67</v>
      </c>
      <c r="F234" s="20">
        <v>36.064</v>
      </c>
      <c r="G234" s="20">
        <v>19.37</v>
      </c>
      <c r="H234" s="20">
        <f t="shared" si="10"/>
        <v>30.06475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1"/>
        <v>28.9294875</v>
      </c>
      <c r="P234" s="7"/>
      <c r="Q234" s="13"/>
      <c r="R234" s="14"/>
      <c r="S234" s="14"/>
      <c r="T234" s="27"/>
      <c r="U234" s="28">
        <f t="shared" si="9"/>
        <v>2.0648838409912229</v>
      </c>
    </row>
    <row r="235" spans="2:21" x14ac:dyDescent="0.25">
      <c r="B235" s="6" t="s">
        <v>111</v>
      </c>
      <c r="C235" s="15">
        <v>2193.0205078125</v>
      </c>
      <c r="D235" s="16">
        <v>48.531999999999996</v>
      </c>
      <c r="E235" s="16">
        <v>49.973999999999997</v>
      </c>
      <c r="F235" s="16">
        <v>49.886000000000003</v>
      </c>
      <c r="G235" s="16">
        <v>17.010000000000002</v>
      </c>
      <c r="H235" s="16">
        <f t="shared" si="10"/>
        <v>48.881500000000003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1"/>
        <v>47.066712500000001</v>
      </c>
      <c r="P235" s="7"/>
      <c r="Q235" s="8">
        <f>bdrate(C235:C238,D235:D238,J235:J238,K235:K238)</f>
        <v>-0.31627684634667519</v>
      </c>
      <c r="R235" s="8">
        <f>bdrate(C235:C238,E235:E238,J235:J238,L235:L238)</f>
        <v>-0.28629634149700289</v>
      </c>
      <c r="S235" s="8">
        <f>bdrate(C235:C238,F235:F238,J235:J238,M235:M238)</f>
        <v>-0.29667938998409504</v>
      </c>
      <c r="T235" s="25">
        <f>bdrate(C235:C238,H235:H238,J235:J238,O235:O238)</f>
        <v>-0.31035763481113665</v>
      </c>
      <c r="U235" s="28">
        <f t="shared" si="9"/>
        <v>1.7628571428571427</v>
      </c>
    </row>
    <row r="236" spans="2:21" x14ac:dyDescent="0.25">
      <c r="B236" s="9"/>
      <c r="C236" s="17">
        <v>1548.447265625</v>
      </c>
      <c r="D236" s="18">
        <v>45.814999999999998</v>
      </c>
      <c r="E236" s="18">
        <v>47.372999999999998</v>
      </c>
      <c r="F236" s="18">
        <v>47.228000000000002</v>
      </c>
      <c r="G236" s="18">
        <v>19.05</v>
      </c>
      <c r="H236" s="18">
        <f t="shared" si="10"/>
        <v>46.186374999999998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1"/>
        <v>45.494425</v>
      </c>
      <c r="P236" s="7"/>
      <c r="Q236" s="10"/>
      <c r="R236" s="11"/>
      <c r="S236" s="11"/>
      <c r="T236" s="26"/>
      <c r="U236" s="28">
        <f t="shared" si="9"/>
        <v>2.0223622047244092</v>
      </c>
    </row>
    <row r="237" spans="2:21" x14ac:dyDescent="0.25">
      <c r="B237" s="9"/>
      <c r="C237" s="17">
        <v>957.5595703125</v>
      </c>
      <c r="D237" s="18">
        <v>42.826000000000001</v>
      </c>
      <c r="E237" s="18">
        <v>44.591000000000001</v>
      </c>
      <c r="F237" s="18">
        <v>44.417000000000002</v>
      </c>
      <c r="G237" s="18">
        <v>20.91</v>
      </c>
      <c r="H237" s="18">
        <f t="shared" si="10"/>
        <v>43.245500000000007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1"/>
        <v>42.75800000000001</v>
      </c>
      <c r="P237" s="7"/>
      <c r="Q237" s="10"/>
      <c r="R237" s="11"/>
      <c r="S237" s="11"/>
      <c r="T237" s="26"/>
      <c r="U237" s="28">
        <f t="shared" si="9"/>
        <v>2.5298804399808703</v>
      </c>
    </row>
    <row r="238" spans="2:21" ht="16.5" thickBot="1" x14ac:dyDescent="0.3">
      <c r="B238" s="12"/>
      <c r="C238" s="19">
        <v>513.1123046875</v>
      </c>
      <c r="D238" s="20">
        <v>39.072000000000003</v>
      </c>
      <c r="E238" s="20">
        <v>41.137</v>
      </c>
      <c r="F238" s="20">
        <v>40.893999999999998</v>
      </c>
      <c r="G238" s="20">
        <v>22.76</v>
      </c>
      <c r="H238" s="20">
        <f t="shared" si="10"/>
        <v>39.557875000000003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1"/>
        <v>38.486687500000002</v>
      </c>
      <c r="P238" s="7"/>
      <c r="Q238" s="13"/>
      <c r="R238" s="14"/>
      <c r="S238" s="14"/>
      <c r="T238" s="27"/>
      <c r="U238" s="28">
        <f t="shared" si="9"/>
        <v>3.3320606326889277</v>
      </c>
    </row>
    <row r="239" spans="2:21" x14ac:dyDescent="0.25">
      <c r="B239" s="6" t="s">
        <v>112</v>
      </c>
      <c r="C239" s="15">
        <v>1512.9970703125</v>
      </c>
      <c r="D239" s="16">
        <v>52.375</v>
      </c>
      <c r="E239" s="16">
        <v>55.216999999999999</v>
      </c>
      <c r="F239" s="16">
        <v>55.148000000000003</v>
      </c>
      <c r="G239" s="16">
        <v>16.68</v>
      </c>
      <c r="H239" s="16">
        <f t="shared" si="10"/>
        <v>53.076875000000001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1"/>
        <v>48.181449999999998</v>
      </c>
      <c r="P239" s="7"/>
      <c r="Q239" s="8">
        <f>bdrate(C239:C242,D239:D242,J239:J242,K239:K242)</f>
        <v>0.46869886654608184</v>
      </c>
      <c r="R239" s="8">
        <f>bdrate(C239:C242,E239:E242,J239:J242,L239:L242)</f>
        <v>0.47132112452270869</v>
      </c>
      <c r="S239" s="8">
        <f>bdrate(C239:C242,F239:F242,J239:J242,M239:M242)</f>
        <v>0.45175642492717727</v>
      </c>
      <c r="T239" s="25">
        <f>bdrate(C239:C242,H239:H242,J239:J242,O239:O242)</f>
        <v>0.46838412553055786</v>
      </c>
      <c r="U239" s="28">
        <f t="shared" si="9"/>
        <v>2.2222661870503595</v>
      </c>
    </row>
    <row r="240" spans="2:21" x14ac:dyDescent="0.25">
      <c r="B240" s="9"/>
      <c r="C240" s="17">
        <v>1135.841796875</v>
      </c>
      <c r="D240" s="18">
        <v>54.091999999999999</v>
      </c>
      <c r="E240" s="18">
        <v>57.1</v>
      </c>
      <c r="F240" s="18">
        <v>56.875</v>
      </c>
      <c r="G240" s="18">
        <v>21.07</v>
      </c>
      <c r="H240" s="18">
        <f t="shared" si="10"/>
        <v>54.815875000000005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1"/>
        <v>47.001350000000002</v>
      </c>
      <c r="P240" s="7"/>
      <c r="Q240" s="10"/>
      <c r="R240" s="11"/>
      <c r="S240" s="11"/>
      <c r="T240" s="26"/>
      <c r="U240" s="28">
        <f t="shared" si="9"/>
        <v>2.2526008542952067</v>
      </c>
    </row>
    <row r="241" spans="2:21" x14ac:dyDescent="0.25">
      <c r="B241" s="9"/>
      <c r="C241" s="17">
        <v>819.322265625</v>
      </c>
      <c r="D241" s="18">
        <v>51.844999999999999</v>
      </c>
      <c r="E241" s="18">
        <v>54.872999999999998</v>
      </c>
      <c r="F241" s="18">
        <v>54.637999999999998</v>
      </c>
      <c r="G241" s="18">
        <v>22.37</v>
      </c>
      <c r="H241" s="18">
        <f t="shared" si="10"/>
        <v>52.572624999999995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1"/>
        <v>43.651937500000003</v>
      </c>
      <c r="P241" s="7"/>
      <c r="Q241" s="10"/>
      <c r="R241" s="11"/>
      <c r="S241" s="11"/>
      <c r="T241" s="26"/>
      <c r="U241" s="28">
        <f t="shared" si="9"/>
        <v>2.3904246759052299</v>
      </c>
    </row>
    <row r="242" spans="2:21" ht="16.5" thickBot="1" x14ac:dyDescent="0.3">
      <c r="B242" s="12"/>
      <c r="C242" s="19">
        <v>484.361328125</v>
      </c>
      <c r="D242" s="20">
        <v>41.087000000000003</v>
      </c>
      <c r="E242" s="20">
        <v>43.875999999999998</v>
      </c>
      <c r="F242" s="20">
        <v>44.075000000000003</v>
      </c>
      <c r="G242" s="20">
        <v>21.86</v>
      </c>
      <c r="H242" s="20">
        <f t="shared" si="10"/>
        <v>41.809125000000002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1"/>
        <v>39.381775000000005</v>
      </c>
      <c r="P242" s="7"/>
      <c r="Q242" s="13"/>
      <c r="R242" s="14"/>
      <c r="S242" s="14"/>
      <c r="T242" s="27"/>
      <c r="U242" s="28">
        <f t="shared" si="9"/>
        <v>4.2621546203110707</v>
      </c>
    </row>
    <row r="243" spans="2:21" x14ac:dyDescent="0.25">
      <c r="B243" s="6" t="s">
        <v>113</v>
      </c>
      <c r="C243" s="29">
        <v>1702.0771484375</v>
      </c>
      <c r="D243" s="30">
        <v>32.860999999999997</v>
      </c>
      <c r="E243" s="30">
        <v>36.670999999999999</v>
      </c>
      <c r="F243" s="30">
        <v>35.418999999999997</v>
      </c>
      <c r="G243" s="16">
        <v>16.850000000000001</v>
      </c>
      <c r="H243" s="16">
        <f t="shared" si="10"/>
        <v>33.656999999999996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1"/>
        <v>34.323425</v>
      </c>
      <c r="P243" s="7"/>
      <c r="Q243" s="8">
        <f>bdrate(C243:C246,D243:D246,J243:J246,K243:K246)</f>
        <v>-0.17146114003815849</v>
      </c>
      <c r="R243" s="8">
        <f>bdrate(C243:C246,E243:E246,J243:J246,L243:L246)</f>
        <v>-0.43136517556164689</v>
      </c>
      <c r="S243" s="8">
        <f>bdrate(C243:C246,F243:F246,J243:J246,M243:M246)</f>
        <v>-0.44196940207509916</v>
      </c>
      <c r="T243" s="25">
        <f>bdrate(C243:C246,H243:H246,J243:J246,O243:O246)</f>
        <v>-0.22833906758963918</v>
      </c>
      <c r="U243" s="28">
        <f t="shared" si="9"/>
        <v>1.0737863501483678</v>
      </c>
    </row>
    <row r="244" spans="2:21" x14ac:dyDescent="0.25">
      <c r="B244" s="9"/>
      <c r="C244" s="31">
        <v>1147.375</v>
      </c>
      <c r="D244" s="32">
        <v>31.202999999999999</v>
      </c>
      <c r="E244" s="32">
        <v>35.35</v>
      </c>
      <c r="F244" s="32">
        <v>34.049999999999997</v>
      </c>
      <c r="G244" s="18">
        <v>17.8</v>
      </c>
      <c r="H244" s="18">
        <f t="shared" si="10"/>
        <v>32.077249999999999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1"/>
        <v>32.617049999999999</v>
      </c>
      <c r="P244" s="7"/>
      <c r="Q244" s="10"/>
      <c r="R244" s="11"/>
      <c r="S244" s="11"/>
      <c r="T244" s="26"/>
      <c r="U244" s="28">
        <f t="shared" si="9"/>
        <v>1.3347696629213484</v>
      </c>
    </row>
    <row r="245" spans="2:21" x14ac:dyDescent="0.25">
      <c r="B245" s="9"/>
      <c r="C245" s="31">
        <v>722.8310546875</v>
      </c>
      <c r="D245" s="32">
        <v>29.416</v>
      </c>
      <c r="E245" s="32">
        <v>33.914999999999999</v>
      </c>
      <c r="F245" s="32">
        <v>32.561</v>
      </c>
      <c r="G245" s="18">
        <v>18.87</v>
      </c>
      <c r="H245" s="18">
        <f t="shared" si="10"/>
        <v>30.371500000000001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1"/>
        <v>30.619287499999999</v>
      </c>
      <c r="P245" s="7"/>
      <c r="Q245" s="10"/>
      <c r="R245" s="11"/>
      <c r="S245" s="11"/>
      <c r="T245" s="26"/>
      <c r="U245" s="28">
        <f t="shared" si="9"/>
        <v>1.7043985161632216</v>
      </c>
    </row>
    <row r="246" spans="2:21" ht="16.5" thickBot="1" x14ac:dyDescent="0.3">
      <c r="B246" s="12"/>
      <c r="C246" s="33">
        <v>496.0986328125</v>
      </c>
      <c r="D246" s="34">
        <v>27.93</v>
      </c>
      <c r="E246" s="34">
        <v>32.582999999999998</v>
      </c>
      <c r="F246" s="34">
        <v>31.265000000000001</v>
      </c>
      <c r="G246" s="20">
        <v>19.09</v>
      </c>
      <c r="H246" s="20">
        <f t="shared" si="10"/>
        <v>28.9285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1"/>
        <v>28.273062499999998</v>
      </c>
      <c r="P246" s="7"/>
      <c r="Q246" s="13"/>
      <c r="R246" s="14"/>
      <c r="S246" s="14"/>
      <c r="T246" s="27"/>
      <c r="U246" s="28">
        <f t="shared" si="9"/>
        <v>2.6512624410686225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-0.17222100957360625</v>
      </c>
      <c r="R247" s="21">
        <f>AVERAGE(R131:R246)</f>
        <v>-0.22907171129956788</v>
      </c>
      <c r="S247" s="21">
        <f>AVERAGE(S131:S246)</f>
        <v>-0.23257511109840603</v>
      </c>
      <c r="T247" s="21">
        <f>AVERAGE(T131:T246)</f>
        <v>-0.18393563478738181</v>
      </c>
      <c r="U247" s="21">
        <f>AVERAGE(U131:U246)</f>
        <v>3.3837153738489847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19" priority="85" operator="greaterThan">
      <formula>0.03</formula>
    </cfRule>
    <cfRule type="cellIs" dxfId="118" priority="86" stopIfTrue="1" operator="lessThan">
      <formula>-0.03</formula>
    </cfRule>
  </conditionalFormatting>
  <conditionalFormatting sqref="Q33:T36">
    <cfRule type="cellIs" dxfId="117" priority="83" operator="greaterThan">
      <formula>0.03</formula>
    </cfRule>
    <cfRule type="cellIs" dxfId="116" priority="84" stopIfTrue="1" operator="lessThan">
      <formula>-0.03</formula>
    </cfRule>
  </conditionalFormatting>
  <conditionalFormatting sqref="Q46:T48 Q62:T64">
    <cfRule type="cellIs" dxfId="115" priority="81" operator="greaterThan">
      <formula>0.03</formula>
    </cfRule>
    <cfRule type="cellIs" dxfId="114" priority="82" stopIfTrue="1" operator="lessThan">
      <formula>-0.03</formula>
    </cfRule>
  </conditionalFormatting>
  <conditionalFormatting sqref="Q50:T52 Q54:T56 Q58:T60">
    <cfRule type="cellIs" dxfId="113" priority="79" operator="greaterThan">
      <formula>0.03</formula>
    </cfRule>
    <cfRule type="cellIs" dxfId="112" priority="80" stopIfTrue="1" operator="lessThan">
      <formula>-0.03</formula>
    </cfRule>
  </conditionalFormatting>
  <conditionalFormatting sqref="Q70:T72 Q74:T76">
    <cfRule type="cellIs" dxfId="111" priority="77" operator="greaterThan">
      <formula>0.03</formula>
    </cfRule>
    <cfRule type="cellIs" dxfId="110" priority="78" stopIfTrue="1" operator="lessThan">
      <formula>-0.03</formula>
    </cfRule>
  </conditionalFormatting>
  <conditionalFormatting sqref="Q66:T68">
    <cfRule type="cellIs" dxfId="109" priority="75" operator="greaterThan">
      <formula>0.03</formula>
    </cfRule>
    <cfRule type="cellIs" dxfId="108" priority="76" stopIfTrue="1" operator="lessThan">
      <formula>-0.03</formula>
    </cfRule>
  </conditionalFormatting>
  <conditionalFormatting sqref="Q78:T80">
    <cfRule type="cellIs" dxfId="107" priority="73" operator="greaterThan">
      <formula>0.03</formula>
    </cfRule>
    <cfRule type="cellIs" dxfId="106" priority="74" stopIfTrue="1" operator="lessThan">
      <formula>-0.03</formula>
    </cfRule>
  </conditionalFormatting>
  <conditionalFormatting sqref="Q21:T28">
    <cfRule type="cellIs" dxfId="105" priority="71" operator="greaterThan">
      <formula>0.03</formula>
    </cfRule>
    <cfRule type="cellIs" dxfId="104" priority="72" stopIfTrue="1" operator="lessThan">
      <formula>-0.03</formula>
    </cfRule>
  </conditionalFormatting>
  <conditionalFormatting sqref="Q151:T154 Q159:T166 Q131:T142">
    <cfRule type="cellIs" dxfId="103" priority="69" operator="greaterThan">
      <formula>0.03</formula>
    </cfRule>
    <cfRule type="cellIs" dxfId="102" priority="70" stopIfTrue="1" operator="lessThan">
      <formula>-0.03</formula>
    </cfRule>
  </conditionalFormatting>
  <conditionalFormatting sqref="Q155:T158">
    <cfRule type="cellIs" dxfId="101" priority="67" operator="greaterThan">
      <formula>0.03</formula>
    </cfRule>
    <cfRule type="cellIs" dxfId="100" priority="68" stopIfTrue="1" operator="lessThan">
      <formula>-0.03</formula>
    </cfRule>
  </conditionalFormatting>
  <conditionalFormatting sqref="Q167:T170 Q183:T186">
    <cfRule type="cellIs" dxfId="99" priority="65" operator="greaterThan">
      <formula>0.03</formula>
    </cfRule>
    <cfRule type="cellIs" dxfId="98" priority="66" stopIfTrue="1" operator="lessThan">
      <formula>-0.03</formula>
    </cfRule>
  </conditionalFormatting>
  <conditionalFormatting sqref="Q171:T182">
    <cfRule type="cellIs" dxfId="97" priority="63" operator="greaterThan">
      <formula>0.03</formula>
    </cfRule>
    <cfRule type="cellIs" dxfId="96" priority="64" stopIfTrue="1" operator="lessThan">
      <formula>-0.03</formula>
    </cfRule>
  </conditionalFormatting>
  <conditionalFormatting sqref="Q191:T198">
    <cfRule type="cellIs" dxfId="95" priority="61" operator="greaterThan">
      <formula>0.03</formula>
    </cfRule>
    <cfRule type="cellIs" dxfId="94" priority="62" stopIfTrue="1" operator="lessThan">
      <formula>-0.03</formula>
    </cfRule>
  </conditionalFormatting>
  <conditionalFormatting sqref="Q187:T190">
    <cfRule type="cellIs" dxfId="93" priority="59" operator="greaterThan">
      <formula>0.03</formula>
    </cfRule>
    <cfRule type="cellIs" dxfId="92" priority="60" stopIfTrue="1" operator="lessThan">
      <formula>-0.03</formula>
    </cfRule>
  </conditionalFormatting>
  <conditionalFormatting sqref="Q199:T202">
    <cfRule type="cellIs" dxfId="91" priority="57" operator="greaterThan">
      <formula>0.03</formula>
    </cfRule>
    <cfRule type="cellIs" dxfId="90" priority="58" stopIfTrue="1" operator="lessThan">
      <formula>-0.03</formula>
    </cfRule>
  </conditionalFormatting>
  <conditionalFormatting sqref="Q143:T150">
    <cfRule type="cellIs" dxfId="89" priority="55" operator="greaterThan">
      <formula>0.03</formula>
    </cfRule>
    <cfRule type="cellIs" dxfId="88" priority="56" stopIfTrue="1" operator="lessThan">
      <formula>-0.03</formula>
    </cfRule>
  </conditionalFormatting>
  <conditionalFormatting sqref="Q45:T45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Q49:T49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Q53:T53">
    <cfRule type="cellIs" dxfId="83" priority="49" operator="greaterThan">
      <formula>0.03</formula>
    </cfRule>
    <cfRule type="cellIs" dxfId="82" priority="50" stopIfTrue="1" operator="lessThan">
      <formula>-0.03</formula>
    </cfRule>
  </conditionalFormatting>
  <conditionalFormatting sqref="Q57:T57">
    <cfRule type="cellIs" dxfId="81" priority="47" operator="greaterThan">
      <formula>0.03</formula>
    </cfRule>
    <cfRule type="cellIs" dxfId="80" priority="48" stopIfTrue="1" operator="lessThan">
      <formula>-0.03</formula>
    </cfRule>
  </conditionalFormatting>
  <conditionalFormatting sqref="Q61:T61">
    <cfRule type="cellIs" dxfId="79" priority="45" operator="greaterThan">
      <formula>0.03</formula>
    </cfRule>
    <cfRule type="cellIs" dxfId="78" priority="46" stopIfTrue="1" operator="lessThan">
      <formula>-0.03</formula>
    </cfRule>
  </conditionalFormatting>
  <conditionalFormatting sqref="Q65:T65">
    <cfRule type="cellIs" dxfId="77" priority="43" operator="greaterThan">
      <formula>0.03</formula>
    </cfRule>
    <cfRule type="cellIs" dxfId="76" priority="44" stopIfTrue="1" operator="lessThan">
      <formula>-0.03</formula>
    </cfRule>
  </conditionalFormatting>
  <conditionalFormatting sqref="Q69:T69">
    <cfRule type="cellIs" dxfId="75" priority="41" operator="greaterThan">
      <formula>0.03</formula>
    </cfRule>
    <cfRule type="cellIs" dxfId="74" priority="42" stopIfTrue="1" operator="lessThan">
      <formula>-0.03</formula>
    </cfRule>
  </conditionalFormatting>
  <conditionalFormatting sqref="Q73:T73">
    <cfRule type="cellIs" dxfId="73" priority="39" operator="greaterThan">
      <formula>0.03</formula>
    </cfRule>
    <cfRule type="cellIs" dxfId="72" priority="40" stopIfTrue="1" operator="lessThan">
      <formula>-0.03</formula>
    </cfRule>
  </conditionalFormatting>
  <conditionalFormatting sqref="Q77:T77">
    <cfRule type="cellIs" dxfId="71" priority="37" operator="greaterThan">
      <formula>0.03</formula>
    </cfRule>
    <cfRule type="cellIs" dxfId="70" priority="38" stopIfTrue="1" operator="lessThan">
      <formula>-0.03</formula>
    </cfRule>
  </conditionalFormatting>
  <conditionalFormatting sqref="Q117:T117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Q93:T96 Q101:T108 Q81:T84">
    <cfRule type="cellIs" dxfId="67" priority="35" operator="greaterThan">
      <formula>0.03</formula>
    </cfRule>
    <cfRule type="cellIs" dxfId="66" priority="36" stopIfTrue="1" operator="lessThan">
      <formula>-0.03</formula>
    </cfRule>
  </conditionalFormatting>
  <conditionalFormatting sqref="Q97:T100">
    <cfRule type="cellIs" dxfId="65" priority="33" operator="greaterThan">
      <formula>0.03</formula>
    </cfRule>
    <cfRule type="cellIs" dxfId="64" priority="34" stopIfTrue="1" operator="lessThan">
      <formula>-0.03</formula>
    </cfRule>
  </conditionalFormatting>
  <conditionalFormatting sqref="Q110:T112 Q122:T124">
    <cfRule type="cellIs" dxfId="63" priority="31" operator="greaterThan">
      <formula>0.03</formula>
    </cfRule>
    <cfRule type="cellIs" dxfId="62" priority="32" stopIfTrue="1" operator="lessThan">
      <formula>-0.03</formula>
    </cfRule>
  </conditionalFormatting>
  <conditionalFormatting sqref="Q114:T116 Q118:T120">
    <cfRule type="cellIs" dxfId="61" priority="29" operator="greaterThan">
      <formula>0.03</formula>
    </cfRule>
    <cfRule type="cellIs" dxfId="60" priority="30" stopIfTrue="1" operator="lessThan">
      <formula>-0.03</formula>
    </cfRule>
  </conditionalFormatting>
  <conditionalFormatting sqref="Q85:T92">
    <cfRule type="cellIs" dxfId="59" priority="27" operator="greaterThan">
      <formula>0.03</formula>
    </cfRule>
    <cfRule type="cellIs" dxfId="58" priority="28" stopIfTrue="1" operator="lessThan">
      <formula>-0.03</formula>
    </cfRule>
  </conditionalFormatting>
  <conditionalFormatting sqref="Q109:T109">
    <cfRule type="cellIs" dxfId="57" priority="25" operator="greaterThan">
      <formula>0.03</formula>
    </cfRule>
    <cfRule type="cellIs" dxfId="56" priority="26" stopIfTrue="1" operator="lessThan">
      <formula>-0.03</formula>
    </cfRule>
  </conditionalFormatting>
  <conditionalFormatting sqref="Q113:T113">
    <cfRule type="cellIs" dxfId="55" priority="23" operator="greaterThan">
      <formula>0.03</formula>
    </cfRule>
    <cfRule type="cellIs" dxfId="54" priority="24" stopIfTrue="1" operator="lessThan">
      <formula>-0.03</formula>
    </cfRule>
  </conditionalFormatting>
  <conditionalFormatting sqref="Q121:T121">
    <cfRule type="cellIs" dxfId="53" priority="19" operator="greaterThan">
      <formula>0.03</formula>
    </cfRule>
    <cfRule type="cellIs" dxfId="52" priority="20" stopIfTrue="1" operator="lessThan">
      <formula>-0.03</formula>
    </cfRule>
  </conditionalFormatting>
  <conditionalFormatting sqref="Q239:T239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215:T218 Q223:T230 Q203:T206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219:T222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232:T234 Q244:T246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236:T238 Q240:T242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207:T214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231:T231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235:T235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243:T243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149</v>
      </c>
    </row>
    <row r="2" spans="1:21" x14ac:dyDescent="0.25">
      <c r="A2" t="s">
        <v>85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154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140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4221.4296875</v>
      </c>
      <c r="D9" s="16">
        <v>38.896999999999998</v>
      </c>
      <c r="E9" s="16">
        <v>39.734999999999999</v>
      </c>
      <c r="F9" s="16">
        <v>42.220999999999997</v>
      </c>
      <c r="G9" s="16">
        <v>0.23</v>
      </c>
      <c r="H9" s="16">
        <f t="shared" ref="H9:H80" si="0">(6*D9+E9+F9)/8</f>
        <v>39.417250000000003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-0.10581311347967481</v>
      </c>
      <c r="R9" s="8">
        <f>bdrate(C9:C12,E9:E12,J9:J12,L9:L12)</f>
        <v>-0.39238765537357934</v>
      </c>
      <c r="S9" s="8">
        <f>bdrate(C9:C12,F9:F12,J9:J12,M9:M12)</f>
        <v>-0.38493111694748083</v>
      </c>
      <c r="T9" s="25">
        <f>bdrate(C9:C12,H9:H12,J9:J12,O9:O12)</f>
        <v>-0.1587127359521957</v>
      </c>
      <c r="U9" s="28">
        <f t="shared" ref="U9:U72" si="2">(N9-G9)/G9</f>
        <v>5.105652173913044</v>
      </c>
    </row>
    <row r="10" spans="1:21" x14ac:dyDescent="0.25">
      <c r="A10" s="9" t="s">
        <v>36</v>
      </c>
      <c r="B10" s="9"/>
      <c r="C10" s="17">
        <v>3128.9248046875</v>
      </c>
      <c r="D10" s="18">
        <v>37.802</v>
      </c>
      <c r="E10" s="18">
        <v>39.009</v>
      </c>
      <c r="F10" s="18">
        <v>41.427</v>
      </c>
      <c r="G10" s="18">
        <v>0.23</v>
      </c>
      <c r="H10" s="18">
        <f t="shared" si="0"/>
        <v>38.406000000000006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6.3239130434782611</v>
      </c>
    </row>
    <row r="11" spans="1:21" x14ac:dyDescent="0.25">
      <c r="B11" s="9"/>
      <c r="C11" s="17">
        <v>2072.453125</v>
      </c>
      <c r="D11" s="18">
        <v>36.213000000000001</v>
      </c>
      <c r="E11" s="18">
        <v>38.063000000000002</v>
      </c>
      <c r="F11" s="18">
        <v>40.421999999999997</v>
      </c>
      <c r="G11" s="18">
        <v>0.25</v>
      </c>
      <c r="H11" s="18">
        <f t="shared" si="0"/>
        <v>36.970375000000004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7.3027999999999995</v>
      </c>
    </row>
    <row r="12" spans="1:21" ht="16.5" thickBot="1" x14ac:dyDescent="0.3">
      <c r="B12" s="12"/>
      <c r="C12" s="19">
        <v>1039.388671875</v>
      </c>
      <c r="D12" s="20">
        <v>33.363999999999997</v>
      </c>
      <c r="E12" s="20">
        <v>36.378</v>
      </c>
      <c r="F12" s="20">
        <v>38.808999999999997</v>
      </c>
      <c r="G12" s="20">
        <v>0.28000000000000003</v>
      </c>
      <c r="H12" s="20">
        <f t="shared" si="0"/>
        <v>34.421374999999998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9.9667857142857148</v>
      </c>
    </row>
    <row r="13" spans="1:21" x14ac:dyDescent="0.25">
      <c r="B13" s="6" t="s">
        <v>47</v>
      </c>
      <c r="C13" s="15">
        <v>4633.390625</v>
      </c>
      <c r="D13" s="16">
        <v>30.658000000000001</v>
      </c>
      <c r="E13" s="16">
        <v>40.79</v>
      </c>
      <c r="F13" s="16">
        <v>41.505000000000003</v>
      </c>
      <c r="G13" s="16">
        <v>0.16</v>
      </c>
      <c r="H13" s="16">
        <f t="shared" si="0"/>
        <v>33.280374999999999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6.0591674753003311E-2</v>
      </c>
      <c r="R13" s="8">
        <f>bdrate(C13:C16,E13:E16,J13:J16,L13:L16)</f>
        <v>-0.35843923473821859</v>
      </c>
      <c r="S13" s="8">
        <f>bdrate(C13:C16,F13:F16,J13:J16,M13:M16)</f>
        <v>-0.40530898195663012</v>
      </c>
      <c r="T13" s="25">
        <f>bdrate(C13:C16,H13:H16,J13:J16,O13:O16)</f>
        <v>-1.4210135294872139E-2</v>
      </c>
      <c r="U13" s="28">
        <f t="shared" si="2"/>
        <v>4.9906249999999996</v>
      </c>
    </row>
    <row r="14" spans="1:21" x14ac:dyDescent="0.25">
      <c r="B14" s="9"/>
      <c r="C14" s="17">
        <v>3746.86328125</v>
      </c>
      <c r="D14" s="18">
        <v>29.812999999999999</v>
      </c>
      <c r="E14" s="18">
        <v>40.15</v>
      </c>
      <c r="F14" s="18">
        <v>40.962000000000003</v>
      </c>
      <c r="G14" s="18">
        <v>0.15</v>
      </c>
      <c r="H14" s="18">
        <f t="shared" si="0"/>
        <v>32.498750000000001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6.3839999999999995</v>
      </c>
    </row>
    <row r="15" spans="1:21" x14ac:dyDescent="0.25">
      <c r="B15" s="9"/>
      <c r="C15" s="17">
        <v>3060.19921875</v>
      </c>
      <c r="D15" s="18">
        <v>29.253</v>
      </c>
      <c r="E15" s="18">
        <v>39.179000000000002</v>
      </c>
      <c r="F15" s="18">
        <v>40.192999999999998</v>
      </c>
      <c r="G15" s="18">
        <v>0.15</v>
      </c>
      <c r="H15" s="18">
        <f t="shared" si="0"/>
        <v>31.861249999999998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8.0693333333333346</v>
      </c>
    </row>
    <row r="16" spans="1:21" ht="16.5" thickBot="1" x14ac:dyDescent="0.3">
      <c r="B16" s="12"/>
      <c r="C16" s="19">
        <v>2629.990234375</v>
      </c>
      <c r="D16" s="20">
        <v>28.727</v>
      </c>
      <c r="E16" s="20">
        <v>38.055</v>
      </c>
      <c r="F16" s="20">
        <v>39.241</v>
      </c>
      <c r="G16" s="20">
        <v>0.14000000000000001</v>
      </c>
      <c r="H16" s="20">
        <f t="shared" si="0"/>
        <v>31.207250000000002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10.147857142857143</v>
      </c>
    </row>
    <row r="17" spans="1:21" x14ac:dyDescent="0.25">
      <c r="A17" s="6" t="s">
        <v>37</v>
      </c>
      <c r="B17" s="6" t="s">
        <v>48</v>
      </c>
      <c r="C17" s="15">
        <v>2154.9833984375</v>
      </c>
      <c r="D17" s="16">
        <v>39.311</v>
      </c>
      <c r="E17" s="16">
        <v>42.09</v>
      </c>
      <c r="F17" s="16">
        <v>43.451000000000001</v>
      </c>
      <c r="G17" s="16">
        <v>0.38</v>
      </c>
      <c r="H17" s="16">
        <f t="shared" si="0"/>
        <v>40.175875000000005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-4.455680930470185E-2</v>
      </c>
      <c r="R17" s="8">
        <f>bdrate(C17:C20,E17:E20,J17:J20,L17:L20)</f>
        <v>-0.22287851846165774</v>
      </c>
      <c r="S17" s="8">
        <f>bdrate(C17:C20,F17:F20,J17:J20,M17:M20)</f>
        <v>-0.26243706250205456</v>
      </c>
      <c r="T17" s="25">
        <f>bdrate(C17:C20,H17:H20,J17:J20,O17:O20)</f>
        <v>-8.1366025229853589E-2</v>
      </c>
      <c r="U17" s="28">
        <f t="shared" si="2"/>
        <v>3.5457894736842102</v>
      </c>
    </row>
    <row r="18" spans="1:21" x14ac:dyDescent="0.25">
      <c r="A18" s="9" t="s">
        <v>38</v>
      </c>
      <c r="B18" s="9"/>
      <c r="C18" s="17">
        <v>1505.3359375</v>
      </c>
      <c r="D18" s="18">
        <v>38.183</v>
      </c>
      <c r="E18" s="18">
        <v>41.435000000000002</v>
      </c>
      <c r="F18" s="18">
        <v>42.654000000000003</v>
      </c>
      <c r="G18" s="18">
        <v>0.43</v>
      </c>
      <c r="H18" s="18">
        <f t="shared" si="0"/>
        <v>39.148375000000001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3.9751162790697676</v>
      </c>
    </row>
    <row r="19" spans="1:21" x14ac:dyDescent="0.25">
      <c r="B19" s="9"/>
      <c r="C19" s="17">
        <v>969.6572265625</v>
      </c>
      <c r="D19" s="18">
        <v>36.795999999999999</v>
      </c>
      <c r="E19" s="18">
        <v>40.625999999999998</v>
      </c>
      <c r="F19" s="18">
        <v>41.753</v>
      </c>
      <c r="G19" s="18">
        <v>0.47</v>
      </c>
      <c r="H19" s="18">
        <f t="shared" si="0"/>
        <v>37.894374999999997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4.9331914893617022</v>
      </c>
    </row>
    <row r="20" spans="1:21" ht="16.5" thickBot="1" x14ac:dyDescent="0.3">
      <c r="B20" s="12"/>
      <c r="C20" s="19">
        <v>597.296875</v>
      </c>
      <c r="D20" s="20">
        <v>35.218000000000004</v>
      </c>
      <c r="E20" s="20">
        <v>39.689</v>
      </c>
      <c r="F20" s="20">
        <v>40.872999999999998</v>
      </c>
      <c r="G20" s="20">
        <v>0.48</v>
      </c>
      <c r="H20" s="20">
        <f t="shared" si="0"/>
        <v>36.483750000000001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6.7168749999999999</v>
      </c>
    </row>
    <row r="21" spans="1:21" x14ac:dyDescent="0.25">
      <c r="B21" s="6" t="s">
        <v>49</v>
      </c>
      <c r="C21" s="15">
        <v>2519.8701171875</v>
      </c>
      <c r="D21" s="16">
        <v>36.835999999999999</v>
      </c>
      <c r="E21" s="16">
        <v>40.183999999999997</v>
      </c>
      <c r="F21" s="16">
        <v>41.277000000000001</v>
      </c>
      <c r="G21" s="16">
        <v>0.32</v>
      </c>
      <c r="H21" s="16">
        <f t="shared" si="0"/>
        <v>37.809624999999997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-5.2652271701791098E-2</v>
      </c>
      <c r="R21" s="8">
        <f>bdrate(C21:C24,E21:E24,J21:J24,L21:L24)</f>
        <v>-0.34392971276165119</v>
      </c>
      <c r="S21" s="8">
        <f>bdrate(C21:C24,F21:F24,J21:J24,M21:M24)</f>
        <v>-0.37898303373871156</v>
      </c>
      <c r="T21" s="25">
        <f>bdrate(C21:C24,H21:H24,J21:J24,O21:O24)</f>
        <v>-0.11790000936487177</v>
      </c>
      <c r="U21" s="28">
        <f t="shared" si="2"/>
        <v>5.5787499999999994</v>
      </c>
    </row>
    <row r="22" spans="1:21" x14ac:dyDescent="0.25">
      <c r="B22" s="9"/>
      <c r="C22" s="17">
        <v>1692.587890625</v>
      </c>
      <c r="D22" s="18">
        <v>35.494999999999997</v>
      </c>
      <c r="E22" s="18">
        <v>39.162999999999997</v>
      </c>
      <c r="F22" s="18">
        <v>40.256</v>
      </c>
      <c r="G22" s="18">
        <v>0.34</v>
      </c>
      <c r="H22" s="18">
        <f t="shared" si="0"/>
        <v>36.548625000000001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6.617647058823529</v>
      </c>
    </row>
    <row r="23" spans="1:21" x14ac:dyDescent="0.25">
      <c r="B23" s="9"/>
      <c r="C23" s="17">
        <v>1041.5927734375</v>
      </c>
      <c r="D23" s="18">
        <v>33.905999999999999</v>
      </c>
      <c r="E23" s="18">
        <v>38</v>
      </c>
      <c r="F23" s="18">
        <v>39.286000000000001</v>
      </c>
      <c r="G23" s="18">
        <v>0.37</v>
      </c>
      <c r="H23" s="18">
        <f t="shared" si="0"/>
        <v>35.090249999999997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7.9451351351351347</v>
      </c>
    </row>
    <row r="24" spans="1:21" ht="16.5" thickBot="1" x14ac:dyDescent="0.3">
      <c r="B24" s="12"/>
      <c r="C24" s="19">
        <v>619.904296875</v>
      </c>
      <c r="D24" s="20">
        <v>32.267000000000003</v>
      </c>
      <c r="E24" s="20">
        <v>36.892000000000003</v>
      </c>
      <c r="F24" s="20">
        <v>38.473999999999997</v>
      </c>
      <c r="G24" s="20">
        <v>0.37</v>
      </c>
      <c r="H24" s="20">
        <f t="shared" si="0"/>
        <v>33.621000000000002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10.473243243243243</v>
      </c>
    </row>
    <row r="25" spans="1:21" x14ac:dyDescent="0.25">
      <c r="B25" s="6" t="s">
        <v>50</v>
      </c>
      <c r="C25" s="15">
        <v>2451.6630859375</v>
      </c>
      <c r="D25" s="16">
        <v>34.826999999999998</v>
      </c>
      <c r="E25" s="16">
        <v>38.302999999999997</v>
      </c>
      <c r="F25" s="16">
        <v>40.366</v>
      </c>
      <c r="G25" s="16">
        <v>0.38</v>
      </c>
      <c r="H25" s="16">
        <f t="shared" si="0"/>
        <v>35.953874999999996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-0.16056679450512634</v>
      </c>
      <c r="R25" s="8">
        <f>bdrate(C25:C28,E25:E28,J25:J28,L25:L28)</f>
        <v>-0.43722539459450804</v>
      </c>
      <c r="S25" s="8">
        <f>bdrate(C25:C28,F25:F28,J25:J28,M25:M28)</f>
        <v>-0.427425892898463</v>
      </c>
      <c r="T25" s="25">
        <f>bdrate(C25:C28,H25:H28,J25:J28,O25:O28)</f>
        <v>-0.21555856695006503</v>
      </c>
      <c r="U25" s="28">
        <f t="shared" si="2"/>
        <v>6.24</v>
      </c>
    </row>
    <row r="26" spans="1:21" x14ac:dyDescent="0.25">
      <c r="B26" s="9"/>
      <c r="C26" s="17">
        <v>1631.046875</v>
      </c>
      <c r="D26" s="18">
        <v>33.555</v>
      </c>
      <c r="E26" s="18">
        <v>37.628</v>
      </c>
      <c r="F26" s="18">
        <v>39.232999999999997</v>
      </c>
      <c r="G26" s="18">
        <v>0.4</v>
      </c>
      <c r="H26" s="18">
        <f t="shared" si="0"/>
        <v>34.773874999999997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7.35825</v>
      </c>
    </row>
    <row r="27" spans="1:21" x14ac:dyDescent="0.25">
      <c r="B27" s="9"/>
      <c r="C27" s="17">
        <v>1019.51953125</v>
      </c>
      <c r="D27" s="18">
        <v>31.968</v>
      </c>
      <c r="E27" s="18">
        <v>36.781999999999996</v>
      </c>
      <c r="F27" s="18">
        <v>37.880000000000003</v>
      </c>
      <c r="G27" s="18">
        <v>0.35</v>
      </c>
      <c r="H27" s="18">
        <f t="shared" si="0"/>
        <v>33.308749999999996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11.256571428571428</v>
      </c>
    </row>
    <row r="28" spans="1:21" ht="16.5" thickBot="1" x14ac:dyDescent="0.3">
      <c r="B28" s="12"/>
      <c r="C28" s="19">
        <v>638.4892578125</v>
      </c>
      <c r="D28" s="20">
        <v>30.35</v>
      </c>
      <c r="E28" s="20">
        <v>35.832000000000001</v>
      </c>
      <c r="F28" s="20">
        <v>36.453000000000003</v>
      </c>
      <c r="G28" s="20">
        <v>0.28999999999999998</v>
      </c>
      <c r="H28" s="20">
        <f t="shared" si="0"/>
        <v>31.798125000000002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18.98344827586207</v>
      </c>
    </row>
    <row r="29" spans="1:21" x14ac:dyDescent="0.25">
      <c r="B29" s="6" t="s">
        <v>51</v>
      </c>
      <c r="C29" s="29">
        <v>2304.39453125</v>
      </c>
      <c r="D29" s="30">
        <v>34.692</v>
      </c>
      <c r="E29" s="30">
        <v>40.799999999999997</v>
      </c>
      <c r="F29" s="30">
        <v>40.356000000000002</v>
      </c>
      <c r="G29" s="16">
        <v>0.44</v>
      </c>
      <c r="H29" s="16">
        <f t="shared" si="0"/>
        <v>36.163499999999999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1.2660514239284382E-2</v>
      </c>
      <c r="R29" s="8">
        <f>bdrate(C29:C32,E29:E32,J29:J32,L29:L32)</f>
        <v>-0.29732526257079883</v>
      </c>
      <c r="S29" s="8">
        <f>bdrate(C29:C32,F29:F32,J29:J32,M29:M32)</f>
        <v>-0.31076202665839936</v>
      </c>
      <c r="T29" s="25">
        <f>bdrate(C29:C32,H29:H32,J29:J32,O29:O32)</f>
        <v>-5.6488012504963714E-2</v>
      </c>
      <c r="U29" s="28">
        <f t="shared" si="2"/>
        <v>4.2993181818181823</v>
      </c>
    </row>
    <row r="30" spans="1:21" x14ac:dyDescent="0.25">
      <c r="B30" s="9"/>
      <c r="C30" s="31">
        <v>1582.12109375</v>
      </c>
      <c r="D30" s="32">
        <v>33.555</v>
      </c>
      <c r="E30" s="32">
        <v>39.982999999999997</v>
      </c>
      <c r="F30" s="32">
        <v>39.189</v>
      </c>
      <c r="G30" s="18">
        <v>0.41</v>
      </c>
      <c r="H30" s="18">
        <f t="shared" si="0"/>
        <v>35.062750000000001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5.9787804878048778</v>
      </c>
    </row>
    <row r="31" spans="1:21" x14ac:dyDescent="0.25">
      <c r="B31" s="9"/>
      <c r="C31" s="31">
        <v>1024.1376953125</v>
      </c>
      <c r="D31" s="32">
        <v>32.149000000000001</v>
      </c>
      <c r="E31" s="32">
        <v>38.905000000000001</v>
      </c>
      <c r="F31" s="32">
        <v>37.793999999999997</v>
      </c>
      <c r="G31" s="18">
        <v>0.38</v>
      </c>
      <c r="H31" s="18">
        <f t="shared" si="0"/>
        <v>33.699125000000002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8.8489473684210527</v>
      </c>
    </row>
    <row r="32" spans="1:21" ht="16.5" thickBot="1" x14ac:dyDescent="0.3">
      <c r="B32" s="12"/>
      <c r="C32" s="33">
        <v>794.0634765625</v>
      </c>
      <c r="D32" s="34">
        <v>31.265000000000001</v>
      </c>
      <c r="E32" s="34">
        <v>38.052</v>
      </c>
      <c r="F32" s="34">
        <v>36.875999999999998</v>
      </c>
      <c r="G32" s="20">
        <v>0.35</v>
      </c>
      <c r="H32" s="20">
        <f t="shared" si="0"/>
        <v>32.814749999999997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13.221714285714286</v>
      </c>
    </row>
    <row r="33" spans="1:21" x14ac:dyDescent="0.25">
      <c r="B33" s="6" t="s">
        <v>52</v>
      </c>
      <c r="C33" s="15">
        <v>2491.31640625</v>
      </c>
      <c r="D33" s="16">
        <v>33.994999999999997</v>
      </c>
      <c r="E33" s="16">
        <v>39.613999999999997</v>
      </c>
      <c r="F33" s="16">
        <v>42.082999999999998</v>
      </c>
      <c r="G33" s="16">
        <v>0.33</v>
      </c>
      <c r="H33" s="16">
        <f t="shared" si="0"/>
        <v>35.708374999999997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-0.20717076766778098</v>
      </c>
      <c r="R33" s="8">
        <f>bdrate(C33:C36,E33:E36,J33:J36,L33:L36)</f>
        <v>-0.4842520050029151</v>
      </c>
      <c r="S33" s="8">
        <f>bdrate(C33:C36,F33:F36,J33:J36,M33:M36)</f>
        <v>-0.50499149076127536</v>
      </c>
      <c r="T33" s="25">
        <f>bdrate(C33:C36,H33:H36,J33:J36,O33:O36)</f>
        <v>-0.26526429787680839</v>
      </c>
      <c r="U33" s="28">
        <f t="shared" si="2"/>
        <v>9.0733333333333324</v>
      </c>
    </row>
    <row r="34" spans="1:21" x14ac:dyDescent="0.25">
      <c r="B34" s="9"/>
      <c r="C34" s="17">
        <v>1666.2705078125</v>
      </c>
      <c r="D34" s="18">
        <v>33.185000000000002</v>
      </c>
      <c r="E34" s="18">
        <v>38.960999999999999</v>
      </c>
      <c r="F34" s="18">
        <v>41.54</v>
      </c>
      <c r="G34" s="18">
        <v>0.36</v>
      </c>
      <c r="H34" s="18">
        <f t="shared" si="0"/>
        <v>34.951375000000006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10.808611111111112</v>
      </c>
    </row>
    <row r="35" spans="1:21" x14ac:dyDescent="0.25">
      <c r="B35" s="9"/>
      <c r="C35" s="17">
        <v>1052.7412109375</v>
      </c>
      <c r="D35" s="18">
        <v>32.048999999999999</v>
      </c>
      <c r="E35" s="18">
        <v>38.225999999999999</v>
      </c>
      <c r="F35" s="18">
        <v>40.927999999999997</v>
      </c>
      <c r="G35" s="18">
        <v>0.41</v>
      </c>
      <c r="H35" s="18">
        <f t="shared" si="0"/>
        <v>33.930999999999997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12.847560975609756</v>
      </c>
    </row>
    <row r="36" spans="1:21" ht="16.5" thickBot="1" x14ac:dyDescent="0.3">
      <c r="B36" s="12"/>
      <c r="C36" s="19">
        <v>662.5498046875</v>
      </c>
      <c r="D36" s="20">
        <v>30.734999999999999</v>
      </c>
      <c r="E36" s="20">
        <v>37.548000000000002</v>
      </c>
      <c r="F36" s="20">
        <v>40.334000000000003</v>
      </c>
      <c r="G36" s="20">
        <v>0.38</v>
      </c>
      <c r="H36" s="20">
        <f t="shared" si="0"/>
        <v>32.786500000000004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19.575263157894735</v>
      </c>
    </row>
    <row r="37" spans="1:21" x14ac:dyDescent="0.25">
      <c r="A37" s="6" t="s">
        <v>39</v>
      </c>
      <c r="B37" s="6" t="s">
        <v>53</v>
      </c>
      <c r="C37" s="15">
        <v>1186.017578125</v>
      </c>
      <c r="D37" s="16">
        <v>36.865000000000002</v>
      </c>
      <c r="E37" s="16">
        <v>40.808999999999997</v>
      </c>
      <c r="F37" s="16">
        <v>40.729999999999997</v>
      </c>
      <c r="G37" s="16">
        <v>1.3</v>
      </c>
      <c r="H37" s="16">
        <f t="shared" si="0"/>
        <v>37.841125000000005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1.4384876094930776E-2</v>
      </c>
      <c r="R37" s="8">
        <f>bdrate(C37:C40,E37:E40,J37:J40,L37:L40)</f>
        <v>-7.3532455300078348E-2</v>
      </c>
      <c r="S37" s="8">
        <f>bdrate(C37:C40,F37:F40,J37:J40,M37:M40)</f>
        <v>-8.3142771440410379E-2</v>
      </c>
      <c r="T37" s="25">
        <f>bdrate(C37:C40,H37:H40,J37:J40,O37:O40)</f>
        <v>-6.1650333635487886E-3</v>
      </c>
      <c r="U37" s="28">
        <f t="shared" si="2"/>
        <v>4.5342307692307688</v>
      </c>
    </row>
    <row r="38" spans="1:21" x14ac:dyDescent="0.25">
      <c r="A38" s="9" t="s">
        <v>40</v>
      </c>
      <c r="B38" s="9"/>
      <c r="C38" s="17">
        <v>827.51171875</v>
      </c>
      <c r="D38" s="18">
        <v>35.396000000000001</v>
      </c>
      <c r="E38" s="18">
        <v>39.726999999999997</v>
      </c>
      <c r="F38" s="18">
        <v>39.503</v>
      </c>
      <c r="G38" s="18">
        <v>1.46</v>
      </c>
      <c r="H38" s="18">
        <f t="shared" si="0"/>
        <v>36.450749999999999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4.8741095890410957</v>
      </c>
    </row>
    <row r="39" spans="1:21" x14ac:dyDescent="0.25">
      <c r="B39" s="9"/>
      <c r="C39" s="17">
        <v>521.8173828125</v>
      </c>
      <c r="D39" s="18">
        <v>33.524000000000001</v>
      </c>
      <c r="E39" s="18">
        <v>38.133000000000003</v>
      </c>
      <c r="F39" s="18">
        <v>37.758000000000003</v>
      </c>
      <c r="G39" s="18">
        <v>1.47</v>
      </c>
      <c r="H39" s="18">
        <f t="shared" si="0"/>
        <v>34.629375000000003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6.2238775510204079</v>
      </c>
    </row>
    <row r="40" spans="1:21" ht="16.5" thickBot="1" x14ac:dyDescent="0.3">
      <c r="B40" s="12"/>
      <c r="C40" s="19">
        <v>311.9921875</v>
      </c>
      <c r="D40" s="20">
        <v>31.597000000000001</v>
      </c>
      <c r="E40" s="20">
        <v>36.491999999999997</v>
      </c>
      <c r="F40" s="20">
        <v>35.951999999999998</v>
      </c>
      <c r="G40" s="20">
        <v>1.1599999999999999</v>
      </c>
      <c r="H40" s="20">
        <f t="shared" si="0"/>
        <v>32.753249999999994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10.939655172413794</v>
      </c>
    </row>
    <row r="41" spans="1:21" x14ac:dyDescent="0.25">
      <c r="B41" s="6" t="s">
        <v>54</v>
      </c>
      <c r="C41" s="15">
        <v>1270.8427734375</v>
      </c>
      <c r="D41" s="16">
        <v>36.209000000000003</v>
      </c>
      <c r="E41" s="16">
        <v>41.017000000000003</v>
      </c>
      <c r="F41" s="16">
        <v>41.965000000000003</v>
      </c>
      <c r="G41" s="16">
        <v>1.2</v>
      </c>
      <c r="H41" s="16">
        <f t="shared" si="0"/>
        <v>37.529499999999999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-0.12875840109373926</v>
      </c>
      <c r="R41" s="8">
        <f>bdrate(C41:C44,E41:E44,J41:J44,L41:L44)</f>
        <v>-0.35290584431567451</v>
      </c>
      <c r="S41" s="8">
        <f>bdrate(C41:C44,F41:F44,J41:J44,M41:M44)</f>
        <v>-0.34818500216778114</v>
      </c>
      <c r="T41" s="25">
        <f>bdrate(C41:C44,H41:H44,J41:J44,O41:O44)</f>
        <v>-0.17716684076456934</v>
      </c>
      <c r="U41" s="28">
        <f t="shared" si="2"/>
        <v>6.4589166666666662</v>
      </c>
    </row>
    <row r="42" spans="1:21" x14ac:dyDescent="0.25">
      <c r="B42" s="9"/>
      <c r="C42" s="17">
        <v>849.0869140625</v>
      </c>
      <c r="D42" s="18">
        <v>34.572000000000003</v>
      </c>
      <c r="E42" s="18">
        <v>39.805</v>
      </c>
      <c r="F42" s="18">
        <v>40.6</v>
      </c>
      <c r="G42" s="18">
        <v>1.28</v>
      </c>
      <c r="H42" s="18">
        <f t="shared" si="0"/>
        <v>35.979625000000006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7.52828125</v>
      </c>
    </row>
    <row r="43" spans="1:21" x14ac:dyDescent="0.25">
      <c r="B43" s="9"/>
      <c r="C43" s="17">
        <v>532.8984375</v>
      </c>
      <c r="D43" s="18">
        <v>32.625999999999998</v>
      </c>
      <c r="E43" s="18">
        <v>38.392000000000003</v>
      </c>
      <c r="F43" s="18">
        <v>39.058999999999997</v>
      </c>
      <c r="G43" s="18">
        <v>1.22</v>
      </c>
      <c r="H43" s="18">
        <f t="shared" si="0"/>
        <v>34.150874999999999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10.242213114754099</v>
      </c>
    </row>
    <row r="44" spans="1:21" ht="16.5" thickBot="1" x14ac:dyDescent="0.3">
      <c r="B44" s="12"/>
      <c r="C44" s="19">
        <v>326.986328125</v>
      </c>
      <c r="D44" s="20">
        <v>30.541</v>
      </c>
      <c r="E44" s="20">
        <v>36.887</v>
      </c>
      <c r="F44" s="20">
        <v>37.438000000000002</v>
      </c>
      <c r="G44" s="20">
        <v>1.06</v>
      </c>
      <c r="H44" s="20">
        <f t="shared" si="0"/>
        <v>32.196375000000003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15.573584905660379</v>
      </c>
    </row>
    <row r="45" spans="1:21" x14ac:dyDescent="0.25">
      <c r="B45" s="6" t="s">
        <v>55</v>
      </c>
      <c r="C45" s="15">
        <v>1369.2568359375</v>
      </c>
      <c r="D45" s="16">
        <v>31.457000000000001</v>
      </c>
      <c r="E45" s="16">
        <v>37.259</v>
      </c>
      <c r="F45" s="16">
        <v>38.005000000000003</v>
      </c>
      <c r="G45" s="16">
        <v>0.8</v>
      </c>
      <c r="H45" s="16">
        <f t="shared" si="0"/>
        <v>33.000750000000004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-0.14775614894161693</v>
      </c>
      <c r="R45" s="8">
        <f>bdrate(C45:C48,E45:E48,J45:J48,L45:L48)</f>
        <v>-0.34379915011547157</v>
      </c>
      <c r="S45" s="8">
        <f>bdrate(C45:C48,F45:F48,J45:J48,M45:M48)</f>
        <v>-0.3494977989921082</v>
      </c>
      <c r="T45" s="25">
        <f>bdrate(C45:C48,H45:H48,J45:J48,O45:O48)</f>
        <v>-0.1880361897252677</v>
      </c>
      <c r="U45" s="28">
        <f t="shared" si="2"/>
        <v>10.395124999999998</v>
      </c>
    </row>
    <row r="46" spans="1:21" x14ac:dyDescent="0.25">
      <c r="B46" s="9"/>
      <c r="C46" s="17">
        <v>947.00390625</v>
      </c>
      <c r="D46" s="18">
        <v>29.981999999999999</v>
      </c>
      <c r="E46" s="18">
        <v>36.287999999999997</v>
      </c>
      <c r="F46" s="18">
        <v>37.015999999999998</v>
      </c>
      <c r="G46" s="18">
        <v>0.78</v>
      </c>
      <c r="H46" s="18">
        <f t="shared" si="0"/>
        <v>31.6495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13.502820512820515</v>
      </c>
    </row>
    <row r="47" spans="1:21" x14ac:dyDescent="0.25">
      <c r="B47" s="9"/>
      <c r="C47" s="17">
        <v>589.1484375</v>
      </c>
      <c r="D47" s="18">
        <v>28.358000000000001</v>
      </c>
      <c r="E47" s="18">
        <v>35.122999999999998</v>
      </c>
      <c r="F47" s="18">
        <v>35.938000000000002</v>
      </c>
      <c r="G47" s="18">
        <v>0.71</v>
      </c>
      <c r="H47" s="18">
        <f t="shared" si="0"/>
        <v>30.151125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19.488309859154931</v>
      </c>
    </row>
    <row r="48" spans="1:21" ht="16.5" thickBot="1" x14ac:dyDescent="0.3">
      <c r="B48" s="12"/>
      <c r="C48" s="19">
        <v>358.29296875</v>
      </c>
      <c r="D48" s="20">
        <v>26.835999999999999</v>
      </c>
      <c r="E48" s="20">
        <v>33.996000000000002</v>
      </c>
      <c r="F48" s="20">
        <v>34.816000000000003</v>
      </c>
      <c r="G48" s="20">
        <v>0.62</v>
      </c>
      <c r="H48" s="20">
        <f t="shared" si="0"/>
        <v>28.7285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28.898548387096771</v>
      </c>
    </row>
    <row r="49" spans="1:21" x14ac:dyDescent="0.25">
      <c r="B49" s="6" t="s">
        <v>56</v>
      </c>
      <c r="C49" s="15">
        <v>1222.763671875</v>
      </c>
      <c r="D49" s="16">
        <v>33.752000000000002</v>
      </c>
      <c r="E49" s="16">
        <v>37.814</v>
      </c>
      <c r="F49" s="16">
        <v>39.57</v>
      </c>
      <c r="G49" s="16">
        <v>0.93</v>
      </c>
      <c r="H49" s="16">
        <f t="shared" si="0"/>
        <v>34.987000000000002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-1.1042245333045875E-2</v>
      </c>
      <c r="R49" s="8">
        <f>bdrate(C49:C52,E49:E52,J49:J52,L49:L52)</f>
        <v>-0.22686647422105244</v>
      </c>
      <c r="S49" s="8">
        <f>bdrate(C49:C52,F49:F52,J49:J52,M49:M52)</f>
        <v>-0.21377906576067474</v>
      </c>
      <c r="T49" s="25">
        <f>bdrate(C49:C52,H49:H52,J49:J52,O49:O52)</f>
        <v>-5.1745299325481775E-2</v>
      </c>
      <c r="U49" s="28">
        <f t="shared" si="2"/>
        <v>4.85247311827957</v>
      </c>
    </row>
    <row r="50" spans="1:21" x14ac:dyDescent="0.25">
      <c r="B50" s="9"/>
      <c r="C50" s="17">
        <v>873.431640625</v>
      </c>
      <c r="D50" s="18">
        <v>32.384</v>
      </c>
      <c r="E50" s="18">
        <v>36.823</v>
      </c>
      <c r="F50" s="18">
        <v>38.594999999999999</v>
      </c>
      <c r="G50" s="18">
        <v>0.94</v>
      </c>
      <c r="H50" s="18">
        <f t="shared" si="0"/>
        <v>33.715249999999997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5.9515957446808514</v>
      </c>
    </row>
    <row r="51" spans="1:21" x14ac:dyDescent="0.25">
      <c r="B51" s="9"/>
      <c r="C51" s="17">
        <v>591.5361328125</v>
      </c>
      <c r="D51" s="18">
        <v>30.84</v>
      </c>
      <c r="E51" s="18">
        <v>35.813000000000002</v>
      </c>
      <c r="F51" s="18">
        <v>37.521000000000001</v>
      </c>
      <c r="G51" s="18">
        <v>0.84</v>
      </c>
      <c r="H51" s="18">
        <f t="shared" si="0"/>
        <v>32.296750000000003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8.4367857142857154</v>
      </c>
    </row>
    <row r="52" spans="1:21" ht="16.5" thickBot="1" x14ac:dyDescent="0.3">
      <c r="B52" s="12"/>
      <c r="C52" s="19">
        <v>355.3720703125</v>
      </c>
      <c r="D52" s="20">
        <v>29.184999999999999</v>
      </c>
      <c r="E52" s="20">
        <v>34.631999999999998</v>
      </c>
      <c r="F52" s="20">
        <v>36.265000000000001</v>
      </c>
      <c r="G52" s="20">
        <v>0.74</v>
      </c>
      <c r="H52" s="20">
        <f t="shared" si="0"/>
        <v>30.750875000000001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12.863378378378378</v>
      </c>
    </row>
    <row r="53" spans="1:21" x14ac:dyDescent="0.25">
      <c r="A53" s="6" t="s">
        <v>41</v>
      </c>
      <c r="B53" s="6" t="s">
        <v>57</v>
      </c>
      <c r="C53" s="15">
        <v>573.060546875</v>
      </c>
      <c r="D53" s="16">
        <v>35.463999999999999</v>
      </c>
      <c r="E53" s="16">
        <v>40.985999999999997</v>
      </c>
      <c r="F53" s="16">
        <v>39.174999999999997</v>
      </c>
      <c r="G53" s="16">
        <v>2.3199999999999998</v>
      </c>
      <c r="H53" s="16">
        <f t="shared" si="0"/>
        <v>36.618124999999999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1.3856995583427345E-2</v>
      </c>
      <c r="R53" s="8">
        <f>bdrate(C53:C56,E53:E56,J53:J56,L53:L56)</f>
        <v>-8.9373330611398294E-2</v>
      </c>
      <c r="S53" s="8">
        <f>bdrate(C53:C56,F53:F56,J53:J56,M53:M56)</f>
        <v>-0.16280082753842862</v>
      </c>
      <c r="T53" s="25">
        <f>bdrate(C53:C56,H53:H56,J53:J56,O53:O56)</f>
        <v>-1.5079644596681541E-2</v>
      </c>
      <c r="U53" s="28">
        <f t="shared" si="2"/>
        <v>7.6723706896551738</v>
      </c>
    </row>
    <row r="54" spans="1:21" x14ac:dyDescent="0.25">
      <c r="A54" s="9" t="s">
        <v>42</v>
      </c>
      <c r="B54" s="9"/>
      <c r="C54" s="17">
        <v>410.1953125</v>
      </c>
      <c r="D54" s="18">
        <v>33.905000000000001</v>
      </c>
      <c r="E54" s="18">
        <v>39.948999999999998</v>
      </c>
      <c r="F54" s="18">
        <v>37.954999999999998</v>
      </c>
      <c r="G54" s="18">
        <v>2.4500000000000002</v>
      </c>
      <c r="H54" s="18">
        <f t="shared" si="0"/>
        <v>35.16675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8.7339183673469378</v>
      </c>
    </row>
    <row r="55" spans="1:21" x14ac:dyDescent="0.25">
      <c r="B55" s="9"/>
      <c r="C55" s="17">
        <v>266.3857421875</v>
      </c>
      <c r="D55" s="18">
        <v>32.076999999999998</v>
      </c>
      <c r="E55" s="18">
        <v>38.536000000000001</v>
      </c>
      <c r="F55" s="18">
        <v>36.43</v>
      </c>
      <c r="G55" s="18">
        <v>2.3199999999999998</v>
      </c>
      <c r="H55" s="18">
        <f t="shared" si="0"/>
        <v>33.4285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11.412456896551726</v>
      </c>
    </row>
    <row r="56" spans="1:21" ht="16.5" thickBot="1" x14ac:dyDescent="0.3">
      <c r="B56" s="12"/>
      <c r="C56" s="19">
        <v>133.060546875</v>
      </c>
      <c r="D56" s="20">
        <v>29.452000000000002</v>
      </c>
      <c r="E56" s="20">
        <v>36.338000000000001</v>
      </c>
      <c r="F56" s="20">
        <v>34.024999999999999</v>
      </c>
      <c r="G56" s="20">
        <v>1.94</v>
      </c>
      <c r="H56" s="20">
        <f t="shared" si="0"/>
        <v>30.884375000000002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19.445206185567013</v>
      </c>
    </row>
    <row r="57" spans="1:21" x14ac:dyDescent="0.25">
      <c r="B57" s="6" t="s">
        <v>58</v>
      </c>
      <c r="C57" s="15">
        <v>641.1611328125</v>
      </c>
      <c r="D57" s="16">
        <v>34.642000000000003</v>
      </c>
      <c r="E57" s="16">
        <v>41.872</v>
      </c>
      <c r="F57" s="16">
        <v>42.796999999999997</v>
      </c>
      <c r="G57" s="16">
        <v>1.55</v>
      </c>
      <c r="H57" s="16">
        <f t="shared" si="0"/>
        <v>36.565125000000009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-0.10168019197037026</v>
      </c>
      <c r="R57" s="8">
        <f>bdrate(C57:C60,E57:E60,J57:J60,L57:L60)</f>
        <v>-0.16268572707384255</v>
      </c>
      <c r="S57" s="8">
        <f>bdrate(C57:C60,F57:F60,J57:J60,M57:M60)</f>
        <v>-0.19909346170293274</v>
      </c>
      <c r="T57" s="25">
        <f>bdrate(C57:C60,H57:H60,J57:J60,O57:O60)</f>
        <v>-0.11753494891331717</v>
      </c>
      <c r="U57" s="28">
        <f t="shared" si="2"/>
        <v>17.824903225806452</v>
      </c>
    </row>
    <row r="58" spans="1:21" x14ac:dyDescent="0.25">
      <c r="B58" s="9"/>
      <c r="C58" s="17">
        <v>452.1103515625</v>
      </c>
      <c r="D58" s="18">
        <v>33.375999999999998</v>
      </c>
      <c r="E58" s="18">
        <v>41.05</v>
      </c>
      <c r="F58" s="18">
        <v>41.954999999999998</v>
      </c>
      <c r="G58" s="18">
        <v>1.61</v>
      </c>
      <c r="H58" s="18">
        <f t="shared" si="0"/>
        <v>35.407624999999996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22.125714285714285</v>
      </c>
    </row>
    <row r="59" spans="1:21" x14ac:dyDescent="0.25">
      <c r="B59" s="9"/>
      <c r="C59" s="17">
        <v>295.169921875</v>
      </c>
      <c r="D59" s="18">
        <v>31.856999999999999</v>
      </c>
      <c r="E59" s="18">
        <v>40.055999999999997</v>
      </c>
      <c r="F59" s="18">
        <v>40.79</v>
      </c>
      <c r="G59" s="18">
        <v>1.7</v>
      </c>
      <c r="H59" s="18">
        <f t="shared" si="0"/>
        <v>33.9985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28.458411764705883</v>
      </c>
    </row>
    <row r="60" spans="1:21" ht="16.5" thickBot="1" x14ac:dyDescent="0.3">
      <c r="B60" s="12"/>
      <c r="C60" s="19">
        <v>141.990234375</v>
      </c>
      <c r="D60" s="20">
        <v>29.167999999999999</v>
      </c>
      <c r="E60" s="20">
        <v>38.386000000000003</v>
      </c>
      <c r="F60" s="20">
        <v>38.970999999999997</v>
      </c>
      <c r="G60" s="20">
        <v>1.79</v>
      </c>
      <c r="H60" s="20">
        <f t="shared" si="0"/>
        <v>31.545624999999998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41.973798882681564</v>
      </c>
    </row>
    <row r="61" spans="1:21" x14ac:dyDescent="0.25">
      <c r="B61" s="6" t="s">
        <v>59</v>
      </c>
      <c r="C61" s="29">
        <v>663.5078125</v>
      </c>
      <c r="D61" s="30">
        <v>34.316000000000003</v>
      </c>
      <c r="E61" s="30">
        <v>39.002000000000002</v>
      </c>
      <c r="F61" s="30">
        <v>39.887</v>
      </c>
      <c r="G61" s="16">
        <v>1.66</v>
      </c>
      <c r="H61" s="16">
        <f t="shared" si="0"/>
        <v>35.598125000000003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-9.8354528883521142E-2</v>
      </c>
      <c r="R61" s="8">
        <f>bdrate(C61:C64,E61:E64,J61:J64,L61:L64)</f>
        <v>-0.22995348507304847</v>
      </c>
      <c r="S61" s="8">
        <f>bdrate(C61:C64,F61:F64,J61:J64,M61:M64)</f>
        <v>-0.21888822508222294</v>
      </c>
      <c r="T61" s="25">
        <f>bdrate(C61:C64,H61:H64,J61:J64,O61:O64)</f>
        <v>-0.12820695146660155</v>
      </c>
      <c r="U61" s="28">
        <f t="shared" si="2"/>
        <v>13.40897590361446</v>
      </c>
    </row>
    <row r="62" spans="1:21" x14ac:dyDescent="0.25">
      <c r="B62" s="9"/>
      <c r="C62" s="31">
        <v>463.6357421875</v>
      </c>
      <c r="D62" s="32">
        <v>32.726999999999997</v>
      </c>
      <c r="E62" s="32">
        <v>37.676000000000002</v>
      </c>
      <c r="F62" s="32">
        <v>38.511000000000003</v>
      </c>
      <c r="G62" s="18">
        <v>1.74</v>
      </c>
      <c r="H62" s="18">
        <f t="shared" si="0"/>
        <v>34.068624999999997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15.66896551724138</v>
      </c>
    </row>
    <row r="63" spans="1:21" x14ac:dyDescent="0.25">
      <c r="B63" s="9"/>
      <c r="C63" s="31">
        <v>300.8310546875</v>
      </c>
      <c r="D63" s="32">
        <v>30.963999999999999</v>
      </c>
      <c r="E63" s="32">
        <v>36.323</v>
      </c>
      <c r="F63" s="32">
        <v>37.139000000000003</v>
      </c>
      <c r="G63" s="18">
        <v>1.84</v>
      </c>
      <c r="H63" s="18">
        <f t="shared" si="0"/>
        <v>32.405749999999998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18.037336956521738</v>
      </c>
    </row>
    <row r="64" spans="1:21" ht="16.5" thickBot="1" x14ac:dyDescent="0.3">
      <c r="B64" s="12"/>
      <c r="C64" s="33">
        <v>144.5087890625</v>
      </c>
      <c r="D64" s="34">
        <v>28.414999999999999</v>
      </c>
      <c r="E64" s="34">
        <v>34.368000000000002</v>
      </c>
      <c r="F64" s="34">
        <v>35.143999999999998</v>
      </c>
      <c r="G64" s="20">
        <v>1.79</v>
      </c>
      <c r="H64" s="20">
        <f t="shared" si="0"/>
        <v>30.000250000000001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26.846648044692738</v>
      </c>
    </row>
    <row r="65" spans="1:21" x14ac:dyDescent="0.25">
      <c r="B65" s="6" t="s">
        <v>60</v>
      </c>
      <c r="C65" s="15">
        <v>596.7119140625</v>
      </c>
      <c r="D65" s="16">
        <v>35.365000000000002</v>
      </c>
      <c r="E65" s="16">
        <v>39.113</v>
      </c>
      <c r="F65" s="16">
        <v>40.332999999999998</v>
      </c>
      <c r="G65" s="16">
        <v>1.74</v>
      </c>
      <c r="H65" s="16">
        <f t="shared" si="0"/>
        <v>36.454499999999996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-2.0156156098045774E-2</v>
      </c>
      <c r="R65" s="8">
        <f>bdrate(C65:C68,E65:E68,J65:J68,L65:L68)</f>
        <v>-0.11359064671474894</v>
      </c>
      <c r="S65" s="8">
        <f>bdrate(C65:C68,F65:F68,J65:J68,M65:M68)</f>
        <v>-9.9128538744274297E-2</v>
      </c>
      <c r="T65" s="25">
        <f>bdrate(C65:C68,H65:H68,J65:J68,O65:O68)</f>
        <v>-3.6016459158521252E-2</v>
      </c>
      <c r="U65" s="28">
        <f t="shared" si="2"/>
        <v>6.1328160919540222</v>
      </c>
    </row>
    <row r="66" spans="1:21" x14ac:dyDescent="0.25">
      <c r="B66" s="9"/>
      <c r="C66" s="17">
        <v>432.8046875</v>
      </c>
      <c r="D66" s="18">
        <v>33.776000000000003</v>
      </c>
      <c r="E66" s="18">
        <v>37.929000000000002</v>
      </c>
      <c r="F66" s="18">
        <v>39.234000000000002</v>
      </c>
      <c r="G66" s="18">
        <v>1.86</v>
      </c>
      <c r="H66" s="18">
        <f t="shared" si="0"/>
        <v>34.977375000000002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7.1666129032258059</v>
      </c>
    </row>
    <row r="67" spans="1:21" x14ac:dyDescent="0.25">
      <c r="B67" s="9"/>
      <c r="C67" s="17">
        <v>297.58203125</v>
      </c>
      <c r="D67" s="18">
        <v>31.984999999999999</v>
      </c>
      <c r="E67" s="18">
        <v>36.656999999999996</v>
      </c>
      <c r="F67" s="18">
        <v>37.911000000000001</v>
      </c>
      <c r="G67" s="18">
        <v>1.93</v>
      </c>
      <c r="H67" s="18">
        <f t="shared" si="0"/>
        <v>33.309750000000001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8.7878238341968906</v>
      </c>
    </row>
    <row r="68" spans="1:21" ht="16.5" thickBot="1" x14ac:dyDescent="0.3">
      <c r="B68" s="12"/>
      <c r="C68" s="19">
        <v>151.90625</v>
      </c>
      <c r="D68" s="20">
        <v>29.279</v>
      </c>
      <c r="E68" s="20">
        <v>34.622999999999998</v>
      </c>
      <c r="F68" s="20">
        <v>35.811999999999998</v>
      </c>
      <c r="G68" s="20">
        <v>1.61</v>
      </c>
      <c r="H68" s="20">
        <f t="shared" si="0"/>
        <v>30.763624999999998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15.362422360248447</v>
      </c>
    </row>
    <row r="69" spans="1:21" x14ac:dyDescent="0.25">
      <c r="A69" s="6" t="s">
        <v>43</v>
      </c>
      <c r="B69" s="6" t="s">
        <v>61</v>
      </c>
      <c r="C69" s="15">
        <v>1521.64453125</v>
      </c>
      <c r="D69" s="16">
        <v>42.177</v>
      </c>
      <c r="E69" s="16">
        <v>46.332999999999998</v>
      </c>
      <c r="F69" s="16">
        <v>47.637</v>
      </c>
      <c r="G69" s="16">
        <v>1.35</v>
      </c>
      <c r="H69" s="16">
        <f t="shared" si="0"/>
        <v>43.378999999999998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-8.4677968351890898E-2</v>
      </c>
      <c r="R69" s="8">
        <f>bdrate(C69:C72,E69:E72,J69:J72,L69:L72)</f>
        <v>-0.15256242859373836</v>
      </c>
      <c r="S69" s="8">
        <f>bdrate(C69:C72,F69:F72,J69:J72,M69:M72)</f>
        <v>-0.12742109577519867</v>
      </c>
      <c r="T69" s="25">
        <f>bdrate(C69:C72,H69:H72,J69:J72,O69:O72)</f>
        <v>-9.5963872165866992E-2</v>
      </c>
      <c r="U69" s="28">
        <f t="shared" si="2"/>
        <v>3.5748888888888888</v>
      </c>
    </row>
    <row r="70" spans="1:21" x14ac:dyDescent="0.25">
      <c r="A70" s="9" t="s">
        <v>44</v>
      </c>
      <c r="B70" s="9"/>
      <c r="C70" s="17">
        <v>1040.8935546875</v>
      </c>
      <c r="D70" s="18">
        <v>41.125999999999998</v>
      </c>
      <c r="E70" s="18">
        <v>45.456000000000003</v>
      </c>
      <c r="F70" s="18">
        <v>46.755000000000003</v>
      </c>
      <c r="G70" s="18">
        <v>1.63</v>
      </c>
      <c r="H70" s="18">
        <f t="shared" si="0"/>
        <v>42.370874999999998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3.8084662576687118</v>
      </c>
    </row>
    <row r="71" spans="1:21" x14ac:dyDescent="0.25">
      <c r="B71" s="9"/>
      <c r="C71" s="17">
        <v>641.39453125</v>
      </c>
      <c r="D71" s="18">
        <v>39.338000000000001</v>
      </c>
      <c r="E71" s="18">
        <v>43.994</v>
      </c>
      <c r="F71" s="18">
        <v>45.287999999999997</v>
      </c>
      <c r="G71" s="18">
        <v>1.92</v>
      </c>
      <c r="H71" s="18">
        <f t="shared" si="0"/>
        <v>40.663750000000007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4.4195312500000004</v>
      </c>
    </row>
    <row r="72" spans="1:21" ht="16.5" thickBot="1" x14ac:dyDescent="0.3">
      <c r="B72" s="12"/>
      <c r="C72" s="19">
        <v>326.2890625</v>
      </c>
      <c r="D72" s="20">
        <v>36.204000000000001</v>
      </c>
      <c r="E72" s="20">
        <v>41.731000000000002</v>
      </c>
      <c r="F72" s="20">
        <v>42.929000000000002</v>
      </c>
      <c r="G72" s="20">
        <v>2.0099999999999998</v>
      </c>
      <c r="H72" s="20">
        <f t="shared" si="0"/>
        <v>37.735500000000002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6.7439800995024886</v>
      </c>
    </row>
    <row r="73" spans="1:21" x14ac:dyDescent="0.25">
      <c r="B73" s="6" t="s">
        <v>62</v>
      </c>
      <c r="C73" s="15">
        <v>1504.447265625</v>
      </c>
      <c r="D73" s="16">
        <v>43.209000000000003</v>
      </c>
      <c r="E73" s="16">
        <v>48.411000000000001</v>
      </c>
      <c r="F73" s="16">
        <v>49.061</v>
      </c>
      <c r="G73" s="16">
        <v>0.92</v>
      </c>
      <c r="H73" s="16">
        <f t="shared" si="0"/>
        <v>44.59075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-5.4407220538423839E-3</v>
      </c>
      <c r="R73" s="8">
        <f>bdrate(C73:C76,E73:E76,J73:J76,L73:L76)</f>
        <v>-6.3515431815047263E-2</v>
      </c>
      <c r="S73" s="8">
        <f>bdrate(C73:C76,F73:F76,J73:J76,M73:M76)</f>
        <v>-7.9291115088896524E-2</v>
      </c>
      <c r="T73" s="25">
        <f>bdrate(C73:C76,H73:H76,J73:J76,O73:O76)</f>
        <v>-2.1457817280841285E-2</v>
      </c>
      <c r="U73" s="28">
        <f t="shared" ref="U73:U124" si="3">(N73-G73)/G73</f>
        <v>6.7296739130434782</v>
      </c>
    </row>
    <row r="74" spans="1:21" x14ac:dyDescent="0.25">
      <c r="B74" s="9"/>
      <c r="C74" s="17">
        <v>1046.873046875</v>
      </c>
      <c r="D74" s="18">
        <v>42.78</v>
      </c>
      <c r="E74" s="18">
        <v>48.021999999999998</v>
      </c>
      <c r="F74" s="18">
        <v>48.633000000000003</v>
      </c>
      <c r="G74" s="18">
        <v>1.02</v>
      </c>
      <c r="H74" s="18">
        <f t="shared" si="0"/>
        <v>44.166874999999997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7.6880392156862749</v>
      </c>
    </row>
    <row r="75" spans="1:21" x14ac:dyDescent="0.25">
      <c r="B75" s="9"/>
      <c r="C75" s="17">
        <v>659.18359375</v>
      </c>
      <c r="D75" s="18">
        <v>42.103000000000002</v>
      </c>
      <c r="E75" s="18">
        <v>47.381999999999998</v>
      </c>
      <c r="F75" s="18">
        <v>48.006</v>
      </c>
      <c r="G75" s="18">
        <v>1.25</v>
      </c>
      <c r="H75" s="18">
        <f t="shared" si="0"/>
        <v>43.500749999999996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8.584480000000001</v>
      </c>
    </row>
    <row r="76" spans="1:21" ht="16.5" thickBot="1" x14ac:dyDescent="0.3">
      <c r="B76" s="12"/>
      <c r="C76" s="19">
        <v>336.3046875</v>
      </c>
      <c r="D76" s="20">
        <v>40.557000000000002</v>
      </c>
      <c r="E76" s="20">
        <v>45.817999999999998</v>
      </c>
      <c r="F76" s="20">
        <v>46.497</v>
      </c>
      <c r="G76" s="20">
        <v>1.59</v>
      </c>
      <c r="H76" s="20">
        <f t="shared" si="0"/>
        <v>41.957125000000005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10.202578616352202</v>
      </c>
    </row>
    <row r="77" spans="1:21" x14ac:dyDescent="0.25">
      <c r="B77" s="6" t="s">
        <v>63</v>
      </c>
      <c r="C77" s="15">
        <v>1509.8955078125</v>
      </c>
      <c r="D77" s="16">
        <v>43.031999999999996</v>
      </c>
      <c r="E77" s="16">
        <v>47.408000000000001</v>
      </c>
      <c r="F77" s="16">
        <v>48.296999999999997</v>
      </c>
      <c r="G77" s="16">
        <v>1.21</v>
      </c>
      <c r="H77" s="16">
        <f t="shared" si="0"/>
        <v>44.237125000000006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-4.5458774820082204E-2</v>
      </c>
      <c r="R77" s="8">
        <f>bdrate(C77:C80,E77:E80,J77:J80,L77:L80)</f>
        <v>-0.11440609143674196</v>
      </c>
      <c r="S77" s="8">
        <f>bdrate(C77:C80,F77:F80,J77:J80,M77:M80)</f>
        <v>-0.1075706178905953</v>
      </c>
      <c r="T77" s="25">
        <f>bdrate(C77:C80,H77:H80,J77:J80,O77:O80)</f>
        <v>-6.1464735235935319E-2</v>
      </c>
      <c r="U77" s="28">
        <f t="shared" si="3"/>
        <v>4.2098347107438014</v>
      </c>
    </row>
    <row r="78" spans="1:21" x14ac:dyDescent="0.25">
      <c r="B78" s="9"/>
      <c r="C78" s="17">
        <v>1029.6240234375</v>
      </c>
      <c r="D78" s="18">
        <v>42.317999999999998</v>
      </c>
      <c r="E78" s="18">
        <v>46.732999999999997</v>
      </c>
      <c r="F78" s="18">
        <v>47.652999999999999</v>
      </c>
      <c r="G78" s="18">
        <v>1.41</v>
      </c>
      <c r="H78" s="18">
        <f t="shared" si="0"/>
        <v>43.536749999999998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4.564468085106383</v>
      </c>
    </row>
    <row r="79" spans="1:21" x14ac:dyDescent="0.25">
      <c r="B79" s="9"/>
      <c r="C79" s="17">
        <v>643.265625</v>
      </c>
      <c r="D79" s="18">
        <v>41.119</v>
      </c>
      <c r="E79" s="18">
        <v>45.683999999999997</v>
      </c>
      <c r="F79" s="18">
        <v>46.576999999999998</v>
      </c>
      <c r="G79" s="18">
        <v>1.69</v>
      </c>
      <c r="H79" s="18">
        <f t="shared" si="0"/>
        <v>42.371875000000003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5.1836686390532547</v>
      </c>
    </row>
    <row r="80" spans="1:21" ht="16.5" thickBot="1" x14ac:dyDescent="0.3">
      <c r="B80" s="12"/>
      <c r="C80" s="19">
        <v>328.58984375</v>
      </c>
      <c r="D80" s="20">
        <v>38.715000000000003</v>
      </c>
      <c r="E80" s="20">
        <v>43.558999999999997</v>
      </c>
      <c r="F80" s="20">
        <v>44.540999999999997</v>
      </c>
      <c r="G80" s="20">
        <v>1.94</v>
      </c>
      <c r="H80" s="20">
        <f t="shared" si="0"/>
        <v>40.048750000000005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7.0884536082474225</v>
      </c>
    </row>
    <row r="81" spans="1:21" x14ac:dyDescent="0.25">
      <c r="A81" s="6" t="s">
        <v>102</v>
      </c>
      <c r="B81" s="6" t="s">
        <v>103</v>
      </c>
      <c r="C81" s="15">
        <v>1368.1572265625</v>
      </c>
      <c r="D81" s="16">
        <v>48.899000000000001</v>
      </c>
      <c r="E81" s="16">
        <v>53.868000000000002</v>
      </c>
      <c r="F81" s="16">
        <v>54.62</v>
      </c>
      <c r="G81" s="16">
        <v>1.41</v>
      </c>
      <c r="H81" s="16">
        <f t="shared" ref="H81:H124" si="4">(6*D81+E81+F81)/8</f>
        <v>50.235250000000001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124" si="5">(6*K81+L81+M81)/8</f>
        <v>47.356200000000001</v>
      </c>
      <c r="P81" s="7"/>
      <c r="Q81" s="8">
        <f>bdrate(C81:C84,D81:D84,J81:J84,K81:K84)</f>
        <v>0.36380628737851994</v>
      </c>
      <c r="R81" s="8">
        <f>bdrate(C81:C84,E81:E84,J81:J84,L81:L84)</f>
        <v>0.17646656467809185</v>
      </c>
      <c r="S81" s="8">
        <f>bdrate(C81:C84,F81:F84,J81:J84,M81:M84)</f>
        <v>0.10435510175705009</v>
      </c>
      <c r="T81" s="25">
        <f>bdrate(C81:C84,H81:H84,J81:J84,O81:O84)</f>
        <v>0.31650866686258006</v>
      </c>
      <c r="U81" s="28">
        <f t="shared" si="3"/>
        <v>1.5425531914893618</v>
      </c>
    </row>
    <row r="82" spans="1:21" x14ac:dyDescent="0.25">
      <c r="A82" s="9" t="s">
        <v>78</v>
      </c>
      <c r="B82" s="9"/>
      <c r="C82" s="17">
        <v>969.1943359375</v>
      </c>
      <c r="D82" s="18">
        <v>46.923999999999999</v>
      </c>
      <c r="E82" s="18">
        <v>52.034999999999997</v>
      </c>
      <c r="F82" s="18">
        <v>52.74</v>
      </c>
      <c r="G82" s="18">
        <v>1.44</v>
      </c>
      <c r="H82" s="18">
        <f t="shared" si="4"/>
        <v>48.289874999999995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1.9019444444444444</v>
      </c>
    </row>
    <row r="83" spans="1:21" x14ac:dyDescent="0.25">
      <c r="B83" s="9"/>
      <c r="C83" s="17">
        <v>613.12109375</v>
      </c>
      <c r="D83" s="18">
        <v>44.6</v>
      </c>
      <c r="E83" s="18">
        <v>50.161999999999999</v>
      </c>
      <c r="F83" s="18">
        <v>50.854999999999997</v>
      </c>
      <c r="G83" s="18">
        <v>1.33</v>
      </c>
      <c r="H83" s="18">
        <f t="shared" si="4"/>
        <v>46.077125000000002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2.9812781954887213</v>
      </c>
    </row>
    <row r="84" spans="1:21" ht="16.5" thickBot="1" x14ac:dyDescent="0.3">
      <c r="B84" s="12"/>
      <c r="C84" s="19">
        <v>344.42578125</v>
      </c>
      <c r="D84" s="20">
        <v>40.006999999999998</v>
      </c>
      <c r="E84" s="20">
        <v>46.411000000000001</v>
      </c>
      <c r="F84" s="20">
        <v>47.322000000000003</v>
      </c>
      <c r="G84" s="20">
        <v>1.1200000000000001</v>
      </c>
      <c r="H84" s="20">
        <f t="shared" si="4"/>
        <v>41.721874999999997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5.8191964285714279</v>
      </c>
    </row>
    <row r="85" spans="1:21" x14ac:dyDescent="0.25">
      <c r="B85" s="6" t="s">
        <v>104</v>
      </c>
      <c r="C85" s="15">
        <v>1889.9267578125</v>
      </c>
      <c r="D85" s="16">
        <v>56.29</v>
      </c>
      <c r="E85" s="16">
        <v>56.930999999999997</v>
      </c>
      <c r="F85" s="16">
        <v>57.244999999999997</v>
      </c>
      <c r="G85" s="16">
        <v>2.93</v>
      </c>
      <c r="H85" s="16">
        <f t="shared" si="4"/>
        <v>56.4895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-9.0801267447618961E-2</v>
      </c>
      <c r="R85" s="8">
        <f>bdrate(C85:C88,E85:E88,J85:J88,L85:L88)</f>
        <v>-0.11130233697759129</v>
      </c>
      <c r="S85" s="8">
        <f>bdrate(C85:C88,F85:F88,J85:J88,M85:M88)</f>
        <v>-0.12287794872657065</v>
      </c>
      <c r="T85" s="25">
        <f>bdrate(C85:C88,H85:H88,J85:J88,O85:O88)</f>
        <v>-9.6890279537372281E-2</v>
      </c>
      <c r="U85" s="28">
        <f t="shared" si="3"/>
        <v>2.6038566552901026</v>
      </c>
    </row>
    <row r="86" spans="1:21" x14ac:dyDescent="0.25">
      <c r="B86" s="9"/>
      <c r="C86" s="17">
        <v>1333.634765625</v>
      </c>
      <c r="D86" s="18">
        <v>53.878999999999998</v>
      </c>
      <c r="E86" s="18">
        <v>54.62</v>
      </c>
      <c r="F86" s="18">
        <v>54.982999999999997</v>
      </c>
      <c r="G86" s="18">
        <v>3.06</v>
      </c>
      <c r="H86" s="18">
        <f t="shared" si="4"/>
        <v>54.109625000000001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2.860718954248366</v>
      </c>
    </row>
    <row r="87" spans="1:21" x14ac:dyDescent="0.25">
      <c r="B87" s="9"/>
      <c r="C87" s="17">
        <v>845.0126953125</v>
      </c>
      <c r="D87" s="18">
        <v>50.768999999999998</v>
      </c>
      <c r="E87" s="18">
        <v>51.662999999999997</v>
      </c>
      <c r="F87" s="18">
        <v>52.125</v>
      </c>
      <c r="G87" s="18">
        <v>3.14</v>
      </c>
      <c r="H87" s="18">
        <f t="shared" si="4"/>
        <v>51.050249999999998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3.4630891719745218</v>
      </c>
    </row>
    <row r="88" spans="1:21" ht="16.5" thickBot="1" x14ac:dyDescent="0.3">
      <c r="B88" s="12"/>
      <c r="C88" s="19">
        <v>447.712890625</v>
      </c>
      <c r="D88" s="20">
        <v>46.594000000000001</v>
      </c>
      <c r="E88" s="20">
        <v>47.741999999999997</v>
      </c>
      <c r="F88" s="20">
        <v>48.271999999999998</v>
      </c>
      <c r="G88" s="20">
        <v>3.02</v>
      </c>
      <c r="H88" s="20">
        <f t="shared" si="4"/>
        <v>46.947250000000004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5.2124172185430471</v>
      </c>
    </row>
    <row r="89" spans="1:21" x14ac:dyDescent="0.25">
      <c r="B89" s="6" t="s">
        <v>105</v>
      </c>
      <c r="C89" s="15">
        <v>1917.8544921875</v>
      </c>
      <c r="D89" s="16">
        <v>45.128</v>
      </c>
      <c r="E89" s="16">
        <v>47.215000000000003</v>
      </c>
      <c r="F89" s="16">
        <v>47.639000000000003</v>
      </c>
      <c r="G89" s="16">
        <v>1.51</v>
      </c>
      <c r="H89" s="16">
        <f t="shared" si="4"/>
        <v>45.702750000000009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-0.14715019547079522</v>
      </c>
      <c r="R89" s="8">
        <f>bdrate(C89:C92,E89:E92,J89:J92,L89:L92)</f>
        <v>-0.18874260439671131</v>
      </c>
      <c r="S89" s="8">
        <f>bdrate(C89:C92,F89:F92,J89:J92,M89:M92)</f>
        <v>-0.18403795115156074</v>
      </c>
      <c r="T89" s="25">
        <f>bdrate(C89:C92,H89:H92,J89:J92,O89:O92)</f>
        <v>-0.15453456859284243</v>
      </c>
      <c r="U89" s="28">
        <f t="shared" si="3"/>
        <v>1.9900662251655628</v>
      </c>
    </row>
    <row r="90" spans="1:21" x14ac:dyDescent="0.25">
      <c r="B90" s="9"/>
      <c r="C90" s="17">
        <v>1306.5009765625</v>
      </c>
      <c r="D90" s="18">
        <v>43.357999999999997</v>
      </c>
      <c r="E90" s="18">
        <v>45.722999999999999</v>
      </c>
      <c r="F90" s="18">
        <v>46.167000000000002</v>
      </c>
      <c r="G90" s="18">
        <v>1.56</v>
      </c>
      <c r="H90" s="18">
        <f t="shared" si="4"/>
        <v>44.004750000000001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2.4451282051282046</v>
      </c>
    </row>
    <row r="91" spans="1:21" x14ac:dyDescent="0.25">
      <c r="B91" s="9"/>
      <c r="C91" s="17">
        <v>828.111328125</v>
      </c>
      <c r="D91" s="18">
        <v>41.213999999999999</v>
      </c>
      <c r="E91" s="18">
        <v>43.954000000000001</v>
      </c>
      <c r="F91" s="18">
        <v>44.402999999999999</v>
      </c>
      <c r="G91" s="18">
        <v>1.58</v>
      </c>
      <c r="H91" s="18">
        <f t="shared" si="4"/>
        <v>41.955125000000002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3.2486708860759492</v>
      </c>
    </row>
    <row r="92" spans="1:21" ht="16.5" thickBot="1" x14ac:dyDescent="0.3">
      <c r="B92" s="12"/>
      <c r="C92" s="19">
        <v>450.40625</v>
      </c>
      <c r="D92" s="20">
        <v>38.253999999999998</v>
      </c>
      <c r="E92" s="20">
        <v>41.515000000000001</v>
      </c>
      <c r="F92" s="20">
        <v>41.942</v>
      </c>
      <c r="G92" s="20">
        <v>1.49</v>
      </c>
      <c r="H92" s="20">
        <f t="shared" si="4"/>
        <v>39.122624999999999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si="5"/>
        <v>37.619250000000001</v>
      </c>
      <c r="P92" s="7"/>
      <c r="Q92" s="13"/>
      <c r="R92" s="14"/>
      <c r="S92" s="14"/>
      <c r="T92" s="27"/>
      <c r="U92" s="28">
        <f t="shared" si="3"/>
        <v>5.1720805369127518</v>
      </c>
    </row>
    <row r="93" spans="1:21" x14ac:dyDescent="0.25">
      <c r="B93" s="6" t="s">
        <v>106</v>
      </c>
      <c r="C93" s="29">
        <v>1815.333984375</v>
      </c>
      <c r="D93" s="30">
        <v>40.725999999999999</v>
      </c>
      <c r="E93" s="30">
        <v>44.982999999999997</v>
      </c>
      <c r="F93" s="30">
        <v>44.948999999999998</v>
      </c>
      <c r="G93" s="16">
        <v>1.21</v>
      </c>
      <c r="H93" s="16">
        <f t="shared" si="4"/>
        <v>41.786000000000001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5"/>
        <v>41.757075</v>
      </c>
      <c r="P93" s="7"/>
      <c r="Q93" s="8">
        <f>bdrate(C93:C96,D93:D96,J93:J96,K93:K96)</f>
        <v>-0.11550281305063825</v>
      </c>
      <c r="R93" s="8">
        <f>bdrate(C93:C96,E93:E96,J93:J96,L93:L96)</f>
        <v>-0.24800363063515674</v>
      </c>
      <c r="S93" s="8">
        <f>bdrate(C93:C96,F93:F96,J93:J96,M93:M96)</f>
        <v>-0.25354853449591519</v>
      </c>
      <c r="T93" s="25">
        <f>bdrate(C93:C96,H93:H96,J93:J96,O93:O96)</f>
        <v>-0.14318254295978283</v>
      </c>
      <c r="U93" s="28">
        <f t="shared" si="3"/>
        <v>2.1917355371900826</v>
      </c>
    </row>
    <row r="94" spans="1:21" x14ac:dyDescent="0.25">
      <c r="B94" s="9"/>
      <c r="C94" s="31">
        <v>1242.123046875</v>
      </c>
      <c r="D94" s="32">
        <v>39.051000000000002</v>
      </c>
      <c r="E94" s="32">
        <v>43.637999999999998</v>
      </c>
      <c r="F94" s="32">
        <v>43.569000000000003</v>
      </c>
      <c r="G94" s="18">
        <v>1.23</v>
      </c>
      <c r="H94" s="18">
        <f t="shared" si="4"/>
        <v>40.189125000000004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5"/>
        <v>39.966562500000002</v>
      </c>
      <c r="P94" s="7"/>
      <c r="Q94" s="10"/>
      <c r="R94" s="11"/>
      <c r="S94" s="11"/>
      <c r="T94" s="26"/>
      <c r="U94" s="28">
        <f t="shared" si="3"/>
        <v>2.77869918699187</v>
      </c>
    </row>
    <row r="95" spans="1:21" x14ac:dyDescent="0.25">
      <c r="B95" s="9"/>
      <c r="C95" s="31">
        <v>756.716796875</v>
      </c>
      <c r="D95" s="32">
        <v>36.890999999999998</v>
      </c>
      <c r="E95" s="32">
        <v>41.914999999999999</v>
      </c>
      <c r="F95" s="32">
        <v>41.8</v>
      </c>
      <c r="G95" s="18">
        <v>1.22</v>
      </c>
      <c r="H95" s="18">
        <f t="shared" si="4"/>
        <v>38.132625000000004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5"/>
        <v>37.766062499999997</v>
      </c>
      <c r="P95" s="7"/>
      <c r="Q95" s="10"/>
      <c r="R95" s="11"/>
      <c r="S95" s="11"/>
      <c r="T95" s="26"/>
      <c r="U95" s="28">
        <f t="shared" si="3"/>
        <v>3.7796721311475414</v>
      </c>
    </row>
    <row r="96" spans="1:21" ht="16.5" thickBot="1" x14ac:dyDescent="0.3">
      <c r="B96" s="12"/>
      <c r="C96" s="33">
        <v>387.3154296875</v>
      </c>
      <c r="D96" s="34">
        <v>34.058999999999997</v>
      </c>
      <c r="E96" s="34">
        <v>39.624000000000002</v>
      </c>
      <c r="F96" s="34">
        <v>39.506</v>
      </c>
      <c r="G96" s="20">
        <v>1.1200000000000001</v>
      </c>
      <c r="H96" s="20">
        <f t="shared" si="4"/>
        <v>35.435499999999998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5"/>
        <v>34.929862499999999</v>
      </c>
      <c r="P96" s="7"/>
      <c r="Q96" s="13"/>
      <c r="R96" s="14"/>
      <c r="S96" s="14"/>
      <c r="T96" s="27"/>
      <c r="U96" s="28">
        <f t="shared" si="3"/>
        <v>6.3108928571428562</v>
      </c>
    </row>
    <row r="97" spans="2:21" x14ac:dyDescent="0.25">
      <c r="B97" s="6" t="s">
        <v>107</v>
      </c>
      <c r="C97" s="15">
        <v>1552.462890625</v>
      </c>
      <c r="D97" s="16">
        <v>38.871000000000002</v>
      </c>
      <c r="E97" s="16">
        <v>43.13</v>
      </c>
      <c r="F97" s="16">
        <v>43.643999999999998</v>
      </c>
      <c r="G97" s="16">
        <v>1.36</v>
      </c>
      <c r="H97" s="16">
        <f t="shared" si="4"/>
        <v>40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5"/>
        <v>40.175875000000005</v>
      </c>
      <c r="P97" s="7"/>
      <c r="Q97" s="8">
        <f>bdrate(C97:C100,D97:D100,J97:J100,K97:K100)</f>
        <v>-3.4519320145693366E-2</v>
      </c>
      <c r="R97" s="8">
        <f>bdrate(C97:C100,E97:E100,J97:J100,L97:L100)</f>
        <v>-0.21854664924515266</v>
      </c>
      <c r="S97" s="8">
        <f>bdrate(C97:C100,F97:F100,J97:J100,M97:M100)</f>
        <v>-0.20625486810618687</v>
      </c>
      <c r="T97" s="25">
        <f>bdrate(C97:C100,H97:H100,J97:J100,O97:O100)</f>
        <v>-7.5627793033763657E-2</v>
      </c>
      <c r="U97" s="28">
        <f t="shared" si="3"/>
        <v>2.6546323529411762</v>
      </c>
    </row>
    <row r="98" spans="2:21" x14ac:dyDescent="0.25">
      <c r="B98" s="9"/>
      <c r="C98" s="17">
        <v>1080.1708984375</v>
      </c>
      <c r="D98" s="18">
        <v>37.130000000000003</v>
      </c>
      <c r="E98" s="18">
        <v>41.585000000000001</v>
      </c>
      <c r="F98" s="18">
        <v>42.197000000000003</v>
      </c>
      <c r="G98" s="18">
        <v>1.38</v>
      </c>
      <c r="H98" s="18">
        <f t="shared" si="4"/>
        <v>38.320250000000001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5"/>
        <v>38.296312499999999</v>
      </c>
      <c r="P98" s="7"/>
      <c r="Q98" s="10"/>
      <c r="R98" s="11"/>
      <c r="S98" s="11"/>
      <c r="T98" s="26"/>
      <c r="U98" s="28">
        <f t="shared" si="3"/>
        <v>3.3481159420289859</v>
      </c>
    </row>
    <row r="99" spans="2:21" x14ac:dyDescent="0.25">
      <c r="B99" s="9"/>
      <c r="C99" s="17">
        <v>668.6474609375</v>
      </c>
      <c r="D99" s="18">
        <v>34.81</v>
      </c>
      <c r="E99" s="18">
        <v>39.49</v>
      </c>
      <c r="F99" s="18">
        <v>40.207999999999998</v>
      </c>
      <c r="G99" s="18">
        <v>1.26</v>
      </c>
      <c r="H99" s="18">
        <f t="shared" si="4"/>
        <v>36.069749999999999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5"/>
        <v>35.978875000000002</v>
      </c>
      <c r="P99" s="7"/>
      <c r="Q99" s="10"/>
      <c r="R99" s="11"/>
      <c r="S99" s="11"/>
      <c r="T99" s="26"/>
      <c r="U99" s="28">
        <f t="shared" si="3"/>
        <v>4.9096031746031752</v>
      </c>
    </row>
    <row r="100" spans="2:21" ht="16.5" thickBot="1" x14ac:dyDescent="0.3">
      <c r="B100" s="12"/>
      <c r="C100" s="19">
        <v>366.845703125</v>
      </c>
      <c r="D100" s="20">
        <v>31.972000000000001</v>
      </c>
      <c r="E100" s="20">
        <v>36.89</v>
      </c>
      <c r="F100" s="20">
        <v>37.628999999999998</v>
      </c>
      <c r="G100" s="20">
        <v>1.03</v>
      </c>
      <c r="H100" s="20">
        <f t="shared" si="4"/>
        <v>33.293875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5"/>
        <v>32.898575000000001</v>
      </c>
      <c r="P100" s="7"/>
      <c r="Q100" s="13"/>
      <c r="R100" s="14"/>
      <c r="S100" s="14"/>
      <c r="T100" s="27"/>
      <c r="U100" s="28">
        <f t="shared" si="3"/>
        <v>8.7766019417475736</v>
      </c>
    </row>
    <row r="101" spans="2:21" x14ac:dyDescent="0.25">
      <c r="B101" s="6" t="s">
        <v>108</v>
      </c>
      <c r="C101" s="15">
        <v>1655.7490234375</v>
      </c>
      <c r="D101" s="16">
        <v>38.648000000000003</v>
      </c>
      <c r="E101" s="16">
        <v>44.39</v>
      </c>
      <c r="F101" s="16">
        <v>46.314</v>
      </c>
      <c r="G101" s="16">
        <v>1.1200000000000001</v>
      </c>
      <c r="H101" s="16">
        <f t="shared" si="4"/>
        <v>40.324000000000005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5"/>
        <v>40.243012499999999</v>
      </c>
      <c r="P101" s="7"/>
      <c r="Q101" s="8">
        <f>bdrate(C101:C104,D101:D104,J101:J104,K101:K104)</f>
        <v>-1.5858510010949622E-2</v>
      </c>
      <c r="R101" s="8">
        <f>bdrate(C101:C104,E101:E104,J101:J104,L101:L104)</f>
        <v>-0.14616082558346233</v>
      </c>
      <c r="S101" s="8">
        <f>bdrate(C101:C104,F101:F104,J101:J104,M101:M104)</f>
        <v>-5.8567034306132415E-2</v>
      </c>
      <c r="T101" s="25">
        <f>bdrate(C101:C104,H101:H104,J101:J104,O101:O104)</f>
        <v>-3.3223973202961221E-2</v>
      </c>
      <c r="U101" s="28">
        <f t="shared" si="3"/>
        <v>2.1346428571428571</v>
      </c>
    </row>
    <row r="102" spans="2:21" x14ac:dyDescent="0.25">
      <c r="B102" s="9"/>
      <c r="C102" s="17">
        <v>1115.8994140625</v>
      </c>
      <c r="D102" s="18">
        <v>37.337000000000003</v>
      </c>
      <c r="E102" s="18">
        <v>43.414999999999999</v>
      </c>
      <c r="F102" s="18">
        <v>45.295000000000002</v>
      </c>
      <c r="G102" s="18">
        <v>1.2</v>
      </c>
      <c r="H102" s="18">
        <f t="shared" si="4"/>
        <v>39.091500000000003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5"/>
        <v>38.886112499999996</v>
      </c>
      <c r="P102" s="7"/>
      <c r="Q102" s="10"/>
      <c r="R102" s="11"/>
      <c r="S102" s="11"/>
      <c r="T102" s="26"/>
      <c r="U102" s="28">
        <f t="shared" si="3"/>
        <v>2.5170833333333338</v>
      </c>
    </row>
    <row r="103" spans="2:21" x14ac:dyDescent="0.25">
      <c r="B103" s="9"/>
      <c r="C103" s="17">
        <v>671.5478515625</v>
      </c>
      <c r="D103" s="18">
        <v>35.659999999999997</v>
      </c>
      <c r="E103" s="18">
        <v>42.058</v>
      </c>
      <c r="F103" s="18">
        <v>43.734000000000002</v>
      </c>
      <c r="G103" s="18">
        <v>1.24</v>
      </c>
      <c r="H103" s="18">
        <f t="shared" si="4"/>
        <v>37.468999999999994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5"/>
        <v>37.22945</v>
      </c>
      <c r="P103" s="7"/>
      <c r="Q103" s="10"/>
      <c r="R103" s="11"/>
      <c r="S103" s="11"/>
      <c r="T103" s="26"/>
      <c r="U103" s="28">
        <f t="shared" si="3"/>
        <v>3.3179032258064511</v>
      </c>
    </row>
    <row r="104" spans="2:21" ht="16.5" thickBot="1" x14ac:dyDescent="0.3">
      <c r="B104" s="12"/>
      <c r="C104" s="19">
        <v>343.34765625</v>
      </c>
      <c r="D104" s="20">
        <v>33.593000000000004</v>
      </c>
      <c r="E104" s="20">
        <v>40.308999999999997</v>
      </c>
      <c r="F104" s="20">
        <v>41.67</v>
      </c>
      <c r="G104" s="20">
        <v>1.1499999999999999</v>
      </c>
      <c r="H104" s="20">
        <f t="shared" si="4"/>
        <v>35.442125000000004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5"/>
        <v>35.169449999999998</v>
      </c>
      <c r="P104" s="7"/>
      <c r="Q104" s="13"/>
      <c r="R104" s="14"/>
      <c r="S104" s="14"/>
      <c r="T104" s="27"/>
      <c r="U104" s="28">
        <f t="shared" si="3"/>
        <v>5.713304347826087</v>
      </c>
    </row>
    <row r="105" spans="2:21" x14ac:dyDescent="0.25">
      <c r="B105" s="6" t="s">
        <v>109</v>
      </c>
      <c r="C105" s="15">
        <v>1339.361328125</v>
      </c>
      <c r="D105" s="16">
        <v>49.686999999999998</v>
      </c>
      <c r="E105" s="16">
        <v>54.524000000000001</v>
      </c>
      <c r="F105" s="16">
        <v>55.872999999999998</v>
      </c>
      <c r="G105" s="16">
        <v>2.97</v>
      </c>
      <c r="H105" s="16">
        <f t="shared" si="4"/>
        <v>51.064874999999994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5"/>
        <v>51.890599999999999</v>
      </c>
      <c r="P105" s="7"/>
      <c r="Q105" s="8">
        <f>bdrate(C105:C108,D105:D108,J105:J108,K105:K108)</f>
        <v>-2.881723032886474E-2</v>
      </c>
      <c r="R105" s="8">
        <f>bdrate(C105:C108,E105:E108,J105:J108,L105:L108)</f>
        <v>5.6278766267983116E-3</v>
      </c>
      <c r="S105" s="8">
        <f>bdrate(C105:C108,F105:F108,J105:J108,M105:M108)</f>
        <v>-9.3722335238622945E-3</v>
      </c>
      <c r="T105" s="25">
        <f>bdrate(C105:C108,H105:H108,J105:J108,O105:O108)</f>
        <v>-2.2959046476768941E-2</v>
      </c>
      <c r="U105" s="28">
        <f t="shared" si="3"/>
        <v>0.37575757575757579</v>
      </c>
    </row>
    <row r="106" spans="2:21" x14ac:dyDescent="0.25">
      <c r="B106" s="9"/>
      <c r="C106" s="17">
        <v>926.7841796875</v>
      </c>
      <c r="D106" s="18">
        <v>48.332000000000001</v>
      </c>
      <c r="E106" s="18">
        <v>53.424999999999997</v>
      </c>
      <c r="F106" s="18">
        <v>54.853999999999999</v>
      </c>
      <c r="G106" s="18">
        <v>3.19</v>
      </c>
      <c r="H106" s="18">
        <f t="shared" si="4"/>
        <v>49.783875000000002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5"/>
        <v>50.320012500000004</v>
      </c>
      <c r="P106" s="7"/>
      <c r="Q106" s="10"/>
      <c r="R106" s="11"/>
      <c r="S106" s="11"/>
      <c r="T106" s="26"/>
      <c r="U106" s="28">
        <f t="shared" si="3"/>
        <v>0.57498432601880889</v>
      </c>
    </row>
    <row r="107" spans="2:21" x14ac:dyDescent="0.25">
      <c r="B107" s="9"/>
      <c r="C107" s="17">
        <v>590.33984375</v>
      </c>
      <c r="D107" s="18">
        <v>46.561999999999998</v>
      </c>
      <c r="E107" s="18">
        <v>51.975999999999999</v>
      </c>
      <c r="F107" s="18">
        <v>53.436</v>
      </c>
      <c r="G107" s="18">
        <v>3.43</v>
      </c>
      <c r="H107" s="18">
        <f t="shared" si="4"/>
        <v>48.097999999999992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5"/>
        <v>48.209975</v>
      </c>
      <c r="P107" s="7"/>
      <c r="Q107" s="10"/>
      <c r="R107" s="11"/>
      <c r="S107" s="11"/>
      <c r="T107" s="26"/>
      <c r="U107" s="28">
        <f t="shared" si="3"/>
        <v>0.93075801749271114</v>
      </c>
    </row>
    <row r="108" spans="2:21" ht="16.5" thickBot="1" x14ac:dyDescent="0.3">
      <c r="B108" s="12"/>
      <c r="C108" s="19">
        <v>319.8994140625</v>
      </c>
      <c r="D108" s="20">
        <v>43.96</v>
      </c>
      <c r="E108" s="20">
        <v>49.683</v>
      </c>
      <c r="F108" s="20">
        <v>51.027000000000001</v>
      </c>
      <c r="G108" s="20">
        <v>3.61</v>
      </c>
      <c r="H108" s="20">
        <f t="shared" si="4"/>
        <v>45.558749999999996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5"/>
        <v>45.178912500000003</v>
      </c>
      <c r="P108" s="7"/>
      <c r="Q108" s="13"/>
      <c r="R108" s="14"/>
      <c r="S108" s="14"/>
      <c r="T108" s="27"/>
      <c r="U108" s="28">
        <f t="shared" si="3"/>
        <v>1.8011357340720224</v>
      </c>
    </row>
    <row r="109" spans="2:21" x14ac:dyDescent="0.25">
      <c r="B109" s="6" t="s">
        <v>110</v>
      </c>
      <c r="C109" s="15">
        <v>1559.15625</v>
      </c>
      <c r="D109" s="16">
        <v>33.482999999999997</v>
      </c>
      <c r="E109" s="16">
        <v>41.613999999999997</v>
      </c>
      <c r="F109" s="16">
        <v>41.109000000000002</v>
      </c>
      <c r="G109" s="16">
        <v>0.84</v>
      </c>
      <c r="H109" s="16">
        <f t="shared" si="4"/>
        <v>35.452624999999998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5"/>
        <v>35.630549999999999</v>
      </c>
      <c r="P109" s="7"/>
      <c r="Q109" s="8">
        <f>bdrate(C109:C112,D109:D112,J109:J112,K109:K112)</f>
        <v>-5.2593311821033994E-2</v>
      </c>
      <c r="R109" s="8">
        <f>bdrate(C109:C112,E109:E112,J109:J112,L109:L112)</f>
        <v>-0.29219575035659895</v>
      </c>
      <c r="S109" s="8">
        <f>bdrate(C109:C112,F109:F112,J109:J112,M109:M112)</f>
        <v>-0.28109967959773718</v>
      </c>
      <c r="T109" s="25">
        <f>bdrate(C109:C112,H109:H112,J109:J112,O109:O112)</f>
        <v>-9.8119268414748384E-2</v>
      </c>
      <c r="U109" s="28">
        <f t="shared" si="3"/>
        <v>2.5882142857142858</v>
      </c>
    </row>
    <row r="110" spans="2:21" x14ac:dyDescent="0.25">
      <c r="B110" s="9"/>
      <c r="C110" s="17">
        <v>1063.06640625</v>
      </c>
      <c r="D110" s="18">
        <v>31.937000000000001</v>
      </c>
      <c r="E110" s="18">
        <v>40.377000000000002</v>
      </c>
      <c r="F110" s="18">
        <v>39.86</v>
      </c>
      <c r="G110" s="18">
        <v>0.76</v>
      </c>
      <c r="H110" s="18">
        <f t="shared" si="4"/>
        <v>33.982375000000005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5"/>
        <v>34.126512499999997</v>
      </c>
      <c r="P110" s="7"/>
      <c r="Q110" s="10"/>
      <c r="R110" s="11"/>
      <c r="S110" s="11"/>
      <c r="T110" s="26"/>
      <c r="U110" s="28">
        <f t="shared" si="3"/>
        <v>3.7097368421052628</v>
      </c>
    </row>
    <row r="111" spans="2:21" x14ac:dyDescent="0.25">
      <c r="B111" s="9"/>
      <c r="C111" s="17">
        <v>687.4501953125</v>
      </c>
      <c r="D111" s="18">
        <v>30.257999999999999</v>
      </c>
      <c r="E111" s="18">
        <v>38.823999999999998</v>
      </c>
      <c r="F111" s="18">
        <v>38.284999999999997</v>
      </c>
      <c r="G111" s="18">
        <v>0.69</v>
      </c>
      <c r="H111" s="18">
        <f t="shared" si="4"/>
        <v>32.332125000000005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5"/>
        <v>32.151312500000003</v>
      </c>
      <c r="P111" s="7"/>
      <c r="Q111" s="10"/>
      <c r="R111" s="11"/>
      <c r="S111" s="11"/>
      <c r="T111" s="26"/>
      <c r="U111" s="28">
        <f t="shared" si="3"/>
        <v>5.6372463768115946</v>
      </c>
    </row>
    <row r="112" spans="2:21" ht="16.5" thickBot="1" x14ac:dyDescent="0.3">
      <c r="B112" s="12"/>
      <c r="C112" s="19">
        <v>507.048828125</v>
      </c>
      <c r="D112" s="20">
        <v>28.954000000000001</v>
      </c>
      <c r="E112" s="20">
        <v>37.228000000000002</v>
      </c>
      <c r="F112" s="20">
        <v>36.679000000000002</v>
      </c>
      <c r="G112" s="20">
        <v>0.64</v>
      </c>
      <c r="H112" s="20">
        <f t="shared" si="4"/>
        <v>30.953875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5"/>
        <v>29.476912500000001</v>
      </c>
      <c r="P112" s="7"/>
      <c r="Q112" s="13"/>
      <c r="R112" s="14"/>
      <c r="S112" s="14"/>
      <c r="T112" s="27"/>
      <c r="U112" s="28">
        <f t="shared" si="3"/>
        <v>9.3143750000000001</v>
      </c>
    </row>
    <row r="113" spans="2:21" x14ac:dyDescent="0.25">
      <c r="B113" s="6" t="s">
        <v>111</v>
      </c>
      <c r="C113" s="15">
        <v>2053.8876953125</v>
      </c>
      <c r="D113" s="16">
        <v>51.366</v>
      </c>
      <c r="E113" s="16">
        <v>52.402999999999999</v>
      </c>
      <c r="F113" s="16">
        <v>52.348999999999997</v>
      </c>
      <c r="G113" s="16">
        <v>2.0699999999999998</v>
      </c>
      <c r="H113" s="16">
        <f t="shared" si="4"/>
        <v>51.618500000000004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5"/>
        <v>47.752737500000002</v>
      </c>
      <c r="P113" s="7"/>
      <c r="Q113" s="8">
        <f>bdrate(C113:C116,D113:D116,J113:J116,K113:K116)</f>
        <v>-9.2131338745856217E-2</v>
      </c>
      <c r="R113" s="8">
        <f>bdrate(C113:C116,E113:E116,J113:J116,L113:L116)</f>
        <v>-9.3607820649048268E-2</v>
      </c>
      <c r="S113" s="8">
        <f>bdrate(C113:C116,F113:F116,J113:J116,M113:M116)</f>
        <v>-0.11218931573595992</v>
      </c>
      <c r="T113" s="25">
        <f>bdrate(C113:C116,H113:H116,J113:J116,O113:O116)</f>
        <v>-9.4364458428697451E-2</v>
      </c>
      <c r="U113" s="28">
        <f t="shared" si="3"/>
        <v>1.3395652173913046</v>
      </c>
    </row>
    <row r="114" spans="2:21" x14ac:dyDescent="0.25">
      <c r="B114" s="9"/>
      <c r="C114" s="17">
        <v>1440.5029296875</v>
      </c>
      <c r="D114" s="18">
        <v>47.868000000000002</v>
      </c>
      <c r="E114" s="18">
        <v>49.054000000000002</v>
      </c>
      <c r="F114" s="18">
        <v>48.932000000000002</v>
      </c>
      <c r="G114" s="18">
        <v>2.23</v>
      </c>
      <c r="H114" s="18">
        <f t="shared" si="4"/>
        <v>48.149250000000009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5"/>
        <v>46.315149999999996</v>
      </c>
      <c r="P114" s="7"/>
      <c r="Q114" s="10"/>
      <c r="R114" s="11"/>
      <c r="S114" s="11"/>
      <c r="T114" s="26"/>
      <c r="U114" s="28">
        <f t="shared" si="3"/>
        <v>1.5684753363228698</v>
      </c>
    </row>
    <row r="115" spans="2:21" x14ac:dyDescent="0.25">
      <c r="B115" s="9"/>
      <c r="C115" s="17">
        <v>894.83203125</v>
      </c>
      <c r="D115" s="18">
        <v>45.154000000000003</v>
      </c>
      <c r="E115" s="18">
        <v>46.551000000000002</v>
      </c>
      <c r="F115" s="18">
        <v>46.357999999999997</v>
      </c>
      <c r="G115" s="18">
        <v>2.35</v>
      </c>
      <c r="H115" s="18">
        <f t="shared" si="4"/>
        <v>45.479125000000003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5"/>
        <v>43.768112499999994</v>
      </c>
      <c r="P115" s="7"/>
      <c r="Q115" s="10"/>
      <c r="R115" s="11"/>
      <c r="S115" s="11"/>
      <c r="T115" s="26"/>
      <c r="U115" s="28">
        <f t="shared" si="3"/>
        <v>2.0097021276595743</v>
      </c>
    </row>
    <row r="116" spans="2:21" ht="16.5" thickBot="1" x14ac:dyDescent="0.3">
      <c r="B116" s="12"/>
      <c r="C116" s="19">
        <v>481.9052734375</v>
      </c>
      <c r="D116" s="20">
        <v>41.335999999999999</v>
      </c>
      <c r="E116" s="20">
        <v>43.110999999999997</v>
      </c>
      <c r="F116" s="20">
        <v>42.856999999999999</v>
      </c>
      <c r="G116" s="20">
        <v>2.0299999999999998</v>
      </c>
      <c r="H116" s="20">
        <f t="shared" si="4"/>
        <v>41.748000000000005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5"/>
        <v>39.342387500000001</v>
      </c>
      <c r="P116" s="7"/>
      <c r="Q116" s="13"/>
      <c r="R116" s="14"/>
      <c r="S116" s="14"/>
      <c r="T116" s="27"/>
      <c r="U116" s="28">
        <f t="shared" si="3"/>
        <v>3.8705911330049267</v>
      </c>
    </row>
    <row r="117" spans="2:21" x14ac:dyDescent="0.25">
      <c r="B117" s="6" t="s">
        <v>112</v>
      </c>
      <c r="C117" s="15">
        <v>1465.3369140625</v>
      </c>
      <c r="D117" s="16">
        <v>56.548000000000002</v>
      </c>
      <c r="E117" s="16">
        <v>58.872999999999998</v>
      </c>
      <c r="F117" s="16">
        <v>58.774000000000001</v>
      </c>
      <c r="G117" s="16">
        <v>1.97</v>
      </c>
      <c r="H117" s="16">
        <f t="shared" si="4"/>
        <v>57.116875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5"/>
        <v>48.332837499999997</v>
      </c>
      <c r="P117" s="7"/>
      <c r="Q117" s="8">
        <f>bdrate(C117:C120,D117:D120,J117:J120,K117:K120)</f>
        <v>0.51805611004356522</v>
      </c>
      <c r="R117" s="8">
        <f>bdrate(C117:C120,E117:E120,J117:J120,L117:L120)</f>
        <v>0.47380501217186333</v>
      </c>
      <c r="S117" s="8">
        <f>bdrate(C117:C120,F117:F120,J117:J120,M117:M120)</f>
        <v>0.44553200677684512</v>
      </c>
      <c r="T117" s="25">
        <f>bdrate(C117:C120,H117:H120,J117:J120,O117:O120)</f>
        <v>0.50369139383774342</v>
      </c>
      <c r="U117" s="28">
        <f t="shared" si="3"/>
        <v>2.121979695431472</v>
      </c>
    </row>
    <row r="118" spans="2:21" x14ac:dyDescent="0.25">
      <c r="B118" s="9"/>
      <c r="C118" s="17">
        <v>1101.642578125</v>
      </c>
      <c r="D118" s="18">
        <v>52.412999999999997</v>
      </c>
      <c r="E118" s="18">
        <v>54.648000000000003</v>
      </c>
      <c r="F118" s="18">
        <v>54.679000000000002</v>
      </c>
      <c r="G118" s="18">
        <v>2</v>
      </c>
      <c r="H118" s="18">
        <f t="shared" si="4"/>
        <v>52.975624999999994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5"/>
        <v>47.125300000000003</v>
      </c>
      <c r="P118" s="7"/>
      <c r="Q118" s="10"/>
      <c r="R118" s="11"/>
      <c r="S118" s="11"/>
      <c r="T118" s="26"/>
      <c r="U118" s="28">
        <f t="shared" si="3"/>
        <v>2.6536499999999998</v>
      </c>
    </row>
    <row r="119" spans="2:21" x14ac:dyDescent="0.25">
      <c r="B119" s="9"/>
      <c r="C119" s="17">
        <v>769.6884765625</v>
      </c>
      <c r="D119" s="18">
        <v>53.069000000000003</v>
      </c>
      <c r="E119" s="18">
        <v>55.661999999999999</v>
      </c>
      <c r="F119" s="18">
        <v>55.512999999999998</v>
      </c>
      <c r="G119" s="18">
        <v>2.09</v>
      </c>
      <c r="H119" s="18">
        <f t="shared" si="4"/>
        <v>53.698624999999993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5"/>
        <v>43.931874999999998</v>
      </c>
      <c r="P119" s="7"/>
      <c r="Q119" s="10"/>
      <c r="R119" s="11"/>
      <c r="S119" s="11"/>
      <c r="T119" s="26"/>
      <c r="U119" s="28">
        <f t="shared" si="3"/>
        <v>3.1230143540669864</v>
      </c>
    </row>
    <row r="120" spans="2:21" ht="16.5" thickBot="1" x14ac:dyDescent="0.3">
      <c r="B120" s="12"/>
      <c r="C120" s="19">
        <v>451.4189453125</v>
      </c>
      <c r="D120" s="20">
        <v>42.23</v>
      </c>
      <c r="E120" s="20">
        <v>44.646999999999998</v>
      </c>
      <c r="F120" s="20">
        <v>44.853999999999999</v>
      </c>
      <c r="G120" s="20">
        <v>1.7</v>
      </c>
      <c r="H120" s="20">
        <f t="shared" si="4"/>
        <v>42.860124999999996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5"/>
        <v>39.841587499999996</v>
      </c>
      <c r="P120" s="7"/>
      <c r="Q120" s="13"/>
      <c r="R120" s="14"/>
      <c r="S120" s="14"/>
      <c r="T120" s="27"/>
      <c r="U120" s="28">
        <f t="shared" si="3"/>
        <v>6.5008235294117656</v>
      </c>
    </row>
    <row r="121" spans="2:21" x14ac:dyDescent="0.25">
      <c r="B121" s="6" t="s">
        <v>113</v>
      </c>
      <c r="C121" s="29">
        <v>1684.67578125</v>
      </c>
      <c r="D121" s="30">
        <v>34.386000000000003</v>
      </c>
      <c r="E121" s="30">
        <v>37.585999999999999</v>
      </c>
      <c r="F121" s="30">
        <v>36.378</v>
      </c>
      <c r="G121" s="16">
        <v>0.87</v>
      </c>
      <c r="H121" s="16">
        <f t="shared" si="4"/>
        <v>35.035000000000004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5"/>
        <v>34.809824999999996</v>
      </c>
      <c r="P121" s="7"/>
      <c r="Q121" s="8">
        <f>bdrate(C121:C124,D121:D124,J121:J124,K121:K124)</f>
        <v>-1.9451554476797028E-3</v>
      </c>
      <c r="R121" s="8">
        <f>bdrate(C121:C124,E121:E124,J121:J124,L121:L124)</f>
        <v>-0.35730231158430115</v>
      </c>
      <c r="S121" s="8">
        <f>bdrate(C121:C124,F121:F124,J121:J124,M121:M124)</f>
        <v>-0.36390759562176977</v>
      </c>
      <c r="T121" s="25">
        <f>bdrate(C121:C124,H121:H124,J121:J124,O121:O124)</f>
        <v>-7.9281095310384631E-2</v>
      </c>
      <c r="U121" s="28">
        <f t="shared" si="3"/>
        <v>3.5255172413793101</v>
      </c>
    </row>
    <row r="122" spans="2:21" x14ac:dyDescent="0.25">
      <c r="B122" s="9"/>
      <c r="C122" s="31">
        <v>1132.5654296875</v>
      </c>
      <c r="D122" s="32">
        <v>32.533999999999999</v>
      </c>
      <c r="E122" s="32">
        <v>36.170999999999999</v>
      </c>
      <c r="F122" s="32">
        <v>34.901000000000003</v>
      </c>
      <c r="G122" s="18">
        <v>0.81</v>
      </c>
      <c r="H122" s="18">
        <f t="shared" si="4"/>
        <v>33.284500000000001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5"/>
        <v>33.093837499999999</v>
      </c>
      <c r="P122" s="7"/>
      <c r="Q122" s="10"/>
      <c r="R122" s="11"/>
      <c r="S122" s="11"/>
      <c r="T122" s="26"/>
      <c r="U122" s="28">
        <f t="shared" si="3"/>
        <v>4.6525925925925922</v>
      </c>
    </row>
    <row r="123" spans="2:21" x14ac:dyDescent="0.25">
      <c r="B123" s="9"/>
      <c r="C123" s="31">
        <v>719.0146484375</v>
      </c>
      <c r="D123" s="32">
        <v>30.516999999999999</v>
      </c>
      <c r="E123" s="32">
        <v>34.610999999999997</v>
      </c>
      <c r="F123" s="32">
        <v>33.279000000000003</v>
      </c>
      <c r="G123" s="18">
        <v>0.72</v>
      </c>
      <c r="H123" s="18">
        <f t="shared" si="4"/>
        <v>31.373999999999999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5"/>
        <v>31.0179875</v>
      </c>
      <c r="P123" s="7"/>
      <c r="Q123" s="10"/>
      <c r="R123" s="11"/>
      <c r="S123" s="11"/>
      <c r="T123" s="26"/>
      <c r="U123" s="28">
        <f t="shared" si="3"/>
        <v>6.9530555555555571</v>
      </c>
    </row>
    <row r="124" spans="2:21" ht="16.5" thickBot="1" x14ac:dyDescent="0.3">
      <c r="B124" s="12"/>
      <c r="C124" s="33">
        <v>500.4169921875</v>
      </c>
      <c r="D124" s="34">
        <v>28.849</v>
      </c>
      <c r="E124" s="34">
        <v>33.186999999999998</v>
      </c>
      <c r="F124" s="34">
        <v>31.861999999999998</v>
      </c>
      <c r="G124" s="20">
        <v>0.63</v>
      </c>
      <c r="H124" s="20">
        <f t="shared" si="4"/>
        <v>29.767875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5"/>
        <v>28.623137499999999</v>
      </c>
      <c r="P124" s="7"/>
      <c r="Q124" s="13"/>
      <c r="R124" s="14"/>
      <c r="S124" s="14"/>
      <c r="T124" s="27"/>
      <c r="U124" s="28">
        <f t="shared" si="3"/>
        <v>11.570952380952381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-2.793267512350444E-2</v>
      </c>
      <c r="R125" s="21">
        <f>AVERAGE(R9:R124)</f>
        <v>-0.18826176981811865</v>
      </c>
      <c r="S125" s="21">
        <f>AVERAGE(S9:S124)</f>
        <v>-0.19674504063373585</v>
      </c>
      <c r="T125" s="21">
        <f>AVERAGE(T9:T124)</f>
        <v>-6.1597260014733139E-2</v>
      </c>
      <c r="U125" s="21">
        <f>AVERAGE(U9:U124)</f>
        <v>7.8593523960672602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X265vsQY265_offline_veryfast</vt:lpstr>
      <vt:lpstr>X265vsQY265_offline_slow</vt:lpstr>
      <vt:lpstr>X265vsQY265_offline_veryslow</vt:lpstr>
      <vt:lpstr>VP9vsQY265_offline_veryfast</vt:lpstr>
      <vt:lpstr>VP9vsQY265_offline_slow</vt:lpstr>
      <vt:lpstr>VP9vsQY265_offline_veryslow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2017-04-27T03:10:41Z</dcterms:modified>
</cp:coreProperties>
</file>