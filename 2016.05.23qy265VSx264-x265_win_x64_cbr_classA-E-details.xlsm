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c265codecnew\"/>
    </mc:Choice>
  </mc:AlternateContent>
  <bookViews>
    <workbookView xWindow="0" yWindow="0" windowWidth="20490" windowHeight="7770" tabRatio="813" firstSheet="1" activeTab="2"/>
  </bookViews>
  <sheets>
    <sheet name="Intra All-I" sheetId="69" state="hidden" r:id="rId1"/>
    <sheet name="Summary" sheetId="135" r:id="rId2"/>
    <sheet name="X264vsQY265_offline_veryfast" sheetId="112" r:id="rId3"/>
    <sheet name="X264vsQY265_offline_slow" sheetId="118" r:id="rId4"/>
    <sheet name="X264vsQY265_offline_placebo" sheetId="144" r:id="rId5"/>
    <sheet name="X265vsQY265_offline_ultrafast" sheetId="128" r:id="rId6"/>
    <sheet name="X265vsQY265_offline_slow" sheetId="126" r:id="rId7"/>
    <sheet name="X265vsQY265_offline_placebo" sheetId="153" r:id="rId8"/>
    <sheet name="Sheet1" sheetId="154" r:id="rId9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G73" i="135" l="1"/>
  <c r="M73" i="135"/>
  <c r="G72" i="135"/>
  <c r="M72" i="135"/>
  <c r="T69" i="144"/>
  <c r="T73" i="144"/>
  <c r="T77" i="144"/>
  <c r="F72" i="135"/>
  <c r="T69" i="153"/>
  <c r="T73" i="153"/>
  <c r="T77" i="153"/>
  <c r="L72" i="135"/>
  <c r="S69" i="144"/>
  <c r="S73" i="144"/>
  <c r="S77" i="144"/>
  <c r="E72" i="135"/>
  <c r="S69" i="153"/>
  <c r="S73" i="153"/>
  <c r="S77" i="153"/>
  <c r="K72" i="135"/>
  <c r="R69" i="144"/>
  <c r="R73" i="144"/>
  <c r="R77" i="144"/>
  <c r="D72" i="135"/>
  <c r="R69" i="153"/>
  <c r="R73" i="153"/>
  <c r="R77" i="153"/>
  <c r="J72" i="135"/>
  <c r="Q69" i="144"/>
  <c r="Q73" i="144"/>
  <c r="Q77" i="144"/>
  <c r="C72" i="135"/>
  <c r="Q69" i="153"/>
  <c r="Q73" i="153"/>
  <c r="Q77" i="153"/>
  <c r="I72" i="135"/>
  <c r="G71" i="135"/>
  <c r="M71" i="135"/>
  <c r="T53" i="144"/>
  <c r="T57" i="144"/>
  <c r="T61" i="144"/>
  <c r="T65" i="144"/>
  <c r="F71" i="135"/>
  <c r="T53" i="153"/>
  <c r="T57" i="153"/>
  <c r="T61" i="153"/>
  <c r="T65" i="153"/>
  <c r="L71" i="135"/>
  <c r="S53" i="144"/>
  <c r="S57" i="144"/>
  <c r="S61" i="144"/>
  <c r="S65" i="144"/>
  <c r="E71" i="135"/>
  <c r="S53" i="153"/>
  <c r="S57" i="153"/>
  <c r="S61" i="153"/>
  <c r="S65" i="153"/>
  <c r="K71" i="135"/>
  <c r="R53" i="144"/>
  <c r="R57" i="144"/>
  <c r="R61" i="144"/>
  <c r="R65" i="144"/>
  <c r="D71" i="135"/>
  <c r="R53" i="153"/>
  <c r="R57" i="153"/>
  <c r="R61" i="153"/>
  <c r="R65" i="153"/>
  <c r="J71" i="135"/>
  <c r="Q53" i="144"/>
  <c r="Q57" i="144"/>
  <c r="Q61" i="144"/>
  <c r="Q65" i="144"/>
  <c r="C71" i="135"/>
  <c r="Q53" i="153"/>
  <c r="Q57" i="153"/>
  <c r="Q61" i="153"/>
  <c r="Q65" i="153"/>
  <c r="I71" i="135"/>
  <c r="G70" i="135"/>
  <c r="M70" i="135"/>
  <c r="T37" i="144"/>
  <c r="T41" i="144"/>
  <c r="T45" i="144"/>
  <c r="T49" i="144"/>
  <c r="F70" i="135"/>
  <c r="T37" i="153"/>
  <c r="T41" i="153"/>
  <c r="T45" i="153"/>
  <c r="T49" i="153"/>
  <c r="L70" i="135"/>
  <c r="S37" i="144"/>
  <c r="S41" i="144"/>
  <c r="S45" i="144"/>
  <c r="S49" i="144"/>
  <c r="E70" i="135"/>
  <c r="S37" i="153"/>
  <c r="S41" i="153"/>
  <c r="S45" i="153"/>
  <c r="S49" i="153"/>
  <c r="K70" i="135"/>
  <c r="R37" i="144"/>
  <c r="R41" i="144"/>
  <c r="R45" i="144"/>
  <c r="R49" i="144"/>
  <c r="D70" i="135"/>
  <c r="R37" i="153"/>
  <c r="R41" i="153"/>
  <c r="R45" i="153"/>
  <c r="R49" i="153"/>
  <c r="J70" i="135"/>
  <c r="Q37" i="144"/>
  <c r="Q41" i="144"/>
  <c r="Q45" i="144"/>
  <c r="Q49" i="144"/>
  <c r="C70" i="135"/>
  <c r="Q37" i="153"/>
  <c r="Q41" i="153"/>
  <c r="Q45" i="153"/>
  <c r="Q49" i="153"/>
  <c r="I70" i="135"/>
  <c r="G69" i="135"/>
  <c r="M69" i="135"/>
  <c r="T17" i="144"/>
  <c r="T21" i="144"/>
  <c r="T25" i="144"/>
  <c r="T29" i="144"/>
  <c r="T33" i="144"/>
  <c r="F69" i="135"/>
  <c r="T17" i="153"/>
  <c r="T21" i="153"/>
  <c r="T25" i="153"/>
  <c r="T29" i="153"/>
  <c r="T33" i="153"/>
  <c r="L69" i="135"/>
  <c r="S17" i="144"/>
  <c r="S21" i="144"/>
  <c r="S25" i="144"/>
  <c r="S29" i="144"/>
  <c r="S33" i="144"/>
  <c r="E69" i="135"/>
  <c r="S17" i="153"/>
  <c r="S21" i="153"/>
  <c r="S25" i="153"/>
  <c r="S29" i="153"/>
  <c r="S33" i="153"/>
  <c r="K69" i="135"/>
  <c r="R17" i="144"/>
  <c r="R21" i="144"/>
  <c r="R25" i="144"/>
  <c r="R29" i="144"/>
  <c r="R33" i="144"/>
  <c r="D69" i="135"/>
  <c r="R17" i="153"/>
  <c r="R21" i="153"/>
  <c r="R25" i="153"/>
  <c r="R29" i="153"/>
  <c r="R33" i="153"/>
  <c r="J69" i="135"/>
  <c r="Q17" i="144"/>
  <c r="Q21" i="144"/>
  <c r="Q25" i="144"/>
  <c r="Q29" i="144"/>
  <c r="Q33" i="144"/>
  <c r="C69" i="135"/>
  <c r="Q17" i="153"/>
  <c r="Q21" i="153"/>
  <c r="Q25" i="153"/>
  <c r="Q29" i="153"/>
  <c r="Q33" i="153"/>
  <c r="I69" i="135"/>
  <c r="G68" i="135"/>
  <c r="M68" i="135"/>
  <c r="T9" i="144"/>
  <c r="T13" i="144"/>
  <c r="F68" i="135"/>
  <c r="T9" i="153"/>
  <c r="T13" i="153"/>
  <c r="L68" i="135"/>
  <c r="S9" i="144"/>
  <c r="S13" i="144"/>
  <c r="E68" i="135"/>
  <c r="S9" i="153"/>
  <c r="S13" i="153"/>
  <c r="K68" i="135"/>
  <c r="R9" i="144"/>
  <c r="R13" i="144"/>
  <c r="D68" i="135"/>
  <c r="R9" i="153"/>
  <c r="R13" i="153"/>
  <c r="J68" i="135"/>
  <c r="Q9" i="144"/>
  <c r="Q13" i="144"/>
  <c r="C68" i="135"/>
  <c r="Q9" i="153"/>
  <c r="Q13" i="153"/>
  <c r="I68" i="135"/>
  <c r="Q9" i="128"/>
  <c r="Q13" i="128"/>
  <c r="I3" i="135"/>
  <c r="R9" i="128"/>
  <c r="R13" i="128"/>
  <c r="J3" i="135"/>
  <c r="S9" i="128"/>
  <c r="S13" i="128"/>
  <c r="K3" i="135"/>
  <c r="T9" i="128"/>
  <c r="T13" i="128"/>
  <c r="L3" i="135"/>
  <c r="M3" i="135"/>
  <c r="Q17" i="128"/>
  <c r="Q21" i="128"/>
  <c r="Q25" i="128"/>
  <c r="Q29" i="128"/>
  <c r="Q33" i="128"/>
  <c r="I4" i="135"/>
  <c r="R17" i="128"/>
  <c r="R21" i="128"/>
  <c r="R25" i="128"/>
  <c r="R29" i="128"/>
  <c r="R33" i="128"/>
  <c r="J4" i="135"/>
  <c r="S17" i="128"/>
  <c r="S21" i="128"/>
  <c r="S25" i="128"/>
  <c r="S29" i="128"/>
  <c r="S33" i="128"/>
  <c r="K4" i="135"/>
  <c r="T17" i="128"/>
  <c r="T21" i="128"/>
  <c r="T25" i="128"/>
  <c r="T29" i="128"/>
  <c r="T33" i="128"/>
  <c r="L4" i="135"/>
  <c r="M4" i="135"/>
  <c r="Q37" i="128"/>
  <c r="Q41" i="128"/>
  <c r="Q45" i="128"/>
  <c r="Q49" i="128"/>
  <c r="I5" i="135"/>
  <c r="R37" i="128"/>
  <c r="R41" i="128"/>
  <c r="R45" i="128"/>
  <c r="R49" i="128"/>
  <c r="J5" i="135"/>
  <c r="S37" i="128"/>
  <c r="S41" i="128"/>
  <c r="S45" i="128"/>
  <c r="S49" i="128"/>
  <c r="K5" i="135"/>
  <c r="T37" i="128"/>
  <c r="T41" i="128"/>
  <c r="T45" i="128"/>
  <c r="T49" i="128"/>
  <c r="L5" i="135"/>
  <c r="M5" i="135"/>
  <c r="Q53" i="128"/>
  <c r="Q57" i="128"/>
  <c r="Q61" i="128"/>
  <c r="Q65" i="128"/>
  <c r="I6" i="135"/>
  <c r="R53" i="128"/>
  <c r="R57" i="128"/>
  <c r="R61" i="128"/>
  <c r="R65" i="128"/>
  <c r="J6" i="135"/>
  <c r="S53" i="128"/>
  <c r="S57" i="128"/>
  <c r="S61" i="128"/>
  <c r="S65" i="128"/>
  <c r="K6" i="135"/>
  <c r="T53" i="128"/>
  <c r="T57" i="128"/>
  <c r="T61" i="128"/>
  <c r="T65" i="128"/>
  <c r="L6" i="135"/>
  <c r="M6" i="135"/>
  <c r="Q69" i="128"/>
  <c r="Q73" i="128"/>
  <c r="Q77" i="128"/>
  <c r="I7" i="135"/>
  <c r="R69" i="128"/>
  <c r="R73" i="128"/>
  <c r="R77" i="128"/>
  <c r="J7" i="135"/>
  <c r="S69" i="128"/>
  <c r="S73" i="128"/>
  <c r="S77" i="128"/>
  <c r="K7" i="135"/>
  <c r="T69" i="128"/>
  <c r="T73" i="128"/>
  <c r="T77" i="128"/>
  <c r="L7" i="135"/>
  <c r="M7" i="135"/>
  <c r="Q81" i="128"/>
  <c r="Q85" i="128"/>
  <c r="Q89" i="128"/>
  <c r="Q93" i="128"/>
  <c r="I8" i="135"/>
  <c r="R81" i="128"/>
  <c r="R85" i="128"/>
  <c r="R89" i="128"/>
  <c r="R93" i="128"/>
  <c r="J8" i="135"/>
  <c r="S81" i="128"/>
  <c r="S85" i="128"/>
  <c r="S89" i="128"/>
  <c r="S93" i="128"/>
  <c r="K8" i="135"/>
  <c r="T81" i="128"/>
  <c r="T85" i="128"/>
  <c r="T89" i="128"/>
  <c r="T93" i="128"/>
  <c r="L8" i="135"/>
  <c r="M8" i="135"/>
  <c r="Q97" i="128"/>
  <c r="Q101" i="128"/>
  <c r="Q105" i="128"/>
  <c r="Q109" i="128"/>
  <c r="Q113" i="128"/>
  <c r="Q117" i="128"/>
  <c r="Q121" i="128"/>
  <c r="Q125" i="128"/>
  <c r="Q129" i="128"/>
  <c r="Q133" i="128"/>
  <c r="Q137" i="128"/>
  <c r="Q141" i="128"/>
  <c r="I9" i="135"/>
  <c r="R97" i="128"/>
  <c r="R101" i="128"/>
  <c r="R105" i="128"/>
  <c r="R109" i="128"/>
  <c r="R113" i="128"/>
  <c r="R117" i="128"/>
  <c r="R121" i="128"/>
  <c r="R125" i="128"/>
  <c r="R129" i="128"/>
  <c r="R133" i="128"/>
  <c r="R137" i="128"/>
  <c r="R141" i="128"/>
  <c r="J9" i="135"/>
  <c r="S97" i="128"/>
  <c r="S101" i="128"/>
  <c r="S105" i="128"/>
  <c r="S109" i="128"/>
  <c r="S113" i="128"/>
  <c r="S117" i="128"/>
  <c r="S121" i="128"/>
  <c r="S125" i="128"/>
  <c r="S129" i="128"/>
  <c r="S133" i="128"/>
  <c r="S137" i="128"/>
  <c r="S141" i="128"/>
  <c r="K9" i="135"/>
  <c r="T97" i="128"/>
  <c r="T101" i="128"/>
  <c r="T105" i="128"/>
  <c r="T109" i="128"/>
  <c r="T113" i="128"/>
  <c r="T117" i="128"/>
  <c r="T121" i="128"/>
  <c r="T125" i="128"/>
  <c r="T129" i="128"/>
  <c r="T133" i="128"/>
  <c r="T137" i="128"/>
  <c r="T141" i="128"/>
  <c r="L9" i="135"/>
  <c r="M9" i="135"/>
  <c r="Q145" i="128"/>
  <c r="Q149" i="128"/>
  <c r="Q153" i="128"/>
  <c r="Q157" i="128"/>
  <c r="Q161" i="128"/>
  <c r="Q165" i="128"/>
  <c r="Q169" i="128"/>
  <c r="Q173" i="128"/>
  <c r="Q177" i="128"/>
  <c r="Q181" i="128"/>
  <c r="Q185" i="128"/>
  <c r="Q189" i="128"/>
  <c r="I10" i="135"/>
  <c r="R145" i="128"/>
  <c r="R149" i="128"/>
  <c r="R153" i="128"/>
  <c r="R157" i="128"/>
  <c r="R161" i="128"/>
  <c r="R165" i="128"/>
  <c r="R169" i="128"/>
  <c r="R173" i="128"/>
  <c r="R177" i="128"/>
  <c r="R181" i="128"/>
  <c r="R185" i="128"/>
  <c r="R189" i="128"/>
  <c r="J10" i="135"/>
  <c r="S145" i="128"/>
  <c r="S149" i="128"/>
  <c r="S153" i="128"/>
  <c r="S157" i="128"/>
  <c r="S161" i="128"/>
  <c r="S165" i="128"/>
  <c r="S169" i="128"/>
  <c r="S173" i="128"/>
  <c r="S177" i="128"/>
  <c r="S181" i="128"/>
  <c r="S185" i="128"/>
  <c r="S189" i="128"/>
  <c r="K10" i="135"/>
  <c r="T145" i="128"/>
  <c r="T149" i="128"/>
  <c r="T153" i="128"/>
  <c r="T157" i="128"/>
  <c r="T161" i="128"/>
  <c r="T165" i="128"/>
  <c r="T169" i="128"/>
  <c r="T173" i="128"/>
  <c r="T177" i="128"/>
  <c r="T181" i="128"/>
  <c r="T185" i="128"/>
  <c r="T189" i="128"/>
  <c r="L10" i="135"/>
  <c r="M10" i="135"/>
  <c r="Q193" i="128"/>
  <c r="Q197" i="128"/>
  <c r="Q201" i="128"/>
  <c r="Q205" i="128"/>
  <c r="Q209" i="128"/>
  <c r="Q213" i="128"/>
  <c r="Q217" i="128"/>
  <c r="Q221" i="128"/>
  <c r="Q225" i="128"/>
  <c r="Q229" i="128"/>
  <c r="Q233" i="128"/>
  <c r="Q237" i="128"/>
  <c r="Q241" i="128"/>
  <c r="Q245" i="128"/>
  <c r="Q249" i="128"/>
  <c r="Q253" i="128"/>
  <c r="Q257" i="128"/>
  <c r="I11" i="135"/>
  <c r="R193" i="128"/>
  <c r="R197" i="128"/>
  <c r="R201" i="128"/>
  <c r="R205" i="128"/>
  <c r="R209" i="128"/>
  <c r="R213" i="128"/>
  <c r="R217" i="128"/>
  <c r="R221" i="128"/>
  <c r="R225" i="128"/>
  <c r="R229" i="128"/>
  <c r="R233" i="128"/>
  <c r="R237" i="128"/>
  <c r="R241" i="128"/>
  <c r="R245" i="128"/>
  <c r="R249" i="128"/>
  <c r="R253" i="128"/>
  <c r="R257" i="128"/>
  <c r="J11" i="135"/>
  <c r="S193" i="128"/>
  <c r="S197" i="128"/>
  <c r="S201" i="128"/>
  <c r="S205" i="128"/>
  <c r="S209" i="128"/>
  <c r="S213" i="128"/>
  <c r="S217" i="128"/>
  <c r="S221" i="128"/>
  <c r="S225" i="128"/>
  <c r="S229" i="128"/>
  <c r="S233" i="128"/>
  <c r="S237" i="128"/>
  <c r="S241" i="128"/>
  <c r="S245" i="128"/>
  <c r="S249" i="128"/>
  <c r="S253" i="128"/>
  <c r="S257" i="128"/>
  <c r="K11" i="135"/>
  <c r="T193" i="128"/>
  <c r="T197" i="128"/>
  <c r="T201" i="128"/>
  <c r="T205" i="128"/>
  <c r="T209" i="128"/>
  <c r="T213" i="128"/>
  <c r="T217" i="128"/>
  <c r="T221" i="128"/>
  <c r="T225" i="128"/>
  <c r="T229" i="128"/>
  <c r="T233" i="128"/>
  <c r="T237" i="128"/>
  <c r="T241" i="128"/>
  <c r="T245" i="128"/>
  <c r="T249" i="128"/>
  <c r="T253" i="128"/>
  <c r="T257" i="128"/>
  <c r="L11" i="135"/>
  <c r="M11" i="135"/>
  <c r="Q261" i="128"/>
  <c r="I12" i="135"/>
  <c r="R261" i="128"/>
  <c r="J12" i="135"/>
  <c r="S261" i="128"/>
  <c r="K12" i="135"/>
  <c r="T261" i="128"/>
  <c r="L12" i="135"/>
  <c r="M12" i="135"/>
  <c r="I13" i="135"/>
  <c r="J13" i="135"/>
  <c r="K13" i="135"/>
  <c r="L13" i="135"/>
  <c r="M13" i="135"/>
  <c r="I14" i="135"/>
  <c r="J14" i="135"/>
  <c r="K14" i="135"/>
  <c r="L14" i="135"/>
  <c r="M14" i="135"/>
  <c r="I15" i="135"/>
  <c r="J15" i="135"/>
  <c r="K15" i="135"/>
  <c r="L15" i="135"/>
  <c r="M15" i="135"/>
  <c r="I16" i="135"/>
  <c r="J16" i="135"/>
  <c r="K16" i="135"/>
  <c r="L16" i="135"/>
  <c r="M16" i="135"/>
  <c r="I17" i="135"/>
  <c r="J17" i="135"/>
  <c r="K17" i="135"/>
  <c r="L17" i="135"/>
  <c r="M17" i="135"/>
  <c r="I18" i="135"/>
  <c r="J18" i="135"/>
  <c r="K18" i="135"/>
  <c r="L18" i="135"/>
  <c r="M18" i="135"/>
  <c r="I19" i="135"/>
  <c r="J19" i="135"/>
  <c r="K19" i="135"/>
  <c r="L19" i="135"/>
  <c r="M19" i="135"/>
  <c r="I20" i="135"/>
  <c r="J20" i="135"/>
  <c r="K20" i="135"/>
  <c r="L20" i="135"/>
  <c r="M20" i="135"/>
  <c r="I21" i="135"/>
  <c r="J21" i="135"/>
  <c r="K21" i="135"/>
  <c r="L21" i="135"/>
  <c r="M21" i="135"/>
  <c r="I22" i="135"/>
  <c r="J22" i="135"/>
  <c r="K22" i="135"/>
  <c r="L22" i="135"/>
  <c r="M22" i="135"/>
  <c r="Q267" i="128"/>
  <c r="Q271" i="128"/>
  <c r="I23" i="135"/>
  <c r="R267" i="128"/>
  <c r="R271" i="128"/>
  <c r="J23" i="135"/>
  <c r="S267" i="128"/>
  <c r="S271" i="128"/>
  <c r="K23" i="135"/>
  <c r="T267" i="128"/>
  <c r="T271" i="128"/>
  <c r="L23" i="135"/>
  <c r="M23" i="135"/>
  <c r="Q275" i="128"/>
  <c r="Q279" i="128"/>
  <c r="Q283" i="128"/>
  <c r="Q287" i="128"/>
  <c r="Q291" i="128"/>
  <c r="I24" i="135"/>
  <c r="R275" i="128"/>
  <c r="R279" i="128"/>
  <c r="R283" i="128"/>
  <c r="R287" i="128"/>
  <c r="R291" i="128"/>
  <c r="J24" i="135"/>
  <c r="S275" i="128"/>
  <c r="S279" i="128"/>
  <c r="S283" i="128"/>
  <c r="S287" i="128"/>
  <c r="S291" i="128"/>
  <c r="K24" i="135"/>
  <c r="T275" i="128"/>
  <c r="T279" i="128"/>
  <c r="T283" i="128"/>
  <c r="T287" i="128"/>
  <c r="T291" i="128"/>
  <c r="L24" i="135"/>
  <c r="M24" i="135"/>
  <c r="Q295" i="128"/>
  <c r="Q299" i="128"/>
  <c r="Q303" i="128"/>
  <c r="Q307" i="128"/>
  <c r="I25" i="135"/>
  <c r="R295" i="128"/>
  <c r="R299" i="128"/>
  <c r="R303" i="128"/>
  <c r="R307" i="128"/>
  <c r="J25" i="135"/>
  <c r="S295" i="128"/>
  <c r="S299" i="128"/>
  <c r="S303" i="128"/>
  <c r="S307" i="128"/>
  <c r="K25" i="135"/>
  <c r="T295" i="128"/>
  <c r="T299" i="128"/>
  <c r="T303" i="128"/>
  <c r="T307" i="128"/>
  <c r="L25" i="135"/>
  <c r="M25" i="135"/>
  <c r="Q311" i="128"/>
  <c r="Q315" i="128"/>
  <c r="Q319" i="128"/>
  <c r="Q323" i="128"/>
  <c r="I26" i="135"/>
  <c r="R311" i="128"/>
  <c r="R315" i="128"/>
  <c r="R319" i="128"/>
  <c r="R323" i="128"/>
  <c r="J26" i="135"/>
  <c r="S311" i="128"/>
  <c r="S315" i="128"/>
  <c r="S319" i="128"/>
  <c r="S323" i="128"/>
  <c r="K26" i="135"/>
  <c r="T311" i="128"/>
  <c r="T315" i="128"/>
  <c r="T319" i="128"/>
  <c r="T323" i="128"/>
  <c r="L26" i="135"/>
  <c r="M26" i="135"/>
  <c r="Q327" i="128"/>
  <c r="Q331" i="128"/>
  <c r="Q335" i="128"/>
  <c r="I27" i="135"/>
  <c r="R327" i="128"/>
  <c r="R331" i="128"/>
  <c r="R335" i="128"/>
  <c r="J27" i="135"/>
  <c r="S327" i="128"/>
  <c r="S331" i="128"/>
  <c r="S335" i="128"/>
  <c r="K27" i="135"/>
  <c r="T327" i="128"/>
  <c r="T331" i="128"/>
  <c r="T335" i="128"/>
  <c r="L27" i="135"/>
  <c r="M27" i="135"/>
  <c r="Q339" i="128"/>
  <c r="Q343" i="128"/>
  <c r="Q347" i="128"/>
  <c r="Q351" i="128"/>
  <c r="I28" i="135"/>
  <c r="R339" i="128"/>
  <c r="R343" i="128"/>
  <c r="R347" i="128"/>
  <c r="R351" i="128"/>
  <c r="J28" i="135"/>
  <c r="S339" i="128"/>
  <c r="S343" i="128"/>
  <c r="S347" i="128"/>
  <c r="S351" i="128"/>
  <c r="K28" i="135"/>
  <c r="T339" i="128"/>
  <c r="T343" i="128"/>
  <c r="T347" i="128"/>
  <c r="T351" i="128"/>
  <c r="L28" i="135"/>
  <c r="M28" i="135"/>
  <c r="Q355" i="128"/>
  <c r="Q359" i="128"/>
  <c r="Q363" i="128"/>
  <c r="Q367" i="128"/>
  <c r="Q371" i="128"/>
  <c r="Q375" i="128"/>
  <c r="Q379" i="128"/>
  <c r="Q383" i="128"/>
  <c r="Q387" i="128"/>
  <c r="Q391" i="128"/>
  <c r="Q395" i="128"/>
  <c r="Q399" i="128"/>
  <c r="I29" i="135"/>
  <c r="R355" i="128"/>
  <c r="R359" i="128"/>
  <c r="R363" i="128"/>
  <c r="R367" i="128"/>
  <c r="R371" i="128"/>
  <c r="R375" i="128"/>
  <c r="R379" i="128"/>
  <c r="R383" i="128"/>
  <c r="R387" i="128"/>
  <c r="R391" i="128"/>
  <c r="R395" i="128"/>
  <c r="R399" i="128"/>
  <c r="J29" i="135"/>
  <c r="S355" i="128"/>
  <c r="S359" i="128"/>
  <c r="S363" i="128"/>
  <c r="S367" i="128"/>
  <c r="S371" i="128"/>
  <c r="S375" i="128"/>
  <c r="S379" i="128"/>
  <c r="S383" i="128"/>
  <c r="S387" i="128"/>
  <c r="S391" i="128"/>
  <c r="S395" i="128"/>
  <c r="S399" i="128"/>
  <c r="K29" i="135"/>
  <c r="T355" i="128"/>
  <c r="T359" i="128"/>
  <c r="T363" i="128"/>
  <c r="T367" i="128"/>
  <c r="T371" i="128"/>
  <c r="T375" i="128"/>
  <c r="T379" i="128"/>
  <c r="T383" i="128"/>
  <c r="T387" i="128"/>
  <c r="T391" i="128"/>
  <c r="T395" i="128"/>
  <c r="T399" i="128"/>
  <c r="L29" i="135"/>
  <c r="M29" i="135"/>
  <c r="Q403" i="128"/>
  <c r="Q407" i="128"/>
  <c r="Q411" i="128"/>
  <c r="Q415" i="128"/>
  <c r="Q419" i="128"/>
  <c r="Q423" i="128"/>
  <c r="Q427" i="128"/>
  <c r="Q431" i="128"/>
  <c r="Q435" i="128"/>
  <c r="Q439" i="128"/>
  <c r="Q443" i="128"/>
  <c r="Q447" i="128"/>
  <c r="I30" i="135"/>
  <c r="R403" i="128"/>
  <c r="R407" i="128"/>
  <c r="R411" i="128"/>
  <c r="R415" i="128"/>
  <c r="R419" i="128"/>
  <c r="R423" i="128"/>
  <c r="R427" i="128"/>
  <c r="R431" i="128"/>
  <c r="R435" i="128"/>
  <c r="R439" i="128"/>
  <c r="R443" i="128"/>
  <c r="R447" i="128"/>
  <c r="J30" i="135"/>
  <c r="S403" i="128"/>
  <c r="S407" i="128"/>
  <c r="S411" i="128"/>
  <c r="S415" i="128"/>
  <c r="S419" i="128"/>
  <c r="S423" i="128"/>
  <c r="S427" i="128"/>
  <c r="S431" i="128"/>
  <c r="S435" i="128"/>
  <c r="S439" i="128"/>
  <c r="S443" i="128"/>
  <c r="S447" i="128"/>
  <c r="K30" i="135"/>
  <c r="T403" i="128"/>
  <c r="T407" i="128"/>
  <c r="T411" i="128"/>
  <c r="T415" i="128"/>
  <c r="T419" i="128"/>
  <c r="T423" i="128"/>
  <c r="T427" i="128"/>
  <c r="T431" i="128"/>
  <c r="T435" i="128"/>
  <c r="T439" i="128"/>
  <c r="T443" i="128"/>
  <c r="T447" i="128"/>
  <c r="L30" i="135"/>
  <c r="M30" i="135"/>
  <c r="Q451" i="128"/>
  <c r="Q455" i="128"/>
  <c r="Q459" i="128"/>
  <c r="Q463" i="128"/>
  <c r="Q467" i="128"/>
  <c r="Q471" i="128"/>
  <c r="Q475" i="128"/>
  <c r="Q479" i="128"/>
  <c r="Q483" i="128"/>
  <c r="Q487" i="128"/>
  <c r="Q491" i="128"/>
  <c r="Q495" i="128"/>
  <c r="Q499" i="128"/>
  <c r="Q503" i="128"/>
  <c r="Q507" i="128"/>
  <c r="Q511" i="128"/>
  <c r="Q515" i="128"/>
  <c r="I31" i="135"/>
  <c r="R451" i="128"/>
  <c r="R455" i="128"/>
  <c r="R459" i="128"/>
  <c r="R463" i="128"/>
  <c r="R467" i="128"/>
  <c r="R471" i="128"/>
  <c r="R475" i="128"/>
  <c r="R479" i="128"/>
  <c r="R483" i="128"/>
  <c r="R487" i="128"/>
  <c r="R491" i="128"/>
  <c r="R495" i="128"/>
  <c r="R499" i="128"/>
  <c r="R503" i="128"/>
  <c r="R507" i="128"/>
  <c r="R511" i="128"/>
  <c r="R515" i="128"/>
  <c r="J31" i="135"/>
  <c r="S451" i="128"/>
  <c r="S455" i="128"/>
  <c r="S459" i="128"/>
  <c r="S463" i="128"/>
  <c r="S467" i="128"/>
  <c r="S471" i="128"/>
  <c r="S475" i="128"/>
  <c r="S479" i="128"/>
  <c r="S483" i="128"/>
  <c r="S487" i="128"/>
  <c r="S491" i="128"/>
  <c r="S495" i="128"/>
  <c r="S499" i="128"/>
  <c r="S503" i="128"/>
  <c r="S507" i="128"/>
  <c r="S511" i="128"/>
  <c r="S515" i="128"/>
  <c r="K31" i="135"/>
  <c r="T451" i="128"/>
  <c r="T455" i="128"/>
  <c r="T459" i="128"/>
  <c r="T463" i="128"/>
  <c r="T467" i="128"/>
  <c r="T471" i="128"/>
  <c r="T475" i="128"/>
  <c r="T479" i="128"/>
  <c r="T483" i="128"/>
  <c r="T487" i="128"/>
  <c r="T491" i="128"/>
  <c r="T495" i="128"/>
  <c r="T499" i="128"/>
  <c r="T503" i="128"/>
  <c r="T507" i="128"/>
  <c r="T511" i="128"/>
  <c r="T515" i="128"/>
  <c r="L31" i="135"/>
  <c r="M31" i="135"/>
  <c r="Q519" i="128"/>
  <c r="I32" i="135"/>
  <c r="R519" i="128"/>
  <c r="J32" i="135"/>
  <c r="S519" i="128"/>
  <c r="K32" i="135"/>
  <c r="T519" i="128"/>
  <c r="L32" i="135"/>
  <c r="M32" i="135"/>
  <c r="Q9" i="126"/>
  <c r="Q13" i="126"/>
  <c r="I36" i="135"/>
  <c r="R9" i="126"/>
  <c r="R13" i="126"/>
  <c r="J36" i="135"/>
  <c r="S9" i="126"/>
  <c r="S13" i="126"/>
  <c r="K36" i="135"/>
  <c r="T9" i="126"/>
  <c r="T13" i="126"/>
  <c r="L36" i="135"/>
  <c r="M36" i="135"/>
  <c r="Q17" i="126"/>
  <c r="Q21" i="126"/>
  <c r="Q25" i="126"/>
  <c r="Q29" i="126"/>
  <c r="Q33" i="126"/>
  <c r="I37" i="135"/>
  <c r="R17" i="126"/>
  <c r="R21" i="126"/>
  <c r="R25" i="126"/>
  <c r="R29" i="126"/>
  <c r="R33" i="126"/>
  <c r="J37" i="135"/>
  <c r="S17" i="126"/>
  <c r="S21" i="126"/>
  <c r="S25" i="126"/>
  <c r="S29" i="126"/>
  <c r="S33" i="126"/>
  <c r="K37" i="135"/>
  <c r="T17" i="126"/>
  <c r="T21" i="126"/>
  <c r="T25" i="126"/>
  <c r="T29" i="126"/>
  <c r="T33" i="126"/>
  <c r="L37" i="135"/>
  <c r="M37" i="135"/>
  <c r="Q37" i="126"/>
  <c r="Q41" i="126"/>
  <c r="Q45" i="126"/>
  <c r="Q49" i="126"/>
  <c r="I38" i="135"/>
  <c r="R37" i="126"/>
  <c r="R41" i="126"/>
  <c r="R45" i="126"/>
  <c r="R49" i="126"/>
  <c r="J38" i="135"/>
  <c r="S37" i="126"/>
  <c r="S41" i="126"/>
  <c r="S45" i="126"/>
  <c r="S49" i="126"/>
  <c r="K38" i="135"/>
  <c r="T37" i="126"/>
  <c r="T41" i="126"/>
  <c r="T45" i="126"/>
  <c r="T49" i="126"/>
  <c r="L38" i="135"/>
  <c r="M38" i="135"/>
  <c r="Q53" i="126"/>
  <c r="Q57" i="126"/>
  <c r="Q61" i="126"/>
  <c r="Q65" i="126"/>
  <c r="I39" i="135"/>
  <c r="R53" i="126"/>
  <c r="R57" i="126"/>
  <c r="R61" i="126"/>
  <c r="R65" i="126"/>
  <c r="J39" i="135"/>
  <c r="S53" i="126"/>
  <c r="S57" i="126"/>
  <c r="S61" i="126"/>
  <c r="S65" i="126"/>
  <c r="K39" i="135"/>
  <c r="T53" i="126"/>
  <c r="T57" i="126"/>
  <c r="T61" i="126"/>
  <c r="T65" i="126"/>
  <c r="L39" i="135"/>
  <c r="M39" i="135"/>
  <c r="Q69" i="126"/>
  <c r="Q73" i="126"/>
  <c r="Q77" i="126"/>
  <c r="I40" i="135"/>
  <c r="R69" i="126"/>
  <c r="R73" i="126"/>
  <c r="R77" i="126"/>
  <c r="J40" i="135"/>
  <c r="S69" i="126"/>
  <c r="S73" i="126"/>
  <c r="S77" i="126"/>
  <c r="K40" i="135"/>
  <c r="T69" i="126"/>
  <c r="T73" i="126"/>
  <c r="T77" i="126"/>
  <c r="L40" i="135"/>
  <c r="M40" i="135"/>
  <c r="Q81" i="126"/>
  <c r="Q85" i="126"/>
  <c r="Q89" i="126"/>
  <c r="Q93" i="126"/>
  <c r="I41" i="135"/>
  <c r="R81" i="126"/>
  <c r="R85" i="126"/>
  <c r="R89" i="126"/>
  <c r="R93" i="126"/>
  <c r="J41" i="135"/>
  <c r="S81" i="126"/>
  <c r="S85" i="126"/>
  <c r="S89" i="126"/>
  <c r="S93" i="126"/>
  <c r="K41" i="135"/>
  <c r="T81" i="126"/>
  <c r="T85" i="126"/>
  <c r="T89" i="126"/>
  <c r="T93" i="126"/>
  <c r="L41" i="135"/>
  <c r="M41" i="135"/>
  <c r="Q97" i="126"/>
  <c r="Q101" i="126"/>
  <c r="Q105" i="126"/>
  <c r="Q109" i="126"/>
  <c r="Q113" i="126"/>
  <c r="Q117" i="126"/>
  <c r="Q121" i="126"/>
  <c r="Q125" i="126"/>
  <c r="Q129" i="126"/>
  <c r="Q133" i="126"/>
  <c r="Q137" i="126"/>
  <c r="Q141" i="126"/>
  <c r="I42" i="135"/>
  <c r="R97" i="126"/>
  <c r="R101" i="126"/>
  <c r="R105" i="126"/>
  <c r="R109" i="126"/>
  <c r="R113" i="126"/>
  <c r="R117" i="126"/>
  <c r="R121" i="126"/>
  <c r="R125" i="126"/>
  <c r="R129" i="126"/>
  <c r="R133" i="126"/>
  <c r="R137" i="126"/>
  <c r="R141" i="126"/>
  <c r="J42" i="135"/>
  <c r="S97" i="126"/>
  <c r="S101" i="126"/>
  <c r="S105" i="126"/>
  <c r="S109" i="126"/>
  <c r="S113" i="126"/>
  <c r="S117" i="126"/>
  <c r="S121" i="126"/>
  <c r="S125" i="126"/>
  <c r="S129" i="126"/>
  <c r="S133" i="126"/>
  <c r="S137" i="126"/>
  <c r="S141" i="126"/>
  <c r="K42" i="135"/>
  <c r="T97" i="126"/>
  <c r="T101" i="126"/>
  <c r="T105" i="126"/>
  <c r="T109" i="126"/>
  <c r="T113" i="126"/>
  <c r="T117" i="126"/>
  <c r="T121" i="126"/>
  <c r="T125" i="126"/>
  <c r="T129" i="126"/>
  <c r="T133" i="126"/>
  <c r="T137" i="126"/>
  <c r="T141" i="126"/>
  <c r="L42" i="135"/>
  <c r="M42" i="135"/>
  <c r="Q145" i="126"/>
  <c r="Q149" i="126"/>
  <c r="Q153" i="126"/>
  <c r="Q157" i="126"/>
  <c r="Q161" i="126"/>
  <c r="Q165" i="126"/>
  <c r="Q169" i="126"/>
  <c r="Q173" i="126"/>
  <c r="Q177" i="126"/>
  <c r="Q181" i="126"/>
  <c r="Q185" i="126"/>
  <c r="Q189" i="126"/>
  <c r="I43" i="135"/>
  <c r="R145" i="126"/>
  <c r="R149" i="126"/>
  <c r="R153" i="126"/>
  <c r="R157" i="126"/>
  <c r="R161" i="126"/>
  <c r="R165" i="126"/>
  <c r="R169" i="126"/>
  <c r="R173" i="126"/>
  <c r="R177" i="126"/>
  <c r="R181" i="126"/>
  <c r="R185" i="126"/>
  <c r="R189" i="126"/>
  <c r="J43" i="135"/>
  <c r="S145" i="126"/>
  <c r="S149" i="126"/>
  <c r="S153" i="126"/>
  <c r="S157" i="126"/>
  <c r="S161" i="126"/>
  <c r="S165" i="126"/>
  <c r="S169" i="126"/>
  <c r="S173" i="126"/>
  <c r="S177" i="126"/>
  <c r="S181" i="126"/>
  <c r="S185" i="126"/>
  <c r="S189" i="126"/>
  <c r="K43" i="135"/>
  <c r="T145" i="126"/>
  <c r="T149" i="126"/>
  <c r="T153" i="126"/>
  <c r="T157" i="126"/>
  <c r="T161" i="126"/>
  <c r="T165" i="126"/>
  <c r="T169" i="126"/>
  <c r="T173" i="126"/>
  <c r="T177" i="126"/>
  <c r="T181" i="126"/>
  <c r="T185" i="126"/>
  <c r="T189" i="126"/>
  <c r="L43" i="135"/>
  <c r="M43" i="135"/>
  <c r="Q193" i="126"/>
  <c r="Q197" i="126"/>
  <c r="Q201" i="126"/>
  <c r="Q205" i="126"/>
  <c r="Q209" i="126"/>
  <c r="Q213" i="126"/>
  <c r="Q217" i="126"/>
  <c r="Q221" i="126"/>
  <c r="Q225" i="126"/>
  <c r="Q229" i="126"/>
  <c r="Q233" i="126"/>
  <c r="Q237" i="126"/>
  <c r="Q241" i="126"/>
  <c r="Q245" i="126"/>
  <c r="Q249" i="126"/>
  <c r="Q253" i="126"/>
  <c r="Q257" i="126"/>
  <c r="I44" i="135"/>
  <c r="R193" i="126"/>
  <c r="R197" i="126"/>
  <c r="R201" i="126"/>
  <c r="R205" i="126"/>
  <c r="R209" i="126"/>
  <c r="R213" i="126"/>
  <c r="R217" i="126"/>
  <c r="R221" i="126"/>
  <c r="R225" i="126"/>
  <c r="R229" i="126"/>
  <c r="R233" i="126"/>
  <c r="R237" i="126"/>
  <c r="R241" i="126"/>
  <c r="R245" i="126"/>
  <c r="R249" i="126"/>
  <c r="R253" i="126"/>
  <c r="R257" i="126"/>
  <c r="J44" i="135"/>
  <c r="S193" i="126"/>
  <c r="S197" i="126"/>
  <c r="S201" i="126"/>
  <c r="S205" i="126"/>
  <c r="S209" i="126"/>
  <c r="S213" i="126"/>
  <c r="S217" i="126"/>
  <c r="S221" i="126"/>
  <c r="S225" i="126"/>
  <c r="S229" i="126"/>
  <c r="S233" i="126"/>
  <c r="S237" i="126"/>
  <c r="S241" i="126"/>
  <c r="S245" i="126"/>
  <c r="S249" i="126"/>
  <c r="S253" i="126"/>
  <c r="S257" i="126"/>
  <c r="K44" i="135"/>
  <c r="T193" i="126"/>
  <c r="T197" i="126"/>
  <c r="T201" i="126"/>
  <c r="T205" i="126"/>
  <c r="T209" i="126"/>
  <c r="T213" i="126"/>
  <c r="T217" i="126"/>
  <c r="T221" i="126"/>
  <c r="T225" i="126"/>
  <c r="T229" i="126"/>
  <c r="T233" i="126"/>
  <c r="T237" i="126"/>
  <c r="T241" i="126"/>
  <c r="T245" i="126"/>
  <c r="T249" i="126"/>
  <c r="T253" i="126"/>
  <c r="T257" i="126"/>
  <c r="L44" i="135"/>
  <c r="M44" i="135"/>
  <c r="Q261" i="126"/>
  <c r="I45" i="135"/>
  <c r="R261" i="126"/>
  <c r="J45" i="135"/>
  <c r="S261" i="126"/>
  <c r="K45" i="135"/>
  <c r="T261" i="126"/>
  <c r="L45" i="135"/>
  <c r="M45" i="135"/>
  <c r="I46" i="135"/>
  <c r="J46" i="135"/>
  <c r="K46" i="135"/>
  <c r="L46" i="135"/>
  <c r="M46" i="135"/>
  <c r="I47" i="135"/>
  <c r="J47" i="135"/>
  <c r="K47" i="135"/>
  <c r="L47" i="135"/>
  <c r="M47" i="135"/>
  <c r="I48" i="135"/>
  <c r="J48" i="135"/>
  <c r="K48" i="135"/>
  <c r="L48" i="135"/>
  <c r="M48" i="135"/>
  <c r="I49" i="135"/>
  <c r="J49" i="135"/>
  <c r="K49" i="135"/>
  <c r="L49" i="135"/>
  <c r="M49" i="135"/>
  <c r="I50" i="135"/>
  <c r="J50" i="135"/>
  <c r="K50" i="135"/>
  <c r="L50" i="135"/>
  <c r="M50" i="135"/>
  <c r="I51" i="135"/>
  <c r="J51" i="135"/>
  <c r="K51" i="135"/>
  <c r="L51" i="135"/>
  <c r="M51" i="135"/>
  <c r="I52" i="135"/>
  <c r="J52" i="135"/>
  <c r="K52" i="135"/>
  <c r="L52" i="135"/>
  <c r="M52" i="135"/>
  <c r="I53" i="135"/>
  <c r="J53" i="135"/>
  <c r="K53" i="135"/>
  <c r="L53" i="135"/>
  <c r="M53" i="135"/>
  <c r="I54" i="135"/>
  <c r="J54" i="135"/>
  <c r="K54" i="135"/>
  <c r="L54" i="135"/>
  <c r="M54" i="135"/>
  <c r="I55" i="135"/>
  <c r="J55" i="135"/>
  <c r="K55" i="135"/>
  <c r="L55" i="135"/>
  <c r="M55" i="135"/>
  <c r="Q267" i="126"/>
  <c r="Q271" i="126"/>
  <c r="I56" i="135"/>
  <c r="R267" i="126"/>
  <c r="R271" i="126"/>
  <c r="J56" i="135"/>
  <c r="S267" i="126"/>
  <c r="S271" i="126"/>
  <c r="K56" i="135"/>
  <c r="T267" i="126"/>
  <c r="T271" i="126"/>
  <c r="L56" i="135"/>
  <c r="M56" i="135"/>
  <c r="Q275" i="126"/>
  <c r="Q279" i="126"/>
  <c r="Q283" i="126"/>
  <c r="Q287" i="126"/>
  <c r="Q291" i="126"/>
  <c r="I57" i="135"/>
  <c r="R275" i="126"/>
  <c r="R279" i="126"/>
  <c r="R283" i="126"/>
  <c r="R287" i="126"/>
  <c r="R291" i="126"/>
  <c r="J57" i="135"/>
  <c r="S275" i="126"/>
  <c r="S279" i="126"/>
  <c r="S283" i="126"/>
  <c r="S287" i="126"/>
  <c r="S291" i="126"/>
  <c r="K57" i="135"/>
  <c r="T275" i="126"/>
  <c r="T279" i="126"/>
  <c r="T283" i="126"/>
  <c r="T287" i="126"/>
  <c r="T291" i="126"/>
  <c r="L57" i="135"/>
  <c r="M57" i="135"/>
  <c r="Q295" i="126"/>
  <c r="Q299" i="126"/>
  <c r="Q303" i="126"/>
  <c r="Q307" i="126"/>
  <c r="I58" i="135"/>
  <c r="R295" i="126"/>
  <c r="R299" i="126"/>
  <c r="R303" i="126"/>
  <c r="R307" i="126"/>
  <c r="J58" i="135"/>
  <c r="S295" i="126"/>
  <c r="S299" i="126"/>
  <c r="S303" i="126"/>
  <c r="S307" i="126"/>
  <c r="K58" i="135"/>
  <c r="T295" i="126"/>
  <c r="T299" i="126"/>
  <c r="T303" i="126"/>
  <c r="T307" i="126"/>
  <c r="L58" i="135"/>
  <c r="M58" i="135"/>
  <c r="Q311" i="126"/>
  <c r="Q315" i="126"/>
  <c r="Q319" i="126"/>
  <c r="Q323" i="126"/>
  <c r="I59" i="135"/>
  <c r="R311" i="126"/>
  <c r="R315" i="126"/>
  <c r="R319" i="126"/>
  <c r="R323" i="126"/>
  <c r="J59" i="135"/>
  <c r="S311" i="126"/>
  <c r="S315" i="126"/>
  <c r="S319" i="126"/>
  <c r="S323" i="126"/>
  <c r="K59" i="135"/>
  <c r="T311" i="126"/>
  <c r="T315" i="126"/>
  <c r="T319" i="126"/>
  <c r="T323" i="126"/>
  <c r="L59" i="135"/>
  <c r="M59" i="135"/>
  <c r="Q327" i="126"/>
  <c r="Q331" i="126"/>
  <c r="Q335" i="126"/>
  <c r="I60" i="135"/>
  <c r="R327" i="126"/>
  <c r="R331" i="126"/>
  <c r="R335" i="126"/>
  <c r="J60" i="135"/>
  <c r="S327" i="126"/>
  <c r="S331" i="126"/>
  <c r="S335" i="126"/>
  <c r="K60" i="135"/>
  <c r="T327" i="126"/>
  <c r="T331" i="126"/>
  <c r="T335" i="126"/>
  <c r="L60" i="135"/>
  <c r="M60" i="135"/>
  <c r="Q339" i="126"/>
  <c r="Q343" i="126"/>
  <c r="Q347" i="126"/>
  <c r="Q351" i="126"/>
  <c r="I61" i="135"/>
  <c r="R339" i="126"/>
  <c r="R343" i="126"/>
  <c r="R347" i="126"/>
  <c r="R351" i="126"/>
  <c r="J61" i="135"/>
  <c r="S339" i="126"/>
  <c r="S343" i="126"/>
  <c r="S347" i="126"/>
  <c r="S351" i="126"/>
  <c r="K61" i="135"/>
  <c r="T339" i="126"/>
  <c r="T343" i="126"/>
  <c r="T347" i="126"/>
  <c r="T351" i="126"/>
  <c r="L61" i="135"/>
  <c r="M61" i="135"/>
  <c r="Q355" i="126"/>
  <c r="Q359" i="126"/>
  <c r="Q363" i="126"/>
  <c r="Q367" i="126"/>
  <c r="Q371" i="126"/>
  <c r="Q375" i="126"/>
  <c r="Q379" i="126"/>
  <c r="Q383" i="126"/>
  <c r="Q387" i="126"/>
  <c r="Q391" i="126"/>
  <c r="Q395" i="126"/>
  <c r="Q399" i="126"/>
  <c r="I62" i="135"/>
  <c r="R355" i="126"/>
  <c r="R359" i="126"/>
  <c r="R363" i="126"/>
  <c r="R367" i="126"/>
  <c r="R371" i="126"/>
  <c r="R375" i="126"/>
  <c r="R379" i="126"/>
  <c r="R383" i="126"/>
  <c r="R387" i="126"/>
  <c r="R391" i="126"/>
  <c r="R395" i="126"/>
  <c r="R399" i="126"/>
  <c r="J62" i="135"/>
  <c r="S355" i="126"/>
  <c r="S359" i="126"/>
  <c r="S363" i="126"/>
  <c r="S367" i="126"/>
  <c r="S371" i="126"/>
  <c r="S375" i="126"/>
  <c r="S379" i="126"/>
  <c r="S383" i="126"/>
  <c r="S387" i="126"/>
  <c r="S391" i="126"/>
  <c r="S395" i="126"/>
  <c r="S399" i="126"/>
  <c r="K62" i="135"/>
  <c r="T355" i="126"/>
  <c r="T359" i="126"/>
  <c r="T363" i="126"/>
  <c r="T367" i="126"/>
  <c r="T371" i="126"/>
  <c r="T375" i="126"/>
  <c r="T379" i="126"/>
  <c r="T383" i="126"/>
  <c r="T387" i="126"/>
  <c r="T391" i="126"/>
  <c r="T395" i="126"/>
  <c r="T399" i="126"/>
  <c r="L62" i="135"/>
  <c r="M62" i="135"/>
  <c r="Q403" i="126"/>
  <c r="Q407" i="126"/>
  <c r="Q411" i="126"/>
  <c r="Q415" i="126"/>
  <c r="Q419" i="126"/>
  <c r="Q423" i="126"/>
  <c r="Q427" i="126"/>
  <c r="Q431" i="126"/>
  <c r="Q435" i="126"/>
  <c r="Q439" i="126"/>
  <c r="Q443" i="126"/>
  <c r="Q447" i="126"/>
  <c r="I63" i="135"/>
  <c r="R403" i="126"/>
  <c r="R407" i="126"/>
  <c r="R411" i="126"/>
  <c r="R415" i="126"/>
  <c r="R419" i="126"/>
  <c r="R423" i="126"/>
  <c r="R427" i="126"/>
  <c r="R431" i="126"/>
  <c r="R435" i="126"/>
  <c r="R439" i="126"/>
  <c r="R443" i="126"/>
  <c r="R447" i="126"/>
  <c r="J63" i="135"/>
  <c r="S403" i="126"/>
  <c r="S407" i="126"/>
  <c r="S411" i="126"/>
  <c r="S415" i="126"/>
  <c r="S419" i="126"/>
  <c r="S423" i="126"/>
  <c r="S427" i="126"/>
  <c r="S431" i="126"/>
  <c r="S435" i="126"/>
  <c r="S439" i="126"/>
  <c r="S443" i="126"/>
  <c r="S447" i="126"/>
  <c r="K63" i="135"/>
  <c r="T403" i="126"/>
  <c r="T407" i="126"/>
  <c r="T411" i="126"/>
  <c r="T415" i="126"/>
  <c r="T419" i="126"/>
  <c r="T423" i="126"/>
  <c r="T427" i="126"/>
  <c r="T431" i="126"/>
  <c r="T435" i="126"/>
  <c r="T439" i="126"/>
  <c r="T443" i="126"/>
  <c r="T447" i="126"/>
  <c r="L63" i="135"/>
  <c r="M63" i="135"/>
  <c r="Q451" i="126"/>
  <c r="Q455" i="126"/>
  <c r="Q459" i="126"/>
  <c r="Q463" i="126"/>
  <c r="Q467" i="126"/>
  <c r="Q471" i="126"/>
  <c r="Q475" i="126"/>
  <c r="Q479" i="126"/>
  <c r="Q483" i="126"/>
  <c r="Q487" i="126"/>
  <c r="Q491" i="126"/>
  <c r="Q495" i="126"/>
  <c r="Q499" i="126"/>
  <c r="Q503" i="126"/>
  <c r="Q507" i="126"/>
  <c r="Q511" i="126"/>
  <c r="Q515" i="126"/>
  <c r="I64" i="135"/>
  <c r="R451" i="126"/>
  <c r="R455" i="126"/>
  <c r="R459" i="126"/>
  <c r="R463" i="126"/>
  <c r="R467" i="126"/>
  <c r="R471" i="126"/>
  <c r="R475" i="126"/>
  <c r="R479" i="126"/>
  <c r="R483" i="126"/>
  <c r="R487" i="126"/>
  <c r="R491" i="126"/>
  <c r="R495" i="126"/>
  <c r="R499" i="126"/>
  <c r="R503" i="126"/>
  <c r="R507" i="126"/>
  <c r="R511" i="126"/>
  <c r="R515" i="126"/>
  <c r="J64" i="135"/>
  <c r="S451" i="126"/>
  <c r="S455" i="126"/>
  <c r="S459" i="126"/>
  <c r="S463" i="126"/>
  <c r="S467" i="126"/>
  <c r="S471" i="126"/>
  <c r="S475" i="126"/>
  <c r="S479" i="126"/>
  <c r="S483" i="126"/>
  <c r="S487" i="126"/>
  <c r="S491" i="126"/>
  <c r="S495" i="126"/>
  <c r="S499" i="126"/>
  <c r="S503" i="126"/>
  <c r="S507" i="126"/>
  <c r="S511" i="126"/>
  <c r="S515" i="126"/>
  <c r="K64" i="135"/>
  <c r="T451" i="126"/>
  <c r="T455" i="126"/>
  <c r="T459" i="126"/>
  <c r="T463" i="126"/>
  <c r="T467" i="126"/>
  <c r="T471" i="126"/>
  <c r="T475" i="126"/>
  <c r="T479" i="126"/>
  <c r="T483" i="126"/>
  <c r="T487" i="126"/>
  <c r="T491" i="126"/>
  <c r="T495" i="126"/>
  <c r="T499" i="126"/>
  <c r="T503" i="126"/>
  <c r="T507" i="126"/>
  <c r="T511" i="126"/>
  <c r="T515" i="126"/>
  <c r="L64" i="135"/>
  <c r="M64" i="135"/>
  <c r="Q519" i="126"/>
  <c r="I65" i="135"/>
  <c r="R519" i="126"/>
  <c r="J65" i="135"/>
  <c r="S519" i="126"/>
  <c r="K65" i="135"/>
  <c r="T519" i="126"/>
  <c r="L65" i="135"/>
  <c r="M65" i="135"/>
  <c r="Q261" i="153"/>
  <c r="I73" i="135"/>
  <c r="R261" i="153"/>
  <c r="J73" i="135"/>
  <c r="S261" i="153"/>
  <c r="K73" i="135"/>
  <c r="T261" i="153"/>
  <c r="L73" i="135"/>
  <c r="O13" i="112"/>
  <c r="O14" i="112"/>
  <c r="O15" i="112"/>
  <c r="O16" i="112"/>
  <c r="G32" i="135"/>
  <c r="G31" i="135"/>
  <c r="G30" i="135"/>
  <c r="G29" i="135"/>
  <c r="G28" i="135"/>
  <c r="G27" i="135"/>
  <c r="G26" i="135"/>
  <c r="G25" i="135"/>
  <c r="G24" i="135"/>
  <c r="G23" i="135"/>
  <c r="U13" i="112"/>
  <c r="U14" i="112"/>
  <c r="U15" i="112"/>
  <c r="U16" i="112"/>
  <c r="U261" i="112"/>
  <c r="G12" i="135"/>
  <c r="G11" i="135"/>
  <c r="G10" i="135"/>
  <c r="G9" i="135"/>
  <c r="G8" i="135"/>
  <c r="G7" i="135"/>
  <c r="G6" i="135"/>
  <c r="G5" i="135"/>
  <c r="G4" i="135"/>
  <c r="G3" i="135"/>
  <c r="G22" i="135"/>
  <c r="G21" i="135"/>
  <c r="G20" i="135"/>
  <c r="G19" i="135"/>
  <c r="G18" i="135"/>
  <c r="G17" i="135"/>
  <c r="G16" i="135"/>
  <c r="G15" i="135"/>
  <c r="G14" i="135"/>
  <c r="G13" i="135"/>
  <c r="T268" i="112"/>
  <c r="T272" i="112"/>
  <c r="T276" i="112"/>
  <c r="T280" i="112"/>
  <c r="T284" i="112"/>
  <c r="T288" i="112"/>
  <c r="T292" i="112"/>
  <c r="T296" i="112"/>
  <c r="T300" i="112"/>
  <c r="T304" i="112"/>
  <c r="T308" i="112"/>
  <c r="T312" i="112"/>
  <c r="T316" i="112"/>
  <c r="T320" i="112"/>
  <c r="T324" i="112"/>
  <c r="T328" i="112"/>
  <c r="T332" i="112"/>
  <c r="T336" i="112"/>
  <c r="T520" i="112"/>
  <c r="F32" i="135"/>
  <c r="S268" i="112"/>
  <c r="S272" i="112"/>
  <c r="S276" i="112"/>
  <c r="S280" i="112"/>
  <c r="S284" i="112"/>
  <c r="S288" i="112"/>
  <c r="S292" i="112"/>
  <c r="S296" i="112"/>
  <c r="S300" i="112"/>
  <c r="S304" i="112"/>
  <c r="S308" i="112"/>
  <c r="S312" i="112"/>
  <c r="S316" i="112"/>
  <c r="S320" i="112"/>
  <c r="S324" i="112"/>
  <c r="S328" i="112"/>
  <c r="S332" i="112"/>
  <c r="S336" i="112"/>
  <c r="S520" i="112"/>
  <c r="E32" i="135"/>
  <c r="R268" i="112"/>
  <c r="R272" i="112"/>
  <c r="R276" i="112"/>
  <c r="R280" i="112"/>
  <c r="R284" i="112"/>
  <c r="R288" i="112"/>
  <c r="R292" i="112"/>
  <c r="R296" i="112"/>
  <c r="R300" i="112"/>
  <c r="R304" i="112"/>
  <c r="R308" i="112"/>
  <c r="R312" i="112"/>
  <c r="R316" i="112"/>
  <c r="R320" i="112"/>
  <c r="R324" i="112"/>
  <c r="R328" i="112"/>
  <c r="R332" i="112"/>
  <c r="R336" i="112"/>
  <c r="R520" i="112"/>
  <c r="D32" i="135"/>
  <c r="Q268" i="112"/>
  <c r="Q272" i="112"/>
  <c r="Q276" i="112"/>
  <c r="Q280" i="112"/>
  <c r="Q284" i="112"/>
  <c r="Q288" i="112"/>
  <c r="Q292" i="112"/>
  <c r="Q296" i="112"/>
  <c r="Q300" i="112"/>
  <c r="Q304" i="112"/>
  <c r="Q308" i="112"/>
  <c r="Q312" i="112"/>
  <c r="Q316" i="112"/>
  <c r="Q320" i="112"/>
  <c r="Q324" i="112"/>
  <c r="Q328" i="112"/>
  <c r="Q332" i="112"/>
  <c r="Q336" i="112"/>
  <c r="Q520" i="112"/>
  <c r="C32" i="135"/>
  <c r="F27" i="135"/>
  <c r="E27" i="135"/>
  <c r="D27" i="135"/>
  <c r="C27" i="135"/>
  <c r="F26" i="135"/>
  <c r="E26" i="135"/>
  <c r="D26" i="135"/>
  <c r="C26" i="135"/>
  <c r="F25" i="135"/>
  <c r="E25" i="135"/>
  <c r="D25" i="135"/>
  <c r="C25" i="135"/>
  <c r="F24" i="135"/>
  <c r="E24" i="135"/>
  <c r="D24" i="135"/>
  <c r="C24" i="135"/>
  <c r="F23" i="135"/>
  <c r="E23" i="135"/>
  <c r="D23" i="135"/>
  <c r="C23" i="135"/>
  <c r="F22" i="135"/>
  <c r="E22" i="135"/>
  <c r="D22" i="135"/>
  <c r="C22" i="135"/>
  <c r="F21" i="135"/>
  <c r="E21" i="135"/>
  <c r="D21" i="135"/>
  <c r="C21" i="135"/>
  <c r="F20" i="135"/>
  <c r="E20" i="135"/>
  <c r="D20" i="135"/>
  <c r="C20" i="135"/>
  <c r="F19" i="135"/>
  <c r="E19" i="135"/>
  <c r="D19" i="135"/>
  <c r="C19" i="135"/>
  <c r="F18" i="135"/>
  <c r="E18" i="135"/>
  <c r="D18" i="135"/>
  <c r="C18" i="135"/>
  <c r="F17" i="135"/>
  <c r="E17" i="135"/>
  <c r="D17" i="135"/>
  <c r="C17" i="135"/>
  <c r="F16" i="135"/>
  <c r="E16" i="135"/>
  <c r="D16" i="135"/>
  <c r="C16" i="135"/>
  <c r="F15" i="135"/>
  <c r="E15" i="135"/>
  <c r="D15" i="135"/>
  <c r="C15" i="135"/>
  <c r="F14" i="135"/>
  <c r="E14" i="135"/>
  <c r="D14" i="135"/>
  <c r="C14" i="135"/>
  <c r="F13" i="135"/>
  <c r="E13" i="135"/>
  <c r="D13" i="135"/>
  <c r="C13" i="135"/>
  <c r="T13" i="112"/>
  <c r="T9" i="112"/>
  <c r="T17" i="112"/>
  <c r="T21" i="112"/>
  <c r="T25" i="112"/>
  <c r="T29" i="112"/>
  <c r="T33" i="112"/>
  <c r="T37" i="112"/>
  <c r="T41" i="112"/>
  <c r="T45" i="112"/>
  <c r="T49" i="112"/>
  <c r="T53" i="112"/>
  <c r="T57" i="112"/>
  <c r="T61" i="112"/>
  <c r="T65" i="112"/>
  <c r="T69" i="112"/>
  <c r="T73" i="112"/>
  <c r="T77" i="112"/>
  <c r="T261" i="112"/>
  <c r="F12" i="135"/>
  <c r="S13" i="112"/>
  <c r="S9" i="112"/>
  <c r="S17" i="112"/>
  <c r="S21" i="112"/>
  <c r="S25" i="112"/>
  <c r="S29" i="112"/>
  <c r="S33" i="112"/>
  <c r="S37" i="112"/>
  <c r="S41" i="112"/>
  <c r="S45" i="112"/>
  <c r="S49" i="112"/>
  <c r="S53" i="112"/>
  <c r="S57" i="112"/>
  <c r="S61" i="112"/>
  <c r="S65" i="112"/>
  <c r="S69" i="112"/>
  <c r="S73" i="112"/>
  <c r="S77" i="112"/>
  <c r="S261" i="112"/>
  <c r="E12" i="135"/>
  <c r="R13" i="112"/>
  <c r="R9" i="112"/>
  <c r="R17" i="112"/>
  <c r="R21" i="112"/>
  <c r="R25" i="112"/>
  <c r="R29" i="112"/>
  <c r="R33" i="112"/>
  <c r="R37" i="112"/>
  <c r="R41" i="112"/>
  <c r="R45" i="112"/>
  <c r="R49" i="112"/>
  <c r="R53" i="112"/>
  <c r="R57" i="112"/>
  <c r="R61" i="112"/>
  <c r="R65" i="112"/>
  <c r="R69" i="112"/>
  <c r="R73" i="112"/>
  <c r="R77" i="112"/>
  <c r="R261" i="112"/>
  <c r="D12" i="135"/>
  <c r="Q13" i="112"/>
  <c r="Q9" i="112"/>
  <c r="Q17" i="112"/>
  <c r="Q21" i="112"/>
  <c r="Q25" i="112"/>
  <c r="Q29" i="112"/>
  <c r="Q33" i="112"/>
  <c r="Q37" i="112"/>
  <c r="Q41" i="112"/>
  <c r="Q45" i="112"/>
  <c r="Q49" i="112"/>
  <c r="Q53" i="112"/>
  <c r="Q57" i="112"/>
  <c r="Q61" i="112"/>
  <c r="Q65" i="112"/>
  <c r="Q69" i="112"/>
  <c r="Q73" i="112"/>
  <c r="Q77" i="112"/>
  <c r="Q261" i="112"/>
  <c r="C12" i="135"/>
  <c r="F7" i="135"/>
  <c r="E7" i="135"/>
  <c r="D7" i="135"/>
  <c r="C7" i="135"/>
  <c r="F6" i="135"/>
  <c r="E6" i="135"/>
  <c r="D6" i="135"/>
  <c r="C6" i="135"/>
  <c r="F5" i="135"/>
  <c r="E5" i="135"/>
  <c r="D5" i="135"/>
  <c r="C5" i="135"/>
  <c r="F4" i="135"/>
  <c r="E4" i="135"/>
  <c r="D4" i="135"/>
  <c r="C4" i="135"/>
  <c r="F3" i="135"/>
  <c r="E3" i="135"/>
  <c r="D3" i="135"/>
  <c r="C3" i="135"/>
  <c r="O518" i="128"/>
  <c r="O517" i="128"/>
  <c r="O516" i="128"/>
  <c r="O515" i="128"/>
  <c r="O514" i="128"/>
  <c r="O513" i="128"/>
  <c r="O512" i="128"/>
  <c r="O511" i="128"/>
  <c r="O510" i="128"/>
  <c r="O509" i="128"/>
  <c r="O508" i="128"/>
  <c r="O507" i="128"/>
  <c r="O506" i="128"/>
  <c r="O505" i="128"/>
  <c r="O504" i="128"/>
  <c r="O503" i="128"/>
  <c r="O502" i="128"/>
  <c r="O501" i="128"/>
  <c r="O500" i="128"/>
  <c r="O499" i="128"/>
  <c r="O498" i="128"/>
  <c r="O497" i="128"/>
  <c r="O496" i="128"/>
  <c r="O495" i="128"/>
  <c r="O494" i="128"/>
  <c r="O493" i="128"/>
  <c r="O492" i="128"/>
  <c r="O491" i="128"/>
  <c r="O490" i="128"/>
  <c r="O489" i="128"/>
  <c r="O488" i="128"/>
  <c r="O487" i="128"/>
  <c r="O486" i="128"/>
  <c r="O485" i="128"/>
  <c r="O484" i="128"/>
  <c r="O483" i="128"/>
  <c r="O482" i="128"/>
  <c r="O481" i="128"/>
  <c r="O480" i="128"/>
  <c r="O479" i="128"/>
  <c r="O478" i="128"/>
  <c r="O477" i="128"/>
  <c r="O476" i="128"/>
  <c r="O475" i="128"/>
  <c r="O474" i="128"/>
  <c r="O473" i="128"/>
  <c r="O472" i="128"/>
  <c r="O471" i="128"/>
  <c r="O470" i="128"/>
  <c r="O469" i="128"/>
  <c r="O468" i="128"/>
  <c r="O467" i="128"/>
  <c r="O466" i="128"/>
  <c r="O465" i="128"/>
  <c r="O464" i="128"/>
  <c r="O463" i="128"/>
  <c r="O462" i="128"/>
  <c r="O461" i="128"/>
  <c r="O460" i="128"/>
  <c r="O459" i="128"/>
  <c r="O458" i="128"/>
  <c r="O457" i="128"/>
  <c r="O456" i="128"/>
  <c r="O455" i="128"/>
  <c r="O454" i="128"/>
  <c r="O453" i="128"/>
  <c r="O452" i="128"/>
  <c r="O451" i="128"/>
  <c r="O450" i="128"/>
  <c r="O449" i="128"/>
  <c r="O448" i="128"/>
  <c r="O447" i="128"/>
  <c r="O446" i="128"/>
  <c r="O445" i="128"/>
  <c r="O444" i="128"/>
  <c r="O443" i="128"/>
  <c r="O442" i="128"/>
  <c r="O441" i="128"/>
  <c r="O440" i="128"/>
  <c r="O439" i="128"/>
  <c r="O438" i="128"/>
  <c r="O437" i="128"/>
  <c r="O436" i="128"/>
  <c r="O435" i="128"/>
  <c r="O434" i="128"/>
  <c r="O433" i="128"/>
  <c r="O432" i="128"/>
  <c r="O431" i="128"/>
  <c r="O430" i="128"/>
  <c r="O429" i="128"/>
  <c r="O428" i="128"/>
  <c r="O427" i="128"/>
  <c r="O426" i="128"/>
  <c r="O425" i="128"/>
  <c r="O424" i="128"/>
  <c r="O423" i="128"/>
  <c r="O422" i="128"/>
  <c r="O421" i="128"/>
  <c r="O420" i="128"/>
  <c r="O419" i="128"/>
  <c r="O418" i="128"/>
  <c r="O417" i="128"/>
  <c r="O416" i="128"/>
  <c r="O415" i="128"/>
  <c r="O414" i="128"/>
  <c r="O413" i="128"/>
  <c r="O412" i="128"/>
  <c r="O411" i="128"/>
  <c r="O410" i="128"/>
  <c r="O409" i="128"/>
  <c r="O408" i="128"/>
  <c r="O407" i="128"/>
  <c r="O406" i="128"/>
  <c r="O405" i="128"/>
  <c r="O404" i="128"/>
  <c r="O403" i="128"/>
  <c r="O402" i="128"/>
  <c r="O401" i="128"/>
  <c r="O400" i="128"/>
  <c r="O399" i="128"/>
  <c r="O398" i="128"/>
  <c r="O397" i="128"/>
  <c r="O396" i="128"/>
  <c r="O395" i="128"/>
  <c r="O394" i="128"/>
  <c r="O393" i="128"/>
  <c r="O392" i="128"/>
  <c r="O391" i="128"/>
  <c r="O390" i="128"/>
  <c r="O389" i="128"/>
  <c r="O388" i="128"/>
  <c r="O387" i="128"/>
  <c r="O386" i="128"/>
  <c r="O385" i="128"/>
  <c r="O384" i="128"/>
  <c r="O383" i="128"/>
  <c r="O382" i="128"/>
  <c r="O381" i="128"/>
  <c r="O380" i="128"/>
  <c r="O379" i="128"/>
  <c r="O378" i="128"/>
  <c r="O377" i="128"/>
  <c r="O376" i="128"/>
  <c r="O375" i="128"/>
  <c r="O374" i="128"/>
  <c r="O373" i="128"/>
  <c r="O372" i="128"/>
  <c r="O371" i="128"/>
  <c r="O370" i="128"/>
  <c r="O369" i="128"/>
  <c r="O368" i="128"/>
  <c r="O367" i="128"/>
  <c r="O366" i="128"/>
  <c r="O365" i="128"/>
  <c r="O364" i="128"/>
  <c r="O363" i="128"/>
  <c r="O362" i="128"/>
  <c r="O361" i="128"/>
  <c r="O360" i="128"/>
  <c r="O359" i="128"/>
  <c r="O358" i="128"/>
  <c r="O357" i="128"/>
  <c r="O356" i="128"/>
  <c r="O355" i="128"/>
  <c r="O354" i="128"/>
  <c r="O353" i="128"/>
  <c r="O352" i="128"/>
  <c r="O351" i="128"/>
  <c r="O350" i="128"/>
  <c r="O349" i="128"/>
  <c r="O348" i="128"/>
  <c r="O347" i="128"/>
  <c r="O346" i="128"/>
  <c r="O345" i="128"/>
  <c r="O344" i="128"/>
  <c r="O343" i="128"/>
  <c r="O342" i="128"/>
  <c r="O341" i="128"/>
  <c r="O340" i="128"/>
  <c r="O339" i="128"/>
  <c r="O338" i="128"/>
  <c r="O337" i="128"/>
  <c r="O336" i="128"/>
  <c r="O335" i="128"/>
  <c r="O334" i="128"/>
  <c r="O333" i="128"/>
  <c r="O332" i="128"/>
  <c r="O331" i="128"/>
  <c r="O330" i="128"/>
  <c r="O329" i="128"/>
  <c r="O328" i="128"/>
  <c r="O327" i="128"/>
  <c r="O326" i="128"/>
  <c r="O325" i="128"/>
  <c r="O324" i="128"/>
  <c r="O323" i="128"/>
  <c r="O322" i="128"/>
  <c r="O321" i="128"/>
  <c r="O320" i="128"/>
  <c r="O319" i="128"/>
  <c r="O318" i="128"/>
  <c r="O317" i="128"/>
  <c r="O316" i="128"/>
  <c r="O315" i="128"/>
  <c r="O314" i="128"/>
  <c r="O313" i="128"/>
  <c r="O312" i="128"/>
  <c r="O311" i="128"/>
  <c r="O310" i="128"/>
  <c r="O309" i="128"/>
  <c r="O308" i="128"/>
  <c r="O307" i="128"/>
  <c r="O306" i="128"/>
  <c r="O305" i="128"/>
  <c r="O304" i="128"/>
  <c r="O303" i="128"/>
  <c r="O302" i="128"/>
  <c r="O301" i="128"/>
  <c r="O300" i="128"/>
  <c r="O299" i="128"/>
  <c r="O298" i="128"/>
  <c r="O297" i="128"/>
  <c r="O296" i="128"/>
  <c r="O295" i="128"/>
  <c r="O294" i="128"/>
  <c r="O293" i="128"/>
  <c r="O292" i="128"/>
  <c r="O291" i="128"/>
  <c r="O290" i="128"/>
  <c r="O289" i="128"/>
  <c r="O288" i="128"/>
  <c r="O287" i="128"/>
  <c r="O286" i="128"/>
  <c r="O285" i="128"/>
  <c r="O284" i="128"/>
  <c r="O283" i="128"/>
  <c r="O282" i="128"/>
  <c r="O281" i="128"/>
  <c r="O280" i="128"/>
  <c r="O279" i="128"/>
  <c r="O278" i="128"/>
  <c r="O277" i="128"/>
  <c r="O276" i="128"/>
  <c r="O275" i="128"/>
  <c r="O274" i="128"/>
  <c r="O273" i="128"/>
  <c r="O272" i="128"/>
  <c r="O271" i="128"/>
  <c r="O270" i="128"/>
  <c r="O269" i="128"/>
  <c r="O268" i="128"/>
  <c r="O267" i="128"/>
  <c r="O260" i="128"/>
  <c r="O259" i="128"/>
  <c r="O258" i="128"/>
  <c r="O257" i="128"/>
  <c r="O256" i="128"/>
  <c r="O255" i="128"/>
  <c r="O254" i="128"/>
  <c r="O253" i="128"/>
  <c r="O252" i="128"/>
  <c r="O251" i="128"/>
  <c r="O250" i="128"/>
  <c r="O249" i="128"/>
  <c r="O248" i="128"/>
  <c r="O247" i="128"/>
  <c r="O246" i="128"/>
  <c r="O245" i="128"/>
  <c r="O244" i="128"/>
  <c r="O243" i="128"/>
  <c r="O242" i="128"/>
  <c r="O241" i="128"/>
  <c r="O240" i="128"/>
  <c r="O239" i="128"/>
  <c r="O238" i="128"/>
  <c r="O237" i="128"/>
  <c r="O236" i="128"/>
  <c r="O235" i="128"/>
  <c r="O234" i="128"/>
  <c r="O233" i="128"/>
  <c r="O232" i="128"/>
  <c r="O231" i="128"/>
  <c r="O230" i="128"/>
  <c r="O229" i="128"/>
  <c r="O228" i="128"/>
  <c r="O227" i="128"/>
  <c r="O226" i="128"/>
  <c r="O225" i="128"/>
  <c r="O224" i="128"/>
  <c r="O223" i="128"/>
  <c r="O222" i="128"/>
  <c r="O221" i="128"/>
  <c r="O220" i="128"/>
  <c r="O219" i="128"/>
  <c r="O218" i="128"/>
  <c r="O217" i="128"/>
  <c r="O216" i="128"/>
  <c r="O215" i="128"/>
  <c r="O214" i="128"/>
  <c r="O213" i="128"/>
  <c r="O212" i="128"/>
  <c r="O211" i="128"/>
  <c r="O210" i="128"/>
  <c r="O209" i="128"/>
  <c r="O208" i="128"/>
  <c r="O207" i="128"/>
  <c r="O206" i="128"/>
  <c r="O205" i="128"/>
  <c r="O204" i="128"/>
  <c r="O203" i="128"/>
  <c r="O202" i="128"/>
  <c r="O201" i="128"/>
  <c r="O200" i="128"/>
  <c r="O199" i="128"/>
  <c r="O198" i="128"/>
  <c r="O197" i="128"/>
  <c r="O196" i="128"/>
  <c r="O195" i="128"/>
  <c r="O194" i="128"/>
  <c r="O193" i="128"/>
  <c r="O192" i="128"/>
  <c r="O191" i="128"/>
  <c r="O190" i="128"/>
  <c r="O189" i="128"/>
  <c r="O188" i="128"/>
  <c r="O187" i="128"/>
  <c r="O186" i="128"/>
  <c r="O185" i="128"/>
  <c r="O184" i="128"/>
  <c r="O183" i="128"/>
  <c r="O182" i="128"/>
  <c r="O181" i="128"/>
  <c r="O180" i="128"/>
  <c r="O179" i="128"/>
  <c r="O178" i="128"/>
  <c r="O177" i="128"/>
  <c r="O176" i="128"/>
  <c r="O175" i="128"/>
  <c r="O174" i="128"/>
  <c r="O173" i="128"/>
  <c r="O172" i="128"/>
  <c r="O171" i="128"/>
  <c r="O170" i="128"/>
  <c r="O169" i="128"/>
  <c r="O168" i="128"/>
  <c r="O167" i="128"/>
  <c r="O166" i="128"/>
  <c r="O165" i="128"/>
  <c r="O164" i="128"/>
  <c r="O163" i="128"/>
  <c r="O162" i="128"/>
  <c r="O161" i="128"/>
  <c r="O160" i="128"/>
  <c r="O159" i="128"/>
  <c r="O158" i="128"/>
  <c r="O157" i="128"/>
  <c r="O156" i="128"/>
  <c r="O155" i="128"/>
  <c r="O154" i="128"/>
  <c r="O153" i="128"/>
  <c r="O152" i="128"/>
  <c r="O151" i="128"/>
  <c r="O150" i="128"/>
  <c r="O149" i="128"/>
  <c r="O148" i="128"/>
  <c r="O147" i="128"/>
  <c r="O146" i="128"/>
  <c r="O145" i="128"/>
  <c r="O144" i="128"/>
  <c r="O143" i="128"/>
  <c r="O142" i="128"/>
  <c r="O141" i="128"/>
  <c r="O140" i="128"/>
  <c r="O139" i="128"/>
  <c r="O138" i="128"/>
  <c r="O137" i="128"/>
  <c r="O136" i="128"/>
  <c r="O135" i="128"/>
  <c r="O134" i="128"/>
  <c r="O133" i="128"/>
  <c r="O132" i="128"/>
  <c r="O131" i="128"/>
  <c r="O130" i="128"/>
  <c r="O129" i="128"/>
  <c r="O128" i="128"/>
  <c r="O127" i="128"/>
  <c r="O126" i="128"/>
  <c r="O125" i="128"/>
  <c r="O124" i="128"/>
  <c r="O123" i="128"/>
  <c r="O122" i="128"/>
  <c r="O121" i="128"/>
  <c r="O120" i="128"/>
  <c r="O119" i="128"/>
  <c r="O118" i="128"/>
  <c r="O117" i="128"/>
  <c r="O116" i="128"/>
  <c r="O115" i="128"/>
  <c r="O114" i="128"/>
  <c r="O113" i="128"/>
  <c r="O112" i="128"/>
  <c r="O111" i="128"/>
  <c r="O110" i="128"/>
  <c r="O109" i="128"/>
  <c r="O108" i="128"/>
  <c r="O107" i="128"/>
  <c r="O106" i="128"/>
  <c r="O105" i="128"/>
  <c r="O104" i="128"/>
  <c r="O103" i="128"/>
  <c r="O102" i="128"/>
  <c r="O101" i="128"/>
  <c r="O100" i="128"/>
  <c r="O99" i="128"/>
  <c r="O98" i="128"/>
  <c r="O97" i="128"/>
  <c r="O96" i="128"/>
  <c r="O95" i="128"/>
  <c r="O94" i="128"/>
  <c r="O93" i="128"/>
  <c r="O92" i="128"/>
  <c r="O91" i="128"/>
  <c r="O90" i="128"/>
  <c r="O89" i="128"/>
  <c r="O88" i="128"/>
  <c r="O87" i="128"/>
  <c r="O86" i="128"/>
  <c r="O85" i="128"/>
  <c r="O84" i="128"/>
  <c r="O83" i="128"/>
  <c r="O82" i="128"/>
  <c r="O81" i="128"/>
  <c r="O80" i="128"/>
  <c r="O79" i="128"/>
  <c r="O78" i="128"/>
  <c r="O77" i="128"/>
  <c r="O76" i="128"/>
  <c r="O75" i="128"/>
  <c r="O74" i="128"/>
  <c r="O73" i="128"/>
  <c r="O72" i="128"/>
  <c r="O71" i="128"/>
  <c r="O70" i="128"/>
  <c r="O69" i="128"/>
  <c r="O68" i="128"/>
  <c r="O67" i="128"/>
  <c r="O66" i="128"/>
  <c r="O65" i="128"/>
  <c r="O64" i="128"/>
  <c r="O63" i="128"/>
  <c r="O62" i="128"/>
  <c r="O61" i="128"/>
  <c r="O60" i="128"/>
  <c r="O59" i="128"/>
  <c r="O58" i="128"/>
  <c r="O57" i="128"/>
  <c r="O56" i="128"/>
  <c r="O55" i="128"/>
  <c r="O54" i="128"/>
  <c r="O53" i="128"/>
  <c r="O52" i="128"/>
  <c r="O51" i="128"/>
  <c r="O50" i="128"/>
  <c r="O49" i="128"/>
  <c r="O48" i="128"/>
  <c r="O47" i="128"/>
  <c r="O46" i="128"/>
  <c r="O45" i="128"/>
  <c r="O44" i="128"/>
  <c r="O43" i="128"/>
  <c r="O42" i="128"/>
  <c r="O41" i="128"/>
  <c r="O40" i="128"/>
  <c r="O39" i="128"/>
  <c r="O38" i="128"/>
  <c r="O37" i="128"/>
  <c r="O36" i="128"/>
  <c r="O35" i="128"/>
  <c r="O34" i="128"/>
  <c r="O33" i="128"/>
  <c r="O32" i="128"/>
  <c r="O31" i="128"/>
  <c r="O30" i="128"/>
  <c r="O29" i="128"/>
  <c r="O28" i="128"/>
  <c r="O27" i="128"/>
  <c r="O26" i="128"/>
  <c r="O25" i="128"/>
  <c r="O24" i="128"/>
  <c r="O23" i="128"/>
  <c r="O22" i="128"/>
  <c r="O21" i="128"/>
  <c r="O20" i="128"/>
  <c r="O19" i="128"/>
  <c r="O18" i="128"/>
  <c r="O17" i="128"/>
  <c r="O16" i="128"/>
  <c r="O15" i="128"/>
  <c r="O14" i="128"/>
  <c r="O13" i="128"/>
  <c r="O12" i="128"/>
  <c r="O11" i="128"/>
  <c r="O10" i="128"/>
  <c r="O9" i="128"/>
  <c r="T261" i="144"/>
  <c r="S261" i="144"/>
  <c r="R261" i="144"/>
  <c r="Q261" i="144"/>
  <c r="U261" i="144"/>
  <c r="U261" i="153"/>
  <c r="U267" i="118"/>
  <c r="U268" i="118"/>
  <c r="U269" i="118"/>
  <c r="U270" i="118"/>
  <c r="U271" i="118"/>
  <c r="U272" i="118"/>
  <c r="U273" i="118"/>
  <c r="U274" i="118"/>
  <c r="U275" i="118"/>
  <c r="U276" i="118"/>
  <c r="U277" i="118"/>
  <c r="U278" i="118"/>
  <c r="U279" i="118"/>
  <c r="U280" i="118"/>
  <c r="U281" i="118"/>
  <c r="U282" i="118"/>
  <c r="U283" i="118"/>
  <c r="U284" i="118"/>
  <c r="U285" i="118"/>
  <c r="U286" i="118"/>
  <c r="U287" i="118"/>
  <c r="U288" i="118"/>
  <c r="U289" i="118"/>
  <c r="U290" i="118"/>
  <c r="U291" i="118"/>
  <c r="U292" i="118"/>
  <c r="U293" i="118"/>
  <c r="U294" i="118"/>
  <c r="U295" i="118"/>
  <c r="U296" i="118"/>
  <c r="U297" i="118"/>
  <c r="U298" i="118"/>
  <c r="U299" i="118"/>
  <c r="U300" i="118"/>
  <c r="U301" i="118"/>
  <c r="U302" i="118"/>
  <c r="U303" i="118"/>
  <c r="U304" i="118"/>
  <c r="U305" i="118"/>
  <c r="U306" i="118"/>
  <c r="U307" i="118"/>
  <c r="U308" i="118"/>
  <c r="U309" i="118"/>
  <c r="U310" i="118"/>
  <c r="U311" i="118"/>
  <c r="U312" i="118"/>
  <c r="U313" i="118"/>
  <c r="U314" i="118"/>
  <c r="U315" i="118"/>
  <c r="U316" i="118"/>
  <c r="U317" i="118"/>
  <c r="U318" i="118"/>
  <c r="U319" i="118"/>
  <c r="U320" i="118"/>
  <c r="U321" i="118"/>
  <c r="U322" i="118"/>
  <c r="U323" i="118"/>
  <c r="U324" i="118"/>
  <c r="U325" i="118"/>
  <c r="U326" i="118"/>
  <c r="U327" i="118"/>
  <c r="U328" i="118"/>
  <c r="U329" i="118"/>
  <c r="U330" i="118"/>
  <c r="U331" i="118"/>
  <c r="U332" i="118"/>
  <c r="U333" i="118"/>
  <c r="U334" i="118"/>
  <c r="U335" i="118"/>
  <c r="U336" i="118"/>
  <c r="U337" i="118"/>
  <c r="U338" i="118"/>
  <c r="U519" i="118"/>
  <c r="H267" i="118"/>
  <c r="H268" i="118"/>
  <c r="H269" i="118"/>
  <c r="O267" i="118"/>
  <c r="H270" i="118"/>
  <c r="O268" i="118"/>
  <c r="O269" i="118"/>
  <c r="O270" i="118"/>
  <c r="T267" i="118"/>
  <c r="H271" i="118"/>
  <c r="H272" i="118"/>
  <c r="H273" i="118"/>
  <c r="O271" i="118"/>
  <c r="H274" i="118"/>
  <c r="O272" i="118"/>
  <c r="O273" i="118"/>
  <c r="O274" i="118"/>
  <c r="T271" i="118"/>
  <c r="H275" i="118"/>
  <c r="H276" i="118"/>
  <c r="H277" i="118"/>
  <c r="O275" i="118"/>
  <c r="H278" i="118"/>
  <c r="O276" i="118"/>
  <c r="O277" i="118"/>
  <c r="O278" i="118"/>
  <c r="T275" i="118"/>
  <c r="H279" i="118"/>
  <c r="H280" i="118"/>
  <c r="H281" i="118"/>
  <c r="O279" i="118"/>
  <c r="H282" i="118"/>
  <c r="O280" i="118"/>
  <c r="O281" i="118"/>
  <c r="O282" i="118"/>
  <c r="T279" i="118"/>
  <c r="H283" i="118"/>
  <c r="H284" i="118"/>
  <c r="H285" i="118"/>
  <c r="O283" i="118"/>
  <c r="H286" i="118"/>
  <c r="O284" i="118"/>
  <c r="O285" i="118"/>
  <c r="O286" i="118"/>
  <c r="T283" i="118"/>
  <c r="H287" i="118"/>
  <c r="H288" i="118"/>
  <c r="H289" i="118"/>
  <c r="O287" i="118"/>
  <c r="H290" i="118"/>
  <c r="O288" i="118"/>
  <c r="O289" i="118"/>
  <c r="O290" i="118"/>
  <c r="T287" i="118"/>
  <c r="H291" i="118"/>
  <c r="H292" i="118"/>
  <c r="H293" i="118"/>
  <c r="O291" i="118"/>
  <c r="H294" i="118"/>
  <c r="O292" i="118"/>
  <c r="O293" i="118"/>
  <c r="O294" i="118"/>
  <c r="T291" i="118"/>
  <c r="H295" i="118"/>
  <c r="H296" i="118"/>
  <c r="H297" i="118"/>
  <c r="O295" i="118"/>
  <c r="H298" i="118"/>
  <c r="O296" i="118"/>
  <c r="O297" i="118"/>
  <c r="O298" i="118"/>
  <c r="T295" i="118"/>
  <c r="H299" i="118"/>
  <c r="H300" i="118"/>
  <c r="H301" i="118"/>
  <c r="O299" i="118"/>
  <c r="H302" i="118"/>
  <c r="O300" i="118"/>
  <c r="O301" i="118"/>
  <c r="O302" i="118"/>
  <c r="T299" i="118"/>
  <c r="H303" i="118"/>
  <c r="H304" i="118"/>
  <c r="H305" i="118"/>
  <c r="O303" i="118"/>
  <c r="H306" i="118"/>
  <c r="O304" i="118"/>
  <c r="O305" i="118"/>
  <c r="O306" i="118"/>
  <c r="T303" i="118"/>
  <c r="H307" i="118"/>
  <c r="H308" i="118"/>
  <c r="H309" i="118"/>
  <c r="O307" i="118"/>
  <c r="H310" i="118"/>
  <c r="O308" i="118"/>
  <c r="O309" i="118"/>
  <c r="O310" i="118"/>
  <c r="T307" i="118"/>
  <c r="H311" i="118"/>
  <c r="H312" i="118"/>
  <c r="H313" i="118"/>
  <c r="O311" i="118"/>
  <c r="H314" i="118"/>
  <c r="O312" i="118"/>
  <c r="O313" i="118"/>
  <c r="O314" i="118"/>
  <c r="T311" i="118"/>
  <c r="H315" i="118"/>
  <c r="H316" i="118"/>
  <c r="H317" i="118"/>
  <c r="O315" i="118"/>
  <c r="H318" i="118"/>
  <c r="O316" i="118"/>
  <c r="O317" i="118"/>
  <c r="O318" i="118"/>
  <c r="T315" i="118"/>
  <c r="H319" i="118"/>
  <c r="H320" i="118"/>
  <c r="H321" i="118"/>
  <c r="O319" i="118"/>
  <c r="H322" i="118"/>
  <c r="O320" i="118"/>
  <c r="O321" i="118"/>
  <c r="O322" i="118"/>
  <c r="T319" i="118"/>
  <c r="H323" i="118"/>
  <c r="H324" i="118"/>
  <c r="H325" i="118"/>
  <c r="O323" i="118"/>
  <c r="H326" i="118"/>
  <c r="O324" i="118"/>
  <c r="O325" i="118"/>
  <c r="O326" i="118"/>
  <c r="T323" i="118"/>
  <c r="H327" i="118"/>
  <c r="H328" i="118"/>
  <c r="H329" i="118"/>
  <c r="O327" i="118"/>
  <c r="H330" i="118"/>
  <c r="O328" i="118"/>
  <c r="O329" i="118"/>
  <c r="O330" i="118"/>
  <c r="T327" i="118"/>
  <c r="H331" i="118"/>
  <c r="H332" i="118"/>
  <c r="H333" i="118"/>
  <c r="O331" i="118"/>
  <c r="H334" i="118"/>
  <c r="O332" i="118"/>
  <c r="O333" i="118"/>
  <c r="O334" i="118"/>
  <c r="T331" i="118"/>
  <c r="H335" i="118"/>
  <c r="H336" i="118"/>
  <c r="H337" i="118"/>
  <c r="O335" i="118"/>
  <c r="H338" i="118"/>
  <c r="O336" i="118"/>
  <c r="O337" i="118"/>
  <c r="O338" i="118"/>
  <c r="T335" i="118"/>
  <c r="T519" i="118"/>
  <c r="S267" i="118"/>
  <c r="S271" i="118"/>
  <c r="S275" i="118"/>
  <c r="S279" i="118"/>
  <c r="S283" i="118"/>
  <c r="S287" i="118"/>
  <c r="S291" i="118"/>
  <c r="S295" i="118"/>
  <c r="S299" i="118"/>
  <c r="S303" i="118"/>
  <c r="S307" i="118"/>
  <c r="S311" i="118"/>
  <c r="S315" i="118"/>
  <c r="S319" i="118"/>
  <c r="S323" i="118"/>
  <c r="S327" i="118"/>
  <c r="S331" i="118"/>
  <c r="S335" i="118"/>
  <c r="S519" i="118"/>
  <c r="R267" i="118"/>
  <c r="R271" i="118"/>
  <c r="R275" i="118"/>
  <c r="R279" i="118"/>
  <c r="R283" i="118"/>
  <c r="R287" i="118"/>
  <c r="R291" i="118"/>
  <c r="R295" i="118"/>
  <c r="R299" i="118"/>
  <c r="R303" i="118"/>
  <c r="R307" i="118"/>
  <c r="R311" i="118"/>
  <c r="R315" i="118"/>
  <c r="R319" i="118"/>
  <c r="R323" i="118"/>
  <c r="R327" i="118"/>
  <c r="R331" i="118"/>
  <c r="R335" i="118"/>
  <c r="R519" i="118"/>
  <c r="Q267" i="118"/>
  <c r="Q271" i="118"/>
  <c r="Q275" i="118"/>
  <c r="Q279" i="118"/>
  <c r="Q283" i="118"/>
  <c r="Q287" i="118"/>
  <c r="Q291" i="118"/>
  <c r="Q295" i="118"/>
  <c r="Q299" i="118"/>
  <c r="Q303" i="118"/>
  <c r="Q307" i="118"/>
  <c r="Q311" i="118"/>
  <c r="Q315" i="118"/>
  <c r="Q319" i="118"/>
  <c r="Q323" i="118"/>
  <c r="Q327" i="118"/>
  <c r="Q331" i="118"/>
  <c r="Q335" i="118"/>
  <c r="Q519" i="118"/>
  <c r="H9" i="118"/>
  <c r="H10" i="118"/>
  <c r="H11" i="118"/>
  <c r="O9" i="118"/>
  <c r="H12" i="118"/>
  <c r="O10" i="118"/>
  <c r="O11" i="118"/>
  <c r="O12" i="118"/>
  <c r="T9" i="118"/>
  <c r="H13" i="118"/>
  <c r="H14" i="118"/>
  <c r="H15" i="118"/>
  <c r="O13" i="118"/>
  <c r="H16" i="118"/>
  <c r="O14" i="118"/>
  <c r="O15" i="118"/>
  <c r="O16" i="118"/>
  <c r="T13" i="118"/>
  <c r="H17" i="118"/>
  <c r="H18" i="118"/>
  <c r="H19" i="118"/>
  <c r="O17" i="118"/>
  <c r="H20" i="118"/>
  <c r="O18" i="118"/>
  <c r="O19" i="118"/>
  <c r="O20" i="118"/>
  <c r="T17" i="118"/>
  <c r="H21" i="118"/>
  <c r="H22" i="118"/>
  <c r="H23" i="118"/>
  <c r="O21" i="118"/>
  <c r="H24" i="118"/>
  <c r="O22" i="118"/>
  <c r="O23" i="118"/>
  <c r="O24" i="118"/>
  <c r="T21" i="118"/>
  <c r="H25" i="118"/>
  <c r="H26" i="118"/>
  <c r="H27" i="118"/>
  <c r="O25" i="118"/>
  <c r="H28" i="118"/>
  <c r="O26" i="118"/>
  <c r="O27" i="118"/>
  <c r="O28" i="118"/>
  <c r="T25" i="118"/>
  <c r="H29" i="118"/>
  <c r="H30" i="118"/>
  <c r="H31" i="118"/>
  <c r="O29" i="118"/>
  <c r="H32" i="118"/>
  <c r="O30" i="118"/>
  <c r="O31" i="118"/>
  <c r="O32" i="118"/>
  <c r="T29" i="118"/>
  <c r="H33" i="118"/>
  <c r="H34" i="118"/>
  <c r="H35" i="118"/>
  <c r="O33" i="118"/>
  <c r="H36" i="118"/>
  <c r="O34" i="118"/>
  <c r="O35" i="118"/>
  <c r="O36" i="118"/>
  <c r="T33" i="118"/>
  <c r="H37" i="118"/>
  <c r="H38" i="118"/>
  <c r="H39" i="118"/>
  <c r="O37" i="118"/>
  <c r="H40" i="118"/>
  <c r="O38" i="118"/>
  <c r="O39" i="118"/>
  <c r="O40" i="118"/>
  <c r="T37" i="118"/>
  <c r="H41" i="118"/>
  <c r="H42" i="118"/>
  <c r="H43" i="118"/>
  <c r="O41" i="118"/>
  <c r="H44" i="118"/>
  <c r="O42" i="118"/>
  <c r="O43" i="118"/>
  <c r="O44" i="118"/>
  <c r="T41" i="118"/>
  <c r="H45" i="118"/>
  <c r="H46" i="118"/>
  <c r="H47" i="118"/>
  <c r="O45" i="118"/>
  <c r="H48" i="118"/>
  <c r="O46" i="118"/>
  <c r="O47" i="118"/>
  <c r="O48" i="118"/>
  <c r="T45" i="118"/>
  <c r="H49" i="118"/>
  <c r="H50" i="118"/>
  <c r="H51" i="118"/>
  <c r="O49" i="118"/>
  <c r="H52" i="118"/>
  <c r="O50" i="118"/>
  <c r="O51" i="118"/>
  <c r="O52" i="118"/>
  <c r="T49" i="118"/>
  <c r="H53" i="118"/>
  <c r="H54" i="118"/>
  <c r="H55" i="118"/>
  <c r="O53" i="118"/>
  <c r="H56" i="118"/>
  <c r="O54" i="118"/>
  <c r="O55" i="118"/>
  <c r="O56" i="118"/>
  <c r="T53" i="118"/>
  <c r="H57" i="118"/>
  <c r="H58" i="118"/>
  <c r="H59" i="118"/>
  <c r="O57" i="118"/>
  <c r="H60" i="118"/>
  <c r="O58" i="118"/>
  <c r="O59" i="118"/>
  <c r="O60" i="118"/>
  <c r="T57" i="118"/>
  <c r="H61" i="118"/>
  <c r="H62" i="118"/>
  <c r="H63" i="118"/>
  <c r="O61" i="118"/>
  <c r="H64" i="118"/>
  <c r="O62" i="118"/>
  <c r="O63" i="118"/>
  <c r="O64" i="118"/>
  <c r="T61" i="118"/>
  <c r="H65" i="118"/>
  <c r="H66" i="118"/>
  <c r="H67" i="118"/>
  <c r="O65" i="118"/>
  <c r="H68" i="118"/>
  <c r="O66" i="118"/>
  <c r="O67" i="118"/>
  <c r="O68" i="118"/>
  <c r="T65" i="118"/>
  <c r="H69" i="118"/>
  <c r="H70" i="118"/>
  <c r="H71" i="118"/>
  <c r="O69" i="118"/>
  <c r="H72" i="118"/>
  <c r="O70" i="118"/>
  <c r="O71" i="118"/>
  <c r="O72" i="118"/>
  <c r="T69" i="118"/>
  <c r="H73" i="118"/>
  <c r="H74" i="118"/>
  <c r="H75" i="118"/>
  <c r="O73" i="118"/>
  <c r="H76" i="118"/>
  <c r="O74" i="118"/>
  <c r="O75" i="118"/>
  <c r="O76" i="118"/>
  <c r="T73" i="118"/>
  <c r="H77" i="118"/>
  <c r="H78" i="118"/>
  <c r="H79" i="118"/>
  <c r="O77" i="118"/>
  <c r="H80" i="118"/>
  <c r="O78" i="118"/>
  <c r="O79" i="118"/>
  <c r="O80" i="118"/>
  <c r="T77" i="118"/>
  <c r="T261" i="118"/>
  <c r="S9" i="118"/>
  <c r="S13" i="118"/>
  <c r="S17" i="118"/>
  <c r="S21" i="118"/>
  <c r="S25" i="118"/>
  <c r="S29" i="118"/>
  <c r="S33" i="118"/>
  <c r="S37" i="118"/>
  <c r="S41" i="118"/>
  <c r="S45" i="118"/>
  <c r="S49" i="118"/>
  <c r="S53" i="118"/>
  <c r="S57" i="118"/>
  <c r="S61" i="118"/>
  <c r="S65" i="118"/>
  <c r="S69" i="118"/>
  <c r="S73" i="118"/>
  <c r="S77" i="118"/>
  <c r="S261" i="118"/>
  <c r="R9" i="118"/>
  <c r="R13" i="118"/>
  <c r="R17" i="118"/>
  <c r="R21" i="118"/>
  <c r="R25" i="118"/>
  <c r="R29" i="118"/>
  <c r="R33" i="118"/>
  <c r="R37" i="118"/>
  <c r="R41" i="118"/>
  <c r="R45" i="118"/>
  <c r="R49" i="118"/>
  <c r="R53" i="118"/>
  <c r="R57" i="118"/>
  <c r="R61" i="118"/>
  <c r="R65" i="118"/>
  <c r="R69" i="118"/>
  <c r="R73" i="118"/>
  <c r="R77" i="118"/>
  <c r="R261" i="118"/>
  <c r="Q9" i="118"/>
  <c r="Q13" i="118"/>
  <c r="Q17" i="118"/>
  <c r="Q21" i="118"/>
  <c r="Q25" i="118"/>
  <c r="Q29" i="118"/>
  <c r="Q33" i="118"/>
  <c r="Q37" i="118"/>
  <c r="Q41" i="118"/>
  <c r="Q45" i="118"/>
  <c r="Q49" i="118"/>
  <c r="Q53" i="118"/>
  <c r="Q57" i="118"/>
  <c r="Q61" i="118"/>
  <c r="Q65" i="118"/>
  <c r="Q69" i="118"/>
  <c r="Q73" i="118"/>
  <c r="Q77" i="118"/>
  <c r="Q261" i="118"/>
  <c r="U9" i="118"/>
  <c r="U10" i="118"/>
  <c r="U11" i="118"/>
  <c r="U12" i="118"/>
  <c r="U13" i="118"/>
  <c r="U14" i="118"/>
  <c r="U15" i="118"/>
  <c r="U1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U261" i="118"/>
  <c r="U267" i="126"/>
  <c r="U268" i="126"/>
  <c r="U269" i="126"/>
  <c r="U270" i="126"/>
  <c r="U271" i="126"/>
  <c r="U272" i="126"/>
  <c r="U273" i="126"/>
  <c r="U274" i="126"/>
  <c r="U275" i="126"/>
  <c r="U276" i="126"/>
  <c r="U277" i="126"/>
  <c r="U278" i="126"/>
  <c r="U279" i="126"/>
  <c r="U280" i="126"/>
  <c r="U281" i="126"/>
  <c r="U282" i="126"/>
  <c r="U283" i="126"/>
  <c r="U284" i="126"/>
  <c r="U285" i="126"/>
  <c r="U286" i="126"/>
  <c r="U287" i="126"/>
  <c r="U288" i="126"/>
  <c r="U289" i="126"/>
  <c r="U290" i="126"/>
  <c r="U291" i="126"/>
  <c r="U292" i="126"/>
  <c r="U293" i="126"/>
  <c r="U294" i="126"/>
  <c r="U295" i="126"/>
  <c r="U296" i="126"/>
  <c r="U297" i="126"/>
  <c r="U298" i="126"/>
  <c r="U299" i="126"/>
  <c r="U300" i="126"/>
  <c r="U301" i="126"/>
  <c r="U302" i="126"/>
  <c r="U303" i="126"/>
  <c r="U304" i="126"/>
  <c r="U305" i="126"/>
  <c r="U306" i="126"/>
  <c r="U307" i="126"/>
  <c r="U308" i="126"/>
  <c r="U309" i="126"/>
  <c r="U310" i="126"/>
  <c r="U311" i="126"/>
  <c r="U312" i="126"/>
  <c r="U313" i="126"/>
  <c r="U314" i="126"/>
  <c r="U315" i="126"/>
  <c r="U316" i="126"/>
  <c r="U317" i="126"/>
  <c r="U318" i="126"/>
  <c r="U319" i="126"/>
  <c r="U320" i="126"/>
  <c r="U321" i="126"/>
  <c r="U322" i="126"/>
  <c r="U323" i="126"/>
  <c r="U324" i="126"/>
  <c r="U325" i="126"/>
  <c r="U326" i="126"/>
  <c r="U327" i="126"/>
  <c r="U328" i="126"/>
  <c r="U329" i="126"/>
  <c r="U330" i="126"/>
  <c r="U331" i="126"/>
  <c r="U332" i="126"/>
  <c r="U333" i="126"/>
  <c r="U334" i="126"/>
  <c r="U335" i="126"/>
  <c r="U336" i="126"/>
  <c r="U337" i="126"/>
  <c r="U338" i="126"/>
  <c r="U519" i="126"/>
  <c r="H267" i="126"/>
  <c r="H268" i="126"/>
  <c r="H269" i="126"/>
  <c r="O267" i="126"/>
  <c r="H270" i="126"/>
  <c r="O268" i="126"/>
  <c r="O269" i="126"/>
  <c r="O270" i="126"/>
  <c r="H271" i="126"/>
  <c r="H272" i="126"/>
  <c r="H273" i="126"/>
  <c r="O271" i="126"/>
  <c r="H274" i="126"/>
  <c r="O272" i="126"/>
  <c r="O273" i="126"/>
  <c r="O274" i="126"/>
  <c r="H275" i="126"/>
  <c r="H276" i="126"/>
  <c r="H277" i="126"/>
  <c r="O275" i="126"/>
  <c r="H278" i="126"/>
  <c r="O276" i="126"/>
  <c r="O277" i="126"/>
  <c r="O278" i="126"/>
  <c r="H279" i="126"/>
  <c r="H280" i="126"/>
  <c r="H281" i="126"/>
  <c r="O279" i="126"/>
  <c r="H282" i="126"/>
  <c r="O280" i="126"/>
  <c r="O281" i="126"/>
  <c r="O282" i="126"/>
  <c r="H283" i="126"/>
  <c r="H284" i="126"/>
  <c r="H285" i="126"/>
  <c r="O283" i="126"/>
  <c r="H286" i="126"/>
  <c r="O284" i="126"/>
  <c r="O285" i="126"/>
  <c r="O286" i="126"/>
  <c r="H287" i="126"/>
  <c r="H288" i="126"/>
  <c r="H289" i="126"/>
  <c r="O287" i="126"/>
  <c r="H290" i="126"/>
  <c r="O288" i="126"/>
  <c r="O289" i="126"/>
  <c r="O290" i="126"/>
  <c r="H291" i="126"/>
  <c r="H292" i="126"/>
  <c r="H293" i="126"/>
  <c r="O291" i="126"/>
  <c r="H294" i="126"/>
  <c r="O292" i="126"/>
  <c r="O293" i="126"/>
  <c r="O294" i="126"/>
  <c r="H295" i="126"/>
  <c r="H296" i="126"/>
  <c r="H297" i="126"/>
  <c r="O295" i="126"/>
  <c r="H298" i="126"/>
  <c r="O296" i="126"/>
  <c r="O297" i="126"/>
  <c r="O298" i="126"/>
  <c r="H299" i="126"/>
  <c r="H300" i="126"/>
  <c r="H301" i="126"/>
  <c r="O299" i="126"/>
  <c r="H302" i="126"/>
  <c r="O300" i="126"/>
  <c r="O301" i="126"/>
  <c r="O302" i="126"/>
  <c r="H303" i="126"/>
  <c r="H304" i="126"/>
  <c r="H305" i="126"/>
  <c r="O303" i="126"/>
  <c r="H306" i="126"/>
  <c r="O304" i="126"/>
  <c r="O305" i="126"/>
  <c r="O306" i="126"/>
  <c r="H307" i="126"/>
  <c r="H308" i="126"/>
  <c r="H309" i="126"/>
  <c r="O307" i="126"/>
  <c r="H310" i="126"/>
  <c r="O308" i="126"/>
  <c r="O309" i="126"/>
  <c r="O310" i="126"/>
  <c r="H311" i="126"/>
  <c r="H312" i="126"/>
  <c r="H313" i="126"/>
  <c r="O311" i="126"/>
  <c r="H314" i="126"/>
  <c r="O312" i="126"/>
  <c r="O313" i="126"/>
  <c r="O314" i="126"/>
  <c r="H315" i="126"/>
  <c r="H316" i="126"/>
  <c r="H317" i="126"/>
  <c r="O315" i="126"/>
  <c r="H318" i="126"/>
  <c r="O316" i="126"/>
  <c r="O317" i="126"/>
  <c r="O318" i="126"/>
  <c r="H319" i="126"/>
  <c r="H320" i="126"/>
  <c r="H321" i="126"/>
  <c r="O319" i="126"/>
  <c r="H322" i="126"/>
  <c r="O320" i="126"/>
  <c r="O321" i="126"/>
  <c r="O322" i="126"/>
  <c r="H323" i="126"/>
  <c r="H324" i="126"/>
  <c r="H325" i="126"/>
  <c r="O323" i="126"/>
  <c r="H326" i="126"/>
  <c r="O324" i="126"/>
  <c r="O325" i="126"/>
  <c r="O326" i="126"/>
  <c r="H327" i="126"/>
  <c r="H328" i="126"/>
  <c r="H329" i="126"/>
  <c r="O327" i="126"/>
  <c r="H330" i="126"/>
  <c r="O328" i="126"/>
  <c r="O329" i="126"/>
  <c r="O330" i="126"/>
  <c r="H331" i="126"/>
  <c r="H332" i="126"/>
  <c r="H333" i="126"/>
  <c r="O331" i="126"/>
  <c r="H334" i="126"/>
  <c r="O332" i="126"/>
  <c r="O333" i="126"/>
  <c r="O334" i="126"/>
  <c r="H335" i="126"/>
  <c r="H336" i="126"/>
  <c r="H337" i="126"/>
  <c r="O335" i="126"/>
  <c r="H338" i="126"/>
  <c r="O336" i="126"/>
  <c r="O337" i="126"/>
  <c r="O338" i="126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261" i="126"/>
  <c r="H9" i="126"/>
  <c r="H10" i="126"/>
  <c r="H11" i="126"/>
  <c r="O9" i="126"/>
  <c r="H12" i="126"/>
  <c r="O10" i="126"/>
  <c r="O11" i="126"/>
  <c r="O12" i="126"/>
  <c r="H13" i="126"/>
  <c r="H14" i="126"/>
  <c r="H15" i="126"/>
  <c r="O13" i="126"/>
  <c r="H16" i="126"/>
  <c r="O14" i="126"/>
  <c r="O15" i="126"/>
  <c r="O16" i="126"/>
  <c r="H17" i="126"/>
  <c r="H18" i="126"/>
  <c r="H19" i="126"/>
  <c r="O17" i="126"/>
  <c r="H20" i="126"/>
  <c r="O18" i="126"/>
  <c r="O19" i="126"/>
  <c r="O20" i="126"/>
  <c r="H21" i="126"/>
  <c r="H22" i="126"/>
  <c r="H23" i="126"/>
  <c r="O21" i="126"/>
  <c r="H24" i="126"/>
  <c r="O22" i="126"/>
  <c r="O23" i="126"/>
  <c r="O24" i="126"/>
  <c r="H25" i="126"/>
  <c r="H26" i="126"/>
  <c r="H27" i="126"/>
  <c r="O25" i="126"/>
  <c r="H28" i="126"/>
  <c r="O26" i="126"/>
  <c r="O27" i="126"/>
  <c r="O28" i="126"/>
  <c r="H29" i="126"/>
  <c r="H30" i="126"/>
  <c r="H31" i="126"/>
  <c r="O29" i="126"/>
  <c r="H32" i="126"/>
  <c r="O30" i="126"/>
  <c r="O31" i="126"/>
  <c r="O32" i="126"/>
  <c r="H33" i="126"/>
  <c r="H34" i="126"/>
  <c r="H35" i="126"/>
  <c r="O33" i="126"/>
  <c r="H36" i="126"/>
  <c r="O34" i="126"/>
  <c r="O35" i="126"/>
  <c r="O36" i="126"/>
  <c r="H37" i="126"/>
  <c r="H38" i="126"/>
  <c r="H39" i="126"/>
  <c r="O37" i="126"/>
  <c r="H40" i="126"/>
  <c r="O38" i="126"/>
  <c r="O39" i="126"/>
  <c r="O40" i="126"/>
  <c r="H41" i="126"/>
  <c r="H42" i="126"/>
  <c r="H43" i="126"/>
  <c r="O41" i="126"/>
  <c r="H44" i="126"/>
  <c r="O42" i="126"/>
  <c r="O43" i="126"/>
  <c r="O44" i="126"/>
  <c r="H45" i="126"/>
  <c r="H46" i="126"/>
  <c r="H47" i="126"/>
  <c r="O45" i="126"/>
  <c r="H48" i="126"/>
  <c r="O46" i="126"/>
  <c r="O47" i="126"/>
  <c r="O48" i="126"/>
  <c r="H49" i="126"/>
  <c r="H50" i="126"/>
  <c r="H51" i="126"/>
  <c r="O49" i="126"/>
  <c r="H52" i="126"/>
  <c r="O50" i="126"/>
  <c r="O51" i="126"/>
  <c r="O52" i="126"/>
  <c r="H53" i="126"/>
  <c r="H54" i="126"/>
  <c r="H55" i="126"/>
  <c r="O53" i="126"/>
  <c r="H56" i="126"/>
  <c r="O54" i="126"/>
  <c r="O55" i="126"/>
  <c r="O56" i="126"/>
  <c r="H57" i="126"/>
  <c r="H58" i="126"/>
  <c r="H59" i="126"/>
  <c r="O57" i="126"/>
  <c r="H60" i="126"/>
  <c r="O58" i="126"/>
  <c r="O59" i="126"/>
  <c r="O60" i="126"/>
  <c r="H61" i="126"/>
  <c r="H62" i="126"/>
  <c r="H63" i="126"/>
  <c r="O61" i="126"/>
  <c r="H64" i="126"/>
  <c r="O62" i="126"/>
  <c r="O63" i="126"/>
  <c r="O64" i="126"/>
  <c r="H65" i="126"/>
  <c r="H66" i="126"/>
  <c r="H67" i="126"/>
  <c r="O65" i="126"/>
  <c r="H68" i="126"/>
  <c r="O66" i="126"/>
  <c r="O67" i="126"/>
  <c r="O68" i="126"/>
  <c r="H69" i="126"/>
  <c r="H70" i="126"/>
  <c r="H71" i="126"/>
  <c r="O69" i="126"/>
  <c r="H72" i="126"/>
  <c r="O70" i="126"/>
  <c r="O71" i="126"/>
  <c r="O72" i="126"/>
  <c r="H73" i="126"/>
  <c r="H74" i="126"/>
  <c r="H75" i="126"/>
  <c r="O73" i="126"/>
  <c r="H76" i="126"/>
  <c r="O74" i="126"/>
  <c r="O75" i="126"/>
  <c r="O76" i="126"/>
  <c r="H77" i="126"/>
  <c r="H78" i="126"/>
  <c r="H79" i="126"/>
  <c r="O77" i="126"/>
  <c r="H80" i="126"/>
  <c r="O78" i="126"/>
  <c r="O79" i="126"/>
  <c r="O80" i="126"/>
  <c r="U267" i="128"/>
  <c r="U268" i="128"/>
  <c r="U269" i="128"/>
  <c r="U270" i="128"/>
  <c r="U271" i="128"/>
  <c r="U272" i="128"/>
  <c r="U273" i="128"/>
  <c r="U274" i="128"/>
  <c r="U275" i="128"/>
  <c r="U276" i="128"/>
  <c r="U277" i="128"/>
  <c r="U278" i="128"/>
  <c r="U279" i="128"/>
  <c r="U280" i="128"/>
  <c r="U281" i="128"/>
  <c r="U282" i="128"/>
  <c r="U283" i="128"/>
  <c r="U284" i="128"/>
  <c r="U285" i="128"/>
  <c r="U286" i="128"/>
  <c r="U287" i="128"/>
  <c r="U288" i="128"/>
  <c r="U289" i="128"/>
  <c r="U290" i="128"/>
  <c r="U291" i="128"/>
  <c r="U292" i="128"/>
  <c r="U293" i="128"/>
  <c r="U294" i="128"/>
  <c r="U295" i="128"/>
  <c r="U296" i="128"/>
  <c r="U297" i="128"/>
  <c r="U298" i="128"/>
  <c r="U299" i="128"/>
  <c r="U300" i="128"/>
  <c r="U301" i="128"/>
  <c r="U302" i="128"/>
  <c r="U303" i="128"/>
  <c r="U304" i="128"/>
  <c r="U305" i="128"/>
  <c r="U306" i="128"/>
  <c r="U307" i="128"/>
  <c r="U308" i="128"/>
  <c r="U309" i="128"/>
  <c r="U310" i="128"/>
  <c r="U311" i="128"/>
  <c r="U312" i="128"/>
  <c r="U313" i="128"/>
  <c r="U314" i="128"/>
  <c r="U315" i="128"/>
  <c r="U316" i="128"/>
  <c r="U317" i="128"/>
  <c r="U318" i="128"/>
  <c r="U319" i="128"/>
  <c r="U320" i="128"/>
  <c r="U321" i="128"/>
  <c r="U322" i="128"/>
  <c r="U323" i="128"/>
  <c r="U324" i="128"/>
  <c r="U325" i="128"/>
  <c r="U326" i="128"/>
  <c r="U327" i="128"/>
  <c r="U328" i="128"/>
  <c r="U329" i="128"/>
  <c r="U330" i="128"/>
  <c r="U331" i="128"/>
  <c r="U332" i="128"/>
  <c r="U333" i="128"/>
  <c r="U334" i="128"/>
  <c r="U335" i="128"/>
  <c r="U336" i="128"/>
  <c r="U337" i="128"/>
  <c r="U338" i="128"/>
  <c r="U519" i="128"/>
  <c r="H267" i="128"/>
  <c r="H268" i="128"/>
  <c r="H269" i="128"/>
  <c r="H270" i="128"/>
  <c r="H271" i="128"/>
  <c r="H272" i="128"/>
  <c r="H273" i="128"/>
  <c r="H274" i="128"/>
  <c r="H275" i="128"/>
  <c r="H276" i="128"/>
  <c r="H277" i="128"/>
  <c r="H278" i="128"/>
  <c r="H279" i="128"/>
  <c r="H280" i="128"/>
  <c r="H281" i="128"/>
  <c r="H282" i="128"/>
  <c r="H283" i="128"/>
  <c r="H284" i="128"/>
  <c r="H285" i="128"/>
  <c r="H286" i="128"/>
  <c r="H287" i="128"/>
  <c r="H288" i="128"/>
  <c r="H289" i="128"/>
  <c r="H290" i="128"/>
  <c r="H291" i="128"/>
  <c r="H292" i="128"/>
  <c r="H293" i="128"/>
  <c r="H294" i="128"/>
  <c r="H295" i="128"/>
  <c r="H296" i="128"/>
  <c r="H297" i="128"/>
  <c r="H298" i="128"/>
  <c r="H299" i="128"/>
  <c r="H300" i="128"/>
  <c r="H301" i="128"/>
  <c r="H302" i="128"/>
  <c r="H303" i="128"/>
  <c r="H304" i="128"/>
  <c r="H305" i="128"/>
  <c r="H306" i="128"/>
  <c r="H307" i="128"/>
  <c r="H308" i="128"/>
  <c r="H309" i="128"/>
  <c r="H310" i="128"/>
  <c r="H311" i="128"/>
  <c r="H312" i="128"/>
  <c r="H313" i="128"/>
  <c r="H314" i="128"/>
  <c r="H315" i="128"/>
  <c r="H316" i="128"/>
  <c r="H317" i="128"/>
  <c r="H318" i="128"/>
  <c r="H319" i="128"/>
  <c r="H320" i="128"/>
  <c r="H321" i="128"/>
  <c r="H322" i="128"/>
  <c r="H323" i="128"/>
  <c r="H324" i="128"/>
  <c r="H325" i="128"/>
  <c r="H326" i="128"/>
  <c r="H327" i="128"/>
  <c r="H328" i="128"/>
  <c r="H329" i="128"/>
  <c r="H330" i="128"/>
  <c r="H331" i="128"/>
  <c r="H332" i="128"/>
  <c r="H333" i="128"/>
  <c r="H334" i="128"/>
  <c r="H335" i="128"/>
  <c r="H336" i="128"/>
  <c r="H337" i="128"/>
  <c r="H338" i="128"/>
  <c r="H9" i="128"/>
  <c r="H10" i="128"/>
  <c r="H11" i="128"/>
  <c r="H12" i="128"/>
  <c r="H13" i="128"/>
  <c r="H14" i="128"/>
  <c r="H15" i="128"/>
  <c r="H16" i="128"/>
  <c r="H17" i="128"/>
  <c r="H18" i="128"/>
  <c r="H19" i="128"/>
  <c r="H20" i="128"/>
  <c r="H21" i="128"/>
  <c r="H22" i="128"/>
  <c r="H23" i="128"/>
  <c r="H24" i="128"/>
  <c r="H25" i="128"/>
  <c r="H26" i="128"/>
  <c r="H27" i="128"/>
  <c r="H28" i="128"/>
  <c r="H29" i="128"/>
  <c r="H30" i="128"/>
  <c r="H31" i="128"/>
  <c r="H32" i="128"/>
  <c r="H33" i="128"/>
  <c r="H34" i="128"/>
  <c r="H35" i="128"/>
  <c r="H36" i="128"/>
  <c r="H37" i="128"/>
  <c r="H38" i="128"/>
  <c r="H39" i="128"/>
  <c r="H40" i="128"/>
  <c r="H41" i="128"/>
  <c r="H42" i="128"/>
  <c r="H43" i="128"/>
  <c r="H44" i="128"/>
  <c r="H45" i="128"/>
  <c r="H46" i="128"/>
  <c r="H47" i="128"/>
  <c r="H48" i="128"/>
  <c r="H49" i="128"/>
  <c r="H50" i="128"/>
  <c r="H51" i="128"/>
  <c r="H52" i="128"/>
  <c r="H53" i="128"/>
  <c r="H54" i="128"/>
  <c r="H55" i="128"/>
  <c r="H56" i="128"/>
  <c r="H57" i="128"/>
  <c r="H58" i="128"/>
  <c r="H59" i="128"/>
  <c r="H60" i="128"/>
  <c r="H61" i="128"/>
  <c r="H62" i="128"/>
  <c r="H63" i="128"/>
  <c r="H64" i="128"/>
  <c r="H65" i="128"/>
  <c r="H66" i="128"/>
  <c r="H67" i="128"/>
  <c r="H68" i="128"/>
  <c r="H69" i="128"/>
  <c r="H70" i="128"/>
  <c r="H71" i="128"/>
  <c r="H72" i="128"/>
  <c r="H73" i="128"/>
  <c r="H74" i="128"/>
  <c r="H75" i="128"/>
  <c r="H76" i="128"/>
  <c r="H77" i="128"/>
  <c r="H78" i="128"/>
  <c r="H79" i="128"/>
  <c r="H80" i="128"/>
  <c r="U9" i="128"/>
  <c r="U10" i="128"/>
  <c r="U11" i="128"/>
  <c r="U12" i="128"/>
  <c r="U13" i="128"/>
  <c r="U14" i="128"/>
  <c r="U15" i="128"/>
  <c r="U16" i="128"/>
  <c r="U17" i="128"/>
  <c r="U18" i="128"/>
  <c r="U19" i="128"/>
  <c r="U20" i="128"/>
  <c r="U21" i="128"/>
  <c r="U22" i="128"/>
  <c r="U23" i="128"/>
  <c r="U24" i="128"/>
  <c r="U25" i="128"/>
  <c r="U26" i="128"/>
  <c r="U27" i="128"/>
  <c r="U28" i="128"/>
  <c r="U29" i="128"/>
  <c r="U30" i="128"/>
  <c r="U31" i="128"/>
  <c r="U32" i="128"/>
  <c r="U33" i="128"/>
  <c r="U34" i="128"/>
  <c r="U35" i="128"/>
  <c r="U36" i="128"/>
  <c r="U37" i="128"/>
  <c r="U38" i="128"/>
  <c r="U39" i="128"/>
  <c r="U40" i="128"/>
  <c r="U41" i="128"/>
  <c r="U42" i="128"/>
  <c r="U43" i="128"/>
  <c r="U44" i="128"/>
  <c r="U45" i="128"/>
  <c r="U46" i="128"/>
  <c r="U47" i="128"/>
  <c r="U48" i="128"/>
  <c r="U49" i="128"/>
  <c r="U50" i="128"/>
  <c r="U51" i="128"/>
  <c r="U52" i="128"/>
  <c r="U53" i="128"/>
  <c r="U54" i="128"/>
  <c r="U55" i="128"/>
  <c r="U56" i="128"/>
  <c r="U57" i="128"/>
  <c r="U58" i="128"/>
  <c r="U59" i="128"/>
  <c r="U60" i="128"/>
  <c r="U61" i="128"/>
  <c r="U62" i="128"/>
  <c r="U63" i="128"/>
  <c r="U64" i="128"/>
  <c r="U65" i="128"/>
  <c r="U66" i="128"/>
  <c r="U67" i="128"/>
  <c r="U68" i="128"/>
  <c r="U69" i="128"/>
  <c r="U70" i="128"/>
  <c r="U71" i="128"/>
  <c r="U72" i="128"/>
  <c r="U73" i="128"/>
  <c r="U74" i="128"/>
  <c r="U75" i="128"/>
  <c r="U76" i="128"/>
  <c r="U77" i="128"/>
  <c r="U78" i="128"/>
  <c r="U79" i="128"/>
  <c r="U80" i="128"/>
  <c r="U261" i="128"/>
  <c r="H9" i="112"/>
  <c r="H10" i="112"/>
  <c r="H11" i="112"/>
  <c r="O9" i="112"/>
  <c r="H12" i="112"/>
  <c r="O10" i="112"/>
  <c r="O11" i="112"/>
  <c r="O12" i="112"/>
  <c r="H13" i="112"/>
  <c r="H14" i="112"/>
  <c r="H15" i="112"/>
  <c r="H16" i="112"/>
  <c r="H17" i="112"/>
  <c r="H18" i="112"/>
  <c r="H19" i="112"/>
  <c r="O17" i="112"/>
  <c r="H20" i="112"/>
  <c r="O18" i="112"/>
  <c r="O19" i="112"/>
  <c r="O20" i="112"/>
  <c r="H21" i="112"/>
  <c r="H22" i="112"/>
  <c r="H23" i="112"/>
  <c r="O21" i="112"/>
  <c r="H24" i="112"/>
  <c r="O22" i="112"/>
  <c r="O23" i="112"/>
  <c r="O24" i="112"/>
  <c r="H25" i="112"/>
  <c r="H26" i="112"/>
  <c r="H27" i="112"/>
  <c r="O25" i="112"/>
  <c r="H28" i="112"/>
  <c r="O26" i="112"/>
  <c r="O27" i="112"/>
  <c r="O28" i="112"/>
  <c r="H29" i="112"/>
  <c r="H30" i="112"/>
  <c r="H31" i="112"/>
  <c r="O29" i="112"/>
  <c r="H32" i="112"/>
  <c r="O30" i="112"/>
  <c r="O31" i="112"/>
  <c r="O32" i="112"/>
  <c r="H33" i="112"/>
  <c r="H34" i="112"/>
  <c r="H35" i="112"/>
  <c r="O33" i="112"/>
  <c r="H36" i="112"/>
  <c r="O34" i="112"/>
  <c r="O35" i="112"/>
  <c r="O36" i="112"/>
  <c r="H37" i="112"/>
  <c r="H38" i="112"/>
  <c r="H39" i="112"/>
  <c r="O37" i="112"/>
  <c r="H40" i="112"/>
  <c r="O38" i="112"/>
  <c r="O39" i="112"/>
  <c r="O40" i="112"/>
  <c r="H41" i="112"/>
  <c r="H42" i="112"/>
  <c r="H43" i="112"/>
  <c r="O41" i="112"/>
  <c r="H44" i="112"/>
  <c r="O42" i="112"/>
  <c r="O43" i="112"/>
  <c r="O44" i="112"/>
  <c r="H45" i="112"/>
  <c r="H46" i="112"/>
  <c r="H47" i="112"/>
  <c r="O45" i="112"/>
  <c r="H48" i="112"/>
  <c r="O46" i="112"/>
  <c r="O47" i="112"/>
  <c r="O48" i="112"/>
  <c r="H49" i="112"/>
  <c r="H50" i="112"/>
  <c r="H51" i="112"/>
  <c r="O49" i="112"/>
  <c r="H52" i="112"/>
  <c r="O50" i="112"/>
  <c r="O51" i="112"/>
  <c r="O52" i="112"/>
  <c r="H53" i="112"/>
  <c r="H54" i="112"/>
  <c r="H55" i="112"/>
  <c r="O53" i="112"/>
  <c r="H56" i="112"/>
  <c r="O54" i="112"/>
  <c r="O55" i="112"/>
  <c r="O56" i="112"/>
  <c r="H57" i="112"/>
  <c r="H58" i="112"/>
  <c r="H59" i="112"/>
  <c r="O57" i="112"/>
  <c r="H60" i="112"/>
  <c r="O58" i="112"/>
  <c r="O59" i="112"/>
  <c r="O60" i="112"/>
  <c r="H61" i="112"/>
  <c r="H62" i="112"/>
  <c r="H63" i="112"/>
  <c r="O61" i="112"/>
  <c r="H64" i="112"/>
  <c r="O62" i="112"/>
  <c r="O63" i="112"/>
  <c r="O64" i="112"/>
  <c r="H65" i="112"/>
  <c r="H66" i="112"/>
  <c r="H67" i="112"/>
  <c r="O65" i="112"/>
  <c r="H68" i="112"/>
  <c r="O66" i="112"/>
  <c r="O67" i="112"/>
  <c r="O68" i="112"/>
  <c r="H69" i="112"/>
  <c r="H70" i="112"/>
  <c r="H71" i="112"/>
  <c r="O69" i="112"/>
  <c r="H72" i="112"/>
  <c r="O70" i="112"/>
  <c r="O71" i="112"/>
  <c r="O72" i="112"/>
  <c r="H73" i="112"/>
  <c r="H74" i="112"/>
  <c r="H75" i="112"/>
  <c r="O73" i="112"/>
  <c r="H76" i="112"/>
  <c r="O74" i="112"/>
  <c r="O75" i="112"/>
  <c r="O76" i="112"/>
  <c r="H77" i="112"/>
  <c r="H78" i="112"/>
  <c r="H79" i="112"/>
  <c r="O77" i="112"/>
  <c r="H80" i="112"/>
  <c r="O78" i="112"/>
  <c r="O79" i="112"/>
  <c r="O80" i="112"/>
  <c r="U9" i="112"/>
  <c r="U10" i="112"/>
  <c r="U11" i="112"/>
  <c r="U12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H268" i="112"/>
  <c r="H269" i="112"/>
  <c r="H270" i="112"/>
  <c r="O268" i="112"/>
  <c r="H271" i="112"/>
  <c r="O269" i="112"/>
  <c r="O270" i="112"/>
  <c r="O271" i="112"/>
  <c r="H272" i="112"/>
  <c r="H273" i="112"/>
  <c r="H274" i="112"/>
  <c r="O272" i="112"/>
  <c r="H275" i="112"/>
  <c r="O273" i="112"/>
  <c r="O274" i="112"/>
  <c r="O275" i="112"/>
  <c r="H276" i="112"/>
  <c r="H277" i="112"/>
  <c r="H278" i="112"/>
  <c r="O276" i="112"/>
  <c r="H279" i="112"/>
  <c r="O277" i="112"/>
  <c r="O278" i="112"/>
  <c r="O279" i="112"/>
  <c r="H280" i="112"/>
  <c r="H281" i="112"/>
  <c r="H282" i="112"/>
  <c r="O280" i="112"/>
  <c r="H283" i="112"/>
  <c r="O281" i="112"/>
  <c r="O282" i="112"/>
  <c r="O283" i="112"/>
  <c r="H284" i="112"/>
  <c r="H285" i="112"/>
  <c r="H286" i="112"/>
  <c r="O284" i="112"/>
  <c r="H287" i="112"/>
  <c r="O285" i="112"/>
  <c r="O286" i="112"/>
  <c r="O287" i="112"/>
  <c r="H288" i="112"/>
  <c r="H289" i="112"/>
  <c r="H290" i="112"/>
  <c r="O288" i="112"/>
  <c r="H291" i="112"/>
  <c r="O289" i="112"/>
  <c r="O290" i="112"/>
  <c r="O291" i="112"/>
  <c r="H292" i="112"/>
  <c r="H293" i="112"/>
  <c r="H294" i="112"/>
  <c r="O292" i="112"/>
  <c r="H295" i="112"/>
  <c r="O293" i="112"/>
  <c r="O294" i="112"/>
  <c r="O295" i="112"/>
  <c r="H296" i="112"/>
  <c r="H297" i="112"/>
  <c r="H298" i="112"/>
  <c r="O296" i="112"/>
  <c r="H299" i="112"/>
  <c r="O297" i="112"/>
  <c r="O298" i="112"/>
  <c r="O299" i="112"/>
  <c r="H300" i="112"/>
  <c r="H301" i="112"/>
  <c r="H302" i="112"/>
  <c r="O300" i="112"/>
  <c r="H303" i="112"/>
  <c r="O301" i="112"/>
  <c r="O302" i="112"/>
  <c r="O303" i="112"/>
  <c r="H304" i="112"/>
  <c r="H305" i="112"/>
  <c r="H306" i="112"/>
  <c r="O304" i="112"/>
  <c r="H307" i="112"/>
  <c r="O305" i="112"/>
  <c r="O306" i="112"/>
  <c r="O307" i="112"/>
  <c r="H308" i="112"/>
  <c r="H309" i="112"/>
  <c r="H310" i="112"/>
  <c r="O308" i="112"/>
  <c r="H311" i="112"/>
  <c r="O309" i="112"/>
  <c r="O310" i="112"/>
  <c r="O311" i="112"/>
  <c r="H312" i="112"/>
  <c r="H313" i="112"/>
  <c r="H314" i="112"/>
  <c r="O312" i="112"/>
  <c r="H315" i="112"/>
  <c r="O313" i="112"/>
  <c r="O314" i="112"/>
  <c r="O315" i="112"/>
  <c r="H316" i="112"/>
  <c r="H317" i="112"/>
  <c r="H318" i="112"/>
  <c r="O316" i="112"/>
  <c r="H319" i="112"/>
  <c r="O317" i="112"/>
  <c r="O318" i="112"/>
  <c r="O319" i="112"/>
  <c r="H320" i="112"/>
  <c r="H321" i="112"/>
  <c r="H322" i="112"/>
  <c r="O320" i="112"/>
  <c r="H323" i="112"/>
  <c r="O321" i="112"/>
  <c r="O322" i="112"/>
  <c r="O323" i="112"/>
  <c r="H324" i="112"/>
  <c r="H325" i="112"/>
  <c r="H326" i="112"/>
  <c r="O324" i="112"/>
  <c r="H327" i="112"/>
  <c r="O325" i="112"/>
  <c r="O326" i="112"/>
  <c r="O327" i="112"/>
  <c r="H328" i="112"/>
  <c r="H329" i="112"/>
  <c r="H330" i="112"/>
  <c r="O328" i="112"/>
  <c r="H331" i="112"/>
  <c r="O329" i="112"/>
  <c r="O330" i="112"/>
  <c r="O331" i="112"/>
  <c r="H332" i="112"/>
  <c r="H333" i="112"/>
  <c r="H334" i="112"/>
  <c r="O332" i="112"/>
  <c r="H335" i="112"/>
  <c r="O333" i="112"/>
  <c r="O334" i="112"/>
  <c r="O335" i="112"/>
  <c r="H336" i="112"/>
  <c r="H337" i="112"/>
  <c r="H338" i="112"/>
  <c r="O336" i="112"/>
  <c r="H339" i="112"/>
  <c r="O337" i="112"/>
  <c r="O338" i="112"/>
  <c r="O339" i="112"/>
  <c r="U268" i="112"/>
  <c r="U269" i="112"/>
  <c r="U270" i="112"/>
  <c r="U271" i="112"/>
  <c r="U272" i="112"/>
  <c r="U273" i="112"/>
  <c r="U274" i="112"/>
  <c r="U275" i="112"/>
  <c r="U276" i="112"/>
  <c r="U277" i="112"/>
  <c r="U278" i="112"/>
  <c r="U279" i="112"/>
  <c r="U280" i="112"/>
  <c r="U281" i="112"/>
  <c r="U282" i="112"/>
  <c r="U283" i="112"/>
  <c r="U284" i="112"/>
  <c r="U285" i="112"/>
  <c r="U286" i="112"/>
  <c r="U287" i="112"/>
  <c r="U288" i="112"/>
  <c r="U289" i="112"/>
  <c r="U290" i="112"/>
  <c r="U291" i="112"/>
  <c r="U292" i="112"/>
  <c r="U293" i="112"/>
  <c r="U294" i="112"/>
  <c r="U295" i="112"/>
  <c r="U296" i="112"/>
  <c r="U297" i="112"/>
  <c r="U298" i="112"/>
  <c r="U299" i="112"/>
  <c r="U300" i="112"/>
  <c r="U301" i="112"/>
  <c r="U302" i="112"/>
  <c r="U303" i="112"/>
  <c r="U304" i="112"/>
  <c r="U305" i="112"/>
  <c r="U306" i="112"/>
  <c r="U307" i="112"/>
  <c r="U308" i="112"/>
  <c r="U309" i="112"/>
  <c r="U310" i="112"/>
  <c r="U311" i="112"/>
  <c r="U312" i="112"/>
  <c r="U313" i="112"/>
  <c r="U314" i="112"/>
  <c r="U315" i="112"/>
  <c r="U316" i="112"/>
  <c r="U317" i="112"/>
  <c r="U318" i="112"/>
  <c r="U319" i="112"/>
  <c r="U320" i="112"/>
  <c r="U321" i="112"/>
  <c r="U322" i="112"/>
  <c r="U323" i="112"/>
  <c r="U324" i="112"/>
  <c r="U325" i="112"/>
  <c r="U326" i="112"/>
  <c r="U327" i="112"/>
  <c r="U328" i="112"/>
  <c r="U329" i="112"/>
  <c r="U330" i="112"/>
  <c r="U331" i="112"/>
  <c r="U332" i="112"/>
  <c r="U333" i="112"/>
  <c r="U334" i="112"/>
  <c r="U335" i="112"/>
  <c r="U336" i="112"/>
  <c r="U337" i="112"/>
  <c r="U338" i="112"/>
  <c r="U339" i="112"/>
  <c r="U520" i="112"/>
  <c r="H339" i="128"/>
  <c r="H340" i="128"/>
  <c r="H341" i="128"/>
  <c r="H342" i="128"/>
  <c r="H343" i="128"/>
  <c r="H344" i="128"/>
  <c r="H345" i="128"/>
  <c r="H346" i="128"/>
  <c r="H347" i="128"/>
  <c r="H348" i="128"/>
  <c r="H349" i="128"/>
  <c r="H350" i="128"/>
  <c r="H351" i="128"/>
  <c r="H352" i="128"/>
  <c r="H353" i="128"/>
  <c r="H354" i="128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U125" i="153"/>
  <c r="U126" i="153"/>
  <c r="U127" i="153"/>
  <c r="U128" i="153"/>
  <c r="U129" i="153"/>
  <c r="U130" i="153"/>
  <c r="U131" i="153"/>
  <c r="U132" i="153"/>
  <c r="U133" i="153"/>
  <c r="U134" i="153"/>
  <c r="U135" i="153"/>
  <c r="U136" i="153"/>
  <c r="U137" i="153"/>
  <c r="U138" i="153"/>
  <c r="U139" i="153"/>
  <c r="U140" i="153"/>
  <c r="U141" i="153"/>
  <c r="U142" i="153"/>
  <c r="U143" i="153"/>
  <c r="U144" i="153"/>
  <c r="U145" i="153"/>
  <c r="U146" i="153"/>
  <c r="U147" i="153"/>
  <c r="U148" i="153"/>
  <c r="U149" i="153"/>
  <c r="U150" i="153"/>
  <c r="U151" i="153"/>
  <c r="U152" i="153"/>
  <c r="U153" i="153"/>
  <c r="U154" i="153"/>
  <c r="U155" i="153"/>
  <c r="U156" i="153"/>
  <c r="U157" i="153"/>
  <c r="U158" i="153"/>
  <c r="U159" i="153"/>
  <c r="U160" i="153"/>
  <c r="U161" i="153"/>
  <c r="U162" i="153"/>
  <c r="U163" i="153"/>
  <c r="U164" i="153"/>
  <c r="U165" i="153"/>
  <c r="U166" i="153"/>
  <c r="U167" i="153"/>
  <c r="U168" i="153"/>
  <c r="U169" i="153"/>
  <c r="U170" i="153"/>
  <c r="U171" i="153"/>
  <c r="U172" i="153"/>
  <c r="U173" i="153"/>
  <c r="U174" i="153"/>
  <c r="U175" i="153"/>
  <c r="U176" i="153"/>
  <c r="U177" i="153"/>
  <c r="U178" i="153"/>
  <c r="U179" i="153"/>
  <c r="U180" i="153"/>
  <c r="U181" i="153"/>
  <c r="U182" i="153"/>
  <c r="U183" i="153"/>
  <c r="U184" i="153"/>
  <c r="U185" i="153"/>
  <c r="U186" i="153"/>
  <c r="U187" i="153"/>
  <c r="U188" i="153"/>
  <c r="U189" i="153"/>
  <c r="U190" i="153"/>
  <c r="U191" i="153"/>
  <c r="U192" i="153"/>
  <c r="U193" i="153"/>
  <c r="U194" i="153"/>
  <c r="U195" i="153"/>
  <c r="U196" i="153"/>
  <c r="U197" i="153"/>
  <c r="U198" i="153"/>
  <c r="U199" i="153"/>
  <c r="U200" i="153"/>
  <c r="U201" i="153"/>
  <c r="U202" i="153"/>
  <c r="U203" i="153"/>
  <c r="U204" i="153"/>
  <c r="U205" i="153"/>
  <c r="U206" i="153"/>
  <c r="U207" i="153"/>
  <c r="U208" i="153"/>
  <c r="U209" i="153"/>
  <c r="U210" i="153"/>
  <c r="U211" i="153"/>
  <c r="U212" i="153"/>
  <c r="U213" i="153"/>
  <c r="U214" i="153"/>
  <c r="U215" i="153"/>
  <c r="U216" i="153"/>
  <c r="U217" i="153"/>
  <c r="U218" i="153"/>
  <c r="U219" i="153"/>
  <c r="U220" i="153"/>
  <c r="U221" i="153"/>
  <c r="U222" i="153"/>
  <c r="U223" i="153"/>
  <c r="U224" i="153"/>
  <c r="U225" i="153"/>
  <c r="U226" i="153"/>
  <c r="U227" i="153"/>
  <c r="U228" i="153"/>
  <c r="U229" i="153"/>
  <c r="U230" i="153"/>
  <c r="U231" i="153"/>
  <c r="U232" i="153"/>
  <c r="U233" i="153"/>
  <c r="U234" i="153"/>
  <c r="U235" i="153"/>
  <c r="U236" i="153"/>
  <c r="U237" i="153"/>
  <c r="U238" i="153"/>
  <c r="U239" i="153"/>
  <c r="U240" i="153"/>
  <c r="U241" i="153"/>
  <c r="U242" i="153"/>
  <c r="U243" i="153"/>
  <c r="U244" i="153"/>
  <c r="U245" i="153"/>
  <c r="U246" i="153"/>
  <c r="U247" i="153"/>
  <c r="U248" i="153"/>
  <c r="U249" i="153"/>
  <c r="U250" i="153"/>
  <c r="U251" i="153"/>
  <c r="U252" i="153"/>
  <c r="U253" i="153"/>
  <c r="U254" i="153"/>
  <c r="U255" i="153"/>
  <c r="U256" i="153"/>
  <c r="U257" i="153"/>
  <c r="U258" i="153"/>
  <c r="U259" i="153"/>
  <c r="U260" i="153"/>
  <c r="O9" i="153"/>
  <c r="O10" i="153"/>
  <c r="O11" i="153"/>
  <c r="O12" i="153"/>
  <c r="O13" i="153"/>
  <c r="O14" i="153"/>
  <c r="O15" i="153"/>
  <c r="O16" i="153"/>
  <c r="O17" i="153"/>
  <c r="O18" i="153"/>
  <c r="O19" i="153"/>
  <c r="O20" i="153"/>
  <c r="O21" i="153"/>
  <c r="O22" i="153"/>
  <c r="O23" i="153"/>
  <c r="O24" i="153"/>
  <c r="O25" i="153"/>
  <c r="O26" i="153"/>
  <c r="O27" i="153"/>
  <c r="O28" i="153"/>
  <c r="O29" i="153"/>
  <c r="O30" i="153"/>
  <c r="O31" i="153"/>
  <c r="O32" i="153"/>
  <c r="O33" i="153"/>
  <c r="O34" i="153"/>
  <c r="O35" i="153"/>
  <c r="O36" i="153"/>
  <c r="O37" i="153"/>
  <c r="O38" i="153"/>
  <c r="O39" i="153"/>
  <c r="O40" i="153"/>
  <c r="O41" i="153"/>
  <c r="O42" i="153"/>
  <c r="O43" i="153"/>
  <c r="O44" i="153"/>
  <c r="O45" i="153"/>
  <c r="O46" i="153"/>
  <c r="O47" i="153"/>
  <c r="O48" i="153"/>
  <c r="O49" i="153"/>
  <c r="O50" i="153"/>
  <c r="O51" i="153"/>
  <c r="O52" i="153"/>
  <c r="O53" i="153"/>
  <c r="O54" i="153"/>
  <c r="O55" i="153"/>
  <c r="O56" i="153"/>
  <c r="O57" i="153"/>
  <c r="O58" i="153"/>
  <c r="O59" i="153"/>
  <c r="O60" i="153"/>
  <c r="O61" i="153"/>
  <c r="O62" i="153"/>
  <c r="O63" i="153"/>
  <c r="O64" i="153"/>
  <c r="O65" i="153"/>
  <c r="O66" i="153"/>
  <c r="O67" i="153"/>
  <c r="O68" i="153"/>
  <c r="O69" i="153"/>
  <c r="O70" i="153"/>
  <c r="O71" i="153"/>
  <c r="O72" i="153"/>
  <c r="O73" i="153"/>
  <c r="O74" i="153"/>
  <c r="O75" i="153"/>
  <c r="O76" i="153"/>
  <c r="O77" i="153"/>
  <c r="O78" i="153"/>
  <c r="O79" i="153"/>
  <c r="O80" i="153"/>
  <c r="O81" i="153"/>
  <c r="O82" i="153"/>
  <c r="O83" i="153"/>
  <c r="O84" i="153"/>
  <c r="T81" i="153"/>
  <c r="O85" i="153"/>
  <c r="O86" i="153"/>
  <c r="O87" i="153"/>
  <c r="O88" i="153"/>
  <c r="T85" i="153"/>
  <c r="O89" i="153"/>
  <c r="O90" i="153"/>
  <c r="O91" i="153"/>
  <c r="O92" i="153"/>
  <c r="T89" i="153"/>
  <c r="O93" i="153"/>
  <c r="O94" i="153"/>
  <c r="O95" i="153"/>
  <c r="O96" i="153"/>
  <c r="T93" i="153"/>
  <c r="O97" i="153"/>
  <c r="O98" i="153"/>
  <c r="O99" i="153"/>
  <c r="O100" i="153"/>
  <c r="T97" i="153"/>
  <c r="O101" i="153"/>
  <c r="O102" i="153"/>
  <c r="O103" i="153"/>
  <c r="O104" i="153"/>
  <c r="T101" i="153"/>
  <c r="O105" i="153"/>
  <c r="O106" i="153"/>
  <c r="O107" i="153"/>
  <c r="O108" i="153"/>
  <c r="T105" i="153"/>
  <c r="O109" i="153"/>
  <c r="O110" i="153"/>
  <c r="O111" i="153"/>
  <c r="O112" i="153"/>
  <c r="T109" i="153"/>
  <c r="O113" i="153"/>
  <c r="O114" i="153"/>
  <c r="O115" i="153"/>
  <c r="O116" i="153"/>
  <c r="T113" i="153"/>
  <c r="O117" i="153"/>
  <c r="O118" i="153"/>
  <c r="O119" i="153"/>
  <c r="O120" i="153"/>
  <c r="T117" i="153"/>
  <c r="O121" i="153"/>
  <c r="O122" i="153"/>
  <c r="O123" i="153"/>
  <c r="O124" i="153"/>
  <c r="T121" i="153"/>
  <c r="O125" i="153"/>
  <c r="O126" i="153"/>
  <c r="O127" i="153"/>
  <c r="O128" i="153"/>
  <c r="T125" i="153"/>
  <c r="O129" i="153"/>
  <c r="O130" i="153"/>
  <c r="O131" i="153"/>
  <c r="O132" i="153"/>
  <c r="T129" i="153"/>
  <c r="O133" i="153"/>
  <c r="O134" i="153"/>
  <c r="O135" i="153"/>
  <c r="O136" i="153"/>
  <c r="T133" i="153"/>
  <c r="O137" i="153"/>
  <c r="O138" i="153"/>
  <c r="O139" i="153"/>
  <c r="O140" i="153"/>
  <c r="T137" i="153"/>
  <c r="O141" i="153"/>
  <c r="O142" i="153"/>
  <c r="O143" i="153"/>
  <c r="O144" i="153"/>
  <c r="T141" i="153"/>
  <c r="O145" i="153"/>
  <c r="O146" i="153"/>
  <c r="O147" i="153"/>
  <c r="O148" i="153"/>
  <c r="T145" i="153"/>
  <c r="O149" i="153"/>
  <c r="O150" i="153"/>
  <c r="O151" i="153"/>
  <c r="O152" i="153"/>
  <c r="T149" i="153"/>
  <c r="O153" i="153"/>
  <c r="O154" i="153"/>
  <c r="O155" i="153"/>
  <c r="O156" i="153"/>
  <c r="T153" i="153"/>
  <c r="O157" i="153"/>
  <c r="O158" i="153"/>
  <c r="O159" i="153"/>
  <c r="O160" i="153"/>
  <c r="T157" i="153"/>
  <c r="O161" i="153"/>
  <c r="O162" i="153"/>
  <c r="O163" i="153"/>
  <c r="O164" i="153"/>
  <c r="T161" i="153"/>
  <c r="O165" i="153"/>
  <c r="O166" i="153"/>
  <c r="O167" i="153"/>
  <c r="O168" i="153"/>
  <c r="T165" i="153"/>
  <c r="O169" i="153"/>
  <c r="O170" i="153"/>
  <c r="O171" i="153"/>
  <c r="O172" i="153"/>
  <c r="T169" i="153"/>
  <c r="O173" i="153"/>
  <c r="O174" i="153"/>
  <c r="O175" i="153"/>
  <c r="O176" i="153"/>
  <c r="T173" i="153"/>
  <c r="O177" i="153"/>
  <c r="O178" i="153"/>
  <c r="O179" i="153"/>
  <c r="O180" i="153"/>
  <c r="T177" i="153"/>
  <c r="O181" i="153"/>
  <c r="O182" i="153"/>
  <c r="O183" i="153"/>
  <c r="O184" i="153"/>
  <c r="T181" i="153"/>
  <c r="O185" i="153"/>
  <c r="O186" i="153"/>
  <c r="O187" i="153"/>
  <c r="O188" i="153"/>
  <c r="T185" i="153"/>
  <c r="O189" i="153"/>
  <c r="O190" i="153"/>
  <c r="O191" i="153"/>
  <c r="O192" i="153"/>
  <c r="T189" i="153"/>
  <c r="O193" i="153"/>
  <c r="O194" i="153"/>
  <c r="O195" i="153"/>
  <c r="O196" i="153"/>
  <c r="T193" i="153"/>
  <c r="O197" i="153"/>
  <c r="O198" i="153"/>
  <c r="O199" i="153"/>
  <c r="O200" i="153"/>
  <c r="T197" i="153"/>
  <c r="O201" i="153"/>
  <c r="O202" i="153"/>
  <c r="O203" i="153"/>
  <c r="O204" i="153"/>
  <c r="T201" i="153"/>
  <c r="O205" i="153"/>
  <c r="O206" i="153"/>
  <c r="O207" i="153"/>
  <c r="O208" i="153"/>
  <c r="T205" i="153"/>
  <c r="O209" i="153"/>
  <c r="O210" i="153"/>
  <c r="O211" i="153"/>
  <c r="O212" i="153"/>
  <c r="T209" i="153"/>
  <c r="O213" i="153"/>
  <c r="O214" i="153"/>
  <c r="O215" i="153"/>
  <c r="O216" i="153"/>
  <c r="T213" i="153"/>
  <c r="O217" i="153"/>
  <c r="O218" i="153"/>
  <c r="O219" i="153"/>
  <c r="O220" i="153"/>
  <c r="T217" i="153"/>
  <c r="O221" i="153"/>
  <c r="O222" i="153"/>
  <c r="O223" i="153"/>
  <c r="O224" i="153"/>
  <c r="T221" i="153"/>
  <c r="O225" i="153"/>
  <c r="O226" i="153"/>
  <c r="O227" i="153"/>
  <c r="O228" i="153"/>
  <c r="T225" i="153"/>
  <c r="O229" i="153"/>
  <c r="O230" i="153"/>
  <c r="O231" i="153"/>
  <c r="O232" i="153"/>
  <c r="T229" i="153"/>
  <c r="O233" i="153"/>
  <c r="O234" i="153"/>
  <c r="O235" i="153"/>
  <c r="O236" i="153"/>
  <c r="T233" i="153"/>
  <c r="O237" i="153"/>
  <c r="O238" i="153"/>
  <c r="O239" i="153"/>
  <c r="O240" i="153"/>
  <c r="T237" i="153"/>
  <c r="O241" i="153"/>
  <c r="O242" i="153"/>
  <c r="O243" i="153"/>
  <c r="O244" i="153"/>
  <c r="T241" i="153"/>
  <c r="O245" i="153"/>
  <c r="O246" i="153"/>
  <c r="O247" i="153"/>
  <c r="O248" i="153"/>
  <c r="T245" i="153"/>
  <c r="O249" i="153"/>
  <c r="O250" i="153"/>
  <c r="O251" i="153"/>
  <c r="O252" i="153"/>
  <c r="T249" i="153"/>
  <c r="O253" i="153"/>
  <c r="O254" i="153"/>
  <c r="O255" i="153"/>
  <c r="O256" i="153"/>
  <c r="T253" i="153"/>
  <c r="O257" i="153"/>
  <c r="O258" i="153"/>
  <c r="O259" i="153"/>
  <c r="O260" i="153"/>
  <c r="T257" i="153"/>
  <c r="S81" i="153"/>
  <c r="S85" i="153"/>
  <c r="S89" i="153"/>
  <c r="S93" i="153"/>
  <c r="S97" i="153"/>
  <c r="S101" i="153"/>
  <c r="S105" i="153"/>
  <c r="S109" i="153"/>
  <c r="S113" i="153"/>
  <c r="S117" i="153"/>
  <c r="S121" i="153"/>
  <c r="S125" i="153"/>
  <c r="S129" i="153"/>
  <c r="S133" i="153"/>
  <c r="S137" i="153"/>
  <c r="S141" i="153"/>
  <c r="S145" i="153"/>
  <c r="S149" i="153"/>
  <c r="S153" i="153"/>
  <c r="S157" i="153"/>
  <c r="S161" i="153"/>
  <c r="S165" i="153"/>
  <c r="S169" i="153"/>
  <c r="S173" i="153"/>
  <c r="S177" i="153"/>
  <c r="S181" i="153"/>
  <c r="S185" i="153"/>
  <c r="S189" i="153"/>
  <c r="S193" i="153"/>
  <c r="S197" i="153"/>
  <c r="S201" i="153"/>
  <c r="S205" i="153"/>
  <c r="S209" i="153"/>
  <c r="S213" i="153"/>
  <c r="S217" i="153"/>
  <c r="S221" i="153"/>
  <c r="S225" i="153"/>
  <c r="S229" i="153"/>
  <c r="S233" i="153"/>
  <c r="S237" i="153"/>
  <c r="S241" i="153"/>
  <c r="S245" i="153"/>
  <c r="S249" i="153"/>
  <c r="S253" i="153"/>
  <c r="S257" i="153"/>
  <c r="R81" i="153"/>
  <c r="R85" i="153"/>
  <c r="R89" i="153"/>
  <c r="R93" i="153"/>
  <c r="R97" i="153"/>
  <c r="R101" i="153"/>
  <c r="R105" i="153"/>
  <c r="R109" i="153"/>
  <c r="R113" i="153"/>
  <c r="R117" i="153"/>
  <c r="R121" i="153"/>
  <c r="R125" i="153"/>
  <c r="R129" i="153"/>
  <c r="R133" i="153"/>
  <c r="R137" i="153"/>
  <c r="R141" i="153"/>
  <c r="R145" i="153"/>
  <c r="R149" i="153"/>
  <c r="R153" i="153"/>
  <c r="R157" i="153"/>
  <c r="R161" i="153"/>
  <c r="R165" i="153"/>
  <c r="R169" i="153"/>
  <c r="R173" i="153"/>
  <c r="R177" i="153"/>
  <c r="R181" i="153"/>
  <c r="R185" i="153"/>
  <c r="R189" i="153"/>
  <c r="R193" i="153"/>
  <c r="R197" i="153"/>
  <c r="R201" i="153"/>
  <c r="R205" i="153"/>
  <c r="R209" i="153"/>
  <c r="R213" i="153"/>
  <c r="R217" i="153"/>
  <c r="R221" i="153"/>
  <c r="R225" i="153"/>
  <c r="R229" i="153"/>
  <c r="R233" i="153"/>
  <c r="R237" i="153"/>
  <c r="R241" i="153"/>
  <c r="R245" i="153"/>
  <c r="R249" i="153"/>
  <c r="R253" i="153"/>
  <c r="R257" i="153"/>
  <c r="Q81" i="153"/>
  <c r="Q85" i="153"/>
  <c r="Q89" i="153"/>
  <c r="Q93" i="153"/>
  <c r="Q97" i="153"/>
  <c r="Q101" i="153"/>
  <c r="Q105" i="153"/>
  <c r="Q109" i="153"/>
  <c r="Q113" i="153"/>
  <c r="Q117" i="153"/>
  <c r="Q121" i="153"/>
  <c r="Q125" i="153"/>
  <c r="Q129" i="153"/>
  <c r="Q133" i="153"/>
  <c r="Q137" i="153"/>
  <c r="Q141" i="153"/>
  <c r="Q145" i="153"/>
  <c r="Q149" i="153"/>
  <c r="Q153" i="153"/>
  <c r="Q157" i="153"/>
  <c r="Q161" i="153"/>
  <c r="Q165" i="153"/>
  <c r="Q169" i="153"/>
  <c r="Q173" i="153"/>
  <c r="Q177" i="153"/>
  <c r="Q181" i="153"/>
  <c r="Q185" i="153"/>
  <c r="Q189" i="153"/>
  <c r="Q193" i="153"/>
  <c r="Q197" i="153"/>
  <c r="Q201" i="153"/>
  <c r="Q205" i="153"/>
  <c r="Q209" i="153"/>
  <c r="Q213" i="153"/>
  <c r="Q217" i="153"/>
  <c r="Q221" i="153"/>
  <c r="Q225" i="153"/>
  <c r="Q229" i="153"/>
  <c r="Q233" i="153"/>
  <c r="Q237" i="153"/>
  <c r="Q241" i="153"/>
  <c r="Q245" i="153"/>
  <c r="Q249" i="153"/>
  <c r="Q253" i="153"/>
  <c r="Q257" i="153"/>
  <c r="U339" i="128"/>
  <c r="U340" i="128"/>
  <c r="U341" i="128"/>
  <c r="U342" i="128"/>
  <c r="U343" i="128"/>
  <c r="U344" i="128"/>
  <c r="U345" i="128"/>
  <c r="U346" i="128"/>
  <c r="U347" i="128"/>
  <c r="U348" i="128"/>
  <c r="U349" i="128"/>
  <c r="U350" i="128"/>
  <c r="U351" i="128"/>
  <c r="U352" i="128"/>
  <c r="U353" i="128"/>
  <c r="U354" i="128"/>
  <c r="U355" i="128"/>
  <c r="U356" i="128"/>
  <c r="U357" i="128"/>
  <c r="U358" i="128"/>
  <c r="U359" i="128"/>
  <c r="U360" i="128"/>
  <c r="U361" i="128"/>
  <c r="U362" i="128"/>
  <c r="U363" i="128"/>
  <c r="U364" i="128"/>
  <c r="U365" i="128"/>
  <c r="U366" i="128"/>
  <c r="U367" i="128"/>
  <c r="U368" i="128"/>
  <c r="U369" i="128"/>
  <c r="U370" i="128"/>
  <c r="U371" i="128"/>
  <c r="U372" i="128"/>
  <c r="U373" i="128"/>
  <c r="U374" i="128"/>
  <c r="U375" i="128"/>
  <c r="U376" i="128"/>
  <c r="U377" i="128"/>
  <c r="U378" i="128"/>
  <c r="U379" i="128"/>
  <c r="U380" i="128"/>
  <c r="U381" i="128"/>
  <c r="U382" i="128"/>
  <c r="U383" i="128"/>
  <c r="U384" i="128"/>
  <c r="U385" i="128"/>
  <c r="U386" i="128"/>
  <c r="U387" i="128"/>
  <c r="U388" i="128"/>
  <c r="U389" i="128"/>
  <c r="U390" i="128"/>
  <c r="U391" i="128"/>
  <c r="U392" i="128"/>
  <c r="U393" i="128"/>
  <c r="U394" i="128"/>
  <c r="U395" i="128"/>
  <c r="U396" i="128"/>
  <c r="U397" i="128"/>
  <c r="U398" i="128"/>
  <c r="U399" i="128"/>
  <c r="U400" i="128"/>
  <c r="U401" i="128"/>
  <c r="U402" i="128"/>
  <c r="U403" i="128"/>
  <c r="U404" i="128"/>
  <c r="U405" i="128"/>
  <c r="U406" i="128"/>
  <c r="U407" i="128"/>
  <c r="U408" i="128"/>
  <c r="U409" i="128"/>
  <c r="U410" i="128"/>
  <c r="U411" i="128"/>
  <c r="U412" i="128"/>
  <c r="U413" i="128"/>
  <c r="U414" i="128"/>
  <c r="U415" i="128"/>
  <c r="U416" i="128"/>
  <c r="U417" i="128"/>
  <c r="U418" i="128"/>
  <c r="U419" i="128"/>
  <c r="U420" i="128"/>
  <c r="U421" i="128"/>
  <c r="U422" i="128"/>
  <c r="U423" i="128"/>
  <c r="U424" i="128"/>
  <c r="U425" i="128"/>
  <c r="U426" i="128"/>
  <c r="U427" i="128"/>
  <c r="U428" i="128"/>
  <c r="U429" i="128"/>
  <c r="U430" i="128"/>
  <c r="U431" i="128"/>
  <c r="U432" i="128"/>
  <c r="U433" i="128"/>
  <c r="U434" i="128"/>
  <c r="U435" i="128"/>
  <c r="U436" i="128"/>
  <c r="U437" i="128"/>
  <c r="U438" i="128"/>
  <c r="U439" i="128"/>
  <c r="U440" i="128"/>
  <c r="U441" i="128"/>
  <c r="U442" i="128"/>
  <c r="U443" i="128"/>
  <c r="U444" i="128"/>
  <c r="U445" i="128"/>
  <c r="U446" i="128"/>
  <c r="U447" i="128"/>
  <c r="U448" i="128"/>
  <c r="U449" i="128"/>
  <c r="U450" i="128"/>
  <c r="U451" i="128"/>
  <c r="U452" i="128"/>
  <c r="U453" i="128"/>
  <c r="U454" i="128"/>
  <c r="U455" i="128"/>
  <c r="U456" i="128"/>
  <c r="U457" i="128"/>
  <c r="U458" i="128"/>
  <c r="U459" i="128"/>
  <c r="U460" i="128"/>
  <c r="U461" i="128"/>
  <c r="U462" i="128"/>
  <c r="U463" i="128"/>
  <c r="U464" i="128"/>
  <c r="U465" i="128"/>
  <c r="U466" i="128"/>
  <c r="U467" i="128"/>
  <c r="U468" i="128"/>
  <c r="U469" i="128"/>
  <c r="U470" i="128"/>
  <c r="U471" i="128"/>
  <c r="U472" i="128"/>
  <c r="U473" i="128"/>
  <c r="U474" i="128"/>
  <c r="U475" i="128"/>
  <c r="U476" i="128"/>
  <c r="U477" i="128"/>
  <c r="U478" i="128"/>
  <c r="U479" i="128"/>
  <c r="U480" i="128"/>
  <c r="U481" i="128"/>
  <c r="U482" i="128"/>
  <c r="U483" i="128"/>
  <c r="U484" i="128"/>
  <c r="U485" i="128"/>
  <c r="U486" i="128"/>
  <c r="U487" i="128"/>
  <c r="U488" i="128"/>
  <c r="U489" i="128"/>
  <c r="U490" i="128"/>
  <c r="U491" i="128"/>
  <c r="U492" i="128"/>
  <c r="U493" i="128"/>
  <c r="U494" i="128"/>
  <c r="U495" i="128"/>
  <c r="U496" i="128"/>
  <c r="U497" i="128"/>
  <c r="U498" i="128"/>
  <c r="U499" i="128"/>
  <c r="U500" i="128"/>
  <c r="U501" i="128"/>
  <c r="U502" i="128"/>
  <c r="U503" i="128"/>
  <c r="U504" i="128"/>
  <c r="U505" i="128"/>
  <c r="U506" i="128"/>
  <c r="U507" i="128"/>
  <c r="U508" i="128"/>
  <c r="U509" i="128"/>
  <c r="U510" i="128"/>
  <c r="U511" i="128"/>
  <c r="U512" i="128"/>
  <c r="U513" i="128"/>
  <c r="U514" i="128"/>
  <c r="U515" i="128"/>
  <c r="U516" i="128"/>
  <c r="U517" i="128"/>
  <c r="U518" i="128"/>
  <c r="U81" i="128"/>
  <c r="U82" i="128"/>
  <c r="U83" i="128"/>
  <c r="U84" i="128"/>
  <c r="U85" i="128"/>
  <c r="U86" i="128"/>
  <c r="U87" i="128"/>
  <c r="U88" i="128"/>
  <c r="U89" i="128"/>
  <c r="U90" i="128"/>
  <c r="U91" i="128"/>
  <c r="U92" i="128"/>
  <c r="U93" i="128"/>
  <c r="U94" i="128"/>
  <c r="U95" i="128"/>
  <c r="U96" i="128"/>
  <c r="U97" i="128"/>
  <c r="U98" i="128"/>
  <c r="U99" i="128"/>
  <c r="U100" i="128"/>
  <c r="U101" i="128"/>
  <c r="U102" i="128"/>
  <c r="U103" i="128"/>
  <c r="U104" i="128"/>
  <c r="U105" i="128"/>
  <c r="U106" i="128"/>
  <c r="U107" i="128"/>
  <c r="U108" i="128"/>
  <c r="U109" i="128"/>
  <c r="U110" i="128"/>
  <c r="U111" i="128"/>
  <c r="U112" i="128"/>
  <c r="U113" i="128"/>
  <c r="U114" i="128"/>
  <c r="U115" i="128"/>
  <c r="U116" i="128"/>
  <c r="U117" i="128"/>
  <c r="U118" i="128"/>
  <c r="U119" i="128"/>
  <c r="U120" i="128"/>
  <c r="U121" i="128"/>
  <c r="U122" i="128"/>
  <c r="U123" i="128"/>
  <c r="U124" i="128"/>
  <c r="U125" i="128"/>
  <c r="U126" i="128"/>
  <c r="U127" i="128"/>
  <c r="U128" i="128"/>
  <c r="U129" i="128"/>
  <c r="U130" i="128"/>
  <c r="U131" i="128"/>
  <c r="U132" i="128"/>
  <c r="U133" i="128"/>
  <c r="U134" i="128"/>
  <c r="U135" i="128"/>
  <c r="U136" i="128"/>
  <c r="U137" i="128"/>
  <c r="U138" i="128"/>
  <c r="U139" i="128"/>
  <c r="U140" i="128"/>
  <c r="U141" i="128"/>
  <c r="U142" i="128"/>
  <c r="U143" i="128"/>
  <c r="U144" i="128"/>
  <c r="U145" i="128"/>
  <c r="U146" i="128"/>
  <c r="U147" i="128"/>
  <c r="U148" i="128"/>
  <c r="U149" i="128"/>
  <c r="U150" i="128"/>
  <c r="U151" i="128"/>
  <c r="U152" i="128"/>
  <c r="U153" i="128"/>
  <c r="U154" i="128"/>
  <c r="U155" i="128"/>
  <c r="U156" i="128"/>
  <c r="U157" i="128"/>
  <c r="U158" i="128"/>
  <c r="U159" i="128"/>
  <c r="U160" i="128"/>
  <c r="U161" i="128"/>
  <c r="U162" i="128"/>
  <c r="U163" i="128"/>
  <c r="U164" i="128"/>
  <c r="U165" i="128"/>
  <c r="U166" i="128"/>
  <c r="U167" i="128"/>
  <c r="U168" i="128"/>
  <c r="U169" i="128"/>
  <c r="U170" i="128"/>
  <c r="U171" i="128"/>
  <c r="U172" i="128"/>
  <c r="U173" i="128"/>
  <c r="U174" i="128"/>
  <c r="U175" i="128"/>
  <c r="U176" i="128"/>
  <c r="U177" i="128"/>
  <c r="U178" i="128"/>
  <c r="U179" i="128"/>
  <c r="U180" i="128"/>
  <c r="U181" i="128"/>
  <c r="U182" i="128"/>
  <c r="U183" i="128"/>
  <c r="U184" i="128"/>
  <c r="U185" i="128"/>
  <c r="U186" i="128"/>
  <c r="U187" i="128"/>
  <c r="U188" i="128"/>
  <c r="U189" i="128"/>
  <c r="U190" i="128"/>
  <c r="U191" i="128"/>
  <c r="U192" i="128"/>
  <c r="U193" i="128"/>
  <c r="U194" i="128"/>
  <c r="U195" i="128"/>
  <c r="U196" i="128"/>
  <c r="U197" i="128"/>
  <c r="U198" i="128"/>
  <c r="U199" i="128"/>
  <c r="U200" i="128"/>
  <c r="U201" i="128"/>
  <c r="U202" i="128"/>
  <c r="U203" i="128"/>
  <c r="U204" i="128"/>
  <c r="U205" i="128"/>
  <c r="U206" i="128"/>
  <c r="U207" i="128"/>
  <c r="U208" i="128"/>
  <c r="U209" i="128"/>
  <c r="U210" i="128"/>
  <c r="U211" i="128"/>
  <c r="U212" i="128"/>
  <c r="U213" i="128"/>
  <c r="U214" i="128"/>
  <c r="U215" i="128"/>
  <c r="U216" i="128"/>
  <c r="U217" i="128"/>
  <c r="U218" i="128"/>
  <c r="U219" i="128"/>
  <c r="U220" i="128"/>
  <c r="U221" i="128"/>
  <c r="U222" i="128"/>
  <c r="U223" i="128"/>
  <c r="U224" i="128"/>
  <c r="U225" i="128"/>
  <c r="U226" i="128"/>
  <c r="U227" i="128"/>
  <c r="U228" i="128"/>
  <c r="U229" i="128"/>
  <c r="U230" i="128"/>
  <c r="U231" i="128"/>
  <c r="U232" i="128"/>
  <c r="U233" i="128"/>
  <c r="U234" i="128"/>
  <c r="U235" i="128"/>
  <c r="U236" i="128"/>
  <c r="U237" i="128"/>
  <c r="U238" i="128"/>
  <c r="U239" i="128"/>
  <c r="U240" i="128"/>
  <c r="U241" i="128"/>
  <c r="U242" i="128"/>
  <c r="U243" i="128"/>
  <c r="U244" i="128"/>
  <c r="U245" i="128"/>
  <c r="U246" i="128"/>
  <c r="U247" i="128"/>
  <c r="U248" i="128"/>
  <c r="U249" i="128"/>
  <c r="U250" i="128"/>
  <c r="U251" i="128"/>
  <c r="U252" i="128"/>
  <c r="U253" i="128"/>
  <c r="U254" i="128"/>
  <c r="U255" i="128"/>
  <c r="U256" i="128"/>
  <c r="U257" i="128"/>
  <c r="U258" i="128"/>
  <c r="U259" i="128"/>
  <c r="U260" i="128"/>
  <c r="H355" i="128"/>
  <c r="H356" i="128"/>
  <c r="H357" i="128"/>
  <c r="H358" i="128"/>
  <c r="H359" i="128"/>
  <c r="H360" i="128"/>
  <c r="H361" i="128"/>
  <c r="H362" i="128"/>
  <c r="H363" i="128"/>
  <c r="H364" i="128"/>
  <c r="H365" i="128"/>
  <c r="H366" i="128"/>
  <c r="H367" i="128"/>
  <c r="H368" i="128"/>
  <c r="H369" i="128"/>
  <c r="H370" i="128"/>
  <c r="H371" i="128"/>
  <c r="H372" i="128"/>
  <c r="H373" i="128"/>
  <c r="H374" i="128"/>
  <c r="H375" i="128"/>
  <c r="H376" i="128"/>
  <c r="H377" i="128"/>
  <c r="H378" i="128"/>
  <c r="H379" i="128"/>
  <c r="H380" i="128"/>
  <c r="H381" i="128"/>
  <c r="H382" i="128"/>
  <c r="H383" i="128"/>
  <c r="H384" i="128"/>
  <c r="H385" i="128"/>
  <c r="H386" i="128"/>
  <c r="H387" i="128"/>
  <c r="H388" i="128"/>
  <c r="H389" i="128"/>
  <c r="H390" i="128"/>
  <c r="H391" i="128"/>
  <c r="H392" i="128"/>
  <c r="H393" i="128"/>
  <c r="H394" i="128"/>
  <c r="H395" i="128"/>
  <c r="H396" i="128"/>
  <c r="H397" i="128"/>
  <c r="H398" i="128"/>
  <c r="H399" i="128"/>
  <c r="H400" i="128"/>
  <c r="H401" i="128"/>
  <c r="H402" i="128"/>
  <c r="H403" i="128"/>
  <c r="H404" i="128"/>
  <c r="H405" i="128"/>
  <c r="H406" i="128"/>
  <c r="H407" i="128"/>
  <c r="H408" i="128"/>
  <c r="H409" i="128"/>
  <c r="H410" i="128"/>
  <c r="H411" i="128"/>
  <c r="H412" i="128"/>
  <c r="H413" i="128"/>
  <c r="H414" i="128"/>
  <c r="H415" i="128"/>
  <c r="H416" i="128"/>
  <c r="H417" i="128"/>
  <c r="H418" i="128"/>
  <c r="H419" i="128"/>
  <c r="H420" i="128"/>
  <c r="H421" i="128"/>
  <c r="H422" i="128"/>
  <c r="H423" i="128"/>
  <c r="H424" i="128"/>
  <c r="H425" i="128"/>
  <c r="H426" i="128"/>
  <c r="H427" i="128"/>
  <c r="H428" i="128"/>
  <c r="H429" i="128"/>
  <c r="H430" i="128"/>
  <c r="H431" i="128"/>
  <c r="H432" i="128"/>
  <c r="H433" i="128"/>
  <c r="H434" i="128"/>
  <c r="H435" i="128"/>
  <c r="H436" i="128"/>
  <c r="H437" i="128"/>
  <c r="H438" i="128"/>
  <c r="H439" i="128"/>
  <c r="H440" i="128"/>
  <c r="H441" i="128"/>
  <c r="H442" i="128"/>
  <c r="H443" i="128"/>
  <c r="H444" i="128"/>
  <c r="H445" i="128"/>
  <c r="H446" i="128"/>
  <c r="H447" i="128"/>
  <c r="H448" i="128"/>
  <c r="H449" i="128"/>
  <c r="H450" i="128"/>
  <c r="H451" i="128"/>
  <c r="H452" i="128"/>
  <c r="H453" i="128"/>
  <c r="H454" i="128"/>
  <c r="H455" i="128"/>
  <c r="H456" i="128"/>
  <c r="H457" i="128"/>
  <c r="H458" i="128"/>
  <c r="H459" i="128"/>
  <c r="H460" i="128"/>
  <c r="H461" i="128"/>
  <c r="H462" i="128"/>
  <c r="H463" i="128"/>
  <c r="H464" i="128"/>
  <c r="H465" i="128"/>
  <c r="H466" i="128"/>
  <c r="H467" i="128"/>
  <c r="H468" i="128"/>
  <c r="H469" i="128"/>
  <c r="H470" i="128"/>
  <c r="H471" i="128"/>
  <c r="H472" i="128"/>
  <c r="H473" i="128"/>
  <c r="H474" i="128"/>
  <c r="H475" i="128"/>
  <c r="H476" i="128"/>
  <c r="H477" i="128"/>
  <c r="H478" i="128"/>
  <c r="H479" i="128"/>
  <c r="H480" i="128"/>
  <c r="H481" i="128"/>
  <c r="H482" i="128"/>
  <c r="H483" i="128"/>
  <c r="H484" i="128"/>
  <c r="H485" i="128"/>
  <c r="H486" i="128"/>
  <c r="H487" i="128"/>
  <c r="H488" i="128"/>
  <c r="H489" i="128"/>
  <c r="H490" i="128"/>
  <c r="H491" i="128"/>
  <c r="H492" i="128"/>
  <c r="H493" i="128"/>
  <c r="H494" i="128"/>
  <c r="H495" i="128"/>
  <c r="H496" i="128"/>
  <c r="H497" i="128"/>
  <c r="H498" i="128"/>
  <c r="H499" i="128"/>
  <c r="H500" i="128"/>
  <c r="H501" i="128"/>
  <c r="H502" i="128"/>
  <c r="H503" i="128"/>
  <c r="H504" i="128"/>
  <c r="H505" i="128"/>
  <c r="H506" i="128"/>
  <c r="H507" i="128"/>
  <c r="H508" i="128"/>
  <c r="H509" i="128"/>
  <c r="H510" i="128"/>
  <c r="H511" i="128"/>
  <c r="H512" i="128"/>
  <c r="H513" i="128"/>
  <c r="H514" i="128"/>
  <c r="H515" i="128"/>
  <c r="H516" i="128"/>
  <c r="H517" i="128"/>
  <c r="H518" i="128"/>
  <c r="H81" i="128"/>
  <c r="H82" i="128"/>
  <c r="H83" i="128"/>
  <c r="H84" i="128"/>
  <c r="H85" i="128"/>
  <c r="H86" i="128"/>
  <c r="H87" i="128"/>
  <c r="H88" i="128"/>
  <c r="H89" i="128"/>
  <c r="H90" i="128"/>
  <c r="H91" i="128"/>
  <c r="H92" i="128"/>
  <c r="H93" i="128"/>
  <c r="H94" i="128"/>
  <c r="H95" i="128"/>
  <c r="H96" i="128"/>
  <c r="H97" i="128"/>
  <c r="H98" i="128"/>
  <c r="H99" i="128"/>
  <c r="H100" i="128"/>
  <c r="H101" i="128"/>
  <c r="H102" i="128"/>
  <c r="H103" i="128"/>
  <c r="H104" i="128"/>
  <c r="H105" i="128"/>
  <c r="H106" i="128"/>
  <c r="H107" i="128"/>
  <c r="H108" i="128"/>
  <c r="H109" i="128"/>
  <c r="H110" i="128"/>
  <c r="H111" i="128"/>
  <c r="H112" i="128"/>
  <c r="H113" i="128"/>
  <c r="H114" i="128"/>
  <c r="H115" i="128"/>
  <c r="H116" i="128"/>
  <c r="H117" i="128"/>
  <c r="H118" i="128"/>
  <c r="H119" i="128"/>
  <c r="H120" i="128"/>
  <c r="H121" i="128"/>
  <c r="H122" i="128"/>
  <c r="H123" i="128"/>
  <c r="H124" i="128"/>
  <c r="H125" i="128"/>
  <c r="H126" i="128"/>
  <c r="H127" i="128"/>
  <c r="H128" i="128"/>
  <c r="H129" i="128"/>
  <c r="H130" i="128"/>
  <c r="H131" i="128"/>
  <c r="H132" i="128"/>
  <c r="H133" i="128"/>
  <c r="H134" i="128"/>
  <c r="H135" i="128"/>
  <c r="H136" i="128"/>
  <c r="H137" i="128"/>
  <c r="H138" i="128"/>
  <c r="H139" i="128"/>
  <c r="H140" i="128"/>
  <c r="H141" i="128"/>
  <c r="H142" i="128"/>
  <c r="H143" i="128"/>
  <c r="H144" i="128"/>
  <c r="H145" i="128"/>
  <c r="H146" i="128"/>
  <c r="H147" i="128"/>
  <c r="H148" i="128"/>
  <c r="H149" i="128"/>
  <c r="H150" i="128"/>
  <c r="H151" i="128"/>
  <c r="H152" i="128"/>
  <c r="H153" i="128"/>
  <c r="H154" i="128"/>
  <c r="H155" i="128"/>
  <c r="H156" i="128"/>
  <c r="H157" i="128"/>
  <c r="H158" i="128"/>
  <c r="H159" i="128"/>
  <c r="H160" i="128"/>
  <c r="H161" i="128"/>
  <c r="H162" i="128"/>
  <c r="H163" i="128"/>
  <c r="H164" i="128"/>
  <c r="H165" i="128"/>
  <c r="H166" i="128"/>
  <c r="H167" i="128"/>
  <c r="H168" i="128"/>
  <c r="H169" i="128"/>
  <c r="H170" i="128"/>
  <c r="H171" i="128"/>
  <c r="H172" i="128"/>
  <c r="H173" i="128"/>
  <c r="H174" i="128"/>
  <c r="H175" i="128"/>
  <c r="H176" i="128"/>
  <c r="H177" i="128"/>
  <c r="H178" i="128"/>
  <c r="H179" i="128"/>
  <c r="H180" i="128"/>
  <c r="H181" i="128"/>
  <c r="H182" i="128"/>
  <c r="H183" i="128"/>
  <c r="H184" i="128"/>
  <c r="H185" i="128"/>
  <c r="H186" i="128"/>
  <c r="H187" i="128"/>
  <c r="H188" i="128"/>
  <c r="H189" i="128"/>
  <c r="H190" i="128"/>
  <c r="H191" i="128"/>
  <c r="H192" i="128"/>
  <c r="H193" i="128"/>
  <c r="H194" i="128"/>
  <c r="H195" i="128"/>
  <c r="H196" i="128"/>
  <c r="H197" i="128"/>
  <c r="H198" i="128"/>
  <c r="H199" i="128"/>
  <c r="H200" i="128"/>
  <c r="H201" i="128"/>
  <c r="H202" i="128"/>
  <c r="H203" i="128"/>
  <c r="H204" i="128"/>
  <c r="H205" i="128"/>
  <c r="H206" i="128"/>
  <c r="H207" i="128"/>
  <c r="H208" i="128"/>
  <c r="H209" i="128"/>
  <c r="H210" i="128"/>
  <c r="H211" i="128"/>
  <c r="H212" i="128"/>
  <c r="H213" i="128"/>
  <c r="H214" i="128"/>
  <c r="H215" i="128"/>
  <c r="H216" i="128"/>
  <c r="H217" i="128"/>
  <c r="H218" i="128"/>
  <c r="H219" i="128"/>
  <c r="H220" i="128"/>
  <c r="H221" i="128"/>
  <c r="H222" i="128"/>
  <c r="H223" i="128"/>
  <c r="H224" i="128"/>
  <c r="H225" i="128"/>
  <c r="H226" i="128"/>
  <c r="H227" i="128"/>
  <c r="H228" i="128"/>
  <c r="H229" i="128"/>
  <c r="H230" i="128"/>
  <c r="H231" i="128"/>
  <c r="H232" i="128"/>
  <c r="H233" i="128"/>
  <c r="H234" i="128"/>
  <c r="H235" i="128"/>
  <c r="H236" i="128"/>
  <c r="H237" i="128"/>
  <c r="H238" i="128"/>
  <c r="H239" i="128"/>
  <c r="H240" i="128"/>
  <c r="H241" i="128"/>
  <c r="H242" i="128"/>
  <c r="H243" i="128"/>
  <c r="H244" i="128"/>
  <c r="H245" i="128"/>
  <c r="H246" i="128"/>
  <c r="H247" i="128"/>
  <c r="H248" i="128"/>
  <c r="H249" i="128"/>
  <c r="H250" i="128"/>
  <c r="H251" i="128"/>
  <c r="H252" i="128"/>
  <c r="H253" i="128"/>
  <c r="H254" i="128"/>
  <c r="H255" i="128"/>
  <c r="H256" i="128"/>
  <c r="H257" i="128"/>
  <c r="H258" i="128"/>
  <c r="H259" i="128"/>
  <c r="H260" i="128"/>
  <c r="U339" i="126"/>
  <c r="U340" i="126"/>
  <c r="U341" i="126"/>
  <c r="U342" i="126"/>
  <c r="U343" i="126"/>
  <c r="U344" i="126"/>
  <c r="U345" i="126"/>
  <c r="U346" i="126"/>
  <c r="U347" i="126"/>
  <c r="U348" i="126"/>
  <c r="U349" i="126"/>
  <c r="U350" i="126"/>
  <c r="U351" i="126"/>
  <c r="U352" i="126"/>
  <c r="U353" i="126"/>
  <c r="U354" i="126"/>
  <c r="U355" i="126"/>
  <c r="U356" i="126"/>
  <c r="U357" i="126"/>
  <c r="U358" i="126"/>
  <c r="U359" i="126"/>
  <c r="U360" i="126"/>
  <c r="U361" i="126"/>
  <c r="U362" i="126"/>
  <c r="U363" i="126"/>
  <c r="U364" i="126"/>
  <c r="U365" i="126"/>
  <c r="U366" i="126"/>
  <c r="U367" i="126"/>
  <c r="U368" i="126"/>
  <c r="U369" i="126"/>
  <c r="U370" i="126"/>
  <c r="U371" i="126"/>
  <c r="U372" i="126"/>
  <c r="U373" i="126"/>
  <c r="U374" i="126"/>
  <c r="U375" i="126"/>
  <c r="U376" i="126"/>
  <c r="U377" i="126"/>
  <c r="U378" i="126"/>
  <c r="U379" i="126"/>
  <c r="U380" i="126"/>
  <c r="U381" i="126"/>
  <c r="U382" i="126"/>
  <c r="U383" i="126"/>
  <c r="U384" i="126"/>
  <c r="U385" i="126"/>
  <c r="U386" i="126"/>
  <c r="U387" i="126"/>
  <c r="U388" i="126"/>
  <c r="U389" i="126"/>
  <c r="U390" i="126"/>
  <c r="U391" i="126"/>
  <c r="U392" i="126"/>
  <c r="U393" i="126"/>
  <c r="U394" i="126"/>
  <c r="U395" i="126"/>
  <c r="U396" i="126"/>
  <c r="U397" i="126"/>
  <c r="U398" i="126"/>
  <c r="U399" i="126"/>
  <c r="U400" i="126"/>
  <c r="U401" i="126"/>
  <c r="U402" i="126"/>
  <c r="U403" i="126"/>
  <c r="U404" i="126"/>
  <c r="U405" i="126"/>
  <c r="U406" i="126"/>
  <c r="U407" i="126"/>
  <c r="U408" i="126"/>
  <c r="U409" i="126"/>
  <c r="U410" i="126"/>
  <c r="U411" i="126"/>
  <c r="U412" i="126"/>
  <c r="U413" i="126"/>
  <c r="U414" i="126"/>
  <c r="U415" i="126"/>
  <c r="U416" i="126"/>
  <c r="U417" i="126"/>
  <c r="U418" i="126"/>
  <c r="U419" i="126"/>
  <c r="U420" i="126"/>
  <c r="U421" i="126"/>
  <c r="U422" i="126"/>
  <c r="U423" i="126"/>
  <c r="U424" i="126"/>
  <c r="U425" i="126"/>
  <c r="U426" i="126"/>
  <c r="U427" i="126"/>
  <c r="U428" i="126"/>
  <c r="U429" i="126"/>
  <c r="U430" i="126"/>
  <c r="U431" i="126"/>
  <c r="U432" i="126"/>
  <c r="U433" i="126"/>
  <c r="U434" i="126"/>
  <c r="U435" i="126"/>
  <c r="U436" i="126"/>
  <c r="U437" i="126"/>
  <c r="U438" i="126"/>
  <c r="U439" i="126"/>
  <c r="U440" i="126"/>
  <c r="U441" i="126"/>
  <c r="U442" i="126"/>
  <c r="U443" i="126"/>
  <c r="U444" i="126"/>
  <c r="U445" i="126"/>
  <c r="U446" i="126"/>
  <c r="U447" i="126"/>
  <c r="U448" i="126"/>
  <c r="U449" i="126"/>
  <c r="U450" i="126"/>
  <c r="U451" i="126"/>
  <c r="U452" i="126"/>
  <c r="U453" i="126"/>
  <c r="U454" i="126"/>
  <c r="U455" i="126"/>
  <c r="U456" i="126"/>
  <c r="U457" i="126"/>
  <c r="U458" i="126"/>
  <c r="U459" i="126"/>
  <c r="U460" i="126"/>
  <c r="U461" i="126"/>
  <c r="U462" i="126"/>
  <c r="U463" i="126"/>
  <c r="U464" i="126"/>
  <c r="U465" i="126"/>
  <c r="U466" i="126"/>
  <c r="U467" i="126"/>
  <c r="U468" i="126"/>
  <c r="U469" i="126"/>
  <c r="U470" i="126"/>
  <c r="U471" i="126"/>
  <c r="U472" i="126"/>
  <c r="U473" i="126"/>
  <c r="U474" i="126"/>
  <c r="U475" i="126"/>
  <c r="U476" i="126"/>
  <c r="U477" i="126"/>
  <c r="U478" i="126"/>
  <c r="U479" i="126"/>
  <c r="U480" i="126"/>
  <c r="U481" i="126"/>
  <c r="U482" i="126"/>
  <c r="U483" i="126"/>
  <c r="U484" i="126"/>
  <c r="U485" i="126"/>
  <c r="U486" i="126"/>
  <c r="U487" i="126"/>
  <c r="U488" i="126"/>
  <c r="U489" i="126"/>
  <c r="U490" i="126"/>
  <c r="U491" i="126"/>
  <c r="U492" i="126"/>
  <c r="U493" i="126"/>
  <c r="U494" i="126"/>
  <c r="U495" i="126"/>
  <c r="U496" i="126"/>
  <c r="U497" i="126"/>
  <c r="U498" i="126"/>
  <c r="U499" i="126"/>
  <c r="U500" i="126"/>
  <c r="U501" i="126"/>
  <c r="U502" i="126"/>
  <c r="U503" i="126"/>
  <c r="U504" i="126"/>
  <c r="U505" i="126"/>
  <c r="U506" i="126"/>
  <c r="U507" i="126"/>
  <c r="U508" i="126"/>
  <c r="U509" i="126"/>
  <c r="U510" i="126"/>
  <c r="U511" i="126"/>
  <c r="U512" i="126"/>
  <c r="U513" i="126"/>
  <c r="U514" i="126"/>
  <c r="U515" i="126"/>
  <c r="U516" i="126"/>
  <c r="U517" i="126"/>
  <c r="U518" i="126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U125" i="126"/>
  <c r="U126" i="126"/>
  <c r="U127" i="126"/>
  <c r="U128" i="126"/>
  <c r="U129" i="126"/>
  <c r="U130" i="126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U247" i="126"/>
  <c r="U248" i="126"/>
  <c r="U249" i="126"/>
  <c r="U250" i="126"/>
  <c r="U251" i="126"/>
  <c r="U252" i="126"/>
  <c r="U253" i="126"/>
  <c r="U254" i="126"/>
  <c r="U255" i="126"/>
  <c r="U256" i="126"/>
  <c r="U257" i="126"/>
  <c r="U258" i="126"/>
  <c r="U259" i="126"/>
  <c r="U260" i="126"/>
  <c r="O339" i="126"/>
  <c r="O340" i="126"/>
  <c r="O341" i="126"/>
  <c r="O342" i="126"/>
  <c r="H339" i="126"/>
  <c r="H340" i="126"/>
  <c r="H341" i="126"/>
  <c r="H342" i="126"/>
  <c r="O343" i="126"/>
  <c r="O344" i="126"/>
  <c r="O345" i="126"/>
  <c r="O346" i="126"/>
  <c r="H343" i="126"/>
  <c r="H344" i="126"/>
  <c r="H345" i="126"/>
  <c r="H346" i="126"/>
  <c r="O347" i="126"/>
  <c r="O348" i="126"/>
  <c r="O349" i="126"/>
  <c r="O350" i="126"/>
  <c r="H347" i="126"/>
  <c r="H348" i="126"/>
  <c r="H349" i="126"/>
  <c r="H350" i="126"/>
  <c r="O351" i="126"/>
  <c r="O352" i="126"/>
  <c r="O353" i="126"/>
  <c r="O354" i="126"/>
  <c r="H351" i="126"/>
  <c r="H352" i="126"/>
  <c r="H353" i="126"/>
  <c r="H354" i="126"/>
  <c r="O355" i="126"/>
  <c r="O356" i="126"/>
  <c r="O357" i="126"/>
  <c r="O358" i="126"/>
  <c r="H355" i="126"/>
  <c r="H356" i="126"/>
  <c r="H357" i="126"/>
  <c r="H358" i="126"/>
  <c r="O359" i="126"/>
  <c r="O360" i="126"/>
  <c r="O361" i="126"/>
  <c r="O362" i="126"/>
  <c r="H359" i="126"/>
  <c r="H360" i="126"/>
  <c r="H361" i="126"/>
  <c r="H362" i="126"/>
  <c r="O363" i="126"/>
  <c r="O364" i="126"/>
  <c r="O365" i="126"/>
  <c r="O366" i="126"/>
  <c r="H363" i="126"/>
  <c r="H364" i="126"/>
  <c r="H365" i="126"/>
  <c r="H366" i="126"/>
  <c r="O367" i="126"/>
  <c r="O368" i="126"/>
  <c r="O369" i="126"/>
  <c r="O370" i="126"/>
  <c r="H367" i="126"/>
  <c r="H368" i="126"/>
  <c r="H369" i="126"/>
  <c r="H370" i="126"/>
  <c r="O371" i="126"/>
  <c r="O372" i="126"/>
  <c r="O373" i="126"/>
  <c r="O374" i="126"/>
  <c r="H371" i="126"/>
  <c r="H372" i="126"/>
  <c r="H373" i="126"/>
  <c r="H374" i="126"/>
  <c r="O375" i="126"/>
  <c r="O376" i="126"/>
  <c r="O377" i="126"/>
  <c r="O378" i="126"/>
  <c r="H375" i="126"/>
  <c r="H376" i="126"/>
  <c r="H377" i="126"/>
  <c r="H378" i="126"/>
  <c r="O379" i="126"/>
  <c r="O380" i="126"/>
  <c r="O381" i="126"/>
  <c r="O382" i="126"/>
  <c r="H379" i="126"/>
  <c r="H380" i="126"/>
  <c r="H381" i="126"/>
  <c r="H382" i="126"/>
  <c r="O383" i="126"/>
  <c r="O384" i="126"/>
  <c r="O385" i="126"/>
  <c r="O386" i="126"/>
  <c r="H383" i="126"/>
  <c r="H384" i="126"/>
  <c r="H385" i="126"/>
  <c r="H386" i="126"/>
  <c r="O387" i="126"/>
  <c r="O388" i="126"/>
  <c r="O389" i="126"/>
  <c r="O390" i="126"/>
  <c r="H387" i="126"/>
  <c r="H388" i="126"/>
  <c r="H389" i="126"/>
  <c r="H390" i="126"/>
  <c r="O391" i="126"/>
  <c r="O392" i="126"/>
  <c r="O393" i="126"/>
  <c r="O394" i="126"/>
  <c r="H391" i="126"/>
  <c r="H392" i="126"/>
  <c r="H393" i="126"/>
  <c r="H394" i="126"/>
  <c r="O395" i="126"/>
  <c r="O396" i="126"/>
  <c r="O397" i="126"/>
  <c r="O398" i="126"/>
  <c r="H395" i="126"/>
  <c r="H396" i="126"/>
  <c r="H397" i="126"/>
  <c r="H398" i="126"/>
  <c r="O399" i="126"/>
  <c r="O400" i="126"/>
  <c r="O401" i="126"/>
  <c r="O402" i="126"/>
  <c r="H399" i="126"/>
  <c r="H400" i="126"/>
  <c r="H401" i="126"/>
  <c r="H402" i="126"/>
  <c r="O403" i="126"/>
  <c r="O404" i="126"/>
  <c r="O405" i="126"/>
  <c r="O406" i="126"/>
  <c r="H403" i="126"/>
  <c r="H404" i="126"/>
  <c r="H405" i="126"/>
  <c r="H406" i="126"/>
  <c r="O407" i="126"/>
  <c r="O408" i="126"/>
  <c r="O409" i="126"/>
  <c r="O410" i="126"/>
  <c r="H407" i="126"/>
  <c r="H408" i="126"/>
  <c r="H409" i="126"/>
  <c r="H410" i="126"/>
  <c r="O411" i="126"/>
  <c r="O412" i="126"/>
  <c r="O413" i="126"/>
  <c r="O414" i="126"/>
  <c r="H411" i="126"/>
  <c r="H412" i="126"/>
  <c r="H413" i="126"/>
  <c r="H414" i="126"/>
  <c r="O415" i="126"/>
  <c r="O416" i="126"/>
  <c r="O417" i="126"/>
  <c r="O418" i="126"/>
  <c r="H415" i="126"/>
  <c r="H416" i="126"/>
  <c r="H417" i="126"/>
  <c r="H418" i="126"/>
  <c r="O419" i="126"/>
  <c r="O420" i="126"/>
  <c r="O421" i="126"/>
  <c r="O422" i="126"/>
  <c r="H419" i="126"/>
  <c r="H420" i="126"/>
  <c r="H421" i="126"/>
  <c r="H422" i="126"/>
  <c r="O423" i="126"/>
  <c r="O424" i="126"/>
  <c r="O425" i="126"/>
  <c r="O426" i="126"/>
  <c r="H423" i="126"/>
  <c r="H424" i="126"/>
  <c r="H425" i="126"/>
  <c r="H426" i="126"/>
  <c r="O427" i="126"/>
  <c r="O428" i="126"/>
  <c r="O429" i="126"/>
  <c r="O430" i="126"/>
  <c r="H427" i="126"/>
  <c r="H428" i="126"/>
  <c r="H429" i="126"/>
  <c r="H430" i="126"/>
  <c r="O431" i="126"/>
  <c r="O432" i="126"/>
  <c r="O433" i="126"/>
  <c r="O434" i="126"/>
  <c r="H431" i="126"/>
  <c r="H432" i="126"/>
  <c r="H433" i="126"/>
  <c r="H434" i="126"/>
  <c r="O435" i="126"/>
  <c r="O436" i="126"/>
  <c r="O437" i="126"/>
  <c r="O438" i="126"/>
  <c r="H435" i="126"/>
  <c r="H436" i="126"/>
  <c r="H437" i="126"/>
  <c r="H438" i="126"/>
  <c r="O439" i="126"/>
  <c r="O440" i="126"/>
  <c r="O441" i="126"/>
  <c r="O442" i="126"/>
  <c r="H439" i="126"/>
  <c r="H440" i="126"/>
  <c r="H441" i="126"/>
  <c r="H442" i="126"/>
  <c r="O443" i="126"/>
  <c r="O444" i="126"/>
  <c r="O445" i="126"/>
  <c r="O446" i="126"/>
  <c r="H443" i="126"/>
  <c r="H444" i="126"/>
  <c r="H445" i="126"/>
  <c r="H446" i="126"/>
  <c r="O447" i="126"/>
  <c r="O448" i="126"/>
  <c r="O449" i="126"/>
  <c r="O450" i="126"/>
  <c r="H447" i="126"/>
  <c r="H448" i="126"/>
  <c r="H449" i="126"/>
  <c r="H450" i="126"/>
  <c r="O451" i="126"/>
  <c r="O452" i="126"/>
  <c r="O453" i="126"/>
  <c r="O454" i="126"/>
  <c r="H451" i="126"/>
  <c r="H452" i="126"/>
  <c r="H453" i="126"/>
  <c r="H454" i="126"/>
  <c r="O455" i="126"/>
  <c r="O456" i="126"/>
  <c r="O457" i="126"/>
  <c r="O458" i="126"/>
  <c r="H455" i="126"/>
  <c r="H456" i="126"/>
  <c r="H457" i="126"/>
  <c r="H458" i="126"/>
  <c r="O459" i="126"/>
  <c r="O460" i="126"/>
  <c r="O461" i="126"/>
  <c r="O462" i="126"/>
  <c r="H459" i="126"/>
  <c r="H460" i="126"/>
  <c r="H461" i="126"/>
  <c r="H462" i="126"/>
  <c r="O463" i="126"/>
  <c r="O464" i="126"/>
  <c r="O465" i="126"/>
  <c r="O466" i="126"/>
  <c r="H463" i="126"/>
  <c r="H464" i="126"/>
  <c r="H465" i="126"/>
  <c r="H466" i="126"/>
  <c r="O467" i="126"/>
  <c r="O468" i="126"/>
  <c r="O469" i="126"/>
  <c r="O470" i="126"/>
  <c r="H467" i="126"/>
  <c r="H468" i="126"/>
  <c r="H469" i="126"/>
  <c r="H470" i="126"/>
  <c r="O471" i="126"/>
  <c r="O472" i="126"/>
  <c r="O473" i="126"/>
  <c r="O474" i="126"/>
  <c r="H471" i="126"/>
  <c r="H472" i="126"/>
  <c r="H473" i="126"/>
  <c r="H474" i="126"/>
  <c r="O475" i="126"/>
  <c r="O476" i="126"/>
  <c r="O477" i="126"/>
  <c r="O478" i="126"/>
  <c r="H475" i="126"/>
  <c r="H476" i="126"/>
  <c r="H477" i="126"/>
  <c r="H478" i="126"/>
  <c r="O479" i="126"/>
  <c r="O480" i="126"/>
  <c r="O481" i="126"/>
  <c r="O482" i="126"/>
  <c r="H479" i="126"/>
  <c r="H480" i="126"/>
  <c r="H481" i="126"/>
  <c r="H482" i="126"/>
  <c r="O483" i="126"/>
  <c r="O484" i="126"/>
  <c r="O485" i="126"/>
  <c r="O486" i="126"/>
  <c r="H483" i="126"/>
  <c r="H484" i="126"/>
  <c r="H485" i="126"/>
  <c r="H486" i="126"/>
  <c r="O487" i="126"/>
  <c r="O488" i="126"/>
  <c r="O489" i="126"/>
  <c r="O490" i="126"/>
  <c r="H487" i="126"/>
  <c r="H488" i="126"/>
  <c r="H489" i="126"/>
  <c r="H490" i="126"/>
  <c r="O491" i="126"/>
  <c r="O492" i="126"/>
  <c r="O493" i="126"/>
  <c r="O494" i="126"/>
  <c r="H491" i="126"/>
  <c r="H492" i="126"/>
  <c r="H493" i="126"/>
  <c r="H494" i="126"/>
  <c r="O495" i="126"/>
  <c r="O496" i="126"/>
  <c r="O497" i="126"/>
  <c r="O498" i="126"/>
  <c r="H495" i="126"/>
  <c r="H496" i="126"/>
  <c r="H497" i="126"/>
  <c r="H498" i="126"/>
  <c r="O499" i="126"/>
  <c r="O500" i="126"/>
  <c r="O501" i="126"/>
  <c r="O502" i="126"/>
  <c r="H499" i="126"/>
  <c r="H500" i="126"/>
  <c r="H501" i="126"/>
  <c r="H502" i="126"/>
  <c r="O503" i="126"/>
  <c r="O504" i="126"/>
  <c r="O505" i="126"/>
  <c r="O506" i="126"/>
  <c r="H503" i="126"/>
  <c r="H504" i="126"/>
  <c r="H505" i="126"/>
  <c r="H506" i="126"/>
  <c r="O507" i="126"/>
  <c r="O508" i="126"/>
  <c r="O509" i="126"/>
  <c r="O510" i="126"/>
  <c r="H507" i="126"/>
  <c r="H508" i="126"/>
  <c r="H509" i="126"/>
  <c r="H510" i="126"/>
  <c r="O511" i="126"/>
  <c r="O512" i="126"/>
  <c r="O513" i="126"/>
  <c r="O514" i="126"/>
  <c r="H511" i="126"/>
  <c r="H512" i="126"/>
  <c r="H513" i="126"/>
  <c r="H514" i="126"/>
  <c r="O515" i="126"/>
  <c r="O516" i="126"/>
  <c r="O517" i="126"/>
  <c r="O518" i="126"/>
  <c r="H515" i="126"/>
  <c r="H516" i="126"/>
  <c r="H517" i="126"/>
  <c r="H518" i="126"/>
  <c r="O81" i="126"/>
  <c r="O82" i="126"/>
  <c r="O83" i="126"/>
  <c r="O84" i="126"/>
  <c r="H81" i="126"/>
  <c r="H82" i="126"/>
  <c r="H83" i="126"/>
  <c r="H84" i="126"/>
  <c r="O85" i="126"/>
  <c r="O86" i="126"/>
  <c r="O87" i="126"/>
  <c r="O88" i="126"/>
  <c r="H85" i="126"/>
  <c r="H86" i="126"/>
  <c r="H87" i="126"/>
  <c r="H88" i="126"/>
  <c r="O89" i="126"/>
  <c r="O90" i="126"/>
  <c r="O91" i="126"/>
  <c r="O92" i="126"/>
  <c r="H89" i="126"/>
  <c r="H90" i="126"/>
  <c r="H91" i="126"/>
  <c r="H92" i="126"/>
  <c r="O93" i="126"/>
  <c r="O94" i="126"/>
  <c r="O95" i="126"/>
  <c r="O96" i="126"/>
  <c r="H93" i="126"/>
  <c r="H94" i="126"/>
  <c r="H95" i="126"/>
  <c r="H96" i="126"/>
  <c r="O97" i="126"/>
  <c r="O98" i="126"/>
  <c r="O99" i="126"/>
  <c r="O100" i="126"/>
  <c r="H97" i="126"/>
  <c r="H98" i="126"/>
  <c r="H99" i="126"/>
  <c r="H100" i="126"/>
  <c r="O101" i="126"/>
  <c r="O102" i="126"/>
  <c r="O103" i="126"/>
  <c r="O104" i="126"/>
  <c r="H101" i="126"/>
  <c r="H102" i="126"/>
  <c r="H103" i="126"/>
  <c r="H104" i="126"/>
  <c r="O105" i="126"/>
  <c r="O106" i="126"/>
  <c r="O107" i="126"/>
  <c r="O108" i="126"/>
  <c r="H105" i="126"/>
  <c r="H106" i="126"/>
  <c r="H107" i="126"/>
  <c r="H108" i="126"/>
  <c r="O109" i="126"/>
  <c r="O110" i="126"/>
  <c r="O111" i="126"/>
  <c r="O112" i="126"/>
  <c r="H109" i="126"/>
  <c r="H110" i="126"/>
  <c r="H111" i="126"/>
  <c r="H112" i="126"/>
  <c r="O113" i="126"/>
  <c r="O114" i="126"/>
  <c r="O115" i="126"/>
  <c r="O116" i="126"/>
  <c r="H113" i="126"/>
  <c r="H114" i="126"/>
  <c r="H115" i="126"/>
  <c r="H116" i="126"/>
  <c r="O117" i="126"/>
  <c r="O118" i="126"/>
  <c r="O119" i="126"/>
  <c r="O120" i="126"/>
  <c r="H117" i="126"/>
  <c r="H118" i="126"/>
  <c r="H119" i="126"/>
  <c r="H120" i="126"/>
  <c r="O121" i="126"/>
  <c r="O122" i="126"/>
  <c r="O123" i="126"/>
  <c r="O124" i="126"/>
  <c r="H121" i="126"/>
  <c r="H122" i="126"/>
  <c r="H123" i="126"/>
  <c r="H124" i="126"/>
  <c r="O125" i="126"/>
  <c r="O126" i="126"/>
  <c r="O127" i="126"/>
  <c r="O128" i="126"/>
  <c r="H125" i="126"/>
  <c r="H126" i="126"/>
  <c r="H127" i="126"/>
  <c r="H128" i="126"/>
  <c r="O129" i="126"/>
  <c r="O130" i="126"/>
  <c r="O131" i="126"/>
  <c r="O132" i="126"/>
  <c r="H129" i="126"/>
  <c r="H130" i="126"/>
  <c r="H131" i="126"/>
  <c r="H132" i="126"/>
  <c r="O133" i="126"/>
  <c r="O134" i="126"/>
  <c r="O135" i="126"/>
  <c r="O136" i="126"/>
  <c r="H133" i="126"/>
  <c r="H134" i="126"/>
  <c r="H135" i="126"/>
  <c r="H136" i="126"/>
  <c r="O137" i="126"/>
  <c r="O138" i="126"/>
  <c r="O139" i="126"/>
  <c r="O140" i="126"/>
  <c r="H137" i="126"/>
  <c r="H138" i="126"/>
  <c r="H139" i="126"/>
  <c r="H140" i="126"/>
  <c r="O141" i="126"/>
  <c r="O142" i="126"/>
  <c r="O143" i="126"/>
  <c r="O144" i="126"/>
  <c r="H141" i="126"/>
  <c r="H142" i="126"/>
  <c r="H143" i="126"/>
  <c r="H144" i="126"/>
  <c r="O145" i="126"/>
  <c r="O146" i="126"/>
  <c r="O147" i="126"/>
  <c r="O148" i="126"/>
  <c r="H145" i="126"/>
  <c r="H146" i="126"/>
  <c r="H147" i="126"/>
  <c r="H148" i="126"/>
  <c r="O149" i="126"/>
  <c r="O150" i="126"/>
  <c r="O151" i="126"/>
  <c r="O152" i="126"/>
  <c r="H149" i="126"/>
  <c r="H150" i="126"/>
  <c r="H151" i="126"/>
  <c r="H152" i="126"/>
  <c r="O153" i="126"/>
  <c r="O154" i="126"/>
  <c r="O155" i="126"/>
  <c r="O156" i="126"/>
  <c r="H153" i="126"/>
  <c r="H154" i="126"/>
  <c r="H155" i="126"/>
  <c r="H156" i="126"/>
  <c r="O157" i="126"/>
  <c r="O158" i="126"/>
  <c r="O159" i="126"/>
  <c r="O160" i="126"/>
  <c r="H157" i="126"/>
  <c r="H158" i="126"/>
  <c r="H159" i="126"/>
  <c r="H160" i="126"/>
  <c r="O161" i="126"/>
  <c r="O162" i="126"/>
  <c r="O163" i="126"/>
  <c r="O164" i="126"/>
  <c r="H161" i="126"/>
  <c r="H162" i="126"/>
  <c r="H163" i="126"/>
  <c r="H164" i="126"/>
  <c r="O165" i="126"/>
  <c r="O166" i="126"/>
  <c r="O167" i="126"/>
  <c r="O168" i="126"/>
  <c r="H165" i="126"/>
  <c r="H166" i="126"/>
  <c r="H167" i="126"/>
  <c r="H168" i="126"/>
  <c r="O169" i="126"/>
  <c r="O170" i="126"/>
  <c r="O171" i="126"/>
  <c r="O172" i="126"/>
  <c r="H169" i="126"/>
  <c r="H170" i="126"/>
  <c r="H171" i="126"/>
  <c r="H172" i="126"/>
  <c r="O173" i="126"/>
  <c r="O174" i="126"/>
  <c r="O175" i="126"/>
  <c r="O176" i="126"/>
  <c r="H173" i="126"/>
  <c r="H174" i="126"/>
  <c r="H175" i="126"/>
  <c r="H176" i="126"/>
  <c r="O177" i="126"/>
  <c r="O178" i="126"/>
  <c r="O179" i="126"/>
  <c r="O180" i="126"/>
  <c r="H177" i="126"/>
  <c r="H178" i="126"/>
  <c r="H179" i="126"/>
  <c r="H180" i="126"/>
  <c r="O181" i="126"/>
  <c r="O182" i="126"/>
  <c r="O183" i="126"/>
  <c r="O184" i="126"/>
  <c r="H181" i="126"/>
  <c r="H182" i="126"/>
  <c r="H183" i="126"/>
  <c r="H184" i="126"/>
  <c r="O185" i="126"/>
  <c r="O186" i="126"/>
  <c r="O187" i="126"/>
  <c r="O188" i="126"/>
  <c r="H185" i="126"/>
  <c r="H186" i="126"/>
  <c r="H187" i="126"/>
  <c r="H188" i="126"/>
  <c r="O189" i="126"/>
  <c r="O190" i="126"/>
  <c r="O191" i="126"/>
  <c r="O192" i="126"/>
  <c r="H189" i="126"/>
  <c r="H190" i="126"/>
  <c r="H191" i="126"/>
  <c r="H192" i="126"/>
  <c r="O193" i="126"/>
  <c r="O194" i="126"/>
  <c r="O195" i="126"/>
  <c r="O196" i="126"/>
  <c r="H193" i="126"/>
  <c r="H194" i="126"/>
  <c r="H195" i="126"/>
  <c r="H196" i="126"/>
  <c r="O197" i="126"/>
  <c r="O198" i="126"/>
  <c r="O199" i="126"/>
  <c r="O200" i="126"/>
  <c r="H197" i="126"/>
  <c r="H198" i="126"/>
  <c r="H199" i="126"/>
  <c r="H200" i="126"/>
  <c r="O201" i="126"/>
  <c r="O202" i="126"/>
  <c r="O203" i="126"/>
  <c r="O204" i="126"/>
  <c r="H201" i="126"/>
  <c r="H202" i="126"/>
  <c r="H203" i="126"/>
  <c r="H204" i="126"/>
  <c r="O205" i="126"/>
  <c r="O206" i="126"/>
  <c r="O207" i="126"/>
  <c r="O208" i="126"/>
  <c r="H205" i="126"/>
  <c r="H206" i="126"/>
  <c r="H207" i="126"/>
  <c r="H208" i="126"/>
  <c r="O209" i="126"/>
  <c r="O210" i="126"/>
  <c r="O211" i="126"/>
  <c r="O212" i="126"/>
  <c r="H209" i="126"/>
  <c r="H210" i="126"/>
  <c r="H211" i="126"/>
  <c r="H212" i="126"/>
  <c r="O213" i="126"/>
  <c r="O214" i="126"/>
  <c r="O215" i="126"/>
  <c r="O216" i="126"/>
  <c r="H213" i="126"/>
  <c r="H214" i="126"/>
  <c r="H215" i="126"/>
  <c r="H216" i="126"/>
  <c r="O217" i="126"/>
  <c r="O218" i="126"/>
  <c r="O219" i="126"/>
  <c r="O220" i="126"/>
  <c r="H217" i="126"/>
  <c r="H218" i="126"/>
  <c r="H219" i="126"/>
  <c r="H220" i="126"/>
  <c r="O221" i="126"/>
  <c r="O222" i="126"/>
  <c r="O223" i="126"/>
  <c r="O224" i="126"/>
  <c r="H221" i="126"/>
  <c r="H222" i="126"/>
  <c r="H223" i="126"/>
  <c r="H224" i="126"/>
  <c r="O225" i="126"/>
  <c r="O226" i="126"/>
  <c r="O227" i="126"/>
  <c r="O228" i="126"/>
  <c r="H225" i="126"/>
  <c r="H226" i="126"/>
  <c r="H227" i="126"/>
  <c r="H228" i="126"/>
  <c r="O229" i="126"/>
  <c r="O230" i="126"/>
  <c r="O231" i="126"/>
  <c r="O232" i="126"/>
  <c r="H229" i="126"/>
  <c r="H230" i="126"/>
  <c r="H231" i="126"/>
  <c r="H232" i="126"/>
  <c r="O233" i="126"/>
  <c r="O234" i="126"/>
  <c r="O235" i="126"/>
  <c r="O236" i="126"/>
  <c r="H233" i="126"/>
  <c r="H234" i="126"/>
  <c r="H235" i="126"/>
  <c r="H236" i="126"/>
  <c r="O237" i="126"/>
  <c r="O238" i="126"/>
  <c r="O239" i="126"/>
  <c r="O240" i="126"/>
  <c r="H237" i="126"/>
  <c r="H238" i="126"/>
  <c r="H239" i="126"/>
  <c r="H240" i="126"/>
  <c r="O241" i="126"/>
  <c r="O242" i="126"/>
  <c r="O243" i="126"/>
  <c r="O244" i="126"/>
  <c r="H241" i="126"/>
  <c r="H242" i="126"/>
  <c r="H243" i="126"/>
  <c r="H244" i="126"/>
  <c r="O245" i="126"/>
  <c r="O246" i="126"/>
  <c r="O247" i="126"/>
  <c r="O248" i="126"/>
  <c r="H245" i="126"/>
  <c r="H246" i="126"/>
  <c r="H247" i="126"/>
  <c r="H248" i="126"/>
  <c r="O249" i="126"/>
  <c r="O250" i="126"/>
  <c r="O251" i="126"/>
  <c r="O252" i="126"/>
  <c r="H249" i="126"/>
  <c r="H250" i="126"/>
  <c r="H251" i="126"/>
  <c r="H252" i="126"/>
  <c r="O253" i="126"/>
  <c r="O254" i="126"/>
  <c r="O255" i="126"/>
  <c r="O256" i="126"/>
  <c r="H253" i="126"/>
  <c r="H254" i="126"/>
  <c r="H255" i="126"/>
  <c r="H256" i="126"/>
  <c r="O257" i="126"/>
  <c r="O258" i="126"/>
  <c r="O259" i="126"/>
  <c r="O260" i="126"/>
  <c r="H257" i="126"/>
  <c r="H258" i="126"/>
  <c r="H259" i="126"/>
  <c r="H260" i="126"/>
  <c r="H9" i="153"/>
  <c r="H10" i="153"/>
  <c r="H11" i="153"/>
  <c r="H12" i="153"/>
  <c r="H13" i="153"/>
  <c r="H14" i="153"/>
  <c r="H15" i="153"/>
  <c r="H16" i="153"/>
  <c r="H17" i="153"/>
  <c r="H18" i="153"/>
  <c r="H19" i="153"/>
  <c r="H20" i="153"/>
  <c r="H21" i="153"/>
  <c r="H22" i="153"/>
  <c r="H23" i="153"/>
  <c r="H24" i="153"/>
  <c r="H25" i="153"/>
  <c r="H26" i="153"/>
  <c r="H27" i="153"/>
  <c r="H28" i="153"/>
  <c r="H29" i="153"/>
  <c r="H30" i="153"/>
  <c r="H31" i="153"/>
  <c r="H32" i="153"/>
  <c r="H33" i="153"/>
  <c r="H34" i="153"/>
  <c r="H35" i="153"/>
  <c r="H36" i="153"/>
  <c r="H37" i="153"/>
  <c r="H38" i="153"/>
  <c r="H39" i="153"/>
  <c r="H40" i="153"/>
  <c r="H41" i="153"/>
  <c r="H42" i="153"/>
  <c r="H43" i="153"/>
  <c r="H44" i="153"/>
  <c r="H45" i="153"/>
  <c r="H46" i="153"/>
  <c r="H47" i="153"/>
  <c r="H48" i="153"/>
  <c r="H49" i="153"/>
  <c r="H50" i="153"/>
  <c r="H51" i="153"/>
  <c r="H52" i="153"/>
  <c r="H53" i="153"/>
  <c r="H54" i="153"/>
  <c r="H55" i="153"/>
  <c r="H56" i="153"/>
  <c r="H57" i="153"/>
  <c r="H58" i="153"/>
  <c r="H59" i="153"/>
  <c r="H60" i="153"/>
  <c r="H61" i="153"/>
  <c r="H62" i="153"/>
  <c r="H63" i="153"/>
  <c r="H64" i="153"/>
  <c r="H65" i="153"/>
  <c r="H66" i="153"/>
  <c r="H67" i="153"/>
  <c r="H68" i="153"/>
  <c r="H69" i="153"/>
  <c r="H70" i="153"/>
  <c r="H71" i="153"/>
  <c r="H72" i="153"/>
  <c r="H73" i="153"/>
  <c r="H74" i="153"/>
  <c r="H75" i="153"/>
  <c r="H76" i="153"/>
  <c r="H77" i="153"/>
  <c r="H78" i="153"/>
  <c r="H79" i="153"/>
  <c r="H80" i="153"/>
  <c r="H81" i="153"/>
  <c r="H82" i="153"/>
  <c r="H83" i="153"/>
  <c r="H84" i="153"/>
  <c r="H85" i="153"/>
  <c r="H86" i="153"/>
  <c r="H87" i="153"/>
  <c r="H88" i="153"/>
  <c r="H89" i="153"/>
  <c r="H90" i="153"/>
  <c r="H91" i="153"/>
  <c r="H92" i="153"/>
  <c r="H93" i="153"/>
  <c r="H94" i="153"/>
  <c r="H95" i="153"/>
  <c r="H96" i="153"/>
  <c r="H97" i="153"/>
  <c r="H98" i="153"/>
  <c r="H99" i="153"/>
  <c r="H100" i="153"/>
  <c r="H101" i="153"/>
  <c r="H102" i="153"/>
  <c r="H103" i="153"/>
  <c r="H104" i="153"/>
  <c r="H105" i="153"/>
  <c r="H106" i="153"/>
  <c r="H107" i="153"/>
  <c r="H108" i="153"/>
  <c r="H109" i="153"/>
  <c r="H110" i="153"/>
  <c r="H111" i="153"/>
  <c r="H112" i="153"/>
  <c r="H113" i="153"/>
  <c r="H114" i="153"/>
  <c r="H115" i="153"/>
  <c r="H116" i="153"/>
  <c r="H117" i="153"/>
  <c r="H118" i="153"/>
  <c r="H119" i="153"/>
  <c r="H120" i="153"/>
  <c r="H121" i="153"/>
  <c r="H122" i="153"/>
  <c r="H123" i="153"/>
  <c r="H124" i="153"/>
  <c r="H125" i="153"/>
  <c r="H126" i="153"/>
  <c r="H127" i="153"/>
  <c r="H128" i="153"/>
  <c r="H129" i="153"/>
  <c r="H130" i="153"/>
  <c r="H131" i="153"/>
  <c r="H132" i="153"/>
  <c r="H133" i="153"/>
  <c r="H134" i="153"/>
  <c r="H135" i="153"/>
  <c r="H136" i="153"/>
  <c r="H137" i="153"/>
  <c r="H138" i="153"/>
  <c r="H139" i="153"/>
  <c r="H140" i="153"/>
  <c r="H141" i="153"/>
  <c r="H142" i="153"/>
  <c r="H143" i="153"/>
  <c r="H144" i="153"/>
  <c r="H145" i="153"/>
  <c r="H146" i="153"/>
  <c r="H147" i="153"/>
  <c r="H148" i="153"/>
  <c r="H149" i="153"/>
  <c r="H150" i="153"/>
  <c r="H151" i="153"/>
  <c r="H152" i="153"/>
  <c r="H153" i="153"/>
  <c r="H154" i="153"/>
  <c r="H155" i="153"/>
  <c r="H156" i="153"/>
  <c r="H157" i="153"/>
  <c r="H158" i="153"/>
  <c r="H159" i="153"/>
  <c r="H160" i="153"/>
  <c r="H161" i="153"/>
  <c r="H162" i="153"/>
  <c r="H163" i="153"/>
  <c r="H164" i="153"/>
  <c r="H165" i="153"/>
  <c r="H166" i="153"/>
  <c r="H167" i="153"/>
  <c r="H168" i="153"/>
  <c r="H169" i="153"/>
  <c r="H170" i="153"/>
  <c r="H171" i="153"/>
  <c r="H172" i="153"/>
  <c r="H173" i="153"/>
  <c r="H174" i="153"/>
  <c r="H175" i="153"/>
  <c r="H176" i="153"/>
  <c r="H177" i="153"/>
  <c r="H178" i="153"/>
  <c r="H179" i="153"/>
  <c r="H180" i="153"/>
  <c r="H181" i="153"/>
  <c r="H182" i="153"/>
  <c r="H183" i="153"/>
  <c r="H184" i="153"/>
  <c r="H185" i="153"/>
  <c r="H186" i="153"/>
  <c r="H187" i="153"/>
  <c r="H188" i="153"/>
  <c r="H189" i="153"/>
  <c r="H190" i="153"/>
  <c r="H191" i="153"/>
  <c r="H192" i="153"/>
  <c r="H193" i="153"/>
  <c r="H194" i="153"/>
  <c r="H195" i="153"/>
  <c r="H196" i="153"/>
  <c r="H197" i="153"/>
  <c r="H198" i="153"/>
  <c r="H199" i="153"/>
  <c r="H200" i="153"/>
  <c r="H201" i="153"/>
  <c r="H202" i="153"/>
  <c r="H203" i="153"/>
  <c r="H204" i="153"/>
  <c r="H205" i="153"/>
  <c r="H206" i="153"/>
  <c r="H207" i="153"/>
  <c r="H208" i="153"/>
  <c r="H209" i="153"/>
  <c r="H210" i="153"/>
  <c r="H211" i="153"/>
  <c r="H212" i="153"/>
  <c r="H213" i="153"/>
  <c r="H214" i="153"/>
  <c r="H215" i="153"/>
  <c r="H216" i="153"/>
  <c r="H217" i="153"/>
  <c r="H218" i="153"/>
  <c r="H219" i="153"/>
  <c r="H220" i="153"/>
  <c r="H221" i="153"/>
  <c r="H222" i="153"/>
  <c r="H223" i="153"/>
  <c r="H224" i="153"/>
  <c r="H225" i="153"/>
  <c r="H226" i="153"/>
  <c r="H227" i="153"/>
  <c r="H228" i="153"/>
  <c r="H229" i="153"/>
  <c r="H230" i="153"/>
  <c r="H231" i="153"/>
  <c r="H232" i="153"/>
  <c r="H233" i="153"/>
  <c r="H234" i="153"/>
  <c r="H235" i="153"/>
  <c r="H236" i="153"/>
  <c r="H237" i="153"/>
  <c r="H238" i="153"/>
  <c r="H239" i="153"/>
  <c r="H240" i="153"/>
  <c r="H241" i="153"/>
  <c r="H242" i="153"/>
  <c r="H243" i="153"/>
  <c r="H244" i="153"/>
  <c r="H245" i="153"/>
  <c r="H246" i="153"/>
  <c r="H247" i="153"/>
  <c r="H248" i="153"/>
  <c r="H249" i="153"/>
  <c r="H250" i="153"/>
  <c r="H251" i="153"/>
  <c r="H252" i="153"/>
  <c r="H253" i="153"/>
  <c r="H254" i="153"/>
  <c r="H255" i="153"/>
  <c r="H256" i="153"/>
  <c r="H257" i="153"/>
  <c r="H258" i="153"/>
  <c r="H259" i="153"/>
  <c r="H260" i="153"/>
  <c r="U9" i="144"/>
  <c r="U10" i="144"/>
  <c r="U11" i="144"/>
  <c r="U12" i="144"/>
  <c r="U13" i="144"/>
  <c r="U14" i="144"/>
  <c r="U15" i="144"/>
  <c r="U16" i="144"/>
  <c r="U17" i="144"/>
  <c r="U18" i="144"/>
  <c r="U19" i="144"/>
  <c r="U20" i="144"/>
  <c r="U21" i="144"/>
  <c r="U22" i="144"/>
  <c r="U23" i="144"/>
  <c r="U24" i="144"/>
  <c r="U25" i="144"/>
  <c r="U26" i="144"/>
  <c r="U27" i="144"/>
  <c r="U28" i="144"/>
  <c r="U29" i="144"/>
  <c r="U30" i="144"/>
  <c r="U31" i="144"/>
  <c r="U32" i="144"/>
  <c r="U33" i="144"/>
  <c r="U34" i="144"/>
  <c r="U35" i="144"/>
  <c r="U36" i="144"/>
  <c r="U37" i="144"/>
  <c r="U38" i="144"/>
  <c r="U39" i="144"/>
  <c r="U40" i="144"/>
  <c r="U41" i="144"/>
  <c r="U42" i="144"/>
  <c r="U43" i="144"/>
  <c r="U44" i="144"/>
  <c r="U45" i="144"/>
  <c r="U46" i="144"/>
  <c r="U47" i="144"/>
  <c r="U48" i="144"/>
  <c r="U49" i="144"/>
  <c r="U50" i="144"/>
  <c r="U51" i="144"/>
  <c r="U52" i="144"/>
  <c r="U53" i="144"/>
  <c r="U54" i="144"/>
  <c r="U55" i="144"/>
  <c r="U56" i="144"/>
  <c r="U57" i="144"/>
  <c r="U58" i="144"/>
  <c r="U59" i="144"/>
  <c r="U60" i="144"/>
  <c r="U61" i="144"/>
  <c r="U62" i="144"/>
  <c r="U63" i="144"/>
  <c r="U64" i="144"/>
  <c r="U65" i="144"/>
  <c r="U66" i="144"/>
  <c r="U67" i="144"/>
  <c r="U68" i="144"/>
  <c r="U69" i="144"/>
  <c r="U70" i="144"/>
  <c r="U71" i="144"/>
  <c r="U72" i="144"/>
  <c r="U73" i="144"/>
  <c r="U74" i="144"/>
  <c r="U75" i="144"/>
  <c r="U76" i="144"/>
  <c r="U77" i="144"/>
  <c r="U78" i="144"/>
  <c r="U79" i="144"/>
  <c r="U80" i="144"/>
  <c r="U81" i="144"/>
  <c r="U82" i="144"/>
  <c r="U83" i="144"/>
  <c r="U84" i="144"/>
  <c r="U85" i="144"/>
  <c r="U86" i="144"/>
  <c r="U87" i="144"/>
  <c r="U88" i="144"/>
  <c r="U89" i="144"/>
  <c r="U90" i="144"/>
  <c r="U91" i="144"/>
  <c r="U92" i="144"/>
  <c r="U93" i="144"/>
  <c r="U94" i="144"/>
  <c r="U95" i="144"/>
  <c r="U96" i="144"/>
  <c r="U97" i="144"/>
  <c r="U98" i="144"/>
  <c r="U99" i="144"/>
  <c r="U100" i="144"/>
  <c r="U101" i="144"/>
  <c r="U102" i="144"/>
  <c r="U103" i="144"/>
  <c r="U104" i="144"/>
  <c r="U105" i="144"/>
  <c r="U106" i="144"/>
  <c r="U107" i="144"/>
  <c r="U108" i="144"/>
  <c r="U109" i="144"/>
  <c r="U110" i="144"/>
  <c r="U111" i="144"/>
  <c r="U112" i="144"/>
  <c r="U113" i="144"/>
  <c r="U114" i="144"/>
  <c r="U115" i="144"/>
  <c r="U116" i="144"/>
  <c r="U117" i="144"/>
  <c r="U118" i="144"/>
  <c r="U119" i="144"/>
  <c r="U120" i="144"/>
  <c r="U121" i="144"/>
  <c r="U122" i="144"/>
  <c r="U123" i="144"/>
  <c r="U124" i="144"/>
  <c r="U125" i="144"/>
  <c r="U126" i="144"/>
  <c r="U127" i="144"/>
  <c r="U128" i="144"/>
  <c r="U129" i="144"/>
  <c r="U130" i="144"/>
  <c r="U131" i="144"/>
  <c r="U132" i="144"/>
  <c r="U133" i="144"/>
  <c r="U134" i="144"/>
  <c r="U135" i="144"/>
  <c r="U136" i="144"/>
  <c r="U137" i="144"/>
  <c r="U138" i="144"/>
  <c r="U139" i="144"/>
  <c r="U140" i="144"/>
  <c r="U141" i="144"/>
  <c r="U142" i="144"/>
  <c r="U143" i="144"/>
  <c r="U144" i="144"/>
  <c r="U145" i="144"/>
  <c r="U146" i="144"/>
  <c r="U147" i="144"/>
  <c r="U148" i="144"/>
  <c r="U149" i="144"/>
  <c r="U150" i="144"/>
  <c r="U151" i="144"/>
  <c r="U152" i="144"/>
  <c r="U153" i="144"/>
  <c r="U154" i="144"/>
  <c r="U155" i="144"/>
  <c r="U156" i="144"/>
  <c r="U157" i="144"/>
  <c r="U158" i="144"/>
  <c r="U159" i="144"/>
  <c r="U160" i="144"/>
  <c r="U161" i="144"/>
  <c r="U162" i="144"/>
  <c r="U163" i="144"/>
  <c r="U164" i="144"/>
  <c r="U165" i="144"/>
  <c r="U166" i="144"/>
  <c r="U167" i="144"/>
  <c r="U168" i="144"/>
  <c r="U169" i="144"/>
  <c r="U170" i="144"/>
  <c r="U171" i="144"/>
  <c r="U172" i="144"/>
  <c r="U173" i="144"/>
  <c r="U174" i="144"/>
  <c r="U175" i="144"/>
  <c r="U176" i="144"/>
  <c r="U177" i="144"/>
  <c r="U178" i="144"/>
  <c r="U179" i="144"/>
  <c r="U180" i="144"/>
  <c r="U181" i="144"/>
  <c r="U182" i="144"/>
  <c r="U183" i="144"/>
  <c r="U184" i="144"/>
  <c r="U185" i="144"/>
  <c r="U186" i="144"/>
  <c r="U187" i="144"/>
  <c r="U188" i="144"/>
  <c r="U189" i="144"/>
  <c r="U190" i="144"/>
  <c r="U191" i="144"/>
  <c r="U192" i="144"/>
  <c r="U193" i="144"/>
  <c r="U194" i="144"/>
  <c r="U195" i="144"/>
  <c r="U196" i="144"/>
  <c r="U197" i="144"/>
  <c r="U198" i="144"/>
  <c r="U199" i="144"/>
  <c r="U200" i="144"/>
  <c r="U201" i="144"/>
  <c r="U202" i="144"/>
  <c r="U203" i="144"/>
  <c r="U204" i="144"/>
  <c r="U205" i="144"/>
  <c r="U206" i="144"/>
  <c r="U207" i="144"/>
  <c r="U208" i="144"/>
  <c r="U209" i="144"/>
  <c r="U210" i="144"/>
  <c r="U211" i="144"/>
  <c r="U212" i="144"/>
  <c r="U213" i="144"/>
  <c r="U214" i="144"/>
  <c r="U215" i="144"/>
  <c r="U216" i="144"/>
  <c r="U217" i="144"/>
  <c r="U218" i="144"/>
  <c r="U219" i="144"/>
  <c r="U220" i="144"/>
  <c r="U221" i="144"/>
  <c r="U222" i="144"/>
  <c r="U223" i="144"/>
  <c r="U224" i="144"/>
  <c r="U225" i="144"/>
  <c r="U226" i="144"/>
  <c r="U227" i="144"/>
  <c r="U228" i="144"/>
  <c r="U229" i="144"/>
  <c r="U230" i="144"/>
  <c r="U231" i="144"/>
  <c r="U232" i="144"/>
  <c r="U233" i="144"/>
  <c r="U234" i="144"/>
  <c r="U235" i="144"/>
  <c r="U236" i="144"/>
  <c r="U237" i="144"/>
  <c r="U238" i="144"/>
  <c r="U239" i="144"/>
  <c r="U240" i="144"/>
  <c r="U241" i="144"/>
  <c r="U242" i="144"/>
  <c r="U243" i="144"/>
  <c r="U244" i="144"/>
  <c r="U245" i="144"/>
  <c r="U246" i="144"/>
  <c r="U247" i="144"/>
  <c r="U248" i="144"/>
  <c r="U249" i="144"/>
  <c r="U250" i="144"/>
  <c r="U251" i="144"/>
  <c r="U252" i="144"/>
  <c r="U253" i="144"/>
  <c r="U254" i="144"/>
  <c r="U255" i="144"/>
  <c r="U256" i="144"/>
  <c r="U257" i="144"/>
  <c r="U258" i="144"/>
  <c r="U259" i="144"/>
  <c r="U260" i="144"/>
  <c r="H9" i="144"/>
  <c r="H10" i="144"/>
  <c r="H11" i="144"/>
  <c r="O9" i="144"/>
  <c r="H12" i="144"/>
  <c r="O10" i="144"/>
  <c r="O11" i="144"/>
  <c r="O12" i="144"/>
  <c r="H13" i="144"/>
  <c r="H14" i="144"/>
  <c r="H15" i="144"/>
  <c r="O13" i="144"/>
  <c r="H16" i="144"/>
  <c r="O14" i="144"/>
  <c r="O15" i="144"/>
  <c r="O16" i="144"/>
  <c r="H17" i="144"/>
  <c r="H18" i="144"/>
  <c r="H19" i="144"/>
  <c r="O17" i="144"/>
  <c r="H20" i="144"/>
  <c r="O18" i="144"/>
  <c r="O19" i="144"/>
  <c r="O20" i="144"/>
  <c r="H21" i="144"/>
  <c r="H22" i="144"/>
  <c r="H23" i="144"/>
  <c r="O21" i="144"/>
  <c r="H24" i="144"/>
  <c r="O22" i="144"/>
  <c r="O23" i="144"/>
  <c r="O24" i="144"/>
  <c r="H25" i="144"/>
  <c r="H26" i="144"/>
  <c r="H27" i="144"/>
  <c r="O25" i="144"/>
  <c r="H28" i="144"/>
  <c r="O26" i="144"/>
  <c r="O27" i="144"/>
  <c r="O28" i="144"/>
  <c r="H29" i="144"/>
  <c r="H30" i="144"/>
  <c r="H31" i="144"/>
  <c r="O29" i="144"/>
  <c r="H32" i="144"/>
  <c r="O30" i="144"/>
  <c r="O31" i="144"/>
  <c r="O32" i="144"/>
  <c r="H33" i="144"/>
  <c r="H34" i="144"/>
  <c r="H35" i="144"/>
  <c r="O33" i="144"/>
  <c r="H36" i="144"/>
  <c r="O34" i="144"/>
  <c r="O35" i="144"/>
  <c r="O36" i="144"/>
  <c r="H37" i="144"/>
  <c r="H38" i="144"/>
  <c r="H39" i="144"/>
  <c r="O37" i="144"/>
  <c r="H40" i="144"/>
  <c r="O38" i="144"/>
  <c r="O39" i="144"/>
  <c r="O40" i="144"/>
  <c r="H41" i="144"/>
  <c r="H42" i="144"/>
  <c r="H43" i="144"/>
  <c r="O41" i="144"/>
  <c r="H44" i="144"/>
  <c r="O42" i="144"/>
  <c r="O43" i="144"/>
  <c r="O44" i="144"/>
  <c r="H45" i="144"/>
  <c r="H46" i="144"/>
  <c r="H47" i="144"/>
  <c r="O45" i="144"/>
  <c r="H48" i="144"/>
  <c r="O46" i="144"/>
  <c r="O47" i="144"/>
  <c r="O48" i="144"/>
  <c r="H49" i="144"/>
  <c r="H50" i="144"/>
  <c r="H51" i="144"/>
  <c r="O49" i="144"/>
  <c r="H52" i="144"/>
  <c r="O50" i="144"/>
  <c r="O51" i="144"/>
  <c r="O52" i="144"/>
  <c r="H53" i="144"/>
  <c r="H54" i="144"/>
  <c r="H55" i="144"/>
  <c r="O53" i="144"/>
  <c r="H56" i="144"/>
  <c r="O54" i="144"/>
  <c r="O55" i="144"/>
  <c r="O56" i="144"/>
  <c r="H57" i="144"/>
  <c r="H58" i="144"/>
  <c r="H59" i="144"/>
  <c r="O57" i="144"/>
  <c r="H60" i="144"/>
  <c r="O58" i="144"/>
  <c r="O59" i="144"/>
  <c r="O60" i="144"/>
  <c r="H61" i="144"/>
  <c r="H62" i="144"/>
  <c r="H63" i="144"/>
  <c r="O61" i="144"/>
  <c r="H64" i="144"/>
  <c r="O62" i="144"/>
  <c r="O63" i="144"/>
  <c r="O64" i="144"/>
  <c r="H65" i="144"/>
  <c r="H66" i="144"/>
  <c r="H67" i="144"/>
  <c r="O65" i="144"/>
  <c r="H68" i="144"/>
  <c r="O66" i="144"/>
  <c r="O67" i="144"/>
  <c r="O68" i="144"/>
  <c r="H69" i="144"/>
  <c r="H70" i="144"/>
  <c r="H71" i="144"/>
  <c r="O69" i="144"/>
  <c r="H72" i="144"/>
  <c r="O70" i="144"/>
  <c r="O71" i="144"/>
  <c r="O72" i="144"/>
  <c r="H73" i="144"/>
  <c r="H74" i="144"/>
  <c r="H75" i="144"/>
  <c r="O73" i="144"/>
  <c r="H76" i="144"/>
  <c r="O74" i="144"/>
  <c r="O75" i="144"/>
  <c r="O76" i="144"/>
  <c r="H77" i="144"/>
  <c r="H78" i="144"/>
  <c r="H79" i="144"/>
  <c r="O77" i="144"/>
  <c r="H80" i="144"/>
  <c r="O78" i="144"/>
  <c r="O79" i="144"/>
  <c r="O80" i="144"/>
  <c r="H81" i="144"/>
  <c r="H82" i="144"/>
  <c r="H83" i="144"/>
  <c r="O81" i="144"/>
  <c r="H84" i="144"/>
  <c r="O82" i="144"/>
  <c r="O83" i="144"/>
  <c r="O84" i="144"/>
  <c r="T81" i="144"/>
  <c r="H85" i="144"/>
  <c r="H86" i="144"/>
  <c r="H87" i="144"/>
  <c r="O85" i="144"/>
  <c r="H88" i="144"/>
  <c r="O86" i="144"/>
  <c r="O87" i="144"/>
  <c r="O88" i="144"/>
  <c r="T85" i="144"/>
  <c r="H89" i="144"/>
  <c r="H90" i="144"/>
  <c r="H91" i="144"/>
  <c r="O89" i="144"/>
  <c r="H92" i="144"/>
  <c r="O90" i="144"/>
  <c r="O91" i="144"/>
  <c r="O92" i="144"/>
  <c r="T89" i="144"/>
  <c r="H93" i="144"/>
  <c r="H94" i="144"/>
  <c r="H95" i="144"/>
  <c r="O93" i="144"/>
  <c r="H96" i="144"/>
  <c r="O94" i="144"/>
  <c r="O95" i="144"/>
  <c r="O96" i="144"/>
  <c r="T93" i="144"/>
  <c r="H97" i="144"/>
  <c r="H98" i="144"/>
  <c r="H99" i="144"/>
  <c r="O97" i="144"/>
  <c r="H100" i="144"/>
  <c r="O98" i="144"/>
  <c r="O99" i="144"/>
  <c r="O100" i="144"/>
  <c r="T97" i="144"/>
  <c r="H101" i="144"/>
  <c r="H102" i="144"/>
  <c r="H103" i="144"/>
  <c r="O101" i="144"/>
  <c r="H104" i="144"/>
  <c r="O102" i="144"/>
  <c r="O103" i="144"/>
  <c r="O104" i="144"/>
  <c r="T101" i="144"/>
  <c r="H105" i="144"/>
  <c r="H106" i="144"/>
  <c r="H107" i="144"/>
  <c r="O105" i="144"/>
  <c r="H108" i="144"/>
  <c r="O106" i="144"/>
  <c r="O107" i="144"/>
  <c r="O108" i="144"/>
  <c r="T105" i="144"/>
  <c r="H109" i="144"/>
  <c r="H110" i="144"/>
  <c r="H111" i="144"/>
  <c r="O109" i="144"/>
  <c r="H112" i="144"/>
  <c r="O110" i="144"/>
  <c r="O111" i="144"/>
  <c r="O112" i="144"/>
  <c r="T109" i="144"/>
  <c r="H113" i="144"/>
  <c r="H114" i="144"/>
  <c r="H115" i="144"/>
  <c r="O113" i="144"/>
  <c r="H116" i="144"/>
  <c r="O114" i="144"/>
  <c r="O115" i="144"/>
  <c r="O116" i="144"/>
  <c r="T113" i="144"/>
  <c r="H117" i="144"/>
  <c r="H118" i="144"/>
  <c r="H119" i="144"/>
  <c r="O117" i="144"/>
  <c r="H120" i="144"/>
  <c r="O118" i="144"/>
  <c r="O119" i="144"/>
  <c r="O120" i="144"/>
  <c r="T117" i="144"/>
  <c r="H121" i="144"/>
  <c r="H122" i="144"/>
  <c r="H123" i="144"/>
  <c r="O121" i="144"/>
  <c r="H124" i="144"/>
  <c r="O122" i="144"/>
  <c r="O123" i="144"/>
  <c r="O124" i="144"/>
  <c r="T121" i="144"/>
  <c r="H125" i="144"/>
  <c r="H126" i="144"/>
  <c r="H127" i="144"/>
  <c r="O125" i="144"/>
  <c r="H128" i="144"/>
  <c r="O126" i="144"/>
  <c r="O127" i="144"/>
  <c r="O128" i="144"/>
  <c r="T125" i="144"/>
  <c r="H129" i="144"/>
  <c r="H130" i="144"/>
  <c r="H131" i="144"/>
  <c r="O129" i="144"/>
  <c r="H132" i="144"/>
  <c r="O130" i="144"/>
  <c r="O131" i="144"/>
  <c r="O132" i="144"/>
  <c r="T129" i="144"/>
  <c r="H133" i="144"/>
  <c r="H134" i="144"/>
  <c r="H135" i="144"/>
  <c r="O133" i="144"/>
  <c r="H136" i="144"/>
  <c r="O134" i="144"/>
  <c r="O135" i="144"/>
  <c r="O136" i="144"/>
  <c r="T133" i="144"/>
  <c r="H137" i="144"/>
  <c r="H138" i="144"/>
  <c r="H139" i="144"/>
  <c r="O137" i="144"/>
  <c r="H140" i="144"/>
  <c r="O138" i="144"/>
  <c r="O139" i="144"/>
  <c r="O140" i="144"/>
  <c r="T137" i="144"/>
  <c r="H141" i="144"/>
  <c r="H142" i="144"/>
  <c r="H143" i="144"/>
  <c r="O141" i="144"/>
  <c r="H144" i="144"/>
  <c r="O142" i="144"/>
  <c r="O143" i="144"/>
  <c r="O144" i="144"/>
  <c r="T141" i="144"/>
  <c r="H145" i="144"/>
  <c r="H146" i="144"/>
  <c r="H147" i="144"/>
  <c r="O145" i="144"/>
  <c r="H148" i="144"/>
  <c r="O146" i="144"/>
  <c r="O147" i="144"/>
  <c r="O148" i="144"/>
  <c r="T145" i="144"/>
  <c r="H149" i="144"/>
  <c r="H150" i="144"/>
  <c r="H151" i="144"/>
  <c r="O149" i="144"/>
  <c r="H152" i="144"/>
  <c r="O150" i="144"/>
  <c r="O151" i="144"/>
  <c r="O152" i="144"/>
  <c r="T149" i="144"/>
  <c r="H153" i="144"/>
  <c r="H154" i="144"/>
  <c r="H155" i="144"/>
  <c r="O153" i="144"/>
  <c r="H156" i="144"/>
  <c r="O154" i="144"/>
  <c r="O155" i="144"/>
  <c r="O156" i="144"/>
  <c r="T153" i="144"/>
  <c r="H157" i="144"/>
  <c r="H158" i="144"/>
  <c r="H159" i="144"/>
  <c r="O157" i="144"/>
  <c r="H160" i="144"/>
  <c r="O158" i="144"/>
  <c r="O159" i="144"/>
  <c r="O160" i="144"/>
  <c r="T157" i="144"/>
  <c r="H161" i="144"/>
  <c r="H162" i="144"/>
  <c r="H163" i="144"/>
  <c r="O161" i="144"/>
  <c r="H164" i="144"/>
  <c r="O162" i="144"/>
  <c r="O163" i="144"/>
  <c r="O164" i="144"/>
  <c r="T161" i="144"/>
  <c r="H165" i="144"/>
  <c r="H166" i="144"/>
  <c r="H167" i="144"/>
  <c r="O165" i="144"/>
  <c r="H168" i="144"/>
  <c r="O166" i="144"/>
  <c r="O167" i="144"/>
  <c r="O168" i="144"/>
  <c r="T165" i="144"/>
  <c r="H169" i="144"/>
  <c r="H170" i="144"/>
  <c r="H171" i="144"/>
  <c r="O169" i="144"/>
  <c r="H172" i="144"/>
  <c r="O170" i="144"/>
  <c r="O171" i="144"/>
  <c r="O172" i="144"/>
  <c r="T169" i="144"/>
  <c r="H173" i="144"/>
  <c r="H174" i="144"/>
  <c r="H175" i="144"/>
  <c r="O173" i="144"/>
  <c r="H176" i="144"/>
  <c r="O174" i="144"/>
  <c r="O175" i="144"/>
  <c r="O176" i="144"/>
  <c r="T173" i="144"/>
  <c r="H177" i="144"/>
  <c r="H178" i="144"/>
  <c r="H179" i="144"/>
  <c r="O177" i="144"/>
  <c r="H180" i="144"/>
  <c r="O178" i="144"/>
  <c r="O179" i="144"/>
  <c r="O180" i="144"/>
  <c r="T177" i="144"/>
  <c r="H181" i="144"/>
  <c r="H182" i="144"/>
  <c r="H183" i="144"/>
  <c r="O181" i="144"/>
  <c r="H184" i="144"/>
  <c r="O182" i="144"/>
  <c r="O183" i="144"/>
  <c r="O184" i="144"/>
  <c r="T181" i="144"/>
  <c r="H185" i="144"/>
  <c r="H186" i="144"/>
  <c r="H187" i="144"/>
  <c r="O185" i="144"/>
  <c r="H188" i="144"/>
  <c r="O186" i="144"/>
  <c r="O187" i="144"/>
  <c r="O188" i="144"/>
  <c r="T185" i="144"/>
  <c r="H189" i="144"/>
  <c r="H190" i="144"/>
  <c r="H191" i="144"/>
  <c r="O189" i="144"/>
  <c r="H192" i="144"/>
  <c r="O190" i="144"/>
  <c r="O191" i="144"/>
  <c r="O192" i="144"/>
  <c r="T189" i="144"/>
  <c r="H193" i="144"/>
  <c r="H194" i="144"/>
  <c r="H195" i="144"/>
  <c r="O193" i="144"/>
  <c r="H196" i="144"/>
  <c r="O194" i="144"/>
  <c r="O195" i="144"/>
  <c r="O196" i="144"/>
  <c r="T193" i="144"/>
  <c r="H197" i="144"/>
  <c r="H198" i="144"/>
  <c r="H199" i="144"/>
  <c r="O197" i="144"/>
  <c r="H200" i="144"/>
  <c r="O198" i="144"/>
  <c r="O199" i="144"/>
  <c r="O200" i="144"/>
  <c r="T197" i="144"/>
  <c r="H201" i="144"/>
  <c r="H202" i="144"/>
  <c r="H203" i="144"/>
  <c r="O201" i="144"/>
  <c r="H204" i="144"/>
  <c r="O202" i="144"/>
  <c r="O203" i="144"/>
  <c r="O204" i="144"/>
  <c r="T201" i="144"/>
  <c r="H205" i="144"/>
  <c r="H206" i="144"/>
  <c r="H207" i="144"/>
  <c r="O205" i="144"/>
  <c r="H208" i="144"/>
  <c r="O206" i="144"/>
  <c r="O207" i="144"/>
  <c r="O208" i="144"/>
  <c r="T205" i="144"/>
  <c r="H209" i="144"/>
  <c r="H210" i="144"/>
  <c r="H211" i="144"/>
  <c r="O209" i="144"/>
  <c r="H212" i="144"/>
  <c r="O210" i="144"/>
  <c r="O211" i="144"/>
  <c r="O212" i="144"/>
  <c r="T209" i="144"/>
  <c r="H213" i="144"/>
  <c r="H214" i="144"/>
  <c r="H215" i="144"/>
  <c r="O213" i="144"/>
  <c r="H216" i="144"/>
  <c r="O214" i="144"/>
  <c r="O215" i="144"/>
  <c r="O216" i="144"/>
  <c r="T213" i="144"/>
  <c r="H217" i="144"/>
  <c r="H218" i="144"/>
  <c r="H219" i="144"/>
  <c r="O217" i="144"/>
  <c r="H220" i="144"/>
  <c r="O218" i="144"/>
  <c r="O219" i="144"/>
  <c r="O220" i="144"/>
  <c r="T217" i="144"/>
  <c r="H221" i="144"/>
  <c r="H222" i="144"/>
  <c r="H223" i="144"/>
  <c r="O221" i="144"/>
  <c r="H224" i="144"/>
  <c r="O222" i="144"/>
  <c r="O223" i="144"/>
  <c r="O224" i="144"/>
  <c r="T221" i="144"/>
  <c r="H225" i="144"/>
  <c r="H226" i="144"/>
  <c r="H227" i="144"/>
  <c r="O225" i="144"/>
  <c r="H228" i="144"/>
  <c r="O226" i="144"/>
  <c r="O227" i="144"/>
  <c r="O228" i="144"/>
  <c r="T225" i="144"/>
  <c r="H229" i="144"/>
  <c r="H230" i="144"/>
  <c r="H231" i="144"/>
  <c r="O229" i="144"/>
  <c r="H232" i="144"/>
  <c r="O230" i="144"/>
  <c r="O231" i="144"/>
  <c r="O232" i="144"/>
  <c r="T229" i="144"/>
  <c r="H233" i="144"/>
  <c r="H234" i="144"/>
  <c r="H235" i="144"/>
  <c r="O233" i="144"/>
  <c r="H236" i="144"/>
  <c r="O234" i="144"/>
  <c r="O235" i="144"/>
  <c r="O236" i="144"/>
  <c r="T233" i="144"/>
  <c r="H237" i="144"/>
  <c r="H238" i="144"/>
  <c r="H239" i="144"/>
  <c r="O237" i="144"/>
  <c r="H240" i="144"/>
  <c r="O238" i="144"/>
  <c r="O239" i="144"/>
  <c r="O240" i="144"/>
  <c r="T237" i="144"/>
  <c r="H241" i="144"/>
  <c r="H242" i="144"/>
  <c r="H243" i="144"/>
  <c r="O241" i="144"/>
  <c r="H244" i="144"/>
  <c r="O242" i="144"/>
  <c r="O243" i="144"/>
  <c r="O244" i="144"/>
  <c r="T241" i="144"/>
  <c r="H245" i="144"/>
  <c r="H246" i="144"/>
  <c r="H247" i="144"/>
  <c r="O245" i="144"/>
  <c r="H248" i="144"/>
  <c r="O246" i="144"/>
  <c r="O247" i="144"/>
  <c r="O248" i="144"/>
  <c r="T245" i="144"/>
  <c r="H249" i="144"/>
  <c r="H250" i="144"/>
  <c r="H251" i="144"/>
  <c r="O249" i="144"/>
  <c r="H252" i="144"/>
  <c r="O250" i="144"/>
  <c r="O251" i="144"/>
  <c r="O252" i="144"/>
  <c r="T249" i="144"/>
  <c r="H253" i="144"/>
  <c r="H254" i="144"/>
  <c r="H255" i="144"/>
  <c r="O253" i="144"/>
  <c r="H256" i="144"/>
  <c r="O254" i="144"/>
  <c r="O255" i="144"/>
  <c r="O256" i="144"/>
  <c r="T253" i="144"/>
  <c r="H257" i="144"/>
  <c r="H258" i="144"/>
  <c r="H259" i="144"/>
  <c r="O257" i="144"/>
  <c r="H260" i="144"/>
  <c r="O258" i="144"/>
  <c r="O259" i="144"/>
  <c r="O260" i="144"/>
  <c r="T257" i="144"/>
  <c r="F73" i="135"/>
  <c r="S81" i="144"/>
  <c r="S85" i="144"/>
  <c r="S89" i="144"/>
  <c r="S93" i="144"/>
  <c r="S97" i="144"/>
  <c r="S101" i="144"/>
  <c r="S105" i="144"/>
  <c r="S109" i="144"/>
  <c r="S113" i="144"/>
  <c r="S117" i="144"/>
  <c r="S121" i="144"/>
  <c r="S125" i="144"/>
  <c r="S129" i="144"/>
  <c r="S133" i="144"/>
  <c r="S137" i="144"/>
  <c r="S141" i="144"/>
  <c r="S145" i="144"/>
  <c r="S149" i="144"/>
  <c r="S153" i="144"/>
  <c r="S157" i="144"/>
  <c r="S161" i="144"/>
  <c r="S165" i="144"/>
  <c r="S169" i="144"/>
  <c r="S173" i="144"/>
  <c r="S177" i="144"/>
  <c r="S181" i="144"/>
  <c r="S185" i="144"/>
  <c r="S189" i="144"/>
  <c r="S193" i="144"/>
  <c r="S197" i="144"/>
  <c r="S201" i="144"/>
  <c r="S205" i="144"/>
  <c r="S209" i="144"/>
  <c r="S213" i="144"/>
  <c r="S217" i="144"/>
  <c r="S221" i="144"/>
  <c r="S225" i="144"/>
  <c r="S229" i="144"/>
  <c r="S233" i="144"/>
  <c r="S237" i="144"/>
  <c r="S241" i="144"/>
  <c r="S245" i="144"/>
  <c r="S249" i="144"/>
  <c r="S253" i="144"/>
  <c r="S257" i="144"/>
  <c r="E73" i="135"/>
  <c r="R81" i="144"/>
  <c r="R85" i="144"/>
  <c r="R89" i="144"/>
  <c r="R93" i="144"/>
  <c r="R97" i="144"/>
  <c r="R101" i="144"/>
  <c r="R105" i="144"/>
  <c r="R109" i="144"/>
  <c r="R113" i="144"/>
  <c r="R117" i="144"/>
  <c r="R121" i="144"/>
  <c r="R125" i="144"/>
  <c r="R129" i="144"/>
  <c r="R133" i="144"/>
  <c r="R137" i="144"/>
  <c r="R141" i="144"/>
  <c r="R145" i="144"/>
  <c r="R149" i="144"/>
  <c r="R153" i="144"/>
  <c r="R157" i="144"/>
  <c r="R161" i="144"/>
  <c r="R165" i="144"/>
  <c r="R169" i="144"/>
  <c r="R173" i="144"/>
  <c r="R177" i="144"/>
  <c r="R181" i="144"/>
  <c r="R185" i="144"/>
  <c r="R189" i="144"/>
  <c r="R193" i="144"/>
  <c r="R197" i="144"/>
  <c r="R201" i="144"/>
  <c r="R205" i="144"/>
  <c r="R209" i="144"/>
  <c r="R213" i="144"/>
  <c r="R217" i="144"/>
  <c r="R221" i="144"/>
  <c r="R225" i="144"/>
  <c r="R229" i="144"/>
  <c r="R233" i="144"/>
  <c r="R237" i="144"/>
  <c r="R241" i="144"/>
  <c r="R245" i="144"/>
  <c r="R249" i="144"/>
  <c r="R253" i="144"/>
  <c r="R257" i="144"/>
  <c r="D73" i="135"/>
  <c r="Q81" i="144"/>
  <c r="Q85" i="144"/>
  <c r="Q89" i="144"/>
  <c r="Q93" i="144"/>
  <c r="Q97" i="144"/>
  <c r="Q101" i="144"/>
  <c r="Q105" i="144"/>
  <c r="Q109" i="144"/>
  <c r="Q113" i="144"/>
  <c r="Q117" i="144"/>
  <c r="Q121" i="144"/>
  <c r="Q125" i="144"/>
  <c r="Q129" i="144"/>
  <c r="Q133" i="144"/>
  <c r="Q137" i="144"/>
  <c r="Q141" i="144"/>
  <c r="Q145" i="144"/>
  <c r="Q149" i="144"/>
  <c r="Q153" i="144"/>
  <c r="Q157" i="144"/>
  <c r="Q161" i="144"/>
  <c r="Q165" i="144"/>
  <c r="Q169" i="144"/>
  <c r="Q173" i="144"/>
  <c r="Q177" i="144"/>
  <c r="Q181" i="144"/>
  <c r="Q185" i="144"/>
  <c r="Q189" i="144"/>
  <c r="Q193" i="144"/>
  <c r="Q197" i="144"/>
  <c r="Q201" i="144"/>
  <c r="Q205" i="144"/>
  <c r="Q209" i="144"/>
  <c r="Q213" i="144"/>
  <c r="Q217" i="144"/>
  <c r="Q221" i="144"/>
  <c r="Q225" i="144"/>
  <c r="Q229" i="144"/>
  <c r="Q233" i="144"/>
  <c r="Q237" i="144"/>
  <c r="Q241" i="144"/>
  <c r="Q245" i="144"/>
  <c r="Q249" i="144"/>
  <c r="Q253" i="144"/>
  <c r="Q257" i="144"/>
  <c r="C73" i="135"/>
  <c r="U403" i="118"/>
  <c r="U404" i="118"/>
  <c r="U405" i="118"/>
  <c r="U406" i="118"/>
  <c r="U407" i="118"/>
  <c r="U408" i="118"/>
  <c r="U409" i="118"/>
  <c r="U410" i="118"/>
  <c r="U411" i="118"/>
  <c r="U412" i="118"/>
  <c r="U413" i="118"/>
  <c r="U414" i="118"/>
  <c r="U415" i="118"/>
  <c r="U416" i="118"/>
  <c r="U417" i="118"/>
  <c r="U418" i="118"/>
  <c r="U419" i="118"/>
  <c r="U420" i="118"/>
  <c r="U421" i="118"/>
  <c r="U422" i="118"/>
  <c r="U423" i="118"/>
  <c r="U424" i="118"/>
  <c r="U425" i="118"/>
  <c r="U426" i="118"/>
  <c r="U427" i="118"/>
  <c r="U428" i="118"/>
  <c r="U429" i="118"/>
  <c r="U430" i="118"/>
  <c r="U431" i="118"/>
  <c r="U432" i="118"/>
  <c r="U433" i="118"/>
  <c r="U434" i="118"/>
  <c r="U435" i="118"/>
  <c r="U436" i="118"/>
  <c r="U437" i="118"/>
  <c r="U438" i="118"/>
  <c r="U439" i="118"/>
  <c r="U440" i="118"/>
  <c r="U441" i="118"/>
  <c r="U442" i="118"/>
  <c r="U443" i="118"/>
  <c r="U444" i="118"/>
  <c r="U445" i="118"/>
  <c r="U446" i="118"/>
  <c r="U447" i="118"/>
  <c r="U448" i="118"/>
  <c r="U449" i="118"/>
  <c r="U450" i="118"/>
  <c r="G63" i="135"/>
  <c r="O403" i="118"/>
  <c r="O404" i="118"/>
  <c r="O405" i="118"/>
  <c r="O406" i="118"/>
  <c r="H403" i="118"/>
  <c r="H404" i="118"/>
  <c r="H405" i="118"/>
  <c r="H406" i="118"/>
  <c r="T403" i="118"/>
  <c r="O407" i="118"/>
  <c r="O408" i="118"/>
  <c r="O409" i="118"/>
  <c r="O410" i="118"/>
  <c r="H407" i="118"/>
  <c r="H408" i="118"/>
  <c r="H409" i="118"/>
  <c r="H410" i="118"/>
  <c r="T407" i="118"/>
  <c r="O411" i="118"/>
  <c r="O412" i="118"/>
  <c r="O413" i="118"/>
  <c r="O414" i="118"/>
  <c r="H411" i="118"/>
  <c r="H412" i="118"/>
  <c r="H413" i="118"/>
  <c r="H414" i="118"/>
  <c r="T411" i="118"/>
  <c r="O415" i="118"/>
  <c r="O416" i="118"/>
  <c r="O417" i="118"/>
  <c r="O418" i="118"/>
  <c r="H415" i="118"/>
  <c r="H416" i="118"/>
  <c r="H417" i="118"/>
  <c r="H418" i="118"/>
  <c r="T415" i="118"/>
  <c r="O419" i="118"/>
  <c r="O420" i="118"/>
  <c r="O421" i="118"/>
  <c r="O422" i="118"/>
  <c r="H419" i="118"/>
  <c r="H420" i="118"/>
  <c r="H421" i="118"/>
  <c r="H422" i="118"/>
  <c r="T419" i="118"/>
  <c r="O423" i="118"/>
  <c r="O424" i="118"/>
  <c r="O425" i="118"/>
  <c r="O426" i="118"/>
  <c r="H423" i="118"/>
  <c r="H424" i="118"/>
  <c r="H425" i="118"/>
  <c r="H426" i="118"/>
  <c r="T423" i="118"/>
  <c r="O427" i="118"/>
  <c r="O428" i="118"/>
  <c r="O429" i="118"/>
  <c r="O430" i="118"/>
  <c r="H427" i="118"/>
  <c r="H428" i="118"/>
  <c r="H429" i="118"/>
  <c r="H430" i="118"/>
  <c r="T427" i="118"/>
  <c r="O431" i="118"/>
  <c r="O432" i="118"/>
  <c r="O433" i="118"/>
  <c r="O434" i="118"/>
  <c r="H431" i="118"/>
  <c r="H432" i="118"/>
  <c r="H433" i="118"/>
  <c r="H434" i="118"/>
  <c r="T431" i="118"/>
  <c r="O435" i="118"/>
  <c r="O436" i="118"/>
  <c r="O437" i="118"/>
  <c r="O438" i="118"/>
  <c r="H435" i="118"/>
  <c r="H436" i="118"/>
  <c r="H437" i="118"/>
  <c r="H438" i="118"/>
  <c r="T435" i="118"/>
  <c r="O439" i="118"/>
  <c r="O440" i="118"/>
  <c r="O441" i="118"/>
  <c r="O442" i="118"/>
  <c r="H439" i="118"/>
  <c r="H440" i="118"/>
  <c r="H441" i="118"/>
  <c r="H442" i="118"/>
  <c r="T439" i="118"/>
  <c r="O443" i="118"/>
  <c r="O444" i="118"/>
  <c r="O445" i="118"/>
  <c r="O446" i="118"/>
  <c r="H443" i="118"/>
  <c r="H444" i="118"/>
  <c r="H445" i="118"/>
  <c r="H446" i="118"/>
  <c r="T443" i="118"/>
  <c r="O447" i="118"/>
  <c r="O448" i="118"/>
  <c r="O449" i="118"/>
  <c r="O450" i="118"/>
  <c r="H447" i="118"/>
  <c r="H448" i="118"/>
  <c r="H449" i="118"/>
  <c r="H450" i="118"/>
  <c r="T447" i="118"/>
  <c r="F63" i="135"/>
  <c r="S403" i="118"/>
  <c r="S407" i="118"/>
  <c r="S411" i="118"/>
  <c r="S415" i="118"/>
  <c r="S419" i="118"/>
  <c r="S423" i="118"/>
  <c r="S427" i="118"/>
  <c r="S431" i="118"/>
  <c r="S435" i="118"/>
  <c r="S439" i="118"/>
  <c r="S443" i="118"/>
  <c r="S447" i="118"/>
  <c r="E63" i="135"/>
  <c r="R403" i="118"/>
  <c r="R407" i="118"/>
  <c r="R411" i="118"/>
  <c r="R415" i="118"/>
  <c r="R419" i="118"/>
  <c r="R423" i="118"/>
  <c r="R427" i="118"/>
  <c r="R431" i="118"/>
  <c r="R435" i="118"/>
  <c r="R439" i="118"/>
  <c r="R443" i="118"/>
  <c r="R447" i="118"/>
  <c r="D63" i="135"/>
  <c r="Q403" i="118"/>
  <c r="Q407" i="118"/>
  <c r="Q411" i="118"/>
  <c r="Q415" i="118"/>
  <c r="Q419" i="118"/>
  <c r="Q423" i="118"/>
  <c r="Q427" i="118"/>
  <c r="Q431" i="118"/>
  <c r="Q435" i="118"/>
  <c r="Q439" i="118"/>
  <c r="Q443" i="118"/>
  <c r="Q447" i="118"/>
  <c r="C63" i="135"/>
  <c r="U355" i="118"/>
  <c r="U356" i="118"/>
  <c r="U357" i="118"/>
  <c r="U358" i="118"/>
  <c r="U359" i="118"/>
  <c r="U360" i="118"/>
  <c r="U361" i="118"/>
  <c r="U362" i="118"/>
  <c r="U363" i="118"/>
  <c r="U364" i="118"/>
  <c r="U365" i="118"/>
  <c r="U366" i="118"/>
  <c r="U367" i="118"/>
  <c r="U368" i="118"/>
  <c r="U369" i="118"/>
  <c r="U370" i="118"/>
  <c r="U371" i="118"/>
  <c r="U372" i="118"/>
  <c r="U373" i="118"/>
  <c r="U374" i="118"/>
  <c r="U375" i="118"/>
  <c r="U376" i="118"/>
  <c r="U377" i="118"/>
  <c r="U378" i="118"/>
  <c r="U379" i="118"/>
  <c r="U380" i="118"/>
  <c r="U381" i="118"/>
  <c r="U382" i="118"/>
  <c r="U383" i="118"/>
  <c r="U384" i="118"/>
  <c r="U385" i="118"/>
  <c r="U386" i="118"/>
  <c r="U387" i="118"/>
  <c r="U388" i="118"/>
  <c r="U389" i="118"/>
  <c r="U390" i="118"/>
  <c r="U391" i="118"/>
  <c r="U392" i="118"/>
  <c r="U393" i="118"/>
  <c r="U394" i="118"/>
  <c r="U395" i="118"/>
  <c r="U396" i="118"/>
  <c r="U397" i="118"/>
  <c r="U398" i="118"/>
  <c r="U399" i="118"/>
  <c r="U400" i="118"/>
  <c r="U401" i="118"/>
  <c r="U402" i="118"/>
  <c r="G62" i="135"/>
  <c r="O355" i="118"/>
  <c r="O356" i="118"/>
  <c r="O357" i="118"/>
  <c r="O358" i="118"/>
  <c r="H355" i="118"/>
  <c r="H356" i="118"/>
  <c r="H357" i="118"/>
  <c r="H358" i="118"/>
  <c r="T355" i="118"/>
  <c r="O359" i="118"/>
  <c r="O360" i="118"/>
  <c r="O361" i="118"/>
  <c r="O362" i="118"/>
  <c r="H359" i="118"/>
  <c r="H360" i="118"/>
  <c r="H361" i="118"/>
  <c r="H362" i="118"/>
  <c r="T359" i="118"/>
  <c r="O363" i="118"/>
  <c r="O364" i="118"/>
  <c r="O365" i="118"/>
  <c r="O366" i="118"/>
  <c r="H363" i="118"/>
  <c r="H364" i="118"/>
  <c r="H365" i="118"/>
  <c r="H366" i="118"/>
  <c r="T363" i="118"/>
  <c r="O367" i="118"/>
  <c r="O368" i="118"/>
  <c r="O369" i="118"/>
  <c r="O370" i="118"/>
  <c r="H367" i="118"/>
  <c r="H368" i="118"/>
  <c r="H369" i="118"/>
  <c r="H370" i="118"/>
  <c r="T367" i="118"/>
  <c r="O371" i="118"/>
  <c r="O372" i="118"/>
  <c r="O373" i="118"/>
  <c r="O374" i="118"/>
  <c r="H371" i="118"/>
  <c r="H372" i="118"/>
  <c r="H373" i="118"/>
  <c r="H374" i="118"/>
  <c r="T371" i="118"/>
  <c r="O375" i="118"/>
  <c r="O376" i="118"/>
  <c r="O377" i="118"/>
  <c r="O378" i="118"/>
  <c r="H375" i="118"/>
  <c r="H376" i="118"/>
  <c r="H377" i="118"/>
  <c r="H378" i="118"/>
  <c r="T375" i="118"/>
  <c r="O379" i="118"/>
  <c r="O380" i="118"/>
  <c r="O381" i="118"/>
  <c r="O382" i="118"/>
  <c r="H379" i="118"/>
  <c r="H380" i="118"/>
  <c r="H381" i="118"/>
  <c r="H382" i="118"/>
  <c r="T379" i="118"/>
  <c r="O383" i="118"/>
  <c r="O384" i="118"/>
  <c r="O385" i="118"/>
  <c r="O386" i="118"/>
  <c r="H383" i="118"/>
  <c r="H384" i="118"/>
  <c r="H385" i="118"/>
  <c r="H386" i="118"/>
  <c r="T383" i="118"/>
  <c r="O387" i="118"/>
  <c r="O388" i="118"/>
  <c r="O389" i="118"/>
  <c r="O390" i="118"/>
  <c r="H387" i="118"/>
  <c r="H388" i="118"/>
  <c r="H389" i="118"/>
  <c r="H390" i="118"/>
  <c r="T387" i="118"/>
  <c r="O391" i="118"/>
  <c r="O392" i="118"/>
  <c r="O393" i="118"/>
  <c r="O394" i="118"/>
  <c r="H391" i="118"/>
  <c r="H392" i="118"/>
  <c r="H393" i="118"/>
  <c r="H394" i="118"/>
  <c r="T391" i="118"/>
  <c r="O395" i="118"/>
  <c r="O396" i="118"/>
  <c r="O397" i="118"/>
  <c r="O398" i="118"/>
  <c r="H395" i="118"/>
  <c r="H396" i="118"/>
  <c r="H397" i="118"/>
  <c r="H398" i="118"/>
  <c r="T395" i="118"/>
  <c r="O399" i="118"/>
  <c r="O400" i="118"/>
  <c r="O401" i="118"/>
  <c r="O402" i="118"/>
  <c r="H399" i="118"/>
  <c r="H400" i="118"/>
  <c r="H401" i="118"/>
  <c r="H402" i="118"/>
  <c r="T399" i="118"/>
  <c r="F62" i="135"/>
  <c r="S355" i="118"/>
  <c r="S359" i="118"/>
  <c r="S363" i="118"/>
  <c r="S367" i="118"/>
  <c r="S371" i="118"/>
  <c r="S375" i="118"/>
  <c r="S379" i="118"/>
  <c r="S383" i="118"/>
  <c r="S387" i="118"/>
  <c r="S391" i="118"/>
  <c r="S395" i="118"/>
  <c r="S399" i="118"/>
  <c r="E62" i="135"/>
  <c r="R355" i="118"/>
  <c r="R359" i="118"/>
  <c r="R363" i="118"/>
  <c r="R367" i="118"/>
  <c r="R371" i="118"/>
  <c r="R375" i="118"/>
  <c r="R379" i="118"/>
  <c r="R383" i="118"/>
  <c r="R387" i="118"/>
  <c r="R391" i="118"/>
  <c r="R395" i="118"/>
  <c r="R399" i="118"/>
  <c r="D62" i="135"/>
  <c r="Q355" i="118"/>
  <c r="Q359" i="118"/>
  <c r="Q363" i="118"/>
  <c r="Q367" i="118"/>
  <c r="Q371" i="118"/>
  <c r="Q375" i="118"/>
  <c r="Q379" i="118"/>
  <c r="Q383" i="118"/>
  <c r="Q387" i="118"/>
  <c r="Q391" i="118"/>
  <c r="Q395" i="118"/>
  <c r="Q399" i="118"/>
  <c r="C62" i="135"/>
  <c r="G53" i="135"/>
  <c r="F53" i="135"/>
  <c r="E53" i="135"/>
  <c r="D53" i="135"/>
  <c r="C53" i="135"/>
  <c r="G52" i="135"/>
  <c r="F52" i="135"/>
  <c r="E52" i="135"/>
  <c r="D52" i="135"/>
  <c r="C52" i="135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U191" i="118"/>
  <c r="U192" i="118"/>
  <c r="G43" i="135"/>
  <c r="O145" i="118"/>
  <c r="O146" i="118"/>
  <c r="O147" i="118"/>
  <c r="O148" i="118"/>
  <c r="H145" i="118"/>
  <c r="H146" i="118"/>
  <c r="H147" i="118"/>
  <c r="H148" i="118"/>
  <c r="T145" i="118"/>
  <c r="O149" i="118"/>
  <c r="O150" i="118"/>
  <c r="O151" i="118"/>
  <c r="O152" i="118"/>
  <c r="H149" i="118"/>
  <c r="H150" i="118"/>
  <c r="H151" i="118"/>
  <c r="H152" i="118"/>
  <c r="T149" i="118"/>
  <c r="O153" i="118"/>
  <c r="O154" i="118"/>
  <c r="O155" i="118"/>
  <c r="O156" i="118"/>
  <c r="H153" i="118"/>
  <c r="H154" i="118"/>
  <c r="H155" i="118"/>
  <c r="H156" i="118"/>
  <c r="T153" i="118"/>
  <c r="O157" i="118"/>
  <c r="O158" i="118"/>
  <c r="O159" i="118"/>
  <c r="O160" i="118"/>
  <c r="H157" i="118"/>
  <c r="H158" i="118"/>
  <c r="H159" i="118"/>
  <c r="H160" i="118"/>
  <c r="T157" i="118"/>
  <c r="O161" i="118"/>
  <c r="O162" i="118"/>
  <c r="O163" i="118"/>
  <c r="O164" i="118"/>
  <c r="H161" i="118"/>
  <c r="H162" i="118"/>
  <c r="H163" i="118"/>
  <c r="H164" i="118"/>
  <c r="T161" i="118"/>
  <c r="O165" i="118"/>
  <c r="O166" i="118"/>
  <c r="O167" i="118"/>
  <c r="O168" i="118"/>
  <c r="H165" i="118"/>
  <c r="H166" i="118"/>
  <c r="H167" i="118"/>
  <c r="H168" i="118"/>
  <c r="T165" i="118"/>
  <c r="O169" i="118"/>
  <c r="O170" i="118"/>
  <c r="O171" i="118"/>
  <c r="O172" i="118"/>
  <c r="H169" i="118"/>
  <c r="H170" i="118"/>
  <c r="H171" i="118"/>
  <c r="H172" i="118"/>
  <c r="T169" i="118"/>
  <c r="O173" i="118"/>
  <c r="O174" i="118"/>
  <c r="O175" i="118"/>
  <c r="O176" i="118"/>
  <c r="H173" i="118"/>
  <c r="H174" i="118"/>
  <c r="H175" i="118"/>
  <c r="H176" i="118"/>
  <c r="T173" i="118"/>
  <c r="O177" i="118"/>
  <c r="O178" i="118"/>
  <c r="O179" i="118"/>
  <c r="O180" i="118"/>
  <c r="H177" i="118"/>
  <c r="H178" i="118"/>
  <c r="H179" i="118"/>
  <c r="H180" i="118"/>
  <c r="T177" i="118"/>
  <c r="O181" i="118"/>
  <c r="O182" i="118"/>
  <c r="O183" i="118"/>
  <c r="O184" i="118"/>
  <c r="H181" i="118"/>
  <c r="H182" i="118"/>
  <c r="H183" i="118"/>
  <c r="H184" i="118"/>
  <c r="T181" i="118"/>
  <c r="O185" i="118"/>
  <c r="O186" i="118"/>
  <c r="O187" i="118"/>
  <c r="O188" i="118"/>
  <c r="H185" i="118"/>
  <c r="H186" i="118"/>
  <c r="H187" i="118"/>
  <c r="H188" i="118"/>
  <c r="T185" i="118"/>
  <c r="O189" i="118"/>
  <c r="O190" i="118"/>
  <c r="O191" i="118"/>
  <c r="O192" i="118"/>
  <c r="H189" i="118"/>
  <c r="H190" i="118"/>
  <c r="H191" i="118"/>
  <c r="H192" i="118"/>
  <c r="T189" i="118"/>
  <c r="F43" i="135"/>
  <c r="S145" i="118"/>
  <c r="S149" i="118"/>
  <c r="S153" i="118"/>
  <c r="S157" i="118"/>
  <c r="S161" i="118"/>
  <c r="S165" i="118"/>
  <c r="S169" i="118"/>
  <c r="S173" i="118"/>
  <c r="S177" i="118"/>
  <c r="S181" i="118"/>
  <c r="S185" i="118"/>
  <c r="S189" i="118"/>
  <c r="E43" i="135"/>
  <c r="R145" i="118"/>
  <c r="R149" i="118"/>
  <c r="R153" i="118"/>
  <c r="R157" i="118"/>
  <c r="R161" i="118"/>
  <c r="R165" i="118"/>
  <c r="R169" i="118"/>
  <c r="R173" i="118"/>
  <c r="R177" i="118"/>
  <c r="R181" i="118"/>
  <c r="R185" i="118"/>
  <c r="R189" i="118"/>
  <c r="D43" i="135"/>
  <c r="Q145" i="118"/>
  <c r="Q149" i="118"/>
  <c r="Q153" i="118"/>
  <c r="Q157" i="118"/>
  <c r="Q161" i="118"/>
  <c r="Q165" i="118"/>
  <c r="Q169" i="118"/>
  <c r="Q173" i="118"/>
  <c r="Q177" i="118"/>
  <c r="Q181" i="118"/>
  <c r="Q185" i="118"/>
  <c r="Q189" i="118"/>
  <c r="C43" i="135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U125" i="118"/>
  <c r="U126" i="118"/>
  <c r="U127" i="118"/>
  <c r="U128" i="118"/>
  <c r="U129" i="118"/>
  <c r="U130" i="118"/>
  <c r="U131" i="118"/>
  <c r="U132" i="118"/>
  <c r="U133" i="118"/>
  <c r="U134" i="118"/>
  <c r="U135" i="118"/>
  <c r="U136" i="118"/>
  <c r="U137" i="118"/>
  <c r="U138" i="118"/>
  <c r="U139" i="118"/>
  <c r="U140" i="118"/>
  <c r="U141" i="118"/>
  <c r="U142" i="118"/>
  <c r="U143" i="118"/>
  <c r="U144" i="118"/>
  <c r="G42" i="135"/>
  <c r="O97" i="118"/>
  <c r="O98" i="118"/>
  <c r="O99" i="118"/>
  <c r="O100" i="118"/>
  <c r="H97" i="118"/>
  <c r="H98" i="118"/>
  <c r="H99" i="118"/>
  <c r="H100" i="118"/>
  <c r="T97" i="118"/>
  <c r="O101" i="118"/>
  <c r="O102" i="118"/>
  <c r="O103" i="118"/>
  <c r="O104" i="118"/>
  <c r="H101" i="118"/>
  <c r="H102" i="118"/>
  <c r="H103" i="118"/>
  <c r="H104" i="118"/>
  <c r="T101" i="118"/>
  <c r="O105" i="118"/>
  <c r="O106" i="118"/>
  <c r="O107" i="118"/>
  <c r="O108" i="118"/>
  <c r="H105" i="118"/>
  <c r="H106" i="118"/>
  <c r="H107" i="118"/>
  <c r="H108" i="118"/>
  <c r="T105" i="118"/>
  <c r="O109" i="118"/>
  <c r="O110" i="118"/>
  <c r="O111" i="118"/>
  <c r="O112" i="118"/>
  <c r="H109" i="118"/>
  <c r="H110" i="118"/>
  <c r="H111" i="118"/>
  <c r="H112" i="118"/>
  <c r="T109" i="118"/>
  <c r="O113" i="118"/>
  <c r="O114" i="118"/>
  <c r="O115" i="118"/>
  <c r="O116" i="118"/>
  <c r="H113" i="118"/>
  <c r="H114" i="118"/>
  <c r="H115" i="118"/>
  <c r="H116" i="118"/>
  <c r="T113" i="118"/>
  <c r="O117" i="118"/>
  <c r="O118" i="118"/>
  <c r="O119" i="118"/>
  <c r="O120" i="118"/>
  <c r="H117" i="118"/>
  <c r="H118" i="118"/>
  <c r="H119" i="118"/>
  <c r="H120" i="118"/>
  <c r="T117" i="118"/>
  <c r="O121" i="118"/>
  <c r="O122" i="118"/>
  <c r="O123" i="118"/>
  <c r="O124" i="118"/>
  <c r="H121" i="118"/>
  <c r="H122" i="118"/>
  <c r="H123" i="118"/>
  <c r="H124" i="118"/>
  <c r="T121" i="118"/>
  <c r="O125" i="118"/>
  <c r="O126" i="118"/>
  <c r="O127" i="118"/>
  <c r="O128" i="118"/>
  <c r="H125" i="118"/>
  <c r="H126" i="118"/>
  <c r="H127" i="118"/>
  <c r="H128" i="118"/>
  <c r="T125" i="118"/>
  <c r="O129" i="118"/>
  <c r="O130" i="118"/>
  <c r="O131" i="118"/>
  <c r="O132" i="118"/>
  <c r="H129" i="118"/>
  <c r="H130" i="118"/>
  <c r="H131" i="118"/>
  <c r="H132" i="118"/>
  <c r="T129" i="118"/>
  <c r="O133" i="118"/>
  <c r="O134" i="118"/>
  <c r="O135" i="118"/>
  <c r="O136" i="118"/>
  <c r="H133" i="118"/>
  <c r="H134" i="118"/>
  <c r="H135" i="118"/>
  <c r="H136" i="118"/>
  <c r="T133" i="118"/>
  <c r="O137" i="118"/>
  <c r="O138" i="118"/>
  <c r="O139" i="118"/>
  <c r="O140" i="118"/>
  <c r="H137" i="118"/>
  <c r="H138" i="118"/>
  <c r="H139" i="118"/>
  <c r="H140" i="118"/>
  <c r="T137" i="118"/>
  <c r="O141" i="118"/>
  <c r="O142" i="118"/>
  <c r="O143" i="118"/>
  <c r="O144" i="118"/>
  <c r="H141" i="118"/>
  <c r="H142" i="118"/>
  <c r="H143" i="118"/>
  <c r="H144" i="118"/>
  <c r="T141" i="118"/>
  <c r="F42" i="135"/>
  <c r="S97" i="118"/>
  <c r="S101" i="118"/>
  <c r="S105" i="118"/>
  <c r="S109" i="118"/>
  <c r="S113" i="118"/>
  <c r="S117" i="118"/>
  <c r="S121" i="118"/>
  <c r="S125" i="118"/>
  <c r="S129" i="118"/>
  <c r="S133" i="118"/>
  <c r="S137" i="118"/>
  <c r="S141" i="118"/>
  <c r="E42" i="135"/>
  <c r="R97" i="118"/>
  <c r="R101" i="118"/>
  <c r="R105" i="118"/>
  <c r="R109" i="118"/>
  <c r="R113" i="118"/>
  <c r="R117" i="118"/>
  <c r="R121" i="118"/>
  <c r="R125" i="118"/>
  <c r="R129" i="118"/>
  <c r="R133" i="118"/>
  <c r="R137" i="118"/>
  <c r="R141" i="118"/>
  <c r="D42" i="135"/>
  <c r="Q97" i="118"/>
  <c r="Q101" i="118"/>
  <c r="Q105" i="118"/>
  <c r="Q109" i="118"/>
  <c r="Q113" i="118"/>
  <c r="Q117" i="118"/>
  <c r="Q121" i="118"/>
  <c r="Q125" i="118"/>
  <c r="Q129" i="118"/>
  <c r="Q133" i="118"/>
  <c r="Q137" i="118"/>
  <c r="Q141" i="118"/>
  <c r="C42" i="135"/>
  <c r="U404" i="112"/>
  <c r="U405" i="112"/>
  <c r="U406" i="112"/>
  <c r="U407" i="112"/>
  <c r="U408" i="112"/>
  <c r="U409" i="112"/>
  <c r="U410" i="112"/>
  <c r="U411" i="112"/>
  <c r="U412" i="112"/>
  <c r="U413" i="112"/>
  <c r="U414" i="112"/>
  <c r="U415" i="112"/>
  <c r="U416" i="112"/>
  <c r="U417" i="112"/>
  <c r="U418" i="112"/>
  <c r="U419" i="112"/>
  <c r="U420" i="112"/>
  <c r="U421" i="112"/>
  <c r="U422" i="112"/>
  <c r="U423" i="112"/>
  <c r="U424" i="112"/>
  <c r="U425" i="112"/>
  <c r="U426" i="112"/>
  <c r="U427" i="112"/>
  <c r="U428" i="112"/>
  <c r="U429" i="112"/>
  <c r="U430" i="112"/>
  <c r="U431" i="112"/>
  <c r="U432" i="112"/>
  <c r="U433" i="112"/>
  <c r="U434" i="112"/>
  <c r="U435" i="112"/>
  <c r="U436" i="112"/>
  <c r="U437" i="112"/>
  <c r="U438" i="112"/>
  <c r="U439" i="112"/>
  <c r="U440" i="112"/>
  <c r="U441" i="112"/>
  <c r="U442" i="112"/>
  <c r="U443" i="112"/>
  <c r="U444" i="112"/>
  <c r="U445" i="112"/>
  <c r="U446" i="112"/>
  <c r="U447" i="112"/>
  <c r="U448" i="112"/>
  <c r="U449" i="112"/>
  <c r="U450" i="112"/>
  <c r="U451" i="112"/>
  <c r="O404" i="112"/>
  <c r="O405" i="112"/>
  <c r="O406" i="112"/>
  <c r="O407" i="112"/>
  <c r="H404" i="112"/>
  <c r="H405" i="112"/>
  <c r="H406" i="112"/>
  <c r="H407" i="112"/>
  <c r="T404" i="112"/>
  <c r="O408" i="112"/>
  <c r="O409" i="112"/>
  <c r="O410" i="112"/>
  <c r="O411" i="112"/>
  <c r="H408" i="112"/>
  <c r="H409" i="112"/>
  <c r="H410" i="112"/>
  <c r="H411" i="112"/>
  <c r="T408" i="112"/>
  <c r="O412" i="112"/>
  <c r="O413" i="112"/>
  <c r="O414" i="112"/>
  <c r="O415" i="112"/>
  <c r="H412" i="112"/>
  <c r="H413" i="112"/>
  <c r="H414" i="112"/>
  <c r="H415" i="112"/>
  <c r="T412" i="112"/>
  <c r="O416" i="112"/>
  <c r="O417" i="112"/>
  <c r="O418" i="112"/>
  <c r="O419" i="112"/>
  <c r="H416" i="112"/>
  <c r="H417" i="112"/>
  <c r="H418" i="112"/>
  <c r="H419" i="112"/>
  <c r="T416" i="112"/>
  <c r="O420" i="112"/>
  <c r="O421" i="112"/>
  <c r="O422" i="112"/>
  <c r="O423" i="112"/>
  <c r="H420" i="112"/>
  <c r="H421" i="112"/>
  <c r="H422" i="112"/>
  <c r="H423" i="112"/>
  <c r="T420" i="112"/>
  <c r="O424" i="112"/>
  <c r="O425" i="112"/>
  <c r="O426" i="112"/>
  <c r="O427" i="112"/>
  <c r="H424" i="112"/>
  <c r="H425" i="112"/>
  <c r="H426" i="112"/>
  <c r="H427" i="112"/>
  <c r="T424" i="112"/>
  <c r="O428" i="112"/>
  <c r="O429" i="112"/>
  <c r="O430" i="112"/>
  <c r="O431" i="112"/>
  <c r="H428" i="112"/>
  <c r="H429" i="112"/>
  <c r="H430" i="112"/>
  <c r="H431" i="112"/>
  <c r="T428" i="112"/>
  <c r="O432" i="112"/>
  <c r="O433" i="112"/>
  <c r="O434" i="112"/>
  <c r="O435" i="112"/>
  <c r="H432" i="112"/>
  <c r="H433" i="112"/>
  <c r="H434" i="112"/>
  <c r="H435" i="112"/>
  <c r="T432" i="112"/>
  <c r="O436" i="112"/>
  <c r="O437" i="112"/>
  <c r="O438" i="112"/>
  <c r="O439" i="112"/>
  <c r="H436" i="112"/>
  <c r="H437" i="112"/>
  <c r="H438" i="112"/>
  <c r="H439" i="112"/>
  <c r="T436" i="112"/>
  <c r="O440" i="112"/>
  <c r="O441" i="112"/>
  <c r="O442" i="112"/>
  <c r="O443" i="112"/>
  <c r="H440" i="112"/>
  <c r="H441" i="112"/>
  <c r="H442" i="112"/>
  <c r="H443" i="112"/>
  <c r="T440" i="112"/>
  <c r="O444" i="112"/>
  <c r="O445" i="112"/>
  <c r="O446" i="112"/>
  <c r="O447" i="112"/>
  <c r="H444" i="112"/>
  <c r="H445" i="112"/>
  <c r="H446" i="112"/>
  <c r="H447" i="112"/>
  <c r="T444" i="112"/>
  <c r="O448" i="112"/>
  <c r="O449" i="112"/>
  <c r="O450" i="112"/>
  <c r="O451" i="112"/>
  <c r="H448" i="112"/>
  <c r="H449" i="112"/>
  <c r="H450" i="112"/>
  <c r="H451" i="112"/>
  <c r="T448" i="112"/>
  <c r="F30" i="135"/>
  <c r="S404" i="112"/>
  <c r="S408" i="112"/>
  <c r="S412" i="112"/>
  <c r="S416" i="112"/>
  <c r="S420" i="112"/>
  <c r="S424" i="112"/>
  <c r="S428" i="112"/>
  <c r="S432" i="112"/>
  <c r="S436" i="112"/>
  <c r="S440" i="112"/>
  <c r="S444" i="112"/>
  <c r="S448" i="112"/>
  <c r="E30" i="135"/>
  <c r="R404" i="112"/>
  <c r="R408" i="112"/>
  <c r="R412" i="112"/>
  <c r="R416" i="112"/>
  <c r="R420" i="112"/>
  <c r="R424" i="112"/>
  <c r="R428" i="112"/>
  <c r="R432" i="112"/>
  <c r="R436" i="112"/>
  <c r="R440" i="112"/>
  <c r="R444" i="112"/>
  <c r="R448" i="112"/>
  <c r="D30" i="135"/>
  <c r="Q404" i="112"/>
  <c r="Q408" i="112"/>
  <c r="Q412" i="112"/>
  <c r="Q416" i="112"/>
  <c r="Q420" i="112"/>
  <c r="Q424" i="112"/>
  <c r="Q428" i="112"/>
  <c r="Q432" i="112"/>
  <c r="Q436" i="112"/>
  <c r="Q440" i="112"/>
  <c r="Q444" i="112"/>
  <c r="Q448" i="112"/>
  <c r="C30" i="135"/>
  <c r="U356" i="112"/>
  <c r="U357" i="112"/>
  <c r="U358" i="112"/>
  <c r="U359" i="112"/>
  <c r="U360" i="112"/>
  <c r="U361" i="112"/>
  <c r="U362" i="112"/>
  <c r="U363" i="112"/>
  <c r="U364" i="112"/>
  <c r="U365" i="112"/>
  <c r="U366" i="112"/>
  <c r="U367" i="112"/>
  <c r="U368" i="112"/>
  <c r="U369" i="112"/>
  <c r="U370" i="112"/>
  <c r="U371" i="112"/>
  <c r="U372" i="112"/>
  <c r="U373" i="112"/>
  <c r="U374" i="112"/>
  <c r="U375" i="112"/>
  <c r="U376" i="112"/>
  <c r="U377" i="112"/>
  <c r="U378" i="112"/>
  <c r="U379" i="112"/>
  <c r="U380" i="112"/>
  <c r="U381" i="112"/>
  <c r="U382" i="112"/>
  <c r="U383" i="112"/>
  <c r="U384" i="112"/>
  <c r="U385" i="112"/>
  <c r="U386" i="112"/>
  <c r="U387" i="112"/>
  <c r="U388" i="112"/>
  <c r="U389" i="112"/>
  <c r="U390" i="112"/>
  <c r="U391" i="112"/>
  <c r="U392" i="112"/>
  <c r="U393" i="112"/>
  <c r="U394" i="112"/>
  <c r="U395" i="112"/>
  <c r="U396" i="112"/>
  <c r="U397" i="112"/>
  <c r="U398" i="112"/>
  <c r="U399" i="112"/>
  <c r="U400" i="112"/>
  <c r="U401" i="112"/>
  <c r="U402" i="112"/>
  <c r="U403" i="112"/>
  <c r="O356" i="112"/>
  <c r="O357" i="112"/>
  <c r="O358" i="112"/>
  <c r="O359" i="112"/>
  <c r="H356" i="112"/>
  <c r="H357" i="112"/>
  <c r="H358" i="112"/>
  <c r="H359" i="112"/>
  <c r="T356" i="112"/>
  <c r="O360" i="112"/>
  <c r="O361" i="112"/>
  <c r="O362" i="112"/>
  <c r="O363" i="112"/>
  <c r="H360" i="112"/>
  <c r="H361" i="112"/>
  <c r="H362" i="112"/>
  <c r="H363" i="112"/>
  <c r="T360" i="112"/>
  <c r="O364" i="112"/>
  <c r="O365" i="112"/>
  <c r="O366" i="112"/>
  <c r="O367" i="112"/>
  <c r="H364" i="112"/>
  <c r="H365" i="112"/>
  <c r="H366" i="112"/>
  <c r="H367" i="112"/>
  <c r="T364" i="112"/>
  <c r="O368" i="112"/>
  <c r="O369" i="112"/>
  <c r="O370" i="112"/>
  <c r="O371" i="112"/>
  <c r="H368" i="112"/>
  <c r="H369" i="112"/>
  <c r="H370" i="112"/>
  <c r="H371" i="112"/>
  <c r="T368" i="112"/>
  <c r="O372" i="112"/>
  <c r="O373" i="112"/>
  <c r="O374" i="112"/>
  <c r="O375" i="112"/>
  <c r="H372" i="112"/>
  <c r="H373" i="112"/>
  <c r="H374" i="112"/>
  <c r="H375" i="112"/>
  <c r="T372" i="112"/>
  <c r="O376" i="112"/>
  <c r="O377" i="112"/>
  <c r="O378" i="112"/>
  <c r="O379" i="112"/>
  <c r="H376" i="112"/>
  <c r="H377" i="112"/>
  <c r="H378" i="112"/>
  <c r="H379" i="112"/>
  <c r="T376" i="112"/>
  <c r="O380" i="112"/>
  <c r="O381" i="112"/>
  <c r="O382" i="112"/>
  <c r="O383" i="112"/>
  <c r="H380" i="112"/>
  <c r="H381" i="112"/>
  <c r="H382" i="112"/>
  <c r="H383" i="112"/>
  <c r="T380" i="112"/>
  <c r="O384" i="112"/>
  <c r="O385" i="112"/>
  <c r="O386" i="112"/>
  <c r="O387" i="112"/>
  <c r="H384" i="112"/>
  <c r="H385" i="112"/>
  <c r="H386" i="112"/>
  <c r="H387" i="112"/>
  <c r="T384" i="112"/>
  <c r="O388" i="112"/>
  <c r="O389" i="112"/>
  <c r="O390" i="112"/>
  <c r="O391" i="112"/>
  <c r="H388" i="112"/>
  <c r="H389" i="112"/>
  <c r="H390" i="112"/>
  <c r="H391" i="112"/>
  <c r="T388" i="112"/>
  <c r="O392" i="112"/>
  <c r="O393" i="112"/>
  <c r="O394" i="112"/>
  <c r="O395" i="112"/>
  <c r="H392" i="112"/>
  <c r="H393" i="112"/>
  <c r="H394" i="112"/>
  <c r="H395" i="112"/>
  <c r="T392" i="112"/>
  <c r="O396" i="112"/>
  <c r="O397" i="112"/>
  <c r="O398" i="112"/>
  <c r="O399" i="112"/>
  <c r="H396" i="112"/>
  <c r="H397" i="112"/>
  <c r="H398" i="112"/>
  <c r="H399" i="112"/>
  <c r="T396" i="112"/>
  <c r="O400" i="112"/>
  <c r="O401" i="112"/>
  <c r="O402" i="112"/>
  <c r="O403" i="112"/>
  <c r="H400" i="112"/>
  <c r="H401" i="112"/>
  <c r="H402" i="112"/>
  <c r="H403" i="112"/>
  <c r="T400" i="112"/>
  <c r="F29" i="135"/>
  <c r="S356" i="112"/>
  <c r="S360" i="112"/>
  <c r="S364" i="112"/>
  <c r="S368" i="112"/>
  <c r="S372" i="112"/>
  <c r="S376" i="112"/>
  <c r="S380" i="112"/>
  <c r="S384" i="112"/>
  <c r="S388" i="112"/>
  <c r="S392" i="112"/>
  <c r="S396" i="112"/>
  <c r="S400" i="112"/>
  <c r="E29" i="135"/>
  <c r="R356" i="112"/>
  <c r="R360" i="112"/>
  <c r="R364" i="112"/>
  <c r="R368" i="112"/>
  <c r="R372" i="112"/>
  <c r="R376" i="112"/>
  <c r="R380" i="112"/>
  <c r="R384" i="112"/>
  <c r="R388" i="112"/>
  <c r="R392" i="112"/>
  <c r="R396" i="112"/>
  <c r="R400" i="112"/>
  <c r="D29" i="135"/>
  <c r="Q356" i="112"/>
  <c r="Q360" i="112"/>
  <c r="Q364" i="112"/>
  <c r="Q368" i="112"/>
  <c r="Q372" i="112"/>
  <c r="Q376" i="112"/>
  <c r="Q380" i="112"/>
  <c r="Q384" i="112"/>
  <c r="Q388" i="112"/>
  <c r="Q392" i="112"/>
  <c r="Q396" i="112"/>
  <c r="Q400" i="112"/>
  <c r="C29" i="135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U191" i="112"/>
  <c r="U192" i="112"/>
  <c r="O145" i="112"/>
  <c r="O146" i="112"/>
  <c r="O147" i="112"/>
  <c r="O148" i="112"/>
  <c r="H145" i="112"/>
  <c r="H146" i="112"/>
  <c r="H147" i="112"/>
  <c r="H148" i="112"/>
  <c r="T145" i="112"/>
  <c r="O149" i="112"/>
  <c r="O150" i="112"/>
  <c r="O151" i="112"/>
  <c r="O152" i="112"/>
  <c r="H149" i="112"/>
  <c r="H150" i="112"/>
  <c r="H151" i="112"/>
  <c r="H152" i="112"/>
  <c r="T149" i="112"/>
  <c r="O153" i="112"/>
  <c r="O154" i="112"/>
  <c r="O155" i="112"/>
  <c r="O156" i="112"/>
  <c r="H153" i="112"/>
  <c r="H154" i="112"/>
  <c r="H155" i="112"/>
  <c r="H156" i="112"/>
  <c r="T153" i="112"/>
  <c r="O157" i="112"/>
  <c r="O158" i="112"/>
  <c r="O159" i="112"/>
  <c r="O160" i="112"/>
  <c r="H157" i="112"/>
  <c r="H158" i="112"/>
  <c r="H159" i="112"/>
  <c r="H160" i="112"/>
  <c r="T157" i="112"/>
  <c r="O161" i="112"/>
  <c r="O162" i="112"/>
  <c r="O163" i="112"/>
  <c r="O164" i="112"/>
  <c r="H161" i="112"/>
  <c r="H162" i="112"/>
  <c r="H163" i="112"/>
  <c r="H164" i="112"/>
  <c r="T161" i="112"/>
  <c r="O165" i="112"/>
  <c r="O166" i="112"/>
  <c r="O167" i="112"/>
  <c r="O168" i="112"/>
  <c r="H165" i="112"/>
  <c r="H166" i="112"/>
  <c r="H167" i="112"/>
  <c r="H168" i="112"/>
  <c r="T165" i="112"/>
  <c r="O169" i="112"/>
  <c r="O170" i="112"/>
  <c r="O171" i="112"/>
  <c r="O172" i="112"/>
  <c r="H169" i="112"/>
  <c r="H170" i="112"/>
  <c r="H171" i="112"/>
  <c r="H172" i="112"/>
  <c r="T169" i="112"/>
  <c r="O173" i="112"/>
  <c r="O174" i="112"/>
  <c r="O175" i="112"/>
  <c r="O176" i="112"/>
  <c r="H173" i="112"/>
  <c r="H174" i="112"/>
  <c r="H175" i="112"/>
  <c r="H176" i="112"/>
  <c r="T173" i="112"/>
  <c r="O177" i="112"/>
  <c r="O178" i="112"/>
  <c r="O179" i="112"/>
  <c r="O180" i="112"/>
  <c r="H177" i="112"/>
  <c r="H178" i="112"/>
  <c r="H179" i="112"/>
  <c r="H180" i="112"/>
  <c r="T177" i="112"/>
  <c r="O181" i="112"/>
  <c r="O182" i="112"/>
  <c r="O183" i="112"/>
  <c r="O184" i="112"/>
  <c r="H181" i="112"/>
  <c r="H182" i="112"/>
  <c r="H183" i="112"/>
  <c r="H184" i="112"/>
  <c r="T181" i="112"/>
  <c r="O185" i="112"/>
  <c r="O186" i="112"/>
  <c r="O187" i="112"/>
  <c r="O188" i="112"/>
  <c r="H185" i="112"/>
  <c r="H186" i="112"/>
  <c r="H187" i="112"/>
  <c r="H188" i="112"/>
  <c r="T185" i="112"/>
  <c r="O189" i="112"/>
  <c r="O190" i="112"/>
  <c r="O191" i="112"/>
  <c r="O192" i="112"/>
  <c r="H189" i="112"/>
  <c r="H190" i="112"/>
  <c r="H191" i="112"/>
  <c r="H192" i="112"/>
  <c r="T189" i="112"/>
  <c r="F10" i="135"/>
  <c r="S145" i="112"/>
  <c r="S149" i="112"/>
  <c r="S153" i="112"/>
  <c r="S157" i="112"/>
  <c r="S161" i="112"/>
  <c r="S165" i="112"/>
  <c r="S169" i="112"/>
  <c r="S173" i="112"/>
  <c r="S177" i="112"/>
  <c r="S181" i="112"/>
  <c r="S185" i="112"/>
  <c r="S189" i="112"/>
  <c r="E10" i="135"/>
  <c r="R145" i="112"/>
  <c r="R149" i="112"/>
  <c r="R153" i="112"/>
  <c r="R157" i="112"/>
  <c r="R161" i="112"/>
  <c r="R165" i="112"/>
  <c r="R169" i="112"/>
  <c r="R173" i="112"/>
  <c r="R177" i="112"/>
  <c r="R181" i="112"/>
  <c r="R185" i="112"/>
  <c r="R189" i="112"/>
  <c r="D10" i="135"/>
  <c r="Q145" i="112"/>
  <c r="Q149" i="112"/>
  <c r="Q153" i="112"/>
  <c r="Q157" i="112"/>
  <c r="Q161" i="112"/>
  <c r="Q165" i="112"/>
  <c r="Q169" i="112"/>
  <c r="Q173" i="112"/>
  <c r="Q177" i="112"/>
  <c r="Q181" i="112"/>
  <c r="Q185" i="112"/>
  <c r="Q189" i="112"/>
  <c r="C10" i="135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U125" i="112"/>
  <c r="U126" i="112"/>
  <c r="U127" i="112"/>
  <c r="U128" i="112"/>
  <c r="U129" i="112"/>
  <c r="U130" i="112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O97" i="112"/>
  <c r="O98" i="112"/>
  <c r="O99" i="112"/>
  <c r="O100" i="112"/>
  <c r="H97" i="112"/>
  <c r="H98" i="112"/>
  <c r="H99" i="112"/>
  <c r="H100" i="112"/>
  <c r="T97" i="112"/>
  <c r="O101" i="112"/>
  <c r="O102" i="112"/>
  <c r="O103" i="112"/>
  <c r="O104" i="112"/>
  <c r="H101" i="112"/>
  <c r="H102" i="112"/>
  <c r="H103" i="112"/>
  <c r="H104" i="112"/>
  <c r="T101" i="112"/>
  <c r="O105" i="112"/>
  <c r="O106" i="112"/>
  <c r="O107" i="112"/>
  <c r="O108" i="112"/>
  <c r="H105" i="112"/>
  <c r="H106" i="112"/>
  <c r="H107" i="112"/>
  <c r="H108" i="112"/>
  <c r="T105" i="112"/>
  <c r="O109" i="112"/>
  <c r="O110" i="112"/>
  <c r="O111" i="112"/>
  <c r="O112" i="112"/>
  <c r="H109" i="112"/>
  <c r="H110" i="112"/>
  <c r="H111" i="112"/>
  <c r="H112" i="112"/>
  <c r="T109" i="112"/>
  <c r="O113" i="112"/>
  <c r="O114" i="112"/>
  <c r="O115" i="112"/>
  <c r="O116" i="112"/>
  <c r="H113" i="112"/>
  <c r="H114" i="112"/>
  <c r="H115" i="112"/>
  <c r="H116" i="112"/>
  <c r="T113" i="112"/>
  <c r="O117" i="112"/>
  <c r="O118" i="112"/>
  <c r="O119" i="112"/>
  <c r="O120" i="112"/>
  <c r="H117" i="112"/>
  <c r="H118" i="112"/>
  <c r="H119" i="112"/>
  <c r="H120" i="112"/>
  <c r="T117" i="112"/>
  <c r="O121" i="112"/>
  <c r="O122" i="112"/>
  <c r="O123" i="112"/>
  <c r="O124" i="112"/>
  <c r="H121" i="112"/>
  <c r="H122" i="112"/>
  <c r="H123" i="112"/>
  <c r="H124" i="112"/>
  <c r="T121" i="112"/>
  <c r="O125" i="112"/>
  <c r="O126" i="112"/>
  <c r="O127" i="112"/>
  <c r="O128" i="112"/>
  <c r="H125" i="112"/>
  <c r="H126" i="112"/>
  <c r="H127" i="112"/>
  <c r="H128" i="112"/>
  <c r="T125" i="112"/>
  <c r="O129" i="112"/>
  <c r="O130" i="112"/>
  <c r="O131" i="112"/>
  <c r="O132" i="112"/>
  <c r="H129" i="112"/>
  <c r="H130" i="112"/>
  <c r="H131" i="112"/>
  <c r="H132" i="112"/>
  <c r="T129" i="112"/>
  <c r="O133" i="112"/>
  <c r="O134" i="112"/>
  <c r="O135" i="112"/>
  <c r="O136" i="112"/>
  <c r="H133" i="112"/>
  <c r="H134" i="112"/>
  <c r="H135" i="112"/>
  <c r="H136" i="112"/>
  <c r="T133" i="112"/>
  <c r="O137" i="112"/>
  <c r="O138" i="112"/>
  <c r="O139" i="112"/>
  <c r="O140" i="112"/>
  <c r="H137" i="112"/>
  <c r="H138" i="112"/>
  <c r="H139" i="112"/>
  <c r="H140" i="112"/>
  <c r="T137" i="112"/>
  <c r="O141" i="112"/>
  <c r="O142" i="112"/>
  <c r="O143" i="112"/>
  <c r="O144" i="112"/>
  <c r="H141" i="112"/>
  <c r="H142" i="112"/>
  <c r="H143" i="112"/>
  <c r="H144" i="112"/>
  <c r="T141" i="112"/>
  <c r="F9" i="135"/>
  <c r="S97" i="112"/>
  <c r="S101" i="112"/>
  <c r="S105" i="112"/>
  <c r="S109" i="112"/>
  <c r="S113" i="112"/>
  <c r="S117" i="112"/>
  <c r="S121" i="112"/>
  <c r="S125" i="112"/>
  <c r="S129" i="112"/>
  <c r="S133" i="112"/>
  <c r="S137" i="112"/>
  <c r="S141" i="112"/>
  <c r="E9" i="135"/>
  <c r="R97" i="112"/>
  <c r="R101" i="112"/>
  <c r="R105" i="112"/>
  <c r="R109" i="112"/>
  <c r="R113" i="112"/>
  <c r="R117" i="112"/>
  <c r="R121" i="112"/>
  <c r="R125" i="112"/>
  <c r="R129" i="112"/>
  <c r="R133" i="112"/>
  <c r="R137" i="112"/>
  <c r="R141" i="112"/>
  <c r="D9" i="135"/>
  <c r="Q97" i="112"/>
  <c r="Q101" i="112"/>
  <c r="Q105" i="112"/>
  <c r="Q109" i="112"/>
  <c r="Q113" i="112"/>
  <c r="Q117" i="112"/>
  <c r="Q121" i="112"/>
  <c r="Q125" i="112"/>
  <c r="Q129" i="112"/>
  <c r="Q133" i="112"/>
  <c r="Q137" i="112"/>
  <c r="Q141" i="112"/>
  <c r="C9" i="135"/>
  <c r="D36" i="135"/>
  <c r="E36" i="135"/>
  <c r="F36" i="135"/>
  <c r="G36" i="135"/>
  <c r="D37" i="135"/>
  <c r="E37" i="135"/>
  <c r="F37" i="135"/>
  <c r="G37" i="135"/>
  <c r="D38" i="135"/>
  <c r="E38" i="135"/>
  <c r="F38" i="135"/>
  <c r="G38" i="135"/>
  <c r="D39" i="135"/>
  <c r="E39" i="135"/>
  <c r="F39" i="135"/>
  <c r="G39" i="135"/>
  <c r="D40" i="135"/>
  <c r="E40" i="135"/>
  <c r="F40" i="135"/>
  <c r="G40" i="135"/>
  <c r="R81" i="118"/>
  <c r="R85" i="118"/>
  <c r="R89" i="118"/>
  <c r="R93" i="118"/>
  <c r="D41" i="135"/>
  <c r="S81" i="118"/>
  <c r="S85" i="118"/>
  <c r="S89" i="118"/>
  <c r="S93" i="118"/>
  <c r="E41" i="135"/>
  <c r="O81" i="118"/>
  <c r="O82" i="118"/>
  <c r="O83" i="118"/>
  <c r="O84" i="118"/>
  <c r="H81" i="118"/>
  <c r="H82" i="118"/>
  <c r="H83" i="118"/>
  <c r="H84" i="118"/>
  <c r="T81" i="118"/>
  <c r="O85" i="118"/>
  <c r="O86" i="118"/>
  <c r="O87" i="118"/>
  <c r="O88" i="118"/>
  <c r="H85" i="118"/>
  <c r="H86" i="118"/>
  <c r="H87" i="118"/>
  <c r="H88" i="118"/>
  <c r="T85" i="118"/>
  <c r="O89" i="118"/>
  <c r="O90" i="118"/>
  <c r="O91" i="118"/>
  <c r="O92" i="118"/>
  <c r="H89" i="118"/>
  <c r="H90" i="118"/>
  <c r="H91" i="118"/>
  <c r="H92" i="118"/>
  <c r="T89" i="118"/>
  <c r="O93" i="118"/>
  <c r="O94" i="118"/>
  <c r="O95" i="118"/>
  <c r="O96" i="118"/>
  <c r="H93" i="118"/>
  <c r="H94" i="118"/>
  <c r="H95" i="118"/>
  <c r="H96" i="118"/>
  <c r="T93" i="118"/>
  <c r="F41" i="135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G41" i="135"/>
  <c r="R193" i="118"/>
  <c r="R197" i="118"/>
  <c r="R201" i="118"/>
  <c r="R205" i="118"/>
  <c r="R209" i="118"/>
  <c r="R213" i="118"/>
  <c r="R217" i="118"/>
  <c r="R221" i="118"/>
  <c r="R225" i="118"/>
  <c r="R229" i="118"/>
  <c r="R233" i="118"/>
  <c r="R237" i="118"/>
  <c r="R241" i="118"/>
  <c r="R245" i="118"/>
  <c r="R249" i="118"/>
  <c r="R253" i="118"/>
  <c r="R257" i="118"/>
  <c r="D44" i="135"/>
  <c r="S193" i="118"/>
  <c r="S197" i="118"/>
  <c r="S201" i="118"/>
  <c r="S205" i="118"/>
  <c r="S209" i="118"/>
  <c r="S213" i="118"/>
  <c r="S217" i="118"/>
  <c r="S221" i="118"/>
  <c r="S225" i="118"/>
  <c r="S229" i="118"/>
  <c r="S233" i="118"/>
  <c r="S237" i="118"/>
  <c r="S241" i="118"/>
  <c r="S245" i="118"/>
  <c r="S249" i="118"/>
  <c r="S253" i="118"/>
  <c r="S257" i="118"/>
  <c r="E44" i="135"/>
  <c r="O193" i="118"/>
  <c r="O194" i="118"/>
  <c r="O195" i="118"/>
  <c r="O196" i="118"/>
  <c r="H193" i="118"/>
  <c r="H194" i="118"/>
  <c r="H195" i="118"/>
  <c r="H196" i="118"/>
  <c r="T193" i="118"/>
  <c r="O197" i="118"/>
  <c r="O198" i="118"/>
  <c r="O199" i="118"/>
  <c r="O200" i="118"/>
  <c r="H197" i="118"/>
  <c r="H198" i="118"/>
  <c r="H199" i="118"/>
  <c r="H200" i="118"/>
  <c r="T197" i="118"/>
  <c r="O201" i="118"/>
  <c r="O202" i="118"/>
  <c r="O203" i="118"/>
  <c r="O204" i="118"/>
  <c r="H201" i="118"/>
  <c r="H202" i="118"/>
  <c r="H203" i="118"/>
  <c r="H204" i="118"/>
  <c r="T201" i="118"/>
  <c r="O205" i="118"/>
  <c r="O206" i="118"/>
  <c r="O207" i="118"/>
  <c r="O208" i="118"/>
  <c r="H205" i="118"/>
  <c r="H206" i="118"/>
  <c r="H207" i="118"/>
  <c r="H208" i="118"/>
  <c r="T205" i="118"/>
  <c r="O209" i="118"/>
  <c r="O210" i="118"/>
  <c r="O211" i="118"/>
  <c r="O212" i="118"/>
  <c r="H209" i="118"/>
  <c r="H210" i="118"/>
  <c r="H211" i="118"/>
  <c r="H212" i="118"/>
  <c r="T209" i="118"/>
  <c r="O213" i="118"/>
  <c r="O214" i="118"/>
  <c r="O215" i="118"/>
  <c r="O216" i="118"/>
  <c r="H213" i="118"/>
  <c r="H214" i="118"/>
  <c r="H215" i="118"/>
  <c r="H216" i="118"/>
  <c r="T213" i="118"/>
  <c r="O217" i="118"/>
  <c r="O218" i="118"/>
  <c r="O219" i="118"/>
  <c r="O220" i="118"/>
  <c r="H217" i="118"/>
  <c r="H218" i="118"/>
  <c r="H219" i="118"/>
  <c r="H220" i="118"/>
  <c r="T217" i="118"/>
  <c r="O221" i="118"/>
  <c r="O222" i="118"/>
  <c r="O223" i="118"/>
  <c r="O224" i="118"/>
  <c r="H221" i="118"/>
  <c r="H222" i="118"/>
  <c r="H223" i="118"/>
  <c r="H224" i="118"/>
  <c r="T221" i="118"/>
  <c r="O225" i="118"/>
  <c r="O226" i="118"/>
  <c r="O227" i="118"/>
  <c r="O228" i="118"/>
  <c r="H225" i="118"/>
  <c r="H226" i="118"/>
  <c r="H227" i="118"/>
  <c r="H228" i="118"/>
  <c r="T225" i="118"/>
  <c r="O229" i="118"/>
  <c r="O230" i="118"/>
  <c r="O231" i="118"/>
  <c r="O232" i="118"/>
  <c r="H229" i="118"/>
  <c r="H230" i="118"/>
  <c r="H231" i="118"/>
  <c r="H232" i="118"/>
  <c r="T229" i="118"/>
  <c r="O233" i="118"/>
  <c r="O234" i="118"/>
  <c r="O235" i="118"/>
  <c r="O236" i="118"/>
  <c r="H233" i="118"/>
  <c r="H234" i="118"/>
  <c r="H235" i="118"/>
  <c r="H236" i="118"/>
  <c r="T233" i="118"/>
  <c r="O237" i="118"/>
  <c r="O238" i="118"/>
  <c r="O239" i="118"/>
  <c r="O240" i="118"/>
  <c r="H237" i="118"/>
  <c r="H238" i="118"/>
  <c r="H239" i="118"/>
  <c r="H240" i="118"/>
  <c r="T237" i="118"/>
  <c r="O241" i="118"/>
  <c r="O242" i="118"/>
  <c r="O243" i="118"/>
  <c r="O244" i="118"/>
  <c r="H241" i="118"/>
  <c r="H242" i="118"/>
  <c r="H243" i="118"/>
  <c r="H244" i="118"/>
  <c r="T241" i="118"/>
  <c r="O245" i="118"/>
  <c r="O246" i="118"/>
  <c r="O247" i="118"/>
  <c r="O248" i="118"/>
  <c r="H245" i="118"/>
  <c r="H246" i="118"/>
  <c r="H247" i="118"/>
  <c r="H248" i="118"/>
  <c r="T245" i="118"/>
  <c r="O249" i="118"/>
  <c r="O250" i="118"/>
  <c r="O251" i="118"/>
  <c r="O252" i="118"/>
  <c r="H249" i="118"/>
  <c r="H250" i="118"/>
  <c r="H251" i="118"/>
  <c r="H252" i="118"/>
  <c r="T249" i="118"/>
  <c r="O253" i="118"/>
  <c r="O254" i="118"/>
  <c r="O255" i="118"/>
  <c r="O256" i="118"/>
  <c r="H253" i="118"/>
  <c r="H254" i="118"/>
  <c r="H255" i="118"/>
  <c r="H256" i="118"/>
  <c r="T253" i="118"/>
  <c r="O257" i="118"/>
  <c r="O258" i="118"/>
  <c r="O259" i="118"/>
  <c r="O260" i="118"/>
  <c r="H257" i="118"/>
  <c r="H258" i="118"/>
  <c r="H259" i="118"/>
  <c r="H260" i="118"/>
  <c r="T257" i="118"/>
  <c r="F44" i="135"/>
  <c r="U193" i="118"/>
  <c r="U194" i="118"/>
  <c r="U195" i="118"/>
  <c r="U196" i="118"/>
  <c r="U197" i="118"/>
  <c r="U198" i="118"/>
  <c r="U199" i="118"/>
  <c r="U200" i="118"/>
  <c r="U201" i="118"/>
  <c r="U202" i="118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U247" i="118"/>
  <c r="U248" i="118"/>
  <c r="U249" i="118"/>
  <c r="U250" i="118"/>
  <c r="U251" i="118"/>
  <c r="U252" i="118"/>
  <c r="U253" i="118"/>
  <c r="U254" i="118"/>
  <c r="U255" i="118"/>
  <c r="U256" i="118"/>
  <c r="U257" i="118"/>
  <c r="U258" i="118"/>
  <c r="U259" i="118"/>
  <c r="U260" i="118"/>
  <c r="G44" i="135"/>
  <c r="D45" i="135"/>
  <c r="E45" i="135"/>
  <c r="F45" i="135"/>
  <c r="G45" i="135"/>
  <c r="D46" i="135"/>
  <c r="E46" i="135"/>
  <c r="F46" i="135"/>
  <c r="G46" i="135"/>
  <c r="D47" i="135"/>
  <c r="E47" i="135"/>
  <c r="F47" i="135"/>
  <c r="G47" i="135"/>
  <c r="D48" i="135"/>
  <c r="E48" i="135"/>
  <c r="F48" i="135"/>
  <c r="G48" i="135"/>
  <c r="D49" i="135"/>
  <c r="E49" i="135"/>
  <c r="F49" i="135"/>
  <c r="G49" i="135"/>
  <c r="D50" i="135"/>
  <c r="E50" i="135"/>
  <c r="F50" i="135"/>
  <c r="G50" i="135"/>
  <c r="D51" i="135"/>
  <c r="E51" i="135"/>
  <c r="F51" i="135"/>
  <c r="G51" i="135"/>
  <c r="D54" i="135"/>
  <c r="E54" i="135"/>
  <c r="F54" i="135"/>
  <c r="G54" i="135"/>
  <c r="D55" i="135"/>
  <c r="E55" i="135"/>
  <c r="F55" i="135"/>
  <c r="G55" i="135"/>
  <c r="D56" i="135"/>
  <c r="E56" i="135"/>
  <c r="F56" i="135"/>
  <c r="G56" i="135"/>
  <c r="D57" i="135"/>
  <c r="E57" i="135"/>
  <c r="F57" i="135"/>
  <c r="G57" i="135"/>
  <c r="D58" i="135"/>
  <c r="E58" i="135"/>
  <c r="F58" i="135"/>
  <c r="G58" i="135"/>
  <c r="D59" i="135"/>
  <c r="E59" i="135"/>
  <c r="F59" i="135"/>
  <c r="G59" i="135"/>
  <c r="D60" i="135"/>
  <c r="E60" i="135"/>
  <c r="F60" i="135"/>
  <c r="G60" i="135"/>
  <c r="R339" i="118"/>
  <c r="R343" i="118"/>
  <c r="R347" i="118"/>
  <c r="R351" i="118"/>
  <c r="D61" i="135"/>
  <c r="S339" i="118"/>
  <c r="S343" i="118"/>
  <c r="S347" i="118"/>
  <c r="S351" i="118"/>
  <c r="E61" i="135"/>
  <c r="O339" i="118"/>
  <c r="O340" i="118"/>
  <c r="O341" i="118"/>
  <c r="O342" i="118"/>
  <c r="H339" i="118"/>
  <c r="H340" i="118"/>
  <c r="H341" i="118"/>
  <c r="H342" i="118"/>
  <c r="T339" i="118"/>
  <c r="O343" i="118"/>
  <c r="O344" i="118"/>
  <c r="O345" i="118"/>
  <c r="O346" i="118"/>
  <c r="H343" i="118"/>
  <c r="H344" i="118"/>
  <c r="H345" i="118"/>
  <c r="H346" i="118"/>
  <c r="T343" i="118"/>
  <c r="O347" i="118"/>
  <c r="O348" i="118"/>
  <c r="O349" i="118"/>
  <c r="O350" i="118"/>
  <c r="H347" i="118"/>
  <c r="H348" i="118"/>
  <c r="H349" i="118"/>
  <c r="H350" i="118"/>
  <c r="T347" i="118"/>
  <c r="O351" i="118"/>
  <c r="O352" i="118"/>
  <c r="O353" i="118"/>
  <c r="O354" i="118"/>
  <c r="H351" i="118"/>
  <c r="H352" i="118"/>
  <c r="H353" i="118"/>
  <c r="H354" i="118"/>
  <c r="T351" i="118"/>
  <c r="F61" i="135"/>
  <c r="U339" i="118"/>
  <c r="U340" i="118"/>
  <c r="U341" i="118"/>
  <c r="U342" i="118"/>
  <c r="U343" i="118"/>
  <c r="U344" i="118"/>
  <c r="U345" i="118"/>
  <c r="U346" i="118"/>
  <c r="U347" i="118"/>
  <c r="U348" i="118"/>
  <c r="U349" i="118"/>
  <c r="U350" i="118"/>
  <c r="U351" i="118"/>
  <c r="U352" i="118"/>
  <c r="U353" i="118"/>
  <c r="U354" i="118"/>
  <c r="G61" i="135"/>
  <c r="R451" i="118"/>
  <c r="R455" i="118"/>
  <c r="R459" i="118"/>
  <c r="R463" i="118"/>
  <c r="R467" i="118"/>
  <c r="R471" i="118"/>
  <c r="R475" i="118"/>
  <c r="R479" i="118"/>
  <c r="R483" i="118"/>
  <c r="R487" i="118"/>
  <c r="R491" i="118"/>
  <c r="R495" i="118"/>
  <c r="R499" i="118"/>
  <c r="R503" i="118"/>
  <c r="R507" i="118"/>
  <c r="R511" i="118"/>
  <c r="R515" i="118"/>
  <c r="D64" i="135"/>
  <c r="S451" i="118"/>
  <c r="S455" i="118"/>
  <c r="S459" i="118"/>
  <c r="S463" i="118"/>
  <c r="S467" i="118"/>
  <c r="S471" i="118"/>
  <c r="S475" i="118"/>
  <c r="S479" i="118"/>
  <c r="S483" i="118"/>
  <c r="S487" i="118"/>
  <c r="S491" i="118"/>
  <c r="S495" i="118"/>
  <c r="S499" i="118"/>
  <c r="S503" i="118"/>
  <c r="S507" i="118"/>
  <c r="S511" i="118"/>
  <c r="S515" i="118"/>
  <c r="E64" i="135"/>
  <c r="O451" i="118"/>
  <c r="O452" i="118"/>
  <c r="O453" i="118"/>
  <c r="O454" i="118"/>
  <c r="H451" i="118"/>
  <c r="H452" i="118"/>
  <c r="H453" i="118"/>
  <c r="H454" i="118"/>
  <c r="T451" i="118"/>
  <c r="O455" i="118"/>
  <c r="O456" i="118"/>
  <c r="O457" i="118"/>
  <c r="O458" i="118"/>
  <c r="H455" i="118"/>
  <c r="H456" i="118"/>
  <c r="H457" i="118"/>
  <c r="H458" i="118"/>
  <c r="T455" i="118"/>
  <c r="O459" i="118"/>
  <c r="O460" i="118"/>
  <c r="O461" i="118"/>
  <c r="O462" i="118"/>
  <c r="H459" i="118"/>
  <c r="H460" i="118"/>
  <c r="H461" i="118"/>
  <c r="H462" i="118"/>
  <c r="T459" i="118"/>
  <c r="O463" i="118"/>
  <c r="O464" i="118"/>
  <c r="O465" i="118"/>
  <c r="O466" i="118"/>
  <c r="H463" i="118"/>
  <c r="H464" i="118"/>
  <c r="H465" i="118"/>
  <c r="H466" i="118"/>
  <c r="T463" i="118"/>
  <c r="O467" i="118"/>
  <c r="O468" i="118"/>
  <c r="O469" i="118"/>
  <c r="O470" i="118"/>
  <c r="H467" i="118"/>
  <c r="H468" i="118"/>
  <c r="H469" i="118"/>
  <c r="H470" i="118"/>
  <c r="T467" i="118"/>
  <c r="O471" i="118"/>
  <c r="O472" i="118"/>
  <c r="O473" i="118"/>
  <c r="O474" i="118"/>
  <c r="H471" i="118"/>
  <c r="H472" i="118"/>
  <c r="H473" i="118"/>
  <c r="H474" i="118"/>
  <c r="T471" i="118"/>
  <c r="O475" i="118"/>
  <c r="O476" i="118"/>
  <c r="O477" i="118"/>
  <c r="O478" i="118"/>
  <c r="H475" i="118"/>
  <c r="H476" i="118"/>
  <c r="H477" i="118"/>
  <c r="H478" i="118"/>
  <c r="T475" i="118"/>
  <c r="O479" i="118"/>
  <c r="O480" i="118"/>
  <c r="O481" i="118"/>
  <c r="O482" i="118"/>
  <c r="H479" i="118"/>
  <c r="H480" i="118"/>
  <c r="H481" i="118"/>
  <c r="H482" i="118"/>
  <c r="T479" i="118"/>
  <c r="O483" i="118"/>
  <c r="O484" i="118"/>
  <c r="O485" i="118"/>
  <c r="O486" i="118"/>
  <c r="H483" i="118"/>
  <c r="H484" i="118"/>
  <c r="H485" i="118"/>
  <c r="H486" i="118"/>
  <c r="T483" i="118"/>
  <c r="O487" i="118"/>
  <c r="O488" i="118"/>
  <c r="O489" i="118"/>
  <c r="O490" i="118"/>
  <c r="H487" i="118"/>
  <c r="H488" i="118"/>
  <c r="H489" i="118"/>
  <c r="H490" i="118"/>
  <c r="T487" i="118"/>
  <c r="O491" i="118"/>
  <c r="O492" i="118"/>
  <c r="O493" i="118"/>
  <c r="O494" i="118"/>
  <c r="H491" i="118"/>
  <c r="H492" i="118"/>
  <c r="H493" i="118"/>
  <c r="H494" i="118"/>
  <c r="T491" i="118"/>
  <c r="O495" i="118"/>
  <c r="O496" i="118"/>
  <c r="O497" i="118"/>
  <c r="O498" i="118"/>
  <c r="H495" i="118"/>
  <c r="H496" i="118"/>
  <c r="H497" i="118"/>
  <c r="H498" i="118"/>
  <c r="T495" i="118"/>
  <c r="O499" i="118"/>
  <c r="O500" i="118"/>
  <c r="O501" i="118"/>
  <c r="O502" i="118"/>
  <c r="H499" i="118"/>
  <c r="H500" i="118"/>
  <c r="H501" i="118"/>
  <c r="H502" i="118"/>
  <c r="T499" i="118"/>
  <c r="O503" i="118"/>
  <c r="O504" i="118"/>
  <c r="O505" i="118"/>
  <c r="O506" i="118"/>
  <c r="H503" i="118"/>
  <c r="H504" i="118"/>
  <c r="H505" i="118"/>
  <c r="H506" i="118"/>
  <c r="T503" i="118"/>
  <c r="O507" i="118"/>
  <c r="O508" i="118"/>
  <c r="O509" i="118"/>
  <c r="O510" i="118"/>
  <c r="H507" i="118"/>
  <c r="H508" i="118"/>
  <c r="H509" i="118"/>
  <c r="H510" i="118"/>
  <c r="T507" i="118"/>
  <c r="O511" i="118"/>
  <c r="O512" i="118"/>
  <c r="O513" i="118"/>
  <c r="O514" i="118"/>
  <c r="H511" i="118"/>
  <c r="H512" i="118"/>
  <c r="H513" i="118"/>
  <c r="H514" i="118"/>
  <c r="T511" i="118"/>
  <c r="O515" i="118"/>
  <c r="O516" i="118"/>
  <c r="O517" i="118"/>
  <c r="O518" i="118"/>
  <c r="H515" i="118"/>
  <c r="H516" i="118"/>
  <c r="H517" i="118"/>
  <c r="H518" i="118"/>
  <c r="T515" i="118"/>
  <c r="F64" i="135"/>
  <c r="U451" i="118"/>
  <c r="U452" i="118"/>
  <c r="U453" i="118"/>
  <c r="U454" i="118"/>
  <c r="U455" i="118"/>
  <c r="U456" i="118"/>
  <c r="U457" i="118"/>
  <c r="U458" i="118"/>
  <c r="U459" i="118"/>
  <c r="U460" i="118"/>
  <c r="U461" i="118"/>
  <c r="U462" i="118"/>
  <c r="U463" i="118"/>
  <c r="U464" i="118"/>
  <c r="U465" i="118"/>
  <c r="U466" i="118"/>
  <c r="U467" i="118"/>
  <c r="U468" i="118"/>
  <c r="U469" i="118"/>
  <c r="U470" i="118"/>
  <c r="U471" i="118"/>
  <c r="U472" i="118"/>
  <c r="U473" i="118"/>
  <c r="U474" i="118"/>
  <c r="U475" i="118"/>
  <c r="U476" i="118"/>
  <c r="U477" i="118"/>
  <c r="U478" i="118"/>
  <c r="U479" i="118"/>
  <c r="U480" i="118"/>
  <c r="U481" i="118"/>
  <c r="U482" i="118"/>
  <c r="U483" i="118"/>
  <c r="U484" i="118"/>
  <c r="U485" i="118"/>
  <c r="U486" i="118"/>
  <c r="U487" i="118"/>
  <c r="U488" i="118"/>
  <c r="U489" i="118"/>
  <c r="U490" i="118"/>
  <c r="U491" i="118"/>
  <c r="U492" i="118"/>
  <c r="U493" i="118"/>
  <c r="U494" i="118"/>
  <c r="U495" i="118"/>
  <c r="U496" i="118"/>
  <c r="U497" i="118"/>
  <c r="U498" i="118"/>
  <c r="U499" i="118"/>
  <c r="U500" i="118"/>
  <c r="U501" i="118"/>
  <c r="U502" i="118"/>
  <c r="U503" i="118"/>
  <c r="U504" i="118"/>
  <c r="U505" i="118"/>
  <c r="U506" i="118"/>
  <c r="U507" i="118"/>
  <c r="U508" i="118"/>
  <c r="U509" i="118"/>
  <c r="U510" i="118"/>
  <c r="U511" i="118"/>
  <c r="U512" i="118"/>
  <c r="U513" i="118"/>
  <c r="U514" i="118"/>
  <c r="U515" i="118"/>
  <c r="U516" i="118"/>
  <c r="U517" i="118"/>
  <c r="U518" i="118"/>
  <c r="G64" i="135"/>
  <c r="D65" i="135"/>
  <c r="E65" i="135"/>
  <c r="F65" i="135"/>
  <c r="G65" i="135"/>
  <c r="R81" i="112"/>
  <c r="R85" i="112"/>
  <c r="R89" i="112"/>
  <c r="R93" i="112"/>
  <c r="D8" i="135"/>
  <c r="S81" i="112"/>
  <c r="S85" i="112"/>
  <c r="S89" i="112"/>
  <c r="S93" i="112"/>
  <c r="E8" i="135"/>
  <c r="O81" i="112"/>
  <c r="O82" i="112"/>
  <c r="O83" i="112"/>
  <c r="O84" i="112"/>
  <c r="H81" i="112"/>
  <c r="H82" i="112"/>
  <c r="H83" i="112"/>
  <c r="H84" i="112"/>
  <c r="T81" i="112"/>
  <c r="O85" i="112"/>
  <c r="O86" i="112"/>
  <c r="O87" i="112"/>
  <c r="O88" i="112"/>
  <c r="H85" i="112"/>
  <c r="H86" i="112"/>
  <c r="H87" i="112"/>
  <c r="H88" i="112"/>
  <c r="T85" i="112"/>
  <c r="O89" i="112"/>
  <c r="O90" i="112"/>
  <c r="O91" i="112"/>
  <c r="O92" i="112"/>
  <c r="H89" i="112"/>
  <c r="H90" i="112"/>
  <c r="H91" i="112"/>
  <c r="H92" i="112"/>
  <c r="T89" i="112"/>
  <c r="O93" i="112"/>
  <c r="O94" i="112"/>
  <c r="O95" i="112"/>
  <c r="O96" i="112"/>
  <c r="H93" i="112"/>
  <c r="H94" i="112"/>
  <c r="H95" i="112"/>
  <c r="H96" i="112"/>
  <c r="T93" i="112"/>
  <c r="F8" i="135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R193" i="112"/>
  <c r="R197" i="112"/>
  <c r="R201" i="112"/>
  <c r="R205" i="112"/>
  <c r="R209" i="112"/>
  <c r="R213" i="112"/>
  <c r="R217" i="112"/>
  <c r="R221" i="112"/>
  <c r="R225" i="112"/>
  <c r="R229" i="112"/>
  <c r="R233" i="112"/>
  <c r="R237" i="112"/>
  <c r="R241" i="112"/>
  <c r="R245" i="112"/>
  <c r="R249" i="112"/>
  <c r="R253" i="112"/>
  <c r="R257" i="112"/>
  <c r="D11" i="135"/>
  <c r="S193" i="112"/>
  <c r="S197" i="112"/>
  <c r="S201" i="112"/>
  <c r="S205" i="112"/>
  <c r="S209" i="112"/>
  <c r="S213" i="112"/>
  <c r="S217" i="112"/>
  <c r="S221" i="112"/>
  <c r="S225" i="112"/>
  <c r="S229" i="112"/>
  <c r="S233" i="112"/>
  <c r="S237" i="112"/>
  <c r="S241" i="112"/>
  <c r="S245" i="112"/>
  <c r="S249" i="112"/>
  <c r="S253" i="112"/>
  <c r="S257" i="112"/>
  <c r="E11" i="135"/>
  <c r="O193" i="112"/>
  <c r="O194" i="112"/>
  <c r="O195" i="112"/>
  <c r="O196" i="112"/>
  <c r="H193" i="112"/>
  <c r="H194" i="112"/>
  <c r="H195" i="112"/>
  <c r="H196" i="112"/>
  <c r="T193" i="112"/>
  <c r="O197" i="112"/>
  <c r="O198" i="112"/>
  <c r="O199" i="112"/>
  <c r="O200" i="112"/>
  <c r="H197" i="112"/>
  <c r="H198" i="112"/>
  <c r="H199" i="112"/>
  <c r="H200" i="112"/>
  <c r="T197" i="112"/>
  <c r="O201" i="112"/>
  <c r="O202" i="112"/>
  <c r="O203" i="112"/>
  <c r="O204" i="112"/>
  <c r="H201" i="112"/>
  <c r="H202" i="112"/>
  <c r="H203" i="112"/>
  <c r="H204" i="112"/>
  <c r="T201" i="112"/>
  <c r="O205" i="112"/>
  <c r="O206" i="112"/>
  <c r="O207" i="112"/>
  <c r="O208" i="112"/>
  <c r="H205" i="112"/>
  <c r="H206" i="112"/>
  <c r="H207" i="112"/>
  <c r="H208" i="112"/>
  <c r="T205" i="112"/>
  <c r="O209" i="112"/>
  <c r="O210" i="112"/>
  <c r="O211" i="112"/>
  <c r="O212" i="112"/>
  <c r="H209" i="112"/>
  <c r="H210" i="112"/>
  <c r="H211" i="112"/>
  <c r="H212" i="112"/>
  <c r="T209" i="112"/>
  <c r="O213" i="112"/>
  <c r="O214" i="112"/>
  <c r="O215" i="112"/>
  <c r="O216" i="112"/>
  <c r="H213" i="112"/>
  <c r="H214" i="112"/>
  <c r="H215" i="112"/>
  <c r="H216" i="112"/>
  <c r="T213" i="112"/>
  <c r="O217" i="112"/>
  <c r="O218" i="112"/>
  <c r="O219" i="112"/>
  <c r="O220" i="112"/>
  <c r="H217" i="112"/>
  <c r="H218" i="112"/>
  <c r="H219" i="112"/>
  <c r="H220" i="112"/>
  <c r="T217" i="112"/>
  <c r="O221" i="112"/>
  <c r="O222" i="112"/>
  <c r="O223" i="112"/>
  <c r="O224" i="112"/>
  <c r="H221" i="112"/>
  <c r="H222" i="112"/>
  <c r="H223" i="112"/>
  <c r="H224" i="112"/>
  <c r="T221" i="112"/>
  <c r="O225" i="112"/>
  <c r="O226" i="112"/>
  <c r="O227" i="112"/>
  <c r="O228" i="112"/>
  <c r="H225" i="112"/>
  <c r="H226" i="112"/>
  <c r="H227" i="112"/>
  <c r="H228" i="112"/>
  <c r="T225" i="112"/>
  <c r="O229" i="112"/>
  <c r="O230" i="112"/>
  <c r="O231" i="112"/>
  <c r="O232" i="112"/>
  <c r="H229" i="112"/>
  <c r="H230" i="112"/>
  <c r="H231" i="112"/>
  <c r="H232" i="112"/>
  <c r="T229" i="112"/>
  <c r="O233" i="112"/>
  <c r="O234" i="112"/>
  <c r="O235" i="112"/>
  <c r="O236" i="112"/>
  <c r="H233" i="112"/>
  <c r="H234" i="112"/>
  <c r="H235" i="112"/>
  <c r="H236" i="112"/>
  <c r="T233" i="112"/>
  <c r="O237" i="112"/>
  <c r="O238" i="112"/>
  <c r="O239" i="112"/>
  <c r="O240" i="112"/>
  <c r="H237" i="112"/>
  <c r="H238" i="112"/>
  <c r="H239" i="112"/>
  <c r="H240" i="112"/>
  <c r="T237" i="112"/>
  <c r="O241" i="112"/>
  <c r="O242" i="112"/>
  <c r="O243" i="112"/>
  <c r="O244" i="112"/>
  <c r="H241" i="112"/>
  <c r="H242" i="112"/>
  <c r="H243" i="112"/>
  <c r="H244" i="112"/>
  <c r="T241" i="112"/>
  <c r="O245" i="112"/>
  <c r="O246" i="112"/>
  <c r="O247" i="112"/>
  <c r="O248" i="112"/>
  <c r="H245" i="112"/>
  <c r="H246" i="112"/>
  <c r="H247" i="112"/>
  <c r="H248" i="112"/>
  <c r="T245" i="112"/>
  <c r="O249" i="112"/>
  <c r="O250" i="112"/>
  <c r="O251" i="112"/>
  <c r="O252" i="112"/>
  <c r="H249" i="112"/>
  <c r="H250" i="112"/>
  <c r="H251" i="112"/>
  <c r="H252" i="112"/>
  <c r="T249" i="112"/>
  <c r="O253" i="112"/>
  <c r="O254" i="112"/>
  <c r="O255" i="112"/>
  <c r="O256" i="112"/>
  <c r="H253" i="112"/>
  <c r="H254" i="112"/>
  <c r="H255" i="112"/>
  <c r="H256" i="112"/>
  <c r="T253" i="112"/>
  <c r="O257" i="112"/>
  <c r="O258" i="112"/>
  <c r="O259" i="112"/>
  <c r="O260" i="112"/>
  <c r="H257" i="112"/>
  <c r="H258" i="112"/>
  <c r="H259" i="112"/>
  <c r="H260" i="112"/>
  <c r="T257" i="112"/>
  <c r="F11" i="135"/>
  <c r="U193" i="112"/>
  <c r="U194" i="112"/>
  <c r="U195" i="112"/>
  <c r="U196" i="112"/>
  <c r="U197" i="112"/>
  <c r="U198" i="112"/>
  <c r="U199" i="112"/>
  <c r="U200" i="112"/>
  <c r="U201" i="112"/>
  <c r="U202" i="112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U247" i="112"/>
  <c r="U248" i="112"/>
  <c r="U249" i="112"/>
  <c r="U250" i="112"/>
  <c r="U251" i="112"/>
  <c r="U252" i="112"/>
  <c r="U253" i="112"/>
  <c r="U254" i="112"/>
  <c r="U255" i="112"/>
  <c r="U256" i="112"/>
  <c r="U257" i="112"/>
  <c r="U258" i="112"/>
  <c r="U259" i="112"/>
  <c r="U260" i="112"/>
  <c r="R340" i="112"/>
  <c r="R344" i="112"/>
  <c r="R348" i="112"/>
  <c r="R352" i="112"/>
  <c r="D28" i="135"/>
  <c r="S340" i="112"/>
  <c r="S344" i="112"/>
  <c r="S348" i="112"/>
  <c r="S352" i="112"/>
  <c r="E28" i="135"/>
  <c r="O340" i="112"/>
  <c r="O341" i="112"/>
  <c r="O342" i="112"/>
  <c r="O343" i="112"/>
  <c r="H340" i="112"/>
  <c r="H341" i="112"/>
  <c r="H342" i="112"/>
  <c r="H343" i="112"/>
  <c r="T340" i="112"/>
  <c r="O344" i="112"/>
  <c r="O345" i="112"/>
  <c r="O346" i="112"/>
  <c r="O347" i="112"/>
  <c r="H344" i="112"/>
  <c r="H345" i="112"/>
  <c r="H346" i="112"/>
  <c r="H347" i="112"/>
  <c r="T344" i="112"/>
  <c r="O348" i="112"/>
  <c r="O349" i="112"/>
  <c r="O350" i="112"/>
  <c r="O351" i="112"/>
  <c r="H348" i="112"/>
  <c r="H349" i="112"/>
  <c r="H350" i="112"/>
  <c r="H351" i="112"/>
  <c r="T348" i="112"/>
  <c r="O352" i="112"/>
  <c r="O353" i="112"/>
  <c r="O354" i="112"/>
  <c r="O355" i="112"/>
  <c r="H352" i="112"/>
  <c r="H353" i="112"/>
  <c r="H354" i="112"/>
  <c r="H355" i="112"/>
  <c r="T352" i="112"/>
  <c r="F28" i="135"/>
  <c r="U340" i="112"/>
  <c r="U341" i="112"/>
  <c r="U342" i="112"/>
  <c r="U343" i="112"/>
  <c r="U344" i="112"/>
  <c r="U345" i="112"/>
  <c r="U346" i="112"/>
  <c r="U347" i="112"/>
  <c r="U348" i="112"/>
  <c r="U349" i="112"/>
  <c r="U350" i="112"/>
  <c r="U351" i="112"/>
  <c r="U352" i="112"/>
  <c r="U353" i="112"/>
  <c r="U354" i="112"/>
  <c r="U355" i="112"/>
  <c r="R452" i="112"/>
  <c r="R456" i="112"/>
  <c r="R460" i="112"/>
  <c r="R464" i="112"/>
  <c r="R468" i="112"/>
  <c r="R472" i="112"/>
  <c r="R476" i="112"/>
  <c r="R480" i="112"/>
  <c r="R484" i="112"/>
  <c r="R488" i="112"/>
  <c r="R492" i="112"/>
  <c r="R496" i="112"/>
  <c r="R500" i="112"/>
  <c r="R504" i="112"/>
  <c r="R508" i="112"/>
  <c r="R512" i="112"/>
  <c r="R516" i="112"/>
  <c r="D31" i="135"/>
  <c r="S452" i="112"/>
  <c r="S456" i="112"/>
  <c r="S460" i="112"/>
  <c r="S464" i="112"/>
  <c r="S468" i="112"/>
  <c r="S472" i="112"/>
  <c r="S476" i="112"/>
  <c r="S480" i="112"/>
  <c r="S484" i="112"/>
  <c r="S488" i="112"/>
  <c r="S492" i="112"/>
  <c r="S496" i="112"/>
  <c r="S500" i="112"/>
  <c r="S504" i="112"/>
  <c r="S508" i="112"/>
  <c r="S512" i="112"/>
  <c r="S516" i="112"/>
  <c r="E31" i="135"/>
  <c r="O452" i="112"/>
  <c r="O453" i="112"/>
  <c r="O454" i="112"/>
  <c r="O455" i="112"/>
  <c r="H452" i="112"/>
  <c r="H453" i="112"/>
  <c r="H454" i="112"/>
  <c r="H455" i="112"/>
  <c r="T452" i="112"/>
  <c r="O456" i="112"/>
  <c r="O457" i="112"/>
  <c r="O458" i="112"/>
  <c r="O459" i="112"/>
  <c r="H456" i="112"/>
  <c r="H457" i="112"/>
  <c r="H458" i="112"/>
  <c r="H459" i="112"/>
  <c r="T456" i="112"/>
  <c r="O460" i="112"/>
  <c r="O461" i="112"/>
  <c r="O462" i="112"/>
  <c r="O463" i="112"/>
  <c r="H460" i="112"/>
  <c r="H461" i="112"/>
  <c r="H462" i="112"/>
  <c r="H463" i="112"/>
  <c r="T460" i="112"/>
  <c r="O464" i="112"/>
  <c r="O465" i="112"/>
  <c r="O466" i="112"/>
  <c r="O467" i="112"/>
  <c r="H464" i="112"/>
  <c r="H465" i="112"/>
  <c r="H466" i="112"/>
  <c r="H467" i="112"/>
  <c r="T464" i="112"/>
  <c r="O468" i="112"/>
  <c r="O469" i="112"/>
  <c r="O470" i="112"/>
  <c r="O471" i="112"/>
  <c r="H468" i="112"/>
  <c r="H469" i="112"/>
  <c r="H470" i="112"/>
  <c r="H471" i="112"/>
  <c r="T468" i="112"/>
  <c r="O472" i="112"/>
  <c r="O473" i="112"/>
  <c r="O474" i="112"/>
  <c r="O475" i="112"/>
  <c r="H472" i="112"/>
  <c r="H473" i="112"/>
  <c r="H474" i="112"/>
  <c r="H475" i="112"/>
  <c r="T472" i="112"/>
  <c r="O476" i="112"/>
  <c r="O477" i="112"/>
  <c r="O478" i="112"/>
  <c r="O479" i="112"/>
  <c r="H476" i="112"/>
  <c r="H477" i="112"/>
  <c r="H478" i="112"/>
  <c r="H479" i="112"/>
  <c r="T476" i="112"/>
  <c r="O480" i="112"/>
  <c r="O481" i="112"/>
  <c r="O482" i="112"/>
  <c r="O483" i="112"/>
  <c r="H480" i="112"/>
  <c r="H481" i="112"/>
  <c r="H482" i="112"/>
  <c r="H483" i="112"/>
  <c r="T480" i="112"/>
  <c r="O484" i="112"/>
  <c r="O485" i="112"/>
  <c r="O486" i="112"/>
  <c r="O487" i="112"/>
  <c r="H484" i="112"/>
  <c r="H485" i="112"/>
  <c r="H486" i="112"/>
  <c r="H487" i="112"/>
  <c r="T484" i="112"/>
  <c r="O488" i="112"/>
  <c r="O489" i="112"/>
  <c r="O490" i="112"/>
  <c r="O491" i="112"/>
  <c r="H488" i="112"/>
  <c r="H489" i="112"/>
  <c r="H490" i="112"/>
  <c r="H491" i="112"/>
  <c r="T488" i="112"/>
  <c r="O492" i="112"/>
  <c r="O493" i="112"/>
  <c r="O494" i="112"/>
  <c r="O495" i="112"/>
  <c r="H492" i="112"/>
  <c r="H493" i="112"/>
  <c r="H494" i="112"/>
  <c r="H495" i="112"/>
  <c r="T492" i="112"/>
  <c r="O496" i="112"/>
  <c r="O497" i="112"/>
  <c r="O498" i="112"/>
  <c r="O499" i="112"/>
  <c r="H496" i="112"/>
  <c r="H497" i="112"/>
  <c r="H498" i="112"/>
  <c r="H499" i="112"/>
  <c r="T496" i="112"/>
  <c r="O500" i="112"/>
  <c r="O501" i="112"/>
  <c r="O502" i="112"/>
  <c r="O503" i="112"/>
  <c r="H500" i="112"/>
  <c r="H501" i="112"/>
  <c r="H502" i="112"/>
  <c r="H503" i="112"/>
  <c r="T500" i="112"/>
  <c r="O504" i="112"/>
  <c r="O505" i="112"/>
  <c r="O506" i="112"/>
  <c r="O507" i="112"/>
  <c r="H504" i="112"/>
  <c r="H505" i="112"/>
  <c r="H506" i="112"/>
  <c r="H507" i="112"/>
  <c r="T504" i="112"/>
  <c r="O508" i="112"/>
  <c r="O509" i="112"/>
  <c r="O510" i="112"/>
  <c r="O511" i="112"/>
  <c r="H508" i="112"/>
  <c r="H509" i="112"/>
  <c r="H510" i="112"/>
  <c r="H511" i="112"/>
  <c r="T508" i="112"/>
  <c r="O512" i="112"/>
  <c r="O513" i="112"/>
  <c r="O514" i="112"/>
  <c r="O515" i="112"/>
  <c r="H512" i="112"/>
  <c r="H513" i="112"/>
  <c r="H514" i="112"/>
  <c r="H515" i="112"/>
  <c r="T512" i="112"/>
  <c r="O516" i="112"/>
  <c r="O517" i="112"/>
  <c r="O518" i="112"/>
  <c r="O519" i="112"/>
  <c r="H516" i="112"/>
  <c r="H517" i="112"/>
  <c r="H518" i="112"/>
  <c r="H519" i="112"/>
  <c r="T516" i="112"/>
  <c r="F31" i="135"/>
  <c r="U452" i="112"/>
  <c r="U453" i="112"/>
  <c r="U454" i="112"/>
  <c r="U455" i="112"/>
  <c r="U456" i="112"/>
  <c r="U457" i="112"/>
  <c r="U458" i="112"/>
  <c r="U459" i="112"/>
  <c r="U460" i="112"/>
  <c r="U461" i="112"/>
  <c r="U462" i="112"/>
  <c r="U463" i="112"/>
  <c r="U464" i="112"/>
  <c r="U465" i="112"/>
  <c r="U466" i="112"/>
  <c r="U467" i="112"/>
  <c r="U468" i="112"/>
  <c r="U469" i="112"/>
  <c r="U470" i="112"/>
  <c r="U471" i="112"/>
  <c r="U472" i="112"/>
  <c r="U473" i="112"/>
  <c r="U474" i="112"/>
  <c r="U475" i="112"/>
  <c r="U476" i="112"/>
  <c r="U477" i="112"/>
  <c r="U478" i="112"/>
  <c r="U479" i="112"/>
  <c r="U480" i="112"/>
  <c r="U481" i="112"/>
  <c r="U482" i="112"/>
  <c r="U483" i="112"/>
  <c r="U484" i="112"/>
  <c r="U485" i="112"/>
  <c r="U486" i="112"/>
  <c r="U487" i="112"/>
  <c r="U488" i="112"/>
  <c r="U489" i="112"/>
  <c r="U490" i="112"/>
  <c r="U491" i="112"/>
  <c r="U492" i="112"/>
  <c r="U493" i="112"/>
  <c r="U494" i="112"/>
  <c r="U495" i="112"/>
  <c r="U496" i="112"/>
  <c r="U497" i="112"/>
  <c r="U498" i="112"/>
  <c r="U499" i="112"/>
  <c r="U500" i="112"/>
  <c r="U501" i="112"/>
  <c r="U502" i="112"/>
  <c r="U503" i="112"/>
  <c r="U504" i="112"/>
  <c r="U505" i="112"/>
  <c r="U506" i="112"/>
  <c r="U507" i="112"/>
  <c r="U508" i="112"/>
  <c r="U509" i="112"/>
  <c r="U510" i="112"/>
  <c r="U511" i="112"/>
  <c r="U512" i="112"/>
  <c r="U513" i="112"/>
  <c r="U514" i="112"/>
  <c r="U515" i="112"/>
  <c r="U516" i="112"/>
  <c r="U517" i="112"/>
  <c r="U518" i="112"/>
  <c r="U519" i="112"/>
  <c r="Q339" i="118"/>
  <c r="Q343" i="118"/>
  <c r="Q347" i="118"/>
  <c r="Q351" i="118"/>
  <c r="Q451" i="118"/>
  <c r="Q455" i="118"/>
  <c r="Q459" i="118"/>
  <c r="Q463" i="118"/>
  <c r="Q467" i="118"/>
  <c r="Q471" i="118"/>
  <c r="Q475" i="118"/>
  <c r="Q479" i="118"/>
  <c r="Q483" i="118"/>
  <c r="Q487" i="118"/>
  <c r="Q491" i="118"/>
  <c r="Q495" i="118"/>
  <c r="Q499" i="118"/>
  <c r="Q503" i="118"/>
  <c r="Q507" i="118"/>
  <c r="Q511" i="118"/>
  <c r="Q515" i="118"/>
  <c r="C65" i="135"/>
  <c r="C64" i="135"/>
  <c r="C61" i="135"/>
  <c r="C60" i="135"/>
  <c r="C59" i="135"/>
  <c r="C58" i="135"/>
  <c r="C57" i="135"/>
  <c r="C56" i="135"/>
  <c r="C55" i="135"/>
  <c r="C54" i="135"/>
  <c r="C51" i="135"/>
  <c r="C50" i="135"/>
  <c r="C49" i="135"/>
  <c r="C48" i="135"/>
  <c r="C47" i="135"/>
  <c r="C46" i="135"/>
  <c r="Q81" i="118"/>
  <c r="Q85" i="118"/>
  <c r="Q89" i="118"/>
  <c r="Q93" i="118"/>
  <c r="Q193" i="118"/>
  <c r="Q197" i="118"/>
  <c r="Q201" i="118"/>
  <c r="Q205" i="118"/>
  <c r="Q209" i="118"/>
  <c r="Q213" i="118"/>
  <c r="Q217" i="118"/>
  <c r="Q221" i="118"/>
  <c r="Q225" i="118"/>
  <c r="Q229" i="118"/>
  <c r="Q233" i="118"/>
  <c r="Q237" i="118"/>
  <c r="Q241" i="118"/>
  <c r="Q245" i="118"/>
  <c r="Q249" i="118"/>
  <c r="Q253" i="118"/>
  <c r="Q257" i="118"/>
  <c r="C45" i="135"/>
  <c r="C44" i="135"/>
  <c r="C41" i="135"/>
  <c r="C40" i="135"/>
  <c r="C39" i="135"/>
  <c r="C38" i="135"/>
  <c r="C37" i="135"/>
  <c r="C36" i="135"/>
  <c r="Q340" i="112"/>
  <c r="Q344" i="112"/>
  <c r="Q348" i="112"/>
  <c r="Q352" i="112"/>
  <c r="Q452" i="112"/>
  <c r="Q456" i="112"/>
  <c r="Q460" i="112"/>
  <c r="Q464" i="112"/>
  <c r="Q468" i="112"/>
  <c r="Q472" i="112"/>
  <c r="Q476" i="112"/>
  <c r="Q480" i="112"/>
  <c r="Q484" i="112"/>
  <c r="Q488" i="112"/>
  <c r="Q492" i="112"/>
  <c r="Q496" i="112"/>
  <c r="Q500" i="112"/>
  <c r="Q504" i="112"/>
  <c r="Q508" i="112"/>
  <c r="Q512" i="112"/>
  <c r="Q516" i="112"/>
  <c r="C31" i="135"/>
  <c r="C28" i="135"/>
  <c r="Q81" i="112"/>
  <c r="Q85" i="112"/>
  <c r="Q89" i="112"/>
  <c r="Q93" i="112"/>
  <c r="Q193" i="112"/>
  <c r="Q197" i="112"/>
  <c r="Q201" i="112"/>
  <c r="Q205" i="112"/>
  <c r="Q209" i="112"/>
  <c r="Q213" i="112"/>
  <c r="Q217" i="112"/>
  <c r="Q221" i="112"/>
  <c r="Q225" i="112"/>
  <c r="Q229" i="112"/>
  <c r="Q233" i="112"/>
  <c r="Q237" i="112"/>
  <c r="Q241" i="112"/>
  <c r="Q245" i="112"/>
  <c r="Q249" i="112"/>
  <c r="Q253" i="112"/>
  <c r="Q257" i="112"/>
  <c r="C11" i="135"/>
  <c r="C8" i="135"/>
  <c r="T177" i="69"/>
  <c r="N177" i="69"/>
  <c r="G177" i="69"/>
  <c r="T176" i="69"/>
  <c r="N176" i="69"/>
  <c r="G176" i="69"/>
  <c r="T175" i="69"/>
  <c r="N175" i="69"/>
  <c r="G175" i="69"/>
  <c r="T174" i="69"/>
  <c r="R174" i="69"/>
  <c r="P174" i="69"/>
  <c r="Q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Q138" i="69"/>
  <c r="Q162" i="69"/>
  <c r="Q154" i="69"/>
  <c r="P146" i="69"/>
  <c r="S146" i="69"/>
  <c r="P154" i="69"/>
  <c r="Q146" i="69"/>
  <c r="Q142" i="69"/>
  <c r="P142" i="69"/>
  <c r="Q150" i="69"/>
  <c r="S166" i="69"/>
  <c r="R150" i="69"/>
  <c r="R142" i="69"/>
  <c r="S158" i="69"/>
  <c r="P170" i="69"/>
  <c r="R146" i="69"/>
  <c r="S154" i="69"/>
  <c r="Q170" i="69"/>
  <c r="P150" i="69"/>
  <c r="R138" i="69"/>
  <c r="R166" i="69"/>
  <c r="Q166" i="69"/>
  <c r="S162" i="69"/>
  <c r="P158" i="69"/>
  <c r="R170" i="69"/>
  <c r="S174" i="69"/>
  <c r="S170" i="69"/>
  <c r="P138" i="69"/>
  <c r="S150" i="69"/>
  <c r="R154" i="69"/>
  <c r="P166" i="69"/>
  <c r="Q158" i="69"/>
  <c r="R158" i="69"/>
  <c r="R162" i="69"/>
  <c r="P162" i="69"/>
  <c r="S142" i="69"/>
  <c r="P178" i="69"/>
  <c r="Q178" i="69"/>
  <c r="R17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S138" i="69"/>
  <c r="R130" i="69"/>
  <c r="Q130" i="69"/>
  <c r="P130" i="69"/>
  <c r="S178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R126" i="69"/>
  <c r="S114" i="69"/>
  <c r="Q102" i="69"/>
  <c r="Q110" i="69"/>
  <c r="S102" i="69"/>
  <c r="S118" i="69"/>
  <c r="R102" i="69"/>
  <c r="R118" i="69"/>
  <c r="S110" i="69"/>
  <c r="Q106" i="69"/>
  <c r="P98" i="69"/>
  <c r="Q126" i="69"/>
  <c r="Q114" i="69"/>
  <c r="S122" i="69"/>
  <c r="R98" i="69"/>
  <c r="R94" i="69"/>
  <c r="R110" i="69"/>
  <c r="S130" i="69"/>
  <c r="P114" i="69"/>
  <c r="P110" i="69"/>
  <c r="S126" i="69"/>
  <c r="S106" i="69"/>
  <c r="P118" i="69"/>
  <c r="Q98" i="69"/>
  <c r="R106" i="69"/>
  <c r="R114" i="69"/>
  <c r="P126" i="69"/>
  <c r="P102" i="69"/>
  <c r="R122" i="69"/>
  <c r="S98" i="69"/>
  <c r="P106" i="69"/>
  <c r="Q122" i="69"/>
  <c r="Q118" i="69"/>
  <c r="P94" i="69"/>
  <c r="P122" i="69"/>
  <c r="Q94" i="69"/>
  <c r="P134" i="69"/>
  <c r="Q134" i="69"/>
  <c r="R13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S94" i="69"/>
  <c r="R86" i="69"/>
  <c r="Q86" i="69"/>
  <c r="P86" i="69"/>
  <c r="S134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R78" i="69"/>
  <c r="S70" i="69"/>
  <c r="S78" i="69"/>
  <c r="S58" i="69"/>
  <c r="Q82" i="69"/>
  <c r="Q74" i="69"/>
  <c r="Q50" i="69"/>
  <c r="P74" i="69"/>
  <c r="R66" i="69"/>
  <c r="Q70" i="69"/>
  <c r="P66" i="69"/>
  <c r="R82" i="69"/>
  <c r="P62" i="69"/>
  <c r="S62" i="69"/>
  <c r="Q58" i="69"/>
  <c r="R74" i="69"/>
  <c r="S66" i="69"/>
  <c r="Q54" i="69"/>
  <c r="P50" i="69"/>
  <c r="R62" i="69"/>
  <c r="R70" i="69"/>
  <c r="R58" i="69"/>
  <c r="P70" i="69"/>
  <c r="R54" i="69"/>
  <c r="S74" i="69"/>
  <c r="Q66" i="69"/>
  <c r="P54" i="69"/>
  <c r="S82" i="69"/>
  <c r="S86" i="69"/>
  <c r="S54" i="69"/>
  <c r="Q78" i="69"/>
  <c r="P58" i="69"/>
  <c r="P78" i="69"/>
  <c r="P82" i="69"/>
  <c r="Q62" i="69"/>
  <c r="R50" i="69"/>
  <c r="P90" i="69"/>
  <c r="Q90" i="69"/>
  <c r="R90" i="69"/>
  <c r="T90" i="69"/>
  <c r="N50" i="69"/>
  <c r="S50" i="69"/>
  <c r="S9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S20" i="69"/>
  <c r="Q32" i="69"/>
  <c r="S40" i="69"/>
  <c r="Q12" i="69"/>
  <c r="Q36" i="69"/>
  <c r="P4" i="69"/>
  <c r="S32" i="69"/>
  <c r="P16" i="69"/>
  <c r="P24" i="69"/>
  <c r="S8" i="69"/>
  <c r="Q4" i="69"/>
  <c r="Q20" i="69"/>
  <c r="R8" i="69"/>
  <c r="S16" i="69"/>
  <c r="R24" i="69"/>
  <c r="P20" i="69"/>
  <c r="P36" i="69"/>
  <c r="S4" i="69"/>
  <c r="P40" i="69"/>
  <c r="S28" i="69"/>
  <c r="R32" i="69"/>
  <c r="Q40" i="69"/>
  <c r="R12" i="69"/>
  <c r="P28" i="69"/>
  <c r="Q24" i="69"/>
  <c r="R28" i="69"/>
  <c r="Q16" i="69"/>
  <c r="R16" i="69"/>
  <c r="P8" i="69"/>
  <c r="S24" i="69"/>
  <c r="P12" i="69"/>
  <c r="Q8" i="69"/>
  <c r="R36" i="69"/>
  <c r="P32" i="69"/>
  <c r="R4" i="69"/>
  <c r="Q28" i="69"/>
  <c r="S12" i="69"/>
  <c r="R20" i="69"/>
  <c r="S36" i="69"/>
  <c r="R40" i="69"/>
  <c r="T44" i="69"/>
  <c r="R44" i="69"/>
  <c r="Q44" i="69"/>
  <c r="P44" i="69"/>
  <c r="S44" i="69"/>
</calcChain>
</file>

<file path=xl/sharedStrings.xml><?xml version="1.0" encoding="utf-8"?>
<sst xmlns="http://schemas.openxmlformats.org/spreadsheetml/2006/main" count="1336" uniqueCount="181">
  <si>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</si>
  <si>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</si>
  <si>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</si>
  <si>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</si>
  <si>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</si>
  <si>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</si>
  <si>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</si>
  <si>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</si>
  <si>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</si>
  <si>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</si>
  <si>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</si>
  <si>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</si>
  <si>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</si>
  <si>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</si>
  <si>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</si>
  <si>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</si>
  <si>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</si>
  <si>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</si>
  <si>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</si>
  <si>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</si>
  <si>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</si>
  <si>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</si>
  <si>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</si>
  <si>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</si>
  <si>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</si>
  <si>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</si>
  <si>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</si>
  <si>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</si>
  <si>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</si>
  <si>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</si>
  <si>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</si>
  <si>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</si>
  <si>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</si>
  <si>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</si>
  <si>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</si>
  <si>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</si>
  <si>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</si>
  <si>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</si>
  <si>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</si>
  <si>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</si>
  <si>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</si>
  <si>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</si>
  <si>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</si>
  <si>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</si>
  <si>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</si>
  <si>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</si>
  <si>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</si>
  <si>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</si>
  <si>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</si>
  <si>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</si>
  <si>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</si>
  <si>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</si>
  <si>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</si>
  <si>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</si>
  <si>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</si>
  <si>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</si>
  <si>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</si>
  <si>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</si>
  <si>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</si>
  <si>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</si>
  <si>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</si>
  <si>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</si>
  <si>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</si>
  <si>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</si>
  <si>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</si>
  <si>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</si>
  <si>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</si>
  <si>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>Class F</t>
    <phoneticPr fontId="5" type="noConversion"/>
  </si>
  <si>
    <t>SCC</t>
    <phoneticPr fontId="5" type="noConversion"/>
  </si>
  <si>
    <t>Class F</t>
    <phoneticPr fontId="5" type="noConversion"/>
  </si>
  <si>
    <t>SCC</t>
    <phoneticPr fontId="5" type="noConversion"/>
  </si>
  <si>
    <t>Class F</t>
    <phoneticPr fontId="5" type="noConversion"/>
  </si>
  <si>
    <t>SCC</t>
    <phoneticPr fontId="5" type="noConversion"/>
  </si>
  <si>
    <t>BasketballDrillText_832x480_50</t>
  </si>
  <si>
    <t>ChinaSpeed_1024x768_30</t>
  </si>
  <si>
    <t>SlideEditing_1280x720_30</t>
  </si>
  <si>
    <t>SlideShow_1280x720_20</t>
  </si>
  <si>
    <t>mobilephone_480x360_30_move_big</t>
  </si>
  <si>
    <t>mobilephone_480x360_30_move_normal</t>
  </si>
  <si>
    <t>m_m_640x480_30</t>
  </si>
  <si>
    <t>m_m2_640x480_30</t>
  </si>
  <si>
    <t>mobile_640x360_25</t>
  </si>
  <si>
    <t>talk_chen_room_640x360_25</t>
  </si>
  <si>
    <t>moblie_832x480_25</t>
  </si>
  <si>
    <t>game_pic_1280x720_20fps</t>
  </si>
  <si>
    <t>girlgame00_1280x720_20</t>
  </si>
  <si>
    <t>sanguo_1280x720_20</t>
  </si>
  <si>
    <t>sc_robot_1280x720_30_8bit_300_420</t>
  </si>
  <si>
    <t>BigShips_1280x720_60</t>
  </si>
  <si>
    <t>Crew_1280x720_60</t>
  </si>
  <si>
    <t>noscr_zodiac_1280x720_24</t>
  </si>
  <si>
    <t>afd_1920x1080_24</t>
  </si>
  <si>
    <t>Honeymoon_1920x1080_24</t>
  </si>
  <si>
    <t>madagascar_b_1920x1080_24</t>
  </si>
  <si>
    <t xml:space="preserve">x264 slow threads 1 </t>
  </si>
  <si>
    <t xml:space="preserve">x265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</si>
  <si>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</si>
  <si>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</si>
  <si>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</si>
  <si>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Others</t>
  </si>
  <si>
    <t>Others</t>
    <phoneticPr fontId="5" type="noConversion"/>
  </si>
  <si>
    <t>Class F</t>
  </si>
  <si>
    <t>Average</t>
  </si>
  <si>
    <t>iPer = framerate * 10</t>
  </si>
  <si>
    <t>15 fps</t>
    <phoneticPr fontId="5" type="noConversion"/>
  </si>
  <si>
    <t>zhuzheng_640x480_15</t>
  </si>
  <si>
    <t>snow_640x480_15</t>
  </si>
  <si>
    <t>kingSoftOffice_720x480_15</t>
  </si>
  <si>
    <t>meeting_720x480_15</t>
  </si>
  <si>
    <t>xianguoStatic_640x480_15</t>
  </si>
  <si>
    <t>Guangchangwu2_1280x720_15</t>
  </si>
  <si>
    <t>fruits_720x480_15</t>
  </si>
  <si>
    <t>child_720x480_15</t>
  </si>
  <si>
    <t>BabyWalk_1280x720_15</t>
  </si>
  <si>
    <t>Guangchangwu1_1280x720_15</t>
  </si>
  <si>
    <t>Reading_1280x720_15</t>
  </si>
  <si>
    <t>Working_1280x720_15</t>
  </si>
  <si>
    <t>30 fps</t>
  </si>
  <si>
    <t>zhuzheng_640x480_30</t>
  </si>
  <si>
    <t>snow_640x480_30</t>
  </si>
  <si>
    <t>kingSoftOffice_720x480_30</t>
  </si>
  <si>
    <t>meeting_720x480_30</t>
  </si>
  <si>
    <t>xianguoStatic_640x480_30</t>
  </si>
  <si>
    <t>Guangchangwu2_1280x720_30</t>
  </si>
  <si>
    <t>fruits_720x480_30</t>
  </si>
  <si>
    <t>child_720x480_30</t>
  </si>
  <si>
    <t>BabyWalk_1280x720_30</t>
  </si>
  <si>
    <t>Guangchangwu1_1280x720_30</t>
  </si>
  <si>
    <t>Reading_1280x720_30</t>
  </si>
  <si>
    <t>Working_1280x720_30</t>
  </si>
  <si>
    <t xml:space="preserve">x265 slow threads 4 </t>
  </si>
  <si>
    <t xml:space="preserve">x265 ultrafast threads 4 </t>
  </si>
  <si>
    <t xml:space="preserve">x264 slow threads 4 </t>
  </si>
  <si>
    <t xml:space="preserve">x264 veryfast threads 4 </t>
  </si>
  <si>
    <t>15 fps</t>
  </si>
  <si>
    <t xml:space="preserve">x264 placebo threads 4 </t>
  </si>
  <si>
    <t xml:space="preserve">q265 veryfast v2.2.0 threads 1 </t>
  </si>
  <si>
    <t xml:space="preserve">q265 veryfast v2.2.0 threads 4 </t>
  </si>
  <si>
    <t xml:space="preserve">q265 slow v2.2.0 threads 1 </t>
  </si>
  <si>
    <t xml:space="preserve">q265 slow v2.2.0 threads 4 </t>
  </si>
  <si>
    <t xml:space="preserve">q265 veryslow v2.2.0 threads 4 </t>
  </si>
  <si>
    <t>KSC265vsX264_offline_veryfast</t>
    <phoneticPr fontId="5" type="noConversion"/>
  </si>
  <si>
    <t>KSC265vsX264_offline_slow</t>
    <phoneticPr fontId="5" type="noConversion"/>
  </si>
  <si>
    <t>KSC265vsX264_offline_placebo</t>
    <phoneticPr fontId="5" type="noConversion"/>
  </si>
  <si>
    <t>极致压缩</t>
    <phoneticPr fontId="5" type="noConversion"/>
  </si>
  <si>
    <t>同质量文件大小</t>
    <phoneticPr fontId="5" type="noConversion"/>
  </si>
  <si>
    <t>速度提升</t>
    <phoneticPr fontId="5" type="noConversion"/>
  </si>
  <si>
    <t>视频分类</t>
    <phoneticPr fontId="5" type="noConversion"/>
  </si>
  <si>
    <t>平均</t>
    <phoneticPr fontId="5" type="noConversion"/>
  </si>
  <si>
    <t>平均</t>
    <phoneticPr fontId="5" type="noConversion"/>
  </si>
  <si>
    <t>平均</t>
    <phoneticPr fontId="5" type="noConversion"/>
  </si>
  <si>
    <t>视频分类</t>
    <phoneticPr fontId="5" type="noConversion"/>
  </si>
  <si>
    <t>视频分类</t>
    <phoneticPr fontId="5" type="noConversion"/>
  </si>
  <si>
    <t>Class A</t>
    <phoneticPr fontId="5" type="noConversion"/>
  </si>
  <si>
    <t>KSC265vsX265_offline_slow</t>
    <phoneticPr fontId="5" type="noConversion"/>
  </si>
  <si>
    <t>KSC265vsX265_offline_placebo</t>
    <phoneticPr fontId="5" type="noConversion"/>
  </si>
  <si>
    <t>云直播</t>
    <phoneticPr fontId="5" type="noConversion"/>
  </si>
  <si>
    <t>云转码</t>
    <phoneticPr fontId="5" type="noConversion"/>
  </si>
  <si>
    <t>KSC265vsX265_offline_ultrafast</t>
  </si>
  <si>
    <t>[keyint] = framerate * 10</t>
    <phoneticPr fontId="5" type="noConversion"/>
  </si>
  <si>
    <t>[iPer] = framerate * 10</t>
    <phoneticPr fontId="5" type="noConversion"/>
  </si>
  <si>
    <t>本测试为x265v1.9版本与QY265v2.2.0版本离线编码对比测试，测试设备为台式机（Win7操作系统，i5-4670四核CPU，8G内存），placebo档次、满线程模式编码</t>
    <phoneticPr fontId="5" type="noConversion"/>
  </si>
  <si>
    <t>本测试为x265v1.9版本与QY265v2.2.0版本离线编码对比测试，测试设备为台式机（Win7操作系统，i5-4670四核CPU，8G内存），slow档次、满线程模式编码</t>
    <phoneticPr fontId="5" type="noConversion"/>
  </si>
  <si>
    <t>本测试为x265v1.9版本与QY265v2.2.0版本离线编码对比测试，测试设备为台式机（Win7操作系统，i5-4670四核CPU，8G内存），slow档次、单线程模式编码</t>
    <phoneticPr fontId="5" type="noConversion"/>
  </si>
  <si>
    <t>本测试为x265v1.9版本与QY265v2.2.0版本离线编码对比测试，测试设备为台式机（Win7操作系统，i5-4670四核CPU，8G内存），ultrafast档次、单线程模式编码</t>
    <phoneticPr fontId="5" type="noConversion"/>
  </si>
  <si>
    <t>本测试为x265v1.9版本与QY265v2.2.0版本离线编码对比测试，测试设备为台式机（Win7操作系统，i5-4670四核CPU，8G内存）、ultrafast档次、满线程模式编码</t>
    <phoneticPr fontId="5" type="noConversion"/>
  </si>
  <si>
    <t>本测试为X264与QY265v2.2.0版本离线编码对比测试，测试设备为台式机（Win7操作系统，i5-4670四核CPU，8G内存），placebo档次、满线程模式编码</t>
    <phoneticPr fontId="5" type="noConversion"/>
  </si>
  <si>
    <t>本测试为X264与QY265v2.2.0版本离线编码对比测试，测试设备为台式机（Win7操作系统，i5-4670四核CPU，8G内存），veryfast档次、单线程模式编码</t>
    <phoneticPr fontId="5" type="noConversion"/>
  </si>
  <si>
    <t>本测试为X264与QY265v2.2.0版本离线编码对比测试，测试设备为台式机（Win7操作系统，i5-4670四核CPU，8G内存），slow档次、单线程模式编码</t>
    <phoneticPr fontId="5" type="noConversion"/>
  </si>
  <si>
    <t>本测试为X264与QY265v2.2.0版本离线编码对比测试，测试设备为台式机（Win7操作系统，i5-4670四核CPU，8G内存），veryfast档次、满线程模式编码</t>
    <phoneticPr fontId="5" type="noConversion"/>
  </si>
  <si>
    <t>本测试为X264与QY265v2.2.0版本离线编码对比测试，测试设备为台式机（Win7操作系统，i5-4670四核CPU，8G内存），slow档次、满线程模式编码</t>
    <phoneticPr fontId="5" type="noConversion"/>
  </si>
  <si>
    <t xml:space="preserve">x265 placebo threads 4 </t>
    <phoneticPr fontId="5" type="noConversion"/>
  </si>
  <si>
    <t>x265.exe -o out.265 --input /home/qytest/yuvfiles/BQSquare_416x240_60.yuv --input-res 416x240 --preset ultrafast --fps [framerate] --aq-mode 0 --no-psy-rd --no-psy-rdoq --psnr  --bitrate [number]  --keyint [keyint] --frames 1000000</t>
    <phoneticPr fontId="5" type="noConversion"/>
  </si>
  <si>
    <t>AppEncoder_x64.exe -b out.265 -i /home/qytest/yuvfiles/BQSquare_416x240_60.yuv -preset veryfast -tune offline -psnr 2 -rc 1 -br [number] -frms 1000000 -iper [iPer]</t>
    <phoneticPr fontId="5" type="noConversion"/>
  </si>
  <si>
    <t>AppEncoder_x64.exe -b out.265 -i /home/qytest/yuvfiles/BQSquare_416x240_60.yuv -preset slow -tune offline -psnr 2 -rc 1 -br [number] -frms 1000000 -iper [iPer]</t>
    <phoneticPr fontId="5" type="noConversion"/>
  </si>
  <si>
    <t>AppEncoder_x64.exe -b out.265 -i /home/qytest/yuvfiles/BQSquare_416x240_60.yuv -preset veryslow -tune offline -psnr 2 -rc 1 -br [number] -frms 1000000 -iper [iPer]</t>
    <phoneticPr fontId="5" type="noConversion"/>
  </si>
  <si>
    <t>x265.exe -o out.265 --input /home/qytest/yuvfiles/BQSquare_416x240_60.yuv --input-res 416x240 --preset slow --fps [framerate] --aq-mode 0 --no-psy-rd --no-psy-rdoq --psnr  --bitrate [number]  --keyint [keyint] --frames 1000000</t>
    <phoneticPr fontId="5" type="noConversion"/>
  </si>
  <si>
    <t>x265.exe -o out.265 --input /home/qytest/yuvfiles/BQSquare_416x240_60.yuv --input-res 416x240 --preset placebo --fps [framerate] --aq-mode 0 --no-psy-rd --no-psy-rdoq --psnr  --bitrate [number]  --keyint [keyint] --frames 1000000</t>
    <phoneticPr fontId="5" type="noConversion"/>
  </si>
  <si>
    <t>x264.exe -o out.264 /home/qytest/yuvfiles/BQSquare_416x240_60.yuv --input-res 416x240 --preset placebo --fps [framerate] --profile high --aq-mode 0 --no-psy  --psnr  --bitrate [number]  --keyint [keyint] --frames 1000000</t>
    <phoneticPr fontId="5" type="noConversion"/>
  </si>
  <si>
    <t>x264.exe -o out.264 /home/qytest/yuvfiles/BQSquare_416x240_60.yuv --input-res 416x240 --preset slow --fps [framerate] --profile high --aq-mode 0 --no-psy  --psnr  --bitrate [number]  --keyint [keyint] --frames 1000000</t>
    <phoneticPr fontId="5" type="noConversion"/>
  </si>
  <si>
    <t>x264.exe -o out.264 /home/qytest/yuvfiles/BQSquare_416x240_60.yuv --input-res 416x240 --preset veryfast --fps [framerate] --profile high --aq-mode 0 --no-psy  --psnr  --bitrate [number]  --keyint [keyint] --frames 1000000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</si>
</sst>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80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0" fontId="0" fillId="0" borderId="3" xfId="0" applyBorder="1"/>
    <xf numFmtId="0" fontId="0" fillId="0" borderId="6" xfId="0" applyBorder="1"/>
    <xf numFmtId="177" fontId="2" fillId="0" borderId="6" xfId="0" applyNumberFormat="1" applyFont="1" applyBorder="1" applyAlignment="1">
      <alignment horizontal="center"/>
    </xf>
    <xf numFmtId="177" fontId="0" fillId="0" borderId="6" xfId="0" applyNumberFormat="1" applyBorder="1"/>
    <xf numFmtId="0" fontId="0" fillId="0" borderId="9" xfId="0" applyBorder="1"/>
    <xf numFmtId="177" fontId="2" fillId="0" borderId="9" xfId="0" applyNumberFormat="1" applyFont="1" applyBorder="1" applyAlignment="1">
      <alignment horizontal="center"/>
    </xf>
    <xf numFmtId="177" fontId="0" fillId="0" borderId="9" xfId="0" applyNumberFormat="1" applyBorder="1"/>
    <xf numFmtId="0" fontId="9" fillId="0" borderId="25" xfId="0" applyFont="1" applyBorder="1"/>
    <xf numFmtId="0" fontId="9" fillId="0" borderId="3" xfId="0" applyFont="1" applyBorder="1"/>
    <xf numFmtId="0" fontId="9" fillId="0" borderId="25" xfId="0" applyFont="1" applyBorder="1" applyAlignment="1">
      <alignment horizontal="center"/>
    </xf>
    <xf numFmtId="0" fontId="0" fillId="0" borderId="7" xfId="0" applyBorder="1"/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5" xfId="0" applyBorder="1" applyAlignment="1"/>
    <xf numFmtId="0" fontId="0" fillId="0" borderId="26" xfId="0" applyBorder="1" applyAlignment="1"/>
    <xf numFmtId="0" fontId="0" fillId="0" borderId="4" xfId="0" applyBorder="1"/>
    <xf numFmtId="177" fontId="2" fillId="0" borderId="5" xfId="0" applyNumberFormat="1" applyFont="1" applyBorder="1" applyAlignment="1">
      <alignment horizontal="center"/>
    </xf>
    <xf numFmtId="177" fontId="0" fillId="0" borderId="26" xfId="0" applyNumberForma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1298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9" t="s">
        <v>23</v>
      </c>
      <c r="C2" s="60"/>
      <c r="D2" s="60"/>
      <c r="E2" s="60"/>
      <c r="F2" s="60"/>
      <c r="G2" s="60"/>
      <c r="H2" s="5"/>
      <c r="I2" s="59" t="s">
        <v>24</v>
      </c>
      <c r="J2" s="60"/>
      <c r="K2" s="60"/>
      <c r="L2" s="60"/>
      <c r="M2" s="60"/>
      <c r="N2" s="60"/>
      <c r="P2" s="59" t="s">
        <v>7</v>
      </c>
      <c r="Q2" s="60"/>
      <c r="R2" s="61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9" t="s">
        <v>24</v>
      </c>
      <c r="C48" s="60"/>
      <c r="D48" s="60"/>
      <c r="E48" s="60"/>
      <c r="F48" s="60"/>
      <c r="G48" s="60"/>
      <c r="H48" s="5"/>
      <c r="I48" s="59" t="s">
        <v>26</v>
      </c>
      <c r="J48" s="60"/>
      <c r="K48" s="60"/>
      <c r="L48" s="60"/>
      <c r="M48" s="60"/>
      <c r="N48" s="60"/>
      <c r="P48" s="59" t="s">
        <v>7</v>
      </c>
      <c r="Q48" s="60"/>
      <c r="R48" s="61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9" t="s">
        <v>24</v>
      </c>
      <c r="C92" s="60"/>
      <c r="D92" s="60"/>
      <c r="E92" s="60"/>
      <c r="F92" s="60"/>
      <c r="G92" s="60"/>
      <c r="H92" s="5"/>
      <c r="I92" s="59" t="s">
        <v>27</v>
      </c>
      <c r="J92" s="60"/>
      <c r="K92" s="60"/>
      <c r="L92" s="60"/>
      <c r="M92" s="60"/>
      <c r="N92" s="60"/>
      <c r="P92" s="59" t="s">
        <v>7</v>
      </c>
      <c r="Q92" s="60"/>
      <c r="R92" s="61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9" t="s">
        <v>24</v>
      </c>
      <c r="C136" s="60"/>
      <c r="D136" s="60"/>
      <c r="E136" s="60"/>
      <c r="F136" s="60"/>
      <c r="G136" s="60"/>
      <c r="H136" s="5"/>
      <c r="I136" s="59" t="s">
        <v>28</v>
      </c>
      <c r="J136" s="60"/>
      <c r="K136" s="60"/>
      <c r="L136" s="60"/>
      <c r="M136" s="60"/>
      <c r="N136" s="60"/>
      <c r="P136" s="59" t="s">
        <v>7</v>
      </c>
      <c r="Q136" s="60"/>
      <c r="R136" s="61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1297" priority="21" operator="greaterThan">
      <formula>0.03</formula>
    </cfRule>
    <cfRule type="cellIs" dxfId="1296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3"/>
  <sheetViews>
    <sheetView zoomScale="85" zoomScaleNormal="85" workbookViewId="0">
      <selection activeCell="P7" sqref="P7"/>
    </sheetView>
  </sheetViews>
  <sheetFormatPr defaultRowHeight="15.75" x14ac:dyDescent="0.25"/>
  <cols>
    <col min="1" max="1" width="9.25" customWidth="1"/>
    <col min="2" max="2" width="8.625" bestFit="1" customWidth="1"/>
    <col min="3" max="3" width="10.25" hidden="1" customWidth="1"/>
    <col min="4" max="4" width="10.625" hidden="1" customWidth="1"/>
    <col min="5" max="5" width="10.375" hidden="1" customWidth="1"/>
    <col min="6" max="6" width="17.125" customWidth="1"/>
    <col min="7" max="7" width="9.625" bestFit="1" customWidth="1"/>
    <col min="8" max="8" width="8.625" hidden="1" customWidth="1"/>
    <col min="9" max="10" width="10.625" hidden="1" customWidth="1"/>
    <col min="11" max="11" width="10.375" hidden="1" customWidth="1"/>
    <col min="12" max="12" width="17.5" customWidth="1"/>
    <col min="13" max="13" width="9.625" bestFit="1" customWidth="1"/>
  </cols>
  <sheetData>
    <row r="1" spans="1:13" ht="16.5" thickBot="1" x14ac:dyDescent="0.3">
      <c r="A1" s="62" t="s">
        <v>156</v>
      </c>
      <c r="C1" s="52"/>
      <c r="D1" s="52"/>
      <c r="E1" s="52"/>
      <c r="F1" s="51" t="s">
        <v>141</v>
      </c>
      <c r="G1" s="53"/>
      <c r="H1" s="54"/>
      <c r="I1" s="54"/>
      <c r="J1" s="54"/>
      <c r="K1" s="54"/>
      <c r="L1" s="54" t="s">
        <v>158</v>
      </c>
      <c r="M1" s="55"/>
    </row>
    <row r="2" spans="1:13" ht="16.5" thickBot="1" x14ac:dyDescent="0.3">
      <c r="A2" s="63"/>
      <c r="B2" s="48" t="s">
        <v>147</v>
      </c>
      <c r="C2" s="37" t="s">
        <v>96</v>
      </c>
      <c r="D2" s="37" t="s">
        <v>97</v>
      </c>
      <c r="E2" s="37" t="s">
        <v>98</v>
      </c>
      <c r="F2" s="49" t="s">
        <v>145</v>
      </c>
      <c r="G2" s="47" t="s">
        <v>146</v>
      </c>
      <c r="H2" s="47" t="s">
        <v>147</v>
      </c>
      <c r="I2" s="37" t="s">
        <v>96</v>
      </c>
      <c r="J2" s="37" t="s">
        <v>97</v>
      </c>
      <c r="K2" s="37" t="s">
        <v>98</v>
      </c>
      <c r="L2" s="49" t="s">
        <v>145</v>
      </c>
      <c r="M2" s="47" t="s">
        <v>146</v>
      </c>
    </row>
    <row r="3" spans="1:13" ht="16.5" thickBot="1" x14ac:dyDescent="0.3">
      <c r="A3" s="63"/>
      <c r="B3" s="40" t="s">
        <v>35</v>
      </c>
      <c r="C3" s="38">
        <f>AVERAGE(X264vsQY265_offline_veryfast!Q9:Q16)</f>
        <v>-0.42400063165227275</v>
      </c>
      <c r="D3" s="38">
        <f>AVERAGE(X264vsQY265_offline_veryfast!R9:R16)</f>
        <v>-0.39741594430728361</v>
      </c>
      <c r="E3" s="38">
        <f>AVERAGE(X264vsQY265_offline_veryfast!S9:S16)</f>
        <v>-0.4365983111979323</v>
      </c>
      <c r="F3" s="38">
        <f>AVERAGE(X264vsQY265_offline_veryfast!T9:T16)</f>
        <v>-0.42514800936027514</v>
      </c>
      <c r="G3" s="39">
        <f>AVERAGE(X264vsQY265_offline_veryfast!U9:U16)</f>
        <v>1.3258706962469216E-2</v>
      </c>
      <c r="H3" s="37" t="s">
        <v>35</v>
      </c>
      <c r="I3" s="38">
        <f>AVERAGE(X265vsQY265_offline_ultrafast!Q9:Q16)</f>
        <v>-0.16949656803030777</v>
      </c>
      <c r="J3" s="38">
        <f>AVERAGE(X265vsQY265_offline_ultrafast!R9:R16)</f>
        <v>-0.47293442358850296</v>
      </c>
      <c r="K3" s="38">
        <f>AVERAGE(X265vsQY265_offline_ultrafast!S9:S16)</f>
        <v>-0.48849777296204044</v>
      </c>
      <c r="L3" s="38">
        <f>AVERAGE(X265vsQY265_offline_ultrafast!T9:T16)</f>
        <v>-0.22460502197359755</v>
      </c>
      <c r="M3" s="39">
        <f>AVERAGE(X265vsQY265_offline_ultrafast!U9:U16)</f>
        <v>0.65356156173695279</v>
      </c>
    </row>
    <row r="4" spans="1:13" ht="16.5" thickBot="1" x14ac:dyDescent="0.3">
      <c r="A4" s="63"/>
      <c r="B4" s="40" t="s">
        <v>37</v>
      </c>
      <c r="C4" s="38">
        <f>AVERAGE(X264vsQY265_offline_veryfast!Q17:Q36)</f>
        <v>-0.55722942790730734</v>
      </c>
      <c r="D4" s="38">
        <f>AVERAGE(X264vsQY265_offline_veryfast!R17:R36)</f>
        <v>-0.5456007090988384</v>
      </c>
      <c r="E4" s="38">
        <f>AVERAGE(X264vsQY265_offline_veryfast!S17:S36)</f>
        <v>-0.55253878949039448</v>
      </c>
      <c r="F4" s="38">
        <f>AVERAGE(X264vsQY265_offline_veryfast!T17:T36)</f>
        <v>-0.55807173718265313</v>
      </c>
      <c r="G4" s="39">
        <f>AVERAGE(X264vsQY265_offline_veryfast!U17:U36)</f>
        <v>0.15073337638014422</v>
      </c>
      <c r="H4" s="37" t="s">
        <v>37</v>
      </c>
      <c r="I4" s="38">
        <f>AVERAGE(X265vsQY265_offline_ultrafast!Q17:Q36)</f>
        <v>-0.28081106691997171</v>
      </c>
      <c r="J4" s="38">
        <f>AVERAGE(X265vsQY265_offline_ultrafast!R17:R36)</f>
        <v>-0.46818187886424256</v>
      </c>
      <c r="K4" s="38">
        <f>AVERAGE(X265vsQY265_offline_ultrafast!S17:S36)</f>
        <v>-0.45527802903092829</v>
      </c>
      <c r="L4" s="38">
        <f>AVERAGE(X265vsQY265_offline_ultrafast!T17:T36)</f>
        <v>-0.31214670698178104</v>
      </c>
      <c r="M4" s="39">
        <f>AVERAGE(X265vsQY265_offline_ultrafast!U17:U36)</f>
        <v>0.84906037007324309</v>
      </c>
    </row>
    <row r="5" spans="1:13" ht="16.5" thickBot="1" x14ac:dyDescent="0.3">
      <c r="A5" s="63"/>
      <c r="B5" s="40" t="s">
        <v>39</v>
      </c>
      <c r="C5" s="38">
        <f>AVERAGE(X264vsQY265_offline_veryfast!Q37:Q52)</f>
        <v>-0.42501444071159566</v>
      </c>
      <c r="D5" s="38">
        <f>AVERAGE(X264vsQY265_offline_veryfast!R37:R52)</f>
        <v>-0.43759642296170453</v>
      </c>
      <c r="E5" s="38">
        <f>AVERAGE(X264vsQY265_offline_veryfast!S37:S52)</f>
        <v>-0.41439466013253479</v>
      </c>
      <c r="F5" s="38">
        <f>AVERAGE(X264vsQY265_offline_veryfast!T37:T52)</f>
        <v>-0.42873725945907215</v>
      </c>
      <c r="G5" s="39">
        <f>AVERAGE(X264vsQY265_offline_veryfast!U37:U52)</f>
        <v>-0.21301346402272819</v>
      </c>
      <c r="H5" s="37" t="s">
        <v>39</v>
      </c>
      <c r="I5" s="38">
        <f>AVERAGE(X265vsQY265_offline_ultrafast!Q37:Q52)</f>
        <v>-0.31945272193478547</v>
      </c>
      <c r="J5" s="38">
        <f>AVERAGE(X265vsQY265_offline_ultrafast!R37:R52)</f>
        <v>-0.40871324455140845</v>
      </c>
      <c r="K5" s="38">
        <f>AVERAGE(X265vsQY265_offline_ultrafast!S37:S52)</f>
        <v>-0.37611204395898262</v>
      </c>
      <c r="L5" s="38">
        <f>AVERAGE(X265vsQY265_offline_ultrafast!T37:T52)</f>
        <v>-0.33299339264163741</v>
      </c>
      <c r="M5" s="39">
        <f>AVERAGE(X265vsQY265_offline_ultrafast!U37:U52)</f>
        <v>0.63255779201966633</v>
      </c>
    </row>
    <row r="6" spans="1:13" ht="15.75" customHeight="1" thickBot="1" x14ac:dyDescent="0.3">
      <c r="A6" s="63"/>
      <c r="B6" s="40" t="s">
        <v>41</v>
      </c>
      <c r="C6" s="38">
        <f>AVERAGE(X264vsQY265_offline_veryfast!Q53:Q68)</f>
        <v>-0.39756049522058406</v>
      </c>
      <c r="D6" s="38">
        <f>AVERAGE(X264vsQY265_offline_veryfast!R53:R68)</f>
        <v>-0.51401588413039967</v>
      </c>
      <c r="E6" s="38">
        <f>AVERAGE(X264vsQY265_offline_veryfast!S53:S68)</f>
        <v>-0.50717368449149913</v>
      </c>
      <c r="F6" s="38">
        <f>AVERAGE(X264vsQY265_offline_veryfast!T53:T68)</f>
        <v>-0.41955265965570221</v>
      </c>
      <c r="G6" s="39">
        <f>AVERAGE(X264vsQY265_offline_veryfast!U53:U68)</f>
        <v>-0.31520434732877223</v>
      </c>
      <c r="H6" s="37" t="s">
        <v>41</v>
      </c>
      <c r="I6" s="38">
        <f>AVERAGE(X265vsQY265_offline_ultrafast!Q53:Q68)</f>
        <v>-0.37453540004941654</v>
      </c>
      <c r="J6" s="38">
        <f>AVERAGE(X265vsQY265_offline_ultrafast!R53:R68)</f>
        <v>-0.48081944930758597</v>
      </c>
      <c r="K6" s="38">
        <f>AVERAGE(X265vsQY265_offline_ultrafast!S53:S68)</f>
        <v>-0.46091203843705886</v>
      </c>
      <c r="L6" s="38">
        <f>AVERAGE(X265vsQY265_offline_ultrafast!T53:T68)</f>
        <v>-0.39320960164093488</v>
      </c>
      <c r="M6" s="39">
        <f>AVERAGE(X265vsQY265_offline_ultrafast!U53:U68)</f>
        <v>0.49755670645352468</v>
      </c>
    </row>
    <row r="7" spans="1:13" ht="16.5" thickBot="1" x14ac:dyDescent="0.3">
      <c r="A7" s="63"/>
      <c r="B7" s="40" t="s">
        <v>43</v>
      </c>
      <c r="C7" s="38">
        <f>AVERAGE(X264vsQY265_offline_veryfast!Q69:Q80)</f>
        <v>-0.50317807073857923</v>
      </c>
      <c r="D7" s="38">
        <f>AVERAGE(X264vsQY265_offline_veryfast!R69:R80)</f>
        <v>-0.59778183735886248</v>
      </c>
      <c r="E7" s="38">
        <f>AVERAGE(X264vsQY265_offline_veryfast!S69:S80)</f>
        <v>-0.60949880739361595</v>
      </c>
      <c r="F7" s="38">
        <f>AVERAGE(X264vsQY265_offline_veryfast!T69:T80)</f>
        <v>-0.52730256683003962</v>
      </c>
      <c r="G7" s="39">
        <f>AVERAGE(X264vsQY265_offline_veryfast!U69:U80)</f>
        <v>0.36725510907846742</v>
      </c>
      <c r="H7" s="37" t="s">
        <v>43</v>
      </c>
      <c r="I7" s="38">
        <f>AVERAGE(X265vsQY265_offline_ultrafast!Q69:Q80)</f>
        <v>-0.40848655301683623</v>
      </c>
      <c r="J7" s="38">
        <f>AVERAGE(X265vsQY265_offline_ultrafast!R69:R80)</f>
        <v>-0.47877475548623033</v>
      </c>
      <c r="K7" s="38">
        <f>AVERAGE(X265vsQY265_offline_ultrafast!S69:S80)</f>
        <v>-0.45763246242795336</v>
      </c>
      <c r="L7" s="38">
        <f>AVERAGE(X265vsQY265_offline_ultrafast!T69:T80)</f>
        <v>-0.42198468542507434</v>
      </c>
      <c r="M7" s="39">
        <f>AVERAGE(X265vsQY265_offline_ultrafast!U69:U80)</f>
        <v>0.95137415014143778</v>
      </c>
    </row>
    <row r="8" spans="1:13" ht="16.5" hidden="1" customHeight="1" thickBot="1" x14ac:dyDescent="0.3">
      <c r="A8" s="63"/>
      <c r="B8" s="40" t="s">
        <v>101</v>
      </c>
      <c r="C8" s="38">
        <f>AVERAGE(X264vsQY265_offline_veryfast!Q81:Q96)</f>
        <v>-0.24395413530553015</v>
      </c>
      <c r="D8" s="38">
        <f>AVERAGE(X264vsQY265_offline_veryfast!R81:R96)</f>
        <v>-0.28811325732319132</v>
      </c>
      <c r="E8" s="38">
        <f>AVERAGE(X264vsQY265_offline_veryfast!S81:S96)</f>
        <v>-0.27828288041454652</v>
      </c>
      <c r="F8" s="38">
        <f>AVERAGE(X264vsQY265_offline_veryfast!T81:T96)</f>
        <v>-0.25420194550133546</v>
      </c>
      <c r="G8" s="39">
        <f>AVERAGE(X264vsQY265_offline_veryfast!U81:U96)</f>
        <v>-0.14034137840983538</v>
      </c>
      <c r="H8" s="37" t="s">
        <v>101</v>
      </c>
      <c r="I8" s="38">
        <f>AVERAGE(X265vsQY265_offline_ultrafast!Q81:Q96)</f>
        <v>-0.3784671456268679</v>
      </c>
      <c r="J8" s="38">
        <f>AVERAGE(X265vsQY265_offline_ultrafast!R81:R96)</f>
        <v>-0.40166817753577572</v>
      </c>
      <c r="K8" s="38">
        <f>AVERAGE(X265vsQY265_offline_ultrafast!S81:S96)</f>
        <v>-0.38687893858023004</v>
      </c>
      <c r="L8" s="38">
        <f>AVERAGE(X265vsQY265_offline_ultrafast!T81:T96)</f>
        <v>-0.38301847788821375</v>
      </c>
      <c r="M8" s="39">
        <f>AVERAGE(X265vsQY265_offline_ultrafast!U81:U96)</f>
        <v>0.70723601203132613</v>
      </c>
    </row>
    <row r="9" spans="1:13" ht="15.75" hidden="1" customHeight="1" thickBot="1" x14ac:dyDescent="0.3">
      <c r="A9" s="63"/>
      <c r="B9" s="40" t="s">
        <v>134</v>
      </c>
      <c r="C9" s="38">
        <f>AVERAGE(X264vsQY265_offline_veryfast!Q97:Q144)</f>
        <v>-0.29872656136757292</v>
      </c>
      <c r="D9" s="38">
        <f>AVERAGE(X264vsQY265_offline_veryfast!R97:R144)</f>
        <v>-0.20284178117146687</v>
      </c>
      <c r="E9" s="38">
        <f>AVERAGE(X264vsQY265_offline_veryfast!S97:S144)</f>
        <v>-0.20465096636987168</v>
      </c>
      <c r="F9" s="38">
        <f>AVERAGE(X264vsQY265_offline_veryfast!T97:T144)</f>
        <v>-0.28535341386873458</v>
      </c>
      <c r="G9" s="39">
        <f>AVERAGE(X264vsQY265_offline_veryfast!U97:U144)</f>
        <v>-0.14339515863069191</v>
      </c>
      <c r="H9" s="37" t="s">
        <v>134</v>
      </c>
      <c r="I9" s="38">
        <f>AVERAGE(X265vsQY265_offline_ultrafast!Q97:Q144)</f>
        <v>-0.13168217333517573</v>
      </c>
      <c r="J9" s="38">
        <f>AVERAGE(X265vsQY265_offline_ultrafast!R97:R144)</f>
        <v>-7.6174543567041744E-2</v>
      </c>
      <c r="K9" s="38">
        <f>AVERAGE(X265vsQY265_offline_ultrafast!S97:S144)</f>
        <v>-6.2851935123109048E-2</v>
      </c>
      <c r="L9" s="38">
        <f>AVERAGE(X265vsQY265_offline_ultrafast!T97:T144)</f>
        <v>-0.12210397221708096</v>
      </c>
      <c r="M9" s="39">
        <f>AVERAGE(X265vsQY265_offline_ultrafast!U97:U144)</f>
        <v>0.72750302514314524</v>
      </c>
    </row>
    <row r="10" spans="1:13" ht="15.75" hidden="1" customHeight="1" thickBot="1" x14ac:dyDescent="0.3">
      <c r="A10" s="63"/>
      <c r="B10" s="40" t="s">
        <v>117</v>
      </c>
      <c r="C10" s="38">
        <f>AVERAGE(X264vsQY265_offline_veryfast!Q145:Q192)</f>
        <v>-0.40611372039476229</v>
      </c>
      <c r="D10" s="38">
        <f>AVERAGE(X264vsQY265_offline_veryfast!R145:R192)</f>
        <v>-0.2945238741681358</v>
      </c>
      <c r="E10" s="38">
        <f>AVERAGE(X264vsQY265_offline_veryfast!S145:S192)</f>
        <v>-0.28777698898092274</v>
      </c>
      <c r="F10" s="38">
        <f>AVERAGE(X264vsQY265_offline_veryfast!T145:T192)</f>
        <v>-0.39070978652186161</v>
      </c>
      <c r="G10" s="39">
        <f>AVERAGE(X264vsQY265_offline_veryfast!U145:U192)</f>
        <v>-3.6812777202853024E-2</v>
      </c>
      <c r="H10" s="37" t="s">
        <v>117</v>
      </c>
      <c r="I10" s="38">
        <f>AVERAGE(X265vsQY265_offline_ultrafast!Q145:Q192)</f>
        <v>-0.19058346569676521</v>
      </c>
      <c r="J10" s="38">
        <f>AVERAGE(X265vsQY265_offline_ultrafast!R145:R192)</f>
        <v>-0.16504609534873602</v>
      </c>
      <c r="K10" s="38">
        <f>AVERAGE(X265vsQY265_offline_ultrafast!S145:S192)</f>
        <v>-0.15992159895750044</v>
      </c>
      <c r="L10" s="38">
        <f>AVERAGE(X265vsQY265_offline_ultrafast!T145:T192)</f>
        <v>-0.18687624146554815</v>
      </c>
      <c r="M10" s="39">
        <f>AVERAGE(X265vsQY265_offline_ultrafast!U145:U192)</f>
        <v>0.75312792996694367</v>
      </c>
    </row>
    <row r="11" spans="1:13" ht="16.5" hidden="1" customHeight="1" thickBot="1" x14ac:dyDescent="0.3">
      <c r="A11" s="63"/>
      <c r="B11" s="40" t="s">
        <v>99</v>
      </c>
      <c r="C11" s="38">
        <f>AVERAGE(X264vsQY265_offline_veryfast!Q193:Q260)</f>
        <v>-0.4137013112804811</v>
      </c>
      <c r="D11" s="38">
        <f>AVERAGE(X264vsQY265_offline_veryfast!R193:R260)</f>
        <v>-0.38564574997859835</v>
      </c>
      <c r="E11" s="38">
        <f>AVERAGE(X264vsQY265_offline_veryfast!S193:S260)</f>
        <v>-0.3885334406448811</v>
      </c>
      <c r="F11" s="38">
        <f>AVERAGE(X264vsQY265_offline_veryfast!T193:T260)</f>
        <v>-0.41170075176383658</v>
      </c>
      <c r="G11" s="39">
        <f>AVERAGE(X264vsQY265_offline_veryfast!U193:U260)</f>
        <v>-4.7040964916818986E-2</v>
      </c>
      <c r="H11" s="37" t="s">
        <v>99</v>
      </c>
      <c r="I11" s="38">
        <f>AVERAGE(X265vsQY265_offline_ultrafast!Q193:Q260)</f>
        <v>-0.2719298014756566</v>
      </c>
      <c r="J11" s="38">
        <f>AVERAGE(X265vsQY265_offline_ultrafast!R193:R260)</f>
        <v>-0.29813330252568826</v>
      </c>
      <c r="K11" s="38">
        <f>AVERAGE(X265vsQY265_offline_ultrafast!S193:S260)</f>
        <v>-0.28583854863243241</v>
      </c>
      <c r="L11" s="38">
        <f>AVERAGE(X265vsQY265_offline_ultrafast!T193:T260)</f>
        <v>-0.27703750598049093</v>
      </c>
      <c r="M11" s="39">
        <f>AVERAGE(X265vsQY265_offline_ultrafast!U193:U260)</f>
        <v>0.82418046172028225</v>
      </c>
    </row>
    <row r="12" spans="1:13" ht="16.5" thickBot="1" x14ac:dyDescent="0.3">
      <c r="A12" s="64"/>
      <c r="B12" s="48" t="s">
        <v>148</v>
      </c>
      <c r="C12" s="38">
        <f>X264vsQY265_offline_veryfast!Q261</f>
        <v>-0.46855457548808549</v>
      </c>
      <c r="D12" s="38">
        <f>X264vsQY265_offline_veryfast!R261</f>
        <v>-0.50681278747520908</v>
      </c>
      <c r="E12" s="38">
        <f>X264vsQY265_offline_veryfast!S261</f>
        <v>-0.50837002058471226</v>
      </c>
      <c r="F12" s="38">
        <f>X264vsQY265_offline_veryfast!T261</f>
        <v>-0.47865122675461286</v>
      </c>
      <c r="G12" s="39">
        <f>X264vsQY265_offline_veryfast!U261</f>
        <v>-1.2828979019163344E-2</v>
      </c>
      <c r="H12" s="47" t="s">
        <v>148</v>
      </c>
      <c r="I12" s="38">
        <f>X265vsQY265_offline_ultrafast!Q261</f>
        <v>-0.31913670098043284</v>
      </c>
      <c r="J12" s="38">
        <f>X265vsQY265_offline_ultrafast!R261</f>
        <v>-0.46006851574404933</v>
      </c>
      <c r="K12" s="38">
        <f>X265vsQY265_offline_ultrafast!S261</f>
        <v>-0.44302107821926384</v>
      </c>
      <c r="L12" s="38">
        <f>X265vsQY265_offline_ultrafast!T261</f>
        <v>-0.34337275623675617</v>
      </c>
      <c r="M12" s="39">
        <f>X265vsQY265_offline_ultrafast!U261</f>
        <v>0.71816696767539956</v>
      </c>
    </row>
    <row r="13" spans="1:13" ht="16.5" hidden="1" customHeight="1" thickBot="1" x14ac:dyDescent="0.3">
      <c r="A13" s="50"/>
      <c r="B13" s="44" t="s">
        <v>35</v>
      </c>
      <c r="C13" s="45" t="e">
        <f>AVERAGE(X264vsQY265_offline_veryfast!#REF!)</f>
        <v>#REF!</v>
      </c>
      <c r="D13" s="45" t="e">
        <f>AVERAGE(X264vsQY265_offline_veryfast!#REF!)</f>
        <v>#REF!</v>
      </c>
      <c r="E13" s="45" t="e">
        <f>AVERAGE(X264vsQY265_offline_veryfast!#REF!)</f>
        <v>#REF!</v>
      </c>
      <c r="F13" s="45" t="e">
        <f>AVERAGE(X264vsQY265_offline_veryfast!#REF!)</f>
        <v>#REF!</v>
      </c>
      <c r="G13" s="46" t="e">
        <f>AVERAGE(X264vsQY265_offline_veryfast!#REF!)</f>
        <v>#REF!</v>
      </c>
      <c r="H13" s="44" t="s">
        <v>35</v>
      </c>
      <c r="I13" s="45" t="e">
        <f>AVERAGE(X265vsQY265_offline_ultrafast!#REF!)</f>
        <v>#REF!</v>
      </c>
      <c r="J13" s="45" t="e">
        <f>AVERAGE(X265vsQY265_offline_ultrafast!#REF!)</f>
        <v>#REF!</v>
      </c>
      <c r="K13" s="45" t="e">
        <f>AVERAGE(X265vsQY265_offline_ultrafast!#REF!)</f>
        <v>#REF!</v>
      </c>
      <c r="L13" s="45" t="e">
        <f>AVERAGE(X265vsQY265_offline_ultrafast!#REF!)</f>
        <v>#REF!</v>
      </c>
      <c r="M13" s="46" t="e">
        <f>AVERAGE(X265vsQY265_offline_ultrafast!#REF!)</f>
        <v>#REF!</v>
      </c>
    </row>
    <row r="14" spans="1:13" ht="16.5" hidden="1" customHeight="1" thickBot="1" x14ac:dyDescent="0.3">
      <c r="A14" s="50"/>
      <c r="B14" s="37" t="s">
        <v>37</v>
      </c>
      <c r="C14" s="38" t="e">
        <f>AVERAGE(X264vsQY265_offline_veryfast!#REF!)</f>
        <v>#REF!</v>
      </c>
      <c r="D14" s="38" t="e">
        <f>AVERAGE(X264vsQY265_offline_veryfast!#REF!)</f>
        <v>#REF!</v>
      </c>
      <c r="E14" s="38" t="e">
        <f>AVERAGE(X264vsQY265_offline_veryfast!#REF!)</f>
        <v>#REF!</v>
      </c>
      <c r="F14" s="38" t="e">
        <f>AVERAGE(X264vsQY265_offline_veryfast!#REF!)</f>
        <v>#REF!</v>
      </c>
      <c r="G14" s="39" t="e">
        <f>AVERAGE(X264vsQY265_offline_veryfast!#REF!)</f>
        <v>#REF!</v>
      </c>
      <c r="H14" s="37" t="s">
        <v>37</v>
      </c>
      <c r="I14" s="38" t="e">
        <f>AVERAGE(X265vsQY265_offline_ultrafast!#REF!)</f>
        <v>#REF!</v>
      </c>
      <c r="J14" s="38" t="e">
        <f>AVERAGE(X265vsQY265_offline_ultrafast!#REF!)</f>
        <v>#REF!</v>
      </c>
      <c r="K14" s="38" t="e">
        <f>AVERAGE(X265vsQY265_offline_ultrafast!#REF!)</f>
        <v>#REF!</v>
      </c>
      <c r="L14" s="38" t="e">
        <f>AVERAGE(X265vsQY265_offline_ultrafast!#REF!)</f>
        <v>#REF!</v>
      </c>
      <c r="M14" s="39" t="e">
        <f>AVERAGE(X265vsQY265_offline_ultrafast!#REF!)</f>
        <v>#REF!</v>
      </c>
    </row>
    <row r="15" spans="1:13" ht="16.5" hidden="1" customHeight="1" thickBot="1" x14ac:dyDescent="0.3">
      <c r="A15" s="50"/>
      <c r="B15" s="37" t="s">
        <v>39</v>
      </c>
      <c r="C15" s="38" t="e">
        <f>AVERAGE(X264vsQY265_offline_veryfast!#REF!)</f>
        <v>#REF!</v>
      </c>
      <c r="D15" s="38" t="e">
        <f>AVERAGE(X264vsQY265_offline_veryfast!#REF!)</f>
        <v>#REF!</v>
      </c>
      <c r="E15" s="38" t="e">
        <f>AVERAGE(X264vsQY265_offline_veryfast!#REF!)</f>
        <v>#REF!</v>
      </c>
      <c r="F15" s="38" t="e">
        <f>AVERAGE(X264vsQY265_offline_veryfast!#REF!)</f>
        <v>#REF!</v>
      </c>
      <c r="G15" s="39" t="e">
        <f>AVERAGE(X264vsQY265_offline_veryfast!#REF!)</f>
        <v>#REF!</v>
      </c>
      <c r="H15" s="37" t="s">
        <v>39</v>
      </c>
      <c r="I15" s="38" t="e">
        <f>AVERAGE(X265vsQY265_offline_ultrafast!#REF!)</f>
        <v>#REF!</v>
      </c>
      <c r="J15" s="38" t="e">
        <f>AVERAGE(X265vsQY265_offline_ultrafast!#REF!)</f>
        <v>#REF!</v>
      </c>
      <c r="K15" s="38" t="e">
        <f>AVERAGE(X265vsQY265_offline_ultrafast!#REF!)</f>
        <v>#REF!</v>
      </c>
      <c r="L15" s="38" t="e">
        <f>AVERAGE(X265vsQY265_offline_ultrafast!#REF!)</f>
        <v>#REF!</v>
      </c>
      <c r="M15" s="39" t="e">
        <f>AVERAGE(X265vsQY265_offline_ultrafast!#REF!)</f>
        <v>#REF!</v>
      </c>
    </row>
    <row r="16" spans="1:13" ht="15.75" hidden="1" customHeight="1" thickBot="1" x14ac:dyDescent="0.3">
      <c r="A16" s="50"/>
      <c r="B16" s="37" t="s">
        <v>41</v>
      </c>
      <c r="C16" s="38" t="e">
        <f>AVERAGE(X264vsQY265_offline_veryfast!#REF!)</f>
        <v>#REF!</v>
      </c>
      <c r="D16" s="38" t="e">
        <f>AVERAGE(X264vsQY265_offline_veryfast!#REF!)</f>
        <v>#REF!</v>
      </c>
      <c r="E16" s="38" t="e">
        <f>AVERAGE(X264vsQY265_offline_veryfast!#REF!)</f>
        <v>#REF!</v>
      </c>
      <c r="F16" s="38" t="e">
        <f>AVERAGE(X264vsQY265_offline_veryfast!#REF!)</f>
        <v>#REF!</v>
      </c>
      <c r="G16" s="39" t="e">
        <f>AVERAGE(X264vsQY265_offline_veryfast!#REF!)</f>
        <v>#REF!</v>
      </c>
      <c r="H16" s="37" t="s">
        <v>41</v>
      </c>
      <c r="I16" s="38" t="e">
        <f>AVERAGE(X265vsQY265_offline_ultrafast!#REF!)</f>
        <v>#REF!</v>
      </c>
      <c r="J16" s="38" t="e">
        <f>AVERAGE(X265vsQY265_offline_ultrafast!#REF!)</f>
        <v>#REF!</v>
      </c>
      <c r="K16" s="38" t="e">
        <f>AVERAGE(X265vsQY265_offline_ultrafast!#REF!)</f>
        <v>#REF!</v>
      </c>
      <c r="L16" s="38" t="e">
        <f>AVERAGE(X265vsQY265_offline_ultrafast!#REF!)</f>
        <v>#REF!</v>
      </c>
      <c r="M16" s="39" t="e">
        <f>AVERAGE(X265vsQY265_offline_ultrafast!#REF!)</f>
        <v>#REF!</v>
      </c>
    </row>
    <row r="17" spans="1:13" ht="16.5" hidden="1" customHeight="1" thickBot="1" x14ac:dyDescent="0.3">
      <c r="A17" s="50"/>
      <c r="B17" s="37" t="s">
        <v>43</v>
      </c>
      <c r="C17" s="38" t="e">
        <f>AVERAGE(X264vsQY265_offline_veryfast!#REF!)</f>
        <v>#REF!</v>
      </c>
      <c r="D17" s="38" t="e">
        <f>AVERAGE(X264vsQY265_offline_veryfast!#REF!)</f>
        <v>#REF!</v>
      </c>
      <c r="E17" s="38" t="e">
        <f>AVERAGE(X264vsQY265_offline_veryfast!#REF!)</f>
        <v>#REF!</v>
      </c>
      <c r="F17" s="38" t="e">
        <f>AVERAGE(X264vsQY265_offline_veryfast!#REF!)</f>
        <v>#REF!</v>
      </c>
      <c r="G17" s="39" t="e">
        <f>AVERAGE(X264vsQY265_offline_veryfast!#REF!)</f>
        <v>#REF!</v>
      </c>
      <c r="H17" s="37" t="s">
        <v>43</v>
      </c>
      <c r="I17" s="38" t="e">
        <f>AVERAGE(X265vsQY265_offline_ultrafast!#REF!)</f>
        <v>#REF!</v>
      </c>
      <c r="J17" s="38" t="e">
        <f>AVERAGE(X265vsQY265_offline_ultrafast!#REF!)</f>
        <v>#REF!</v>
      </c>
      <c r="K17" s="38" t="e">
        <f>AVERAGE(X265vsQY265_offline_ultrafast!#REF!)</f>
        <v>#REF!</v>
      </c>
      <c r="L17" s="38" t="e">
        <f>AVERAGE(X265vsQY265_offline_ultrafast!#REF!)</f>
        <v>#REF!</v>
      </c>
      <c r="M17" s="39" t="e">
        <f>AVERAGE(X265vsQY265_offline_ultrafast!#REF!)</f>
        <v>#REF!</v>
      </c>
    </row>
    <row r="18" spans="1:13" ht="16.5" hidden="1" customHeight="1" thickBot="1" x14ac:dyDescent="0.3">
      <c r="A18" s="50"/>
      <c r="B18" s="37" t="s">
        <v>101</v>
      </c>
      <c r="C18" s="38" t="e">
        <f>AVERAGE(X264vsQY265_offline_veryfast!#REF!)</f>
        <v>#REF!</v>
      </c>
      <c r="D18" s="38" t="e">
        <f>AVERAGE(X264vsQY265_offline_veryfast!#REF!)</f>
        <v>#REF!</v>
      </c>
      <c r="E18" s="38" t="e">
        <f>AVERAGE(X264vsQY265_offline_veryfast!#REF!)</f>
        <v>#REF!</v>
      </c>
      <c r="F18" s="38" t="e">
        <f>AVERAGE(X264vsQY265_offline_veryfast!#REF!)</f>
        <v>#REF!</v>
      </c>
      <c r="G18" s="39" t="e">
        <f>AVERAGE(X264vsQY265_offline_veryfast!#REF!)</f>
        <v>#REF!</v>
      </c>
      <c r="H18" s="37" t="s">
        <v>101</v>
      </c>
      <c r="I18" s="38" t="e">
        <f>AVERAGE(X265vsQY265_offline_ultrafast!#REF!)</f>
        <v>#REF!</v>
      </c>
      <c r="J18" s="38" t="e">
        <f>AVERAGE(X265vsQY265_offline_ultrafast!#REF!)</f>
        <v>#REF!</v>
      </c>
      <c r="K18" s="38" t="e">
        <f>AVERAGE(X265vsQY265_offline_ultrafast!#REF!)</f>
        <v>#REF!</v>
      </c>
      <c r="L18" s="38" t="e">
        <f>AVERAGE(X265vsQY265_offline_ultrafast!#REF!)</f>
        <v>#REF!</v>
      </c>
      <c r="M18" s="39" t="e">
        <f>AVERAGE(X265vsQY265_offline_ultrafast!#REF!)</f>
        <v>#REF!</v>
      </c>
    </row>
    <row r="19" spans="1:13" ht="15.75" hidden="1" customHeight="1" thickBot="1" x14ac:dyDescent="0.3">
      <c r="A19" s="50"/>
      <c r="B19" s="37" t="s">
        <v>134</v>
      </c>
      <c r="C19" s="38" t="e">
        <f>AVERAGE(X264vsQY265_offline_veryfast!#REF!)</f>
        <v>#REF!</v>
      </c>
      <c r="D19" s="38" t="e">
        <f>AVERAGE(X264vsQY265_offline_veryfast!#REF!)</f>
        <v>#REF!</v>
      </c>
      <c r="E19" s="38" t="e">
        <f>AVERAGE(X264vsQY265_offline_veryfast!#REF!)</f>
        <v>#REF!</v>
      </c>
      <c r="F19" s="38" t="e">
        <f>AVERAGE(X264vsQY265_offline_veryfast!#REF!)</f>
        <v>#REF!</v>
      </c>
      <c r="G19" s="39" t="e">
        <f>AVERAGE(X264vsQY265_offline_veryfast!#REF!)</f>
        <v>#REF!</v>
      </c>
      <c r="H19" s="37" t="s">
        <v>134</v>
      </c>
      <c r="I19" s="38" t="e">
        <f>AVERAGE(X265vsQY265_offline_ultrafast!#REF!)</f>
        <v>#REF!</v>
      </c>
      <c r="J19" s="38" t="e">
        <f>AVERAGE(X265vsQY265_offline_ultrafast!#REF!)</f>
        <v>#REF!</v>
      </c>
      <c r="K19" s="38" t="e">
        <f>AVERAGE(X265vsQY265_offline_ultrafast!#REF!)</f>
        <v>#REF!</v>
      </c>
      <c r="L19" s="38" t="e">
        <f>AVERAGE(X265vsQY265_offline_ultrafast!#REF!)</f>
        <v>#REF!</v>
      </c>
      <c r="M19" s="39" t="e">
        <f>AVERAGE(X265vsQY265_offline_ultrafast!#REF!)</f>
        <v>#REF!</v>
      </c>
    </row>
    <row r="20" spans="1:13" ht="15.75" hidden="1" customHeight="1" thickBot="1" x14ac:dyDescent="0.3">
      <c r="A20" s="50"/>
      <c r="B20" s="37" t="s">
        <v>117</v>
      </c>
      <c r="C20" s="38" t="e">
        <f>AVERAGE(X264vsQY265_offline_veryfast!#REF!)</f>
        <v>#REF!</v>
      </c>
      <c r="D20" s="38" t="e">
        <f>AVERAGE(X264vsQY265_offline_veryfast!#REF!)</f>
        <v>#REF!</v>
      </c>
      <c r="E20" s="38" t="e">
        <f>AVERAGE(X264vsQY265_offline_veryfast!#REF!)</f>
        <v>#REF!</v>
      </c>
      <c r="F20" s="38" t="e">
        <f>AVERAGE(X264vsQY265_offline_veryfast!#REF!)</f>
        <v>#REF!</v>
      </c>
      <c r="G20" s="39" t="e">
        <f>AVERAGE(X264vsQY265_offline_veryfast!#REF!)</f>
        <v>#REF!</v>
      </c>
      <c r="H20" s="37" t="s">
        <v>117</v>
      </c>
      <c r="I20" s="38" t="e">
        <f>AVERAGE(X265vsQY265_offline_ultrafast!#REF!)</f>
        <v>#REF!</v>
      </c>
      <c r="J20" s="38" t="e">
        <f>AVERAGE(X265vsQY265_offline_ultrafast!#REF!)</f>
        <v>#REF!</v>
      </c>
      <c r="K20" s="38" t="e">
        <f>AVERAGE(X265vsQY265_offline_ultrafast!#REF!)</f>
        <v>#REF!</v>
      </c>
      <c r="L20" s="38" t="e">
        <f>AVERAGE(X265vsQY265_offline_ultrafast!#REF!)</f>
        <v>#REF!</v>
      </c>
      <c r="M20" s="39" t="e">
        <f>AVERAGE(X265vsQY265_offline_ultrafast!#REF!)</f>
        <v>#REF!</v>
      </c>
    </row>
    <row r="21" spans="1:13" ht="16.5" hidden="1" customHeight="1" thickBot="1" x14ac:dyDescent="0.3">
      <c r="A21" s="50"/>
      <c r="B21" s="37" t="s">
        <v>99</v>
      </c>
      <c r="C21" s="38" t="e">
        <f>AVERAGE(X264vsQY265_offline_veryfast!#REF!)</f>
        <v>#REF!</v>
      </c>
      <c r="D21" s="38" t="e">
        <f>AVERAGE(X264vsQY265_offline_veryfast!#REF!)</f>
        <v>#REF!</v>
      </c>
      <c r="E21" s="38" t="e">
        <f>AVERAGE(X264vsQY265_offline_veryfast!#REF!)</f>
        <v>#REF!</v>
      </c>
      <c r="F21" s="38" t="e">
        <f>AVERAGE(X264vsQY265_offline_veryfast!#REF!)</f>
        <v>#REF!</v>
      </c>
      <c r="G21" s="39" t="e">
        <f>AVERAGE(X264vsQY265_offline_veryfast!#REF!)</f>
        <v>#REF!</v>
      </c>
      <c r="H21" s="37" t="s">
        <v>99</v>
      </c>
      <c r="I21" s="38" t="e">
        <f>AVERAGE(X265vsQY265_offline_ultrafast!#REF!)</f>
        <v>#REF!</v>
      </c>
      <c r="J21" s="38" t="e">
        <f>AVERAGE(X265vsQY265_offline_ultrafast!#REF!)</f>
        <v>#REF!</v>
      </c>
      <c r="K21" s="38" t="e">
        <f>AVERAGE(X265vsQY265_offline_ultrafast!#REF!)</f>
        <v>#REF!</v>
      </c>
      <c r="L21" s="38" t="e">
        <f>AVERAGE(X265vsQY265_offline_ultrafast!#REF!)</f>
        <v>#REF!</v>
      </c>
      <c r="M21" s="39" t="e">
        <f>AVERAGE(X265vsQY265_offline_ultrafast!#REF!)</f>
        <v>#REF!</v>
      </c>
    </row>
    <row r="22" spans="1:13" ht="16.5" hidden="1" customHeight="1" thickBot="1" x14ac:dyDescent="0.3">
      <c r="A22" s="50"/>
      <c r="B22" s="37" t="s">
        <v>102</v>
      </c>
      <c r="C22" s="38" t="e">
        <f>X264vsQY265_offline_veryfast!#REF!</f>
        <v>#REF!</v>
      </c>
      <c r="D22" s="38" t="e">
        <f>X264vsQY265_offline_veryfast!#REF!</f>
        <v>#REF!</v>
      </c>
      <c r="E22" s="38" t="e">
        <f>X264vsQY265_offline_veryfast!#REF!</f>
        <v>#REF!</v>
      </c>
      <c r="F22" s="38" t="e">
        <f>X264vsQY265_offline_veryfast!#REF!</f>
        <v>#REF!</v>
      </c>
      <c r="G22" s="39" t="e">
        <f>X264vsQY265_offline_veryfast!#REF!</f>
        <v>#REF!</v>
      </c>
      <c r="H22" s="37" t="s">
        <v>102</v>
      </c>
      <c r="I22" s="38" t="e">
        <f>X265vsQY265_offline_ultrafast!#REF!</f>
        <v>#REF!</v>
      </c>
      <c r="J22" s="38" t="e">
        <f>X265vsQY265_offline_ultrafast!#REF!</f>
        <v>#REF!</v>
      </c>
      <c r="K22" s="38" t="e">
        <f>X265vsQY265_offline_ultrafast!#REF!</f>
        <v>#REF!</v>
      </c>
      <c r="L22" s="38" t="e">
        <f>X265vsQY265_offline_ultrafast!#REF!</f>
        <v>#REF!</v>
      </c>
      <c r="M22" s="39" t="e">
        <f>X265vsQY265_offline_ultrafast!#REF!</f>
        <v>#REF!</v>
      </c>
    </row>
    <row r="23" spans="1:13" ht="16.5" hidden="1" customHeight="1" thickBot="1" x14ac:dyDescent="0.3">
      <c r="A23" s="50"/>
      <c r="B23" s="37" t="s">
        <v>35</v>
      </c>
      <c r="C23" s="38">
        <f>AVERAGE(X264vsQY265_offline_veryfast!Q268:Q275)</f>
        <v>-0.491961602604779</v>
      </c>
      <c r="D23" s="38">
        <f>AVERAGE(X264vsQY265_offline_veryfast!R268:R275)</f>
        <v>-0.4498197718432938</v>
      </c>
      <c r="E23" s="38">
        <f>AVERAGE(X264vsQY265_offline_veryfast!S268:S275)</f>
        <v>-0.47596761375465185</v>
      </c>
      <c r="F23" s="38">
        <f>AVERAGE(X264vsQY265_offline_veryfast!T268:T275)</f>
        <v>-0.48978420513169729</v>
      </c>
      <c r="G23" s="39">
        <f>AVERAGE(X264vsQY265_offline_veryfast!U268:U275)</f>
        <v>-6.9065653225437423E-2</v>
      </c>
      <c r="H23" s="37" t="s">
        <v>35</v>
      </c>
      <c r="I23" s="38">
        <f>AVERAGE(X265vsQY265_offline_ultrafast!Q267:Q274)</f>
        <v>-0.19521285501483832</v>
      </c>
      <c r="J23" s="38">
        <f>AVERAGE(X265vsQY265_offline_ultrafast!R267:R274)</f>
        <v>-0.47848840229646294</v>
      </c>
      <c r="K23" s="38">
        <f>AVERAGE(X265vsQY265_offline_ultrafast!S267:S274)</f>
        <v>-0.4865112746699628</v>
      </c>
      <c r="L23" s="38">
        <f>AVERAGE(X265vsQY265_offline_ultrafast!T267:T274)</f>
        <v>-0.24619968321092217</v>
      </c>
      <c r="M23" s="39">
        <f>AVERAGE(X265vsQY265_offline_ultrafast!U267:U274)</f>
        <v>0.5765879031500305</v>
      </c>
    </row>
    <row r="24" spans="1:13" ht="16.5" hidden="1" customHeight="1" thickBot="1" x14ac:dyDescent="0.3">
      <c r="A24" s="50"/>
      <c r="B24" s="37" t="s">
        <v>37</v>
      </c>
      <c r="C24" s="38">
        <f>AVERAGE(X264vsQY265_offline_veryfast!Q276:Q295)</f>
        <v>-0.55572769383330356</v>
      </c>
      <c r="D24" s="38">
        <f>AVERAGE(X264vsQY265_offline_veryfast!R276:R295)</f>
        <v>-0.53597560293113045</v>
      </c>
      <c r="E24" s="38">
        <f>AVERAGE(X264vsQY265_offline_veryfast!S276:S295)</f>
        <v>-0.54285426793122005</v>
      </c>
      <c r="F24" s="38">
        <f>AVERAGE(X264vsQY265_offline_veryfast!T276:T295)</f>
        <v>-0.55528159998152748</v>
      </c>
      <c r="G24" s="39">
        <f>AVERAGE(X264vsQY265_offline_veryfast!U276:U295)</f>
        <v>3.0373392079840418E-2</v>
      </c>
      <c r="H24" s="37" t="s">
        <v>37</v>
      </c>
      <c r="I24" s="38">
        <f>AVERAGE(X265vsQY265_offline_ultrafast!Q275:Q294)</f>
        <v>-0.29690819407507496</v>
      </c>
      <c r="J24" s="38">
        <f>AVERAGE(X265vsQY265_offline_ultrafast!R275:R294)</f>
        <v>-0.46884212132765307</v>
      </c>
      <c r="K24" s="38">
        <f>AVERAGE(X265vsQY265_offline_ultrafast!S275:S294)</f>
        <v>-0.45590548880468962</v>
      </c>
      <c r="L24" s="38">
        <f>AVERAGE(X265vsQY265_offline_ultrafast!T275:T294)</f>
        <v>-0.32536598346313367</v>
      </c>
      <c r="M24" s="39">
        <f>AVERAGE(X265vsQY265_offline_ultrafast!U275:U294)</f>
        <v>0.80193961590158014</v>
      </c>
    </row>
    <row r="25" spans="1:13" ht="16.5" hidden="1" customHeight="1" thickBot="1" x14ac:dyDescent="0.3">
      <c r="A25" s="50"/>
      <c r="B25" s="37" t="s">
        <v>39</v>
      </c>
      <c r="C25" s="38">
        <f>AVERAGE(X264vsQY265_offline_veryfast!Q296:Q311)</f>
        <v>-0.42041163186316416</v>
      </c>
      <c r="D25" s="38">
        <f>AVERAGE(X264vsQY265_offline_veryfast!R296:R311)</f>
        <v>-0.4212926527507953</v>
      </c>
      <c r="E25" s="38">
        <f>AVERAGE(X264vsQY265_offline_veryfast!S296:S311)</f>
        <v>-0.39671841371890521</v>
      </c>
      <c r="F25" s="38">
        <f>AVERAGE(X264vsQY265_offline_veryfast!T296:T311)</f>
        <v>-0.42243169181664797</v>
      </c>
      <c r="G25" s="39">
        <f>AVERAGE(X264vsQY265_offline_veryfast!U296:U311)</f>
        <v>-0.23538036761279166</v>
      </c>
      <c r="H25" s="37" t="s">
        <v>39</v>
      </c>
      <c r="I25" s="38">
        <f>AVERAGE(X265vsQY265_offline_ultrafast!Q295:Q310)</f>
        <v>-0.33102773418833559</v>
      </c>
      <c r="J25" s="38">
        <f>AVERAGE(X265vsQY265_offline_ultrafast!R295:R310)</f>
        <v>-0.41509587229081046</v>
      </c>
      <c r="K25" s="38">
        <f>AVERAGE(X265vsQY265_offline_ultrafast!S295:S310)</f>
        <v>-0.37799265415801714</v>
      </c>
      <c r="L25" s="38">
        <f>AVERAGE(X265vsQY265_offline_ultrafast!T295:T310)</f>
        <v>-0.34294811039153972</v>
      </c>
      <c r="M25" s="39">
        <f>AVERAGE(X265vsQY265_offline_ultrafast!U295:U310)</f>
        <v>0.49521256176036516</v>
      </c>
    </row>
    <row r="26" spans="1:13" ht="16.5" hidden="1" customHeight="1" thickBot="1" x14ac:dyDescent="0.3">
      <c r="A26" s="50"/>
      <c r="B26" s="37" t="s">
        <v>41</v>
      </c>
      <c r="C26" s="38">
        <f>AVERAGE(X264vsQY265_offline_veryfast!Q312:Q327)</f>
        <v>-0.38994140149100776</v>
      </c>
      <c r="D26" s="38">
        <f>AVERAGE(X264vsQY265_offline_veryfast!R312:R327)</f>
        <v>-0.50309791241905621</v>
      </c>
      <c r="E26" s="38">
        <f>AVERAGE(X264vsQY265_offline_veryfast!S312:S327)</f>
        <v>-0.50131378090699386</v>
      </c>
      <c r="F26" s="38">
        <f>AVERAGE(X264vsQY265_offline_veryfast!T312:T327)</f>
        <v>-0.41130509085694178</v>
      </c>
      <c r="G26" s="39">
        <f>AVERAGE(X264vsQY265_offline_veryfast!U312:U327)</f>
        <v>-0.41477554612312256</v>
      </c>
      <c r="H26" s="37" t="s">
        <v>41</v>
      </c>
      <c r="I26" s="38">
        <f>AVERAGE(X265vsQY265_offline_ultrafast!Q311:Q326)</f>
        <v>-0.38902169783999635</v>
      </c>
      <c r="J26" s="38">
        <f>AVERAGE(X265vsQY265_offline_ultrafast!R311:R326)</f>
        <v>-0.48904142640184028</v>
      </c>
      <c r="K26" s="38">
        <f>AVERAGE(X265vsQY265_offline_ultrafast!S311:S326)</f>
        <v>-0.46767678712500571</v>
      </c>
      <c r="L26" s="38">
        <f>AVERAGE(X265vsQY265_offline_ultrafast!T311:T326)</f>
        <v>-0.40628931186587686</v>
      </c>
      <c r="M26" s="39">
        <f>AVERAGE(X265vsQY265_offline_ultrafast!U311:U326)</f>
        <v>2.5763009029222298E-2</v>
      </c>
    </row>
    <row r="27" spans="1:13" ht="16.5" hidden="1" customHeight="1" thickBot="1" x14ac:dyDescent="0.3">
      <c r="A27" s="50"/>
      <c r="B27" s="37" t="s">
        <v>43</v>
      </c>
      <c r="C27" s="38">
        <f>AVERAGE(X264vsQY265_offline_veryfast!Q328:Q339)</f>
        <v>-0.48431630869151165</v>
      </c>
      <c r="D27" s="38">
        <f>AVERAGE(X264vsQY265_offline_veryfast!R328:R339)</f>
        <v>-0.57957812909225692</v>
      </c>
      <c r="E27" s="38">
        <f>AVERAGE(X264vsQY265_offline_veryfast!S328:S339)</f>
        <v>-0.59797768704898713</v>
      </c>
      <c r="F27" s="38">
        <f>AVERAGE(X264vsQY265_offline_veryfast!T328:T339)</f>
        <v>-0.50890290368515567</v>
      </c>
      <c r="G27" s="39">
        <f>AVERAGE(X264vsQY265_offline_veryfast!U328:U339)</f>
        <v>0.15844710982949983</v>
      </c>
      <c r="H27" s="37" t="s">
        <v>43</v>
      </c>
      <c r="I27" s="38">
        <f>AVERAGE(X265vsQY265_offline_ultrafast!Q327:Q338)</f>
        <v>-0.42682934419503971</v>
      </c>
      <c r="J27" s="38">
        <f>AVERAGE(X265vsQY265_offline_ultrafast!R327:R338)</f>
        <v>-0.4937046523498349</v>
      </c>
      <c r="K27" s="38">
        <f>AVERAGE(X265vsQY265_offline_ultrafast!S327:S338)</f>
        <v>-0.46977864829385058</v>
      </c>
      <c r="L27" s="38">
        <f>AVERAGE(X265vsQY265_offline_ultrafast!T327:T338)</f>
        <v>-0.43892828885588586</v>
      </c>
      <c r="M27" s="39">
        <f>AVERAGE(X265vsQY265_offline_ultrafast!U327:U338)</f>
        <v>0.7983120908919098</v>
      </c>
    </row>
    <row r="28" spans="1:13" ht="16.5" hidden="1" customHeight="1" thickBot="1" x14ac:dyDescent="0.3">
      <c r="A28" s="50"/>
      <c r="B28" s="37" t="s">
        <v>101</v>
      </c>
      <c r="C28" s="38">
        <f>AVERAGE(X264vsQY265_offline_veryfast!Q340:Q355)</f>
        <v>-0.24143834407951109</v>
      </c>
      <c r="D28" s="38">
        <f>AVERAGE(X264vsQY265_offline_veryfast!R340:R355)</f>
        <v>-0.27906218468316707</v>
      </c>
      <c r="E28" s="38">
        <f>AVERAGE(X264vsQY265_offline_veryfast!S340:S355)</f>
        <v>-0.26630015632188087</v>
      </c>
      <c r="F28" s="38">
        <f>AVERAGE(X264vsQY265_offline_veryfast!T340:T355)</f>
        <v>-0.24987608795249322</v>
      </c>
      <c r="G28" s="39">
        <f>AVERAGE(X264vsQY265_offline_veryfast!U340:U355)</f>
        <v>-0.17093016477250886</v>
      </c>
      <c r="H28" s="37" t="s">
        <v>101</v>
      </c>
      <c r="I28" s="38">
        <f>AVERAGE(X265vsQY265_offline_ultrafast!Q339:Q354)</f>
        <v>-0.37806138100621556</v>
      </c>
      <c r="J28" s="38">
        <f>AVERAGE(X265vsQY265_offline_ultrafast!R339:R354)</f>
        <v>-0.4037076152573012</v>
      </c>
      <c r="K28" s="38">
        <f>AVERAGE(X265vsQY265_offline_ultrafast!S339:S354)</f>
        <v>-0.39336894655246579</v>
      </c>
      <c r="L28" s="38">
        <f>AVERAGE(X265vsQY265_offline_ultrafast!T339:T354)</f>
        <v>-0.3835553373464784</v>
      </c>
      <c r="M28" s="39">
        <f>AVERAGE(X265vsQY265_offline_ultrafast!U339:U354)</f>
        <v>0.52369419479955315</v>
      </c>
    </row>
    <row r="29" spans="1:13" ht="16.5" hidden="1" customHeight="1" thickBot="1" x14ac:dyDescent="0.3">
      <c r="A29" s="50"/>
      <c r="B29" s="37" t="s">
        <v>134</v>
      </c>
      <c r="C29" s="38">
        <f>AVERAGE(X264vsQY265_offline_veryfast!Q356:Q403)</f>
        <v>-0.30671475830715761</v>
      </c>
      <c r="D29" s="38">
        <f>AVERAGE(X264vsQY265_offline_veryfast!R356:R403)</f>
        <v>-0.21253788463371318</v>
      </c>
      <c r="E29" s="38">
        <f>AVERAGE(X264vsQY265_offline_veryfast!S356:S403)</f>
        <v>-0.21217791689430165</v>
      </c>
      <c r="F29" s="38">
        <f>AVERAGE(X264vsQY265_offline_veryfast!T356:T403)</f>
        <v>-0.29352248038560741</v>
      </c>
      <c r="G29" s="39">
        <f>AVERAGE(X264vsQY265_offline_veryfast!U356:U403)</f>
        <v>-0.2204983031221491</v>
      </c>
      <c r="H29" s="37" t="s">
        <v>134</v>
      </c>
      <c r="I29" s="38">
        <f>AVERAGE(X265vsQY265_offline_ultrafast!Q355:Q402)</f>
        <v>-0.15342552764126202</v>
      </c>
      <c r="J29" s="38">
        <f>AVERAGE(X265vsQY265_offline_ultrafast!R355:R402)</f>
        <v>-8.8829238622609344E-2</v>
      </c>
      <c r="K29" s="38">
        <f>AVERAGE(X265vsQY265_offline_ultrafast!S355:S402)</f>
        <v>-7.7937921715640693E-2</v>
      </c>
      <c r="L29" s="38">
        <f>AVERAGE(X265vsQY265_offline_ultrafast!T355:T402)</f>
        <v>-0.14232650022281701</v>
      </c>
      <c r="M29" s="39">
        <f>AVERAGE(X265vsQY265_offline_ultrafast!U355:U402)</f>
        <v>0.6245351754930436</v>
      </c>
    </row>
    <row r="30" spans="1:13" ht="16.5" hidden="1" customHeight="1" thickBot="1" x14ac:dyDescent="0.3">
      <c r="A30" s="50"/>
      <c r="B30" s="37" t="s">
        <v>117</v>
      </c>
      <c r="C30" s="38">
        <f>AVERAGE(X264vsQY265_offline_veryfast!Q404:Q451)</f>
        <v>-0.39961154933216164</v>
      </c>
      <c r="D30" s="38">
        <f>AVERAGE(X264vsQY265_offline_veryfast!R404:R451)</f>
        <v>-0.28340803241966489</v>
      </c>
      <c r="E30" s="38">
        <f>AVERAGE(X264vsQY265_offline_veryfast!S404:S451)</f>
        <v>-0.27651563843893862</v>
      </c>
      <c r="F30" s="38">
        <f>AVERAGE(X264vsQY265_offline_veryfast!T404:T451)</f>
        <v>-0.38358893391552601</v>
      </c>
      <c r="G30" s="39">
        <f>AVERAGE(X264vsQY265_offline_veryfast!U404:U451)</f>
        <v>-9.4737168491220727E-2</v>
      </c>
      <c r="H30" s="37" t="s">
        <v>117</v>
      </c>
      <c r="I30" s="38">
        <f>AVERAGE(X265vsQY265_offline_ultrafast!Q403:Q450)</f>
        <v>-0.21122670443846114</v>
      </c>
      <c r="J30" s="38">
        <f>AVERAGE(X265vsQY265_offline_ultrafast!R403:R450)</f>
        <v>-0.17435315161664675</v>
      </c>
      <c r="K30" s="38">
        <f>AVERAGE(X265vsQY265_offline_ultrafast!S403:S450)</f>
        <v>-0.17231509583824392</v>
      </c>
      <c r="L30" s="38">
        <f>AVERAGE(X265vsQY265_offline_ultrafast!T403:T450)</f>
        <v>-0.20544679768100094</v>
      </c>
      <c r="M30" s="39">
        <f>AVERAGE(X265vsQY265_offline_ultrafast!U403:U450)</f>
        <v>0.66652491688911886</v>
      </c>
    </row>
    <row r="31" spans="1:13" ht="16.5" hidden="1" customHeight="1" thickBot="1" x14ac:dyDescent="0.3">
      <c r="A31" s="50"/>
      <c r="B31" s="37" t="s">
        <v>99</v>
      </c>
      <c r="C31" s="38">
        <f>AVERAGE(X264vsQY265_offline_veryfast!Q452:Q519)</f>
        <v>-0.41250260226999053</v>
      </c>
      <c r="D31" s="38">
        <f>AVERAGE(X264vsQY265_offline_veryfast!R452:R519)</f>
        <v>-0.38072132445391904</v>
      </c>
      <c r="E31" s="38">
        <f>AVERAGE(X264vsQY265_offline_veryfast!S452:S519)</f>
        <v>-0.3838781246984152</v>
      </c>
      <c r="F31" s="38">
        <f>AVERAGE(X264vsQY265_offline_veryfast!T452:T519)</f>
        <v>-0.40972484668675591</v>
      </c>
      <c r="G31" s="39">
        <f>AVERAGE(X264vsQY265_offline_veryfast!U452:U519)</f>
        <v>-0.10606744448126323</v>
      </c>
      <c r="H31" s="37" t="s">
        <v>99</v>
      </c>
      <c r="I31" s="38">
        <f>AVERAGE(X265vsQY265_offline_ultrafast!Q451:Q518)</f>
        <v>-0.28660898916281896</v>
      </c>
      <c r="J31" s="38">
        <f>AVERAGE(X265vsQY265_offline_ultrafast!R451:R518)</f>
        <v>-0.30752432836026378</v>
      </c>
      <c r="K31" s="38">
        <f>AVERAGE(X265vsQY265_offline_ultrafast!S451:S518)</f>
        <v>-0.29737923577652803</v>
      </c>
      <c r="L31" s="38">
        <f>AVERAGE(X265vsQY265_offline_ultrafast!T451:T518)</f>
        <v>-0.29070768141811659</v>
      </c>
      <c r="M31" s="39">
        <f>AVERAGE(X265vsQY265_offline_ultrafast!U451:U518)</f>
        <v>0.67135680377565987</v>
      </c>
    </row>
    <row r="32" spans="1:13" ht="16.5" hidden="1" customHeight="1" thickBot="1" x14ac:dyDescent="0.3">
      <c r="A32" s="50"/>
      <c r="B32" s="41" t="s">
        <v>102</v>
      </c>
      <c r="C32" s="42">
        <f>X264vsQY265_offline_veryfast!Q520</f>
        <v>-0.46982904077040544</v>
      </c>
      <c r="D32" s="42">
        <f>X264vsQY265_offline_veryfast!R520</f>
        <v>-0.50087856701657862</v>
      </c>
      <c r="E32" s="42">
        <f>X264vsQY265_offline_veryfast!S520</f>
        <v>-0.50290380037866456</v>
      </c>
      <c r="F32" s="42">
        <f>X264vsQY265_offline_veryfast!T520</f>
        <v>-0.47875734732893654</v>
      </c>
      <c r="G32" s="43">
        <f>X264vsQY265_offline_veryfast!U520</f>
        <v>-0.11730814841704611</v>
      </c>
      <c r="H32" s="41" t="s">
        <v>102</v>
      </c>
      <c r="I32" s="42">
        <f>X265vsQY265_offline_ultrafast!Q519</f>
        <v>-0.33531402450574987</v>
      </c>
      <c r="J32" s="42">
        <f>X265vsQY265_offline_ultrafast!R519</f>
        <v>-0.4666028090584054</v>
      </c>
      <c r="K32" s="42">
        <f>X265vsQY265_offline_ultrafast!S519</f>
        <v>-0.44692020574316754</v>
      </c>
      <c r="L32" s="42">
        <f>X265vsQY265_offline_ultrafast!T519</f>
        <v>-0.35738687996304652</v>
      </c>
      <c r="M32" s="43">
        <f>X265vsQY265_offline_ultrafast!U519</f>
        <v>0.53565069120233566</v>
      </c>
    </row>
    <row r="33" spans="1:13" ht="16.5" customHeight="1" thickBot="1" x14ac:dyDescent="0.3">
      <c r="A33" s="50"/>
      <c r="B33" s="56"/>
      <c r="C33" s="57"/>
      <c r="D33" s="57"/>
      <c r="E33" s="57"/>
      <c r="F33" s="57"/>
      <c r="G33" s="58"/>
      <c r="H33" s="56"/>
      <c r="I33" s="57"/>
      <c r="J33" s="57"/>
      <c r="K33" s="57"/>
      <c r="L33" s="57"/>
      <c r="M33" s="58"/>
    </row>
    <row r="34" spans="1:13" ht="16.5" thickBot="1" x14ac:dyDescent="0.3">
      <c r="A34" s="62" t="s">
        <v>157</v>
      </c>
      <c r="B34" s="65" t="s">
        <v>142</v>
      </c>
      <c r="C34" s="66"/>
      <c r="D34" s="66"/>
      <c r="E34" s="66"/>
      <c r="F34" s="66"/>
      <c r="G34" s="67"/>
      <c r="H34" s="65" t="s">
        <v>154</v>
      </c>
      <c r="I34" s="66"/>
      <c r="J34" s="66"/>
      <c r="K34" s="66"/>
      <c r="L34" s="66"/>
      <c r="M34" s="67"/>
    </row>
    <row r="35" spans="1:13" ht="16.5" thickBot="1" x14ac:dyDescent="0.3">
      <c r="A35" s="63"/>
      <c r="B35" s="48" t="s">
        <v>147</v>
      </c>
      <c r="C35" s="37" t="s">
        <v>96</v>
      </c>
      <c r="D35" s="37" t="s">
        <v>97</v>
      </c>
      <c r="E35" s="37" t="s">
        <v>98</v>
      </c>
      <c r="F35" s="49" t="s">
        <v>145</v>
      </c>
      <c r="G35" s="47" t="s">
        <v>146</v>
      </c>
      <c r="H35" s="47" t="s">
        <v>152</v>
      </c>
      <c r="I35" s="37" t="s">
        <v>96</v>
      </c>
      <c r="J35" s="37" t="s">
        <v>97</v>
      </c>
      <c r="K35" s="37" t="s">
        <v>98</v>
      </c>
      <c r="L35" s="49" t="s">
        <v>145</v>
      </c>
      <c r="M35" s="47" t="s">
        <v>146</v>
      </c>
    </row>
    <row r="36" spans="1:13" ht="16.5" thickBot="1" x14ac:dyDescent="0.3">
      <c r="A36" s="63"/>
      <c r="B36" s="40" t="s">
        <v>35</v>
      </c>
      <c r="C36" s="38">
        <f>AVERAGE(X264vsQY265_offline_slow!Q9:Q16)</f>
        <v>-0.35120999483680793</v>
      </c>
      <c r="D36" s="38">
        <f>AVERAGE(X264vsQY265_offline_slow!R9:R16)</f>
        <v>-0.37243524153838259</v>
      </c>
      <c r="E36" s="38">
        <f>AVERAGE(X264vsQY265_offline_slow!S9:S16)</f>
        <v>-0.39977238073349131</v>
      </c>
      <c r="F36" s="38">
        <f>AVERAGE(X264vsQY265_offline_slow!T9:T16)</f>
        <v>-0.35937925772553198</v>
      </c>
      <c r="G36" s="39">
        <f>AVERAGE(X264vsQY265_offline_slow!U9:U16)</f>
        <v>-0.11860179257985118</v>
      </c>
      <c r="H36" s="37" t="s">
        <v>153</v>
      </c>
      <c r="I36" s="38">
        <f>AVERAGE(X265vsQY265_offline_slow!Q9:Q16)</f>
        <v>-8.6665834685897336E-2</v>
      </c>
      <c r="J36" s="38">
        <f>AVERAGE(X265vsQY265_offline_slow!R9:R16)</f>
        <v>-0.49638833174234065</v>
      </c>
      <c r="K36" s="38">
        <f>AVERAGE(X265vsQY265_offline_slow!S9:S16)</f>
        <v>-0.47120606714206131</v>
      </c>
      <c r="L36" s="38">
        <f>AVERAGE(X265vsQY265_offline_slow!T9:T16)</f>
        <v>-0.1678555964199151</v>
      </c>
      <c r="M36" s="39">
        <f>AVERAGE(X265vsQY265_offline_slow!U9:U16)</f>
        <v>1.519113992013108</v>
      </c>
    </row>
    <row r="37" spans="1:13" ht="16.5" thickBot="1" x14ac:dyDescent="0.3">
      <c r="A37" s="63"/>
      <c r="B37" s="40" t="s">
        <v>37</v>
      </c>
      <c r="C37" s="38">
        <f>AVERAGE(X264vsQY265_offline_slow!Q17:Q36)</f>
        <v>-0.44259827605867058</v>
      </c>
      <c r="D37" s="38">
        <f>AVERAGE(X264vsQY265_offline_slow!R17:R36)</f>
        <v>-0.48262995084049382</v>
      </c>
      <c r="E37" s="38">
        <f>AVERAGE(X264vsQY265_offline_slow!S17:S36)</f>
        <v>-0.47563697280183759</v>
      </c>
      <c r="F37" s="38">
        <f>AVERAGE(X264vsQY265_offline_slow!T17:T36)</f>
        <v>-0.4496789292493476</v>
      </c>
      <c r="G37" s="39">
        <f>AVERAGE(X264vsQY265_offline_slow!U17:U36)</f>
        <v>1.4243430856760053E-2</v>
      </c>
      <c r="H37" s="37" t="s">
        <v>37</v>
      </c>
      <c r="I37" s="38">
        <f>AVERAGE(X265vsQY265_offline_slow!Q17:Q36)</f>
        <v>-0.11785537469995851</v>
      </c>
      <c r="J37" s="38">
        <f>AVERAGE(X265vsQY265_offline_slow!R17:R36)</f>
        <v>-0.39411043903170417</v>
      </c>
      <c r="K37" s="38">
        <f>AVERAGE(X265vsQY265_offline_slow!S17:S36)</f>
        <v>-0.36404155564751506</v>
      </c>
      <c r="L37" s="38">
        <f>AVERAGE(X265vsQY265_offline_slow!T17:T36)</f>
        <v>-0.17047534390953598</v>
      </c>
      <c r="M37" s="39">
        <f>AVERAGE(X265vsQY265_offline_slow!U17:U36)</f>
        <v>1.9275888633140981</v>
      </c>
    </row>
    <row r="38" spans="1:13" ht="16.5" thickBot="1" x14ac:dyDescent="0.3">
      <c r="A38" s="63"/>
      <c r="B38" s="40" t="s">
        <v>39</v>
      </c>
      <c r="C38" s="38">
        <f>AVERAGE(X264vsQY265_offline_slow!Q37:Q52)</f>
        <v>-0.34239615271714829</v>
      </c>
      <c r="D38" s="38">
        <f>AVERAGE(X264vsQY265_offline_slow!R37:R52)</f>
        <v>-0.37547685137111697</v>
      </c>
      <c r="E38" s="38">
        <f>AVERAGE(X264vsQY265_offline_slow!S37:S52)</f>
        <v>-0.34831190831422382</v>
      </c>
      <c r="F38" s="38">
        <f>AVERAGE(X264vsQY265_offline_slow!T37:T52)</f>
        <v>-0.34773520657727652</v>
      </c>
      <c r="G38" s="39">
        <f>AVERAGE(X264vsQY265_offline_slow!U37:U52)</f>
        <v>-0.27457950014270238</v>
      </c>
      <c r="H38" s="37" t="s">
        <v>39</v>
      </c>
      <c r="I38" s="38">
        <f>AVERAGE(X265vsQY265_offline_slow!Q37:Q52)</f>
        <v>-0.11630554784606797</v>
      </c>
      <c r="J38" s="38">
        <f>AVERAGE(X265vsQY265_offline_slow!R37:R52)</f>
        <v>-0.30560195262034273</v>
      </c>
      <c r="K38" s="38">
        <f>AVERAGE(X265vsQY265_offline_slow!S37:S52)</f>
        <v>-0.27068580972306178</v>
      </c>
      <c r="L38" s="38">
        <f>AVERAGE(X265vsQY265_offline_slow!T37:T52)</f>
        <v>-0.15163165790354868</v>
      </c>
      <c r="M38" s="39">
        <f>AVERAGE(X265vsQY265_offline_slow!U37:U52)</f>
        <v>1.1512359870258875</v>
      </c>
    </row>
    <row r="39" spans="1:13" ht="15.75" customHeight="1" thickBot="1" x14ac:dyDescent="0.3">
      <c r="A39" s="63"/>
      <c r="B39" s="40" t="s">
        <v>41</v>
      </c>
      <c r="C39" s="38">
        <f>AVERAGE(X264vsQY265_offline_slow!Q53:Q68)</f>
        <v>-0.27753945751761405</v>
      </c>
      <c r="D39" s="38">
        <f>AVERAGE(X264vsQY265_offline_slow!R53:R68)</f>
        <v>-0.38502116670115083</v>
      </c>
      <c r="E39" s="38">
        <f>AVERAGE(X264vsQY265_offline_slow!S53:S68)</f>
        <v>-0.39013371781304018</v>
      </c>
      <c r="F39" s="38">
        <f>AVERAGE(X264vsQY265_offline_slow!T53:T68)</f>
        <v>-0.29885988247074047</v>
      </c>
      <c r="G39" s="39">
        <f>AVERAGE(X264vsQY265_offline_slow!U53:U68)</f>
        <v>-0.24062131812144999</v>
      </c>
      <c r="H39" s="37" t="s">
        <v>41</v>
      </c>
      <c r="I39" s="38">
        <f>AVERAGE(X265vsQY265_offline_slow!Q53:Q68)</f>
        <v>-8.9441839991776323E-2</v>
      </c>
      <c r="J39" s="38">
        <f>AVERAGE(X265vsQY265_offline_slow!R53:R68)</f>
        <v>-0.27062915916094765</v>
      </c>
      <c r="K39" s="38">
        <f>AVERAGE(X265vsQY265_offline_slow!S53:S68)</f>
        <v>-0.24958785856058416</v>
      </c>
      <c r="L39" s="38">
        <f>AVERAGE(X265vsQY265_offline_slow!T53:T68)</f>
        <v>-0.12383691984834308</v>
      </c>
      <c r="M39" s="39">
        <f>AVERAGE(X265vsQY265_offline_slow!U53:U68)</f>
        <v>1.1443660863260563</v>
      </c>
    </row>
    <row r="40" spans="1:13" ht="16.5" thickBot="1" x14ac:dyDescent="0.3">
      <c r="A40" s="63"/>
      <c r="B40" s="40" t="s">
        <v>43</v>
      </c>
      <c r="C40" s="38">
        <f>AVERAGE(X264vsQY265_offline_slow!Q69:Q80)</f>
        <v>-0.4303277516796446</v>
      </c>
      <c r="D40" s="38">
        <f>AVERAGE(X264vsQY265_offline_slow!R69:R80)</f>
        <v>-0.56611068574586076</v>
      </c>
      <c r="E40" s="38">
        <f>AVERAGE(X264vsQY265_offline_slow!S69:S80)</f>
        <v>-0.58092874826959373</v>
      </c>
      <c r="F40" s="38">
        <f>AVERAGE(X264vsQY265_offline_slow!T69:T80)</f>
        <v>-0.46985640078644919</v>
      </c>
      <c r="G40" s="39">
        <f>AVERAGE(X264vsQY265_offline_slow!U69:U80)</f>
        <v>9.9108224783256496E-2</v>
      </c>
      <c r="H40" s="37" t="s">
        <v>43</v>
      </c>
      <c r="I40" s="38">
        <f>AVERAGE(X265vsQY265_offline_slow!Q69:Q80)</f>
        <v>-0.23551033491927006</v>
      </c>
      <c r="J40" s="38">
        <f>AVERAGE(X265vsQY265_offline_slow!R69:R80)</f>
        <v>-0.37564879187407341</v>
      </c>
      <c r="K40" s="38">
        <f>AVERAGE(X265vsQY265_offline_slow!S69:S80)</f>
        <v>-0.33102587098645198</v>
      </c>
      <c r="L40" s="38">
        <f>AVERAGE(X265vsQY265_offline_slow!T69:T80)</f>
        <v>-0.26787447805422121</v>
      </c>
      <c r="M40" s="39">
        <f>AVERAGE(X265vsQY265_offline_slow!U69:U80)</f>
        <v>2.0117765564940684</v>
      </c>
    </row>
    <row r="41" spans="1:13" ht="16.5" hidden="1" customHeight="1" thickBot="1" x14ac:dyDescent="0.3">
      <c r="A41" s="63"/>
      <c r="B41" s="40" t="s">
        <v>101</v>
      </c>
      <c r="C41" s="38">
        <f>AVERAGE(X264vsQY265_offline_slow!Q81:Q96)</f>
        <v>-0.24863821890703122</v>
      </c>
      <c r="D41" s="38">
        <f>AVERAGE(X264vsQY265_offline_slow!R81:R96)</f>
        <v>-0.31292778168338464</v>
      </c>
      <c r="E41" s="38">
        <f>AVERAGE(X264vsQY265_offline_slow!S81:S96)</f>
        <v>-0.28034128547004772</v>
      </c>
      <c r="F41" s="38">
        <f>AVERAGE(X264vsQY265_offline_slow!T81:T96)</f>
        <v>-0.2595132036087896</v>
      </c>
      <c r="G41" s="39">
        <f>AVERAGE(X264vsQY265_offline_slow!U81:U96)</f>
        <v>-0.34267563844771598</v>
      </c>
      <c r="H41" s="37" t="s">
        <v>101</v>
      </c>
      <c r="I41" s="38">
        <f>AVERAGE(X265vsQY265_offline_slow!Q81:Q96)</f>
        <v>-5.9072587196151549E-2</v>
      </c>
      <c r="J41" s="38">
        <f>AVERAGE(X265vsQY265_offline_slow!R81:R96)</f>
        <v>-0.19517779521794934</v>
      </c>
      <c r="K41" s="38">
        <f>AVERAGE(X265vsQY265_offline_slow!S81:S96)</f>
        <v>-0.16060978621556352</v>
      </c>
      <c r="L41" s="38">
        <f>AVERAGE(X265vsQY265_offline_slow!T81:T96)</f>
        <v>-8.7202319001325163E-2</v>
      </c>
      <c r="M41" s="39">
        <f>AVERAGE(X265vsQY265_offline_slow!U81:U96)</f>
        <v>1.1592140364863961</v>
      </c>
    </row>
    <row r="42" spans="1:13" ht="15.75" hidden="1" customHeight="1" thickBot="1" x14ac:dyDescent="0.3">
      <c r="A42" s="63"/>
      <c r="B42" s="40" t="s">
        <v>134</v>
      </c>
      <c r="C42" s="38">
        <f>AVERAGE(X264vsQY265_offline_slow!Q97:Q144)</f>
        <v>-0.17693076016644607</v>
      </c>
      <c r="D42" s="38">
        <f>AVERAGE(X264vsQY265_offline_slow!R97:R144)</f>
        <v>-8.9679387945076905E-2</v>
      </c>
      <c r="E42" s="38">
        <f>AVERAGE(X264vsQY265_offline_slow!S97:S144)</f>
        <v>-0.10420724333309679</v>
      </c>
      <c r="F42" s="38">
        <f>AVERAGE(X264vsQY265_offline_slow!T97:T144)</f>
        <v>-0.16472676141246531</v>
      </c>
      <c r="G42" s="39">
        <f>AVERAGE(X264vsQY265_offline_slow!U97:U144)</f>
        <v>-0.30030694919457501</v>
      </c>
      <c r="H42" s="37" t="s">
        <v>134</v>
      </c>
      <c r="I42" s="38">
        <f>AVERAGE(X265vsQY265_offline_slow!Q97:Q144)</f>
        <v>4.1088115013326924E-2</v>
      </c>
      <c r="J42" s="38">
        <f>AVERAGE(X265vsQY265_offline_slow!R97:R144)</f>
        <v>-5.9059673522865357E-3</v>
      </c>
      <c r="K42" s="38">
        <f>AVERAGE(X265vsQY265_offline_slow!S97:S144)</f>
        <v>4.3982969591850147E-3</v>
      </c>
      <c r="L42" s="38">
        <f>AVERAGE(X265vsQY265_offline_slow!T97:T144)</f>
        <v>3.2505534918054156E-2</v>
      </c>
      <c r="M42" s="39">
        <f>AVERAGE(X265vsQY265_offline_slow!U97:U144)</f>
        <v>1.120317750975887</v>
      </c>
    </row>
    <row r="43" spans="1:13" ht="15.75" hidden="1" customHeight="1" thickBot="1" x14ac:dyDescent="0.3">
      <c r="A43" s="63"/>
      <c r="B43" s="40" t="s">
        <v>117</v>
      </c>
      <c r="C43" s="38">
        <f>AVERAGE(X264vsQY265_offline_slow!Q145:Q192)</f>
        <v>-0.26132544069367031</v>
      </c>
      <c r="D43" s="38">
        <f>AVERAGE(X264vsQY265_offline_slow!R145:R192)</f>
        <v>-0.22438184025483429</v>
      </c>
      <c r="E43" s="38">
        <f>AVERAGE(X264vsQY265_offline_slow!S145:S192)</f>
        <v>-0.23949209106214761</v>
      </c>
      <c r="F43" s="38">
        <f>AVERAGE(X264vsQY265_offline_slow!T145:T192)</f>
        <v>-0.25839792284059482</v>
      </c>
      <c r="G43" s="39">
        <f>AVERAGE(X264vsQY265_offline_slow!U145:U192)</f>
        <v>-0.19136338570989131</v>
      </c>
      <c r="H43" s="37" t="s">
        <v>117</v>
      </c>
      <c r="I43" s="38">
        <f>AVERAGE(X265vsQY265_offline_slow!Q145:Q192)</f>
        <v>1.2800331358368305E-2</v>
      </c>
      <c r="J43" s="38">
        <f>AVERAGE(X265vsQY265_offline_slow!R145:R192)</f>
        <v>-0.12611973667315055</v>
      </c>
      <c r="K43" s="38">
        <f>AVERAGE(X265vsQY265_offline_slow!S145:S192)</f>
        <v>-0.11788416047334334</v>
      </c>
      <c r="L43" s="38">
        <f>AVERAGE(X265vsQY265_offline_slow!T145:T192)</f>
        <v>-1.652812783143684E-2</v>
      </c>
      <c r="M43" s="39">
        <f>AVERAGE(X265vsQY265_offline_slow!U145:U192)</f>
        <v>1.3589679157716066</v>
      </c>
    </row>
    <row r="44" spans="1:13" ht="16.5" hidden="1" customHeight="1" thickBot="1" x14ac:dyDescent="0.3">
      <c r="A44" s="63"/>
      <c r="B44" s="40" t="s">
        <v>99</v>
      </c>
      <c r="C44" s="38">
        <f>AVERAGE(X264vsQY265_offline_slow!Q193:Q260)</f>
        <v>-0.28565242066915325</v>
      </c>
      <c r="D44" s="38">
        <f>AVERAGE(X264vsQY265_offline_slow!R193:R260)</f>
        <v>-0.28778637709140331</v>
      </c>
      <c r="E44" s="38">
        <f>AVERAGE(X264vsQY265_offline_slow!S193:S260)</f>
        <v>-0.28773341133208807</v>
      </c>
      <c r="F44" s="38">
        <f>AVERAGE(X264vsQY265_offline_slow!T193:T260)</f>
        <v>-0.28781650808429632</v>
      </c>
      <c r="G44" s="39">
        <f>AVERAGE(X264vsQY265_offline_slow!U193:U260)</f>
        <v>-0.23692576607718135</v>
      </c>
      <c r="H44" s="37" t="s">
        <v>99</v>
      </c>
      <c r="I44" s="38">
        <f>AVERAGE(X265vsQY265_offline_slow!Q193:Q260)</f>
        <v>-6.4581901424581173E-2</v>
      </c>
      <c r="J44" s="38">
        <f>AVERAGE(X265vsQY265_offline_slow!R193:R260)</f>
        <v>-0.17341389940364316</v>
      </c>
      <c r="K44" s="38">
        <f>AVERAGE(X265vsQY265_offline_slow!S193:S260)</f>
        <v>-0.17033326272649899</v>
      </c>
      <c r="L44" s="38">
        <f>AVERAGE(X265vsQY265_offline_slow!T193:T260)</f>
        <v>-8.7848745390132613E-2</v>
      </c>
      <c r="M44" s="39">
        <f>AVERAGE(X265vsQY265_offline_slow!U193:U260)</f>
        <v>1.3612196396828757</v>
      </c>
    </row>
    <row r="45" spans="1:13" ht="16.5" thickBot="1" x14ac:dyDescent="0.3">
      <c r="A45" s="64"/>
      <c r="B45" s="48" t="s">
        <v>148</v>
      </c>
      <c r="C45" s="38">
        <f>X264vsQY265_offline_slow!Q261</f>
        <v>-0.37145205921916402</v>
      </c>
      <c r="D45" s="38">
        <f>X264vsQY265_offline_slow!R261</f>
        <v>-0.43879690926699383</v>
      </c>
      <c r="E45" s="38">
        <f>X264vsQY265_offline_slow!S261</f>
        <v>-0.43746102082188937</v>
      </c>
      <c r="F45" s="38">
        <f>X264vsQY265_offline_slow!T261</f>
        <v>-0.38683904001384539</v>
      </c>
      <c r="G45" s="39">
        <f>X264vsQY265_offline_slow!U261</f>
        <v>-0.10719250164348569</v>
      </c>
      <c r="H45" s="47" t="s">
        <v>150</v>
      </c>
      <c r="I45" s="38">
        <f>X265vsQY265_offline_slow!Q261</f>
        <v>-0.12734050549893194</v>
      </c>
      <c r="J45" s="38">
        <f>X265vsQY265_offline_slow!R261</f>
        <v>-0.35528887118836577</v>
      </c>
      <c r="K45" s="38">
        <f>X265vsQY265_offline_slow!S261</f>
        <v>-0.32426623325642434</v>
      </c>
      <c r="L45" s="38">
        <f>X265vsQY265_offline_slow!T261</f>
        <v>-0.17186586986431895</v>
      </c>
      <c r="M45" s="39">
        <f>X265vsQY265_offline_slow!U261</f>
        <v>1.5496616813048154</v>
      </c>
    </row>
    <row r="46" spans="1:13" ht="16.5" hidden="1" customHeight="1" thickBot="1" x14ac:dyDescent="0.3">
      <c r="A46" s="50"/>
      <c r="B46" s="44" t="s">
        <v>35</v>
      </c>
      <c r="C46" s="45" t="e">
        <f>AVERAGE(X264vsQY265_offline_slow!#REF!)</f>
        <v>#REF!</v>
      </c>
      <c r="D46" s="45" t="e">
        <f>AVERAGE(X264vsQY265_offline_slow!#REF!)</f>
        <v>#REF!</v>
      </c>
      <c r="E46" s="45" t="e">
        <f>AVERAGE(X264vsQY265_offline_slow!#REF!)</f>
        <v>#REF!</v>
      </c>
      <c r="F46" s="45" t="e">
        <f>AVERAGE(X264vsQY265_offline_slow!#REF!)</f>
        <v>#REF!</v>
      </c>
      <c r="G46" s="46" t="e">
        <f>AVERAGE(X264vsQY265_offline_slow!#REF!)</f>
        <v>#REF!</v>
      </c>
      <c r="H46" s="44" t="s">
        <v>35</v>
      </c>
      <c r="I46" s="45" t="e">
        <f>AVERAGE(X265vsQY265_offline_slow!#REF!)</f>
        <v>#REF!</v>
      </c>
      <c r="J46" s="45" t="e">
        <f>AVERAGE(X265vsQY265_offline_slow!#REF!)</f>
        <v>#REF!</v>
      </c>
      <c r="K46" s="45" t="e">
        <f>AVERAGE(X265vsQY265_offline_slow!#REF!)</f>
        <v>#REF!</v>
      </c>
      <c r="L46" s="45" t="e">
        <f>AVERAGE(X265vsQY265_offline_slow!#REF!)</f>
        <v>#REF!</v>
      </c>
      <c r="M46" s="46" t="e">
        <f>AVERAGE(X265vsQY265_offline_slow!#REF!)</f>
        <v>#REF!</v>
      </c>
    </row>
    <row r="47" spans="1:13" ht="16.5" hidden="1" customHeight="1" thickBot="1" x14ac:dyDescent="0.3">
      <c r="A47" s="50"/>
      <c r="B47" s="37" t="s">
        <v>37</v>
      </c>
      <c r="C47" s="38" t="e">
        <f>AVERAGE(X264vsQY265_offline_slow!#REF!)</f>
        <v>#REF!</v>
      </c>
      <c r="D47" s="38" t="e">
        <f>AVERAGE(X264vsQY265_offline_slow!#REF!)</f>
        <v>#REF!</v>
      </c>
      <c r="E47" s="38" t="e">
        <f>AVERAGE(X264vsQY265_offline_slow!#REF!)</f>
        <v>#REF!</v>
      </c>
      <c r="F47" s="38" t="e">
        <f>AVERAGE(X264vsQY265_offline_slow!#REF!)</f>
        <v>#REF!</v>
      </c>
      <c r="G47" s="39" t="e">
        <f>AVERAGE(X264vsQY265_offline_slow!#REF!)</f>
        <v>#REF!</v>
      </c>
      <c r="H47" s="37" t="s">
        <v>37</v>
      </c>
      <c r="I47" s="38" t="e">
        <f>AVERAGE(X265vsQY265_offline_slow!#REF!)</f>
        <v>#REF!</v>
      </c>
      <c r="J47" s="38" t="e">
        <f>AVERAGE(X265vsQY265_offline_slow!#REF!)</f>
        <v>#REF!</v>
      </c>
      <c r="K47" s="38" t="e">
        <f>AVERAGE(X265vsQY265_offline_slow!#REF!)</f>
        <v>#REF!</v>
      </c>
      <c r="L47" s="38" t="e">
        <f>AVERAGE(X265vsQY265_offline_slow!#REF!)</f>
        <v>#REF!</v>
      </c>
      <c r="M47" s="39" t="e">
        <f>AVERAGE(X265vsQY265_offline_slow!#REF!)</f>
        <v>#REF!</v>
      </c>
    </row>
    <row r="48" spans="1:13" ht="16.5" hidden="1" customHeight="1" thickBot="1" x14ac:dyDescent="0.3">
      <c r="A48" s="50"/>
      <c r="B48" s="37" t="s">
        <v>39</v>
      </c>
      <c r="C48" s="38" t="e">
        <f>AVERAGE(X264vsQY265_offline_slow!#REF!)</f>
        <v>#REF!</v>
      </c>
      <c r="D48" s="38" t="e">
        <f>AVERAGE(X264vsQY265_offline_slow!#REF!)</f>
        <v>#REF!</v>
      </c>
      <c r="E48" s="38" t="e">
        <f>AVERAGE(X264vsQY265_offline_slow!#REF!)</f>
        <v>#REF!</v>
      </c>
      <c r="F48" s="38" t="e">
        <f>AVERAGE(X264vsQY265_offline_slow!#REF!)</f>
        <v>#REF!</v>
      </c>
      <c r="G48" s="39" t="e">
        <f>AVERAGE(X264vsQY265_offline_slow!#REF!)</f>
        <v>#REF!</v>
      </c>
      <c r="H48" s="37" t="s">
        <v>39</v>
      </c>
      <c r="I48" s="38" t="e">
        <f>AVERAGE(X265vsQY265_offline_slow!#REF!)</f>
        <v>#REF!</v>
      </c>
      <c r="J48" s="38" t="e">
        <f>AVERAGE(X265vsQY265_offline_slow!#REF!)</f>
        <v>#REF!</v>
      </c>
      <c r="K48" s="38" t="e">
        <f>AVERAGE(X265vsQY265_offline_slow!#REF!)</f>
        <v>#REF!</v>
      </c>
      <c r="L48" s="38" t="e">
        <f>AVERAGE(X265vsQY265_offline_slow!#REF!)</f>
        <v>#REF!</v>
      </c>
      <c r="M48" s="39" t="e">
        <f>AVERAGE(X265vsQY265_offline_slow!#REF!)</f>
        <v>#REF!</v>
      </c>
    </row>
    <row r="49" spans="1:13" ht="15.75" hidden="1" customHeight="1" thickBot="1" x14ac:dyDescent="0.3">
      <c r="A49" s="50"/>
      <c r="B49" s="37" t="s">
        <v>41</v>
      </c>
      <c r="C49" s="38" t="e">
        <f>AVERAGE(X264vsQY265_offline_slow!#REF!)</f>
        <v>#REF!</v>
      </c>
      <c r="D49" s="38" t="e">
        <f>AVERAGE(X264vsQY265_offline_slow!#REF!)</f>
        <v>#REF!</v>
      </c>
      <c r="E49" s="38" t="e">
        <f>AVERAGE(X264vsQY265_offline_slow!#REF!)</f>
        <v>#REF!</v>
      </c>
      <c r="F49" s="38" t="e">
        <f>AVERAGE(X264vsQY265_offline_slow!#REF!)</f>
        <v>#REF!</v>
      </c>
      <c r="G49" s="39" t="e">
        <f>AVERAGE(X264vsQY265_offline_slow!#REF!)</f>
        <v>#REF!</v>
      </c>
      <c r="H49" s="37" t="s">
        <v>41</v>
      </c>
      <c r="I49" s="38" t="e">
        <f>AVERAGE(X265vsQY265_offline_slow!#REF!)</f>
        <v>#REF!</v>
      </c>
      <c r="J49" s="38" t="e">
        <f>AVERAGE(X265vsQY265_offline_slow!#REF!)</f>
        <v>#REF!</v>
      </c>
      <c r="K49" s="38" t="e">
        <f>AVERAGE(X265vsQY265_offline_slow!#REF!)</f>
        <v>#REF!</v>
      </c>
      <c r="L49" s="38" t="e">
        <f>AVERAGE(X265vsQY265_offline_slow!#REF!)</f>
        <v>#REF!</v>
      </c>
      <c r="M49" s="39" t="e">
        <f>AVERAGE(X265vsQY265_offline_slow!#REF!)</f>
        <v>#REF!</v>
      </c>
    </row>
    <row r="50" spans="1:13" ht="16.5" hidden="1" customHeight="1" thickBot="1" x14ac:dyDescent="0.3">
      <c r="A50" s="50"/>
      <c r="B50" s="37" t="s">
        <v>43</v>
      </c>
      <c r="C50" s="38" t="e">
        <f>AVERAGE(X264vsQY265_offline_slow!#REF!)</f>
        <v>#REF!</v>
      </c>
      <c r="D50" s="38" t="e">
        <f>AVERAGE(X264vsQY265_offline_slow!#REF!)</f>
        <v>#REF!</v>
      </c>
      <c r="E50" s="38" t="e">
        <f>AVERAGE(X264vsQY265_offline_slow!#REF!)</f>
        <v>#REF!</v>
      </c>
      <c r="F50" s="38" t="e">
        <f>AVERAGE(X264vsQY265_offline_slow!#REF!)</f>
        <v>#REF!</v>
      </c>
      <c r="G50" s="39" t="e">
        <f>AVERAGE(X264vsQY265_offline_slow!#REF!)</f>
        <v>#REF!</v>
      </c>
      <c r="H50" s="37" t="s">
        <v>43</v>
      </c>
      <c r="I50" s="38" t="e">
        <f>AVERAGE(X265vsQY265_offline_slow!#REF!)</f>
        <v>#REF!</v>
      </c>
      <c r="J50" s="38" t="e">
        <f>AVERAGE(X265vsQY265_offline_slow!#REF!)</f>
        <v>#REF!</v>
      </c>
      <c r="K50" s="38" t="e">
        <f>AVERAGE(X265vsQY265_offline_slow!#REF!)</f>
        <v>#REF!</v>
      </c>
      <c r="L50" s="38" t="e">
        <f>AVERAGE(X265vsQY265_offline_slow!#REF!)</f>
        <v>#REF!</v>
      </c>
      <c r="M50" s="39" t="e">
        <f>AVERAGE(X265vsQY265_offline_slow!#REF!)</f>
        <v>#REF!</v>
      </c>
    </row>
    <row r="51" spans="1:13" ht="16.5" hidden="1" customHeight="1" thickBot="1" x14ac:dyDescent="0.3">
      <c r="A51" s="50"/>
      <c r="B51" s="37" t="s">
        <v>101</v>
      </c>
      <c r="C51" s="38" t="e">
        <f>AVERAGE(X264vsQY265_offline_slow!#REF!)</f>
        <v>#REF!</v>
      </c>
      <c r="D51" s="38" t="e">
        <f>AVERAGE(X264vsQY265_offline_slow!#REF!)</f>
        <v>#REF!</v>
      </c>
      <c r="E51" s="38" t="e">
        <f>AVERAGE(X264vsQY265_offline_slow!#REF!)</f>
        <v>#REF!</v>
      </c>
      <c r="F51" s="38" t="e">
        <f>AVERAGE(X264vsQY265_offline_slow!#REF!)</f>
        <v>#REF!</v>
      </c>
      <c r="G51" s="39" t="e">
        <f>AVERAGE(X264vsQY265_offline_slow!#REF!)</f>
        <v>#REF!</v>
      </c>
      <c r="H51" s="37" t="s">
        <v>101</v>
      </c>
      <c r="I51" s="38" t="e">
        <f>AVERAGE(X265vsQY265_offline_slow!#REF!)</f>
        <v>#REF!</v>
      </c>
      <c r="J51" s="38" t="e">
        <f>AVERAGE(X265vsQY265_offline_slow!#REF!)</f>
        <v>#REF!</v>
      </c>
      <c r="K51" s="38" t="e">
        <f>AVERAGE(X265vsQY265_offline_slow!#REF!)</f>
        <v>#REF!</v>
      </c>
      <c r="L51" s="38" t="e">
        <f>AVERAGE(X265vsQY265_offline_slow!#REF!)</f>
        <v>#REF!</v>
      </c>
      <c r="M51" s="39" t="e">
        <f>AVERAGE(X265vsQY265_offline_slow!#REF!)</f>
        <v>#REF!</v>
      </c>
    </row>
    <row r="52" spans="1:13" ht="15.75" hidden="1" customHeight="1" thickBot="1" x14ac:dyDescent="0.3">
      <c r="A52" s="50"/>
      <c r="B52" s="37" t="s">
        <v>134</v>
      </c>
      <c r="C52" s="38" t="e">
        <f>AVERAGE(X264vsQY265_offline_slow!#REF!)</f>
        <v>#REF!</v>
      </c>
      <c r="D52" s="38" t="e">
        <f>AVERAGE(X264vsQY265_offline_slow!#REF!)</f>
        <v>#REF!</v>
      </c>
      <c r="E52" s="38" t="e">
        <f>AVERAGE(X264vsQY265_offline_slow!#REF!)</f>
        <v>#REF!</v>
      </c>
      <c r="F52" s="38" t="e">
        <f>AVERAGE(X264vsQY265_offline_slow!#REF!)</f>
        <v>#REF!</v>
      </c>
      <c r="G52" s="39" t="e">
        <f>AVERAGE(X264vsQY265_offline_slow!#REF!)</f>
        <v>#REF!</v>
      </c>
      <c r="H52" s="37" t="s">
        <v>134</v>
      </c>
      <c r="I52" s="38" t="e">
        <f>AVERAGE(X265vsQY265_offline_slow!#REF!)</f>
        <v>#REF!</v>
      </c>
      <c r="J52" s="38" t="e">
        <f>AVERAGE(X265vsQY265_offline_slow!#REF!)</f>
        <v>#REF!</v>
      </c>
      <c r="K52" s="38" t="e">
        <f>AVERAGE(X265vsQY265_offline_slow!#REF!)</f>
        <v>#REF!</v>
      </c>
      <c r="L52" s="38" t="e">
        <f>AVERAGE(X265vsQY265_offline_slow!#REF!)</f>
        <v>#REF!</v>
      </c>
      <c r="M52" s="39" t="e">
        <f>AVERAGE(X265vsQY265_offline_slow!#REF!)</f>
        <v>#REF!</v>
      </c>
    </row>
    <row r="53" spans="1:13" ht="15.75" hidden="1" customHeight="1" thickBot="1" x14ac:dyDescent="0.3">
      <c r="A53" s="50"/>
      <c r="B53" s="37" t="s">
        <v>117</v>
      </c>
      <c r="C53" s="38" t="e">
        <f>AVERAGE(X264vsQY265_offline_slow!#REF!)</f>
        <v>#REF!</v>
      </c>
      <c r="D53" s="38" t="e">
        <f>AVERAGE(X264vsQY265_offline_slow!#REF!)</f>
        <v>#REF!</v>
      </c>
      <c r="E53" s="38" t="e">
        <f>AVERAGE(X264vsQY265_offline_slow!#REF!)</f>
        <v>#REF!</v>
      </c>
      <c r="F53" s="38" t="e">
        <f>AVERAGE(X264vsQY265_offline_slow!#REF!)</f>
        <v>#REF!</v>
      </c>
      <c r="G53" s="39" t="e">
        <f>AVERAGE(X264vsQY265_offline_slow!#REF!)</f>
        <v>#REF!</v>
      </c>
      <c r="H53" s="37" t="s">
        <v>117</v>
      </c>
      <c r="I53" s="38" t="e">
        <f>AVERAGE(X265vsQY265_offline_slow!#REF!)</f>
        <v>#REF!</v>
      </c>
      <c r="J53" s="38" t="e">
        <f>AVERAGE(X265vsQY265_offline_slow!#REF!)</f>
        <v>#REF!</v>
      </c>
      <c r="K53" s="38" t="e">
        <f>AVERAGE(X265vsQY265_offline_slow!#REF!)</f>
        <v>#REF!</v>
      </c>
      <c r="L53" s="38" t="e">
        <f>AVERAGE(X265vsQY265_offline_slow!#REF!)</f>
        <v>#REF!</v>
      </c>
      <c r="M53" s="39" t="e">
        <f>AVERAGE(X265vsQY265_offline_slow!#REF!)</f>
        <v>#REF!</v>
      </c>
    </row>
    <row r="54" spans="1:13" ht="16.5" hidden="1" customHeight="1" thickBot="1" x14ac:dyDescent="0.3">
      <c r="A54" s="50"/>
      <c r="B54" s="37" t="s">
        <v>99</v>
      </c>
      <c r="C54" s="38" t="e">
        <f>AVERAGE(X264vsQY265_offline_slow!#REF!)</f>
        <v>#REF!</v>
      </c>
      <c r="D54" s="38" t="e">
        <f>AVERAGE(X264vsQY265_offline_slow!#REF!)</f>
        <v>#REF!</v>
      </c>
      <c r="E54" s="38" t="e">
        <f>AVERAGE(X264vsQY265_offline_slow!#REF!)</f>
        <v>#REF!</v>
      </c>
      <c r="F54" s="38" t="e">
        <f>AVERAGE(X264vsQY265_offline_slow!#REF!)</f>
        <v>#REF!</v>
      </c>
      <c r="G54" s="39" t="e">
        <f>AVERAGE(X264vsQY265_offline_slow!#REF!)</f>
        <v>#REF!</v>
      </c>
      <c r="H54" s="37" t="s">
        <v>99</v>
      </c>
      <c r="I54" s="38" t="e">
        <f>AVERAGE(X265vsQY265_offline_slow!#REF!)</f>
        <v>#REF!</v>
      </c>
      <c r="J54" s="38" t="e">
        <f>AVERAGE(X265vsQY265_offline_slow!#REF!)</f>
        <v>#REF!</v>
      </c>
      <c r="K54" s="38" t="e">
        <f>AVERAGE(X265vsQY265_offline_slow!#REF!)</f>
        <v>#REF!</v>
      </c>
      <c r="L54" s="38" t="e">
        <f>AVERAGE(X265vsQY265_offline_slow!#REF!)</f>
        <v>#REF!</v>
      </c>
      <c r="M54" s="39" t="e">
        <f>AVERAGE(X265vsQY265_offline_slow!#REF!)</f>
        <v>#REF!</v>
      </c>
    </row>
    <row r="55" spans="1:13" ht="16.5" hidden="1" customHeight="1" thickBot="1" x14ac:dyDescent="0.3">
      <c r="A55" s="50"/>
      <c r="B55" s="37" t="s">
        <v>102</v>
      </c>
      <c r="C55" s="38" t="e">
        <f>X264vsQY265_offline_slow!#REF!</f>
        <v>#REF!</v>
      </c>
      <c r="D55" s="38" t="e">
        <f>X264vsQY265_offline_slow!#REF!</f>
        <v>#REF!</v>
      </c>
      <c r="E55" s="38" t="e">
        <f>X264vsQY265_offline_slow!#REF!</f>
        <v>#REF!</v>
      </c>
      <c r="F55" s="38" t="e">
        <f>X264vsQY265_offline_slow!#REF!</f>
        <v>#REF!</v>
      </c>
      <c r="G55" s="39" t="e">
        <f>X264vsQY265_offline_slow!#REF!</f>
        <v>#REF!</v>
      </c>
      <c r="H55" s="37" t="s">
        <v>102</v>
      </c>
      <c r="I55" s="38" t="e">
        <f>X265vsQY265_offline_slow!#REF!</f>
        <v>#REF!</v>
      </c>
      <c r="J55" s="38" t="e">
        <f>X265vsQY265_offline_slow!#REF!</f>
        <v>#REF!</v>
      </c>
      <c r="K55" s="38" t="e">
        <f>X265vsQY265_offline_slow!#REF!</f>
        <v>#REF!</v>
      </c>
      <c r="L55" s="38" t="e">
        <f>X265vsQY265_offline_slow!#REF!</f>
        <v>#REF!</v>
      </c>
      <c r="M55" s="39" t="e">
        <f>X265vsQY265_offline_slow!#REF!</f>
        <v>#REF!</v>
      </c>
    </row>
    <row r="56" spans="1:13" ht="16.5" hidden="1" customHeight="1" thickBot="1" x14ac:dyDescent="0.3">
      <c r="A56" s="50"/>
      <c r="B56" s="37" t="s">
        <v>35</v>
      </c>
      <c r="C56" s="38">
        <f>AVERAGE(X264vsQY265_offline_slow!Q267:Q274)</f>
        <v>-0.43340945415017906</v>
      </c>
      <c r="D56" s="38">
        <f>AVERAGE(X264vsQY265_offline_slow!R267:R274)</f>
        <v>-0.40569847605413689</v>
      </c>
      <c r="E56" s="38">
        <f>AVERAGE(X264vsQY265_offline_slow!S267:S274)</f>
        <v>-0.4393222200742869</v>
      </c>
      <c r="F56" s="38">
        <f>AVERAGE(X264vsQY265_offline_slow!T267:T274)</f>
        <v>-0.43601731768396873</v>
      </c>
      <c r="G56" s="39">
        <f>AVERAGE(X264vsQY265_offline_slow!U267:U274)</f>
        <v>6.1072024008363077E-2</v>
      </c>
      <c r="H56" s="37" t="s">
        <v>35</v>
      </c>
      <c r="I56" s="38">
        <f>AVERAGE(X265vsQY265_offline_slow!Q267:Q274)</f>
        <v>-8.9849430565212773E-2</v>
      </c>
      <c r="J56" s="38">
        <f>AVERAGE(X265vsQY265_offline_slow!R267:R274)</f>
        <v>-0.49586128787842898</v>
      </c>
      <c r="K56" s="38">
        <f>AVERAGE(X265vsQY265_offline_slow!S267:S274)</f>
        <v>-0.46528782920540984</v>
      </c>
      <c r="L56" s="38">
        <f>AVERAGE(X265vsQY265_offline_slow!T267:T274)</f>
        <v>-0.16884738565271074</v>
      </c>
      <c r="M56" s="39">
        <f>AVERAGE(X265vsQY265_offline_slow!U267:U274)</f>
        <v>1.5739460669586753</v>
      </c>
    </row>
    <row r="57" spans="1:13" ht="16.5" hidden="1" customHeight="1" thickBot="1" x14ac:dyDescent="0.3">
      <c r="A57" s="50"/>
      <c r="B57" s="37" t="s">
        <v>37</v>
      </c>
      <c r="C57" s="38">
        <f>AVERAGE(X264vsQY265_offline_slow!Q275:Q294)</f>
        <v>-0.4440461394557394</v>
      </c>
      <c r="D57" s="38">
        <f>AVERAGE(X264vsQY265_offline_slow!R275:R294)</f>
        <v>-0.47642667949799627</v>
      </c>
      <c r="E57" s="38">
        <f>AVERAGE(X264vsQY265_offline_slow!S275:S294)</f>
        <v>-0.46417637198316691</v>
      </c>
      <c r="F57" s="38">
        <f>AVERAGE(X264vsQY265_offline_slow!T275:T294)</f>
        <v>-0.44978700412994294</v>
      </c>
      <c r="G57" s="39">
        <f>AVERAGE(X264vsQY265_offline_slow!U275:U294)</f>
        <v>0.10996273708424217</v>
      </c>
      <c r="H57" s="37" t="s">
        <v>37</v>
      </c>
      <c r="I57" s="38">
        <f>AVERAGE(X265vsQY265_offline_slow!Q275:Q294)</f>
        <v>-0.10562759374288508</v>
      </c>
      <c r="J57" s="38">
        <f>AVERAGE(X265vsQY265_offline_slow!R275:R294)</f>
        <v>-0.37217056565525625</v>
      </c>
      <c r="K57" s="38">
        <f>AVERAGE(X265vsQY265_offline_slow!S275:S294)</f>
        <v>-0.34411446676623109</v>
      </c>
      <c r="L57" s="38">
        <f>AVERAGE(X265vsQY265_offline_slow!T275:T294)</f>
        <v>-0.15502094600647129</v>
      </c>
      <c r="M57" s="39">
        <f>AVERAGE(X265vsQY265_offline_slow!U275:U294)</f>
        <v>2.0683467705041272</v>
      </c>
    </row>
    <row r="58" spans="1:13" ht="16.5" hidden="1" customHeight="1" thickBot="1" x14ac:dyDescent="0.3">
      <c r="A58" s="50"/>
      <c r="B58" s="37" t="s">
        <v>39</v>
      </c>
      <c r="C58" s="38">
        <f>AVERAGE(X264vsQY265_offline_slow!Q295:Q310)</f>
        <v>-0.337738577765061</v>
      </c>
      <c r="D58" s="38">
        <f>AVERAGE(X264vsQY265_offline_slow!R295:R310)</f>
        <v>-0.36661989757818969</v>
      </c>
      <c r="E58" s="38">
        <f>AVERAGE(X264vsQY265_offline_slow!S295:S310)</f>
        <v>-0.34093127154474129</v>
      </c>
      <c r="F58" s="38">
        <f>AVERAGE(X264vsQY265_offline_slow!T295:T310)</f>
        <v>-0.34296149952822264</v>
      </c>
      <c r="G58" s="39">
        <f>AVERAGE(X264vsQY265_offline_slow!U295:U310)</f>
        <v>-0.33763742627536675</v>
      </c>
      <c r="H58" s="37" t="s">
        <v>39</v>
      </c>
      <c r="I58" s="38">
        <f>AVERAGE(X265vsQY265_offline_slow!Q295:Q310)</f>
        <v>-0.10341067079395302</v>
      </c>
      <c r="J58" s="38">
        <f>AVERAGE(X265vsQY265_offline_slow!R295:R310)</f>
        <v>-0.29647904530078295</v>
      </c>
      <c r="K58" s="38">
        <f>AVERAGE(X265vsQY265_offline_slow!S295:S310)</f>
        <v>-0.24978623095363461</v>
      </c>
      <c r="L58" s="38">
        <f>AVERAGE(X265vsQY265_offline_slow!T295:T310)</f>
        <v>-0.13779061634314427</v>
      </c>
      <c r="M58" s="39">
        <f>AVERAGE(X265vsQY265_offline_slow!U295:U310)</f>
        <v>1.1442186141522723</v>
      </c>
    </row>
    <row r="59" spans="1:13" ht="16.5" hidden="1" customHeight="1" thickBot="1" x14ac:dyDescent="0.3">
      <c r="A59" s="50"/>
      <c r="B59" s="37" t="s">
        <v>41</v>
      </c>
      <c r="C59" s="38">
        <f>AVERAGE(X264vsQY265_offline_slow!Q311:Q326)</f>
        <v>-0.26911899158475017</v>
      </c>
      <c r="D59" s="38">
        <f>AVERAGE(X264vsQY265_offline_slow!R311:R326)</f>
        <v>-0.37398533724248761</v>
      </c>
      <c r="E59" s="38">
        <f>AVERAGE(X264vsQY265_offline_slow!S311:S326)</f>
        <v>-0.38254107569624429</v>
      </c>
      <c r="F59" s="38">
        <f>AVERAGE(X264vsQY265_offline_slow!T311:T326)</f>
        <v>-0.29041692138232045</v>
      </c>
      <c r="G59" s="39">
        <f>AVERAGE(X264vsQY265_offline_slow!U311:U326)</f>
        <v>-0.50227249639538896</v>
      </c>
      <c r="H59" s="37" t="s">
        <v>41</v>
      </c>
      <c r="I59" s="38">
        <f>AVERAGE(X265vsQY265_offline_slow!Q311:Q326)</f>
        <v>-8.7909106758184474E-2</v>
      </c>
      <c r="J59" s="38">
        <f>AVERAGE(X265vsQY265_offline_slow!R311:R326)</f>
        <v>-0.26621219647045069</v>
      </c>
      <c r="K59" s="38">
        <f>AVERAGE(X265vsQY265_offline_slow!S311:S326)</f>
        <v>-0.24439368055209815</v>
      </c>
      <c r="L59" s="38">
        <f>AVERAGE(X265vsQY265_offline_slow!T311:T326)</f>
        <v>-0.12168870872824872</v>
      </c>
      <c r="M59" s="39">
        <f>AVERAGE(X265vsQY265_offline_slow!U311:U326)</f>
        <v>1.5939390054348779</v>
      </c>
    </row>
    <row r="60" spans="1:13" ht="16.5" hidden="1" customHeight="1" thickBot="1" x14ac:dyDescent="0.3">
      <c r="A60" s="50"/>
      <c r="B60" s="37" t="s">
        <v>43</v>
      </c>
      <c r="C60" s="38">
        <f>AVERAGE(X264vsQY265_offline_slow!Q327:Q338)</f>
        <v>-0.40142312884878484</v>
      </c>
      <c r="D60" s="38">
        <f>AVERAGE(X264vsQY265_offline_slow!R327:R338)</f>
        <v>-0.53207244702916345</v>
      </c>
      <c r="E60" s="38">
        <f>AVERAGE(X264vsQY265_offline_slow!S327:S338)</f>
        <v>-0.55232237576969789</v>
      </c>
      <c r="F60" s="38">
        <f>AVERAGE(X264vsQY265_offline_slow!T327:T338)</f>
        <v>-0.43948730518286938</v>
      </c>
      <c r="G60" s="39">
        <f>AVERAGE(X264vsQY265_offline_slow!U327:U338)</f>
        <v>0.209589185751788</v>
      </c>
      <c r="H60" s="37" t="s">
        <v>43</v>
      </c>
      <c r="I60" s="38">
        <f>AVERAGE(X265vsQY265_offline_slow!Q327:Q338)</f>
        <v>-0.17571921541646096</v>
      </c>
      <c r="J60" s="38">
        <f>AVERAGE(X265vsQY265_offline_slow!R327:R338)</f>
        <v>-0.31209052446787039</v>
      </c>
      <c r="K60" s="38">
        <f>AVERAGE(X265vsQY265_offline_slow!S327:S338)</f>
        <v>-0.27480086014378086</v>
      </c>
      <c r="L60" s="38">
        <f>AVERAGE(X265vsQY265_offline_slow!T327:T338)</f>
        <v>-0.20710134350064355</v>
      </c>
      <c r="M60" s="39">
        <f>AVERAGE(X265vsQY265_offline_slow!U327:U338)</f>
        <v>1.9324222485565328</v>
      </c>
    </row>
    <row r="61" spans="1:13" ht="16.5" hidden="1" customHeight="1" thickBot="1" x14ac:dyDescent="0.3">
      <c r="A61" s="50"/>
      <c r="B61" s="37" t="s">
        <v>101</v>
      </c>
      <c r="C61" s="38">
        <f>AVERAGE(X264vsQY265_offline_slow!Q339:Q354)</f>
        <v>-0.2383402018017228</v>
      </c>
      <c r="D61" s="38">
        <f>AVERAGE(X264vsQY265_offline_slow!R339:R354)</f>
        <v>-0.30035945924289287</v>
      </c>
      <c r="E61" s="38">
        <f>AVERAGE(X264vsQY265_offline_slow!S339:S354)</f>
        <v>-0.26782197112356798</v>
      </c>
      <c r="F61" s="38">
        <f>AVERAGE(X264vsQY265_offline_slow!T339:T354)</f>
        <v>-0.24853808181020884</v>
      </c>
      <c r="G61" s="39">
        <f>AVERAGE(X264vsQY265_offline_slow!U339:U354)</f>
        <v>-0.32732393560930534</v>
      </c>
      <c r="H61" s="37" t="s">
        <v>101</v>
      </c>
      <c r="I61" s="38">
        <f>AVERAGE(X265vsQY265_offline_slow!Q339:Q354)</f>
        <v>-5.7107075651707362E-2</v>
      </c>
      <c r="J61" s="38">
        <f>AVERAGE(X265vsQY265_offline_slow!R339:R354)</f>
        <v>-0.18189796269928546</v>
      </c>
      <c r="K61" s="38">
        <f>AVERAGE(X265vsQY265_offline_slow!S339:S354)</f>
        <v>-0.13956437284297532</v>
      </c>
      <c r="L61" s="38">
        <f>AVERAGE(X265vsQY265_offline_slow!T339:T354)</f>
        <v>-8.0838335061620192E-2</v>
      </c>
      <c r="M61" s="39">
        <f>AVERAGE(X265vsQY265_offline_slow!U339:U354)</f>
        <v>1.1520609647890439</v>
      </c>
    </row>
    <row r="62" spans="1:13" ht="16.5" hidden="1" customHeight="1" thickBot="1" x14ac:dyDescent="0.3">
      <c r="A62" s="50"/>
      <c r="B62" s="37" t="s">
        <v>134</v>
      </c>
      <c r="C62" s="38">
        <f>AVERAGE(X264vsQY265_offline_slow!Q355:Q402)</f>
        <v>-0.19305699921519029</v>
      </c>
      <c r="D62" s="38">
        <f>AVERAGE(X264vsQY265_offline_slow!R355:R402)</f>
        <v>-0.11152611885835095</v>
      </c>
      <c r="E62" s="38">
        <f>AVERAGE(X264vsQY265_offline_slow!S355:S402)</f>
        <v>-0.12475889069181556</v>
      </c>
      <c r="F62" s="38">
        <f>AVERAGE(X264vsQY265_offline_slow!T355:T402)</f>
        <v>-0.18151818015601653</v>
      </c>
      <c r="G62" s="39">
        <f>AVERAGE(X264vsQY265_offline_slow!U355:U402)</f>
        <v>-0.34328221160595668</v>
      </c>
      <c r="H62" s="37" t="s">
        <v>134</v>
      </c>
      <c r="I62" s="38">
        <f>AVERAGE(X265vsQY265_offline_slow!Q355:Q402)</f>
        <v>3.5679622053289478E-2</v>
      </c>
      <c r="J62" s="38">
        <f>AVERAGE(X265vsQY265_offline_slow!R355:R402)</f>
        <v>1.5502133749417779E-2</v>
      </c>
      <c r="K62" s="38">
        <f>AVERAGE(X265vsQY265_offline_slow!S355:S402)</f>
        <v>2.6837307945879647E-2</v>
      </c>
      <c r="L62" s="38">
        <f>AVERAGE(X265vsQY265_offline_slow!T355:T402)</f>
        <v>3.2786932914730206E-2</v>
      </c>
      <c r="M62" s="39">
        <f>AVERAGE(X265vsQY265_offline_slow!U355:U402)</f>
        <v>0.9637686114021734</v>
      </c>
    </row>
    <row r="63" spans="1:13" ht="16.5" hidden="1" customHeight="1" thickBot="1" x14ac:dyDescent="0.3">
      <c r="A63" s="50"/>
      <c r="B63" s="37" t="s">
        <v>117</v>
      </c>
      <c r="C63" s="38">
        <f>AVERAGE(X264vsQY265_offline_slow!Q403:Q450)</f>
        <v>-0.26077699700473089</v>
      </c>
      <c r="D63" s="38">
        <f>AVERAGE(X264vsQY265_offline_slow!R403:R450)</f>
        <v>-0.22408562564999945</v>
      </c>
      <c r="E63" s="38">
        <f>AVERAGE(X264vsQY265_offline_slow!S403:S450)</f>
        <v>-0.23867192418322913</v>
      </c>
      <c r="F63" s="38">
        <f>AVERAGE(X264vsQY265_offline_slow!T403:T450)</f>
        <v>-0.25797569913368729</v>
      </c>
      <c r="G63" s="39">
        <f>AVERAGE(X264vsQY265_offline_slow!U403:U450)</f>
        <v>-0.21964051698937578</v>
      </c>
      <c r="H63" s="37" t="s">
        <v>117</v>
      </c>
      <c r="I63" s="38">
        <f>AVERAGE(X265vsQY265_offline_slow!Q403:Q450)</f>
        <v>1.7127558175563096E-2</v>
      </c>
      <c r="J63" s="38">
        <f>AVERAGE(X265vsQY265_offline_slow!R403:R450)</f>
        <v>-0.11236320843459667</v>
      </c>
      <c r="K63" s="38">
        <f>AVERAGE(X265vsQY265_offline_slow!S403:S450)</f>
        <v>-0.10272525544747262</v>
      </c>
      <c r="L63" s="38">
        <f>AVERAGE(X265vsQY265_offline_slow!T403:T450)</f>
        <v>-9.8800779488928958E-3</v>
      </c>
      <c r="M63" s="39">
        <f>AVERAGE(X265vsQY265_offline_slow!U403:U450)</f>
        <v>1.3735466681293602</v>
      </c>
    </row>
    <row r="64" spans="1:13" ht="16.5" hidden="1" customHeight="1" thickBot="1" x14ac:dyDescent="0.3">
      <c r="A64" s="50"/>
      <c r="B64" s="37" t="s">
        <v>99</v>
      </c>
      <c r="C64" s="38">
        <f>AVERAGE(X264vsQY265_offline_slow!Q451:Q518)</f>
        <v>-0.28401320063227758</v>
      </c>
      <c r="D64" s="38">
        <f>AVERAGE(X264vsQY265_offline_slow!R451:R518)</f>
        <v>-0.28251969905104229</v>
      </c>
      <c r="E64" s="38">
        <f>AVERAGE(X264vsQY265_offline_slow!S451:S518)</f>
        <v>-0.28361109697884701</v>
      </c>
      <c r="F64" s="38">
        <f>AVERAGE(X264vsQY265_offline_slow!T451:T518)</f>
        <v>-0.28554135418502058</v>
      </c>
      <c r="G64" s="39">
        <f>AVERAGE(X264vsQY265_offline_slow!U451:U518)</f>
        <v>-0.22841285010639173</v>
      </c>
      <c r="H64" s="37" t="s">
        <v>99</v>
      </c>
      <c r="I64" s="38">
        <f>AVERAGE(X265vsQY265_offline_slow!Q451:Q518)</f>
        <v>-5.079619917244832E-2</v>
      </c>
      <c r="J64" s="38">
        <f>AVERAGE(X265vsQY265_offline_slow!R451:R518)</f>
        <v>-0.1511407607684512</v>
      </c>
      <c r="K64" s="38">
        <f>AVERAGE(X265vsQY265_offline_slow!S451:S518)</f>
        <v>-0.14958319005940815</v>
      </c>
      <c r="L64" s="38">
        <f>AVERAGE(X265vsQY265_offline_slow!T451:T518)</f>
        <v>-7.2060721128064179E-2</v>
      </c>
      <c r="M64" s="39">
        <f>AVERAGE(X265vsQY265_offline_slow!U451:U518)</f>
        <v>1.3594040216494299</v>
      </c>
    </row>
    <row r="65" spans="1:13" ht="16.5" hidden="1" customHeight="1" thickBot="1" x14ac:dyDescent="0.3">
      <c r="A65" s="50"/>
      <c r="B65" s="41" t="s">
        <v>102</v>
      </c>
      <c r="C65" s="42">
        <f>X264vsQY265_offline_slow!Q519</f>
        <v>-0.37326384830692527</v>
      </c>
      <c r="D65" s="42">
        <f>X264vsQY265_offline_slow!R519</f>
        <v>-0.43067603499824753</v>
      </c>
      <c r="E65" s="42">
        <f>X264vsQY265_offline_slow!S519</f>
        <v>-0.43057682312985807</v>
      </c>
      <c r="F65" s="42">
        <f>X264vsQY265_offline_slow!T519</f>
        <v>-0.38738584751157962</v>
      </c>
      <c r="G65" s="43">
        <f>X264vsQY265_offline_slow!U519</f>
        <v>-0.11438413333276233</v>
      </c>
      <c r="H65" s="41" t="s">
        <v>102</v>
      </c>
      <c r="I65" s="42">
        <f>X265vsQY265_offline_slow!Q519</f>
        <v>-0.11112631035015468</v>
      </c>
      <c r="J65" s="42">
        <f>X265vsQY265_offline_slow!R519</f>
        <v>-0.33553399691787139</v>
      </c>
      <c r="K65" s="42">
        <f>X265vsQY265_offline_slow!S519</f>
        <v>-0.30290390103868048</v>
      </c>
      <c r="L65" s="42">
        <f>X265vsQY265_offline_slow!T519</f>
        <v>-0.15400115734029338</v>
      </c>
      <c r="M65" s="43">
        <f>X265vsQY265_offline_slow!U519</f>
        <v>1.6799735116920105</v>
      </c>
    </row>
    <row r="66" spans="1:13" ht="16.5" thickBot="1" x14ac:dyDescent="0.3">
      <c r="A66" s="62" t="s">
        <v>144</v>
      </c>
      <c r="B66" s="65" t="s">
        <v>143</v>
      </c>
      <c r="C66" s="66"/>
      <c r="D66" s="66"/>
      <c r="E66" s="66"/>
      <c r="F66" s="66"/>
      <c r="G66" s="67"/>
      <c r="H66" s="65" t="s">
        <v>155</v>
      </c>
      <c r="I66" s="66"/>
      <c r="J66" s="66"/>
      <c r="K66" s="66"/>
      <c r="L66" s="66"/>
      <c r="M66" s="67"/>
    </row>
    <row r="67" spans="1:13" ht="16.5" thickBot="1" x14ac:dyDescent="0.3">
      <c r="A67" s="63"/>
      <c r="B67" s="48" t="s">
        <v>147</v>
      </c>
      <c r="C67" s="37" t="s">
        <v>96</v>
      </c>
      <c r="D67" s="37" t="s">
        <v>97</v>
      </c>
      <c r="E67" s="37" t="s">
        <v>98</v>
      </c>
      <c r="F67" s="49" t="s">
        <v>145</v>
      </c>
      <c r="G67" s="47" t="s">
        <v>146</v>
      </c>
      <c r="H67" s="47" t="s">
        <v>151</v>
      </c>
      <c r="I67" s="37" t="s">
        <v>96</v>
      </c>
      <c r="J67" s="37" t="s">
        <v>97</v>
      </c>
      <c r="K67" s="37" t="s">
        <v>98</v>
      </c>
      <c r="L67" s="49" t="s">
        <v>145</v>
      </c>
      <c r="M67" s="47" t="s">
        <v>146</v>
      </c>
    </row>
    <row r="68" spans="1:13" ht="16.5" thickBot="1" x14ac:dyDescent="0.3">
      <c r="A68" s="63"/>
      <c r="B68" s="40" t="s">
        <v>35</v>
      </c>
      <c r="C68" s="38">
        <f>AVERAGE(X264vsQY265_offline_placebo!Q9:Q16)</f>
        <v>-0.38822206842427165</v>
      </c>
      <c r="D68" s="38">
        <f>AVERAGE(X264vsQY265_offline_placebo!R9:R16)</f>
        <v>-0.33317063943103437</v>
      </c>
      <c r="E68" s="38">
        <f>AVERAGE(X264vsQY265_offline_placebo!S9:S16)</f>
        <v>-0.39007850719308962</v>
      </c>
      <c r="F68" s="38">
        <f>AVERAGE(X264vsQY265_offline_placebo!T9:T16)</f>
        <v>-0.3882202721488543</v>
      </c>
      <c r="G68" s="39">
        <f>AVERAGE(X264vsQY265_offline_placebo!U9:U16)</f>
        <v>0.40563547643397285</v>
      </c>
      <c r="H68" s="37" t="s">
        <v>35</v>
      </c>
      <c r="I68" s="38">
        <f>AVERAGE(X265vsQY265_offline_placebo!Q9:Q16)</f>
        <v>-1.9993241562431319E-2</v>
      </c>
      <c r="J68" s="38">
        <f>AVERAGE(X265vsQY265_offline_placebo!R9:R16)</f>
        <v>-0.43046454621070263</v>
      </c>
      <c r="K68" s="38">
        <f>AVERAGE(X265vsQY265_offline_placebo!S9:S16)</f>
        <v>-0.43574144795896685</v>
      </c>
      <c r="L68" s="38">
        <f>AVERAGE(X265vsQY265_offline_placebo!T9:T16)</f>
        <v>-0.10200225981216443</v>
      </c>
      <c r="M68" s="39">
        <f>AVERAGE(X265vsQY265_offline_placebo!U9:U16)</f>
        <v>1.625293561376288</v>
      </c>
    </row>
    <row r="69" spans="1:13" ht="16.5" thickBot="1" x14ac:dyDescent="0.3">
      <c r="A69" s="63"/>
      <c r="B69" s="40" t="s">
        <v>37</v>
      </c>
      <c r="C69" s="38">
        <f>AVERAGE(X264vsQY265_offline_placebo!Q17:Q36)</f>
        <v>-0.41303221414637248</v>
      </c>
      <c r="D69" s="38">
        <f>AVERAGE(X264vsQY265_offline_placebo!R17:R36)</f>
        <v>-0.47846690260775038</v>
      </c>
      <c r="E69" s="38">
        <f>AVERAGE(X264vsQY265_offline_placebo!S17:S36)</f>
        <v>-0.47154227784158947</v>
      </c>
      <c r="F69" s="38">
        <f>AVERAGE(X264vsQY265_offline_placebo!T17:T36)</f>
        <v>-0.42553719167749798</v>
      </c>
      <c r="G69" s="39">
        <f>AVERAGE(X264vsQY265_offline_placebo!U17:U36)</f>
        <v>0.84558609364224679</v>
      </c>
      <c r="H69" s="37" t="s">
        <v>37</v>
      </c>
      <c r="I69" s="38">
        <f>AVERAGE(X265vsQY265_offline_placebo!Q17:Q36)</f>
        <v>-6.2635024190768093E-2</v>
      </c>
      <c r="J69" s="38">
        <f>AVERAGE(X265vsQY265_offline_placebo!R17:R36)</f>
        <v>-0.3271141848266847</v>
      </c>
      <c r="K69" s="38">
        <f>AVERAGE(X265vsQY265_offline_placebo!S17:S36)</f>
        <v>-0.30325007430991474</v>
      </c>
      <c r="L69" s="38">
        <f>AVERAGE(X265vsQY265_offline_placebo!T17:T36)</f>
        <v>-0.11247510836888237</v>
      </c>
      <c r="M69" s="39">
        <f>AVERAGE(X265vsQY265_offline_placebo!U17:U36)</f>
        <v>1.7070650186120826</v>
      </c>
    </row>
    <row r="70" spans="1:13" ht="16.5" thickBot="1" x14ac:dyDescent="0.3">
      <c r="A70" s="63"/>
      <c r="B70" s="40" t="s">
        <v>39</v>
      </c>
      <c r="C70" s="38">
        <f>AVERAGE(X264vsQY265_offline_placebo!Q37:Q52)</f>
        <v>-0.31007074324054512</v>
      </c>
      <c r="D70" s="38">
        <f>AVERAGE(X264vsQY265_offline_placebo!R37:R52)</f>
        <v>-0.39493811656347527</v>
      </c>
      <c r="E70" s="38">
        <f>AVERAGE(X264vsQY265_offline_placebo!S37:S52)</f>
        <v>-0.37893627561308485</v>
      </c>
      <c r="F70" s="38">
        <f>AVERAGE(X264vsQY265_offline_placebo!T37:T52)</f>
        <v>-0.32671383039453805</v>
      </c>
      <c r="G70" s="39">
        <f>AVERAGE(X264vsQY265_offline_placebo!U37:U52)</f>
        <v>0.17944138005298269</v>
      </c>
      <c r="H70" s="37" t="s">
        <v>39</v>
      </c>
      <c r="I70" s="38">
        <f>AVERAGE(X265vsQY265_offline_placebo!Q37:Q52)</f>
        <v>-6.4024208910079428E-2</v>
      </c>
      <c r="J70" s="38">
        <f>AVERAGE(X265vsQY265_offline_placebo!R37:R52)</f>
        <v>-0.27622441065388215</v>
      </c>
      <c r="K70" s="38">
        <f>AVERAGE(X265vsQY265_offline_placebo!S37:S52)</f>
        <v>-0.25442787810931422</v>
      </c>
      <c r="L70" s="38">
        <f>AVERAGE(X265vsQY265_offline_placebo!T37:T52)</f>
        <v>-0.10597592373674744</v>
      </c>
      <c r="M70" s="39">
        <f>AVERAGE(X265vsQY265_offline_placebo!U37:U52)</f>
        <v>2.1613836245601967</v>
      </c>
    </row>
    <row r="71" spans="1:13" ht="16.5" thickBot="1" x14ac:dyDescent="0.3">
      <c r="A71" s="63"/>
      <c r="B71" s="40" t="s">
        <v>41</v>
      </c>
      <c r="C71" s="38">
        <f>AVERAGE(X264vsQY265_offline_placebo!Q53:Q68)</f>
        <v>-0.26005328044816184</v>
      </c>
      <c r="D71" s="38">
        <f>AVERAGE(X264vsQY265_offline_placebo!R53:R68)</f>
        <v>-0.43592685608342974</v>
      </c>
      <c r="E71" s="38">
        <f>AVERAGE(X264vsQY265_offline_placebo!S53:S68)</f>
        <v>-0.43714307258334117</v>
      </c>
      <c r="F71" s="38">
        <f>AVERAGE(X264vsQY265_offline_placebo!T53:T68)</f>
        <v>-0.29485052216322855</v>
      </c>
      <c r="G71" s="39">
        <f>AVERAGE(X264vsQY265_offline_placebo!U53:U68)</f>
        <v>-0.17839461215819746</v>
      </c>
      <c r="H71" s="37" t="s">
        <v>41</v>
      </c>
      <c r="I71" s="38">
        <f>AVERAGE(X265vsQY265_offline_placebo!Q53:Q68)</f>
        <v>-4.264072163049959E-2</v>
      </c>
      <c r="J71" s="38">
        <f>AVERAGE(X265vsQY265_offline_placebo!R53:R68)</f>
        <v>-0.29255284774298651</v>
      </c>
      <c r="K71" s="38">
        <f>AVERAGE(X265vsQY265_offline_placebo!S53:S68)</f>
        <v>-0.26966351771990776</v>
      </c>
      <c r="L71" s="38">
        <f>AVERAGE(X265vsQY265_offline_placebo!T53:T68)</f>
        <v>-9.2199430985934E-2</v>
      </c>
      <c r="M71" s="39">
        <f>AVERAGE(X265vsQY265_offline_placebo!U53:U68)</f>
        <v>3.0186356592876686</v>
      </c>
    </row>
    <row r="72" spans="1:13" ht="16.5" thickBot="1" x14ac:dyDescent="0.3">
      <c r="A72" s="63"/>
      <c r="B72" s="40" t="s">
        <v>43</v>
      </c>
      <c r="C72" s="38">
        <f>AVERAGE(X264vsQY265_offline_placebo!Q69:Q80)</f>
        <v>-0.34528969327617015</v>
      </c>
      <c r="D72" s="38">
        <f>AVERAGE(X264vsQY265_offline_placebo!R69:R80)</f>
        <v>-0.47911573543586083</v>
      </c>
      <c r="E72" s="38">
        <f>AVERAGE(X264vsQY265_offline_placebo!S69:S80)</f>
        <v>-0.50561028861245594</v>
      </c>
      <c r="F72" s="38">
        <f>AVERAGE(X264vsQY265_offline_placebo!T69:T80)</f>
        <v>-0.3846928672441941</v>
      </c>
      <c r="G72" s="39">
        <f>AVERAGE(X264vsQY265_offline_placebo!U69:U80)</f>
        <v>0.71273644917892331</v>
      </c>
      <c r="H72" s="37" t="s">
        <v>43</v>
      </c>
      <c r="I72" s="38">
        <f>AVERAGE(X265vsQY265_offline_placebo!Q69:Q80)</f>
        <v>-0.12569298162803313</v>
      </c>
      <c r="J72" s="38">
        <f>AVERAGE(X265vsQY265_offline_placebo!R69:R80)</f>
        <v>-0.30727574339344049</v>
      </c>
      <c r="K72" s="38">
        <f>AVERAGE(X265vsQY265_offline_placebo!S69:S80)</f>
        <v>-0.29488857683957154</v>
      </c>
      <c r="L72" s="38">
        <f>AVERAGE(X265vsQY265_offline_placebo!T69:T80)</f>
        <v>-0.17228989420358309</v>
      </c>
      <c r="M72" s="39">
        <f>AVERAGE(X265vsQY265_offline_placebo!U69:U80)</f>
        <v>1.3814764117078528</v>
      </c>
    </row>
    <row r="73" spans="1:13" ht="16.5" thickBot="1" x14ac:dyDescent="0.3">
      <c r="A73" s="64"/>
      <c r="B73" s="48" t="s">
        <v>148</v>
      </c>
      <c r="C73" s="38">
        <f>X264vsQY265_offline_placebo!Q261</f>
        <v>-0.34210946567576356</v>
      </c>
      <c r="D73" s="38">
        <f>X264vsQY265_offline_placebo!R261</f>
        <v>-0.43441571604422341</v>
      </c>
      <c r="E73" s="38">
        <f>X264vsQY265_offline_placebo!S261</f>
        <v>-0.43994537012317769</v>
      </c>
      <c r="F73" s="38">
        <f>X264vsQY265_offline_placebo!T261</f>
        <v>-0.36358125081382486</v>
      </c>
      <c r="G73" s="39">
        <f>X264vsQY265_offline_placebo!U261</f>
        <v>0.39897765778861621</v>
      </c>
      <c r="H73" s="47" t="s">
        <v>149</v>
      </c>
      <c r="I73" s="38">
        <f>X265vsQY265_offline_placebo!Q261</f>
        <v>-6.4272237284728806E-2</v>
      </c>
      <c r="J73" s="38">
        <f>X265vsQY265_offline_placebo!R261</f>
        <v>-0.3163020155734792</v>
      </c>
      <c r="K73" s="38">
        <f>X265vsQY265_offline_placebo!S261</f>
        <v>-0.29826469896128388</v>
      </c>
      <c r="L73" s="38">
        <f>X265vsQY265_offline_placebo!T261</f>
        <v>-0.115330620165012</v>
      </c>
      <c r="M73" s="39">
        <f>X265vsQY265_offline_placebo!U261</f>
        <v>2.0361343659071127</v>
      </c>
    </row>
  </sheetData>
  <mergeCells count="7">
    <mergeCell ref="A1:A12"/>
    <mergeCell ref="A66:A73"/>
    <mergeCell ref="A34:A45"/>
    <mergeCell ref="H34:M34"/>
    <mergeCell ref="H66:M66"/>
    <mergeCell ref="B34:G34"/>
    <mergeCell ref="B66:G66"/>
  </mergeCells>
  <phoneticPr fontId="5" type="noConversion"/>
  <conditionalFormatting sqref="C3:F3">
    <cfRule type="cellIs" dxfId="1295" priority="3957" operator="greaterThan">
      <formula>0.03</formula>
    </cfRule>
    <cfRule type="cellIs" dxfId="1294" priority="3958" stopIfTrue="1" operator="lessThan">
      <formula>-0.03</formula>
    </cfRule>
  </conditionalFormatting>
  <conditionalFormatting sqref="C12:F12 I12:L12">
    <cfRule type="cellIs" dxfId="1293" priority="3955" operator="greaterThan">
      <formula>0.03</formula>
    </cfRule>
    <cfRule type="cellIs" dxfId="1292" priority="3956" stopIfTrue="1" operator="lessThan">
      <formula>-0.03</formula>
    </cfRule>
  </conditionalFormatting>
  <conditionalFormatting sqref="C4:F8 I4:L8 C11:F11 I11:L11">
    <cfRule type="cellIs" dxfId="1291" priority="3953" operator="greaterThan">
      <formula>0.03</formula>
    </cfRule>
    <cfRule type="cellIs" dxfId="1290" priority="3954" stopIfTrue="1" operator="lessThan">
      <formula>-0.03</formula>
    </cfRule>
  </conditionalFormatting>
  <conditionalFormatting sqref="C13:F13 I13:L13">
    <cfRule type="cellIs" dxfId="1289" priority="3951" operator="greaterThan">
      <formula>0.03</formula>
    </cfRule>
    <cfRule type="cellIs" dxfId="1288" priority="3952" stopIfTrue="1" operator="lessThan">
      <formula>-0.03</formula>
    </cfRule>
  </conditionalFormatting>
  <conditionalFormatting sqref="C22:F22 I22:L22">
    <cfRule type="cellIs" dxfId="1287" priority="3949" operator="greaterThan">
      <formula>0.03</formula>
    </cfRule>
    <cfRule type="cellIs" dxfId="1286" priority="3950" stopIfTrue="1" operator="lessThan">
      <formula>-0.03</formula>
    </cfRule>
  </conditionalFormatting>
  <conditionalFormatting sqref="C14:F18 I14:L18 C21:F21 I21:L21">
    <cfRule type="cellIs" dxfId="1285" priority="3947" operator="greaterThan">
      <formula>0.03</formula>
    </cfRule>
    <cfRule type="cellIs" dxfId="1284" priority="3948" stopIfTrue="1" operator="lessThan">
      <formula>-0.03</formula>
    </cfRule>
  </conditionalFormatting>
  <conditionalFormatting sqref="C23:F23 I23:L23">
    <cfRule type="cellIs" dxfId="1283" priority="3945" operator="greaterThan">
      <formula>0.03</formula>
    </cfRule>
    <cfRule type="cellIs" dxfId="1282" priority="3946" stopIfTrue="1" operator="lessThan">
      <formula>-0.03</formula>
    </cfRule>
  </conditionalFormatting>
  <conditionalFormatting sqref="C32:F33 I32:L33">
    <cfRule type="cellIs" dxfId="1281" priority="3943" operator="greaterThan">
      <formula>0.03</formula>
    </cfRule>
    <cfRule type="cellIs" dxfId="1280" priority="3944" stopIfTrue="1" operator="lessThan">
      <formula>-0.03</formula>
    </cfRule>
  </conditionalFormatting>
  <conditionalFormatting sqref="C24:F28 I24:L28 C31:F31 I31:L31">
    <cfRule type="cellIs" dxfId="1279" priority="3941" operator="greaterThan">
      <formula>0.03</formula>
    </cfRule>
    <cfRule type="cellIs" dxfId="1278" priority="3942" stopIfTrue="1" operator="lessThan">
      <formula>-0.03</formula>
    </cfRule>
  </conditionalFormatting>
  <conditionalFormatting sqref="C36:F36 I36:L36">
    <cfRule type="cellIs" dxfId="1277" priority="3921" operator="greaterThan">
      <formula>0.03</formula>
    </cfRule>
    <cfRule type="cellIs" dxfId="1276" priority="3922" stopIfTrue="1" operator="lessThan">
      <formula>-0.03</formula>
    </cfRule>
  </conditionalFormatting>
  <conditionalFormatting sqref="C45:F45 I45:L45">
    <cfRule type="cellIs" dxfId="1275" priority="3919" operator="greaterThan">
      <formula>0.03</formula>
    </cfRule>
    <cfRule type="cellIs" dxfId="1274" priority="3920" stopIfTrue="1" operator="lessThan">
      <formula>-0.03</formula>
    </cfRule>
  </conditionalFormatting>
  <conditionalFormatting sqref="C37:F41 I37:L41 C44:F44 I44:L44">
    <cfRule type="cellIs" dxfId="1273" priority="3917" operator="greaterThan">
      <formula>0.03</formula>
    </cfRule>
    <cfRule type="cellIs" dxfId="1272" priority="3918" stopIfTrue="1" operator="lessThan">
      <formula>-0.03</formula>
    </cfRule>
  </conditionalFormatting>
  <conditionalFormatting sqref="C46:F46 I46:L46">
    <cfRule type="cellIs" dxfId="1271" priority="3915" operator="greaterThan">
      <formula>0.03</formula>
    </cfRule>
    <cfRule type="cellIs" dxfId="1270" priority="3916" stopIfTrue="1" operator="lessThan">
      <formula>-0.03</formula>
    </cfRule>
  </conditionalFormatting>
  <conditionalFormatting sqref="C55:F55 I55:L55">
    <cfRule type="cellIs" dxfId="1269" priority="3913" operator="greaterThan">
      <formula>0.03</formula>
    </cfRule>
    <cfRule type="cellIs" dxfId="1268" priority="3914" stopIfTrue="1" operator="lessThan">
      <formula>-0.03</formula>
    </cfRule>
  </conditionalFormatting>
  <conditionalFormatting sqref="C47:F51 I47:L51 C54:F54 I54:L54">
    <cfRule type="cellIs" dxfId="1267" priority="3911" operator="greaterThan">
      <formula>0.03</formula>
    </cfRule>
    <cfRule type="cellIs" dxfId="1266" priority="3912" stopIfTrue="1" operator="lessThan">
      <formula>-0.03</formula>
    </cfRule>
  </conditionalFormatting>
  <conditionalFormatting sqref="C56:F56 I56:L56">
    <cfRule type="cellIs" dxfId="1265" priority="3909" operator="greaterThan">
      <formula>0.03</formula>
    </cfRule>
    <cfRule type="cellIs" dxfId="1264" priority="3910" stopIfTrue="1" operator="lessThan">
      <formula>-0.03</formula>
    </cfRule>
  </conditionalFormatting>
  <conditionalFormatting sqref="C65:F65 I65:L65">
    <cfRule type="cellIs" dxfId="1263" priority="3907" operator="greaterThan">
      <formula>0.03</formula>
    </cfRule>
    <cfRule type="cellIs" dxfId="1262" priority="3908" stopIfTrue="1" operator="lessThan">
      <formula>-0.03</formula>
    </cfRule>
  </conditionalFormatting>
  <conditionalFormatting sqref="C57:F61 I57:L61 C64:F64 I64:L64">
    <cfRule type="cellIs" dxfId="1261" priority="3905" operator="greaterThan">
      <formula>0.03</formula>
    </cfRule>
    <cfRule type="cellIs" dxfId="1260" priority="3906" stopIfTrue="1" operator="lessThan">
      <formula>-0.03</formula>
    </cfRule>
  </conditionalFormatting>
  <conditionalFormatting sqref="C10 I10">
    <cfRule type="cellIs" dxfId="1259" priority="2501" operator="greaterThan">
      <formula>0.03</formula>
    </cfRule>
    <cfRule type="cellIs" dxfId="1258" priority="2502" stopIfTrue="1" operator="lessThan">
      <formula>-0.03</formula>
    </cfRule>
  </conditionalFormatting>
  <conditionalFormatting sqref="D10 J10">
    <cfRule type="cellIs" dxfId="1257" priority="2499" operator="greaterThan">
      <formula>0.03</formula>
    </cfRule>
    <cfRule type="cellIs" dxfId="1256" priority="2500" stopIfTrue="1" operator="lessThan">
      <formula>-0.03</formula>
    </cfRule>
  </conditionalFormatting>
  <conditionalFormatting sqref="E10 K10">
    <cfRule type="cellIs" dxfId="1255" priority="2497" operator="greaterThan">
      <formula>0.03</formula>
    </cfRule>
    <cfRule type="cellIs" dxfId="1254" priority="2498" stopIfTrue="1" operator="lessThan">
      <formula>-0.03</formula>
    </cfRule>
  </conditionalFormatting>
  <conditionalFormatting sqref="F10 L10">
    <cfRule type="cellIs" dxfId="1253" priority="2495" operator="greaterThan">
      <formula>0.03</formula>
    </cfRule>
    <cfRule type="cellIs" dxfId="1252" priority="2496" stopIfTrue="1" operator="lessThan">
      <formula>-0.03</formula>
    </cfRule>
  </conditionalFormatting>
  <conditionalFormatting sqref="C9 I9">
    <cfRule type="cellIs" dxfId="1251" priority="2491" operator="greaterThan">
      <formula>0.03</formula>
    </cfRule>
    <cfRule type="cellIs" dxfId="1250" priority="2492" stopIfTrue="1" operator="lessThan">
      <formula>-0.03</formula>
    </cfRule>
  </conditionalFormatting>
  <conditionalFormatting sqref="D9 J9">
    <cfRule type="cellIs" dxfId="1249" priority="2489" operator="greaterThan">
      <formula>0.03</formula>
    </cfRule>
    <cfRule type="cellIs" dxfId="1248" priority="2490" stopIfTrue="1" operator="lessThan">
      <formula>-0.03</formula>
    </cfRule>
  </conditionalFormatting>
  <conditionalFormatting sqref="E9 K9">
    <cfRule type="cellIs" dxfId="1247" priority="2487" operator="greaterThan">
      <formula>0.03</formula>
    </cfRule>
    <cfRule type="cellIs" dxfId="1246" priority="2488" stopIfTrue="1" operator="lessThan">
      <formula>-0.03</formula>
    </cfRule>
  </conditionalFormatting>
  <conditionalFormatting sqref="F9 L9">
    <cfRule type="cellIs" dxfId="1245" priority="2485" operator="greaterThan">
      <formula>0.03</formula>
    </cfRule>
    <cfRule type="cellIs" dxfId="1244" priority="2486" stopIfTrue="1" operator="lessThan">
      <formula>-0.03</formula>
    </cfRule>
  </conditionalFormatting>
  <conditionalFormatting sqref="C20 I20">
    <cfRule type="cellIs" dxfId="1243" priority="2481" operator="greaterThan">
      <formula>0.03</formula>
    </cfRule>
    <cfRule type="cellIs" dxfId="1242" priority="2482" stopIfTrue="1" operator="lessThan">
      <formula>-0.03</formula>
    </cfRule>
  </conditionalFormatting>
  <conditionalFormatting sqref="D20 J20">
    <cfRule type="cellIs" dxfId="1241" priority="2479" operator="greaterThan">
      <formula>0.03</formula>
    </cfRule>
    <cfRule type="cellIs" dxfId="1240" priority="2480" stopIfTrue="1" operator="lessThan">
      <formula>-0.03</formula>
    </cfRule>
  </conditionalFormatting>
  <conditionalFormatting sqref="E20 K20">
    <cfRule type="cellIs" dxfId="1239" priority="2477" operator="greaterThan">
      <formula>0.03</formula>
    </cfRule>
    <cfRule type="cellIs" dxfId="1238" priority="2478" stopIfTrue="1" operator="lessThan">
      <formula>-0.03</formula>
    </cfRule>
  </conditionalFormatting>
  <conditionalFormatting sqref="F20 L20">
    <cfRule type="cellIs" dxfId="1237" priority="2475" operator="greaterThan">
      <formula>0.03</formula>
    </cfRule>
    <cfRule type="cellIs" dxfId="1236" priority="2476" stopIfTrue="1" operator="lessThan">
      <formula>-0.03</formula>
    </cfRule>
  </conditionalFormatting>
  <conditionalFormatting sqref="C19 I19">
    <cfRule type="cellIs" dxfId="1235" priority="2471" operator="greaterThan">
      <formula>0.03</formula>
    </cfRule>
    <cfRule type="cellIs" dxfId="1234" priority="2472" stopIfTrue="1" operator="lessThan">
      <formula>-0.03</formula>
    </cfRule>
  </conditionalFormatting>
  <conditionalFormatting sqref="D19 J19">
    <cfRule type="cellIs" dxfId="1233" priority="2469" operator="greaterThan">
      <formula>0.03</formula>
    </cfRule>
    <cfRule type="cellIs" dxfId="1232" priority="2470" stopIfTrue="1" operator="lessThan">
      <formula>-0.03</formula>
    </cfRule>
  </conditionalFormatting>
  <conditionalFormatting sqref="E19 K19">
    <cfRule type="cellIs" dxfId="1231" priority="2467" operator="greaterThan">
      <formula>0.03</formula>
    </cfRule>
    <cfRule type="cellIs" dxfId="1230" priority="2468" stopIfTrue="1" operator="lessThan">
      <formula>-0.03</formula>
    </cfRule>
  </conditionalFormatting>
  <conditionalFormatting sqref="F19 L19">
    <cfRule type="cellIs" dxfId="1229" priority="2465" operator="greaterThan">
      <formula>0.03</formula>
    </cfRule>
    <cfRule type="cellIs" dxfId="1228" priority="2466" stopIfTrue="1" operator="lessThan">
      <formula>-0.03</formula>
    </cfRule>
  </conditionalFormatting>
  <conditionalFormatting sqref="C30 I30">
    <cfRule type="cellIs" dxfId="1227" priority="2461" operator="greaterThan">
      <formula>0.03</formula>
    </cfRule>
    <cfRule type="cellIs" dxfId="1226" priority="2462" stopIfTrue="1" operator="lessThan">
      <formula>-0.03</formula>
    </cfRule>
  </conditionalFormatting>
  <conditionalFormatting sqref="D30 J30">
    <cfRule type="cellIs" dxfId="1225" priority="2459" operator="greaterThan">
      <formula>0.03</formula>
    </cfRule>
    <cfRule type="cellIs" dxfId="1224" priority="2460" stopIfTrue="1" operator="lessThan">
      <formula>-0.03</formula>
    </cfRule>
  </conditionalFormatting>
  <conditionalFormatting sqref="E30 K30">
    <cfRule type="cellIs" dxfId="1223" priority="2457" operator="greaterThan">
      <formula>0.03</formula>
    </cfRule>
    <cfRule type="cellIs" dxfId="1222" priority="2458" stopIfTrue="1" operator="lessThan">
      <formula>-0.03</formula>
    </cfRule>
  </conditionalFormatting>
  <conditionalFormatting sqref="F30 L30">
    <cfRule type="cellIs" dxfId="1221" priority="2455" operator="greaterThan">
      <formula>0.03</formula>
    </cfRule>
    <cfRule type="cellIs" dxfId="1220" priority="2456" stopIfTrue="1" operator="lessThan">
      <formula>-0.03</formula>
    </cfRule>
  </conditionalFormatting>
  <conditionalFormatting sqref="C29 I29">
    <cfRule type="cellIs" dxfId="1219" priority="2451" operator="greaterThan">
      <formula>0.03</formula>
    </cfRule>
    <cfRule type="cellIs" dxfId="1218" priority="2452" stopIfTrue="1" operator="lessThan">
      <formula>-0.03</formula>
    </cfRule>
  </conditionalFormatting>
  <conditionalFormatting sqref="D29 J29">
    <cfRule type="cellIs" dxfId="1217" priority="2449" operator="greaterThan">
      <formula>0.03</formula>
    </cfRule>
    <cfRule type="cellIs" dxfId="1216" priority="2450" stopIfTrue="1" operator="lessThan">
      <formula>-0.03</formula>
    </cfRule>
  </conditionalFormatting>
  <conditionalFormatting sqref="E29 K29">
    <cfRule type="cellIs" dxfId="1215" priority="2447" operator="greaterThan">
      <formula>0.03</formula>
    </cfRule>
    <cfRule type="cellIs" dxfId="1214" priority="2448" stopIfTrue="1" operator="lessThan">
      <formula>-0.03</formula>
    </cfRule>
  </conditionalFormatting>
  <conditionalFormatting sqref="F29 L29">
    <cfRule type="cellIs" dxfId="1213" priority="2445" operator="greaterThan">
      <formula>0.03</formula>
    </cfRule>
    <cfRule type="cellIs" dxfId="1212" priority="2446" stopIfTrue="1" operator="lessThan">
      <formula>-0.03</formula>
    </cfRule>
  </conditionalFormatting>
  <conditionalFormatting sqref="C43 I43">
    <cfRule type="cellIs" dxfId="1211" priority="2321" operator="greaterThan">
      <formula>0.03</formula>
    </cfRule>
    <cfRule type="cellIs" dxfId="1210" priority="2322" stopIfTrue="1" operator="lessThan">
      <formula>-0.03</formula>
    </cfRule>
  </conditionalFormatting>
  <conditionalFormatting sqref="D43 J43">
    <cfRule type="cellIs" dxfId="1209" priority="2319" operator="greaterThan">
      <formula>0.03</formula>
    </cfRule>
    <cfRule type="cellIs" dxfId="1208" priority="2320" stopIfTrue="1" operator="lessThan">
      <formula>-0.03</formula>
    </cfRule>
  </conditionalFormatting>
  <conditionalFormatting sqref="E43 K43">
    <cfRule type="cellIs" dxfId="1207" priority="2317" operator="greaterThan">
      <formula>0.03</formula>
    </cfRule>
    <cfRule type="cellIs" dxfId="1206" priority="2318" stopIfTrue="1" operator="lessThan">
      <formula>-0.03</formula>
    </cfRule>
  </conditionalFormatting>
  <conditionalFormatting sqref="F43 L43">
    <cfRule type="cellIs" dxfId="1205" priority="2315" operator="greaterThan">
      <formula>0.03</formula>
    </cfRule>
    <cfRule type="cellIs" dxfId="1204" priority="2316" stopIfTrue="1" operator="lessThan">
      <formula>-0.03</formula>
    </cfRule>
  </conditionalFormatting>
  <conditionalFormatting sqref="C42 I42">
    <cfRule type="cellIs" dxfId="1203" priority="2311" operator="greaterThan">
      <formula>0.03</formula>
    </cfRule>
    <cfRule type="cellIs" dxfId="1202" priority="2312" stopIfTrue="1" operator="lessThan">
      <formula>-0.03</formula>
    </cfRule>
  </conditionalFormatting>
  <conditionalFormatting sqref="D42 J42">
    <cfRule type="cellIs" dxfId="1201" priority="2309" operator="greaterThan">
      <formula>0.03</formula>
    </cfRule>
    <cfRule type="cellIs" dxfId="1200" priority="2310" stopIfTrue="1" operator="lessThan">
      <formula>-0.03</formula>
    </cfRule>
  </conditionalFormatting>
  <conditionalFormatting sqref="E42 K42">
    <cfRule type="cellIs" dxfId="1199" priority="2307" operator="greaterThan">
      <formula>0.03</formula>
    </cfRule>
    <cfRule type="cellIs" dxfId="1198" priority="2308" stopIfTrue="1" operator="lessThan">
      <formula>-0.03</formula>
    </cfRule>
  </conditionalFormatting>
  <conditionalFormatting sqref="F42 L42">
    <cfRule type="cellIs" dxfId="1197" priority="2305" operator="greaterThan">
      <formula>0.03</formula>
    </cfRule>
    <cfRule type="cellIs" dxfId="1196" priority="2306" stopIfTrue="1" operator="lessThan">
      <formula>-0.03</formula>
    </cfRule>
  </conditionalFormatting>
  <conditionalFormatting sqref="C53 I53">
    <cfRule type="cellIs" dxfId="1195" priority="2301" operator="greaterThan">
      <formula>0.03</formula>
    </cfRule>
    <cfRule type="cellIs" dxfId="1194" priority="2302" stopIfTrue="1" operator="lessThan">
      <formula>-0.03</formula>
    </cfRule>
  </conditionalFormatting>
  <conditionalFormatting sqref="D53 J53">
    <cfRule type="cellIs" dxfId="1193" priority="2299" operator="greaterThan">
      <formula>0.03</formula>
    </cfRule>
    <cfRule type="cellIs" dxfId="1192" priority="2300" stopIfTrue="1" operator="lessThan">
      <formula>-0.03</formula>
    </cfRule>
  </conditionalFormatting>
  <conditionalFormatting sqref="E53 K53">
    <cfRule type="cellIs" dxfId="1191" priority="2297" operator="greaterThan">
      <formula>0.03</formula>
    </cfRule>
    <cfRule type="cellIs" dxfId="1190" priority="2298" stopIfTrue="1" operator="lessThan">
      <formula>-0.03</formula>
    </cfRule>
  </conditionalFormatting>
  <conditionalFormatting sqref="F53 L53">
    <cfRule type="cellIs" dxfId="1189" priority="2295" operator="greaterThan">
      <formula>0.03</formula>
    </cfRule>
    <cfRule type="cellIs" dxfId="1188" priority="2296" stopIfTrue="1" operator="lessThan">
      <formula>-0.03</formula>
    </cfRule>
  </conditionalFormatting>
  <conditionalFormatting sqref="C52 I52">
    <cfRule type="cellIs" dxfId="1187" priority="2291" operator="greaterThan">
      <formula>0.03</formula>
    </cfRule>
    <cfRule type="cellIs" dxfId="1186" priority="2292" stopIfTrue="1" operator="lessThan">
      <formula>-0.03</formula>
    </cfRule>
  </conditionalFormatting>
  <conditionalFormatting sqref="D52 J52">
    <cfRule type="cellIs" dxfId="1185" priority="2289" operator="greaterThan">
      <formula>0.03</formula>
    </cfRule>
    <cfRule type="cellIs" dxfId="1184" priority="2290" stopIfTrue="1" operator="lessThan">
      <formula>-0.03</formula>
    </cfRule>
  </conditionalFormatting>
  <conditionalFormatting sqref="E52 K52">
    <cfRule type="cellIs" dxfId="1183" priority="2287" operator="greaterThan">
      <formula>0.03</formula>
    </cfRule>
    <cfRule type="cellIs" dxfId="1182" priority="2288" stopIfTrue="1" operator="lessThan">
      <formula>-0.03</formula>
    </cfRule>
  </conditionalFormatting>
  <conditionalFormatting sqref="F52 L52">
    <cfRule type="cellIs" dxfId="1181" priority="2285" operator="greaterThan">
      <formula>0.03</formula>
    </cfRule>
    <cfRule type="cellIs" dxfId="1180" priority="2286" stopIfTrue="1" operator="lessThan">
      <formula>-0.03</formula>
    </cfRule>
  </conditionalFormatting>
  <conditionalFormatting sqref="C63 I63">
    <cfRule type="cellIs" dxfId="1179" priority="2281" operator="greaterThan">
      <formula>0.03</formula>
    </cfRule>
    <cfRule type="cellIs" dxfId="1178" priority="2282" stopIfTrue="1" operator="lessThan">
      <formula>-0.03</formula>
    </cfRule>
  </conditionalFormatting>
  <conditionalFormatting sqref="D63 J63">
    <cfRule type="cellIs" dxfId="1177" priority="2279" operator="greaterThan">
      <formula>0.03</formula>
    </cfRule>
    <cfRule type="cellIs" dxfId="1176" priority="2280" stopIfTrue="1" operator="lessThan">
      <formula>-0.03</formula>
    </cfRule>
  </conditionalFormatting>
  <conditionalFormatting sqref="E63 K63">
    <cfRule type="cellIs" dxfId="1175" priority="2277" operator="greaterThan">
      <formula>0.03</formula>
    </cfRule>
    <cfRule type="cellIs" dxfId="1174" priority="2278" stopIfTrue="1" operator="lessThan">
      <formula>-0.03</formula>
    </cfRule>
  </conditionalFormatting>
  <conditionalFormatting sqref="F63 L63">
    <cfRule type="cellIs" dxfId="1173" priority="2275" operator="greaterThan">
      <formula>0.03</formula>
    </cfRule>
    <cfRule type="cellIs" dxfId="1172" priority="2276" stopIfTrue="1" operator="lessThan">
      <formula>-0.03</formula>
    </cfRule>
  </conditionalFormatting>
  <conditionalFormatting sqref="C62 I62">
    <cfRule type="cellIs" dxfId="1171" priority="2271" operator="greaterThan">
      <formula>0.03</formula>
    </cfRule>
    <cfRule type="cellIs" dxfId="1170" priority="2272" stopIfTrue="1" operator="lessThan">
      <formula>-0.03</formula>
    </cfRule>
  </conditionalFormatting>
  <conditionalFormatting sqref="D62 J62">
    <cfRule type="cellIs" dxfId="1169" priority="2269" operator="greaterThan">
      <formula>0.03</formula>
    </cfRule>
    <cfRule type="cellIs" dxfId="1168" priority="2270" stopIfTrue="1" operator="lessThan">
      <formula>-0.03</formula>
    </cfRule>
  </conditionalFormatting>
  <conditionalFormatting sqref="E62 K62">
    <cfRule type="cellIs" dxfId="1167" priority="2267" operator="greaterThan">
      <formula>0.03</formula>
    </cfRule>
    <cfRule type="cellIs" dxfId="1166" priority="2268" stopIfTrue="1" operator="lessThan">
      <formula>-0.03</formula>
    </cfRule>
  </conditionalFormatting>
  <conditionalFormatting sqref="F62 L62">
    <cfRule type="cellIs" dxfId="1165" priority="2265" operator="greaterThan">
      <formula>0.03</formula>
    </cfRule>
    <cfRule type="cellIs" dxfId="1164" priority="2266" stopIfTrue="1" operator="lessThan">
      <formula>-0.03</formula>
    </cfRule>
  </conditionalFormatting>
  <conditionalFormatting sqref="C68:F68 I68:L68">
    <cfRule type="cellIs" dxfId="1163" priority="2125" operator="greaterThan">
      <formula>0.03</formula>
    </cfRule>
    <cfRule type="cellIs" dxfId="1162" priority="2126" stopIfTrue="1" operator="lessThan">
      <formula>-0.03</formula>
    </cfRule>
  </conditionalFormatting>
  <conditionalFormatting sqref="C73:F73 I73:L73">
    <cfRule type="cellIs" dxfId="1161" priority="2123" operator="greaterThan">
      <formula>0.03</formula>
    </cfRule>
    <cfRule type="cellIs" dxfId="1160" priority="2124" stopIfTrue="1" operator="lessThan">
      <formula>-0.03</formula>
    </cfRule>
  </conditionalFormatting>
  <conditionalFormatting sqref="C69:F72 I69:L72">
    <cfRule type="cellIs" dxfId="1159" priority="2121" operator="greaterThan">
      <formula>0.03</formula>
    </cfRule>
    <cfRule type="cellIs" dxfId="1158" priority="2122" stopIfTrue="1" operator="lessThan">
      <formula>-0.03</formula>
    </cfRule>
  </conditionalFormatting>
  <conditionalFormatting sqref="I36:L36">
    <cfRule type="cellIs" dxfId="1157" priority="701" operator="greaterThan">
      <formula>0.03</formula>
    </cfRule>
    <cfRule type="cellIs" dxfId="1156" priority="702" stopIfTrue="1" operator="lessThan">
      <formula>-0.03</formula>
    </cfRule>
  </conditionalFormatting>
  <conditionalFormatting sqref="I45:L45">
    <cfRule type="cellIs" dxfId="1155" priority="699" operator="greaterThan">
      <formula>0.03</formula>
    </cfRule>
    <cfRule type="cellIs" dxfId="1154" priority="700" stopIfTrue="1" operator="lessThan">
      <formula>-0.03</formula>
    </cfRule>
  </conditionalFormatting>
  <conditionalFormatting sqref="I37:L41 I44:L44">
    <cfRule type="cellIs" dxfId="1153" priority="697" operator="greaterThan">
      <formula>0.03</formula>
    </cfRule>
    <cfRule type="cellIs" dxfId="1152" priority="698" stopIfTrue="1" operator="lessThan">
      <formula>-0.03</formula>
    </cfRule>
  </conditionalFormatting>
  <conditionalFormatting sqref="I46:L46">
    <cfRule type="cellIs" dxfId="1151" priority="695" operator="greaterThan">
      <formula>0.03</formula>
    </cfRule>
    <cfRule type="cellIs" dxfId="1150" priority="696" stopIfTrue="1" operator="lessThan">
      <formula>-0.03</formula>
    </cfRule>
  </conditionalFormatting>
  <conditionalFormatting sqref="I55:L55">
    <cfRule type="cellIs" dxfId="1149" priority="693" operator="greaterThan">
      <formula>0.03</formula>
    </cfRule>
    <cfRule type="cellIs" dxfId="1148" priority="694" stopIfTrue="1" operator="lessThan">
      <formula>-0.03</formula>
    </cfRule>
  </conditionalFormatting>
  <conditionalFormatting sqref="I47:L51 I54:L54">
    <cfRule type="cellIs" dxfId="1147" priority="691" operator="greaterThan">
      <formula>0.03</formula>
    </cfRule>
    <cfRule type="cellIs" dxfId="1146" priority="692" stopIfTrue="1" operator="lessThan">
      <formula>-0.03</formula>
    </cfRule>
  </conditionalFormatting>
  <conditionalFormatting sqref="I56:L56">
    <cfRule type="cellIs" dxfId="1145" priority="689" operator="greaterThan">
      <formula>0.03</formula>
    </cfRule>
    <cfRule type="cellIs" dxfId="1144" priority="690" stopIfTrue="1" operator="lessThan">
      <formula>-0.03</formula>
    </cfRule>
  </conditionalFormatting>
  <conditionalFormatting sqref="I65:L65">
    <cfRule type="cellIs" dxfId="1143" priority="687" operator="greaterThan">
      <formula>0.03</formula>
    </cfRule>
    <cfRule type="cellIs" dxfId="1142" priority="688" stopIfTrue="1" operator="lessThan">
      <formula>-0.03</formula>
    </cfRule>
  </conditionalFormatting>
  <conditionalFormatting sqref="I57:L61 I64:L64">
    <cfRule type="cellIs" dxfId="1141" priority="685" operator="greaterThan">
      <formula>0.03</formula>
    </cfRule>
    <cfRule type="cellIs" dxfId="1140" priority="686" stopIfTrue="1" operator="lessThan">
      <formula>-0.03</formula>
    </cfRule>
  </conditionalFormatting>
  <conditionalFormatting sqref="I24:I28 I31">
    <cfRule type="cellIs" dxfId="1139" priority="667" operator="greaterThan">
      <formula>0.03</formula>
    </cfRule>
    <cfRule type="cellIs" dxfId="1138" priority="668" stopIfTrue="1" operator="lessThan">
      <formula>-0.03</formula>
    </cfRule>
  </conditionalFormatting>
  <conditionalFormatting sqref="I3">
    <cfRule type="cellIs" dxfId="1137" priority="683" operator="greaterThan">
      <formula>0.03</formula>
    </cfRule>
    <cfRule type="cellIs" dxfId="1136" priority="684" stopIfTrue="1" operator="lessThan">
      <formula>-0.03</formula>
    </cfRule>
  </conditionalFormatting>
  <conditionalFormatting sqref="I4:I8 I11">
    <cfRule type="cellIs" dxfId="1135" priority="679" operator="greaterThan">
      <formula>0.03</formula>
    </cfRule>
    <cfRule type="cellIs" dxfId="1134" priority="680" stopIfTrue="1" operator="lessThan">
      <formula>-0.03</formula>
    </cfRule>
  </conditionalFormatting>
  <conditionalFormatting sqref="I13">
    <cfRule type="cellIs" dxfId="1133" priority="677" operator="greaterThan">
      <formula>0.03</formula>
    </cfRule>
    <cfRule type="cellIs" dxfId="1132" priority="678" stopIfTrue="1" operator="lessThan">
      <formula>-0.03</formula>
    </cfRule>
  </conditionalFormatting>
  <conditionalFormatting sqref="I22">
    <cfRule type="cellIs" dxfId="1131" priority="675" operator="greaterThan">
      <formula>0.03</formula>
    </cfRule>
    <cfRule type="cellIs" dxfId="1130" priority="676" stopIfTrue="1" operator="lessThan">
      <formula>-0.03</formula>
    </cfRule>
  </conditionalFormatting>
  <conditionalFormatting sqref="I14:I18 I21">
    <cfRule type="cellIs" dxfId="1129" priority="673" operator="greaterThan">
      <formula>0.03</formula>
    </cfRule>
    <cfRule type="cellIs" dxfId="1128" priority="674" stopIfTrue="1" operator="lessThan">
      <formula>-0.03</formula>
    </cfRule>
  </conditionalFormatting>
  <conditionalFormatting sqref="I23">
    <cfRule type="cellIs" dxfId="1127" priority="671" operator="greaterThan">
      <formula>0.03</formula>
    </cfRule>
    <cfRule type="cellIs" dxfId="1126" priority="672" stopIfTrue="1" operator="lessThan">
      <formula>-0.03</formula>
    </cfRule>
  </conditionalFormatting>
  <conditionalFormatting sqref="I32:I33">
    <cfRule type="cellIs" dxfId="1125" priority="669" operator="greaterThan">
      <formula>0.03</formula>
    </cfRule>
    <cfRule type="cellIs" dxfId="1124" priority="670" stopIfTrue="1" operator="lessThan">
      <formula>-0.03</formula>
    </cfRule>
  </conditionalFormatting>
  <conditionalFormatting sqref="J24:J28 J31">
    <cfRule type="cellIs" dxfId="1123" priority="631" operator="greaterThan">
      <formula>0.03</formula>
    </cfRule>
    <cfRule type="cellIs" dxfId="1122" priority="632" stopIfTrue="1" operator="lessThan">
      <formula>-0.03</formula>
    </cfRule>
  </conditionalFormatting>
  <conditionalFormatting sqref="J3">
    <cfRule type="cellIs" dxfId="1121" priority="647" operator="greaterThan">
      <formula>0.03</formula>
    </cfRule>
    <cfRule type="cellIs" dxfId="1120" priority="648" stopIfTrue="1" operator="lessThan">
      <formula>-0.03</formula>
    </cfRule>
  </conditionalFormatting>
  <conditionalFormatting sqref="J4:J8 J11">
    <cfRule type="cellIs" dxfId="1119" priority="643" operator="greaterThan">
      <formula>0.03</formula>
    </cfRule>
    <cfRule type="cellIs" dxfId="1118" priority="644" stopIfTrue="1" operator="lessThan">
      <formula>-0.03</formula>
    </cfRule>
  </conditionalFormatting>
  <conditionalFormatting sqref="J13">
    <cfRule type="cellIs" dxfId="1117" priority="641" operator="greaterThan">
      <formula>0.03</formula>
    </cfRule>
    <cfRule type="cellIs" dxfId="1116" priority="642" stopIfTrue="1" operator="lessThan">
      <formula>-0.03</formula>
    </cfRule>
  </conditionalFormatting>
  <conditionalFormatting sqref="J22">
    <cfRule type="cellIs" dxfId="1115" priority="639" operator="greaterThan">
      <formula>0.03</formula>
    </cfRule>
    <cfRule type="cellIs" dxfId="1114" priority="640" stopIfTrue="1" operator="lessThan">
      <formula>-0.03</formula>
    </cfRule>
  </conditionalFormatting>
  <conditionalFormatting sqref="J14:J18 J21">
    <cfRule type="cellIs" dxfId="1113" priority="637" operator="greaterThan">
      <formula>0.03</formula>
    </cfRule>
    <cfRule type="cellIs" dxfId="1112" priority="638" stopIfTrue="1" operator="lessThan">
      <formula>-0.03</formula>
    </cfRule>
  </conditionalFormatting>
  <conditionalFormatting sqref="J23">
    <cfRule type="cellIs" dxfId="1111" priority="635" operator="greaterThan">
      <formula>0.03</formula>
    </cfRule>
    <cfRule type="cellIs" dxfId="1110" priority="636" stopIfTrue="1" operator="lessThan">
      <formula>-0.03</formula>
    </cfRule>
  </conditionalFormatting>
  <conditionalFormatting sqref="J32:J33">
    <cfRule type="cellIs" dxfId="1109" priority="633" operator="greaterThan">
      <formula>0.03</formula>
    </cfRule>
    <cfRule type="cellIs" dxfId="1108" priority="634" stopIfTrue="1" operator="lessThan">
      <formula>-0.03</formula>
    </cfRule>
  </conditionalFormatting>
  <conditionalFormatting sqref="K24:K28 K31">
    <cfRule type="cellIs" dxfId="1107" priority="613" operator="greaterThan">
      <formula>0.03</formula>
    </cfRule>
    <cfRule type="cellIs" dxfId="1106" priority="614" stopIfTrue="1" operator="lessThan">
      <formula>-0.03</formula>
    </cfRule>
  </conditionalFormatting>
  <conditionalFormatting sqref="K3">
    <cfRule type="cellIs" dxfId="1105" priority="629" operator="greaterThan">
      <formula>0.03</formula>
    </cfRule>
    <cfRule type="cellIs" dxfId="1104" priority="630" stopIfTrue="1" operator="lessThan">
      <formula>-0.03</formula>
    </cfRule>
  </conditionalFormatting>
  <conditionalFormatting sqref="K4:K8 K11">
    <cfRule type="cellIs" dxfId="1103" priority="625" operator="greaterThan">
      <formula>0.03</formula>
    </cfRule>
    <cfRule type="cellIs" dxfId="1102" priority="626" stopIfTrue="1" operator="lessThan">
      <formula>-0.03</formula>
    </cfRule>
  </conditionalFormatting>
  <conditionalFormatting sqref="K13">
    <cfRule type="cellIs" dxfId="1101" priority="623" operator="greaterThan">
      <formula>0.03</formula>
    </cfRule>
    <cfRule type="cellIs" dxfId="1100" priority="624" stopIfTrue="1" operator="lessThan">
      <formula>-0.03</formula>
    </cfRule>
  </conditionalFormatting>
  <conditionalFormatting sqref="K22">
    <cfRule type="cellIs" dxfId="1099" priority="621" operator="greaterThan">
      <formula>0.03</formula>
    </cfRule>
    <cfRule type="cellIs" dxfId="1098" priority="622" stopIfTrue="1" operator="lessThan">
      <formula>-0.03</formula>
    </cfRule>
  </conditionalFormatting>
  <conditionalFormatting sqref="K14:K18 K21">
    <cfRule type="cellIs" dxfId="1097" priority="619" operator="greaterThan">
      <formula>0.03</formula>
    </cfRule>
    <cfRule type="cellIs" dxfId="1096" priority="620" stopIfTrue="1" operator="lessThan">
      <formula>-0.03</formula>
    </cfRule>
  </conditionalFormatting>
  <conditionalFormatting sqref="K23">
    <cfRule type="cellIs" dxfId="1095" priority="617" operator="greaterThan">
      <formula>0.03</formula>
    </cfRule>
    <cfRule type="cellIs" dxfId="1094" priority="618" stopIfTrue="1" operator="lessThan">
      <formula>-0.03</formula>
    </cfRule>
  </conditionalFormatting>
  <conditionalFormatting sqref="K32:K33">
    <cfRule type="cellIs" dxfId="1093" priority="615" operator="greaterThan">
      <formula>0.03</formula>
    </cfRule>
    <cfRule type="cellIs" dxfId="1092" priority="616" stopIfTrue="1" operator="lessThan">
      <formula>-0.03</formula>
    </cfRule>
  </conditionalFormatting>
  <conditionalFormatting sqref="L24:L28 L31">
    <cfRule type="cellIs" dxfId="1091" priority="595" operator="greaterThan">
      <formula>0.03</formula>
    </cfRule>
    <cfRule type="cellIs" dxfId="1090" priority="596" stopIfTrue="1" operator="lessThan">
      <formula>-0.03</formula>
    </cfRule>
  </conditionalFormatting>
  <conditionalFormatting sqref="L3">
    <cfRule type="cellIs" dxfId="1089" priority="611" operator="greaterThan">
      <formula>0.03</formula>
    </cfRule>
    <cfRule type="cellIs" dxfId="1088" priority="612" stopIfTrue="1" operator="lessThan">
      <formula>-0.03</formula>
    </cfRule>
  </conditionalFormatting>
  <conditionalFormatting sqref="L4:L8 L11">
    <cfRule type="cellIs" dxfId="1087" priority="607" operator="greaterThan">
      <formula>0.03</formula>
    </cfRule>
    <cfRule type="cellIs" dxfId="1086" priority="608" stopIfTrue="1" operator="lessThan">
      <formula>-0.03</formula>
    </cfRule>
  </conditionalFormatting>
  <conditionalFormatting sqref="L13">
    <cfRule type="cellIs" dxfId="1085" priority="605" operator="greaterThan">
      <formula>0.03</formula>
    </cfRule>
    <cfRule type="cellIs" dxfId="1084" priority="606" stopIfTrue="1" operator="lessThan">
      <formula>-0.03</formula>
    </cfRule>
  </conditionalFormatting>
  <conditionalFormatting sqref="L22">
    <cfRule type="cellIs" dxfId="1083" priority="603" operator="greaterThan">
      <formula>0.03</formula>
    </cfRule>
    <cfRule type="cellIs" dxfId="1082" priority="604" stopIfTrue="1" operator="lessThan">
      <formula>-0.03</formula>
    </cfRule>
  </conditionalFormatting>
  <conditionalFormatting sqref="L14:L18 L21">
    <cfRule type="cellIs" dxfId="1081" priority="601" operator="greaterThan">
      <formula>0.03</formula>
    </cfRule>
    <cfRule type="cellIs" dxfId="1080" priority="602" stopIfTrue="1" operator="lessThan">
      <formula>-0.03</formula>
    </cfRule>
  </conditionalFormatting>
  <conditionalFormatting sqref="L23">
    <cfRule type="cellIs" dxfId="1079" priority="599" operator="greaterThan">
      <formula>0.03</formula>
    </cfRule>
    <cfRule type="cellIs" dxfId="1078" priority="600" stopIfTrue="1" operator="lessThan">
      <formula>-0.03</formula>
    </cfRule>
  </conditionalFormatting>
  <conditionalFormatting sqref="L32:L33">
    <cfRule type="cellIs" dxfId="1077" priority="597" operator="greaterThan">
      <formula>0.03</formula>
    </cfRule>
    <cfRule type="cellIs" dxfId="1076" priority="598" stopIfTrue="1" operator="lessThan">
      <formula>-0.03</formula>
    </cfRule>
  </conditionalFormatting>
  <conditionalFormatting sqref="I10">
    <cfRule type="cellIs" dxfId="1075" priority="539" operator="greaterThan">
      <formula>0.03</formula>
    </cfRule>
    <cfRule type="cellIs" dxfId="1074" priority="540" stopIfTrue="1" operator="lessThan">
      <formula>-0.03</formula>
    </cfRule>
  </conditionalFormatting>
  <conditionalFormatting sqref="J10">
    <cfRule type="cellIs" dxfId="1073" priority="537" operator="greaterThan">
      <formula>0.03</formula>
    </cfRule>
    <cfRule type="cellIs" dxfId="1072" priority="538" stopIfTrue="1" operator="lessThan">
      <formula>-0.03</formula>
    </cfRule>
  </conditionalFormatting>
  <conditionalFormatting sqref="K10">
    <cfRule type="cellIs" dxfId="1071" priority="535" operator="greaterThan">
      <formula>0.03</formula>
    </cfRule>
    <cfRule type="cellIs" dxfId="1070" priority="536" stopIfTrue="1" operator="lessThan">
      <formula>-0.03</formula>
    </cfRule>
  </conditionalFormatting>
  <conditionalFormatting sqref="L10">
    <cfRule type="cellIs" dxfId="1069" priority="533" operator="greaterThan">
      <formula>0.03</formula>
    </cfRule>
    <cfRule type="cellIs" dxfId="1068" priority="534" stopIfTrue="1" operator="lessThan">
      <formula>-0.03</formula>
    </cfRule>
  </conditionalFormatting>
  <conditionalFormatting sqref="I9">
    <cfRule type="cellIs" dxfId="1067" priority="531" operator="greaterThan">
      <formula>0.03</formula>
    </cfRule>
    <cfRule type="cellIs" dxfId="1066" priority="532" stopIfTrue="1" operator="lessThan">
      <formula>-0.03</formula>
    </cfRule>
  </conditionalFormatting>
  <conditionalFormatting sqref="J9">
    <cfRule type="cellIs" dxfId="1065" priority="529" operator="greaterThan">
      <formula>0.03</formula>
    </cfRule>
    <cfRule type="cellIs" dxfId="1064" priority="530" stopIfTrue="1" operator="lessThan">
      <formula>-0.03</formula>
    </cfRule>
  </conditionalFormatting>
  <conditionalFormatting sqref="K9">
    <cfRule type="cellIs" dxfId="1063" priority="527" operator="greaterThan">
      <formula>0.03</formula>
    </cfRule>
    <cfRule type="cellIs" dxfId="1062" priority="528" stopIfTrue="1" operator="lessThan">
      <formula>-0.03</formula>
    </cfRule>
  </conditionalFormatting>
  <conditionalFormatting sqref="L9">
    <cfRule type="cellIs" dxfId="1061" priority="525" operator="greaterThan">
      <formula>0.03</formula>
    </cfRule>
    <cfRule type="cellIs" dxfId="1060" priority="526" stopIfTrue="1" operator="lessThan">
      <formula>-0.03</formula>
    </cfRule>
  </conditionalFormatting>
  <conditionalFormatting sqref="I20">
    <cfRule type="cellIs" dxfId="1059" priority="523" operator="greaterThan">
      <formula>0.03</formula>
    </cfRule>
    <cfRule type="cellIs" dxfId="1058" priority="524" stopIfTrue="1" operator="lessThan">
      <formula>-0.03</formula>
    </cfRule>
  </conditionalFormatting>
  <conditionalFormatting sqref="J20">
    <cfRule type="cellIs" dxfId="1057" priority="521" operator="greaterThan">
      <formula>0.03</formula>
    </cfRule>
    <cfRule type="cellIs" dxfId="1056" priority="522" stopIfTrue="1" operator="lessThan">
      <formula>-0.03</formula>
    </cfRule>
  </conditionalFormatting>
  <conditionalFormatting sqref="K20">
    <cfRule type="cellIs" dxfId="1055" priority="519" operator="greaterThan">
      <formula>0.03</formula>
    </cfRule>
    <cfRule type="cellIs" dxfId="1054" priority="520" stopIfTrue="1" operator="lessThan">
      <formula>-0.03</formula>
    </cfRule>
  </conditionalFormatting>
  <conditionalFormatting sqref="L20">
    <cfRule type="cellIs" dxfId="1053" priority="517" operator="greaterThan">
      <formula>0.03</formula>
    </cfRule>
    <cfRule type="cellIs" dxfId="1052" priority="518" stopIfTrue="1" operator="lessThan">
      <formula>-0.03</formula>
    </cfRule>
  </conditionalFormatting>
  <conditionalFormatting sqref="I19">
    <cfRule type="cellIs" dxfId="1051" priority="515" operator="greaterThan">
      <formula>0.03</formula>
    </cfRule>
    <cfRule type="cellIs" dxfId="1050" priority="516" stopIfTrue="1" operator="lessThan">
      <formula>-0.03</formula>
    </cfRule>
  </conditionalFormatting>
  <conditionalFormatting sqref="J19">
    <cfRule type="cellIs" dxfId="1049" priority="513" operator="greaterThan">
      <formula>0.03</formula>
    </cfRule>
    <cfRule type="cellIs" dxfId="1048" priority="514" stopIfTrue="1" operator="lessThan">
      <formula>-0.03</formula>
    </cfRule>
  </conditionalFormatting>
  <conditionalFormatting sqref="K19">
    <cfRule type="cellIs" dxfId="1047" priority="511" operator="greaterThan">
      <formula>0.03</formula>
    </cfRule>
    <cfRule type="cellIs" dxfId="1046" priority="512" stopIfTrue="1" operator="lessThan">
      <formula>-0.03</formula>
    </cfRule>
  </conditionalFormatting>
  <conditionalFormatting sqref="L19">
    <cfRule type="cellIs" dxfId="1045" priority="509" operator="greaterThan">
      <formula>0.03</formula>
    </cfRule>
    <cfRule type="cellIs" dxfId="1044" priority="510" stopIfTrue="1" operator="lessThan">
      <formula>-0.03</formula>
    </cfRule>
  </conditionalFormatting>
  <conditionalFormatting sqref="I30">
    <cfRule type="cellIs" dxfId="1043" priority="507" operator="greaterThan">
      <formula>0.03</formula>
    </cfRule>
    <cfRule type="cellIs" dxfId="1042" priority="508" stopIfTrue="1" operator="lessThan">
      <formula>-0.03</formula>
    </cfRule>
  </conditionalFormatting>
  <conditionalFormatting sqref="J30">
    <cfRule type="cellIs" dxfId="1041" priority="505" operator="greaterThan">
      <formula>0.03</formula>
    </cfRule>
    <cfRule type="cellIs" dxfId="1040" priority="506" stopIfTrue="1" operator="lessThan">
      <formula>-0.03</formula>
    </cfRule>
  </conditionalFormatting>
  <conditionalFormatting sqref="K30">
    <cfRule type="cellIs" dxfId="1039" priority="503" operator="greaterThan">
      <formula>0.03</formula>
    </cfRule>
    <cfRule type="cellIs" dxfId="1038" priority="504" stopIfTrue="1" operator="lessThan">
      <formula>-0.03</formula>
    </cfRule>
  </conditionalFormatting>
  <conditionalFormatting sqref="L30">
    <cfRule type="cellIs" dxfId="1037" priority="501" operator="greaterThan">
      <formula>0.03</formula>
    </cfRule>
    <cfRule type="cellIs" dxfId="1036" priority="502" stopIfTrue="1" operator="lessThan">
      <formula>-0.03</formula>
    </cfRule>
  </conditionalFormatting>
  <conditionalFormatting sqref="I29">
    <cfRule type="cellIs" dxfId="1035" priority="499" operator="greaterThan">
      <formula>0.03</formula>
    </cfRule>
    <cfRule type="cellIs" dxfId="1034" priority="500" stopIfTrue="1" operator="lessThan">
      <formula>-0.03</formula>
    </cfRule>
  </conditionalFormatting>
  <conditionalFormatting sqref="J29">
    <cfRule type="cellIs" dxfId="1033" priority="497" operator="greaterThan">
      <formula>0.03</formula>
    </cfRule>
    <cfRule type="cellIs" dxfId="1032" priority="498" stopIfTrue="1" operator="lessThan">
      <formula>-0.03</formula>
    </cfRule>
  </conditionalFormatting>
  <conditionalFormatting sqref="K29">
    <cfRule type="cellIs" dxfId="1031" priority="495" operator="greaterThan">
      <formula>0.03</formula>
    </cfRule>
    <cfRule type="cellIs" dxfId="1030" priority="496" stopIfTrue="1" operator="lessThan">
      <formula>-0.03</formula>
    </cfRule>
  </conditionalFormatting>
  <conditionalFormatting sqref="L29">
    <cfRule type="cellIs" dxfId="1029" priority="493" operator="greaterThan">
      <formula>0.03</formula>
    </cfRule>
    <cfRule type="cellIs" dxfId="1028" priority="494" stopIfTrue="1" operator="lessThan">
      <formula>-0.03</formula>
    </cfRule>
  </conditionalFormatting>
  <conditionalFormatting sqref="I43">
    <cfRule type="cellIs" dxfId="1027" priority="347" operator="greaterThan">
      <formula>0.03</formula>
    </cfRule>
    <cfRule type="cellIs" dxfId="1026" priority="348" stopIfTrue="1" operator="lessThan">
      <formula>-0.03</formula>
    </cfRule>
  </conditionalFormatting>
  <conditionalFormatting sqref="J43">
    <cfRule type="cellIs" dxfId="1025" priority="345" operator="greaterThan">
      <formula>0.03</formula>
    </cfRule>
    <cfRule type="cellIs" dxfId="1024" priority="346" stopIfTrue="1" operator="lessThan">
      <formula>-0.03</formula>
    </cfRule>
  </conditionalFormatting>
  <conditionalFormatting sqref="K43">
    <cfRule type="cellIs" dxfId="1023" priority="343" operator="greaterThan">
      <formula>0.03</formula>
    </cfRule>
    <cfRule type="cellIs" dxfId="1022" priority="344" stopIfTrue="1" operator="lessThan">
      <formula>-0.03</formula>
    </cfRule>
  </conditionalFormatting>
  <conditionalFormatting sqref="L43">
    <cfRule type="cellIs" dxfId="1021" priority="341" operator="greaterThan">
      <formula>0.03</formula>
    </cfRule>
    <cfRule type="cellIs" dxfId="1020" priority="342" stopIfTrue="1" operator="lessThan">
      <formula>-0.03</formula>
    </cfRule>
  </conditionalFormatting>
  <conditionalFormatting sqref="I42">
    <cfRule type="cellIs" dxfId="1019" priority="339" operator="greaterThan">
      <formula>0.03</formula>
    </cfRule>
    <cfRule type="cellIs" dxfId="1018" priority="340" stopIfTrue="1" operator="lessThan">
      <formula>-0.03</formula>
    </cfRule>
  </conditionalFormatting>
  <conditionalFormatting sqref="J42">
    <cfRule type="cellIs" dxfId="1017" priority="337" operator="greaterThan">
      <formula>0.03</formula>
    </cfRule>
    <cfRule type="cellIs" dxfId="1016" priority="338" stopIfTrue="1" operator="lessThan">
      <formula>-0.03</formula>
    </cfRule>
  </conditionalFormatting>
  <conditionalFormatting sqref="K42">
    <cfRule type="cellIs" dxfId="1015" priority="335" operator="greaterThan">
      <formula>0.03</formula>
    </cfRule>
    <cfRule type="cellIs" dxfId="1014" priority="336" stopIfTrue="1" operator="lessThan">
      <formula>-0.03</formula>
    </cfRule>
  </conditionalFormatting>
  <conditionalFormatting sqref="L42">
    <cfRule type="cellIs" dxfId="1013" priority="333" operator="greaterThan">
      <formula>0.03</formula>
    </cfRule>
    <cfRule type="cellIs" dxfId="1012" priority="334" stopIfTrue="1" operator="lessThan">
      <formula>-0.03</formula>
    </cfRule>
  </conditionalFormatting>
  <conditionalFormatting sqref="I53">
    <cfRule type="cellIs" dxfId="1011" priority="331" operator="greaterThan">
      <formula>0.03</formula>
    </cfRule>
    <cfRule type="cellIs" dxfId="1010" priority="332" stopIfTrue="1" operator="lessThan">
      <formula>-0.03</formula>
    </cfRule>
  </conditionalFormatting>
  <conditionalFormatting sqref="J53">
    <cfRule type="cellIs" dxfId="1009" priority="329" operator="greaterThan">
      <formula>0.03</formula>
    </cfRule>
    <cfRule type="cellIs" dxfId="1008" priority="330" stopIfTrue="1" operator="lessThan">
      <formula>-0.03</formula>
    </cfRule>
  </conditionalFormatting>
  <conditionalFormatting sqref="K53">
    <cfRule type="cellIs" dxfId="1007" priority="327" operator="greaterThan">
      <formula>0.03</formula>
    </cfRule>
    <cfRule type="cellIs" dxfId="1006" priority="328" stopIfTrue="1" operator="lessThan">
      <formula>-0.03</formula>
    </cfRule>
  </conditionalFormatting>
  <conditionalFormatting sqref="L53">
    <cfRule type="cellIs" dxfId="1005" priority="325" operator="greaterThan">
      <formula>0.03</formula>
    </cfRule>
    <cfRule type="cellIs" dxfId="1004" priority="326" stopIfTrue="1" operator="lessThan">
      <formula>-0.03</formula>
    </cfRule>
  </conditionalFormatting>
  <conditionalFormatting sqref="I52">
    <cfRule type="cellIs" dxfId="1003" priority="323" operator="greaterThan">
      <formula>0.03</formula>
    </cfRule>
    <cfRule type="cellIs" dxfId="1002" priority="324" stopIfTrue="1" operator="lessThan">
      <formula>-0.03</formula>
    </cfRule>
  </conditionalFormatting>
  <conditionalFormatting sqref="J52">
    <cfRule type="cellIs" dxfId="1001" priority="321" operator="greaterThan">
      <formula>0.03</formula>
    </cfRule>
    <cfRule type="cellIs" dxfId="1000" priority="322" stopIfTrue="1" operator="lessThan">
      <formula>-0.03</formula>
    </cfRule>
  </conditionalFormatting>
  <conditionalFormatting sqref="K52">
    <cfRule type="cellIs" dxfId="999" priority="319" operator="greaterThan">
      <formula>0.03</formula>
    </cfRule>
    <cfRule type="cellIs" dxfId="998" priority="320" stopIfTrue="1" operator="lessThan">
      <formula>-0.03</formula>
    </cfRule>
  </conditionalFormatting>
  <conditionalFormatting sqref="L52">
    <cfRule type="cellIs" dxfId="997" priority="317" operator="greaterThan">
      <formula>0.03</formula>
    </cfRule>
    <cfRule type="cellIs" dxfId="996" priority="318" stopIfTrue="1" operator="lessThan">
      <formula>-0.03</formula>
    </cfRule>
  </conditionalFormatting>
  <conditionalFormatting sqref="I63">
    <cfRule type="cellIs" dxfId="995" priority="315" operator="greaterThan">
      <formula>0.03</formula>
    </cfRule>
    <cfRule type="cellIs" dxfId="994" priority="316" stopIfTrue="1" operator="lessThan">
      <formula>-0.03</formula>
    </cfRule>
  </conditionalFormatting>
  <conditionalFormatting sqref="J63">
    <cfRule type="cellIs" dxfId="993" priority="313" operator="greaterThan">
      <formula>0.03</formula>
    </cfRule>
    <cfRule type="cellIs" dxfId="992" priority="314" stopIfTrue="1" operator="lessThan">
      <formula>-0.03</formula>
    </cfRule>
  </conditionalFormatting>
  <conditionalFormatting sqref="K63">
    <cfRule type="cellIs" dxfId="991" priority="311" operator="greaterThan">
      <formula>0.03</formula>
    </cfRule>
    <cfRule type="cellIs" dxfId="990" priority="312" stopIfTrue="1" operator="lessThan">
      <formula>-0.03</formula>
    </cfRule>
  </conditionalFormatting>
  <conditionalFormatting sqref="L63">
    <cfRule type="cellIs" dxfId="989" priority="309" operator="greaterThan">
      <formula>0.03</formula>
    </cfRule>
    <cfRule type="cellIs" dxfId="988" priority="310" stopIfTrue="1" operator="lessThan">
      <formula>-0.03</formula>
    </cfRule>
  </conditionalFormatting>
  <conditionalFormatting sqref="I62">
    <cfRule type="cellIs" dxfId="987" priority="307" operator="greaterThan">
      <formula>0.03</formula>
    </cfRule>
    <cfRule type="cellIs" dxfId="986" priority="308" stopIfTrue="1" operator="lessThan">
      <formula>-0.03</formula>
    </cfRule>
  </conditionalFormatting>
  <conditionalFormatting sqref="J62">
    <cfRule type="cellIs" dxfId="985" priority="305" operator="greaterThan">
      <formula>0.03</formula>
    </cfRule>
    <cfRule type="cellIs" dxfId="984" priority="306" stopIfTrue="1" operator="lessThan">
      <formula>-0.03</formula>
    </cfRule>
  </conditionalFormatting>
  <conditionalFormatting sqref="K62">
    <cfRule type="cellIs" dxfId="983" priority="303" operator="greaterThan">
      <formula>0.03</formula>
    </cfRule>
    <cfRule type="cellIs" dxfId="982" priority="304" stopIfTrue="1" operator="lessThan">
      <formula>-0.03</formula>
    </cfRule>
  </conditionalFormatting>
  <conditionalFormatting sqref="L62">
    <cfRule type="cellIs" dxfId="981" priority="301" operator="greaterThan">
      <formula>0.03</formula>
    </cfRule>
    <cfRule type="cellIs" dxfId="980" priority="302" stopIfTrue="1" operator="lessThan">
      <formula>-0.03</formula>
    </cfRule>
  </conditionalFormatting>
  <conditionalFormatting sqref="I68:L68">
    <cfRule type="cellIs" dxfId="979" priority="277" operator="greaterThan">
      <formula>0.03</formula>
    </cfRule>
    <cfRule type="cellIs" dxfId="978" priority="278" stopIfTrue="1" operator="lessThan">
      <formula>-0.03</formula>
    </cfRule>
  </conditionalFormatting>
  <conditionalFormatting sqref="I73:L73">
    <cfRule type="cellIs" dxfId="977" priority="275" operator="greaterThan">
      <formula>0.03</formula>
    </cfRule>
    <cfRule type="cellIs" dxfId="976" priority="276" stopIfTrue="1" operator="lessThan">
      <formula>-0.03</formula>
    </cfRule>
  </conditionalFormatting>
  <conditionalFormatting sqref="I69:L72">
    <cfRule type="cellIs" dxfId="975" priority="273" operator="greaterThan">
      <formula>0.03</formula>
    </cfRule>
    <cfRule type="cellIs" dxfId="974" priority="274" stopIfTrue="1" operator="lessThan">
      <formula>-0.03</formula>
    </cfRule>
  </conditionalFormatting>
  <conditionalFormatting sqref="I12:L12">
    <cfRule type="cellIs" dxfId="973" priority="105" operator="greaterThan">
      <formula>0.03</formula>
    </cfRule>
    <cfRule type="cellIs" dxfId="972" priority="106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20"/>
  <sheetViews>
    <sheetView tabSelected="1" zoomScaleNormal="100" workbookViewId="0">
      <selection activeCell="A2" sqref="A2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180</v>
      </c>
    </row>
    <row r="2" spans="1:21" x14ac:dyDescent="0.25">
      <c r="A2" t="s">
        <v>159</v>
      </c>
    </row>
    <row r="3" spans="1:21" x14ac:dyDescent="0.25">
      <c r="A3" t="s">
        <v>173</v>
      </c>
    </row>
    <row r="4" spans="1:21" x14ac:dyDescent="0.25">
      <c r="A4" t="s">
        <v>160</v>
      </c>
    </row>
    <row r="5" spans="1:21" s="35" customFormat="1" ht="15.75" customHeight="1" x14ac:dyDescent="0.25">
      <c r="B5" s="68" t="s">
        <v>29</v>
      </c>
      <c r="C5" s="73" t="s">
        <v>167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5"/>
    </row>
    <row r="6" spans="1:21" s="35" customFormat="1" x14ac:dyDescent="0.25">
      <c r="B6" s="69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8"/>
    </row>
    <row r="7" spans="1:21" ht="16.5" customHeight="1" thickBot="1" x14ac:dyDescent="0.3">
      <c r="C7" s="70" t="s">
        <v>65</v>
      </c>
      <c r="D7" s="71"/>
      <c r="E7" s="71"/>
      <c r="F7" s="71"/>
      <c r="G7" s="71"/>
      <c r="H7" s="71"/>
      <c r="I7" s="5"/>
      <c r="J7" s="70" t="s">
        <v>136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</row>
    <row r="9" spans="1:21" x14ac:dyDescent="0.25">
      <c r="A9" s="6" t="s">
        <v>35</v>
      </c>
      <c r="B9" s="6" t="s">
        <v>46</v>
      </c>
      <c r="C9" s="15">
        <v>5877.02</v>
      </c>
      <c r="D9" s="16">
        <v>37.286000000000001</v>
      </c>
      <c r="E9" s="16">
        <v>38.783999999999999</v>
      </c>
      <c r="F9" s="16">
        <v>41.085999999999999</v>
      </c>
      <c r="G9" s="16">
        <v>16.13</v>
      </c>
      <c r="H9" s="16">
        <f t="shared" ref="H9:H80" si="0">(6*D9+E9+F9)/8</f>
        <v>37.948250000000002</v>
      </c>
      <c r="I9" s="5"/>
      <c r="J9" s="15">
        <v>4063.9104000000002</v>
      </c>
      <c r="K9" s="16">
        <v>37.850499999999997</v>
      </c>
      <c r="L9" s="16">
        <v>39.520000000000003</v>
      </c>
      <c r="M9" s="16">
        <v>42.028700000000001</v>
      </c>
      <c r="N9" s="16">
        <v>15.9727</v>
      </c>
      <c r="O9" s="16">
        <f t="shared" ref="O9:O80" si="1">(6*K9+L9+M9)/8</f>
        <v>38.581462500000001</v>
      </c>
      <c r="P9" s="7"/>
      <c r="Q9" s="8">
        <f>bdrate(C9:C12,D9:D12,J9:J12,K9:K12)</f>
        <v>-0.45032760758226187</v>
      </c>
      <c r="R9" s="8">
        <f>bdrate(C9:C12,E9:E12,J9:J12,L9:L12)</f>
        <v>-0.50190413641797504</v>
      </c>
      <c r="S9" s="8">
        <f>bdrate(C9:C12,F9:F12,J9:J12,M9:M12)</f>
        <v>-0.50922992767656794</v>
      </c>
      <c r="T9" s="25">
        <f>bdrate(C9:C12,H9:H12,J9:J12,O9:O12)</f>
        <v>-0.45890800861164904</v>
      </c>
      <c r="U9" s="28">
        <f t="shared" ref="U9:U40" si="2">(N9-G9)/G9</f>
        <v>-9.7520148791072122E-3</v>
      </c>
    </row>
    <row r="10" spans="1:21" x14ac:dyDescent="0.25">
      <c r="A10" s="9" t="s">
        <v>36</v>
      </c>
      <c r="B10" s="9"/>
      <c r="C10" s="17">
        <v>4367.54</v>
      </c>
      <c r="D10" s="18">
        <v>36.210999999999999</v>
      </c>
      <c r="E10" s="18">
        <v>38.326000000000001</v>
      </c>
      <c r="F10" s="18">
        <v>40.597999999999999</v>
      </c>
      <c r="G10" s="18">
        <v>17.14</v>
      </c>
      <c r="H10" s="18">
        <f t="shared" si="0"/>
        <v>37.02375</v>
      </c>
      <c r="I10" s="5"/>
      <c r="J10" s="17">
        <v>2952.4623999999999</v>
      </c>
      <c r="K10" s="18">
        <v>36.825400000000002</v>
      </c>
      <c r="L10" s="18">
        <v>38.925699999999999</v>
      </c>
      <c r="M10" s="18">
        <v>41.302300000000002</v>
      </c>
      <c r="N10" s="18">
        <v>18.315000000000001</v>
      </c>
      <c r="O10" s="18">
        <f t="shared" si="1"/>
        <v>37.647550000000003</v>
      </c>
      <c r="P10" s="7"/>
      <c r="Q10" s="10"/>
      <c r="R10" s="11"/>
      <c r="S10" s="11"/>
      <c r="T10" s="26"/>
      <c r="U10" s="28">
        <f t="shared" si="2"/>
        <v>6.8553092182030373E-2</v>
      </c>
    </row>
    <row r="11" spans="1:21" x14ac:dyDescent="0.25">
      <c r="B11" s="9"/>
      <c r="C11" s="17">
        <v>2868.78</v>
      </c>
      <c r="D11" s="18">
        <v>34.494999999999997</v>
      </c>
      <c r="E11" s="18">
        <v>37.679000000000002</v>
      </c>
      <c r="F11" s="18">
        <v>39.926000000000002</v>
      </c>
      <c r="G11" s="18">
        <v>18.25</v>
      </c>
      <c r="H11" s="18">
        <f t="shared" si="0"/>
        <v>35.571874999999999</v>
      </c>
      <c r="I11" s="5"/>
      <c r="J11" s="17">
        <v>1946.1312</v>
      </c>
      <c r="K11" s="18">
        <v>35.270200000000003</v>
      </c>
      <c r="L11" s="18">
        <v>38.216099999999997</v>
      </c>
      <c r="M11" s="18">
        <v>40.520200000000003</v>
      </c>
      <c r="N11" s="18">
        <v>20.8565</v>
      </c>
      <c r="O11" s="18">
        <f t="shared" si="1"/>
        <v>36.294687500000002</v>
      </c>
      <c r="P11" s="7"/>
      <c r="Q11" s="10"/>
      <c r="R11" s="11"/>
      <c r="S11" s="11"/>
      <c r="T11" s="26"/>
      <c r="U11" s="28">
        <f t="shared" si="2"/>
        <v>0.14282191780821921</v>
      </c>
    </row>
    <row r="12" spans="1:21" ht="16.5" thickBot="1" x14ac:dyDescent="0.3">
      <c r="B12" s="12"/>
      <c r="C12" s="19">
        <v>1397.56</v>
      </c>
      <c r="D12" s="20">
        <v>31.077000000000002</v>
      </c>
      <c r="E12" s="20">
        <v>36.594999999999999</v>
      </c>
      <c r="F12" s="20">
        <v>38.762999999999998</v>
      </c>
      <c r="G12" s="20">
        <v>20.16</v>
      </c>
      <c r="H12" s="20">
        <f t="shared" si="0"/>
        <v>32.727499999999999</v>
      </c>
      <c r="I12" s="5"/>
      <c r="J12" s="19">
        <v>914.61440000000005</v>
      </c>
      <c r="K12" s="20">
        <v>32.4452</v>
      </c>
      <c r="L12" s="20">
        <v>36.850299999999997</v>
      </c>
      <c r="M12" s="20">
        <v>39.063499999999998</v>
      </c>
      <c r="N12" s="20">
        <v>27.0124</v>
      </c>
      <c r="O12" s="20">
        <f t="shared" si="1"/>
        <v>33.823124999999997</v>
      </c>
      <c r="P12" s="7"/>
      <c r="Q12" s="13"/>
      <c r="R12" s="14"/>
      <c r="S12" s="14"/>
      <c r="T12" s="27"/>
      <c r="U12" s="28">
        <f t="shared" si="2"/>
        <v>0.33990079365079362</v>
      </c>
    </row>
    <row r="13" spans="1:21" x14ac:dyDescent="0.25">
      <c r="B13" s="6" t="s">
        <v>47</v>
      </c>
      <c r="C13" s="15">
        <v>6236.2</v>
      </c>
      <c r="D13" s="16">
        <v>29.414999999999999</v>
      </c>
      <c r="E13" s="16">
        <v>39.261000000000003</v>
      </c>
      <c r="F13" s="16">
        <v>40.112000000000002</v>
      </c>
      <c r="G13" s="16">
        <v>14.18</v>
      </c>
      <c r="H13" s="16">
        <f t="shared" si="0"/>
        <v>31.982875</v>
      </c>
      <c r="I13" s="5"/>
      <c r="J13" s="15">
        <v>4150.0959999999995</v>
      </c>
      <c r="K13" s="16">
        <v>29.322700000000001</v>
      </c>
      <c r="L13" s="16">
        <v>39.225299999999997</v>
      </c>
      <c r="M13" s="16">
        <v>40.181399999999996</v>
      </c>
      <c r="N13" s="16">
        <v>11.5571</v>
      </c>
      <c r="O13" s="16">
        <f t="shared" si="1"/>
        <v>31.917862500000002</v>
      </c>
      <c r="P13" s="7"/>
      <c r="Q13" s="8">
        <f>bdrate(C13:C16,D13:D16,J13:J16,K13:K16)</f>
        <v>-0.39767365572228364</v>
      </c>
      <c r="R13" s="8">
        <f>bdrate(C13:C16,E13:E16,J13:J16,L13:L16)</f>
        <v>-0.29292775219659217</v>
      </c>
      <c r="S13" s="8">
        <f>bdrate(C13:C16,F13:F16,J13:J16,M13:M16)</f>
        <v>-0.36396669471929666</v>
      </c>
      <c r="T13" s="25">
        <f>bdrate(C13:C16,H13:H16,J13:J16,O13:O16)</f>
        <v>-0.39138801010890123</v>
      </c>
      <c r="U13" s="28">
        <f t="shared" si="2"/>
        <v>-0.18497179125528912</v>
      </c>
    </row>
    <row r="14" spans="1:21" x14ac:dyDescent="0.25">
      <c r="B14" s="9"/>
      <c r="C14" s="17">
        <v>4677.12</v>
      </c>
      <c r="D14" s="18">
        <v>27.835000000000001</v>
      </c>
      <c r="E14" s="18">
        <v>38.771999999999998</v>
      </c>
      <c r="F14" s="18">
        <v>39.634</v>
      </c>
      <c r="G14" s="18">
        <v>15.74</v>
      </c>
      <c r="H14" s="18">
        <f t="shared" si="0"/>
        <v>30.677</v>
      </c>
      <c r="I14" s="5"/>
      <c r="J14" s="17">
        <v>3111.7584000000002</v>
      </c>
      <c r="K14" s="18">
        <v>28.0441</v>
      </c>
      <c r="L14" s="18">
        <v>38.692900000000002</v>
      </c>
      <c r="M14" s="18">
        <v>39.728999999999999</v>
      </c>
      <c r="N14" s="18">
        <v>13.409599999999999</v>
      </c>
      <c r="O14" s="18">
        <f t="shared" si="1"/>
        <v>30.835812500000003</v>
      </c>
      <c r="P14" s="7"/>
      <c r="Q14" s="10"/>
      <c r="R14" s="11"/>
      <c r="S14" s="11"/>
      <c r="T14" s="26"/>
      <c r="U14" s="28">
        <f t="shared" si="2"/>
        <v>-0.14805590851334186</v>
      </c>
    </row>
    <row r="15" spans="1:21" x14ac:dyDescent="0.25">
      <c r="B15" s="9"/>
      <c r="C15" s="17">
        <v>3105.6</v>
      </c>
      <c r="D15" s="18">
        <v>25.71</v>
      </c>
      <c r="E15" s="18">
        <v>38.024999999999999</v>
      </c>
      <c r="F15" s="18">
        <v>38.906999999999996</v>
      </c>
      <c r="G15" s="18">
        <v>17.670000000000002</v>
      </c>
      <c r="H15" s="18">
        <f t="shared" si="0"/>
        <v>28.899000000000001</v>
      </c>
      <c r="I15" s="5"/>
      <c r="J15" s="17">
        <v>2091.848</v>
      </c>
      <c r="K15" s="18">
        <v>26.311</v>
      </c>
      <c r="L15" s="18">
        <v>37.913800000000002</v>
      </c>
      <c r="M15" s="18">
        <v>39.0505</v>
      </c>
      <c r="N15" s="18">
        <v>15.8932</v>
      </c>
      <c r="O15" s="18">
        <f t="shared" si="1"/>
        <v>29.353787499999999</v>
      </c>
      <c r="P15" s="7"/>
      <c r="Q15" s="10"/>
      <c r="R15" s="11"/>
      <c r="S15" s="11"/>
      <c r="T15" s="26"/>
      <c r="U15" s="28">
        <f t="shared" si="2"/>
        <v>-0.10055461233729493</v>
      </c>
    </row>
    <row r="16" spans="1:21" ht="16.5" thickBot="1" x14ac:dyDescent="0.3">
      <c r="B16" s="12"/>
      <c r="C16" s="19">
        <v>1654.85</v>
      </c>
      <c r="D16" s="20">
        <v>22.556000000000001</v>
      </c>
      <c r="E16" s="20">
        <v>36.438000000000002</v>
      </c>
      <c r="F16" s="20">
        <v>37.536999999999999</v>
      </c>
      <c r="G16" s="20">
        <v>19.66</v>
      </c>
      <c r="H16" s="20">
        <f t="shared" si="0"/>
        <v>26.163875000000001</v>
      </c>
      <c r="I16" s="5"/>
      <c r="J16" s="19">
        <v>1192.9215999999999</v>
      </c>
      <c r="K16" s="20">
        <v>24.3432</v>
      </c>
      <c r="L16" s="20">
        <v>36.459600000000002</v>
      </c>
      <c r="M16" s="20">
        <v>37.705300000000001</v>
      </c>
      <c r="N16" s="20">
        <v>19.623200000000001</v>
      </c>
      <c r="O16" s="20">
        <f t="shared" si="1"/>
        <v>27.528012499999999</v>
      </c>
      <c r="P16" s="7"/>
      <c r="Q16" s="13"/>
      <c r="R16" s="14"/>
      <c r="S16" s="14"/>
      <c r="T16" s="27"/>
      <c r="U16" s="28">
        <f t="shared" si="2"/>
        <v>-1.8718209562563325E-3</v>
      </c>
    </row>
    <row r="17" spans="1:21" x14ac:dyDescent="0.25">
      <c r="A17" s="6" t="s">
        <v>37</v>
      </c>
      <c r="B17" s="6" t="s">
        <v>48</v>
      </c>
      <c r="C17" s="15">
        <v>3051.05</v>
      </c>
      <c r="D17" s="16">
        <v>38.14</v>
      </c>
      <c r="E17" s="16">
        <v>41.531999999999996</v>
      </c>
      <c r="F17" s="16">
        <v>42.531999999999996</v>
      </c>
      <c r="G17" s="16">
        <v>26.62</v>
      </c>
      <c r="H17" s="16">
        <f t="shared" si="0"/>
        <v>39.113</v>
      </c>
      <c r="I17" s="5"/>
      <c r="J17" s="15">
        <v>2422.1104</v>
      </c>
      <c r="K17" s="16">
        <v>39.034100000000002</v>
      </c>
      <c r="L17" s="16">
        <v>41.833500000000001</v>
      </c>
      <c r="M17" s="16">
        <v>43.190199999999997</v>
      </c>
      <c r="N17" s="16">
        <v>28.540800000000001</v>
      </c>
      <c r="O17" s="16">
        <f t="shared" si="1"/>
        <v>39.903537500000006</v>
      </c>
      <c r="P17" s="7"/>
      <c r="Q17" s="8">
        <f>bdrate(C17:C20,D17:D20,J17:J20,K17:K20)</f>
        <v>-0.47520313107301282</v>
      </c>
      <c r="R17" s="8">
        <f>bdrate(C17:C20,E17:E20,J17:J20,L17:L20)</f>
        <v>-0.36333597525752659</v>
      </c>
      <c r="S17" s="8">
        <f>bdrate(C17:C20,F17:F20,J17:J20,M17:M20)</f>
        <v>-0.47710100911540965</v>
      </c>
      <c r="T17" s="25">
        <f>bdrate(C17:C20,H17:H20,J17:J20,O17:O20)</f>
        <v>-0.46859146048208644</v>
      </c>
      <c r="U17" s="28">
        <f t="shared" si="2"/>
        <v>7.2156273478587524E-2</v>
      </c>
    </row>
    <row r="18" spans="1:21" x14ac:dyDescent="0.25">
      <c r="A18" s="9" t="s">
        <v>38</v>
      </c>
      <c r="B18" s="9"/>
      <c r="C18" s="17">
        <v>2010.23</v>
      </c>
      <c r="D18" s="18">
        <v>36.600999999999999</v>
      </c>
      <c r="E18" s="18">
        <v>40.829000000000001</v>
      </c>
      <c r="F18" s="18">
        <v>41.707000000000001</v>
      </c>
      <c r="G18" s="18">
        <v>29.03</v>
      </c>
      <c r="H18" s="18">
        <f t="shared" si="0"/>
        <v>37.767749999999999</v>
      </c>
      <c r="I18" s="5"/>
      <c r="J18" s="17">
        <v>1582.144</v>
      </c>
      <c r="K18" s="18">
        <v>37.804299999999998</v>
      </c>
      <c r="L18" s="18">
        <v>41.164700000000003</v>
      </c>
      <c r="M18" s="18">
        <v>42.411299999999997</v>
      </c>
      <c r="N18" s="18">
        <v>33.0124</v>
      </c>
      <c r="O18" s="18">
        <f t="shared" si="1"/>
        <v>38.800224999999998</v>
      </c>
      <c r="P18" s="7"/>
      <c r="Q18" s="10"/>
      <c r="R18" s="11"/>
      <c r="S18" s="11"/>
      <c r="T18" s="26"/>
      <c r="U18" s="28">
        <f t="shared" si="2"/>
        <v>0.13718222528418872</v>
      </c>
    </row>
    <row r="19" spans="1:21" x14ac:dyDescent="0.25">
      <c r="B19" s="9"/>
      <c r="C19" s="17">
        <v>1252.17</v>
      </c>
      <c r="D19" s="18">
        <v>34.671999999999997</v>
      </c>
      <c r="E19" s="18">
        <v>40.048000000000002</v>
      </c>
      <c r="F19" s="18">
        <v>40.954999999999998</v>
      </c>
      <c r="G19" s="18">
        <v>32.18</v>
      </c>
      <c r="H19" s="18">
        <f t="shared" si="0"/>
        <v>36.129374999999996</v>
      </c>
      <c r="I19" s="5"/>
      <c r="J19" s="17">
        <v>959.32399999999996</v>
      </c>
      <c r="K19" s="18">
        <v>36.224600000000002</v>
      </c>
      <c r="L19" s="18">
        <v>40.330500000000001</v>
      </c>
      <c r="M19" s="18">
        <v>41.5505</v>
      </c>
      <c r="N19" s="18">
        <v>38.2714</v>
      </c>
      <c r="O19" s="18">
        <f t="shared" si="1"/>
        <v>37.403574999999996</v>
      </c>
      <c r="P19" s="7"/>
      <c r="Q19" s="10"/>
      <c r="R19" s="11"/>
      <c r="S19" s="11"/>
      <c r="T19" s="26"/>
      <c r="U19" s="28">
        <f t="shared" si="2"/>
        <v>0.18929148539465507</v>
      </c>
    </row>
    <row r="20" spans="1:21" ht="16.5" thickBot="1" x14ac:dyDescent="0.3">
      <c r="B20" s="12"/>
      <c r="C20" s="19">
        <v>746.89</v>
      </c>
      <c r="D20" s="20">
        <v>32.347000000000001</v>
      </c>
      <c r="E20" s="20">
        <v>39.185000000000002</v>
      </c>
      <c r="F20" s="20">
        <v>40.167000000000002</v>
      </c>
      <c r="G20" s="20">
        <v>36.369999999999997</v>
      </c>
      <c r="H20" s="20">
        <f t="shared" si="0"/>
        <v>34.179249999999996</v>
      </c>
      <c r="I20" s="5"/>
      <c r="J20" s="19">
        <v>554.78</v>
      </c>
      <c r="K20" s="20">
        <v>34.427999999999997</v>
      </c>
      <c r="L20" s="20">
        <v>39.579500000000003</v>
      </c>
      <c r="M20" s="20">
        <v>40.831699999999998</v>
      </c>
      <c r="N20" s="20">
        <v>45.514899999999997</v>
      </c>
      <c r="O20" s="20">
        <f t="shared" si="1"/>
        <v>35.872399999999999</v>
      </c>
      <c r="P20" s="7"/>
      <c r="Q20" s="13"/>
      <c r="R20" s="14"/>
      <c r="S20" s="14"/>
      <c r="T20" s="27"/>
      <c r="U20" s="28">
        <f t="shared" si="2"/>
        <v>0.2514407478691229</v>
      </c>
    </row>
    <row r="21" spans="1:21" x14ac:dyDescent="0.25">
      <c r="B21" s="6" t="s">
        <v>49</v>
      </c>
      <c r="C21" s="15">
        <v>3469.69</v>
      </c>
      <c r="D21" s="16">
        <v>35.533999999999999</v>
      </c>
      <c r="E21" s="16">
        <v>38.76</v>
      </c>
      <c r="F21" s="16">
        <v>39.963000000000001</v>
      </c>
      <c r="G21" s="16">
        <v>29.93</v>
      </c>
      <c r="H21" s="16">
        <f t="shared" si="0"/>
        <v>36.490875000000003</v>
      </c>
      <c r="I21" s="5"/>
      <c r="J21" s="15">
        <v>2574.4312</v>
      </c>
      <c r="K21" s="16">
        <v>36.081899999999997</v>
      </c>
      <c r="L21" s="16">
        <v>39.990099999999998</v>
      </c>
      <c r="M21" s="16">
        <v>41.235300000000002</v>
      </c>
      <c r="N21" s="16">
        <v>25.3432</v>
      </c>
      <c r="O21" s="16">
        <f t="shared" si="1"/>
        <v>37.214599999999997</v>
      </c>
      <c r="P21" s="7"/>
      <c r="Q21" s="8">
        <f>bdrate(C21:C24,D21:D24,J21:J24,K21:K24)</f>
        <v>-0.45403705612778889</v>
      </c>
      <c r="R21" s="8">
        <f>bdrate(C21:C24,E21:E24,J21:J24,L21:L24)</f>
        <v>-0.57618138344819059</v>
      </c>
      <c r="S21" s="8">
        <f>bdrate(C21:C24,F21:F24,J21:J24,M21:M24)</f>
        <v>-0.58407931691298809</v>
      </c>
      <c r="T21" s="25">
        <f>bdrate(C21:C24,H21:H24,J21:J24,O21:O24)</f>
        <v>-0.47552502342900338</v>
      </c>
      <c r="U21" s="28">
        <f t="shared" si="2"/>
        <v>-0.15325091881055797</v>
      </c>
    </row>
    <row r="22" spans="1:21" x14ac:dyDescent="0.25">
      <c r="B22" s="9"/>
      <c r="C22" s="17">
        <v>2303.2600000000002</v>
      </c>
      <c r="D22" s="18">
        <v>33.938000000000002</v>
      </c>
      <c r="E22" s="18">
        <v>38.104999999999997</v>
      </c>
      <c r="F22" s="18">
        <v>39.436999999999998</v>
      </c>
      <c r="G22" s="18">
        <v>33.590000000000003</v>
      </c>
      <c r="H22" s="18">
        <f t="shared" si="0"/>
        <v>35.146250000000002</v>
      </c>
      <c r="I22" s="5"/>
      <c r="J22" s="17">
        <v>1693.8471999999999</v>
      </c>
      <c r="K22" s="18">
        <v>34.7913</v>
      </c>
      <c r="L22" s="18">
        <v>39.196100000000001</v>
      </c>
      <c r="M22" s="18">
        <v>40.417900000000003</v>
      </c>
      <c r="N22" s="18">
        <v>32.3887</v>
      </c>
      <c r="O22" s="18">
        <f t="shared" si="1"/>
        <v>36.045225000000002</v>
      </c>
      <c r="P22" s="7"/>
      <c r="Q22" s="10"/>
      <c r="R22" s="11"/>
      <c r="S22" s="11"/>
      <c r="T22" s="26"/>
      <c r="U22" s="28">
        <f t="shared" si="2"/>
        <v>-3.576362012503731E-2</v>
      </c>
    </row>
    <row r="23" spans="1:21" x14ac:dyDescent="0.25">
      <c r="B23" s="9"/>
      <c r="C23" s="17">
        <v>1429.63</v>
      </c>
      <c r="D23" s="18">
        <v>32.098999999999997</v>
      </c>
      <c r="E23" s="18">
        <v>37.381</v>
      </c>
      <c r="F23" s="18">
        <v>38.82</v>
      </c>
      <c r="G23" s="18">
        <v>36.72</v>
      </c>
      <c r="H23" s="18">
        <f t="shared" si="0"/>
        <v>33.599375000000002</v>
      </c>
      <c r="I23" s="5"/>
      <c r="J23" s="17">
        <v>1024.0920000000001</v>
      </c>
      <c r="K23" s="18">
        <v>33.212800000000001</v>
      </c>
      <c r="L23" s="18">
        <v>38.195999999999998</v>
      </c>
      <c r="M23" s="18">
        <v>39.516100000000002</v>
      </c>
      <c r="N23" s="18">
        <v>39.241300000000003</v>
      </c>
      <c r="O23" s="18">
        <f t="shared" si="1"/>
        <v>34.6236125</v>
      </c>
      <c r="P23" s="7"/>
      <c r="Q23" s="10"/>
      <c r="R23" s="11"/>
      <c r="S23" s="11"/>
      <c r="T23" s="26"/>
      <c r="U23" s="28">
        <f t="shared" si="2"/>
        <v>6.8662854030501194E-2</v>
      </c>
    </row>
    <row r="24" spans="1:21" ht="16.5" thickBot="1" x14ac:dyDescent="0.3">
      <c r="B24" s="12"/>
      <c r="C24" s="19">
        <v>854.33</v>
      </c>
      <c r="D24" s="20">
        <v>30.106999999999999</v>
      </c>
      <c r="E24" s="20">
        <v>36.72</v>
      </c>
      <c r="F24" s="20">
        <v>38.198999999999998</v>
      </c>
      <c r="G24" s="20">
        <v>39.96</v>
      </c>
      <c r="H24" s="20">
        <f t="shared" si="0"/>
        <v>31.945124999999997</v>
      </c>
      <c r="I24" s="5"/>
      <c r="J24" s="19">
        <v>594.70079999999996</v>
      </c>
      <c r="K24" s="20">
        <v>31.601900000000001</v>
      </c>
      <c r="L24" s="20">
        <v>37.2682</v>
      </c>
      <c r="M24" s="20">
        <v>38.801499999999997</v>
      </c>
      <c r="N24" s="20">
        <v>47.049599999999998</v>
      </c>
      <c r="O24" s="20">
        <f t="shared" si="1"/>
        <v>33.210137500000002</v>
      </c>
      <c r="P24" s="7"/>
      <c r="Q24" s="13"/>
      <c r="R24" s="14"/>
      <c r="S24" s="14"/>
      <c r="T24" s="27"/>
      <c r="U24" s="28">
        <f t="shared" si="2"/>
        <v>0.17741741741741734</v>
      </c>
    </row>
    <row r="25" spans="1:21" x14ac:dyDescent="0.25">
      <c r="B25" s="6" t="s">
        <v>50</v>
      </c>
      <c r="C25" s="15">
        <v>3581.97</v>
      </c>
      <c r="D25" s="16">
        <v>33.509</v>
      </c>
      <c r="E25" s="16">
        <v>37.649000000000001</v>
      </c>
      <c r="F25" s="16">
        <v>38.999000000000002</v>
      </c>
      <c r="G25" s="16">
        <v>34.65</v>
      </c>
      <c r="H25" s="16">
        <f t="shared" si="0"/>
        <v>34.71275</v>
      </c>
      <c r="I25" s="5"/>
      <c r="J25" s="15">
        <v>2464.4832000000001</v>
      </c>
      <c r="K25" s="16">
        <v>34.234400000000001</v>
      </c>
      <c r="L25" s="16">
        <v>38.099499999999999</v>
      </c>
      <c r="M25" s="16">
        <v>40.057699999999997</v>
      </c>
      <c r="N25" s="16">
        <v>36.461799999999997</v>
      </c>
      <c r="O25" s="16">
        <f t="shared" si="1"/>
        <v>35.445450000000001</v>
      </c>
      <c r="P25" s="7"/>
      <c r="Q25" s="8">
        <f>bdrate(C25:C28,D25:D28,J25:J28,K25:K28)</f>
        <v>-0.52132702226018879</v>
      </c>
      <c r="R25" s="8">
        <f>bdrate(C25:C28,E25:E28,J25:J28,L25:L28)</f>
        <v>-0.51433056075057815</v>
      </c>
      <c r="S25" s="8">
        <f>bdrate(C25:C28,F25:F28,J25:J28,M25:M28)</f>
        <v>-0.54969941699815483</v>
      </c>
      <c r="T25" s="25">
        <f>bdrate(C25:C28,H25:H28,J25:J28,O25:O28)</f>
        <v>-0.52503942647171564</v>
      </c>
      <c r="U25" s="28">
        <f t="shared" si="2"/>
        <v>5.2288600288600239E-2</v>
      </c>
    </row>
    <row r="26" spans="1:21" x14ac:dyDescent="0.25">
      <c r="B26" s="9"/>
      <c r="C26" s="17">
        <v>2374.21</v>
      </c>
      <c r="D26" s="18">
        <v>31.981000000000002</v>
      </c>
      <c r="E26" s="18">
        <v>37.127000000000002</v>
      </c>
      <c r="F26" s="18">
        <v>38.15</v>
      </c>
      <c r="G26" s="18">
        <v>37.36</v>
      </c>
      <c r="H26" s="18">
        <f t="shared" si="0"/>
        <v>33.395375000000001</v>
      </c>
      <c r="I26" s="5"/>
      <c r="J26" s="17">
        <v>1641.5072</v>
      </c>
      <c r="K26" s="18">
        <v>33.055700000000002</v>
      </c>
      <c r="L26" s="18">
        <v>37.625700000000002</v>
      </c>
      <c r="M26" s="18">
        <v>39.147300000000001</v>
      </c>
      <c r="N26" s="18">
        <v>43.077500000000001</v>
      </c>
      <c r="O26" s="18">
        <f t="shared" si="1"/>
        <v>34.388400000000004</v>
      </c>
      <c r="P26" s="7"/>
      <c r="Q26" s="10"/>
      <c r="R26" s="11"/>
      <c r="S26" s="11"/>
      <c r="T26" s="26"/>
      <c r="U26" s="28">
        <f t="shared" si="2"/>
        <v>0.15303800856531052</v>
      </c>
    </row>
    <row r="27" spans="1:21" x14ac:dyDescent="0.25">
      <c r="B27" s="9"/>
      <c r="C27" s="17">
        <v>1479.25</v>
      </c>
      <c r="D27" s="18">
        <v>30.004000000000001</v>
      </c>
      <c r="E27" s="18">
        <v>36.551000000000002</v>
      </c>
      <c r="F27" s="18">
        <v>37.183999999999997</v>
      </c>
      <c r="G27" s="18">
        <v>39.76</v>
      </c>
      <c r="H27" s="18">
        <f t="shared" si="0"/>
        <v>31.719874999999998</v>
      </c>
      <c r="I27" s="5"/>
      <c r="J27" s="17">
        <v>1007.7064</v>
      </c>
      <c r="K27" s="18">
        <v>31.497699999999998</v>
      </c>
      <c r="L27" s="18">
        <v>36.975299999999997</v>
      </c>
      <c r="M27" s="18">
        <v>38.0381</v>
      </c>
      <c r="N27" s="18">
        <v>49.613</v>
      </c>
      <c r="O27" s="18">
        <f t="shared" si="1"/>
        <v>32.999949999999998</v>
      </c>
      <c r="P27" s="7"/>
      <c r="Q27" s="10"/>
      <c r="R27" s="11"/>
      <c r="S27" s="11"/>
      <c r="T27" s="26"/>
      <c r="U27" s="28">
        <f t="shared" si="2"/>
        <v>0.24781187122736423</v>
      </c>
    </row>
    <row r="28" spans="1:21" ht="16.5" thickBot="1" x14ac:dyDescent="0.3">
      <c r="B28" s="12"/>
      <c r="C28" s="19">
        <v>881.9</v>
      </c>
      <c r="D28" s="20">
        <v>27.638000000000002</v>
      </c>
      <c r="E28" s="20">
        <v>35.863</v>
      </c>
      <c r="F28" s="20">
        <v>36.247999999999998</v>
      </c>
      <c r="G28" s="20">
        <v>43.08</v>
      </c>
      <c r="H28" s="20">
        <f t="shared" si="0"/>
        <v>29.742374999999999</v>
      </c>
      <c r="I28" s="5"/>
      <c r="J28" s="19">
        <v>585.48479999999995</v>
      </c>
      <c r="K28" s="20">
        <v>29.745200000000001</v>
      </c>
      <c r="L28" s="20">
        <v>36.206299999999999</v>
      </c>
      <c r="M28" s="20">
        <v>36.829500000000003</v>
      </c>
      <c r="N28" s="20">
        <v>59.687199999999997</v>
      </c>
      <c r="O28" s="20">
        <f t="shared" si="1"/>
        <v>31.438375000000001</v>
      </c>
      <c r="P28" s="7"/>
      <c r="Q28" s="13"/>
      <c r="R28" s="14"/>
      <c r="S28" s="14"/>
      <c r="T28" s="27"/>
      <c r="U28" s="28">
        <f t="shared" si="2"/>
        <v>0.38549675023212626</v>
      </c>
    </row>
    <row r="29" spans="1:21" x14ac:dyDescent="0.25">
      <c r="B29" s="6" t="s">
        <v>51</v>
      </c>
      <c r="C29" s="29">
        <v>3595.16</v>
      </c>
      <c r="D29" s="30">
        <v>32.729999999999997</v>
      </c>
      <c r="E29" s="30">
        <v>39.26</v>
      </c>
      <c r="F29" s="30">
        <v>38.887</v>
      </c>
      <c r="G29" s="16">
        <v>31.7</v>
      </c>
      <c r="H29" s="16">
        <f t="shared" si="0"/>
        <v>34.315874999999998</v>
      </c>
      <c r="I29" s="5"/>
      <c r="J29" s="29">
        <v>2475.6248000000001</v>
      </c>
      <c r="K29" s="30">
        <v>34.116100000000003</v>
      </c>
      <c r="L29" s="30">
        <v>40.1629</v>
      </c>
      <c r="M29" s="30">
        <v>39.600299999999997</v>
      </c>
      <c r="N29" s="16">
        <v>31.515899999999998</v>
      </c>
      <c r="O29" s="16">
        <f t="shared" si="1"/>
        <v>35.557475000000004</v>
      </c>
      <c r="P29" s="7"/>
      <c r="Q29" s="8">
        <f>bdrate(C29:C32,D29:D32,J29:J32,K29:K32)</f>
        <v>-0.60999790408499432</v>
      </c>
      <c r="R29" s="8">
        <f>bdrate(C29:C32,E29:E32,J29:J32,L29:L32)</f>
        <v>-0.54083992705415085</v>
      </c>
      <c r="S29" s="8">
        <f>bdrate(C29:C32,F29:F32,J29:J32,M29:M32)</f>
        <v>-0.39861353383587372</v>
      </c>
      <c r="T29" s="25">
        <f>bdrate(C29:C32,H29:H32,J29:J32,O29:O32)</f>
        <v>-0.59419489464429631</v>
      </c>
      <c r="U29" s="28">
        <f t="shared" si="2"/>
        <v>-5.8075709779180067E-3</v>
      </c>
    </row>
    <row r="30" spans="1:21" x14ac:dyDescent="0.25">
      <c r="B30" s="9"/>
      <c r="C30" s="31">
        <v>2386.5500000000002</v>
      </c>
      <c r="D30" s="32">
        <v>30.702000000000002</v>
      </c>
      <c r="E30" s="32">
        <v>38.405000000000001</v>
      </c>
      <c r="F30" s="32">
        <v>37.975999999999999</v>
      </c>
      <c r="G30" s="18">
        <v>34.69</v>
      </c>
      <c r="H30" s="18">
        <f t="shared" si="0"/>
        <v>32.574125000000002</v>
      </c>
      <c r="I30" s="5"/>
      <c r="J30" s="31">
        <v>1650.6335999999999</v>
      </c>
      <c r="K30" s="32">
        <v>32.784999999999997</v>
      </c>
      <c r="L30" s="32">
        <v>39.372599999999998</v>
      </c>
      <c r="M30" s="32">
        <v>38.5002</v>
      </c>
      <c r="N30" s="18">
        <v>37.355200000000004</v>
      </c>
      <c r="O30" s="18">
        <f t="shared" si="1"/>
        <v>34.322849999999995</v>
      </c>
      <c r="P30" s="7"/>
      <c r="Q30" s="10"/>
      <c r="R30" s="11"/>
      <c r="S30" s="11"/>
      <c r="T30" s="26"/>
      <c r="U30" s="28">
        <f t="shared" si="2"/>
        <v>7.6829057365235112E-2</v>
      </c>
    </row>
    <row r="31" spans="1:21" x14ac:dyDescent="0.25">
      <c r="B31" s="9"/>
      <c r="C31" s="31">
        <v>1474.76</v>
      </c>
      <c r="D31" s="32">
        <v>27.797000000000001</v>
      </c>
      <c r="E31" s="32">
        <v>37.265999999999998</v>
      </c>
      <c r="F31" s="32">
        <v>36.798999999999999</v>
      </c>
      <c r="G31" s="18">
        <v>37.4</v>
      </c>
      <c r="H31" s="18">
        <f t="shared" si="0"/>
        <v>30.105875000000001</v>
      </c>
      <c r="I31" s="5"/>
      <c r="J31" s="31">
        <v>1027.4880000000001</v>
      </c>
      <c r="K31" s="32">
        <v>31.116599999999998</v>
      </c>
      <c r="L31" s="32">
        <v>38.358400000000003</v>
      </c>
      <c r="M31" s="32">
        <v>37.094200000000001</v>
      </c>
      <c r="N31" s="18">
        <v>43.368899999999996</v>
      </c>
      <c r="O31" s="18">
        <f t="shared" si="1"/>
        <v>32.769024999999999</v>
      </c>
      <c r="P31" s="7"/>
      <c r="Q31" s="10"/>
      <c r="R31" s="11"/>
      <c r="S31" s="11"/>
      <c r="T31" s="26"/>
      <c r="U31" s="28">
        <f t="shared" si="2"/>
        <v>0.15959625668449193</v>
      </c>
    </row>
    <row r="32" spans="1:21" ht="16.5" thickBot="1" x14ac:dyDescent="0.3">
      <c r="B32" s="12"/>
      <c r="C32" s="33">
        <v>876.11</v>
      </c>
      <c r="D32" s="34">
        <v>23.986999999999998</v>
      </c>
      <c r="E32" s="34">
        <v>35.578000000000003</v>
      </c>
      <c r="F32" s="34">
        <v>34.762</v>
      </c>
      <c r="G32" s="20">
        <v>40.68</v>
      </c>
      <c r="H32" s="20">
        <f t="shared" si="0"/>
        <v>26.78275</v>
      </c>
      <c r="I32" s="5"/>
      <c r="J32" s="33">
        <v>605.43759999999997</v>
      </c>
      <c r="K32" s="34">
        <v>29.255700000000001</v>
      </c>
      <c r="L32" s="34">
        <v>36.630099999999999</v>
      </c>
      <c r="M32" s="34">
        <v>35.381</v>
      </c>
      <c r="N32" s="20">
        <v>51.7759</v>
      </c>
      <c r="O32" s="20">
        <f t="shared" si="1"/>
        <v>30.9431625</v>
      </c>
      <c r="P32" s="7"/>
      <c r="Q32" s="13"/>
      <c r="R32" s="14"/>
      <c r="S32" s="14"/>
      <c r="T32" s="27"/>
      <c r="U32" s="28">
        <f t="shared" si="2"/>
        <v>0.2727605703048181</v>
      </c>
    </row>
    <row r="33" spans="1:21" x14ac:dyDescent="0.25">
      <c r="B33" s="6" t="s">
        <v>52</v>
      </c>
      <c r="C33" s="15">
        <v>3606.5</v>
      </c>
      <c r="D33" s="16">
        <v>31.893999999999998</v>
      </c>
      <c r="E33" s="16">
        <v>38.402999999999999</v>
      </c>
      <c r="F33" s="16">
        <v>40.918999999999997</v>
      </c>
      <c r="G33" s="16">
        <v>37.450000000000003</v>
      </c>
      <c r="H33" s="16">
        <f t="shared" si="0"/>
        <v>33.835749999999997</v>
      </c>
      <c r="I33" s="5"/>
      <c r="J33" s="15">
        <v>2424.8272000000002</v>
      </c>
      <c r="K33" s="16">
        <v>33.5687</v>
      </c>
      <c r="L33" s="16">
        <v>39.720100000000002</v>
      </c>
      <c r="M33" s="16">
        <v>42.179099999999998</v>
      </c>
      <c r="N33" s="16">
        <v>41.987400000000001</v>
      </c>
      <c r="O33" s="16">
        <f t="shared" si="1"/>
        <v>35.413924999999999</v>
      </c>
      <c r="P33" s="7"/>
      <c r="Q33" s="8">
        <f>bdrate(C33:C36,D33:D36,J33:J36,K33:K36)</f>
        <v>-0.72558202599055233</v>
      </c>
      <c r="R33" s="8">
        <f>bdrate(C33:C36,E33:E36,J33:J36,L33:L36)</f>
        <v>-0.73331569898374604</v>
      </c>
      <c r="S33" s="8">
        <f>bdrate(C33:C36,F33:F36,J33:J36,M33:M36)</f>
        <v>-0.7532006705895461</v>
      </c>
      <c r="T33" s="25">
        <f>bdrate(C33:C36,H33:H36,J33:J36,O33:O36)</f>
        <v>-0.72700788088616397</v>
      </c>
      <c r="U33" s="28">
        <f t="shared" si="2"/>
        <v>0.12115887850467284</v>
      </c>
    </row>
    <row r="34" spans="1:21" x14ac:dyDescent="0.25">
      <c r="B34" s="9"/>
      <c r="C34" s="17">
        <v>2378.56</v>
      </c>
      <c r="D34" s="18">
        <v>30.643000000000001</v>
      </c>
      <c r="E34" s="18">
        <v>37.996000000000002</v>
      </c>
      <c r="F34" s="18">
        <v>40.472000000000001</v>
      </c>
      <c r="G34" s="18">
        <v>40.06</v>
      </c>
      <c r="H34" s="18">
        <f t="shared" si="0"/>
        <v>32.790750000000003</v>
      </c>
      <c r="I34" s="5"/>
      <c r="J34" s="17">
        <v>1598.2328</v>
      </c>
      <c r="K34" s="18">
        <v>32.857300000000002</v>
      </c>
      <c r="L34" s="18">
        <v>39.22</v>
      </c>
      <c r="M34" s="18">
        <v>41.7303</v>
      </c>
      <c r="N34" s="18">
        <v>48.258699999999997</v>
      </c>
      <c r="O34" s="18">
        <f t="shared" si="1"/>
        <v>34.761762500000003</v>
      </c>
      <c r="P34" s="7"/>
      <c r="Q34" s="10"/>
      <c r="R34" s="11"/>
      <c r="S34" s="11"/>
      <c r="T34" s="26"/>
      <c r="U34" s="28">
        <f t="shared" si="2"/>
        <v>0.20466050923614565</v>
      </c>
    </row>
    <row r="35" spans="1:21" x14ac:dyDescent="0.25">
      <c r="B35" s="9"/>
      <c r="C35" s="17">
        <v>1449.56</v>
      </c>
      <c r="D35" s="18">
        <v>28.809000000000001</v>
      </c>
      <c r="E35" s="18">
        <v>37.417999999999999</v>
      </c>
      <c r="F35" s="18">
        <v>39.878999999999998</v>
      </c>
      <c r="G35" s="18">
        <v>42.08</v>
      </c>
      <c r="H35" s="18">
        <f t="shared" si="0"/>
        <v>31.268875000000001</v>
      </c>
      <c r="I35" s="5"/>
      <c r="J35" s="17">
        <v>1007.0992</v>
      </c>
      <c r="K35" s="18">
        <v>31.863700000000001</v>
      </c>
      <c r="L35" s="18">
        <v>38.514299999999999</v>
      </c>
      <c r="M35" s="18">
        <v>41.029699999999998</v>
      </c>
      <c r="N35" s="18">
        <v>53.942300000000003</v>
      </c>
      <c r="O35" s="18">
        <f t="shared" si="1"/>
        <v>33.840775000000001</v>
      </c>
      <c r="P35" s="7"/>
      <c r="Q35" s="10"/>
      <c r="R35" s="11"/>
      <c r="S35" s="11"/>
      <c r="T35" s="26"/>
      <c r="U35" s="28">
        <f t="shared" si="2"/>
        <v>0.28189876425855526</v>
      </c>
    </row>
    <row r="36" spans="1:21" ht="16.5" thickBot="1" x14ac:dyDescent="0.3">
      <c r="B36" s="12"/>
      <c r="C36" s="19">
        <v>841.12</v>
      </c>
      <c r="D36" s="20">
        <v>26.358000000000001</v>
      </c>
      <c r="E36" s="20">
        <v>36.884</v>
      </c>
      <c r="F36" s="20">
        <v>38.914999999999999</v>
      </c>
      <c r="G36" s="20">
        <v>44.26</v>
      </c>
      <c r="H36" s="20">
        <f t="shared" si="0"/>
        <v>29.243374999999997</v>
      </c>
      <c r="I36" s="5"/>
      <c r="J36" s="19">
        <v>600.98479999999995</v>
      </c>
      <c r="K36" s="20">
        <v>30.430099999999999</v>
      </c>
      <c r="L36" s="20">
        <v>37.924399999999999</v>
      </c>
      <c r="M36" s="20">
        <v>40.549300000000002</v>
      </c>
      <c r="N36" s="20">
        <v>60.096200000000003</v>
      </c>
      <c r="O36" s="20">
        <f t="shared" si="1"/>
        <v>32.631787500000002</v>
      </c>
      <c r="P36" s="7"/>
      <c r="Q36" s="13"/>
      <c r="R36" s="14"/>
      <c r="S36" s="14"/>
      <c r="T36" s="27"/>
      <c r="U36" s="28">
        <f t="shared" si="2"/>
        <v>0.35779936737460472</v>
      </c>
    </row>
    <row r="37" spans="1:21" x14ac:dyDescent="0.25">
      <c r="A37" s="6" t="s">
        <v>39</v>
      </c>
      <c r="B37" s="6" t="s">
        <v>53</v>
      </c>
      <c r="C37" s="15">
        <v>1568.79</v>
      </c>
      <c r="D37" s="16">
        <v>33.97</v>
      </c>
      <c r="E37" s="16">
        <v>37.331000000000003</v>
      </c>
      <c r="F37" s="16">
        <v>37.174999999999997</v>
      </c>
      <c r="G37" s="16">
        <v>154.08000000000001</v>
      </c>
      <c r="H37" s="16">
        <f t="shared" si="0"/>
        <v>34.790750000000003</v>
      </c>
      <c r="I37" s="5"/>
      <c r="J37" s="15">
        <v>1245.1728000000001</v>
      </c>
      <c r="K37" s="16">
        <v>35.157800000000002</v>
      </c>
      <c r="L37" s="16">
        <v>39.071199999999997</v>
      </c>
      <c r="M37" s="16">
        <v>38.956099999999999</v>
      </c>
      <c r="N37" s="16">
        <v>108.2954</v>
      </c>
      <c r="O37" s="16">
        <f t="shared" si="1"/>
        <v>36.121762500000003</v>
      </c>
      <c r="P37" s="7"/>
      <c r="Q37" s="8">
        <f>bdrate(C37:C40,D37:D40,J37:J40,K37:K40)</f>
        <v>-0.441704359847362</v>
      </c>
      <c r="R37" s="8">
        <f>bdrate(C37:C40,E37:E40,J37:J40,L37:L40)</f>
        <v>-0.51022016047869623</v>
      </c>
      <c r="S37" s="8">
        <f>bdrate(C37:C40,F37:F40,J37:J40,M37:M40)</f>
        <v>-0.46624727973825564</v>
      </c>
      <c r="T37" s="25">
        <f>bdrate(C37:C40,H37:H40,J37:J40,O37:O40)</f>
        <v>-0.45255670679145099</v>
      </c>
      <c r="U37" s="28">
        <f t="shared" si="2"/>
        <v>-0.29714823468328144</v>
      </c>
    </row>
    <row r="38" spans="1:21" x14ac:dyDescent="0.25">
      <c r="A38" s="9" t="s">
        <v>40</v>
      </c>
      <c r="B38" s="9"/>
      <c r="C38" s="17">
        <v>1046.23</v>
      </c>
      <c r="D38" s="18">
        <v>32.411999999999999</v>
      </c>
      <c r="E38" s="18">
        <v>36.338000000000001</v>
      </c>
      <c r="F38" s="18">
        <v>36.085000000000001</v>
      </c>
      <c r="G38" s="18">
        <v>169.55</v>
      </c>
      <c r="H38" s="18">
        <f t="shared" si="0"/>
        <v>33.361874999999998</v>
      </c>
      <c r="I38" s="5"/>
      <c r="J38" s="17">
        <v>828.80079999999998</v>
      </c>
      <c r="K38" s="18">
        <v>33.643500000000003</v>
      </c>
      <c r="L38" s="18">
        <v>37.808399999999999</v>
      </c>
      <c r="M38" s="18">
        <v>37.525799999999997</v>
      </c>
      <c r="N38" s="18">
        <v>129.23240000000001</v>
      </c>
      <c r="O38" s="18">
        <f t="shared" si="1"/>
        <v>34.6494</v>
      </c>
      <c r="P38" s="7"/>
      <c r="Q38" s="10"/>
      <c r="R38" s="11"/>
      <c r="S38" s="11"/>
      <c r="T38" s="26"/>
      <c r="U38" s="28">
        <f t="shared" si="2"/>
        <v>-0.23779180182836918</v>
      </c>
    </row>
    <row r="39" spans="1:21" x14ac:dyDescent="0.25">
      <c r="B39" s="9"/>
      <c r="C39" s="17">
        <v>650.20000000000005</v>
      </c>
      <c r="D39" s="18">
        <v>30.484999999999999</v>
      </c>
      <c r="E39" s="18">
        <v>35.340000000000003</v>
      </c>
      <c r="F39" s="18">
        <v>34.968000000000004</v>
      </c>
      <c r="G39" s="18">
        <v>184.16</v>
      </c>
      <c r="H39" s="18">
        <f t="shared" si="0"/>
        <v>31.652250000000002</v>
      </c>
      <c r="I39" s="5"/>
      <c r="J39" s="17">
        <v>517.73760000000004</v>
      </c>
      <c r="K39" s="18">
        <v>31.924600000000002</v>
      </c>
      <c r="L39" s="18">
        <v>36.421799999999998</v>
      </c>
      <c r="M39" s="18">
        <v>35.940399999999997</v>
      </c>
      <c r="N39" s="18">
        <v>155.5694</v>
      </c>
      <c r="O39" s="18">
        <f t="shared" si="1"/>
        <v>32.988725000000002</v>
      </c>
      <c r="P39" s="7"/>
      <c r="Q39" s="10"/>
      <c r="R39" s="11"/>
      <c r="S39" s="11"/>
      <c r="T39" s="26"/>
      <c r="U39" s="28">
        <f t="shared" si="2"/>
        <v>-0.15524869678540398</v>
      </c>
    </row>
    <row r="40" spans="1:21" ht="16.5" thickBot="1" x14ac:dyDescent="0.3">
      <c r="B40" s="12"/>
      <c r="C40" s="19">
        <v>387.63</v>
      </c>
      <c r="D40" s="20">
        <v>28.058</v>
      </c>
      <c r="E40" s="20">
        <v>34.354999999999997</v>
      </c>
      <c r="F40" s="20">
        <v>33.9</v>
      </c>
      <c r="G40" s="20">
        <v>205.42</v>
      </c>
      <c r="H40" s="20">
        <f t="shared" si="0"/>
        <v>29.575375000000001</v>
      </c>
      <c r="I40" s="5"/>
      <c r="J40" s="19">
        <v>310.1576</v>
      </c>
      <c r="K40" s="20">
        <v>30.057300000000001</v>
      </c>
      <c r="L40" s="20">
        <v>35.0685</v>
      </c>
      <c r="M40" s="20">
        <v>34.435200000000002</v>
      </c>
      <c r="N40" s="20">
        <v>191.86490000000001</v>
      </c>
      <c r="O40" s="20">
        <f t="shared" si="1"/>
        <v>31.230937500000003</v>
      </c>
      <c r="P40" s="7"/>
      <c r="Q40" s="13"/>
      <c r="R40" s="14"/>
      <c r="S40" s="14"/>
      <c r="T40" s="27"/>
      <c r="U40" s="28">
        <f t="shared" si="2"/>
        <v>-6.5987245643072651E-2</v>
      </c>
    </row>
    <row r="41" spans="1:21" x14ac:dyDescent="0.25">
      <c r="B41" s="6" t="s">
        <v>54</v>
      </c>
      <c r="C41" s="15">
        <v>1580.71</v>
      </c>
      <c r="D41" s="16">
        <v>34.207999999999998</v>
      </c>
      <c r="E41" s="16">
        <v>39.093000000000004</v>
      </c>
      <c r="F41" s="16">
        <v>39.832000000000001</v>
      </c>
      <c r="G41" s="16">
        <v>157.6</v>
      </c>
      <c r="H41" s="16">
        <f t="shared" si="0"/>
        <v>35.521625</v>
      </c>
      <c r="I41" s="5"/>
      <c r="J41" s="15">
        <v>1275.5056</v>
      </c>
      <c r="K41" s="16">
        <v>35.371499999999997</v>
      </c>
      <c r="L41" s="16">
        <v>40.413499999999999</v>
      </c>
      <c r="M41" s="16">
        <v>41.201000000000001</v>
      </c>
      <c r="N41" s="16">
        <v>116.2115</v>
      </c>
      <c r="O41" s="16">
        <f t="shared" si="1"/>
        <v>36.730437500000001</v>
      </c>
      <c r="P41" s="7"/>
      <c r="Q41" s="8">
        <f>bdrate(C41:C44,D41:D44,J41:J44,K41:K44)</f>
        <v>-0.46012065597588681</v>
      </c>
      <c r="R41" s="8">
        <f>bdrate(C41:C44,E41:E44,J41:J44,L41:L44)</f>
        <v>-0.4825715026355657</v>
      </c>
      <c r="S41" s="8">
        <f>bdrate(C41:C44,F41:F44,J41:J44,M41:M44)</f>
        <v>-0.45484697656832163</v>
      </c>
      <c r="T41" s="25">
        <f>bdrate(C41:C44,H41:H44,J41:J44,O41:O44)</f>
        <v>-0.46378661169298652</v>
      </c>
      <c r="U41" s="28">
        <f t="shared" ref="U41:U72" si="3">(N41-G41)/G41</f>
        <v>-0.26261738578680199</v>
      </c>
    </row>
    <row r="42" spans="1:21" x14ac:dyDescent="0.25">
      <c r="B42" s="9"/>
      <c r="C42" s="17">
        <v>1054.2</v>
      </c>
      <c r="D42" s="18">
        <v>32.320999999999998</v>
      </c>
      <c r="E42" s="18">
        <v>38.274999999999999</v>
      </c>
      <c r="F42" s="18">
        <v>38.941000000000003</v>
      </c>
      <c r="G42" s="18">
        <v>170.16</v>
      </c>
      <c r="H42" s="18">
        <f t="shared" si="0"/>
        <v>33.892749999999999</v>
      </c>
      <c r="I42" s="5"/>
      <c r="J42" s="17">
        <v>850.52560000000005</v>
      </c>
      <c r="K42" s="18">
        <v>33.8384</v>
      </c>
      <c r="L42" s="18">
        <v>39.386800000000001</v>
      </c>
      <c r="M42" s="18">
        <v>40.041499999999999</v>
      </c>
      <c r="N42" s="18">
        <v>137.86760000000001</v>
      </c>
      <c r="O42" s="18">
        <f t="shared" si="1"/>
        <v>35.307337499999996</v>
      </c>
      <c r="P42" s="7"/>
      <c r="Q42" s="10"/>
      <c r="R42" s="11"/>
      <c r="S42" s="11"/>
      <c r="T42" s="26"/>
      <c r="U42" s="28">
        <f t="shared" si="3"/>
        <v>-0.18977668077103896</v>
      </c>
    </row>
    <row r="43" spans="1:21" x14ac:dyDescent="0.25">
      <c r="B43" s="9"/>
      <c r="C43" s="17">
        <v>656.82</v>
      </c>
      <c r="D43" s="18">
        <v>29.931000000000001</v>
      </c>
      <c r="E43" s="18">
        <v>37.423000000000002</v>
      </c>
      <c r="F43" s="18">
        <v>38.012</v>
      </c>
      <c r="G43" s="18">
        <v>183.99</v>
      </c>
      <c r="H43" s="18">
        <f t="shared" si="0"/>
        <v>31.877625000000002</v>
      </c>
      <c r="I43" s="5"/>
      <c r="J43" s="17">
        <v>531.42960000000005</v>
      </c>
      <c r="K43" s="18">
        <v>31.991800000000001</v>
      </c>
      <c r="L43" s="18">
        <v>38.265900000000002</v>
      </c>
      <c r="M43" s="18">
        <v>38.819400000000002</v>
      </c>
      <c r="N43" s="18">
        <v>163.6661</v>
      </c>
      <c r="O43" s="18">
        <f t="shared" si="1"/>
        <v>33.629512500000004</v>
      </c>
      <c r="P43" s="7"/>
      <c r="Q43" s="10"/>
      <c r="R43" s="11"/>
      <c r="S43" s="11"/>
      <c r="T43" s="26"/>
      <c r="U43" s="28">
        <f t="shared" si="3"/>
        <v>-0.11046198162943642</v>
      </c>
    </row>
    <row r="44" spans="1:21" ht="16.5" thickBot="1" x14ac:dyDescent="0.3">
      <c r="B44" s="12"/>
      <c r="C44" s="19">
        <v>392.76</v>
      </c>
      <c r="D44" s="20">
        <v>26.841000000000001</v>
      </c>
      <c r="E44" s="20">
        <v>36.460999999999999</v>
      </c>
      <c r="F44" s="20">
        <v>36.945999999999998</v>
      </c>
      <c r="G44" s="20">
        <v>199.27</v>
      </c>
      <c r="H44" s="20">
        <f t="shared" si="0"/>
        <v>29.306625</v>
      </c>
      <c r="I44" s="5"/>
      <c r="J44" s="19">
        <v>318.32240000000002</v>
      </c>
      <c r="K44" s="20">
        <v>29.9282</v>
      </c>
      <c r="L44" s="20">
        <v>37.131599999999999</v>
      </c>
      <c r="M44" s="20">
        <v>37.566200000000002</v>
      </c>
      <c r="N44" s="20">
        <v>198.2816</v>
      </c>
      <c r="O44" s="20">
        <f t="shared" si="1"/>
        <v>31.783374999999999</v>
      </c>
      <c r="P44" s="7"/>
      <c r="Q44" s="13"/>
      <c r="R44" s="14"/>
      <c r="S44" s="14"/>
      <c r="T44" s="27"/>
      <c r="U44" s="28">
        <f t="shared" si="3"/>
        <v>-4.9601043809906799E-3</v>
      </c>
    </row>
    <row r="45" spans="1:21" x14ac:dyDescent="0.25">
      <c r="B45" s="6" t="s">
        <v>55</v>
      </c>
      <c r="C45" s="15">
        <v>1444.1</v>
      </c>
      <c r="D45" s="16">
        <v>28.494</v>
      </c>
      <c r="E45" s="16">
        <v>34.881999999999998</v>
      </c>
      <c r="F45" s="16">
        <v>35.540999999999997</v>
      </c>
      <c r="G45" s="16">
        <v>162.71</v>
      </c>
      <c r="H45" s="16">
        <f t="shared" si="0"/>
        <v>30.173375</v>
      </c>
      <c r="I45" s="5"/>
      <c r="J45" s="15">
        <v>1243.1592000000001</v>
      </c>
      <c r="K45" s="16">
        <v>30.468699999999998</v>
      </c>
      <c r="L45" s="16">
        <v>36.606200000000001</v>
      </c>
      <c r="M45" s="16">
        <v>37.372199999999999</v>
      </c>
      <c r="N45" s="16">
        <v>106.13460000000001</v>
      </c>
      <c r="O45" s="16">
        <f t="shared" si="1"/>
        <v>32.098824999999998</v>
      </c>
      <c r="P45" s="7"/>
      <c r="Q45" s="8">
        <f>bdrate(C45:C48,D45:D48,J45:J48,K45:K48)</f>
        <v>-0.54131074590221262</v>
      </c>
      <c r="R45" s="8">
        <f>bdrate(C45:C48,E45:E48,J45:J48,L45:L48)</f>
        <v>-0.56238782171886825</v>
      </c>
      <c r="S45" s="8">
        <f>bdrate(C45:C48,F45:F48,J45:J48,M45:M48)</f>
        <v>-0.56430273446804469</v>
      </c>
      <c r="T45" s="25">
        <f>bdrate(C45:C48,H45:H48,J45:J48,O45:O48)</f>
        <v>-0.54775563780896097</v>
      </c>
      <c r="U45" s="28">
        <f t="shared" si="3"/>
        <v>-0.34770696330895456</v>
      </c>
    </row>
    <row r="46" spans="1:21" x14ac:dyDescent="0.25">
      <c r="B46" s="9"/>
      <c r="C46" s="17">
        <v>963.17</v>
      </c>
      <c r="D46" s="18">
        <v>27.161999999999999</v>
      </c>
      <c r="E46" s="18">
        <v>34.426000000000002</v>
      </c>
      <c r="F46" s="18">
        <v>35.122</v>
      </c>
      <c r="G46" s="18">
        <v>178.06</v>
      </c>
      <c r="H46" s="18">
        <f t="shared" si="0"/>
        <v>29.064999999999998</v>
      </c>
      <c r="I46" s="5"/>
      <c r="J46" s="17">
        <v>830.404</v>
      </c>
      <c r="K46" s="18">
        <v>29.133600000000001</v>
      </c>
      <c r="L46" s="18">
        <v>35.7453</v>
      </c>
      <c r="M46" s="18">
        <v>36.454000000000001</v>
      </c>
      <c r="N46" s="18">
        <v>128.20509999999999</v>
      </c>
      <c r="O46" s="18">
        <f t="shared" si="1"/>
        <v>30.8751125</v>
      </c>
      <c r="P46" s="7"/>
      <c r="Q46" s="10"/>
      <c r="R46" s="11"/>
      <c r="S46" s="11"/>
      <c r="T46" s="26"/>
      <c r="U46" s="28">
        <f t="shared" si="3"/>
        <v>-0.27998932943951488</v>
      </c>
    </row>
    <row r="47" spans="1:21" x14ac:dyDescent="0.25">
      <c r="B47" s="9"/>
      <c r="C47" s="17">
        <v>604.52</v>
      </c>
      <c r="D47" s="18">
        <v>25.698</v>
      </c>
      <c r="E47" s="18">
        <v>33.975999999999999</v>
      </c>
      <c r="F47" s="18">
        <v>34.659999999999997</v>
      </c>
      <c r="G47" s="18">
        <v>194.25</v>
      </c>
      <c r="H47" s="18">
        <f t="shared" si="0"/>
        <v>27.852999999999998</v>
      </c>
      <c r="I47" s="5"/>
      <c r="J47" s="17">
        <v>520.41759999999999</v>
      </c>
      <c r="K47" s="18">
        <v>27.6769</v>
      </c>
      <c r="L47" s="18">
        <v>34.864199999999997</v>
      </c>
      <c r="M47" s="18">
        <v>35.550899999999999</v>
      </c>
      <c r="N47" s="18">
        <v>154.7988</v>
      </c>
      <c r="O47" s="18">
        <f t="shared" si="1"/>
        <v>29.559562499999998</v>
      </c>
      <c r="P47" s="7"/>
      <c r="Q47" s="10"/>
      <c r="R47" s="11"/>
      <c r="S47" s="11"/>
      <c r="T47" s="26"/>
      <c r="U47" s="28">
        <f t="shared" si="3"/>
        <v>-0.20309498069498069</v>
      </c>
    </row>
    <row r="48" spans="1:21" ht="16.5" thickBot="1" x14ac:dyDescent="0.3">
      <c r="B48" s="12"/>
      <c r="C48" s="19">
        <v>363.15</v>
      </c>
      <c r="D48" s="20">
        <v>24.11</v>
      </c>
      <c r="E48" s="20">
        <v>33.508000000000003</v>
      </c>
      <c r="F48" s="20">
        <v>34.24</v>
      </c>
      <c r="G48" s="20">
        <v>215.15</v>
      </c>
      <c r="H48" s="20">
        <f t="shared" si="0"/>
        <v>26.551000000000002</v>
      </c>
      <c r="I48" s="5"/>
      <c r="J48" s="19">
        <v>311.06560000000002</v>
      </c>
      <c r="K48" s="20">
        <v>26.110700000000001</v>
      </c>
      <c r="L48" s="20">
        <v>33.9133</v>
      </c>
      <c r="M48" s="20">
        <v>34.622199999999999</v>
      </c>
      <c r="N48" s="20">
        <v>188.53700000000001</v>
      </c>
      <c r="O48" s="20">
        <f t="shared" si="1"/>
        <v>28.149962499999997</v>
      </c>
      <c r="P48" s="7"/>
      <c r="Q48" s="13"/>
      <c r="R48" s="14"/>
      <c r="S48" s="14"/>
      <c r="T48" s="27"/>
      <c r="U48" s="28">
        <f t="shared" si="3"/>
        <v>-0.12369509644434115</v>
      </c>
    </row>
    <row r="49" spans="1:21" x14ac:dyDescent="0.25">
      <c r="B49" s="6" t="s">
        <v>56</v>
      </c>
      <c r="C49" s="15">
        <v>1439.24</v>
      </c>
      <c r="D49" s="16">
        <v>32.347999999999999</v>
      </c>
      <c r="E49" s="16">
        <v>36.299999999999997</v>
      </c>
      <c r="F49" s="16">
        <v>37.892000000000003</v>
      </c>
      <c r="G49" s="16">
        <v>120.19</v>
      </c>
      <c r="H49" s="16">
        <f t="shared" si="0"/>
        <v>33.534999999999997</v>
      </c>
      <c r="I49" s="5"/>
      <c r="J49" s="15">
        <v>1240.4784</v>
      </c>
      <c r="K49" s="16">
        <v>32.450499999999998</v>
      </c>
      <c r="L49" s="16">
        <v>36.693600000000004</v>
      </c>
      <c r="M49" s="16">
        <v>38.2181</v>
      </c>
      <c r="N49" s="16">
        <v>74.534199999999998</v>
      </c>
      <c r="O49" s="16">
        <f t="shared" si="1"/>
        <v>33.701837499999996</v>
      </c>
      <c r="P49" s="7"/>
      <c r="Q49" s="8">
        <f>bdrate(C49:C52,D49:D52,J49:J52,K49:K52)</f>
        <v>-0.25692200112092134</v>
      </c>
      <c r="R49" s="8">
        <f>bdrate(C49:C52,E49:E52,J49:J52,L49:L52)</f>
        <v>-0.19520620701368807</v>
      </c>
      <c r="S49" s="8">
        <f>bdrate(C49:C52,F49:F52,J49:J52,M49:M52)</f>
        <v>-0.17218164975551709</v>
      </c>
      <c r="T49" s="25">
        <f>bdrate(C49:C52,H49:H52,J49:J52,O49:O52)</f>
        <v>-0.2508500815428899</v>
      </c>
      <c r="U49" s="28">
        <f t="shared" si="3"/>
        <v>-0.3798635493801481</v>
      </c>
    </row>
    <row r="50" spans="1:21" x14ac:dyDescent="0.25">
      <c r="B50" s="9"/>
      <c r="C50" s="17">
        <v>968.91</v>
      </c>
      <c r="D50" s="18">
        <v>30.664000000000001</v>
      </c>
      <c r="E50" s="18">
        <v>35.575000000000003</v>
      </c>
      <c r="F50" s="18">
        <v>37.14</v>
      </c>
      <c r="G50" s="18">
        <v>132.63</v>
      </c>
      <c r="H50" s="18">
        <f t="shared" si="0"/>
        <v>32.087375000000002</v>
      </c>
      <c r="I50" s="5"/>
      <c r="J50" s="17">
        <v>826.69839999999999</v>
      </c>
      <c r="K50" s="18">
        <v>30.995200000000001</v>
      </c>
      <c r="L50" s="18">
        <v>35.817599999999999</v>
      </c>
      <c r="M50" s="18">
        <v>37.309899999999999</v>
      </c>
      <c r="N50" s="18">
        <v>90.716700000000003</v>
      </c>
      <c r="O50" s="18">
        <f t="shared" si="1"/>
        <v>32.387337500000001</v>
      </c>
      <c r="P50" s="7"/>
      <c r="Q50" s="10"/>
      <c r="R50" s="11"/>
      <c r="S50" s="11"/>
      <c r="T50" s="26"/>
      <c r="U50" s="28">
        <f t="shared" si="3"/>
        <v>-0.31601673829450344</v>
      </c>
    </row>
    <row r="51" spans="1:21" x14ac:dyDescent="0.25">
      <c r="B51" s="9"/>
      <c r="C51" s="17">
        <v>617.66</v>
      </c>
      <c r="D51" s="18">
        <v>28.751000000000001</v>
      </c>
      <c r="E51" s="18">
        <v>34.832000000000001</v>
      </c>
      <c r="F51" s="18">
        <v>36.326000000000001</v>
      </c>
      <c r="G51" s="18">
        <v>144.58000000000001</v>
      </c>
      <c r="H51" s="18">
        <f t="shared" si="0"/>
        <v>30.457999999999998</v>
      </c>
      <c r="I51" s="5"/>
      <c r="J51" s="17">
        <v>516.48800000000006</v>
      </c>
      <c r="K51" s="18">
        <v>29.380400000000002</v>
      </c>
      <c r="L51" s="18">
        <v>34.820099999999996</v>
      </c>
      <c r="M51" s="18">
        <v>36.264000000000003</v>
      </c>
      <c r="N51" s="18">
        <v>110.538</v>
      </c>
      <c r="O51" s="18">
        <f t="shared" si="1"/>
        <v>30.9208125</v>
      </c>
      <c r="P51" s="7"/>
      <c r="Q51" s="10"/>
      <c r="R51" s="11"/>
      <c r="S51" s="11"/>
      <c r="T51" s="26"/>
      <c r="U51" s="28">
        <f t="shared" si="3"/>
        <v>-0.23545441969843695</v>
      </c>
    </row>
    <row r="52" spans="1:21" ht="16.5" thickBot="1" x14ac:dyDescent="0.3">
      <c r="B52" s="12"/>
      <c r="C52" s="19">
        <v>372.42</v>
      </c>
      <c r="D52" s="20">
        <v>26.478000000000002</v>
      </c>
      <c r="E52" s="20">
        <v>33.893999999999998</v>
      </c>
      <c r="F52" s="20">
        <v>35.290999999999997</v>
      </c>
      <c r="G52" s="20">
        <v>164.29</v>
      </c>
      <c r="H52" s="20">
        <f t="shared" si="0"/>
        <v>28.506625</v>
      </c>
      <c r="I52" s="5"/>
      <c r="J52" s="19">
        <v>309.56479999999999</v>
      </c>
      <c r="K52" s="20">
        <v>27.804099999999998</v>
      </c>
      <c r="L52" s="20">
        <v>33.797699999999999</v>
      </c>
      <c r="M52" s="20">
        <v>35.170999999999999</v>
      </c>
      <c r="N52" s="20">
        <v>131.69450000000001</v>
      </c>
      <c r="O52" s="20">
        <f t="shared" si="1"/>
        <v>29.474162499999995</v>
      </c>
      <c r="P52" s="7"/>
      <c r="Q52" s="13"/>
      <c r="R52" s="14"/>
      <c r="S52" s="14"/>
      <c r="T52" s="27"/>
      <c r="U52" s="28">
        <f t="shared" si="3"/>
        <v>-0.19840221559437574</v>
      </c>
    </row>
    <row r="53" spans="1:21" x14ac:dyDescent="0.25">
      <c r="A53" s="6" t="s">
        <v>41</v>
      </c>
      <c r="B53" s="6" t="s">
        <v>57</v>
      </c>
      <c r="C53" s="15">
        <v>829.64</v>
      </c>
      <c r="D53" s="16">
        <v>34.646999999999998</v>
      </c>
      <c r="E53" s="16">
        <v>38.707000000000001</v>
      </c>
      <c r="F53" s="16">
        <v>37.545000000000002</v>
      </c>
      <c r="G53" s="16">
        <v>493.1</v>
      </c>
      <c r="H53" s="16">
        <f t="shared" si="0"/>
        <v>35.516750000000002</v>
      </c>
      <c r="I53" s="5"/>
      <c r="J53" s="15">
        <v>619.14639999999997</v>
      </c>
      <c r="K53" s="16">
        <v>34.582999999999998</v>
      </c>
      <c r="L53" s="16">
        <v>39.572499999999998</v>
      </c>
      <c r="M53" s="16">
        <v>38.146000000000001</v>
      </c>
      <c r="N53" s="16">
        <v>302.29750000000001</v>
      </c>
      <c r="O53" s="16">
        <f t="shared" si="1"/>
        <v>35.6520625</v>
      </c>
      <c r="P53" s="7"/>
      <c r="Q53" s="8">
        <f>bdrate(C53:C56,D53:D56,J53:J56,K53:K56)</f>
        <v>-0.30039434322456826</v>
      </c>
      <c r="R53" s="8">
        <f>bdrate(C53:C56,E53:E56,J53:J56,L53:L56)</f>
        <v>-0.38557845773001731</v>
      </c>
      <c r="S53" s="8">
        <f>bdrate(C53:C56,F53:F56,J53:J56,M53:M56)</f>
        <v>-0.28422958977114954</v>
      </c>
      <c r="T53" s="25">
        <f>bdrate(C53:C56,H53:H56,J53:J56,O53:O56)</f>
        <v>-0.30777294408548872</v>
      </c>
      <c r="U53" s="28">
        <f t="shared" si="3"/>
        <v>-0.38694483877509633</v>
      </c>
    </row>
    <row r="54" spans="1:21" x14ac:dyDescent="0.25">
      <c r="A54" s="9" t="s">
        <v>42</v>
      </c>
      <c r="B54" s="9"/>
      <c r="C54" s="17">
        <v>554.08000000000004</v>
      </c>
      <c r="D54" s="18">
        <v>32.716999999999999</v>
      </c>
      <c r="E54" s="18">
        <v>37.72</v>
      </c>
      <c r="F54" s="18">
        <v>36.356999999999999</v>
      </c>
      <c r="G54" s="18">
        <v>543.48</v>
      </c>
      <c r="H54" s="18">
        <f t="shared" si="0"/>
        <v>33.797375000000002</v>
      </c>
      <c r="I54" s="5"/>
      <c r="J54" s="17">
        <v>412.83679999999998</v>
      </c>
      <c r="K54" s="18">
        <v>32.8018</v>
      </c>
      <c r="L54" s="18">
        <v>38.389299999999999</v>
      </c>
      <c r="M54" s="18">
        <v>36.747399999999999</v>
      </c>
      <c r="N54" s="18">
        <v>356.12540000000001</v>
      </c>
      <c r="O54" s="18">
        <f t="shared" si="1"/>
        <v>33.993437499999999</v>
      </c>
      <c r="P54" s="7"/>
      <c r="Q54" s="10"/>
      <c r="R54" s="11"/>
      <c r="S54" s="11"/>
      <c r="T54" s="26"/>
      <c r="U54" s="28">
        <f t="shared" si="3"/>
        <v>-0.34473136085964523</v>
      </c>
    </row>
    <row r="55" spans="1:21" x14ac:dyDescent="0.25">
      <c r="B55" s="9"/>
      <c r="C55" s="17">
        <v>347.38</v>
      </c>
      <c r="D55" s="18">
        <v>30.584</v>
      </c>
      <c r="E55" s="18">
        <v>36.767000000000003</v>
      </c>
      <c r="F55" s="18">
        <v>35.234999999999999</v>
      </c>
      <c r="G55" s="18">
        <v>582.75</v>
      </c>
      <c r="H55" s="18">
        <f t="shared" si="0"/>
        <v>31.938249999999996</v>
      </c>
      <c r="I55" s="5"/>
      <c r="J55" s="17">
        <v>257.9984</v>
      </c>
      <c r="K55" s="18">
        <v>30.840399999999999</v>
      </c>
      <c r="L55" s="18">
        <v>37.150100000000002</v>
      </c>
      <c r="M55" s="18">
        <v>35.280500000000004</v>
      </c>
      <c r="N55" s="18">
        <v>427.35039999999998</v>
      </c>
      <c r="O55" s="18">
        <f t="shared" si="1"/>
        <v>32.184125000000002</v>
      </c>
      <c r="P55" s="7"/>
      <c r="Q55" s="10"/>
      <c r="R55" s="11"/>
      <c r="S55" s="11"/>
      <c r="T55" s="26"/>
      <c r="U55" s="28">
        <f t="shared" si="3"/>
        <v>-0.26666598026598032</v>
      </c>
    </row>
    <row r="56" spans="1:21" ht="16.5" thickBot="1" x14ac:dyDescent="0.3">
      <c r="B56" s="12"/>
      <c r="C56" s="19">
        <v>171.27</v>
      </c>
      <c r="D56" s="20">
        <v>27.294</v>
      </c>
      <c r="E56" s="20">
        <v>35.479999999999997</v>
      </c>
      <c r="F56" s="20">
        <v>33.79</v>
      </c>
      <c r="G56" s="20">
        <v>712.25</v>
      </c>
      <c r="H56" s="20">
        <f t="shared" si="0"/>
        <v>29.129249999999999</v>
      </c>
      <c r="I56" s="5"/>
      <c r="J56" s="19">
        <v>123.7504</v>
      </c>
      <c r="K56" s="20">
        <v>28.091899999999999</v>
      </c>
      <c r="L56" s="20">
        <v>35.548000000000002</v>
      </c>
      <c r="M56" s="20">
        <v>33.210299999999997</v>
      </c>
      <c r="N56" s="20">
        <v>593.82420000000002</v>
      </c>
      <c r="O56" s="20">
        <f t="shared" si="1"/>
        <v>29.663712499999999</v>
      </c>
      <c r="P56" s="7"/>
      <c r="Q56" s="13"/>
      <c r="R56" s="14"/>
      <c r="S56" s="14"/>
      <c r="T56" s="27"/>
      <c r="U56" s="28">
        <f t="shared" si="3"/>
        <v>-0.16626998946998944</v>
      </c>
    </row>
    <row r="57" spans="1:21" x14ac:dyDescent="0.25">
      <c r="B57" s="6" t="s">
        <v>58</v>
      </c>
      <c r="C57" s="15">
        <v>724.53</v>
      </c>
      <c r="D57" s="16">
        <v>30.759</v>
      </c>
      <c r="E57" s="16">
        <v>38.581000000000003</v>
      </c>
      <c r="F57" s="16">
        <v>39.039000000000001</v>
      </c>
      <c r="G57" s="16">
        <v>641.03</v>
      </c>
      <c r="H57" s="16">
        <f t="shared" si="0"/>
        <v>32.771749999999997</v>
      </c>
      <c r="I57" s="5"/>
      <c r="J57" s="15">
        <v>619.33040000000005</v>
      </c>
      <c r="K57" s="16">
        <v>33.757399999999997</v>
      </c>
      <c r="L57" s="16">
        <v>41.262900000000002</v>
      </c>
      <c r="M57" s="16">
        <v>42.106699999999996</v>
      </c>
      <c r="N57" s="16">
        <v>362.97640000000001</v>
      </c>
      <c r="O57" s="16">
        <f t="shared" si="1"/>
        <v>35.739249999999998</v>
      </c>
      <c r="P57" s="7"/>
      <c r="Q57" s="8">
        <f>bdrate(C57:C60,D57:D60,J57:J60,K57:K60)</f>
        <v>-0.67849619185269483</v>
      </c>
      <c r="R57" s="8">
        <f>bdrate(C57:C60,E57:E60,J57:J60,L57:L60)</f>
        <v>-0.74961466189118553</v>
      </c>
      <c r="S57" s="8">
        <f>bdrate(C57:C60,F57:F60,J57:J60,M57:M60)</f>
        <v>-0.77653997565262145</v>
      </c>
      <c r="T57" s="25">
        <f>bdrate(C57:C60,H57:H60,J57:J60,O57:O60)</f>
        <v>-0.69246751774619519</v>
      </c>
      <c r="U57" s="28">
        <f t="shared" si="3"/>
        <v>-0.43376066642746824</v>
      </c>
    </row>
    <row r="58" spans="1:21" x14ac:dyDescent="0.25">
      <c r="B58" s="9"/>
      <c r="C58" s="17">
        <v>482.07</v>
      </c>
      <c r="D58" s="18">
        <v>29.26</v>
      </c>
      <c r="E58" s="18">
        <v>38.130000000000003</v>
      </c>
      <c r="F58" s="18">
        <v>38.415999999999997</v>
      </c>
      <c r="G58" s="18">
        <v>712.59</v>
      </c>
      <c r="H58" s="18">
        <f t="shared" si="0"/>
        <v>31.513249999999999</v>
      </c>
      <c r="I58" s="5"/>
      <c r="J58" s="17">
        <v>412.22399999999999</v>
      </c>
      <c r="K58" s="18">
        <v>32.485300000000002</v>
      </c>
      <c r="L58" s="18">
        <v>40.367699999999999</v>
      </c>
      <c r="M58" s="18">
        <v>41.129899999999999</v>
      </c>
      <c r="N58" s="18">
        <v>452.48869999999999</v>
      </c>
      <c r="O58" s="18">
        <f t="shared" si="1"/>
        <v>34.551175000000008</v>
      </c>
      <c r="P58" s="7"/>
      <c r="Q58" s="10"/>
      <c r="R58" s="11"/>
      <c r="S58" s="11"/>
      <c r="T58" s="26"/>
      <c r="U58" s="28">
        <f t="shared" si="3"/>
        <v>-0.36500834982247859</v>
      </c>
    </row>
    <row r="59" spans="1:21" x14ac:dyDescent="0.25">
      <c r="B59" s="9"/>
      <c r="C59" s="17">
        <v>299.76</v>
      </c>
      <c r="D59" s="18">
        <v>27.693000000000001</v>
      </c>
      <c r="E59" s="18">
        <v>37.697000000000003</v>
      </c>
      <c r="F59" s="18">
        <v>37.893000000000001</v>
      </c>
      <c r="G59" s="18">
        <v>802.14</v>
      </c>
      <c r="H59" s="18">
        <f t="shared" si="0"/>
        <v>30.218500000000002</v>
      </c>
      <c r="I59" s="5"/>
      <c r="J59" s="17">
        <v>256.89920000000001</v>
      </c>
      <c r="K59" s="18">
        <v>30.982099999999999</v>
      </c>
      <c r="L59" s="18">
        <v>39.390300000000003</v>
      </c>
      <c r="M59" s="18">
        <v>40.150300000000001</v>
      </c>
      <c r="N59" s="18">
        <v>565.50419999999997</v>
      </c>
      <c r="O59" s="18">
        <f t="shared" si="1"/>
        <v>33.17915</v>
      </c>
      <c r="P59" s="7"/>
      <c r="Q59" s="10"/>
      <c r="R59" s="11"/>
      <c r="S59" s="11"/>
      <c r="T59" s="26"/>
      <c r="U59" s="28">
        <f t="shared" si="3"/>
        <v>-0.29500560999326803</v>
      </c>
    </row>
    <row r="60" spans="1:21" ht="16.5" thickBot="1" x14ac:dyDescent="0.3">
      <c r="B60" s="12"/>
      <c r="C60" s="19">
        <v>142.36000000000001</v>
      </c>
      <c r="D60" s="20">
        <v>25.417000000000002</v>
      </c>
      <c r="E60" s="20">
        <v>37.161999999999999</v>
      </c>
      <c r="F60" s="20">
        <v>37.145000000000003</v>
      </c>
      <c r="G60" s="20">
        <v>874.64</v>
      </c>
      <c r="H60" s="20">
        <f t="shared" si="0"/>
        <v>28.351125000000003</v>
      </c>
      <c r="I60" s="5"/>
      <c r="J60" s="19">
        <v>118.3</v>
      </c>
      <c r="K60" s="20">
        <v>28.356000000000002</v>
      </c>
      <c r="L60" s="20">
        <v>38.003300000000003</v>
      </c>
      <c r="M60" s="20">
        <v>38.440899999999999</v>
      </c>
      <c r="N60" s="20">
        <v>753.76880000000006</v>
      </c>
      <c r="O60" s="20">
        <f t="shared" si="1"/>
        <v>30.822525000000002</v>
      </c>
      <c r="P60" s="7"/>
      <c r="Q60" s="13"/>
      <c r="R60" s="14"/>
      <c r="S60" s="14"/>
      <c r="T60" s="27"/>
      <c r="U60" s="28">
        <f t="shared" si="3"/>
        <v>-0.1381953718101161</v>
      </c>
    </row>
    <row r="61" spans="1:21" x14ac:dyDescent="0.25">
      <c r="B61" s="6" t="s">
        <v>59</v>
      </c>
      <c r="C61" s="29">
        <v>815.21</v>
      </c>
      <c r="D61" s="30">
        <v>32.420999999999999</v>
      </c>
      <c r="E61" s="30">
        <v>36.037999999999997</v>
      </c>
      <c r="F61" s="30">
        <v>36.423999999999999</v>
      </c>
      <c r="G61" s="16">
        <v>572.08000000000004</v>
      </c>
      <c r="H61" s="16">
        <f t="shared" si="0"/>
        <v>33.3735</v>
      </c>
      <c r="I61" s="5"/>
      <c r="J61" s="29">
        <v>638.09519999999998</v>
      </c>
      <c r="K61" s="30">
        <v>33.3384</v>
      </c>
      <c r="L61" s="30">
        <v>38.119100000000003</v>
      </c>
      <c r="M61" s="30">
        <v>38.912399999999998</v>
      </c>
      <c r="N61" s="16">
        <v>340.83159999999998</v>
      </c>
      <c r="O61" s="16">
        <f t="shared" si="1"/>
        <v>34.632737499999998</v>
      </c>
      <c r="P61" s="7"/>
      <c r="Q61" s="8">
        <f>bdrate(C61:C64,D61:D64,J61:J64,K61:K64)</f>
        <v>-0.4208513232382104</v>
      </c>
      <c r="R61" s="8">
        <f>bdrate(C61:C64,E61:E64,J61:J64,L61:L64)</f>
        <v>-0.61092028120206199</v>
      </c>
      <c r="S61" s="8">
        <f>bdrate(C61:C64,F61:F64,J61:J64,M61:M64)</f>
        <v>-0.66850165927357019</v>
      </c>
      <c r="T61" s="25">
        <f>bdrate(C61:C64,H61:H64,J61:J64,O61:O64)</f>
        <v>-0.46581994436049312</v>
      </c>
      <c r="U61" s="28">
        <f t="shared" si="3"/>
        <v>-0.40422388477136073</v>
      </c>
    </row>
    <row r="62" spans="1:21" x14ac:dyDescent="0.25">
      <c r="B62" s="9"/>
      <c r="C62" s="31">
        <v>542.24</v>
      </c>
      <c r="D62" s="32">
        <v>30.794</v>
      </c>
      <c r="E62" s="32">
        <v>35.253</v>
      </c>
      <c r="F62" s="32">
        <v>35.704999999999998</v>
      </c>
      <c r="G62" s="18">
        <v>616.52</v>
      </c>
      <c r="H62" s="18">
        <f t="shared" si="0"/>
        <v>31.965249999999997</v>
      </c>
      <c r="I62" s="5"/>
      <c r="J62" s="31">
        <v>424.63839999999999</v>
      </c>
      <c r="K62" s="32">
        <v>31.8003</v>
      </c>
      <c r="L62" s="32">
        <v>37.055</v>
      </c>
      <c r="M62" s="32">
        <v>37.835500000000003</v>
      </c>
      <c r="N62" s="18">
        <v>410.84629999999999</v>
      </c>
      <c r="O62" s="18">
        <f t="shared" si="1"/>
        <v>33.211537500000006</v>
      </c>
      <c r="P62" s="7"/>
      <c r="Q62" s="10"/>
      <c r="R62" s="11"/>
      <c r="S62" s="11"/>
      <c r="T62" s="26"/>
      <c r="U62" s="28">
        <f t="shared" si="3"/>
        <v>-0.33360426263543763</v>
      </c>
    </row>
    <row r="63" spans="1:21" x14ac:dyDescent="0.25">
      <c r="B63" s="9"/>
      <c r="C63" s="31">
        <v>337.7</v>
      </c>
      <c r="D63" s="32">
        <v>29.053999999999998</v>
      </c>
      <c r="E63" s="32">
        <v>34.445999999999998</v>
      </c>
      <c r="F63" s="32">
        <v>34.892000000000003</v>
      </c>
      <c r="G63" s="18">
        <v>682.13</v>
      </c>
      <c r="H63" s="18">
        <f t="shared" si="0"/>
        <v>30.457749999999997</v>
      </c>
      <c r="I63" s="5"/>
      <c r="J63" s="31">
        <v>265.1576</v>
      </c>
      <c r="K63" s="32">
        <v>30.142299999999999</v>
      </c>
      <c r="L63" s="32">
        <v>35.816899999999997</v>
      </c>
      <c r="M63" s="32">
        <v>36.570300000000003</v>
      </c>
      <c r="N63" s="18">
        <v>478.01150000000001</v>
      </c>
      <c r="O63" s="18">
        <f t="shared" si="1"/>
        <v>31.655124999999998</v>
      </c>
      <c r="P63" s="7"/>
      <c r="Q63" s="10"/>
      <c r="R63" s="11"/>
      <c r="S63" s="11"/>
      <c r="T63" s="26"/>
      <c r="U63" s="28">
        <f t="shared" si="3"/>
        <v>-0.29923694896867165</v>
      </c>
    </row>
    <row r="64" spans="1:21" ht="16.5" thickBot="1" x14ac:dyDescent="0.3">
      <c r="B64" s="12"/>
      <c r="C64" s="33">
        <v>158.97999999999999</v>
      </c>
      <c r="D64" s="34">
        <v>26.510999999999999</v>
      </c>
      <c r="E64" s="34">
        <v>33.54</v>
      </c>
      <c r="F64" s="34">
        <v>34.020000000000003</v>
      </c>
      <c r="G64" s="20">
        <v>782.47</v>
      </c>
      <c r="H64" s="20">
        <f t="shared" si="0"/>
        <v>28.328250000000001</v>
      </c>
      <c r="I64" s="5"/>
      <c r="J64" s="33">
        <v>127.1392</v>
      </c>
      <c r="K64" s="34">
        <v>27.812799999999999</v>
      </c>
      <c r="L64" s="34">
        <v>34.227699999999999</v>
      </c>
      <c r="M64" s="34">
        <v>34.9861</v>
      </c>
      <c r="N64" s="20">
        <v>667.55669999999998</v>
      </c>
      <c r="O64" s="20">
        <f t="shared" si="1"/>
        <v>29.511324999999999</v>
      </c>
      <c r="P64" s="7"/>
      <c r="Q64" s="13"/>
      <c r="R64" s="14"/>
      <c r="S64" s="14"/>
      <c r="T64" s="27"/>
      <c r="U64" s="28">
        <f t="shared" si="3"/>
        <v>-0.14685968791135767</v>
      </c>
    </row>
    <row r="65" spans="1:21" x14ac:dyDescent="0.25">
      <c r="B65" s="6" t="s">
        <v>60</v>
      </c>
      <c r="C65" s="15">
        <v>750.56</v>
      </c>
      <c r="D65" s="16">
        <v>34.469000000000001</v>
      </c>
      <c r="E65" s="16">
        <v>36.965000000000003</v>
      </c>
      <c r="F65" s="16">
        <v>38.04</v>
      </c>
      <c r="G65" s="16">
        <v>392.67</v>
      </c>
      <c r="H65" s="16">
        <f t="shared" si="0"/>
        <v>35.227375000000002</v>
      </c>
      <c r="I65" s="5"/>
      <c r="J65" s="15">
        <v>621.33040000000005</v>
      </c>
      <c r="K65" s="16">
        <v>34.261499999999998</v>
      </c>
      <c r="L65" s="16">
        <v>37.803400000000003</v>
      </c>
      <c r="M65" s="16">
        <v>38.876399999999997</v>
      </c>
      <c r="N65" s="16">
        <v>218.49959999999999</v>
      </c>
      <c r="O65" s="16">
        <f t="shared" si="1"/>
        <v>35.281100000000002</v>
      </c>
      <c r="P65" s="7"/>
      <c r="Q65" s="8">
        <f>bdrate(C65:C68,D65:D68,J65:J68,K65:K68)</f>
        <v>-0.19050012256686277</v>
      </c>
      <c r="R65" s="8">
        <f>bdrate(C65:C68,E65:E68,J65:J68,L65:L68)</f>
        <v>-0.30995013569833407</v>
      </c>
      <c r="S65" s="8">
        <f>bdrate(C65:C68,F65:F68,J65:J68,M65:M68)</f>
        <v>-0.29942351326865513</v>
      </c>
      <c r="T65" s="25">
        <f>bdrate(C65:C68,H65:H68,J65:J68,O65:O68)</f>
        <v>-0.21215023243063191</v>
      </c>
      <c r="U65" s="28">
        <f t="shared" si="3"/>
        <v>-0.44355412942165184</v>
      </c>
    </row>
    <row r="66" spans="1:21" x14ac:dyDescent="0.25">
      <c r="B66" s="9"/>
      <c r="C66" s="17">
        <v>501.01</v>
      </c>
      <c r="D66" s="18">
        <v>32.51</v>
      </c>
      <c r="E66" s="18">
        <v>35.942</v>
      </c>
      <c r="F66" s="18">
        <v>37.006</v>
      </c>
      <c r="G66" s="18">
        <v>447.09</v>
      </c>
      <c r="H66" s="18">
        <f t="shared" si="0"/>
        <v>33.501000000000005</v>
      </c>
      <c r="I66" s="5"/>
      <c r="J66" s="17">
        <v>413.99599999999998</v>
      </c>
      <c r="K66" s="18">
        <v>32.436399999999999</v>
      </c>
      <c r="L66" s="18">
        <v>36.5991</v>
      </c>
      <c r="M66" s="18">
        <v>37.680799999999998</v>
      </c>
      <c r="N66" s="18">
        <v>259.96530000000001</v>
      </c>
      <c r="O66" s="18">
        <f t="shared" si="1"/>
        <v>33.612287500000001</v>
      </c>
      <c r="P66" s="7"/>
      <c r="Q66" s="10"/>
      <c r="R66" s="11"/>
      <c r="S66" s="11"/>
      <c r="T66" s="26"/>
      <c r="U66" s="28">
        <f t="shared" si="3"/>
        <v>-0.41853922029121648</v>
      </c>
    </row>
    <row r="67" spans="1:21" x14ac:dyDescent="0.25">
      <c r="B67" s="9"/>
      <c r="C67" s="17">
        <v>314.95</v>
      </c>
      <c r="D67" s="18">
        <v>30.465</v>
      </c>
      <c r="E67" s="18">
        <v>34.914999999999999</v>
      </c>
      <c r="F67" s="18">
        <v>35.945</v>
      </c>
      <c r="G67" s="18">
        <v>493.42</v>
      </c>
      <c r="H67" s="18">
        <f t="shared" si="0"/>
        <v>31.706249999999997</v>
      </c>
      <c r="I67" s="5"/>
      <c r="J67" s="17">
        <v>258.41039999999998</v>
      </c>
      <c r="K67" s="18">
        <v>30.497599999999998</v>
      </c>
      <c r="L67" s="18">
        <v>35.2746</v>
      </c>
      <c r="M67" s="18">
        <v>36.303699999999999</v>
      </c>
      <c r="N67" s="18">
        <v>315.12610000000001</v>
      </c>
      <c r="O67" s="18">
        <f t="shared" si="1"/>
        <v>31.820487499999995</v>
      </c>
      <c r="P67" s="7"/>
      <c r="Q67" s="10"/>
      <c r="R67" s="11"/>
      <c r="S67" s="11"/>
      <c r="T67" s="26"/>
      <c r="U67" s="28">
        <f t="shared" si="3"/>
        <v>-0.36134307486522638</v>
      </c>
    </row>
    <row r="68" spans="1:21" ht="16.5" thickBot="1" x14ac:dyDescent="0.3">
      <c r="B68" s="12"/>
      <c r="C68" s="19">
        <v>150.66999999999999</v>
      </c>
      <c r="D68" s="20">
        <v>27.385000000000002</v>
      </c>
      <c r="E68" s="20">
        <v>33.555</v>
      </c>
      <c r="F68" s="20">
        <v>34.57</v>
      </c>
      <c r="G68" s="20">
        <v>601.20000000000005</v>
      </c>
      <c r="H68" s="20">
        <f t="shared" si="0"/>
        <v>29.054375</v>
      </c>
      <c r="I68" s="5"/>
      <c r="J68" s="19">
        <v>123.83920000000001</v>
      </c>
      <c r="K68" s="20">
        <v>28.003399999999999</v>
      </c>
      <c r="L68" s="20">
        <v>33.656500000000001</v>
      </c>
      <c r="M68" s="20">
        <v>34.567</v>
      </c>
      <c r="N68" s="20">
        <v>457.31709999999998</v>
      </c>
      <c r="O68" s="20">
        <f t="shared" si="1"/>
        <v>29.5304875</v>
      </c>
      <c r="P68" s="7"/>
      <c r="Q68" s="13"/>
      <c r="R68" s="14"/>
      <c r="S68" s="14"/>
      <c r="T68" s="27"/>
      <c r="U68" s="28">
        <f t="shared" si="3"/>
        <v>-0.23932618097139063</v>
      </c>
    </row>
    <row r="69" spans="1:21" x14ac:dyDescent="0.25">
      <c r="A69" s="6" t="s">
        <v>43</v>
      </c>
      <c r="B69" s="6" t="s">
        <v>61</v>
      </c>
      <c r="C69" s="15">
        <v>1902.34</v>
      </c>
      <c r="D69" s="16">
        <v>40.909999999999997</v>
      </c>
      <c r="E69" s="16">
        <v>44.582000000000001</v>
      </c>
      <c r="F69" s="16">
        <v>45.673999999999999</v>
      </c>
      <c r="G69" s="16">
        <v>77.86</v>
      </c>
      <c r="H69" s="16">
        <f t="shared" si="0"/>
        <v>41.964499999999994</v>
      </c>
      <c r="I69" s="5"/>
      <c r="J69" s="15">
        <v>1530.8055999999999</v>
      </c>
      <c r="K69" s="16">
        <v>41.386600000000001</v>
      </c>
      <c r="L69" s="16">
        <v>45.574800000000003</v>
      </c>
      <c r="M69" s="16">
        <v>46.756</v>
      </c>
      <c r="N69" s="16">
        <v>94.265500000000003</v>
      </c>
      <c r="O69" s="16">
        <f t="shared" si="1"/>
        <v>42.581299999999999</v>
      </c>
      <c r="P69" s="7"/>
      <c r="Q69" s="8">
        <f>bdrate(C69:C72,D69:D72,J69:J72,K69:K72)</f>
        <v>-0.39425081062271006</v>
      </c>
      <c r="R69" s="8">
        <f>bdrate(C69:C72,E69:E72,J69:J72,L69:L72)</f>
        <v>-0.49362393839611873</v>
      </c>
      <c r="S69" s="8">
        <f>bdrate(C69:C72,F69:F72,J69:J72,M69:M72)</f>
        <v>-0.5170173361461865</v>
      </c>
      <c r="T69" s="25">
        <f>bdrate(C69:C72,H69:H72,J69:J72,O69:O72)</f>
        <v>-0.41707061164647929</v>
      </c>
      <c r="U69" s="28">
        <f t="shared" si="3"/>
        <v>0.21070511173901879</v>
      </c>
    </row>
    <row r="70" spans="1:21" x14ac:dyDescent="0.25">
      <c r="A70" s="9" t="s">
        <v>44</v>
      </c>
      <c r="B70" s="9"/>
      <c r="C70" s="17">
        <v>1241.57</v>
      </c>
      <c r="D70" s="18">
        <v>39.497</v>
      </c>
      <c r="E70" s="18">
        <v>43.429000000000002</v>
      </c>
      <c r="F70" s="18">
        <v>44.393999999999998</v>
      </c>
      <c r="G70" s="18">
        <v>85.67</v>
      </c>
      <c r="H70" s="18">
        <f t="shared" si="0"/>
        <v>40.600625000000001</v>
      </c>
      <c r="I70" s="5"/>
      <c r="J70" s="17">
        <v>969.80240000000003</v>
      </c>
      <c r="K70" s="18">
        <v>40.217500000000001</v>
      </c>
      <c r="L70" s="18">
        <v>44.566699999999997</v>
      </c>
      <c r="M70" s="18">
        <v>45.662599999999998</v>
      </c>
      <c r="N70" s="18">
        <v>114.4601</v>
      </c>
      <c r="O70" s="18">
        <f t="shared" si="1"/>
        <v>41.441787500000004</v>
      </c>
      <c r="P70" s="7"/>
      <c r="Q70" s="10"/>
      <c r="R70" s="11"/>
      <c r="S70" s="11"/>
      <c r="T70" s="26"/>
      <c r="U70" s="28">
        <f t="shared" si="3"/>
        <v>0.33605813003385077</v>
      </c>
    </row>
    <row r="71" spans="1:21" x14ac:dyDescent="0.25">
      <c r="B71" s="9"/>
      <c r="C71" s="17">
        <v>732.24</v>
      </c>
      <c r="D71" s="18">
        <v>37.136000000000003</v>
      </c>
      <c r="E71" s="18">
        <v>41.820999999999998</v>
      </c>
      <c r="F71" s="18">
        <v>42.643999999999998</v>
      </c>
      <c r="G71" s="18">
        <v>92.24</v>
      </c>
      <c r="H71" s="18">
        <f t="shared" si="0"/>
        <v>38.410125000000008</v>
      </c>
      <c r="I71" s="5"/>
      <c r="J71" s="17">
        <v>560.48479999999995</v>
      </c>
      <c r="K71" s="18">
        <v>38.2027</v>
      </c>
      <c r="L71" s="18">
        <v>43.043199999999999</v>
      </c>
      <c r="M71" s="18">
        <v>44.136699999999998</v>
      </c>
      <c r="N71" s="18">
        <v>134.46879999999999</v>
      </c>
      <c r="O71" s="18">
        <f t="shared" si="1"/>
        <v>39.549512500000006</v>
      </c>
      <c r="P71" s="7"/>
      <c r="Q71" s="10"/>
      <c r="R71" s="11"/>
      <c r="S71" s="11"/>
      <c r="T71" s="26"/>
      <c r="U71" s="28">
        <f t="shared" si="3"/>
        <v>0.45781439722463135</v>
      </c>
    </row>
    <row r="72" spans="1:21" ht="16.5" thickBot="1" x14ac:dyDescent="0.3">
      <c r="B72" s="12"/>
      <c r="C72" s="19">
        <v>359.92</v>
      </c>
      <c r="D72" s="20">
        <v>33.101999999999997</v>
      </c>
      <c r="E72" s="20">
        <v>39.83</v>
      </c>
      <c r="F72" s="20">
        <v>40.780999999999999</v>
      </c>
      <c r="G72" s="20">
        <v>96.88</v>
      </c>
      <c r="H72" s="20">
        <f t="shared" si="0"/>
        <v>34.902874999999995</v>
      </c>
      <c r="I72" s="5"/>
      <c r="J72" s="19">
        <v>274.8424</v>
      </c>
      <c r="K72" s="20">
        <v>34.965299999999999</v>
      </c>
      <c r="L72" s="20">
        <v>41.028799999999997</v>
      </c>
      <c r="M72" s="20">
        <v>41.985799999999998</v>
      </c>
      <c r="N72" s="20">
        <v>159.61689999999999</v>
      </c>
      <c r="O72" s="20">
        <f t="shared" si="1"/>
        <v>36.6008</v>
      </c>
      <c r="P72" s="7"/>
      <c r="Q72" s="13"/>
      <c r="R72" s="14"/>
      <c r="S72" s="14"/>
      <c r="T72" s="27"/>
      <c r="U72" s="28">
        <f t="shared" si="3"/>
        <v>0.64757328654004953</v>
      </c>
    </row>
    <row r="73" spans="1:21" x14ac:dyDescent="0.25">
      <c r="B73" s="6" t="s">
        <v>62</v>
      </c>
      <c r="C73" s="15">
        <v>1993.4</v>
      </c>
      <c r="D73" s="16">
        <v>41.819000000000003</v>
      </c>
      <c r="E73" s="16">
        <v>46.232999999999997</v>
      </c>
      <c r="F73" s="16">
        <v>46.719000000000001</v>
      </c>
      <c r="G73" s="16">
        <v>91.58</v>
      </c>
      <c r="H73" s="16">
        <f t="shared" si="0"/>
        <v>42.983249999999998</v>
      </c>
      <c r="I73" s="5"/>
      <c r="J73" s="15">
        <v>1484.5319999999999</v>
      </c>
      <c r="K73" s="16">
        <v>42.5824</v>
      </c>
      <c r="L73" s="16">
        <v>47.705300000000001</v>
      </c>
      <c r="M73" s="16">
        <v>48.319499999999998</v>
      </c>
      <c r="N73" s="16">
        <v>108.9522</v>
      </c>
      <c r="O73" s="16">
        <f t="shared" si="1"/>
        <v>43.939900000000002</v>
      </c>
      <c r="P73" s="7"/>
      <c r="Q73" s="8">
        <f>bdrate(C73:C76,D73:D76,J73:J76,K73:K76)</f>
        <v>-0.59157863706989988</v>
      </c>
      <c r="R73" s="8">
        <f>bdrate(C73:C76,E73:E76,J73:J76,L73:L76)</f>
        <v>-0.69758358482702709</v>
      </c>
      <c r="S73" s="8">
        <f>bdrate(C73:C76,F73:F76,J73:J76,M73:M76)</f>
        <v>-0.70099138050551768</v>
      </c>
      <c r="T73" s="25">
        <f>bdrate(C73:C76,H73:H76,J73:J76,O73:O76)</f>
        <v>-0.62124557682136428</v>
      </c>
      <c r="U73" s="28">
        <f t="shared" ref="U73:U80" si="4">(N73-G73)/G73</f>
        <v>0.1896942563878577</v>
      </c>
    </row>
    <row r="74" spans="1:21" x14ac:dyDescent="0.25">
      <c r="B74" s="9"/>
      <c r="C74" s="17">
        <v>1304.96</v>
      </c>
      <c r="D74" s="18">
        <v>40.963999999999999</v>
      </c>
      <c r="E74" s="18">
        <v>45.326000000000001</v>
      </c>
      <c r="F74" s="18">
        <v>45.728999999999999</v>
      </c>
      <c r="G74" s="18">
        <v>96.65</v>
      </c>
      <c r="H74" s="18">
        <f t="shared" si="0"/>
        <v>42.104875</v>
      </c>
      <c r="I74" s="5"/>
      <c r="J74" s="17">
        <v>990.42160000000001</v>
      </c>
      <c r="K74" s="18">
        <v>42.043100000000003</v>
      </c>
      <c r="L74" s="18">
        <v>47.147199999999998</v>
      </c>
      <c r="M74" s="18">
        <v>47.811399999999999</v>
      </c>
      <c r="N74" s="18">
        <v>127.7955</v>
      </c>
      <c r="O74" s="18">
        <f t="shared" si="1"/>
        <v>43.402149999999999</v>
      </c>
      <c r="P74" s="7"/>
      <c r="Q74" s="10"/>
      <c r="R74" s="11"/>
      <c r="S74" s="11"/>
      <c r="T74" s="26"/>
      <c r="U74" s="28">
        <f t="shared" si="4"/>
        <v>0.32225038799793065</v>
      </c>
    </row>
    <row r="75" spans="1:21" x14ac:dyDescent="0.25">
      <c r="B75" s="9"/>
      <c r="C75" s="17">
        <v>763.97</v>
      </c>
      <c r="D75" s="18">
        <v>39.436</v>
      </c>
      <c r="E75" s="18">
        <v>43.892000000000003</v>
      </c>
      <c r="F75" s="18">
        <v>44.542000000000002</v>
      </c>
      <c r="G75" s="18">
        <v>99.9</v>
      </c>
      <c r="H75" s="18">
        <f t="shared" si="0"/>
        <v>40.631249999999994</v>
      </c>
      <c r="I75" s="5"/>
      <c r="J75" s="17">
        <v>598.59439999999995</v>
      </c>
      <c r="K75" s="18">
        <v>41.164000000000001</v>
      </c>
      <c r="L75" s="18">
        <v>46.2575</v>
      </c>
      <c r="M75" s="18">
        <v>46.760899999999999</v>
      </c>
      <c r="N75" s="18">
        <v>145.1379</v>
      </c>
      <c r="O75" s="18">
        <f t="shared" si="1"/>
        <v>42.500300000000003</v>
      </c>
      <c r="P75" s="7"/>
      <c r="Q75" s="10"/>
      <c r="R75" s="11"/>
      <c r="S75" s="11"/>
      <c r="T75" s="26"/>
      <c r="U75" s="28">
        <f t="shared" si="4"/>
        <v>0.45283183183183179</v>
      </c>
    </row>
    <row r="76" spans="1:21" ht="16.5" thickBot="1" x14ac:dyDescent="0.3">
      <c r="B76" s="12"/>
      <c r="C76" s="19">
        <v>363.8</v>
      </c>
      <c r="D76" s="20">
        <v>36.256</v>
      </c>
      <c r="E76" s="20">
        <v>41.716000000000001</v>
      </c>
      <c r="F76" s="20">
        <v>42.48</v>
      </c>
      <c r="G76" s="20">
        <v>108.34</v>
      </c>
      <c r="H76" s="20">
        <f t="shared" si="0"/>
        <v>37.716500000000003</v>
      </c>
      <c r="I76" s="5"/>
      <c r="J76" s="19">
        <v>292.988</v>
      </c>
      <c r="K76" s="20">
        <v>39.373899999999999</v>
      </c>
      <c r="L76" s="20">
        <v>44.4846</v>
      </c>
      <c r="M76" s="20">
        <v>44.985700000000001</v>
      </c>
      <c r="N76" s="20">
        <v>168.6815</v>
      </c>
      <c r="O76" s="20">
        <f t="shared" si="1"/>
        <v>40.714212500000002</v>
      </c>
      <c r="P76" s="7"/>
      <c r="Q76" s="13"/>
      <c r="R76" s="14"/>
      <c r="S76" s="14"/>
      <c r="T76" s="27"/>
      <c r="U76" s="28">
        <f t="shared" si="4"/>
        <v>0.55696418681927262</v>
      </c>
    </row>
    <row r="77" spans="1:21" x14ac:dyDescent="0.25">
      <c r="B77" s="6" t="s">
        <v>63</v>
      </c>
      <c r="C77" s="15">
        <v>2091.64</v>
      </c>
      <c r="D77" s="16">
        <v>41.814</v>
      </c>
      <c r="E77" s="16">
        <v>45.527000000000001</v>
      </c>
      <c r="F77" s="16">
        <v>46.262999999999998</v>
      </c>
      <c r="G77" s="16">
        <v>84.16</v>
      </c>
      <c r="H77" s="16">
        <f t="shared" si="0"/>
        <v>42.834249999999997</v>
      </c>
      <c r="I77" s="5"/>
      <c r="J77" s="15">
        <v>1539.816</v>
      </c>
      <c r="K77" s="16">
        <v>42.458199999999998</v>
      </c>
      <c r="L77" s="16">
        <v>46.7072</v>
      </c>
      <c r="M77" s="16">
        <v>47.530700000000003</v>
      </c>
      <c r="N77" s="16">
        <v>97.134500000000003</v>
      </c>
      <c r="O77" s="16">
        <f t="shared" si="1"/>
        <v>43.6233875</v>
      </c>
      <c r="P77" s="7"/>
      <c r="Q77" s="8">
        <f>bdrate(C77:C80,D77:D80,J77:J80,K77:K80)</f>
        <v>-0.52370476452312775</v>
      </c>
      <c r="R77" s="8">
        <f>bdrate(C77:C80,E77:E80,J77:J80,L77:L80)</f>
        <v>-0.6021379888534415</v>
      </c>
      <c r="S77" s="8">
        <f>bdrate(C77:C80,F77:F80,J77:J80,M77:M80)</f>
        <v>-0.61048770552914355</v>
      </c>
      <c r="T77" s="25">
        <f>bdrate(C77:C80,H77:H80,J77:J80,O77:O80)</f>
        <v>-0.54359151202227518</v>
      </c>
      <c r="U77" s="28">
        <f t="shared" si="4"/>
        <v>0.15416468631178715</v>
      </c>
    </row>
    <row r="78" spans="1:21" x14ac:dyDescent="0.25">
      <c r="B78" s="9"/>
      <c r="C78" s="17">
        <v>1376.91</v>
      </c>
      <c r="D78" s="18">
        <v>40.616</v>
      </c>
      <c r="E78" s="18">
        <v>44.451999999999998</v>
      </c>
      <c r="F78" s="18">
        <v>45.058</v>
      </c>
      <c r="G78" s="18">
        <v>89.65</v>
      </c>
      <c r="H78" s="18">
        <f t="shared" si="0"/>
        <v>41.650750000000002</v>
      </c>
      <c r="I78" s="5"/>
      <c r="J78" s="17">
        <v>1008.4464</v>
      </c>
      <c r="K78" s="18">
        <v>41.636099999999999</v>
      </c>
      <c r="L78" s="18">
        <v>45.8934</v>
      </c>
      <c r="M78" s="18">
        <v>46.732100000000003</v>
      </c>
      <c r="N78" s="18">
        <v>112.12860000000001</v>
      </c>
      <c r="O78" s="18">
        <f t="shared" si="1"/>
        <v>42.805262499999998</v>
      </c>
      <c r="P78" s="7"/>
      <c r="Q78" s="10"/>
      <c r="R78" s="11"/>
      <c r="S78" s="11"/>
      <c r="T78" s="26"/>
      <c r="U78" s="28">
        <f t="shared" si="4"/>
        <v>0.25073731176798658</v>
      </c>
    </row>
    <row r="79" spans="1:21" x14ac:dyDescent="0.25">
      <c r="B79" s="9"/>
      <c r="C79" s="17">
        <v>810.07</v>
      </c>
      <c r="D79" s="18">
        <v>38.584000000000003</v>
      </c>
      <c r="E79" s="18">
        <v>42.64</v>
      </c>
      <c r="F79" s="18">
        <v>43.381999999999998</v>
      </c>
      <c r="G79" s="18">
        <v>97.13</v>
      </c>
      <c r="H79" s="18">
        <f t="shared" si="0"/>
        <v>39.690750000000001</v>
      </c>
      <c r="I79" s="5"/>
      <c r="J79" s="17">
        <v>598.4384</v>
      </c>
      <c r="K79" s="18">
        <v>40.2087</v>
      </c>
      <c r="L79" s="18">
        <v>44.558900000000001</v>
      </c>
      <c r="M79" s="18">
        <v>45.259599999999999</v>
      </c>
      <c r="N79" s="18">
        <v>130.37809999999999</v>
      </c>
      <c r="O79" s="18">
        <f t="shared" si="1"/>
        <v>41.383837499999998</v>
      </c>
      <c r="P79" s="7"/>
      <c r="Q79" s="10"/>
      <c r="R79" s="11"/>
      <c r="S79" s="11"/>
      <c r="T79" s="26"/>
      <c r="U79" s="28">
        <f t="shared" si="4"/>
        <v>0.34230515803562234</v>
      </c>
    </row>
    <row r="80" spans="1:21" ht="16.5" thickBot="1" x14ac:dyDescent="0.3">
      <c r="B80" s="12"/>
      <c r="C80" s="19">
        <v>395.95</v>
      </c>
      <c r="D80" s="20">
        <v>34.945999999999998</v>
      </c>
      <c r="E80" s="20">
        <v>40.542999999999999</v>
      </c>
      <c r="F80" s="20">
        <v>41.222999999999999</v>
      </c>
      <c r="G80" s="20">
        <v>103.11</v>
      </c>
      <c r="H80" s="20">
        <f t="shared" si="0"/>
        <v>36.430250000000001</v>
      </c>
      <c r="I80" s="5"/>
      <c r="J80" s="19">
        <v>295.2088</v>
      </c>
      <c r="K80" s="20">
        <v>37.838000000000001</v>
      </c>
      <c r="L80" s="20">
        <v>42.732700000000001</v>
      </c>
      <c r="M80" s="20">
        <v>43.527900000000002</v>
      </c>
      <c r="N80" s="20">
        <v>153.2176</v>
      </c>
      <c r="O80" s="20">
        <f t="shared" si="1"/>
        <v>39.161075000000004</v>
      </c>
      <c r="P80" s="7"/>
      <c r="Q80" s="13"/>
      <c r="R80" s="14"/>
      <c r="S80" s="14"/>
      <c r="T80" s="27"/>
      <c r="U80" s="28">
        <f t="shared" si="4"/>
        <v>0.48596256425176998</v>
      </c>
    </row>
    <row r="81" spans="1:21" hidden="1" x14ac:dyDescent="0.25">
      <c r="A81" s="6" t="s">
        <v>69</v>
      </c>
      <c r="B81" s="6" t="s">
        <v>73</v>
      </c>
      <c r="C81" s="15">
        <v>1611.73</v>
      </c>
      <c r="D81" s="16">
        <v>33.591999999999999</v>
      </c>
      <c r="E81" s="16">
        <v>36.509</v>
      </c>
      <c r="F81" s="16">
        <v>36.475999999999999</v>
      </c>
      <c r="G81" s="16">
        <v>157.08000000000001</v>
      </c>
      <c r="H81" s="16">
        <f t="shared" ref="H81:H240" si="5">(6*D81+E81+F81)/8</f>
        <v>34.317124999999997</v>
      </c>
      <c r="I81" s="5"/>
      <c r="J81" s="15">
        <v>1242.8879999999999</v>
      </c>
      <c r="K81" s="16">
        <v>34.679299999999998</v>
      </c>
      <c r="L81" s="16">
        <v>38.223199999999999</v>
      </c>
      <c r="M81" s="16">
        <v>38.158799999999999</v>
      </c>
      <c r="N81" s="16">
        <v>111.2842</v>
      </c>
      <c r="O81" s="16">
        <f t="shared" ref="O81:O240" si="6">(6*K81+L81+M81)/8</f>
        <v>35.557224999999995</v>
      </c>
      <c r="P81" s="7"/>
      <c r="Q81" s="8">
        <f>bdrate(C81:C84,D81:D84,J81:J84,K81:K84)</f>
        <v>-0.44639489032224877</v>
      </c>
      <c r="R81" s="8">
        <f>bdrate(C81:C84,E81:E84,J81:J84,L81:L84)</f>
        <v>-0.48877046579673378</v>
      </c>
      <c r="S81" s="8">
        <f>bdrate(C81:C84,F81:F84,J81:J84,M81:M84)</f>
        <v>-0.44734475187095346</v>
      </c>
      <c r="T81" s="25">
        <f>bdrate(C81:C84,H81:H84,J81:J84,O81:O84)</f>
        <v>-0.453447121641402</v>
      </c>
      <c r="U81" s="28">
        <f t="shared" ref="U81:U240" si="7">(N81-G81)/G81</f>
        <v>-0.29154443595620072</v>
      </c>
    </row>
    <row r="82" spans="1:21" hidden="1" x14ac:dyDescent="0.25">
      <c r="A82" s="9" t="s">
        <v>70</v>
      </c>
      <c r="B82" s="9"/>
      <c r="C82" s="17">
        <v>1072.99</v>
      </c>
      <c r="D82" s="18">
        <v>31.867000000000001</v>
      </c>
      <c r="E82" s="18">
        <v>35.334000000000003</v>
      </c>
      <c r="F82" s="18">
        <v>35.256</v>
      </c>
      <c r="G82" s="18">
        <v>173.25</v>
      </c>
      <c r="H82" s="18">
        <f t="shared" si="5"/>
        <v>32.724000000000004</v>
      </c>
      <c r="I82" s="5"/>
      <c r="J82" s="17">
        <v>828.2296</v>
      </c>
      <c r="K82" s="18">
        <v>33.137</v>
      </c>
      <c r="L82" s="18">
        <v>36.891500000000001</v>
      </c>
      <c r="M82" s="18">
        <v>36.643300000000004</v>
      </c>
      <c r="N82" s="18">
        <v>129.23240000000001</v>
      </c>
      <c r="O82" s="18">
        <f t="shared" si="6"/>
        <v>34.044600000000003</v>
      </c>
      <c r="P82" s="7"/>
      <c r="Q82" s="10"/>
      <c r="R82" s="11"/>
      <c r="S82" s="11"/>
      <c r="T82" s="26"/>
      <c r="U82" s="28">
        <f t="shared" si="7"/>
        <v>-0.25406984126984122</v>
      </c>
    </row>
    <row r="83" spans="1:21" hidden="1" x14ac:dyDescent="0.25">
      <c r="B83" s="9"/>
      <c r="C83" s="17">
        <v>668.75</v>
      </c>
      <c r="D83" s="18">
        <v>29.760999999999999</v>
      </c>
      <c r="E83" s="18">
        <v>34.277999999999999</v>
      </c>
      <c r="F83" s="18">
        <v>34.091000000000001</v>
      </c>
      <c r="G83" s="18">
        <v>190.77</v>
      </c>
      <c r="H83" s="18">
        <f t="shared" si="5"/>
        <v>30.866875</v>
      </c>
      <c r="I83" s="5"/>
      <c r="J83" s="17">
        <v>517.7568</v>
      </c>
      <c r="K83" s="18">
        <v>31.239899999999999</v>
      </c>
      <c r="L83" s="18">
        <v>35.250700000000002</v>
      </c>
      <c r="M83" s="18">
        <v>34.929000000000002</v>
      </c>
      <c r="N83" s="18">
        <v>157.13390000000001</v>
      </c>
      <c r="O83" s="18">
        <f t="shared" si="6"/>
        <v>32.2023875</v>
      </c>
      <c r="P83" s="7"/>
      <c r="Q83" s="10"/>
      <c r="R83" s="11"/>
      <c r="S83" s="11"/>
      <c r="T83" s="26"/>
      <c r="U83" s="28">
        <f t="shared" si="7"/>
        <v>-0.1763175551711485</v>
      </c>
    </row>
    <row r="84" spans="1:21" ht="16.5" hidden="1" thickBot="1" x14ac:dyDescent="0.3">
      <c r="B84" s="12"/>
      <c r="C84" s="19">
        <v>398.56</v>
      </c>
      <c r="D84" s="20">
        <v>27.103000000000002</v>
      </c>
      <c r="E84" s="20">
        <v>33.241999999999997</v>
      </c>
      <c r="F84" s="20">
        <v>32.99</v>
      </c>
      <c r="G84" s="20">
        <v>208.07</v>
      </c>
      <c r="H84" s="20">
        <f t="shared" si="5"/>
        <v>28.606249999999999</v>
      </c>
      <c r="I84" s="5"/>
      <c r="J84" s="19">
        <v>310.2208</v>
      </c>
      <c r="K84" s="20">
        <v>29.3188</v>
      </c>
      <c r="L84" s="20">
        <v>33.766199999999998</v>
      </c>
      <c r="M84" s="20">
        <v>33.354199999999999</v>
      </c>
      <c r="N84" s="20">
        <v>189.68129999999999</v>
      </c>
      <c r="O84" s="20">
        <f t="shared" si="6"/>
        <v>30.379149999999999</v>
      </c>
      <c r="P84" s="7"/>
      <c r="Q84" s="13"/>
      <c r="R84" s="14"/>
      <c r="S84" s="14"/>
      <c r="T84" s="27"/>
      <c r="U84" s="28">
        <f t="shared" si="7"/>
        <v>-8.8377469120968902E-2</v>
      </c>
    </row>
    <row r="85" spans="1:21" hidden="1" x14ac:dyDescent="0.25">
      <c r="B85" s="6" t="s">
        <v>74</v>
      </c>
      <c r="C85" s="15">
        <v>1470.39</v>
      </c>
      <c r="D85" s="16">
        <v>32.871000000000002</v>
      </c>
      <c r="E85" s="16">
        <v>39.521999999999998</v>
      </c>
      <c r="F85" s="16">
        <v>38.802999999999997</v>
      </c>
      <c r="G85" s="16">
        <v>81.34</v>
      </c>
      <c r="H85" s="16">
        <f t="shared" si="5"/>
        <v>34.443874999999998</v>
      </c>
      <c r="I85" s="5"/>
      <c r="J85" s="15">
        <v>1239.3149000000001</v>
      </c>
      <c r="K85" s="16">
        <v>32.8962</v>
      </c>
      <c r="L85" s="16">
        <v>40.179000000000002</v>
      </c>
      <c r="M85" s="16">
        <v>39.5441</v>
      </c>
      <c r="N85" s="16">
        <v>57.650199999999998</v>
      </c>
      <c r="O85" s="16">
        <f t="shared" si="6"/>
        <v>34.637537500000001</v>
      </c>
      <c r="P85" s="7"/>
      <c r="Q85" s="8">
        <f>bdrate(C85:C88,D85:D88,J85:J88,K85:K88)</f>
        <v>-0.31950792818073392</v>
      </c>
      <c r="R85" s="8">
        <f>bdrate(C85:C88,E85:E88,J85:J88,L85:L88)</f>
        <v>-0.34350902119530069</v>
      </c>
      <c r="S85" s="8">
        <f>bdrate(C85:C88,F85:F88,J85:J88,M85:M88)</f>
        <v>-0.34856024179392042</v>
      </c>
      <c r="T85" s="25">
        <f>bdrate(C85:C88,H85:H88,J85:J88,O85:O88)</f>
        <v>-0.32918414205140878</v>
      </c>
      <c r="U85" s="28">
        <f t="shared" si="7"/>
        <v>-0.29124416031472833</v>
      </c>
    </row>
    <row r="86" spans="1:21" hidden="1" x14ac:dyDescent="0.25">
      <c r="B86" s="9"/>
      <c r="C86" s="17">
        <v>976.69</v>
      </c>
      <c r="D86" s="18">
        <v>30.975000000000001</v>
      </c>
      <c r="E86" s="18">
        <v>38.558</v>
      </c>
      <c r="F86" s="18">
        <v>37.634999999999998</v>
      </c>
      <c r="G86" s="18">
        <v>90.53</v>
      </c>
      <c r="H86" s="18">
        <f t="shared" si="5"/>
        <v>32.755375000000001</v>
      </c>
      <c r="I86" s="5"/>
      <c r="J86" s="17">
        <v>825.73299999999995</v>
      </c>
      <c r="K86" s="18">
        <v>31.567799999999998</v>
      </c>
      <c r="L86" s="18">
        <v>39.193399999999997</v>
      </c>
      <c r="M86" s="18">
        <v>38.421399999999998</v>
      </c>
      <c r="N86" s="18">
        <v>67.9071</v>
      </c>
      <c r="O86" s="18">
        <f t="shared" si="6"/>
        <v>33.377699999999997</v>
      </c>
      <c r="P86" s="7"/>
      <c r="Q86" s="10"/>
      <c r="R86" s="11"/>
      <c r="S86" s="11"/>
      <c r="T86" s="26"/>
      <c r="U86" s="28">
        <f t="shared" si="7"/>
        <v>-0.24989395780404286</v>
      </c>
    </row>
    <row r="87" spans="1:21" hidden="1" x14ac:dyDescent="0.25">
      <c r="B87" s="9"/>
      <c r="C87" s="17">
        <v>610.07000000000005</v>
      </c>
      <c r="D87" s="18">
        <v>28.870999999999999</v>
      </c>
      <c r="E87" s="18">
        <v>37.569000000000003</v>
      </c>
      <c r="F87" s="18">
        <v>36.533000000000001</v>
      </c>
      <c r="G87" s="18">
        <v>101.44</v>
      </c>
      <c r="H87" s="18">
        <f t="shared" si="5"/>
        <v>30.916000000000004</v>
      </c>
      <c r="I87" s="5"/>
      <c r="J87" s="17">
        <v>515.32510000000002</v>
      </c>
      <c r="K87" s="18">
        <v>30.0931</v>
      </c>
      <c r="L87" s="18">
        <v>38.081800000000001</v>
      </c>
      <c r="M87" s="18">
        <v>37.125900000000001</v>
      </c>
      <c r="N87" s="18">
        <v>81.340500000000006</v>
      </c>
      <c r="O87" s="18">
        <f t="shared" si="6"/>
        <v>31.9707875</v>
      </c>
      <c r="P87" s="7"/>
      <c r="Q87" s="10"/>
      <c r="R87" s="11"/>
      <c r="S87" s="11"/>
      <c r="T87" s="26"/>
      <c r="U87" s="28">
        <f t="shared" si="7"/>
        <v>-0.1981417586750788</v>
      </c>
    </row>
    <row r="88" spans="1:21" ht="16.5" hidden="1" thickBot="1" x14ac:dyDescent="0.3">
      <c r="B88" s="12"/>
      <c r="C88" s="19">
        <v>366</v>
      </c>
      <c r="D88" s="20">
        <v>26.527000000000001</v>
      </c>
      <c r="E88" s="20">
        <v>36.594000000000001</v>
      </c>
      <c r="F88" s="20">
        <v>35.262</v>
      </c>
      <c r="G88" s="20">
        <v>108.65</v>
      </c>
      <c r="H88" s="20">
        <f t="shared" si="5"/>
        <v>28.87725</v>
      </c>
      <c r="I88" s="5"/>
      <c r="J88" s="19">
        <v>308.47149999999999</v>
      </c>
      <c r="K88" s="20">
        <v>28.540900000000001</v>
      </c>
      <c r="L88" s="20">
        <v>36.985599999999998</v>
      </c>
      <c r="M88" s="20">
        <v>35.832099999999997</v>
      </c>
      <c r="N88" s="20">
        <v>98.912000000000006</v>
      </c>
      <c r="O88" s="20">
        <f t="shared" si="6"/>
        <v>30.507887500000002</v>
      </c>
      <c r="P88" s="7"/>
      <c r="Q88" s="13"/>
      <c r="R88" s="14"/>
      <c r="S88" s="14"/>
      <c r="T88" s="27"/>
      <c r="U88" s="28">
        <f t="shared" si="7"/>
        <v>-8.9627243442245735E-2</v>
      </c>
    </row>
    <row r="89" spans="1:21" hidden="1" x14ac:dyDescent="0.25">
      <c r="B89" s="6" t="s">
        <v>75</v>
      </c>
      <c r="C89" s="15">
        <v>1553.3</v>
      </c>
      <c r="D89" s="16">
        <v>50.92</v>
      </c>
      <c r="E89" s="16">
        <v>50.488</v>
      </c>
      <c r="F89" s="16">
        <v>50.308</v>
      </c>
      <c r="G89" s="16">
        <v>109.25</v>
      </c>
      <c r="H89" s="16">
        <f t="shared" si="5"/>
        <v>50.789499999999997</v>
      </c>
      <c r="I89" s="5"/>
      <c r="J89" s="15">
        <v>989.33280000000002</v>
      </c>
      <c r="K89" s="16">
        <v>48.041499999999999</v>
      </c>
      <c r="L89" s="16">
        <v>48.253100000000003</v>
      </c>
      <c r="M89" s="16">
        <v>48.012599999999999</v>
      </c>
      <c r="N89" s="16">
        <v>57.581600000000002</v>
      </c>
      <c r="O89" s="16">
        <f t="shared" si="6"/>
        <v>48.064337500000008</v>
      </c>
      <c r="P89" s="7"/>
      <c r="Q89" s="8">
        <f>bdrate(C89:C92,D89:D92,J89:J92,K89:K92)</f>
        <v>-0.10787139458903461</v>
      </c>
      <c r="R89" s="8">
        <f>bdrate(C89:C92,E89:E92,J89:J92,L89:L92)</f>
        <v>-0.12208626581491167</v>
      </c>
      <c r="S89" s="8">
        <f>bdrate(C89:C92,F89:F92,J89:J92,M89:M92)</f>
        <v>-0.12157797270427018</v>
      </c>
      <c r="T89" s="25">
        <f>bdrate(C89:C92,H89:H92,J89:J92,O89:O92)</f>
        <v>-0.11053968692803784</v>
      </c>
      <c r="U89" s="28">
        <f t="shared" si="7"/>
        <v>-0.47293729977116705</v>
      </c>
    </row>
    <row r="90" spans="1:21" hidden="1" x14ac:dyDescent="0.25">
      <c r="B90" s="9"/>
      <c r="C90" s="17">
        <v>982.45</v>
      </c>
      <c r="D90" s="18">
        <v>47.018999999999998</v>
      </c>
      <c r="E90" s="18">
        <v>47.023000000000003</v>
      </c>
      <c r="F90" s="18">
        <v>46.84</v>
      </c>
      <c r="G90" s="18">
        <v>127.33</v>
      </c>
      <c r="H90" s="18">
        <f t="shared" si="5"/>
        <v>46.997124999999997</v>
      </c>
      <c r="I90" s="5"/>
      <c r="J90" s="17">
        <v>750.52</v>
      </c>
      <c r="K90" s="18">
        <v>45.531700000000001</v>
      </c>
      <c r="L90" s="18">
        <v>46.122</v>
      </c>
      <c r="M90" s="18">
        <v>45.913600000000002</v>
      </c>
      <c r="N90" s="18">
        <v>116.5501</v>
      </c>
      <c r="O90" s="18">
        <f t="shared" si="6"/>
        <v>45.653225000000006</v>
      </c>
      <c r="P90" s="7"/>
      <c r="Q90" s="10"/>
      <c r="R90" s="11"/>
      <c r="S90" s="11"/>
      <c r="T90" s="26"/>
      <c r="U90" s="28">
        <f t="shared" si="7"/>
        <v>-8.4661116783161849E-2</v>
      </c>
    </row>
    <row r="91" spans="1:21" hidden="1" x14ac:dyDescent="0.25">
      <c r="B91" s="9"/>
      <c r="C91" s="17">
        <v>594.04999999999995</v>
      </c>
      <c r="D91" s="18">
        <v>41.356000000000002</v>
      </c>
      <c r="E91" s="18">
        <v>42.631999999999998</v>
      </c>
      <c r="F91" s="18">
        <v>42.433</v>
      </c>
      <c r="G91" s="18">
        <v>142.44999999999999</v>
      </c>
      <c r="H91" s="18">
        <f t="shared" si="5"/>
        <v>41.650125000000003</v>
      </c>
      <c r="I91" s="5"/>
      <c r="J91" s="17">
        <v>537.73680000000002</v>
      </c>
      <c r="K91" s="18">
        <v>41.456800000000001</v>
      </c>
      <c r="L91" s="18">
        <v>42.741300000000003</v>
      </c>
      <c r="M91" s="18">
        <v>42.585299999999997</v>
      </c>
      <c r="N91" s="18">
        <v>161.6379</v>
      </c>
      <c r="O91" s="18">
        <f t="shared" si="6"/>
        <v>41.758425000000003</v>
      </c>
      <c r="P91" s="7"/>
      <c r="Q91" s="10"/>
      <c r="R91" s="11"/>
      <c r="S91" s="11"/>
      <c r="T91" s="26"/>
      <c r="U91" s="28">
        <f t="shared" si="7"/>
        <v>0.13469919269919281</v>
      </c>
    </row>
    <row r="92" spans="1:21" ht="16.5" hidden="1" thickBot="1" x14ac:dyDescent="0.3">
      <c r="B92" s="12"/>
      <c r="C92" s="19">
        <v>308.51</v>
      </c>
      <c r="D92" s="20">
        <v>33.168999999999997</v>
      </c>
      <c r="E92" s="20">
        <v>38.018999999999998</v>
      </c>
      <c r="F92" s="20">
        <v>37.698999999999998</v>
      </c>
      <c r="G92" s="20">
        <v>157.65</v>
      </c>
      <c r="H92" s="20">
        <f t="shared" si="5"/>
        <v>34.341499999999996</v>
      </c>
      <c r="I92" s="5"/>
      <c r="J92" s="19">
        <v>301.12560000000002</v>
      </c>
      <c r="K92" s="20">
        <v>34.514000000000003</v>
      </c>
      <c r="L92" s="20">
        <v>38.611199999999997</v>
      </c>
      <c r="M92" s="20">
        <v>38.273099999999999</v>
      </c>
      <c r="N92" s="20">
        <v>178.04150000000001</v>
      </c>
      <c r="O92" s="20">
        <f t="shared" si="6"/>
        <v>35.4960375</v>
      </c>
      <c r="P92" s="7"/>
      <c r="Q92" s="13"/>
      <c r="R92" s="14"/>
      <c r="S92" s="14"/>
      <c r="T92" s="27"/>
      <c r="U92" s="28">
        <f t="shared" si="7"/>
        <v>0.12934665398033623</v>
      </c>
    </row>
    <row r="93" spans="1:21" hidden="1" x14ac:dyDescent="0.25">
      <c r="B93" s="6" t="s">
        <v>76</v>
      </c>
      <c r="C93" s="15">
        <v>1704.92</v>
      </c>
      <c r="D93" s="16">
        <v>52.643000000000001</v>
      </c>
      <c r="E93" s="16">
        <v>55.667000000000002</v>
      </c>
      <c r="F93" s="16">
        <v>56.377000000000002</v>
      </c>
      <c r="G93" s="16">
        <v>102.71</v>
      </c>
      <c r="H93" s="16">
        <f t="shared" si="5"/>
        <v>53.487749999999998</v>
      </c>
      <c r="I93" s="5"/>
      <c r="J93" s="15">
        <v>1149.8022000000001</v>
      </c>
      <c r="K93" s="16">
        <v>49.626199999999997</v>
      </c>
      <c r="L93" s="16">
        <v>52.884700000000002</v>
      </c>
      <c r="M93" s="16">
        <v>53.900799999999997</v>
      </c>
      <c r="N93" s="16">
        <v>83.458500000000001</v>
      </c>
      <c r="O93" s="16">
        <f t="shared" si="6"/>
        <v>50.567837500000003</v>
      </c>
      <c r="P93" s="7"/>
      <c r="Q93" s="8">
        <f>bdrate(C93:C96,D93:D96,J93:J96,K93:K96)</f>
        <v>-0.10204232813010328</v>
      </c>
      <c r="R93" s="8">
        <f>bdrate(C93:C96,E93:E96,J93:J96,L93:L96)</f>
        <v>-0.19808727648581914</v>
      </c>
      <c r="S93" s="8">
        <f>bdrate(C93:C96,F93:F96,J93:J96,M93:M96)</f>
        <v>-0.1956485552890419</v>
      </c>
      <c r="T93" s="25">
        <f>bdrate(C93:C96,H93:H96,J93:J96,O93:O96)</f>
        <v>-0.12363683138449311</v>
      </c>
      <c r="U93" s="28">
        <f t="shared" si="7"/>
        <v>-0.18743549800408912</v>
      </c>
    </row>
    <row r="94" spans="1:21" hidden="1" x14ac:dyDescent="0.25">
      <c r="B94" s="9"/>
      <c r="C94" s="17">
        <v>1137.1099999999999</v>
      </c>
      <c r="D94" s="18">
        <v>49.253999999999998</v>
      </c>
      <c r="E94" s="18">
        <v>52.545999999999999</v>
      </c>
      <c r="F94" s="18">
        <v>53.4</v>
      </c>
      <c r="G94" s="18">
        <v>112.08</v>
      </c>
      <c r="H94" s="18">
        <f t="shared" si="5"/>
        <v>50.183749999999996</v>
      </c>
      <c r="I94" s="5"/>
      <c r="J94" s="17">
        <v>786.88930000000005</v>
      </c>
      <c r="K94" s="18">
        <v>46.896900000000002</v>
      </c>
      <c r="L94" s="18">
        <v>50.698099999999997</v>
      </c>
      <c r="M94" s="18">
        <v>51.739199999999997</v>
      </c>
      <c r="N94" s="18">
        <v>98.328400000000002</v>
      </c>
      <c r="O94" s="18">
        <f t="shared" si="6"/>
        <v>47.977337499999997</v>
      </c>
      <c r="P94" s="7"/>
      <c r="Q94" s="10"/>
      <c r="R94" s="11"/>
      <c r="S94" s="11"/>
      <c r="T94" s="26"/>
      <c r="U94" s="28">
        <f t="shared" si="7"/>
        <v>-0.12269450392576728</v>
      </c>
    </row>
    <row r="95" spans="1:21" hidden="1" x14ac:dyDescent="0.25">
      <c r="B95" s="9"/>
      <c r="C95" s="17">
        <v>687.12</v>
      </c>
      <c r="D95" s="18">
        <v>45.097999999999999</v>
      </c>
      <c r="E95" s="18">
        <v>48.531999999999996</v>
      </c>
      <c r="F95" s="18">
        <v>49.473999999999997</v>
      </c>
      <c r="G95" s="18">
        <v>117.84</v>
      </c>
      <c r="H95" s="18">
        <f t="shared" si="5"/>
        <v>46.074249999999992</v>
      </c>
      <c r="I95" s="5"/>
      <c r="J95" s="17">
        <v>479.53820000000002</v>
      </c>
      <c r="K95" s="18">
        <v>43.2089</v>
      </c>
      <c r="L95" s="18">
        <v>47.764099999999999</v>
      </c>
      <c r="M95" s="18">
        <v>48.8504</v>
      </c>
      <c r="N95" s="18">
        <v>113.27589999999999</v>
      </c>
      <c r="O95" s="18">
        <f t="shared" si="6"/>
        <v>44.483487499999995</v>
      </c>
      <c r="P95" s="7"/>
      <c r="Q95" s="10"/>
      <c r="R95" s="11"/>
      <c r="S95" s="11"/>
      <c r="T95" s="26"/>
      <c r="U95" s="28">
        <f t="shared" si="7"/>
        <v>-3.873133061778692E-2</v>
      </c>
    </row>
    <row r="96" spans="1:21" ht="16.5" hidden="1" thickBot="1" x14ac:dyDescent="0.3">
      <c r="B96" s="12"/>
      <c r="C96" s="19">
        <v>347.21</v>
      </c>
      <c r="D96" s="20">
        <v>39.335000000000001</v>
      </c>
      <c r="E96" s="20">
        <v>43.347000000000001</v>
      </c>
      <c r="F96" s="20">
        <v>45.04</v>
      </c>
      <c r="G96" s="20">
        <v>123.73</v>
      </c>
      <c r="H96" s="20">
        <f t="shared" si="5"/>
        <v>40.549624999999999</v>
      </c>
      <c r="I96" s="5"/>
      <c r="J96" s="19">
        <v>261.57440000000003</v>
      </c>
      <c r="K96" s="20">
        <v>37.970599999999997</v>
      </c>
      <c r="L96" s="20">
        <v>43.784300000000002</v>
      </c>
      <c r="M96" s="20">
        <v>44.850299999999997</v>
      </c>
      <c r="N96" s="20">
        <v>128.20509999999999</v>
      </c>
      <c r="O96" s="20">
        <f t="shared" si="6"/>
        <v>39.557274999999997</v>
      </c>
      <c r="P96" s="7"/>
      <c r="Q96" s="13"/>
      <c r="R96" s="14"/>
      <c r="S96" s="14"/>
      <c r="T96" s="27"/>
      <c r="U96" s="28">
        <f t="shared" si="7"/>
        <v>3.6168269619332283E-2</v>
      </c>
    </row>
    <row r="97" spans="1:21" hidden="1" x14ac:dyDescent="0.25">
      <c r="A97" s="6" t="s">
        <v>104</v>
      </c>
      <c r="B97" s="6" t="s">
        <v>105</v>
      </c>
      <c r="C97" s="15">
        <v>1303.1199999999999</v>
      </c>
      <c r="D97" s="16">
        <v>40.869999999999997</v>
      </c>
      <c r="E97" s="16">
        <v>47.582000000000001</v>
      </c>
      <c r="F97" s="16">
        <v>47.420999999999999</v>
      </c>
      <c r="G97" s="16">
        <v>117.46</v>
      </c>
      <c r="H97" s="16">
        <f t="shared" si="5"/>
        <v>42.527874999999995</v>
      </c>
      <c r="I97" s="5"/>
      <c r="J97" s="15">
        <v>1024.8050000000001</v>
      </c>
      <c r="K97" s="16">
        <v>41.237099999999998</v>
      </c>
      <c r="L97" s="16">
        <v>47.698300000000003</v>
      </c>
      <c r="M97" s="16">
        <v>47.622700000000002</v>
      </c>
      <c r="N97" s="16">
        <v>73.743600000000001</v>
      </c>
      <c r="O97" s="16">
        <f t="shared" si="6"/>
        <v>42.842950000000002</v>
      </c>
      <c r="P97" s="7"/>
      <c r="Q97" s="8">
        <f>bdrate(C97:C100,D97:D100,J97:J100,K97:K100)</f>
        <v>-0.30283893085593661</v>
      </c>
      <c r="R97" s="8">
        <f>bdrate(C97:C100,E97:E100,J97:J100,L97:L100)</f>
        <v>-0.26865098000674936</v>
      </c>
      <c r="S97" s="8">
        <f>bdrate(C97:C100,F97:F100,J97:J100,M97:M100)</f>
        <v>-0.29151699796621455</v>
      </c>
      <c r="T97" s="25">
        <f>bdrate(C97:C100,H97:H100,J97:J100,O97:O100)</f>
        <v>-0.29907304427186354</v>
      </c>
      <c r="U97" s="28">
        <f t="shared" si="7"/>
        <v>-0.37218116805721091</v>
      </c>
    </row>
    <row r="98" spans="1:21" hidden="1" x14ac:dyDescent="0.25">
      <c r="A98" s="9"/>
      <c r="B98" s="9"/>
      <c r="C98" s="17">
        <v>774.6</v>
      </c>
      <c r="D98" s="18">
        <v>38.241</v>
      </c>
      <c r="E98" s="18">
        <v>45.81</v>
      </c>
      <c r="F98" s="18">
        <v>45.445999999999998</v>
      </c>
      <c r="G98" s="18">
        <v>135.94999999999999</v>
      </c>
      <c r="H98" s="18">
        <f t="shared" si="5"/>
        <v>40.08775</v>
      </c>
      <c r="I98" s="5"/>
      <c r="J98" s="17">
        <v>612.67759999999998</v>
      </c>
      <c r="K98" s="18">
        <v>38.742400000000004</v>
      </c>
      <c r="L98" s="18">
        <v>46.034799999999997</v>
      </c>
      <c r="M98" s="18">
        <v>45.816400000000002</v>
      </c>
      <c r="N98" s="18">
        <v>89.820400000000006</v>
      </c>
      <c r="O98" s="18">
        <f t="shared" si="6"/>
        <v>40.538200000000003</v>
      </c>
      <c r="P98" s="7"/>
      <c r="Q98" s="10"/>
      <c r="R98" s="11"/>
      <c r="S98" s="11"/>
      <c r="T98" s="26"/>
      <c r="U98" s="28">
        <f t="shared" si="7"/>
        <v>-0.33931298271423305</v>
      </c>
    </row>
    <row r="99" spans="1:21" hidden="1" x14ac:dyDescent="0.25">
      <c r="B99" s="9"/>
      <c r="C99" s="17">
        <v>513.20000000000005</v>
      </c>
      <c r="D99" s="18">
        <v>36.113999999999997</v>
      </c>
      <c r="E99" s="18">
        <v>44.476999999999997</v>
      </c>
      <c r="F99" s="18">
        <v>44.031999999999996</v>
      </c>
      <c r="G99" s="18">
        <v>149.16999999999999</v>
      </c>
      <c r="H99" s="18">
        <f t="shared" si="5"/>
        <v>38.149124999999991</v>
      </c>
      <c r="I99" s="5"/>
      <c r="J99" s="17">
        <v>407.19909999999999</v>
      </c>
      <c r="K99" s="18">
        <v>36.763599999999997</v>
      </c>
      <c r="L99" s="18">
        <v>44.747</v>
      </c>
      <c r="M99" s="18">
        <v>44.443800000000003</v>
      </c>
      <c r="N99" s="18">
        <v>105.1129</v>
      </c>
      <c r="O99" s="18">
        <f t="shared" si="6"/>
        <v>38.721550000000001</v>
      </c>
      <c r="P99" s="7"/>
      <c r="Q99" s="10"/>
      <c r="R99" s="11"/>
      <c r="S99" s="11"/>
      <c r="T99" s="26"/>
      <c r="U99" s="28">
        <f t="shared" si="7"/>
        <v>-0.2953482603740698</v>
      </c>
    </row>
    <row r="100" spans="1:21" ht="16.5" hidden="1" thickBot="1" x14ac:dyDescent="0.3">
      <c r="B100" s="12"/>
      <c r="C100" s="19">
        <v>253.03</v>
      </c>
      <c r="D100" s="20">
        <v>32.305999999999997</v>
      </c>
      <c r="E100" s="20">
        <v>42.393999999999998</v>
      </c>
      <c r="F100" s="20">
        <v>41.817</v>
      </c>
      <c r="G100" s="20">
        <v>175.4</v>
      </c>
      <c r="H100" s="20">
        <f t="shared" si="5"/>
        <v>34.755874999999996</v>
      </c>
      <c r="I100" s="5"/>
      <c r="J100" s="19">
        <v>202.73689999999999</v>
      </c>
      <c r="K100" s="20">
        <v>33.542099999999998</v>
      </c>
      <c r="L100" s="20">
        <v>42.757100000000001</v>
      </c>
      <c r="M100" s="20">
        <v>42.256599999999999</v>
      </c>
      <c r="N100" s="20">
        <v>138.131</v>
      </c>
      <c r="O100" s="20">
        <f t="shared" si="6"/>
        <v>35.7832875</v>
      </c>
      <c r="P100" s="7"/>
      <c r="Q100" s="13"/>
      <c r="R100" s="14"/>
      <c r="S100" s="14"/>
      <c r="T100" s="27"/>
      <c r="U100" s="28">
        <f t="shared" si="7"/>
        <v>-0.21248004561003422</v>
      </c>
    </row>
    <row r="101" spans="1:21" hidden="1" x14ac:dyDescent="0.25">
      <c r="B101" s="6" t="s">
        <v>106</v>
      </c>
      <c r="C101" s="15">
        <v>1280.19</v>
      </c>
      <c r="D101" s="16">
        <v>40.052999999999997</v>
      </c>
      <c r="E101" s="16">
        <v>49.74</v>
      </c>
      <c r="F101" s="16">
        <v>47.39</v>
      </c>
      <c r="G101" s="16">
        <v>122.8</v>
      </c>
      <c r="H101" s="16">
        <f t="shared" si="5"/>
        <v>42.180999999999997</v>
      </c>
      <c r="I101" s="5"/>
      <c r="J101" s="15">
        <v>1023.2487</v>
      </c>
      <c r="K101" s="16">
        <v>40.096299999999999</v>
      </c>
      <c r="L101" s="16">
        <v>49.762700000000002</v>
      </c>
      <c r="M101" s="16">
        <v>47.639099999999999</v>
      </c>
      <c r="N101" s="16">
        <v>85.630099999999999</v>
      </c>
      <c r="O101" s="16">
        <f t="shared" si="6"/>
        <v>42.247450000000001</v>
      </c>
      <c r="P101" s="7"/>
      <c r="Q101" s="8">
        <f>bdrate(C101:C104,D101:D104,J101:J104,K101:K104)</f>
        <v>-0.24479485620093522</v>
      </c>
      <c r="R101" s="8">
        <f>bdrate(C101:C104,E101:E104,J101:J104,L101:L104)</f>
        <v>-0.3070565410273981</v>
      </c>
      <c r="S101" s="8">
        <f>bdrate(C101:C104,F101:F104,J101:J104,M101:M104)</f>
        <v>-0.35157352946771969</v>
      </c>
      <c r="T101" s="25">
        <f>bdrate(C101:C104,H101:H104,J101:J104,O101:O104)</f>
        <v>-0.26092119554055093</v>
      </c>
      <c r="U101" s="28">
        <f t="shared" si="7"/>
        <v>-0.30268648208469057</v>
      </c>
    </row>
    <row r="102" spans="1:21" hidden="1" x14ac:dyDescent="0.25">
      <c r="B102" s="9"/>
      <c r="C102" s="17">
        <v>765</v>
      </c>
      <c r="D102" s="18">
        <v>37.665999999999997</v>
      </c>
      <c r="E102" s="18">
        <v>48.204000000000001</v>
      </c>
      <c r="F102" s="18">
        <v>45.536000000000001</v>
      </c>
      <c r="G102" s="18">
        <v>140.22999999999999</v>
      </c>
      <c r="H102" s="18">
        <f t="shared" si="5"/>
        <v>39.966999999999999</v>
      </c>
      <c r="I102" s="5"/>
      <c r="J102" s="17">
        <v>613.98410000000001</v>
      </c>
      <c r="K102" s="18">
        <v>37.805799999999998</v>
      </c>
      <c r="L102" s="18">
        <v>48.507599999999996</v>
      </c>
      <c r="M102" s="18">
        <v>46.103499999999997</v>
      </c>
      <c r="N102" s="18">
        <v>107.32080000000001</v>
      </c>
      <c r="O102" s="18">
        <f t="shared" si="6"/>
        <v>40.180737499999999</v>
      </c>
      <c r="P102" s="7"/>
      <c r="Q102" s="10"/>
      <c r="R102" s="11"/>
      <c r="S102" s="11"/>
      <c r="T102" s="26"/>
      <c r="U102" s="28">
        <f t="shared" si="7"/>
        <v>-0.23468016829494392</v>
      </c>
    </row>
    <row r="103" spans="1:21" hidden="1" x14ac:dyDescent="0.25">
      <c r="B103" s="9"/>
      <c r="C103" s="17">
        <v>509.32</v>
      </c>
      <c r="D103" s="18">
        <v>35.825000000000003</v>
      </c>
      <c r="E103" s="18">
        <v>47.087000000000003</v>
      </c>
      <c r="F103" s="18">
        <v>44.186999999999998</v>
      </c>
      <c r="G103" s="18">
        <v>153.69</v>
      </c>
      <c r="H103" s="18">
        <f t="shared" si="5"/>
        <v>38.278000000000006</v>
      </c>
      <c r="I103" s="5"/>
      <c r="J103" s="17">
        <v>408.80869999999999</v>
      </c>
      <c r="K103" s="18">
        <v>36.113700000000001</v>
      </c>
      <c r="L103" s="18">
        <v>47.542299999999997</v>
      </c>
      <c r="M103" s="18">
        <v>44.954500000000003</v>
      </c>
      <c r="N103" s="18">
        <v>124.91249999999999</v>
      </c>
      <c r="O103" s="18">
        <f t="shared" si="6"/>
        <v>38.647375000000004</v>
      </c>
      <c r="P103" s="7"/>
      <c r="Q103" s="10"/>
      <c r="R103" s="11"/>
      <c r="S103" s="11"/>
      <c r="T103" s="26"/>
      <c r="U103" s="28">
        <f t="shared" si="7"/>
        <v>-0.1872438024594964</v>
      </c>
    </row>
    <row r="104" spans="1:21" ht="16.5" hidden="1" thickBot="1" x14ac:dyDescent="0.3">
      <c r="B104" s="12"/>
      <c r="C104" s="19">
        <v>254.73</v>
      </c>
      <c r="D104" s="20">
        <v>32.747</v>
      </c>
      <c r="E104" s="20">
        <v>45.460999999999999</v>
      </c>
      <c r="F104" s="20">
        <v>42.168999999999997</v>
      </c>
      <c r="G104" s="20">
        <v>178.71</v>
      </c>
      <c r="H104" s="20">
        <f t="shared" si="5"/>
        <v>35.513999999999996</v>
      </c>
      <c r="I104" s="5"/>
      <c r="J104" s="19">
        <v>204.37790000000001</v>
      </c>
      <c r="K104" s="20">
        <v>33.416699999999999</v>
      </c>
      <c r="L104" s="20">
        <v>46.082900000000002</v>
      </c>
      <c r="M104" s="20">
        <v>43.060699999999997</v>
      </c>
      <c r="N104" s="20">
        <v>163.39609999999999</v>
      </c>
      <c r="O104" s="20">
        <f t="shared" si="6"/>
        <v>36.205475</v>
      </c>
      <c r="P104" s="7"/>
      <c r="Q104" s="13"/>
      <c r="R104" s="14"/>
      <c r="S104" s="14"/>
      <c r="T104" s="27"/>
      <c r="U104" s="28">
        <f t="shared" si="7"/>
        <v>-8.5691343517430574E-2</v>
      </c>
    </row>
    <row r="105" spans="1:21" hidden="1" x14ac:dyDescent="0.25">
      <c r="B105" s="6" t="s">
        <v>107</v>
      </c>
      <c r="C105" s="15">
        <v>1330.51</v>
      </c>
      <c r="D105" s="16">
        <v>43.762999999999998</v>
      </c>
      <c r="E105" s="16">
        <v>47.777999999999999</v>
      </c>
      <c r="F105" s="16">
        <v>48.112000000000002</v>
      </c>
      <c r="G105" s="16">
        <v>100.75</v>
      </c>
      <c r="H105" s="16">
        <f t="shared" si="5"/>
        <v>44.808500000000002</v>
      </c>
      <c r="I105" s="5"/>
      <c r="J105" s="15">
        <v>1026.703</v>
      </c>
      <c r="K105" s="16">
        <v>43.560699999999997</v>
      </c>
      <c r="L105" s="16">
        <v>47.563600000000001</v>
      </c>
      <c r="M105" s="16">
        <v>47.934600000000003</v>
      </c>
      <c r="N105" s="16">
        <v>64.903800000000004</v>
      </c>
      <c r="O105" s="16">
        <f t="shared" si="6"/>
        <v>44.607799999999997</v>
      </c>
      <c r="P105" s="7"/>
      <c r="Q105" s="8">
        <f>bdrate(C105:C108,D105:D108,J105:J108,K105:K108)</f>
        <v>-0.2409620240830701</v>
      </c>
      <c r="R105" s="8">
        <f>bdrate(C105:C108,E105:E108,J105:J108,L105:L108)</f>
        <v>-0.18557892530348929</v>
      </c>
      <c r="S105" s="8">
        <f>bdrate(C105:C108,F105:F108,J105:J108,M105:M108)</f>
        <v>-0.19147725334701438</v>
      </c>
      <c r="T105" s="25">
        <f>bdrate(C105:C108,H105:H108,J105:J108,O105:O108)</f>
        <v>-0.23289623092659695</v>
      </c>
      <c r="U105" s="28">
        <f t="shared" si="7"/>
        <v>-0.35579354838709676</v>
      </c>
    </row>
    <row r="106" spans="1:21" hidden="1" x14ac:dyDescent="0.25">
      <c r="B106" s="9"/>
      <c r="C106" s="17">
        <v>793.97</v>
      </c>
      <c r="D106" s="18">
        <v>41.503999999999998</v>
      </c>
      <c r="E106" s="18">
        <v>46.302999999999997</v>
      </c>
      <c r="F106" s="18">
        <v>46.743000000000002</v>
      </c>
      <c r="G106" s="18">
        <v>118.01</v>
      </c>
      <c r="H106" s="18">
        <f t="shared" si="5"/>
        <v>42.758749999999999</v>
      </c>
      <c r="I106" s="5"/>
      <c r="J106" s="17">
        <v>615.77880000000005</v>
      </c>
      <c r="K106" s="18">
        <v>41.437800000000003</v>
      </c>
      <c r="L106" s="18">
        <v>46.140999999999998</v>
      </c>
      <c r="M106" s="18">
        <v>46.5839</v>
      </c>
      <c r="N106" s="18">
        <v>81.211100000000002</v>
      </c>
      <c r="O106" s="18">
        <f t="shared" si="6"/>
        <v>42.668962500000006</v>
      </c>
      <c r="P106" s="7"/>
      <c r="Q106" s="10"/>
      <c r="R106" s="11"/>
      <c r="S106" s="11"/>
      <c r="T106" s="26"/>
      <c r="U106" s="28">
        <f t="shared" si="7"/>
        <v>-0.31182865858825526</v>
      </c>
    </row>
    <row r="107" spans="1:21" hidden="1" x14ac:dyDescent="0.25">
      <c r="B107" s="9"/>
      <c r="C107" s="17">
        <v>525.51</v>
      </c>
      <c r="D107" s="18">
        <v>39.579000000000001</v>
      </c>
      <c r="E107" s="18">
        <v>45.165999999999997</v>
      </c>
      <c r="F107" s="18">
        <v>45.631</v>
      </c>
      <c r="G107" s="18">
        <v>131.11000000000001</v>
      </c>
      <c r="H107" s="18">
        <f t="shared" si="5"/>
        <v>41.033874999999995</v>
      </c>
      <c r="I107" s="5"/>
      <c r="J107" s="17">
        <v>409.02809999999999</v>
      </c>
      <c r="K107" s="18">
        <v>39.699599999999997</v>
      </c>
      <c r="L107" s="18">
        <v>45.050899999999999</v>
      </c>
      <c r="M107" s="18">
        <v>45.521799999999999</v>
      </c>
      <c r="N107" s="18">
        <v>97.355800000000002</v>
      </c>
      <c r="O107" s="18">
        <f t="shared" si="6"/>
        <v>41.096287499999995</v>
      </c>
      <c r="P107" s="7"/>
      <c r="Q107" s="10"/>
      <c r="R107" s="11"/>
      <c r="S107" s="11"/>
      <c r="T107" s="26"/>
      <c r="U107" s="28">
        <f t="shared" si="7"/>
        <v>-0.25744946991076201</v>
      </c>
    </row>
    <row r="108" spans="1:21" ht="16.5" hidden="1" thickBot="1" x14ac:dyDescent="0.3">
      <c r="B108" s="12"/>
      <c r="C108" s="19">
        <v>260.52999999999997</v>
      </c>
      <c r="D108" s="20">
        <v>35.874000000000002</v>
      </c>
      <c r="E108" s="20">
        <v>43.249000000000002</v>
      </c>
      <c r="F108" s="20">
        <v>43.661000000000001</v>
      </c>
      <c r="G108" s="20">
        <v>152.41</v>
      </c>
      <c r="H108" s="20">
        <f t="shared" si="5"/>
        <v>37.769250000000007</v>
      </c>
      <c r="I108" s="5"/>
      <c r="J108" s="19">
        <v>202.43279999999999</v>
      </c>
      <c r="K108" s="20">
        <v>36.5565</v>
      </c>
      <c r="L108" s="20">
        <v>43.188000000000002</v>
      </c>
      <c r="M108" s="20">
        <v>43.69</v>
      </c>
      <c r="N108" s="20">
        <v>131.56469999999999</v>
      </c>
      <c r="O108" s="20">
        <f t="shared" si="6"/>
        <v>38.277124999999998</v>
      </c>
      <c r="P108" s="7"/>
      <c r="Q108" s="13"/>
      <c r="R108" s="14"/>
      <c r="S108" s="14"/>
      <c r="T108" s="27"/>
      <c r="U108" s="28">
        <f t="shared" si="7"/>
        <v>-0.13677120923823902</v>
      </c>
    </row>
    <row r="109" spans="1:21" hidden="1" x14ac:dyDescent="0.25">
      <c r="B109" s="6" t="s">
        <v>108</v>
      </c>
      <c r="C109" s="29">
        <v>1269.6600000000001</v>
      </c>
      <c r="D109" s="30">
        <v>40.161000000000001</v>
      </c>
      <c r="E109" s="30">
        <v>47.14</v>
      </c>
      <c r="F109" s="30">
        <v>46.984999999999999</v>
      </c>
      <c r="G109" s="16">
        <v>117.36</v>
      </c>
      <c r="H109" s="16">
        <f t="shared" si="5"/>
        <v>41.886375000000001</v>
      </c>
      <c r="I109" s="5"/>
      <c r="J109" s="29">
        <v>1024.6464000000001</v>
      </c>
      <c r="K109" s="30">
        <v>39.58</v>
      </c>
      <c r="L109" s="30">
        <v>46.444600000000001</v>
      </c>
      <c r="M109" s="30">
        <v>46.2834</v>
      </c>
      <c r="N109" s="16">
        <v>69.894999999999996</v>
      </c>
      <c r="O109" s="16">
        <f t="shared" si="6"/>
        <v>41.275999999999996</v>
      </c>
      <c r="P109" s="7"/>
      <c r="Q109" s="8">
        <f>bdrate(C109:C112,D109:D112,J109:J112,K109:K112)</f>
        <v>-0.22457269809714586</v>
      </c>
      <c r="R109" s="8">
        <f>bdrate(C109:C112,E109:E112,J109:J112,L109:L112)</f>
        <v>-7.5082886225501078E-2</v>
      </c>
      <c r="S109" s="8">
        <f>bdrate(C109:C112,F109:F112,J109:J112,M109:M112)</f>
        <v>-9.117422872500236E-2</v>
      </c>
      <c r="T109" s="25">
        <f>bdrate(C109:C112,H109:H112,J109:J112,O109:O112)</f>
        <v>-0.20508364562728576</v>
      </c>
      <c r="U109" s="28">
        <f t="shared" si="7"/>
        <v>-0.40443933197000687</v>
      </c>
    </row>
    <row r="110" spans="1:21" hidden="1" x14ac:dyDescent="0.25">
      <c r="B110" s="9"/>
      <c r="C110" s="31">
        <v>758.17</v>
      </c>
      <c r="D110" s="32">
        <v>37.33</v>
      </c>
      <c r="E110" s="32">
        <v>45.569000000000003</v>
      </c>
      <c r="F110" s="32">
        <v>45.384999999999998</v>
      </c>
      <c r="G110" s="18">
        <v>132.27000000000001</v>
      </c>
      <c r="H110" s="18">
        <f t="shared" si="5"/>
        <v>39.366749999999996</v>
      </c>
      <c r="I110" s="5"/>
      <c r="J110" s="31">
        <v>614.70680000000004</v>
      </c>
      <c r="K110" s="32">
        <v>37.286000000000001</v>
      </c>
      <c r="L110" s="32">
        <v>45.1494</v>
      </c>
      <c r="M110" s="32">
        <v>44.96</v>
      </c>
      <c r="N110" s="18">
        <v>86.3947</v>
      </c>
      <c r="O110" s="18">
        <f t="shared" si="6"/>
        <v>39.228175</v>
      </c>
      <c r="P110" s="7"/>
      <c r="Q110" s="10"/>
      <c r="R110" s="11"/>
      <c r="S110" s="11"/>
      <c r="T110" s="26"/>
      <c r="U110" s="28">
        <f t="shared" si="7"/>
        <v>-0.3468307250321313</v>
      </c>
    </row>
    <row r="111" spans="1:21" hidden="1" x14ac:dyDescent="0.25">
      <c r="B111" s="9"/>
      <c r="C111" s="31">
        <v>504.42</v>
      </c>
      <c r="D111" s="32">
        <v>35.201000000000001</v>
      </c>
      <c r="E111" s="32">
        <v>44.445</v>
      </c>
      <c r="F111" s="32">
        <v>44.207999999999998</v>
      </c>
      <c r="G111" s="18">
        <v>145.72999999999999</v>
      </c>
      <c r="H111" s="18">
        <f t="shared" si="5"/>
        <v>37.482375000000005</v>
      </c>
      <c r="I111" s="5"/>
      <c r="J111" s="31">
        <v>409.72019999999998</v>
      </c>
      <c r="K111" s="32">
        <v>35.554400000000001</v>
      </c>
      <c r="L111" s="32">
        <v>44.140999999999998</v>
      </c>
      <c r="M111" s="32">
        <v>43.946300000000001</v>
      </c>
      <c r="N111" s="18">
        <v>100.6122</v>
      </c>
      <c r="O111" s="18">
        <f t="shared" si="6"/>
        <v>37.676712500000001</v>
      </c>
      <c r="P111" s="7"/>
      <c r="Q111" s="10"/>
      <c r="R111" s="11"/>
      <c r="S111" s="11"/>
      <c r="T111" s="26"/>
      <c r="U111" s="28">
        <f t="shared" si="7"/>
        <v>-0.30959857270294372</v>
      </c>
    </row>
    <row r="112" spans="1:21" ht="16.5" hidden="1" thickBot="1" x14ac:dyDescent="0.3">
      <c r="B112" s="12"/>
      <c r="C112" s="33">
        <v>251.78</v>
      </c>
      <c r="D112" s="34">
        <v>31.573</v>
      </c>
      <c r="E112" s="34">
        <v>42.609000000000002</v>
      </c>
      <c r="F112" s="34">
        <v>42.253</v>
      </c>
      <c r="G112" s="20">
        <v>167.51</v>
      </c>
      <c r="H112" s="20">
        <f t="shared" si="5"/>
        <v>34.287500000000001</v>
      </c>
      <c r="I112" s="5"/>
      <c r="J112" s="33">
        <v>204.4701</v>
      </c>
      <c r="K112" s="34">
        <v>32.610999999999997</v>
      </c>
      <c r="L112" s="34">
        <v>42.443399999999997</v>
      </c>
      <c r="M112" s="34">
        <v>42.175699999999999</v>
      </c>
      <c r="N112" s="20">
        <v>133.69929999999999</v>
      </c>
      <c r="O112" s="20">
        <f t="shared" si="6"/>
        <v>35.0356375</v>
      </c>
      <c r="P112" s="7"/>
      <c r="Q112" s="13"/>
      <c r="R112" s="14"/>
      <c r="S112" s="14"/>
      <c r="T112" s="27"/>
      <c r="U112" s="28">
        <f t="shared" si="7"/>
        <v>-0.20184287505223569</v>
      </c>
    </row>
    <row r="113" spans="2:21" hidden="1" x14ac:dyDescent="0.25">
      <c r="B113" s="6" t="s">
        <v>109</v>
      </c>
      <c r="C113" s="15">
        <v>1295.08</v>
      </c>
      <c r="D113" s="16">
        <v>39.210999999999999</v>
      </c>
      <c r="E113" s="16">
        <v>47.308</v>
      </c>
      <c r="F113" s="16">
        <v>45.853000000000002</v>
      </c>
      <c r="G113" s="16">
        <v>125.29</v>
      </c>
      <c r="H113" s="16">
        <f t="shared" si="5"/>
        <v>41.053375000000003</v>
      </c>
      <c r="I113" s="5"/>
      <c r="J113" s="15">
        <v>1024.7125000000001</v>
      </c>
      <c r="K113" s="16">
        <v>39.140099999999997</v>
      </c>
      <c r="L113" s="16">
        <v>47.3919</v>
      </c>
      <c r="M113" s="16">
        <v>46.103000000000002</v>
      </c>
      <c r="N113" s="16">
        <v>77.196299999999994</v>
      </c>
      <c r="O113" s="16">
        <f t="shared" si="6"/>
        <v>41.041937500000003</v>
      </c>
      <c r="P113" s="7"/>
      <c r="Q113" s="8">
        <f>bdrate(C113:C116,D113:D116,J113:J116,K113:K116)</f>
        <v>-0.29110368881318383</v>
      </c>
      <c r="R113" s="8">
        <f>bdrate(C113:C116,E113:E116,J113:J116,L113:L116)</f>
        <v>-0.33127592241980475</v>
      </c>
      <c r="S113" s="8">
        <f>bdrate(C113:C116,F113:F116,J113:J116,M113:M116)</f>
        <v>-0.38486978416286888</v>
      </c>
      <c r="T113" s="25">
        <f>bdrate(C113:C116,H113:H116,J113:J116,O113:O116)</f>
        <v>-0.30407184873619875</v>
      </c>
      <c r="U113" s="28">
        <f t="shared" si="7"/>
        <v>-0.38385904701093471</v>
      </c>
    </row>
    <row r="114" spans="2:21" hidden="1" x14ac:dyDescent="0.25">
      <c r="B114" s="9"/>
      <c r="C114" s="17">
        <v>778.8</v>
      </c>
      <c r="D114" s="18">
        <v>37.537999999999997</v>
      </c>
      <c r="E114" s="18">
        <v>46.219000000000001</v>
      </c>
      <c r="F114" s="18">
        <v>44.582000000000001</v>
      </c>
      <c r="G114" s="18">
        <v>141.72</v>
      </c>
      <c r="H114" s="18">
        <f t="shared" si="5"/>
        <v>39.503625</v>
      </c>
      <c r="I114" s="5"/>
      <c r="J114" s="17">
        <v>614.61609999999996</v>
      </c>
      <c r="K114" s="18">
        <v>37.701500000000003</v>
      </c>
      <c r="L114" s="18">
        <v>46.498899999999999</v>
      </c>
      <c r="M114" s="18">
        <v>45.097099999999998</v>
      </c>
      <c r="N114" s="18">
        <v>95.017399999999995</v>
      </c>
      <c r="O114" s="18">
        <f t="shared" si="6"/>
        <v>39.725625000000001</v>
      </c>
      <c r="P114" s="7"/>
      <c r="Q114" s="10"/>
      <c r="R114" s="11"/>
      <c r="S114" s="11"/>
      <c r="T114" s="26"/>
      <c r="U114" s="28">
        <f t="shared" si="7"/>
        <v>-0.32954134913914762</v>
      </c>
    </row>
    <row r="115" spans="2:21" hidden="1" x14ac:dyDescent="0.25">
      <c r="B115" s="9"/>
      <c r="C115" s="17">
        <v>519.16999999999996</v>
      </c>
      <c r="D115" s="18">
        <v>36.293999999999997</v>
      </c>
      <c r="E115" s="18">
        <v>45.393000000000001</v>
      </c>
      <c r="F115" s="18">
        <v>43.686</v>
      </c>
      <c r="G115" s="18">
        <v>155.85</v>
      </c>
      <c r="H115" s="18">
        <f t="shared" si="5"/>
        <v>38.355374999999995</v>
      </c>
      <c r="I115" s="5"/>
      <c r="J115" s="17">
        <v>409.37909999999999</v>
      </c>
      <c r="K115" s="18">
        <v>36.684600000000003</v>
      </c>
      <c r="L115" s="18">
        <v>45.7866</v>
      </c>
      <c r="M115" s="18">
        <v>44.294800000000002</v>
      </c>
      <c r="N115" s="18">
        <v>112.1681</v>
      </c>
      <c r="O115" s="18">
        <f t="shared" si="6"/>
        <v>38.773625000000003</v>
      </c>
      <c r="P115" s="7"/>
      <c r="Q115" s="10"/>
      <c r="R115" s="11"/>
      <c r="S115" s="11"/>
      <c r="T115" s="26"/>
      <c r="U115" s="28">
        <f t="shared" si="7"/>
        <v>-0.28028168110362528</v>
      </c>
    </row>
    <row r="116" spans="2:21" ht="16.5" hidden="1" thickBot="1" x14ac:dyDescent="0.3">
      <c r="B116" s="12"/>
      <c r="C116" s="19">
        <v>259.74</v>
      </c>
      <c r="D116" s="20">
        <v>34.043999999999997</v>
      </c>
      <c r="E116" s="20">
        <v>44.02</v>
      </c>
      <c r="F116" s="20">
        <v>42.25</v>
      </c>
      <c r="G116" s="20">
        <v>179.56</v>
      </c>
      <c r="H116" s="20">
        <f t="shared" si="5"/>
        <v>36.316749999999999</v>
      </c>
      <c r="I116" s="5"/>
      <c r="J116" s="19">
        <v>202.10290000000001</v>
      </c>
      <c r="K116" s="20">
        <v>34.8675</v>
      </c>
      <c r="L116" s="20">
        <v>44.376199999999997</v>
      </c>
      <c r="M116" s="20">
        <v>42.766399999999997</v>
      </c>
      <c r="N116" s="20">
        <v>152.1592</v>
      </c>
      <c r="O116" s="20">
        <f t="shared" si="6"/>
        <v>37.043449999999993</v>
      </c>
      <c r="P116" s="7"/>
      <c r="Q116" s="13"/>
      <c r="R116" s="14"/>
      <c r="S116" s="14"/>
      <c r="T116" s="27"/>
      <c r="U116" s="28">
        <f t="shared" si="7"/>
        <v>-0.15259968812653155</v>
      </c>
    </row>
    <row r="117" spans="2:21" hidden="1" x14ac:dyDescent="0.25">
      <c r="B117" s="6" t="s">
        <v>110</v>
      </c>
      <c r="C117" s="15">
        <v>2130.58</v>
      </c>
      <c r="D117" s="16">
        <v>39.124000000000002</v>
      </c>
      <c r="E117" s="16">
        <v>45.180999999999997</v>
      </c>
      <c r="F117" s="16">
        <v>44.587000000000003</v>
      </c>
      <c r="G117" s="16">
        <v>48.88</v>
      </c>
      <c r="H117" s="16">
        <f t="shared" si="5"/>
        <v>40.564</v>
      </c>
      <c r="I117" s="5"/>
      <c r="J117" s="15">
        <v>1489.4392</v>
      </c>
      <c r="K117" s="16">
        <v>37.710299999999997</v>
      </c>
      <c r="L117" s="16">
        <v>44.442100000000003</v>
      </c>
      <c r="M117" s="16">
        <v>43.827300000000001</v>
      </c>
      <c r="N117" s="16">
        <v>45.166499999999999</v>
      </c>
      <c r="O117" s="16">
        <f t="shared" si="6"/>
        <v>39.316399999999994</v>
      </c>
      <c r="P117" s="7"/>
      <c r="Q117" s="8">
        <f>bdrate(C117:C120,D117:D120,J117:J120,K117:K120)</f>
        <v>-0.19417603836027719</v>
      </c>
      <c r="R117" s="8">
        <f>bdrate(C117:C120,E117:E120,J117:J120,L117:L120)</f>
        <v>-0.10973210560169955</v>
      </c>
      <c r="S117" s="8">
        <f>bdrate(C117:C120,F117:F120,J117:J120,M117:M120)</f>
        <v>-4.8849019506976288E-2</v>
      </c>
      <c r="T117" s="25">
        <f>bdrate(C117:C120,H117:H120,J117:J120,O117:O120)</f>
        <v>-0.17841600562408266</v>
      </c>
      <c r="U117" s="28">
        <f t="shared" si="7"/>
        <v>-7.5971767594108078E-2</v>
      </c>
    </row>
    <row r="118" spans="2:21" hidden="1" x14ac:dyDescent="0.25">
      <c r="B118" s="9"/>
      <c r="C118" s="17">
        <v>1418.3</v>
      </c>
      <c r="D118" s="18">
        <v>36.96</v>
      </c>
      <c r="E118" s="18">
        <v>43.959000000000003</v>
      </c>
      <c r="F118" s="18">
        <v>43.287999999999997</v>
      </c>
      <c r="G118" s="18">
        <v>53.9</v>
      </c>
      <c r="H118" s="18">
        <f t="shared" si="5"/>
        <v>38.625875000000001</v>
      </c>
      <c r="I118" s="5"/>
      <c r="J118" s="17">
        <v>987.92539999999997</v>
      </c>
      <c r="K118" s="18">
        <v>35.759</v>
      </c>
      <c r="L118" s="18">
        <v>43.252000000000002</v>
      </c>
      <c r="M118" s="18">
        <v>42.464700000000001</v>
      </c>
      <c r="N118" s="18">
        <v>54.426000000000002</v>
      </c>
      <c r="O118" s="18">
        <f t="shared" si="6"/>
        <v>37.533837499999997</v>
      </c>
      <c r="P118" s="7"/>
      <c r="Q118" s="10"/>
      <c r="R118" s="11"/>
      <c r="S118" s="11"/>
      <c r="T118" s="26"/>
      <c r="U118" s="28">
        <f t="shared" si="7"/>
        <v>9.7588126159555352E-3</v>
      </c>
    </row>
    <row r="119" spans="2:21" hidden="1" x14ac:dyDescent="0.25">
      <c r="B119" s="9"/>
      <c r="C119" s="17">
        <v>851.24</v>
      </c>
      <c r="D119" s="18">
        <v>34.183</v>
      </c>
      <c r="E119" s="18">
        <v>42.506</v>
      </c>
      <c r="F119" s="18">
        <v>41.796999999999997</v>
      </c>
      <c r="G119" s="18">
        <v>59.9</v>
      </c>
      <c r="H119" s="18">
        <f t="shared" si="5"/>
        <v>36.175125000000001</v>
      </c>
      <c r="I119" s="5"/>
      <c r="J119" s="17">
        <v>593.78189999999995</v>
      </c>
      <c r="K119" s="18">
        <v>33.433799999999998</v>
      </c>
      <c r="L119" s="18">
        <v>41.846400000000003</v>
      </c>
      <c r="M119" s="18">
        <v>40.824300000000001</v>
      </c>
      <c r="N119" s="18">
        <v>66.833799999999997</v>
      </c>
      <c r="O119" s="18">
        <f t="shared" si="6"/>
        <v>35.409187500000002</v>
      </c>
      <c r="P119" s="7"/>
      <c r="Q119" s="10"/>
      <c r="R119" s="11"/>
      <c r="S119" s="11"/>
      <c r="T119" s="26"/>
      <c r="U119" s="28">
        <f t="shared" si="7"/>
        <v>0.11575626043405673</v>
      </c>
    </row>
    <row r="120" spans="2:21" ht="16.5" hidden="1" thickBot="1" x14ac:dyDescent="0.3">
      <c r="B120" s="12"/>
      <c r="C120" s="19">
        <v>424.72</v>
      </c>
      <c r="D120" s="20">
        <v>30.154</v>
      </c>
      <c r="E120" s="20">
        <v>40.651000000000003</v>
      </c>
      <c r="F120" s="20">
        <v>39.981999999999999</v>
      </c>
      <c r="G120" s="20">
        <v>67.75</v>
      </c>
      <c r="H120" s="20">
        <f t="shared" si="5"/>
        <v>32.694625000000002</v>
      </c>
      <c r="I120" s="5"/>
      <c r="J120" s="19">
        <v>299.78129999999999</v>
      </c>
      <c r="K120" s="20">
        <v>30.619599999999998</v>
      </c>
      <c r="L120" s="20">
        <v>40.013599999999997</v>
      </c>
      <c r="M120" s="20">
        <v>38.644399999999997</v>
      </c>
      <c r="N120" s="20">
        <v>86.545199999999994</v>
      </c>
      <c r="O120" s="20">
        <f t="shared" si="6"/>
        <v>32.796950000000002</v>
      </c>
      <c r="P120" s="7"/>
      <c r="Q120" s="13"/>
      <c r="R120" s="14"/>
      <c r="S120" s="14"/>
      <c r="T120" s="27"/>
      <c r="U120" s="28">
        <f t="shared" si="7"/>
        <v>0.27741992619926192</v>
      </c>
    </row>
    <row r="121" spans="2:21" hidden="1" x14ac:dyDescent="0.25">
      <c r="B121" s="6" t="s">
        <v>111</v>
      </c>
      <c r="C121" s="15">
        <v>1332.63</v>
      </c>
      <c r="D121" s="16">
        <v>40.834000000000003</v>
      </c>
      <c r="E121" s="16">
        <v>46.026000000000003</v>
      </c>
      <c r="F121" s="16">
        <v>45.548999999999999</v>
      </c>
      <c r="G121" s="16">
        <v>109.51</v>
      </c>
      <c r="H121" s="16">
        <f t="shared" si="5"/>
        <v>42.072375000000001</v>
      </c>
      <c r="I121" s="5"/>
      <c r="J121" s="15">
        <v>1025.3173999999999</v>
      </c>
      <c r="K121" s="16">
        <v>40.374499999999998</v>
      </c>
      <c r="L121" s="16">
        <v>45.807099999999998</v>
      </c>
      <c r="M121" s="16">
        <v>45.3277</v>
      </c>
      <c r="N121" s="16">
        <v>67.320300000000003</v>
      </c>
      <c r="O121" s="16">
        <f t="shared" si="6"/>
        <v>41.672725</v>
      </c>
      <c r="P121" s="7"/>
      <c r="Q121" s="8">
        <f>bdrate(C121:C124,D121:D124,J121:J124,K121:K124)</f>
        <v>-0.26901275462284513</v>
      </c>
      <c r="R121" s="8">
        <f>bdrate(C121:C124,E121:E124,J121:J124,L121:L124)</f>
        <v>-0.29330853436810056</v>
      </c>
      <c r="S121" s="8">
        <f>bdrate(C121:C124,F121:F124,J121:J124,M121:M124)</f>
        <v>-0.30773200324932226</v>
      </c>
      <c r="T121" s="25">
        <f>bdrate(C121:C124,H121:H124,J121:J124,O121:O124)</f>
        <v>-0.2750983039888224</v>
      </c>
      <c r="U121" s="28">
        <f t="shared" si="7"/>
        <v>-0.3852588804675372</v>
      </c>
    </row>
    <row r="122" spans="2:21" hidden="1" x14ac:dyDescent="0.25">
      <c r="B122" s="9"/>
      <c r="C122" s="17">
        <v>791.47</v>
      </c>
      <c r="D122" s="18">
        <v>38.359000000000002</v>
      </c>
      <c r="E122" s="18">
        <v>44.286000000000001</v>
      </c>
      <c r="F122" s="18">
        <v>43.707000000000001</v>
      </c>
      <c r="G122" s="18">
        <v>124.67</v>
      </c>
      <c r="H122" s="18">
        <f t="shared" si="5"/>
        <v>39.768374999999999</v>
      </c>
      <c r="I122" s="5"/>
      <c r="J122" s="17">
        <v>614.71559999999999</v>
      </c>
      <c r="K122" s="18">
        <v>38.377099999999999</v>
      </c>
      <c r="L122" s="18">
        <v>44.454099999999997</v>
      </c>
      <c r="M122" s="18">
        <v>43.945300000000003</v>
      </c>
      <c r="N122" s="18">
        <v>83.503500000000003</v>
      </c>
      <c r="O122" s="18">
        <f t="shared" si="6"/>
        <v>39.832750000000004</v>
      </c>
      <c r="P122" s="7"/>
      <c r="Q122" s="10"/>
      <c r="R122" s="11"/>
      <c r="S122" s="11"/>
      <c r="T122" s="26"/>
      <c r="U122" s="28">
        <f t="shared" si="7"/>
        <v>-0.33020373786797141</v>
      </c>
    </row>
    <row r="123" spans="2:21" hidden="1" x14ac:dyDescent="0.25">
      <c r="B123" s="9"/>
      <c r="C123" s="17">
        <v>522.55999999999995</v>
      </c>
      <c r="D123" s="18">
        <v>36.418999999999997</v>
      </c>
      <c r="E123" s="18">
        <v>42.970999999999997</v>
      </c>
      <c r="F123" s="18">
        <v>42.35</v>
      </c>
      <c r="G123" s="18">
        <v>136.80000000000001</v>
      </c>
      <c r="H123" s="18">
        <f t="shared" si="5"/>
        <v>37.979374999999997</v>
      </c>
      <c r="I123" s="5"/>
      <c r="J123" s="17">
        <v>407.22280000000001</v>
      </c>
      <c r="K123" s="18">
        <v>36.808199999999999</v>
      </c>
      <c r="L123" s="18">
        <v>43.383299999999998</v>
      </c>
      <c r="M123" s="18">
        <v>42.8367</v>
      </c>
      <c r="N123" s="18">
        <v>99.933300000000003</v>
      </c>
      <c r="O123" s="18">
        <f t="shared" si="6"/>
        <v>38.383650000000003</v>
      </c>
      <c r="P123" s="7"/>
      <c r="Q123" s="10"/>
      <c r="R123" s="11"/>
      <c r="S123" s="11"/>
      <c r="T123" s="26"/>
      <c r="U123" s="28">
        <f t="shared" si="7"/>
        <v>-0.26949342105263163</v>
      </c>
    </row>
    <row r="124" spans="2:21" ht="16.5" hidden="1" thickBot="1" x14ac:dyDescent="0.3">
      <c r="B124" s="12"/>
      <c r="C124" s="19">
        <v>257.14999999999998</v>
      </c>
      <c r="D124" s="20">
        <v>32.933</v>
      </c>
      <c r="E124" s="20">
        <v>40.933999999999997</v>
      </c>
      <c r="F124" s="20">
        <v>40.198</v>
      </c>
      <c r="G124" s="20">
        <v>158.85</v>
      </c>
      <c r="H124" s="20">
        <f t="shared" si="5"/>
        <v>34.841250000000002</v>
      </c>
      <c r="I124" s="5"/>
      <c r="J124" s="19">
        <v>199.53210000000001</v>
      </c>
      <c r="K124" s="20">
        <v>33.961599999999997</v>
      </c>
      <c r="L124" s="20">
        <v>41.388800000000003</v>
      </c>
      <c r="M124" s="20">
        <v>40.814399999999999</v>
      </c>
      <c r="N124" s="20">
        <v>136.62950000000001</v>
      </c>
      <c r="O124" s="20">
        <f t="shared" si="6"/>
        <v>35.746599999999994</v>
      </c>
      <c r="P124" s="7"/>
      <c r="Q124" s="13"/>
      <c r="R124" s="14"/>
      <c r="S124" s="14"/>
      <c r="T124" s="27"/>
      <c r="U124" s="28">
        <f t="shared" si="7"/>
        <v>-0.13988353792886363</v>
      </c>
    </row>
    <row r="125" spans="2:21" hidden="1" x14ac:dyDescent="0.25">
      <c r="B125" s="6" t="s">
        <v>112</v>
      </c>
      <c r="C125" s="15">
        <v>1287.6600000000001</v>
      </c>
      <c r="D125" s="16">
        <v>43.972999999999999</v>
      </c>
      <c r="E125" s="16">
        <v>48.392000000000003</v>
      </c>
      <c r="F125" s="16">
        <v>47.555999999999997</v>
      </c>
      <c r="G125" s="16">
        <v>108.13</v>
      </c>
      <c r="H125" s="16">
        <f t="shared" si="5"/>
        <v>44.973249999999993</v>
      </c>
      <c r="I125" s="5"/>
      <c r="J125" s="15">
        <v>1025.1854000000001</v>
      </c>
      <c r="K125" s="16">
        <v>44.0837</v>
      </c>
      <c r="L125" s="16">
        <v>48.204599999999999</v>
      </c>
      <c r="M125" s="16">
        <v>47.472299999999997</v>
      </c>
      <c r="N125" s="16">
        <v>71.2911</v>
      </c>
      <c r="O125" s="16">
        <f t="shared" si="6"/>
        <v>45.022387500000008</v>
      </c>
      <c r="P125" s="7"/>
      <c r="Q125" s="8">
        <f>bdrate(C125:C128,D125:D128,J125:J128,K125:K128)</f>
        <v>-0.31697111821809854</v>
      </c>
      <c r="R125" s="8">
        <f>bdrate(C125:C128,E125:E128,J125:J128,L125:L128)</f>
        <v>-0.20150770606524604</v>
      </c>
      <c r="S125" s="8">
        <f>bdrate(C125:C128,F125:F128,J125:J128,M125:M128)</f>
        <v>-0.25025485569432659</v>
      </c>
      <c r="T125" s="25">
        <f>bdrate(C125:C128,H125:H128,J125:J128,O125:O128)</f>
        <v>-0.29993002341666486</v>
      </c>
      <c r="U125" s="28">
        <f t="shared" si="7"/>
        <v>-0.34069083510589104</v>
      </c>
    </row>
    <row r="126" spans="2:21" hidden="1" x14ac:dyDescent="0.25">
      <c r="B126" s="9"/>
      <c r="C126" s="17">
        <v>775.63</v>
      </c>
      <c r="D126" s="18">
        <v>41.744</v>
      </c>
      <c r="E126" s="18">
        <v>46.823999999999998</v>
      </c>
      <c r="F126" s="18">
        <v>45.807000000000002</v>
      </c>
      <c r="G126" s="18">
        <v>123.91</v>
      </c>
      <c r="H126" s="18">
        <f t="shared" si="5"/>
        <v>42.886875000000003</v>
      </c>
      <c r="I126" s="5"/>
      <c r="J126" s="17">
        <v>615.39520000000005</v>
      </c>
      <c r="K126" s="18">
        <v>42.1877</v>
      </c>
      <c r="L126" s="18">
        <v>46.721299999999999</v>
      </c>
      <c r="M126" s="18">
        <v>45.9176</v>
      </c>
      <c r="N126" s="18">
        <v>89.360399999999998</v>
      </c>
      <c r="O126" s="18">
        <f t="shared" si="6"/>
        <v>43.220637499999995</v>
      </c>
      <c r="P126" s="7"/>
      <c r="Q126" s="10"/>
      <c r="R126" s="11"/>
      <c r="S126" s="11"/>
      <c r="T126" s="26"/>
      <c r="U126" s="28">
        <f t="shared" si="7"/>
        <v>-0.27882818174481477</v>
      </c>
    </row>
    <row r="127" spans="2:21" hidden="1" x14ac:dyDescent="0.25">
      <c r="B127" s="9"/>
      <c r="C127" s="17">
        <v>518.08000000000004</v>
      </c>
      <c r="D127" s="18">
        <v>39.85</v>
      </c>
      <c r="E127" s="18">
        <v>45.481000000000002</v>
      </c>
      <c r="F127" s="18">
        <v>44.384999999999998</v>
      </c>
      <c r="G127" s="18">
        <v>138.18</v>
      </c>
      <c r="H127" s="18">
        <f t="shared" si="5"/>
        <v>41.120750000000001</v>
      </c>
      <c r="I127" s="5"/>
      <c r="J127" s="17">
        <v>409.41809999999998</v>
      </c>
      <c r="K127" s="18">
        <v>40.607500000000002</v>
      </c>
      <c r="L127" s="18">
        <v>45.481999999999999</v>
      </c>
      <c r="M127" s="18">
        <v>44.633099999999999</v>
      </c>
      <c r="N127" s="18">
        <v>105.38849999999999</v>
      </c>
      <c r="O127" s="18">
        <f t="shared" si="6"/>
        <v>41.720012500000003</v>
      </c>
      <c r="P127" s="7"/>
      <c r="Q127" s="10"/>
      <c r="R127" s="11"/>
      <c r="S127" s="11"/>
      <c r="T127" s="26"/>
      <c r="U127" s="28">
        <f t="shared" si="7"/>
        <v>-0.23731003039513687</v>
      </c>
    </row>
    <row r="128" spans="2:21" ht="16.5" hidden="1" thickBot="1" x14ac:dyDescent="0.3">
      <c r="B128" s="12"/>
      <c r="C128" s="19">
        <v>260.92</v>
      </c>
      <c r="D128" s="20">
        <v>36.222999999999999</v>
      </c>
      <c r="E128" s="20">
        <v>43.104999999999997</v>
      </c>
      <c r="F128" s="20">
        <v>41.947000000000003</v>
      </c>
      <c r="G128" s="20">
        <v>160.47999999999999</v>
      </c>
      <c r="H128" s="20">
        <f t="shared" si="5"/>
        <v>37.798749999999998</v>
      </c>
      <c r="I128" s="5"/>
      <c r="J128" s="19">
        <v>202.65809999999999</v>
      </c>
      <c r="K128" s="20">
        <v>37.505499999999998</v>
      </c>
      <c r="L128" s="20">
        <v>43.1721</v>
      </c>
      <c r="M128" s="20">
        <v>42.231999999999999</v>
      </c>
      <c r="N128" s="20">
        <v>138.99529999999999</v>
      </c>
      <c r="O128" s="20">
        <f t="shared" si="6"/>
        <v>38.804637499999998</v>
      </c>
      <c r="P128" s="7"/>
      <c r="Q128" s="13"/>
      <c r="R128" s="14"/>
      <c r="S128" s="14"/>
      <c r="T128" s="27"/>
      <c r="U128" s="28">
        <f t="shared" si="7"/>
        <v>-0.13387774177467601</v>
      </c>
    </row>
    <row r="129" spans="2:21" hidden="1" x14ac:dyDescent="0.25">
      <c r="B129" s="6" t="s">
        <v>113</v>
      </c>
      <c r="C129" s="15">
        <v>2063.58</v>
      </c>
      <c r="D129" s="16">
        <v>37.408999999999999</v>
      </c>
      <c r="E129" s="16">
        <v>43.725999999999999</v>
      </c>
      <c r="F129" s="16">
        <v>44.436</v>
      </c>
      <c r="G129" s="16">
        <v>42.14</v>
      </c>
      <c r="H129" s="16">
        <f t="shared" si="5"/>
        <v>39.076999999999998</v>
      </c>
      <c r="I129" s="5"/>
      <c r="J129" s="15">
        <v>1537.2692999999999</v>
      </c>
      <c r="K129" s="16">
        <v>37.715400000000002</v>
      </c>
      <c r="L129" s="16">
        <v>43.362699999999997</v>
      </c>
      <c r="M129" s="16">
        <v>44.031799999999997</v>
      </c>
      <c r="N129" s="16">
        <v>47.551299999999998</v>
      </c>
      <c r="O129" s="16">
        <f t="shared" si="6"/>
        <v>39.210862499999998</v>
      </c>
      <c r="P129" s="7"/>
      <c r="Q129" s="8">
        <f>bdrate(C129:C132,D129:D132,J129:J132,K129:K132)</f>
        <v>-0.36679181331892019</v>
      </c>
      <c r="R129" s="8">
        <f>bdrate(C129:C132,E129:E132,J129:J132,L129:L132)</f>
        <v>-0.13452619140627387</v>
      </c>
      <c r="S129" s="8">
        <f>bdrate(C129:C132,F129:F132,J129:J132,M129:M132)</f>
        <v>-0.14553357587642679</v>
      </c>
      <c r="T129" s="25">
        <f>bdrate(C129:C132,H129:H132,J129:J132,O129:O132)</f>
        <v>-0.33802353742306623</v>
      </c>
      <c r="U129" s="28">
        <f t="shared" si="7"/>
        <v>0.12841243474133832</v>
      </c>
    </row>
    <row r="130" spans="2:21" hidden="1" x14ac:dyDescent="0.25">
      <c r="B130" s="9"/>
      <c r="C130" s="17">
        <v>1373.35</v>
      </c>
      <c r="D130" s="18">
        <v>35.384</v>
      </c>
      <c r="E130" s="18">
        <v>42.628999999999998</v>
      </c>
      <c r="F130" s="18">
        <v>43.341000000000001</v>
      </c>
      <c r="G130" s="18">
        <v>46.41</v>
      </c>
      <c r="H130" s="18">
        <f t="shared" si="5"/>
        <v>37.28425</v>
      </c>
      <c r="I130" s="5"/>
      <c r="J130" s="17">
        <v>1024.585</v>
      </c>
      <c r="K130" s="18">
        <v>35.923000000000002</v>
      </c>
      <c r="L130" s="18">
        <v>42.216999999999999</v>
      </c>
      <c r="M130" s="18">
        <v>42.923900000000003</v>
      </c>
      <c r="N130" s="18">
        <v>53.735300000000002</v>
      </c>
      <c r="O130" s="18">
        <f t="shared" si="6"/>
        <v>37.5848625</v>
      </c>
      <c r="P130" s="7"/>
      <c r="Q130" s="10"/>
      <c r="R130" s="11"/>
      <c r="S130" s="11"/>
      <c r="T130" s="26"/>
      <c r="U130" s="28">
        <f t="shared" si="7"/>
        <v>0.15783882783882797</v>
      </c>
    </row>
    <row r="131" spans="2:21" hidden="1" x14ac:dyDescent="0.25">
      <c r="B131" s="9"/>
      <c r="C131" s="17">
        <v>822.08</v>
      </c>
      <c r="D131" s="18">
        <v>32.832000000000001</v>
      </c>
      <c r="E131" s="18">
        <v>41.326999999999998</v>
      </c>
      <c r="F131" s="18">
        <v>42.05</v>
      </c>
      <c r="G131" s="18">
        <v>53.15</v>
      </c>
      <c r="H131" s="18">
        <f t="shared" si="5"/>
        <v>35.046125000000004</v>
      </c>
      <c r="I131" s="5"/>
      <c r="J131" s="17">
        <v>614.31920000000002</v>
      </c>
      <c r="K131" s="18">
        <v>33.679099999999998</v>
      </c>
      <c r="L131" s="18">
        <v>40.976599999999998</v>
      </c>
      <c r="M131" s="18">
        <v>41.751300000000001</v>
      </c>
      <c r="N131" s="18">
        <v>60.545000000000002</v>
      </c>
      <c r="O131" s="18">
        <f t="shared" si="6"/>
        <v>35.600312499999994</v>
      </c>
      <c r="P131" s="7"/>
      <c r="Q131" s="10"/>
      <c r="R131" s="11"/>
      <c r="S131" s="11"/>
      <c r="T131" s="26"/>
      <c r="U131" s="28">
        <f t="shared" si="7"/>
        <v>0.13913452492944503</v>
      </c>
    </row>
    <row r="132" spans="2:21" ht="16.5" hidden="1" thickBot="1" x14ac:dyDescent="0.3">
      <c r="B132" s="12"/>
      <c r="C132" s="19">
        <v>410.61</v>
      </c>
      <c r="D132" s="20">
        <v>29.202000000000002</v>
      </c>
      <c r="E132" s="20">
        <v>39.76</v>
      </c>
      <c r="F132" s="20">
        <v>40.488999999999997</v>
      </c>
      <c r="G132" s="20">
        <v>62.85</v>
      </c>
      <c r="H132" s="20">
        <f t="shared" si="5"/>
        <v>31.932625000000002</v>
      </c>
      <c r="I132" s="5"/>
      <c r="J132" s="19">
        <v>306.81729999999999</v>
      </c>
      <c r="K132" s="20">
        <v>30.734400000000001</v>
      </c>
      <c r="L132" s="20">
        <v>39.492100000000001</v>
      </c>
      <c r="M132" s="20">
        <v>40.333799999999997</v>
      </c>
      <c r="N132" s="20">
        <v>82.835899999999995</v>
      </c>
      <c r="O132" s="20">
        <f t="shared" si="6"/>
        <v>33.029037500000001</v>
      </c>
      <c r="P132" s="7"/>
      <c r="Q132" s="13"/>
      <c r="R132" s="14"/>
      <c r="S132" s="14"/>
      <c r="T132" s="27"/>
      <c r="U132" s="28">
        <f t="shared" si="7"/>
        <v>0.31799363564041355</v>
      </c>
    </row>
    <row r="133" spans="2:21" hidden="1" x14ac:dyDescent="0.25">
      <c r="B133" s="6" t="s">
        <v>114</v>
      </c>
      <c r="C133" s="15">
        <v>2173.19</v>
      </c>
      <c r="D133" s="16">
        <v>36.192</v>
      </c>
      <c r="E133" s="16">
        <v>41.243000000000002</v>
      </c>
      <c r="F133" s="16">
        <v>39.595999999999997</v>
      </c>
      <c r="G133" s="16">
        <v>44.39</v>
      </c>
      <c r="H133" s="16">
        <f t="shared" si="5"/>
        <v>37.248874999999998</v>
      </c>
      <c r="I133" s="5"/>
      <c r="J133" s="15">
        <v>1539.5915</v>
      </c>
      <c r="K133" s="16">
        <v>35.337899999999998</v>
      </c>
      <c r="L133" s="16">
        <v>40.807299999999998</v>
      </c>
      <c r="M133" s="16">
        <v>39.022300000000001</v>
      </c>
      <c r="N133" s="16">
        <v>36.635800000000003</v>
      </c>
      <c r="O133" s="16">
        <f t="shared" si="6"/>
        <v>36.482124999999996</v>
      </c>
      <c r="P133" s="7"/>
      <c r="Q133" s="8">
        <f>bdrate(C133:C136,D133:D136,J133:J136,K133:K136)</f>
        <v>-0.28362002759055271</v>
      </c>
      <c r="R133" s="8">
        <f>bdrate(C133:C136,E133:E136,J133:J136,L133:L136)</f>
        <v>-3.4635883193652961E-2</v>
      </c>
      <c r="S133" s="8">
        <f>bdrate(C133:C136,F133:F136,J133:J136,M133:M136)</f>
        <v>4.0182494216190356E-2</v>
      </c>
      <c r="T133" s="25">
        <f>bdrate(C133:C136,H133:H136,J133:J136,O133:O136)</f>
        <v>-0.24552188298191646</v>
      </c>
      <c r="U133" s="28">
        <f t="shared" si="7"/>
        <v>-0.17468348727190802</v>
      </c>
    </row>
    <row r="134" spans="2:21" hidden="1" x14ac:dyDescent="0.25">
      <c r="B134" s="9"/>
      <c r="C134" s="17">
        <v>1450.8</v>
      </c>
      <c r="D134" s="18">
        <v>33.966000000000001</v>
      </c>
      <c r="E134" s="18">
        <v>40.061999999999998</v>
      </c>
      <c r="F134" s="18">
        <v>38.308999999999997</v>
      </c>
      <c r="G134" s="18">
        <v>48.32</v>
      </c>
      <c r="H134" s="18">
        <f t="shared" si="5"/>
        <v>35.270875000000004</v>
      </c>
      <c r="I134" s="5"/>
      <c r="J134" s="17">
        <v>1025.5808999999999</v>
      </c>
      <c r="K134" s="18">
        <v>33.392200000000003</v>
      </c>
      <c r="L134" s="18">
        <v>39.416899999999998</v>
      </c>
      <c r="M134" s="18">
        <v>37.416600000000003</v>
      </c>
      <c r="N134" s="18">
        <v>42.562199999999997</v>
      </c>
      <c r="O134" s="18">
        <f t="shared" si="6"/>
        <v>34.648337500000004</v>
      </c>
      <c r="P134" s="7"/>
      <c r="Q134" s="10"/>
      <c r="R134" s="11"/>
      <c r="S134" s="11"/>
      <c r="T134" s="26"/>
      <c r="U134" s="28">
        <f t="shared" si="7"/>
        <v>-0.11915976821192059</v>
      </c>
    </row>
    <row r="135" spans="2:21" hidden="1" x14ac:dyDescent="0.25">
      <c r="B135" s="9"/>
      <c r="C135" s="17">
        <v>872.77</v>
      </c>
      <c r="D135" s="18">
        <v>31.161000000000001</v>
      </c>
      <c r="E135" s="18">
        <v>38.841000000000001</v>
      </c>
      <c r="F135" s="18">
        <v>37.021000000000001</v>
      </c>
      <c r="G135" s="18">
        <v>54.3</v>
      </c>
      <c r="H135" s="18">
        <f t="shared" si="5"/>
        <v>32.853500000000004</v>
      </c>
      <c r="I135" s="5"/>
      <c r="J135" s="17">
        <v>615.47149999999999</v>
      </c>
      <c r="K135" s="18">
        <v>31.1554</v>
      </c>
      <c r="L135" s="18">
        <v>37.757100000000001</v>
      </c>
      <c r="M135" s="18">
        <v>35.489400000000003</v>
      </c>
      <c r="N135" s="18">
        <v>51.914499999999997</v>
      </c>
      <c r="O135" s="18">
        <f t="shared" si="6"/>
        <v>32.5223625</v>
      </c>
      <c r="P135" s="7"/>
      <c r="Q135" s="10"/>
      <c r="R135" s="11"/>
      <c r="S135" s="11"/>
      <c r="T135" s="26"/>
      <c r="U135" s="28">
        <f t="shared" si="7"/>
        <v>-4.3931860036832422E-2</v>
      </c>
    </row>
    <row r="136" spans="2:21" ht="16.5" hidden="1" thickBot="1" x14ac:dyDescent="0.3">
      <c r="B136" s="12"/>
      <c r="C136" s="19">
        <v>442.35</v>
      </c>
      <c r="D136" s="20">
        <v>27.117999999999999</v>
      </c>
      <c r="E136" s="20">
        <v>37.155000000000001</v>
      </c>
      <c r="F136" s="20">
        <v>35.348999999999997</v>
      </c>
      <c r="G136" s="20">
        <v>62.38</v>
      </c>
      <c r="H136" s="20">
        <f t="shared" si="5"/>
        <v>29.401499999999999</v>
      </c>
      <c r="I136" s="5"/>
      <c r="J136" s="19">
        <v>307.97410000000002</v>
      </c>
      <c r="K136" s="20">
        <v>28.662400000000002</v>
      </c>
      <c r="L136" s="20">
        <v>35.895099999999999</v>
      </c>
      <c r="M136" s="20">
        <v>33.22</v>
      </c>
      <c r="N136" s="20">
        <v>70.590999999999994</v>
      </c>
      <c r="O136" s="20">
        <f t="shared" si="6"/>
        <v>30.136187500000002</v>
      </c>
      <c r="P136" s="7"/>
      <c r="Q136" s="13"/>
      <c r="R136" s="14"/>
      <c r="S136" s="14"/>
      <c r="T136" s="27"/>
      <c r="U136" s="28">
        <f t="shared" si="7"/>
        <v>0.13162872715613966</v>
      </c>
    </row>
    <row r="137" spans="2:21" hidden="1" x14ac:dyDescent="0.25">
      <c r="B137" s="6" t="s">
        <v>115</v>
      </c>
      <c r="C137" s="15">
        <v>2148.8000000000002</v>
      </c>
      <c r="D137" s="16">
        <v>40.36</v>
      </c>
      <c r="E137" s="16">
        <v>46.887</v>
      </c>
      <c r="F137" s="16">
        <v>46.756999999999998</v>
      </c>
      <c r="G137" s="16">
        <v>44.56</v>
      </c>
      <c r="H137" s="16">
        <f t="shared" si="5"/>
        <v>41.975500000000004</v>
      </c>
      <c r="I137" s="5"/>
      <c r="J137" s="15">
        <v>1537.3632</v>
      </c>
      <c r="K137" s="16">
        <v>40.472099999999998</v>
      </c>
      <c r="L137" s="16">
        <v>46.820799999999998</v>
      </c>
      <c r="M137" s="16">
        <v>46.6875</v>
      </c>
      <c r="N137" s="16">
        <v>33.876899999999999</v>
      </c>
      <c r="O137" s="16">
        <f t="shared" si="6"/>
        <v>42.042612499999997</v>
      </c>
      <c r="P137" s="7"/>
      <c r="Q137" s="8">
        <f>bdrate(C137:C140,D137:D140,J137:J140,K137:K140)</f>
        <v>-0.40555633468851371</v>
      </c>
      <c r="R137" s="8">
        <f>bdrate(C137:C140,E137:E140,J137:J140,L137:L140)</f>
        <v>-0.34664599878878755</v>
      </c>
      <c r="S137" s="8">
        <f>bdrate(C137:C140,F137:F140,J137:J140,M137:M140)</f>
        <v>-0.34088597416430033</v>
      </c>
      <c r="T137" s="25">
        <f>bdrate(C137:C140,H137:H140,J137:J140,O137:O140)</f>
        <v>-0.39423992564521493</v>
      </c>
      <c r="U137" s="28">
        <f t="shared" si="7"/>
        <v>-0.23974640933572716</v>
      </c>
    </row>
    <row r="138" spans="2:21" hidden="1" x14ac:dyDescent="0.25">
      <c r="B138" s="9"/>
      <c r="C138" s="17">
        <v>1437.04</v>
      </c>
      <c r="D138" s="18">
        <v>38.729999999999997</v>
      </c>
      <c r="E138" s="18">
        <v>45.661999999999999</v>
      </c>
      <c r="F138" s="18">
        <v>45.451999999999998</v>
      </c>
      <c r="G138" s="18">
        <v>48.4</v>
      </c>
      <c r="H138" s="18">
        <f t="shared" si="5"/>
        <v>40.436749999999996</v>
      </c>
      <c r="I138" s="5"/>
      <c r="J138" s="17">
        <v>1024.6185</v>
      </c>
      <c r="K138" s="18">
        <v>39.127400000000002</v>
      </c>
      <c r="L138" s="18">
        <v>45.783499999999997</v>
      </c>
      <c r="M138" s="18">
        <v>45.590400000000002</v>
      </c>
      <c r="N138" s="18">
        <v>40.999400000000001</v>
      </c>
      <c r="O138" s="18">
        <f t="shared" si="6"/>
        <v>40.767287500000002</v>
      </c>
      <c r="P138" s="7"/>
      <c r="Q138" s="10"/>
      <c r="R138" s="11"/>
      <c r="S138" s="11"/>
      <c r="T138" s="26"/>
      <c r="U138" s="28">
        <f t="shared" si="7"/>
        <v>-0.15290495867768589</v>
      </c>
    </row>
    <row r="139" spans="2:21" hidden="1" x14ac:dyDescent="0.25">
      <c r="B139" s="9"/>
      <c r="C139" s="17">
        <v>865.4</v>
      </c>
      <c r="D139" s="18">
        <v>36.445</v>
      </c>
      <c r="E139" s="18">
        <v>44.05</v>
      </c>
      <c r="F139" s="18">
        <v>43.798000000000002</v>
      </c>
      <c r="G139" s="18">
        <v>54.41</v>
      </c>
      <c r="H139" s="18">
        <f t="shared" si="5"/>
        <v>38.314750000000004</v>
      </c>
      <c r="I139" s="5"/>
      <c r="J139" s="17">
        <v>614.21199999999999</v>
      </c>
      <c r="K139" s="18">
        <v>37.304699999999997</v>
      </c>
      <c r="L139" s="18">
        <v>44.364199999999997</v>
      </c>
      <c r="M139" s="18">
        <v>44.096200000000003</v>
      </c>
      <c r="N139" s="18">
        <v>50.349299999999999</v>
      </c>
      <c r="O139" s="18">
        <f t="shared" si="6"/>
        <v>39.036074999999997</v>
      </c>
      <c r="P139" s="7"/>
      <c r="Q139" s="10"/>
      <c r="R139" s="11"/>
      <c r="S139" s="11"/>
      <c r="T139" s="26"/>
      <c r="U139" s="28">
        <f t="shared" si="7"/>
        <v>-7.4631501562212779E-2</v>
      </c>
    </row>
    <row r="140" spans="2:21" ht="16.5" hidden="1" thickBot="1" x14ac:dyDescent="0.3">
      <c r="B140" s="12"/>
      <c r="C140" s="19">
        <v>435.07</v>
      </c>
      <c r="D140" s="20">
        <v>32.600999999999999</v>
      </c>
      <c r="E140" s="20">
        <v>41.795000000000002</v>
      </c>
      <c r="F140" s="20">
        <v>41.508000000000003</v>
      </c>
      <c r="G140" s="20">
        <v>63.5</v>
      </c>
      <c r="H140" s="20">
        <f t="shared" si="5"/>
        <v>34.863624999999999</v>
      </c>
      <c r="I140" s="5"/>
      <c r="J140" s="19">
        <v>306.57440000000003</v>
      </c>
      <c r="K140" s="20">
        <v>34.5959</v>
      </c>
      <c r="L140" s="20">
        <v>42.316800000000001</v>
      </c>
      <c r="M140" s="20">
        <v>41.909700000000001</v>
      </c>
      <c r="N140" s="20">
        <v>67.182900000000004</v>
      </c>
      <c r="O140" s="20">
        <f t="shared" si="6"/>
        <v>36.475237499999999</v>
      </c>
      <c r="P140" s="7"/>
      <c r="Q140" s="13"/>
      <c r="R140" s="14"/>
      <c r="S140" s="14"/>
      <c r="T140" s="27"/>
      <c r="U140" s="28">
        <f t="shared" si="7"/>
        <v>5.7998425196850452E-2</v>
      </c>
    </row>
    <row r="141" spans="2:21" hidden="1" x14ac:dyDescent="0.25">
      <c r="B141" s="6" t="s">
        <v>116</v>
      </c>
      <c r="C141" s="29">
        <v>2096.33</v>
      </c>
      <c r="D141" s="30">
        <v>46.902000000000001</v>
      </c>
      <c r="E141" s="30">
        <v>51.813000000000002</v>
      </c>
      <c r="F141" s="30">
        <v>51.744</v>
      </c>
      <c r="G141" s="16">
        <v>40.93</v>
      </c>
      <c r="H141" s="16">
        <f t="shared" si="5"/>
        <v>48.121125000000006</v>
      </c>
      <c r="I141" s="5"/>
      <c r="J141" s="29">
        <v>1537.4935</v>
      </c>
      <c r="K141" s="30">
        <v>47.193199999999997</v>
      </c>
      <c r="L141" s="30">
        <v>51.471699999999998</v>
      </c>
      <c r="M141" s="30">
        <v>51.292700000000004</v>
      </c>
      <c r="N141" s="16">
        <v>39.717199999999998</v>
      </c>
      <c r="O141" s="16">
        <f t="shared" si="6"/>
        <v>48.240450000000003</v>
      </c>
      <c r="P141" s="7"/>
      <c r="Q141" s="8">
        <f>bdrate(C141:C144,D141:D144,J141:J144,K141:K144)</f>
        <v>-0.44431845156139582</v>
      </c>
      <c r="R141" s="8">
        <f>bdrate(C141:C144,E141:E144,J141:J144,L141:L144)</f>
        <v>-0.14609969965089897</v>
      </c>
      <c r="S141" s="8">
        <f>bdrate(C141:C144,F141:F144,J141:J144,M141:M144)</f>
        <v>-9.2126868494478265E-2</v>
      </c>
      <c r="T141" s="25">
        <f>bdrate(C141:C144,H141:H144,J141:J144,O141:O144)</f>
        <v>-0.39096532224255165</v>
      </c>
      <c r="U141" s="28">
        <f t="shared" si="7"/>
        <v>-2.9631077449303725E-2</v>
      </c>
    </row>
    <row r="142" spans="2:21" hidden="1" x14ac:dyDescent="0.25">
      <c r="B142" s="9"/>
      <c r="C142" s="31">
        <v>1400.15</v>
      </c>
      <c r="D142" s="32">
        <v>45.927999999999997</v>
      </c>
      <c r="E142" s="32">
        <v>51.241999999999997</v>
      </c>
      <c r="F142" s="32">
        <v>51.149000000000001</v>
      </c>
      <c r="G142" s="18">
        <v>46.93</v>
      </c>
      <c r="H142" s="18">
        <f t="shared" si="5"/>
        <v>47.244875</v>
      </c>
      <c r="I142" s="5"/>
      <c r="J142" s="31">
        <v>1024.8149000000001</v>
      </c>
      <c r="K142" s="32">
        <v>46.387500000000003</v>
      </c>
      <c r="L142" s="32">
        <v>50.764000000000003</v>
      </c>
      <c r="M142" s="32">
        <v>50.642400000000002</v>
      </c>
      <c r="N142" s="18">
        <v>48.051499999999997</v>
      </c>
      <c r="O142" s="18">
        <f t="shared" si="6"/>
        <v>47.466425000000008</v>
      </c>
      <c r="P142" s="7"/>
      <c r="Q142" s="10"/>
      <c r="R142" s="11"/>
      <c r="S142" s="11"/>
      <c r="T142" s="26"/>
      <c r="U142" s="28">
        <f t="shared" si="7"/>
        <v>2.3897293841892125E-2</v>
      </c>
    </row>
    <row r="143" spans="2:21" hidden="1" x14ac:dyDescent="0.25">
      <c r="B143" s="9"/>
      <c r="C143" s="31">
        <v>840.78</v>
      </c>
      <c r="D143" s="32">
        <v>44.578000000000003</v>
      </c>
      <c r="E143" s="32">
        <v>50.277000000000001</v>
      </c>
      <c r="F143" s="32">
        <v>50.305</v>
      </c>
      <c r="G143" s="18">
        <v>55.31</v>
      </c>
      <c r="H143" s="18">
        <f t="shared" si="5"/>
        <v>46.006250000000001</v>
      </c>
      <c r="I143" s="5"/>
      <c r="J143" s="31">
        <v>613.78859999999997</v>
      </c>
      <c r="K143" s="32">
        <v>45.3127</v>
      </c>
      <c r="L143" s="32">
        <v>49.911700000000003</v>
      </c>
      <c r="M143" s="32">
        <v>49.870100000000001</v>
      </c>
      <c r="N143" s="18">
        <v>58.699199999999998</v>
      </c>
      <c r="O143" s="18">
        <f t="shared" si="6"/>
        <v>46.457249999999995</v>
      </c>
      <c r="P143" s="7"/>
      <c r="Q143" s="10"/>
      <c r="R143" s="11"/>
      <c r="S143" s="11"/>
      <c r="T143" s="26"/>
      <c r="U143" s="28">
        <f t="shared" si="7"/>
        <v>6.1276441873078923E-2</v>
      </c>
    </row>
    <row r="144" spans="2:21" ht="16.5" hidden="1" thickBot="1" x14ac:dyDescent="0.3">
      <c r="B144" s="12"/>
      <c r="C144" s="33">
        <v>422.79</v>
      </c>
      <c r="D144" s="34">
        <v>42.039000000000001</v>
      </c>
      <c r="E144" s="34">
        <v>48.453000000000003</v>
      </c>
      <c r="F144" s="34">
        <v>48.823</v>
      </c>
      <c r="G144" s="20">
        <v>65.540000000000006</v>
      </c>
      <c r="H144" s="20">
        <f t="shared" si="5"/>
        <v>43.688749999999999</v>
      </c>
      <c r="I144" s="5"/>
      <c r="J144" s="33">
        <v>297.78280000000001</v>
      </c>
      <c r="K144" s="34">
        <v>43.543199999999999</v>
      </c>
      <c r="L144" s="34">
        <v>48.650700000000001</v>
      </c>
      <c r="M144" s="34">
        <v>48.872100000000003</v>
      </c>
      <c r="N144" s="20">
        <v>80.128200000000007</v>
      </c>
      <c r="O144" s="20">
        <f t="shared" si="6"/>
        <v>44.847749999999998</v>
      </c>
      <c r="P144" s="7"/>
      <c r="Q144" s="13"/>
      <c r="R144" s="14"/>
      <c r="S144" s="14"/>
      <c r="T144" s="27"/>
      <c r="U144" s="28">
        <f t="shared" si="7"/>
        <v>0.22258468111077204</v>
      </c>
    </row>
    <row r="145" spans="1:21" hidden="1" x14ac:dyDescent="0.25">
      <c r="A145" s="6" t="s">
        <v>117</v>
      </c>
      <c r="B145" s="6" t="s">
        <v>118</v>
      </c>
      <c r="C145" s="15">
        <v>1289.95</v>
      </c>
      <c r="D145" s="16">
        <v>38.798999999999999</v>
      </c>
      <c r="E145" s="16">
        <v>46.308</v>
      </c>
      <c r="F145" s="16">
        <v>46.003</v>
      </c>
      <c r="G145" s="16">
        <v>143.9</v>
      </c>
      <c r="H145" s="16">
        <f t="shared" si="5"/>
        <v>40.638124999999995</v>
      </c>
      <c r="I145" s="5"/>
      <c r="J145" s="15">
        <v>1023.7834</v>
      </c>
      <c r="K145" s="16">
        <v>39.575099999999999</v>
      </c>
      <c r="L145" s="16">
        <v>46.591299999999997</v>
      </c>
      <c r="M145" s="16">
        <v>46.412199999999999</v>
      </c>
      <c r="N145" s="16">
        <v>98.6053</v>
      </c>
      <c r="O145" s="16">
        <f t="shared" si="6"/>
        <v>41.306762499999998</v>
      </c>
      <c r="P145" s="7"/>
      <c r="Q145" s="8">
        <f>bdrate(C145:C148,D145:D148,J145:J148,K145:K148)</f>
        <v>-0.40525633426864893</v>
      </c>
      <c r="R145" s="8">
        <f>bdrate(C145:C148,E145:E148,J145:J148,L145:L148)</f>
        <v>-0.31877614128167231</v>
      </c>
      <c r="S145" s="8">
        <f>bdrate(C145:C148,F145:F148,J145:J148,M145:M148)</f>
        <v>-0.35093727577631018</v>
      </c>
      <c r="T145" s="25">
        <f>bdrate(C145:C148,H145:H148,J145:J148,O145:O148)</f>
        <v>-0.39396593681260139</v>
      </c>
      <c r="U145" s="28">
        <f t="shared" si="7"/>
        <v>-0.31476511466296042</v>
      </c>
    </row>
    <row r="146" spans="1:21" hidden="1" x14ac:dyDescent="0.25">
      <c r="A146" s="9"/>
      <c r="B146" s="9"/>
      <c r="C146" s="17">
        <v>765.79</v>
      </c>
      <c r="D146" s="18">
        <v>36.182000000000002</v>
      </c>
      <c r="E146" s="18">
        <v>44.676000000000002</v>
      </c>
      <c r="F146" s="18">
        <v>44.261000000000003</v>
      </c>
      <c r="G146" s="18">
        <v>162.99</v>
      </c>
      <c r="H146" s="18">
        <f t="shared" si="5"/>
        <v>38.253625000000007</v>
      </c>
      <c r="I146" s="5"/>
      <c r="J146" s="17">
        <v>611.59059999999999</v>
      </c>
      <c r="K146" s="18">
        <v>37.3613</v>
      </c>
      <c r="L146" s="18">
        <v>45.104599999999998</v>
      </c>
      <c r="M146" s="18">
        <v>44.8568</v>
      </c>
      <c r="N146" s="18">
        <v>121.276</v>
      </c>
      <c r="O146" s="18">
        <f t="shared" si="6"/>
        <v>39.266150000000003</v>
      </c>
      <c r="P146" s="7"/>
      <c r="Q146" s="10"/>
      <c r="R146" s="11"/>
      <c r="S146" s="11"/>
      <c r="T146" s="26"/>
      <c r="U146" s="28">
        <f t="shared" si="7"/>
        <v>-0.25592981164488626</v>
      </c>
    </row>
    <row r="147" spans="1:21" hidden="1" x14ac:dyDescent="0.25">
      <c r="B147" s="9"/>
      <c r="C147" s="17">
        <v>506.31</v>
      </c>
      <c r="D147" s="18">
        <v>34.005000000000003</v>
      </c>
      <c r="E147" s="18">
        <v>43.392000000000003</v>
      </c>
      <c r="F147" s="18">
        <v>42.868000000000002</v>
      </c>
      <c r="G147" s="18">
        <v>178.16</v>
      </c>
      <c r="H147" s="18">
        <f t="shared" si="5"/>
        <v>36.286250000000003</v>
      </c>
      <c r="I147" s="5"/>
      <c r="J147" s="17">
        <v>405.25580000000002</v>
      </c>
      <c r="K147" s="18">
        <v>35.573599999999999</v>
      </c>
      <c r="L147" s="18">
        <v>43.894500000000001</v>
      </c>
      <c r="M147" s="18">
        <v>43.575400000000002</v>
      </c>
      <c r="N147" s="18">
        <v>143.51849999999999</v>
      </c>
      <c r="O147" s="18">
        <f t="shared" si="6"/>
        <v>37.613937499999999</v>
      </c>
      <c r="P147" s="7"/>
      <c r="Q147" s="10"/>
      <c r="R147" s="11"/>
      <c r="S147" s="11"/>
      <c r="T147" s="26"/>
      <c r="U147" s="28">
        <f t="shared" si="7"/>
        <v>-0.19444039066008087</v>
      </c>
    </row>
    <row r="148" spans="1:21" ht="16.5" hidden="1" thickBot="1" x14ac:dyDescent="0.3">
      <c r="B148" s="12"/>
      <c r="C148" s="19">
        <v>249.36</v>
      </c>
      <c r="D148" s="20">
        <v>30.056999999999999</v>
      </c>
      <c r="E148" s="20">
        <v>41.555999999999997</v>
      </c>
      <c r="F148" s="20">
        <v>40.811999999999998</v>
      </c>
      <c r="G148" s="20">
        <v>205.04</v>
      </c>
      <c r="H148" s="20">
        <f t="shared" si="5"/>
        <v>32.838749999999997</v>
      </c>
      <c r="I148" s="5"/>
      <c r="J148" s="19">
        <v>201.7927</v>
      </c>
      <c r="K148" s="20">
        <v>32.477200000000003</v>
      </c>
      <c r="L148" s="20">
        <v>42.095300000000002</v>
      </c>
      <c r="M148" s="20">
        <v>41.586100000000002</v>
      </c>
      <c r="N148" s="20">
        <v>193.51740000000001</v>
      </c>
      <c r="O148" s="20">
        <f t="shared" si="6"/>
        <v>34.818075</v>
      </c>
      <c r="P148" s="7"/>
      <c r="Q148" s="13"/>
      <c r="R148" s="14"/>
      <c r="S148" s="14"/>
      <c r="T148" s="27"/>
      <c r="U148" s="28">
        <f t="shared" si="7"/>
        <v>-5.6196839641045569E-2</v>
      </c>
    </row>
    <row r="149" spans="1:21" hidden="1" x14ac:dyDescent="0.25">
      <c r="B149" s="6" t="s">
        <v>119</v>
      </c>
      <c r="C149" s="15">
        <v>1272.58</v>
      </c>
      <c r="D149" s="16">
        <v>37.941000000000003</v>
      </c>
      <c r="E149" s="16">
        <v>48.323999999999998</v>
      </c>
      <c r="F149" s="16">
        <v>45.658000000000001</v>
      </c>
      <c r="G149" s="16">
        <v>153.19999999999999</v>
      </c>
      <c r="H149" s="16">
        <f t="shared" si="5"/>
        <v>40.203500000000005</v>
      </c>
      <c r="I149" s="5"/>
      <c r="J149" s="15">
        <v>1023.7231</v>
      </c>
      <c r="K149" s="16">
        <v>38.371499999999997</v>
      </c>
      <c r="L149" s="16">
        <v>48.8812</v>
      </c>
      <c r="M149" s="16">
        <v>46.517400000000002</v>
      </c>
      <c r="N149" s="16">
        <v>114.6494</v>
      </c>
      <c r="O149" s="16">
        <f t="shared" si="6"/>
        <v>40.703449999999997</v>
      </c>
      <c r="P149" s="7"/>
      <c r="Q149" s="8">
        <f>bdrate(C149:C152,D149:D152,J149:J152,K149:K152)</f>
        <v>-0.35653314322984087</v>
      </c>
      <c r="R149" s="8">
        <f>bdrate(C149:C152,E149:E152,J149:J152,L149:L152)</f>
        <v>-0.46817241852137204</v>
      </c>
      <c r="S149" s="8">
        <f>bdrate(C149:C152,F149:F152,J149:J152,M149:M152)</f>
        <v>-0.49376222352275334</v>
      </c>
      <c r="T149" s="25">
        <f>bdrate(C149:C152,H149:H152,J149:J152,O149:O152)</f>
        <v>-0.37933435633366186</v>
      </c>
      <c r="U149" s="28">
        <f t="shared" si="7"/>
        <v>-0.2516357702349869</v>
      </c>
    </row>
    <row r="150" spans="1:21" hidden="1" x14ac:dyDescent="0.25">
      <c r="B150" s="9"/>
      <c r="C150" s="17">
        <v>763.09</v>
      </c>
      <c r="D150" s="18">
        <v>35.734999999999999</v>
      </c>
      <c r="E150" s="18">
        <v>46.892000000000003</v>
      </c>
      <c r="F150" s="18">
        <v>44.039000000000001</v>
      </c>
      <c r="G150" s="18">
        <v>172.9</v>
      </c>
      <c r="H150" s="18">
        <f t="shared" si="5"/>
        <v>38.167625000000001</v>
      </c>
      <c r="I150" s="5"/>
      <c r="J150" s="17">
        <v>613.92759999999998</v>
      </c>
      <c r="K150" s="18">
        <v>36.438000000000002</v>
      </c>
      <c r="L150" s="18">
        <v>47.795499999999997</v>
      </c>
      <c r="M150" s="18">
        <v>45.221499999999999</v>
      </c>
      <c r="N150" s="18">
        <v>142.547</v>
      </c>
      <c r="O150" s="18">
        <f t="shared" si="6"/>
        <v>38.955624999999998</v>
      </c>
      <c r="P150" s="7"/>
      <c r="Q150" s="10"/>
      <c r="R150" s="11"/>
      <c r="S150" s="11"/>
      <c r="T150" s="26"/>
      <c r="U150" s="28">
        <f t="shared" si="7"/>
        <v>-0.1755523423944477</v>
      </c>
    </row>
    <row r="151" spans="1:21" hidden="1" x14ac:dyDescent="0.25">
      <c r="B151" s="9"/>
      <c r="C151" s="17">
        <v>509.63</v>
      </c>
      <c r="D151" s="18">
        <v>34.012</v>
      </c>
      <c r="E151" s="18">
        <v>46.095999999999997</v>
      </c>
      <c r="F151" s="18">
        <v>42.963000000000001</v>
      </c>
      <c r="G151" s="18">
        <v>187.27</v>
      </c>
      <c r="H151" s="18">
        <f t="shared" si="5"/>
        <v>36.641375000000004</v>
      </c>
      <c r="I151" s="5"/>
      <c r="J151" s="17">
        <v>408.56490000000002</v>
      </c>
      <c r="K151" s="18">
        <v>34.980400000000003</v>
      </c>
      <c r="L151" s="18">
        <v>46.952199999999998</v>
      </c>
      <c r="M151" s="18">
        <v>44.199100000000001</v>
      </c>
      <c r="N151" s="18">
        <v>165.57169999999999</v>
      </c>
      <c r="O151" s="18">
        <f t="shared" si="6"/>
        <v>37.629212500000001</v>
      </c>
      <c r="P151" s="7"/>
      <c r="Q151" s="10"/>
      <c r="R151" s="11"/>
      <c r="S151" s="11"/>
      <c r="T151" s="26"/>
      <c r="U151" s="28">
        <f t="shared" si="7"/>
        <v>-0.11586639611256483</v>
      </c>
    </row>
    <row r="152" spans="1:21" ht="16.5" hidden="1" thickBot="1" x14ac:dyDescent="0.3">
      <c r="B152" s="12"/>
      <c r="C152" s="19">
        <v>255.55</v>
      </c>
      <c r="D152" s="20">
        <v>31.004999999999999</v>
      </c>
      <c r="E152" s="20">
        <v>43.878999999999998</v>
      </c>
      <c r="F152" s="20">
        <v>41.47</v>
      </c>
      <c r="G152" s="20">
        <v>212.39</v>
      </c>
      <c r="H152" s="20">
        <f t="shared" si="5"/>
        <v>33.922375000000002</v>
      </c>
      <c r="I152" s="5"/>
      <c r="J152" s="19">
        <v>203.5188</v>
      </c>
      <c r="K152" s="20">
        <v>32.553100000000001</v>
      </c>
      <c r="L152" s="20">
        <v>45.742800000000003</v>
      </c>
      <c r="M152" s="20">
        <v>42.628500000000003</v>
      </c>
      <c r="N152" s="20">
        <v>218.49549999999999</v>
      </c>
      <c r="O152" s="20">
        <f t="shared" si="6"/>
        <v>35.461237499999996</v>
      </c>
      <c r="P152" s="7"/>
      <c r="Q152" s="13"/>
      <c r="R152" s="14"/>
      <c r="S152" s="14"/>
      <c r="T152" s="27"/>
      <c r="U152" s="28">
        <f t="shared" si="7"/>
        <v>2.8746645322284509E-2</v>
      </c>
    </row>
    <row r="153" spans="1:21" hidden="1" x14ac:dyDescent="0.25">
      <c r="B153" s="6" t="s">
        <v>120</v>
      </c>
      <c r="C153" s="15">
        <v>1326.09</v>
      </c>
      <c r="D153" s="16">
        <v>42.026000000000003</v>
      </c>
      <c r="E153" s="16">
        <v>46.679000000000002</v>
      </c>
      <c r="F153" s="16">
        <v>47.103999999999999</v>
      </c>
      <c r="G153" s="16">
        <v>124.46</v>
      </c>
      <c r="H153" s="16">
        <f t="shared" si="5"/>
        <v>43.242375000000003</v>
      </c>
      <c r="I153" s="5"/>
      <c r="J153" s="15">
        <v>1024.9945</v>
      </c>
      <c r="K153" s="16">
        <v>42.209699999999998</v>
      </c>
      <c r="L153" s="16">
        <v>46.656999999999996</v>
      </c>
      <c r="M153" s="16">
        <v>47.103200000000001</v>
      </c>
      <c r="N153" s="16">
        <v>88.145600000000002</v>
      </c>
      <c r="O153" s="16">
        <f t="shared" si="6"/>
        <v>43.377299999999998</v>
      </c>
      <c r="P153" s="7"/>
      <c r="Q153" s="8">
        <f>bdrate(C153:C156,D153:D156,J153:J156,K153:K156)</f>
        <v>-0.34707694219582774</v>
      </c>
      <c r="R153" s="8">
        <f>bdrate(C153:C156,E153:E156,J153:J156,L153:L156)</f>
        <v>-0.26464100860318307</v>
      </c>
      <c r="S153" s="8">
        <f>bdrate(C153:C156,F153:F156,J153:J156,M153:M156)</f>
        <v>-0.27667450835810592</v>
      </c>
      <c r="T153" s="25">
        <f>bdrate(C153:C156,H153:H156,J153:J156,O153:O156)</f>
        <v>-0.3356870369763677</v>
      </c>
      <c r="U153" s="28">
        <f t="shared" si="7"/>
        <v>-0.29177567089828055</v>
      </c>
    </row>
    <row r="154" spans="1:21" hidden="1" x14ac:dyDescent="0.25">
      <c r="B154" s="9"/>
      <c r="C154" s="17">
        <v>791.04</v>
      </c>
      <c r="D154" s="18">
        <v>39.859000000000002</v>
      </c>
      <c r="E154" s="18">
        <v>45.371000000000002</v>
      </c>
      <c r="F154" s="18">
        <v>45.847000000000001</v>
      </c>
      <c r="G154" s="18">
        <v>142.34</v>
      </c>
      <c r="H154" s="18">
        <f t="shared" si="5"/>
        <v>41.296499999999995</v>
      </c>
      <c r="I154" s="5"/>
      <c r="J154" s="17">
        <v>615.8365</v>
      </c>
      <c r="K154" s="18">
        <v>40.369199999999999</v>
      </c>
      <c r="L154" s="18">
        <v>45.476599999999998</v>
      </c>
      <c r="M154" s="18">
        <v>45.958799999999997</v>
      </c>
      <c r="N154" s="18">
        <v>113.06780000000001</v>
      </c>
      <c r="O154" s="18">
        <f t="shared" si="6"/>
        <v>41.706325</v>
      </c>
      <c r="P154" s="7"/>
      <c r="Q154" s="10"/>
      <c r="R154" s="11"/>
      <c r="S154" s="11"/>
      <c r="T154" s="26"/>
      <c r="U154" s="28">
        <f t="shared" si="7"/>
        <v>-0.20564985246592662</v>
      </c>
    </row>
    <row r="155" spans="1:21" hidden="1" x14ac:dyDescent="0.25">
      <c r="B155" s="9"/>
      <c r="C155" s="17">
        <v>523.82000000000005</v>
      </c>
      <c r="D155" s="18">
        <v>37.939</v>
      </c>
      <c r="E155" s="18">
        <v>44.359000000000002</v>
      </c>
      <c r="F155" s="18">
        <v>44.823</v>
      </c>
      <c r="G155" s="18">
        <v>156.66999999999999</v>
      </c>
      <c r="H155" s="18">
        <f t="shared" si="5"/>
        <v>39.601999999999997</v>
      </c>
      <c r="I155" s="5"/>
      <c r="J155" s="17">
        <v>408.85789999999997</v>
      </c>
      <c r="K155" s="18">
        <v>38.8048</v>
      </c>
      <c r="L155" s="18">
        <v>44.518000000000001</v>
      </c>
      <c r="M155" s="18">
        <v>45.023800000000001</v>
      </c>
      <c r="N155" s="18">
        <v>135.6396</v>
      </c>
      <c r="O155" s="18">
        <f t="shared" si="6"/>
        <v>40.296325000000003</v>
      </c>
      <c r="P155" s="7"/>
      <c r="Q155" s="10"/>
      <c r="R155" s="11"/>
      <c r="S155" s="11"/>
      <c r="T155" s="26"/>
      <c r="U155" s="28">
        <f t="shared" si="7"/>
        <v>-0.13423373970766572</v>
      </c>
    </row>
    <row r="156" spans="1:21" ht="16.5" hidden="1" thickBot="1" x14ac:dyDescent="0.3">
      <c r="B156" s="12"/>
      <c r="C156" s="19">
        <v>259.24</v>
      </c>
      <c r="D156" s="20">
        <v>33.996000000000002</v>
      </c>
      <c r="E156" s="20">
        <v>42.444000000000003</v>
      </c>
      <c r="F156" s="20">
        <v>42.802</v>
      </c>
      <c r="G156" s="20">
        <v>179.02</v>
      </c>
      <c r="H156" s="20">
        <f t="shared" si="5"/>
        <v>36.152750000000005</v>
      </c>
      <c r="I156" s="5"/>
      <c r="J156" s="19">
        <v>200.50970000000001</v>
      </c>
      <c r="K156" s="20">
        <v>35.783099999999997</v>
      </c>
      <c r="L156" s="20">
        <v>42.737400000000001</v>
      </c>
      <c r="M156" s="20">
        <v>43.2485</v>
      </c>
      <c r="N156" s="20">
        <v>185.2106</v>
      </c>
      <c r="O156" s="20">
        <f t="shared" si="6"/>
        <v>37.585562499999995</v>
      </c>
      <c r="P156" s="7"/>
      <c r="Q156" s="13"/>
      <c r="R156" s="14"/>
      <c r="S156" s="14"/>
      <c r="T156" s="27"/>
      <c r="U156" s="28">
        <f t="shared" si="7"/>
        <v>3.4580493799575403E-2</v>
      </c>
    </row>
    <row r="157" spans="1:21" hidden="1" x14ac:dyDescent="0.25">
      <c r="B157" s="6" t="s">
        <v>121</v>
      </c>
      <c r="C157" s="29">
        <v>1260.95</v>
      </c>
      <c r="D157" s="30">
        <v>38.151000000000003</v>
      </c>
      <c r="E157" s="30">
        <v>46.247999999999998</v>
      </c>
      <c r="F157" s="30">
        <v>46.098999999999997</v>
      </c>
      <c r="G157" s="16">
        <v>140.43</v>
      </c>
      <c r="H157" s="16">
        <f t="shared" si="5"/>
        <v>40.156624999999998</v>
      </c>
      <c r="I157" s="5"/>
      <c r="J157" s="29">
        <v>1025.8656000000001</v>
      </c>
      <c r="K157" s="30">
        <v>38.099400000000003</v>
      </c>
      <c r="L157" s="30">
        <v>45.772799999999997</v>
      </c>
      <c r="M157" s="30">
        <v>45.598199999999999</v>
      </c>
      <c r="N157" s="16">
        <v>93.896600000000007</v>
      </c>
      <c r="O157" s="16">
        <f t="shared" si="6"/>
        <v>39.995925000000007</v>
      </c>
      <c r="P157" s="7"/>
      <c r="Q157" s="8">
        <f>bdrate(C157:C160,D157:D160,J157:J160,K157:K160)</f>
        <v>-0.33391131867454837</v>
      </c>
      <c r="R157" s="8">
        <f>bdrate(C157:C160,E157:E160,J157:J160,L157:L160)</f>
        <v>-0.16776318140745095</v>
      </c>
      <c r="S157" s="8">
        <f>bdrate(C157:C160,F157:F160,J157:J160,M157:M160)</f>
        <v>-0.19666108333479793</v>
      </c>
      <c r="T157" s="25">
        <f>bdrate(C157:C160,H157:H160,J157:J160,O157:O160)</f>
        <v>-0.31243707980227942</v>
      </c>
      <c r="U157" s="28">
        <f t="shared" si="7"/>
        <v>-0.33136366873175244</v>
      </c>
    </row>
    <row r="158" spans="1:21" hidden="1" x14ac:dyDescent="0.25">
      <c r="B158" s="9"/>
      <c r="C158" s="31">
        <v>753.31</v>
      </c>
      <c r="D158" s="32">
        <v>35.468000000000004</v>
      </c>
      <c r="E158" s="32">
        <v>44.765000000000001</v>
      </c>
      <c r="F158" s="32">
        <v>44.545999999999999</v>
      </c>
      <c r="G158" s="18">
        <v>158.38999999999999</v>
      </c>
      <c r="H158" s="18">
        <f t="shared" si="5"/>
        <v>37.764875000000004</v>
      </c>
      <c r="I158" s="5"/>
      <c r="J158" s="31">
        <v>614.93870000000004</v>
      </c>
      <c r="K158" s="32">
        <v>36.133200000000002</v>
      </c>
      <c r="L158" s="32">
        <v>44.599499999999999</v>
      </c>
      <c r="M158" s="32">
        <v>44.415399999999998</v>
      </c>
      <c r="N158" s="18">
        <v>115.9019</v>
      </c>
      <c r="O158" s="18">
        <f t="shared" si="6"/>
        <v>38.2267625</v>
      </c>
      <c r="P158" s="7"/>
      <c r="Q158" s="10"/>
      <c r="R158" s="11"/>
      <c r="S158" s="11"/>
      <c r="T158" s="26"/>
      <c r="U158" s="28">
        <f t="shared" si="7"/>
        <v>-0.26824988951322681</v>
      </c>
    </row>
    <row r="159" spans="1:21" hidden="1" x14ac:dyDescent="0.25">
      <c r="B159" s="9"/>
      <c r="C159" s="31">
        <v>500.65</v>
      </c>
      <c r="D159" s="32">
        <v>33.374000000000002</v>
      </c>
      <c r="E159" s="32">
        <v>43.631</v>
      </c>
      <c r="F159" s="32">
        <v>43.298999999999999</v>
      </c>
      <c r="G159" s="18">
        <v>170.8</v>
      </c>
      <c r="H159" s="18">
        <f t="shared" si="5"/>
        <v>35.896750000000004</v>
      </c>
      <c r="I159" s="5"/>
      <c r="J159" s="31">
        <v>409.48770000000002</v>
      </c>
      <c r="K159" s="32">
        <v>34.588500000000003</v>
      </c>
      <c r="L159" s="32">
        <v>43.637300000000003</v>
      </c>
      <c r="M159" s="32">
        <v>43.4574</v>
      </c>
      <c r="N159" s="18">
        <v>136.58019999999999</v>
      </c>
      <c r="O159" s="18">
        <f t="shared" si="6"/>
        <v>36.828212499999999</v>
      </c>
      <c r="P159" s="7"/>
      <c r="Q159" s="10"/>
      <c r="R159" s="11"/>
      <c r="S159" s="11"/>
      <c r="T159" s="26"/>
      <c r="U159" s="28">
        <f t="shared" si="7"/>
        <v>-0.20035011709601885</v>
      </c>
    </row>
    <row r="160" spans="1:21" ht="16.5" hidden="1" thickBot="1" x14ac:dyDescent="0.3">
      <c r="B160" s="12"/>
      <c r="C160" s="33">
        <v>249.87</v>
      </c>
      <c r="D160" s="34">
        <v>29.638000000000002</v>
      </c>
      <c r="E160" s="34">
        <v>41.77</v>
      </c>
      <c r="F160" s="34">
        <v>41.372</v>
      </c>
      <c r="G160" s="20">
        <v>191.6</v>
      </c>
      <c r="H160" s="20">
        <f t="shared" si="5"/>
        <v>32.621250000000003</v>
      </c>
      <c r="I160" s="5"/>
      <c r="J160" s="33">
        <v>204.03380000000001</v>
      </c>
      <c r="K160" s="34">
        <v>31.733699999999999</v>
      </c>
      <c r="L160" s="34">
        <v>42.032600000000002</v>
      </c>
      <c r="M160" s="34">
        <v>41.742800000000003</v>
      </c>
      <c r="N160" s="20">
        <v>181.0746</v>
      </c>
      <c r="O160" s="20">
        <f t="shared" si="6"/>
        <v>34.272199999999998</v>
      </c>
      <c r="P160" s="7"/>
      <c r="Q160" s="13"/>
      <c r="R160" s="14"/>
      <c r="S160" s="14"/>
      <c r="T160" s="27"/>
      <c r="U160" s="28">
        <f t="shared" si="7"/>
        <v>-5.4934237995824586E-2</v>
      </c>
    </row>
    <row r="161" spans="2:21" hidden="1" x14ac:dyDescent="0.25">
      <c r="B161" s="6" t="s">
        <v>122</v>
      </c>
      <c r="C161" s="15">
        <v>1298.57</v>
      </c>
      <c r="D161" s="16">
        <v>37.584000000000003</v>
      </c>
      <c r="E161" s="16">
        <v>46.311</v>
      </c>
      <c r="F161" s="16">
        <v>44.674999999999997</v>
      </c>
      <c r="G161" s="16">
        <v>155.13</v>
      </c>
      <c r="H161" s="16">
        <f t="shared" si="5"/>
        <v>39.561250000000001</v>
      </c>
      <c r="I161" s="5"/>
      <c r="J161" s="15">
        <v>1024.5966000000001</v>
      </c>
      <c r="K161" s="16">
        <v>37.874200000000002</v>
      </c>
      <c r="L161" s="16">
        <v>46.790999999999997</v>
      </c>
      <c r="M161" s="16">
        <v>45.389400000000002</v>
      </c>
      <c r="N161" s="16">
        <v>102.551</v>
      </c>
      <c r="O161" s="16">
        <f t="shared" si="6"/>
        <v>39.928200000000004</v>
      </c>
      <c r="P161" s="7"/>
      <c r="Q161" s="8">
        <f>bdrate(C161:C164,D161:D164,J161:J164,K161:K164)</f>
        <v>-0.4243553303098464</v>
      </c>
      <c r="R161" s="8">
        <f>bdrate(C161:C164,E161:E164,J161:J164,L161:L164)</f>
        <v>-0.44893577198850065</v>
      </c>
      <c r="S161" s="8">
        <f>bdrate(C161:C164,F161:F164,J161:J164,M161:M164)</f>
        <v>-0.50771868060001779</v>
      </c>
      <c r="T161" s="25">
        <f>bdrate(C161:C164,H161:H164,J161:J164,O161:O164)</f>
        <v>-0.43638406577977407</v>
      </c>
      <c r="U161" s="28">
        <f t="shared" si="7"/>
        <v>-0.33893508670147615</v>
      </c>
    </row>
    <row r="162" spans="2:21" hidden="1" x14ac:dyDescent="0.25">
      <c r="B162" s="9"/>
      <c r="C162" s="17">
        <v>780.27</v>
      </c>
      <c r="D162" s="18">
        <v>36.146999999999998</v>
      </c>
      <c r="E162" s="18">
        <v>45.374000000000002</v>
      </c>
      <c r="F162" s="18">
        <v>43.610999999999997</v>
      </c>
      <c r="G162" s="18">
        <v>173.15</v>
      </c>
      <c r="H162" s="18">
        <f t="shared" si="5"/>
        <v>38.233375000000002</v>
      </c>
      <c r="I162" s="5"/>
      <c r="J162" s="17">
        <v>614.50459999999998</v>
      </c>
      <c r="K162" s="18">
        <v>36.774000000000001</v>
      </c>
      <c r="L162" s="18">
        <v>45.970300000000002</v>
      </c>
      <c r="M162" s="18">
        <v>44.500500000000002</v>
      </c>
      <c r="N162" s="18">
        <v>127.9949</v>
      </c>
      <c r="O162" s="18">
        <f t="shared" si="6"/>
        <v>38.88935</v>
      </c>
      <c r="P162" s="7"/>
      <c r="Q162" s="10"/>
      <c r="R162" s="11"/>
      <c r="S162" s="11"/>
      <c r="T162" s="26"/>
      <c r="U162" s="28">
        <f t="shared" si="7"/>
        <v>-0.26078602367889114</v>
      </c>
    </row>
    <row r="163" spans="2:21" hidden="1" x14ac:dyDescent="0.25">
      <c r="B163" s="9"/>
      <c r="C163" s="17">
        <v>519.62</v>
      </c>
      <c r="D163" s="18">
        <v>34.948999999999998</v>
      </c>
      <c r="E163" s="18">
        <v>44.594999999999999</v>
      </c>
      <c r="F163" s="18">
        <v>42.783999999999999</v>
      </c>
      <c r="G163" s="18">
        <v>189.62</v>
      </c>
      <c r="H163" s="18">
        <f t="shared" si="5"/>
        <v>37.134124999999997</v>
      </c>
      <c r="I163" s="5"/>
      <c r="J163" s="17">
        <v>407.81599999999997</v>
      </c>
      <c r="K163" s="18">
        <v>35.893099999999997</v>
      </c>
      <c r="L163" s="18">
        <v>45.2545</v>
      </c>
      <c r="M163" s="18">
        <v>43.724699999999999</v>
      </c>
      <c r="N163" s="18">
        <v>151.08090000000001</v>
      </c>
      <c r="O163" s="18">
        <f t="shared" si="6"/>
        <v>38.042224999999995</v>
      </c>
      <c r="P163" s="7"/>
      <c r="Q163" s="10"/>
      <c r="R163" s="11"/>
      <c r="S163" s="11"/>
      <c r="T163" s="26"/>
      <c r="U163" s="28">
        <f t="shared" si="7"/>
        <v>-0.20324385613331922</v>
      </c>
    </row>
    <row r="164" spans="2:21" ht="16.5" hidden="1" thickBot="1" x14ac:dyDescent="0.3">
      <c r="B164" s="12"/>
      <c r="C164" s="19">
        <v>258.91000000000003</v>
      </c>
      <c r="D164" s="20">
        <v>32.531999999999996</v>
      </c>
      <c r="E164" s="20">
        <v>43.033000000000001</v>
      </c>
      <c r="F164" s="20">
        <v>41.366999999999997</v>
      </c>
      <c r="G164" s="20">
        <v>217.05</v>
      </c>
      <c r="H164" s="20">
        <f t="shared" si="5"/>
        <v>34.948999999999998</v>
      </c>
      <c r="I164" s="5"/>
      <c r="J164" s="19">
        <v>197.62</v>
      </c>
      <c r="K164" s="20">
        <v>34.087899999999998</v>
      </c>
      <c r="L164" s="20">
        <v>43.973399999999998</v>
      </c>
      <c r="M164" s="20">
        <v>42.337699999999998</v>
      </c>
      <c r="N164" s="20">
        <v>205.83369999999999</v>
      </c>
      <c r="O164" s="20">
        <f t="shared" si="6"/>
        <v>36.354812500000001</v>
      </c>
      <c r="P164" s="7"/>
      <c r="Q164" s="13"/>
      <c r="R164" s="14"/>
      <c r="S164" s="14"/>
      <c r="T164" s="27"/>
      <c r="U164" s="28">
        <f t="shared" si="7"/>
        <v>-5.1676111495047305E-2</v>
      </c>
    </row>
    <row r="165" spans="2:21" hidden="1" x14ac:dyDescent="0.25">
      <c r="B165" s="6" t="s">
        <v>123</v>
      </c>
      <c r="C165" s="15">
        <v>2127.9</v>
      </c>
      <c r="D165" s="16">
        <v>37.802999999999997</v>
      </c>
      <c r="E165" s="16">
        <v>44.506999999999998</v>
      </c>
      <c r="F165" s="16">
        <v>43.863999999999997</v>
      </c>
      <c r="G165" s="16">
        <v>61.78</v>
      </c>
      <c r="H165" s="16">
        <f t="shared" si="5"/>
        <v>39.398624999999996</v>
      </c>
      <c r="I165" s="5"/>
      <c r="J165" s="15">
        <v>1499.3526999999999</v>
      </c>
      <c r="K165" s="16">
        <v>37.389099999999999</v>
      </c>
      <c r="L165" s="16">
        <v>44.1815</v>
      </c>
      <c r="M165" s="16">
        <v>43.517800000000001</v>
      </c>
      <c r="N165" s="16">
        <v>62.7149</v>
      </c>
      <c r="O165" s="16">
        <f t="shared" si="6"/>
        <v>39.004237500000002</v>
      </c>
      <c r="P165" s="7"/>
      <c r="Q165" s="8">
        <f>bdrate(C165:C168,D165:D168,J165:J168,K165:K168)</f>
        <v>-0.35043801282198095</v>
      </c>
      <c r="R165" s="8">
        <f>bdrate(C165:C168,E165:E168,J165:J168,L165:L168)</f>
        <v>-0.25303678741309665</v>
      </c>
      <c r="S165" s="8">
        <f>bdrate(C165:C168,F165:F168,J165:J168,M165:M168)</f>
        <v>-0.18205734738017221</v>
      </c>
      <c r="T165" s="25">
        <f>bdrate(C165:C168,H165:H168,J165:J168,O165:O168)</f>
        <v>-0.33389837261250566</v>
      </c>
      <c r="U165" s="28">
        <f t="shared" si="7"/>
        <v>1.5132729038523777E-2</v>
      </c>
    </row>
    <row r="166" spans="2:21" hidden="1" x14ac:dyDescent="0.25">
      <c r="B166" s="9"/>
      <c r="C166" s="17">
        <v>1418.2</v>
      </c>
      <c r="D166" s="18">
        <v>35.625999999999998</v>
      </c>
      <c r="E166" s="18">
        <v>43.323999999999998</v>
      </c>
      <c r="F166" s="18">
        <v>42.637</v>
      </c>
      <c r="G166" s="18">
        <v>66.95</v>
      </c>
      <c r="H166" s="18">
        <f t="shared" si="5"/>
        <v>37.464624999999998</v>
      </c>
      <c r="I166" s="5"/>
      <c r="J166" s="17">
        <v>995.45699999999999</v>
      </c>
      <c r="K166" s="18">
        <v>35.566299999999998</v>
      </c>
      <c r="L166" s="18">
        <v>43.085000000000001</v>
      </c>
      <c r="M166" s="18">
        <v>42.273000000000003</v>
      </c>
      <c r="N166" s="18">
        <v>74.5304</v>
      </c>
      <c r="O166" s="18">
        <f t="shared" si="6"/>
        <v>37.344475000000003</v>
      </c>
      <c r="P166" s="7"/>
      <c r="Q166" s="10"/>
      <c r="R166" s="11"/>
      <c r="S166" s="11"/>
      <c r="T166" s="26"/>
      <c r="U166" s="28">
        <f t="shared" si="7"/>
        <v>0.11322479462285283</v>
      </c>
    </row>
    <row r="167" spans="2:21" hidden="1" x14ac:dyDescent="0.25">
      <c r="B167" s="9"/>
      <c r="C167" s="17">
        <v>849.39</v>
      </c>
      <c r="D167" s="18">
        <v>32.768000000000001</v>
      </c>
      <c r="E167" s="18">
        <v>41.889000000000003</v>
      </c>
      <c r="F167" s="18">
        <v>41.186</v>
      </c>
      <c r="G167" s="18">
        <v>72.8</v>
      </c>
      <c r="H167" s="18">
        <f t="shared" si="5"/>
        <v>34.960374999999999</v>
      </c>
      <c r="I167" s="5"/>
      <c r="J167" s="17">
        <v>597.1481</v>
      </c>
      <c r="K167" s="18">
        <v>33.284599999999998</v>
      </c>
      <c r="L167" s="18">
        <v>41.725700000000003</v>
      </c>
      <c r="M167" s="18">
        <v>40.727899999999998</v>
      </c>
      <c r="N167" s="18">
        <v>86.648200000000003</v>
      </c>
      <c r="O167" s="18">
        <f t="shared" si="6"/>
        <v>35.270149999999994</v>
      </c>
      <c r="P167" s="7"/>
      <c r="Q167" s="10"/>
      <c r="R167" s="11"/>
      <c r="S167" s="11"/>
      <c r="T167" s="26"/>
      <c r="U167" s="28">
        <f t="shared" si="7"/>
        <v>0.19022252747252755</v>
      </c>
    </row>
    <row r="168" spans="2:21" ht="16.5" hidden="1" thickBot="1" x14ac:dyDescent="0.3">
      <c r="B168" s="12"/>
      <c r="C168" s="19">
        <v>425.13</v>
      </c>
      <c r="D168" s="20">
        <v>28.47</v>
      </c>
      <c r="E168" s="20">
        <v>39.930999999999997</v>
      </c>
      <c r="F168" s="20">
        <v>39.283999999999999</v>
      </c>
      <c r="G168" s="20">
        <v>80.92</v>
      </c>
      <c r="H168" s="20">
        <f t="shared" si="5"/>
        <v>31.254374999999996</v>
      </c>
      <c r="I168" s="5"/>
      <c r="J168" s="19">
        <v>297.27949999999998</v>
      </c>
      <c r="K168" s="20">
        <v>30.520099999999999</v>
      </c>
      <c r="L168" s="20">
        <v>39.919800000000002</v>
      </c>
      <c r="M168" s="20">
        <v>38.603000000000002</v>
      </c>
      <c r="N168" s="20">
        <v>114.1949</v>
      </c>
      <c r="O168" s="20">
        <f t="shared" si="6"/>
        <v>32.705424999999998</v>
      </c>
      <c r="P168" s="7"/>
      <c r="Q168" s="13"/>
      <c r="R168" s="14"/>
      <c r="S168" s="14"/>
      <c r="T168" s="27"/>
      <c r="U168" s="28">
        <f t="shared" si="7"/>
        <v>0.41120736529906082</v>
      </c>
    </row>
    <row r="169" spans="2:21" hidden="1" x14ac:dyDescent="0.25">
      <c r="B169" s="6" t="s">
        <v>124</v>
      </c>
      <c r="C169" s="15">
        <v>1324.23</v>
      </c>
      <c r="D169" s="16">
        <v>39.402999999999999</v>
      </c>
      <c r="E169" s="16">
        <v>45.186</v>
      </c>
      <c r="F169" s="16">
        <v>44.636000000000003</v>
      </c>
      <c r="G169" s="16">
        <v>134.53</v>
      </c>
      <c r="H169" s="16">
        <f t="shared" si="5"/>
        <v>40.78</v>
      </c>
      <c r="I169" s="5"/>
      <c r="J169" s="15">
        <v>1024.6851999999999</v>
      </c>
      <c r="K169" s="16">
        <v>39.301099999999998</v>
      </c>
      <c r="L169" s="16">
        <v>45.136899999999997</v>
      </c>
      <c r="M169" s="16">
        <v>44.613100000000003</v>
      </c>
      <c r="N169" s="16">
        <v>91.447900000000004</v>
      </c>
      <c r="O169" s="16">
        <f t="shared" si="6"/>
        <v>40.694575</v>
      </c>
      <c r="P169" s="7"/>
      <c r="Q169" s="8">
        <f>bdrate(C169:C172,D169:D172,J169:J172,K169:K172)</f>
        <v>-0.36828858410836351</v>
      </c>
      <c r="R169" s="8">
        <f>bdrate(C169:C172,E169:E172,J169:J172,L169:L172)</f>
        <v>-0.35971405400719592</v>
      </c>
      <c r="S169" s="8">
        <f>bdrate(C169:C172,F169:F172,J169:J172,M169:M172)</f>
        <v>-0.3708998854675517</v>
      </c>
      <c r="T169" s="25">
        <f>bdrate(C169:C172,H169:H172,J169:J172,O169:O172)</f>
        <v>-0.36804063201833215</v>
      </c>
      <c r="U169" s="28">
        <f t="shared" si="7"/>
        <v>-0.32024158180331525</v>
      </c>
    </row>
    <row r="170" spans="2:21" hidden="1" x14ac:dyDescent="0.25">
      <c r="B170" s="9"/>
      <c r="C170" s="17">
        <v>787.34</v>
      </c>
      <c r="D170" s="18">
        <v>36.884999999999998</v>
      </c>
      <c r="E170" s="18">
        <v>43.430999999999997</v>
      </c>
      <c r="F170" s="18">
        <v>42.804000000000002</v>
      </c>
      <c r="G170" s="18">
        <v>151.82</v>
      </c>
      <c r="H170" s="18">
        <f t="shared" si="5"/>
        <v>38.443124999999995</v>
      </c>
      <c r="I170" s="5"/>
      <c r="J170" s="17">
        <v>614.44230000000005</v>
      </c>
      <c r="K170" s="18">
        <v>37.519799999999996</v>
      </c>
      <c r="L170" s="18">
        <v>43.9101</v>
      </c>
      <c r="M170" s="18">
        <v>43.350499999999997</v>
      </c>
      <c r="N170" s="18">
        <v>116.5052</v>
      </c>
      <c r="O170" s="18">
        <f t="shared" si="6"/>
        <v>39.047424999999997</v>
      </c>
      <c r="P170" s="7"/>
      <c r="Q170" s="10"/>
      <c r="R170" s="11"/>
      <c r="S170" s="11"/>
      <c r="T170" s="26"/>
      <c r="U170" s="28">
        <f t="shared" si="7"/>
        <v>-0.23260966934527724</v>
      </c>
    </row>
    <row r="171" spans="2:21" hidden="1" x14ac:dyDescent="0.25">
      <c r="B171" s="9"/>
      <c r="C171" s="17">
        <v>520.52</v>
      </c>
      <c r="D171" s="18">
        <v>34.880000000000003</v>
      </c>
      <c r="E171" s="18">
        <v>42.131999999999998</v>
      </c>
      <c r="F171" s="18">
        <v>41.49</v>
      </c>
      <c r="G171" s="18">
        <v>164.96</v>
      </c>
      <c r="H171" s="18">
        <f t="shared" si="5"/>
        <v>36.612750000000005</v>
      </c>
      <c r="I171" s="5"/>
      <c r="J171" s="17">
        <v>407.48739999999998</v>
      </c>
      <c r="K171" s="18">
        <v>36.064500000000002</v>
      </c>
      <c r="L171" s="18">
        <v>42.874600000000001</v>
      </c>
      <c r="M171" s="18">
        <v>42.3123</v>
      </c>
      <c r="N171" s="18">
        <v>140.85890000000001</v>
      </c>
      <c r="O171" s="18">
        <f t="shared" si="6"/>
        <v>37.696737499999998</v>
      </c>
      <c r="P171" s="7"/>
      <c r="Q171" s="10"/>
      <c r="R171" s="11"/>
      <c r="S171" s="11"/>
      <c r="T171" s="26"/>
      <c r="U171" s="28">
        <f t="shared" si="7"/>
        <v>-0.1461026915615907</v>
      </c>
    </row>
    <row r="172" spans="2:21" ht="16.5" hidden="1" thickBot="1" x14ac:dyDescent="0.3">
      <c r="B172" s="12"/>
      <c r="C172" s="19">
        <v>255.76</v>
      </c>
      <c r="D172" s="20">
        <v>31.2</v>
      </c>
      <c r="E172" s="20">
        <v>40.088000000000001</v>
      </c>
      <c r="F172" s="20">
        <v>39.409999999999997</v>
      </c>
      <c r="G172" s="20">
        <v>188.58</v>
      </c>
      <c r="H172" s="20">
        <f t="shared" si="5"/>
        <v>33.337249999999997</v>
      </c>
      <c r="I172" s="5"/>
      <c r="J172" s="19">
        <v>199.63159999999999</v>
      </c>
      <c r="K172" s="20">
        <v>33.267200000000003</v>
      </c>
      <c r="L172" s="20">
        <v>40.898099999999999</v>
      </c>
      <c r="M172" s="20">
        <v>40.28</v>
      </c>
      <c r="N172" s="20">
        <v>186.59819999999999</v>
      </c>
      <c r="O172" s="20">
        <f t="shared" si="6"/>
        <v>35.097662499999998</v>
      </c>
      <c r="P172" s="7"/>
      <c r="Q172" s="13"/>
      <c r="R172" s="14"/>
      <c r="S172" s="14"/>
      <c r="T172" s="27"/>
      <c r="U172" s="28">
        <f t="shared" si="7"/>
        <v>-1.0509067769646946E-2</v>
      </c>
    </row>
    <row r="173" spans="2:21" hidden="1" x14ac:dyDescent="0.25">
      <c r="B173" s="6" t="s">
        <v>125</v>
      </c>
      <c r="C173" s="15">
        <v>1289.05</v>
      </c>
      <c r="D173" s="16">
        <v>42.737000000000002</v>
      </c>
      <c r="E173" s="16">
        <v>47.819000000000003</v>
      </c>
      <c r="F173" s="16">
        <v>46.872999999999998</v>
      </c>
      <c r="G173" s="16">
        <v>134.16</v>
      </c>
      <c r="H173" s="16">
        <f t="shared" si="5"/>
        <v>43.889250000000004</v>
      </c>
      <c r="I173" s="5"/>
      <c r="J173" s="15">
        <v>1026.1875</v>
      </c>
      <c r="K173" s="16">
        <v>43.075200000000002</v>
      </c>
      <c r="L173" s="16">
        <v>47.557899999999997</v>
      </c>
      <c r="M173" s="16">
        <v>46.791899999999998</v>
      </c>
      <c r="N173" s="16">
        <v>99.487099999999998</v>
      </c>
      <c r="O173" s="16">
        <f t="shared" si="6"/>
        <v>44.100125000000006</v>
      </c>
      <c r="P173" s="7"/>
      <c r="Q173" s="8">
        <f>bdrate(C173:C176,D173:D176,J173:J176,K173:K176)</f>
        <v>-0.38749548822009672</v>
      </c>
      <c r="R173" s="8">
        <f>bdrate(C173:C176,E173:E176,J173:J176,L173:L176)</f>
        <v>-0.25371829488981246</v>
      </c>
      <c r="S173" s="8">
        <f>bdrate(C173:C176,F173:F176,J173:J176,M173:M176)</f>
        <v>-0.30274507166601639</v>
      </c>
      <c r="T173" s="25">
        <f>bdrate(C173:C176,H173:H176,J173:J176,O173:O176)</f>
        <v>-0.36693444625628302</v>
      </c>
      <c r="U173" s="28">
        <f t="shared" si="7"/>
        <v>-0.25844439475253428</v>
      </c>
    </row>
    <row r="174" spans="2:21" hidden="1" x14ac:dyDescent="0.25">
      <c r="B174" s="9"/>
      <c r="C174" s="17">
        <v>775.65</v>
      </c>
      <c r="D174" s="18">
        <v>40.427</v>
      </c>
      <c r="E174" s="18">
        <v>46.08</v>
      </c>
      <c r="F174" s="18">
        <v>45.023000000000003</v>
      </c>
      <c r="G174" s="18">
        <v>151.86000000000001</v>
      </c>
      <c r="H174" s="18">
        <f t="shared" si="5"/>
        <v>41.708125000000003</v>
      </c>
      <c r="I174" s="5"/>
      <c r="J174" s="17">
        <v>614.8193</v>
      </c>
      <c r="K174" s="18">
        <v>41.295299999999997</v>
      </c>
      <c r="L174" s="18">
        <v>46.137300000000003</v>
      </c>
      <c r="M174" s="18">
        <v>45.329599999999999</v>
      </c>
      <c r="N174" s="18">
        <v>124.1996</v>
      </c>
      <c r="O174" s="18">
        <f t="shared" si="6"/>
        <v>42.404837499999999</v>
      </c>
      <c r="P174" s="7"/>
      <c r="Q174" s="10"/>
      <c r="R174" s="11"/>
      <c r="S174" s="11"/>
      <c r="T174" s="26"/>
      <c r="U174" s="28">
        <f t="shared" si="7"/>
        <v>-0.18214408007375218</v>
      </c>
    </row>
    <row r="175" spans="2:21" hidden="1" x14ac:dyDescent="0.25">
      <c r="B175" s="9"/>
      <c r="C175" s="17">
        <v>518.28</v>
      </c>
      <c r="D175" s="18">
        <v>38.424999999999997</v>
      </c>
      <c r="E175" s="18">
        <v>44.651000000000003</v>
      </c>
      <c r="F175" s="18">
        <v>43.552</v>
      </c>
      <c r="G175" s="18">
        <v>167.03</v>
      </c>
      <c r="H175" s="18">
        <f t="shared" si="5"/>
        <v>39.844124999999998</v>
      </c>
      <c r="I175" s="5"/>
      <c r="J175" s="17">
        <v>406.82979999999998</v>
      </c>
      <c r="K175" s="18">
        <v>39.722700000000003</v>
      </c>
      <c r="L175" s="18">
        <v>44.924100000000003</v>
      </c>
      <c r="M175" s="18">
        <v>44.088900000000002</v>
      </c>
      <c r="N175" s="18">
        <v>147.43299999999999</v>
      </c>
      <c r="O175" s="18">
        <f t="shared" si="6"/>
        <v>40.918650000000007</v>
      </c>
      <c r="P175" s="7"/>
      <c r="Q175" s="10"/>
      <c r="R175" s="11"/>
      <c r="S175" s="11"/>
      <c r="T175" s="26"/>
      <c r="U175" s="28">
        <f t="shared" si="7"/>
        <v>-0.1173262288211699</v>
      </c>
    </row>
    <row r="176" spans="2:21" ht="16.5" hidden="1" thickBot="1" x14ac:dyDescent="0.3">
      <c r="B176" s="12"/>
      <c r="C176" s="19">
        <v>260.75</v>
      </c>
      <c r="D176" s="20">
        <v>34.524000000000001</v>
      </c>
      <c r="E176" s="20">
        <v>42.223999999999997</v>
      </c>
      <c r="F176" s="20">
        <v>41.091000000000001</v>
      </c>
      <c r="G176" s="20">
        <v>191.52</v>
      </c>
      <c r="H176" s="20">
        <f t="shared" si="5"/>
        <v>36.307375</v>
      </c>
      <c r="I176" s="5"/>
      <c r="J176" s="19">
        <v>201.4203</v>
      </c>
      <c r="K176" s="20">
        <v>36.592700000000001</v>
      </c>
      <c r="L176" s="20">
        <v>42.614199999999997</v>
      </c>
      <c r="M176" s="20">
        <v>41.735100000000003</v>
      </c>
      <c r="N176" s="20">
        <v>191.67150000000001</v>
      </c>
      <c r="O176" s="20">
        <f t="shared" si="6"/>
        <v>37.988187499999995</v>
      </c>
      <c r="P176" s="7"/>
      <c r="Q176" s="13"/>
      <c r="R176" s="14"/>
      <c r="S176" s="14"/>
      <c r="T176" s="27"/>
      <c r="U176" s="28">
        <f t="shared" si="7"/>
        <v>7.9104010025061945E-4</v>
      </c>
    </row>
    <row r="177" spans="2:21" hidden="1" x14ac:dyDescent="0.25">
      <c r="B177" s="6" t="s">
        <v>126</v>
      </c>
      <c r="C177" s="15">
        <v>2051.81</v>
      </c>
      <c r="D177" s="16">
        <v>36.19</v>
      </c>
      <c r="E177" s="16">
        <v>43.228000000000002</v>
      </c>
      <c r="F177" s="16">
        <v>43.929000000000002</v>
      </c>
      <c r="G177" s="16">
        <v>53.65</v>
      </c>
      <c r="H177" s="16">
        <f t="shared" si="5"/>
        <v>38.037125000000003</v>
      </c>
      <c r="I177" s="5"/>
      <c r="J177" s="15">
        <v>1537.7871</v>
      </c>
      <c r="K177" s="16">
        <v>36.945700000000002</v>
      </c>
      <c r="L177" s="16">
        <v>42.856999999999999</v>
      </c>
      <c r="M177" s="16">
        <v>43.528700000000001</v>
      </c>
      <c r="N177" s="16">
        <v>62.9148</v>
      </c>
      <c r="O177" s="16">
        <f t="shared" si="6"/>
        <v>38.507487500000003</v>
      </c>
      <c r="P177" s="7"/>
      <c r="Q177" s="8">
        <f>bdrate(C177:C180,D177:D180,J177:J180,K177:K180)</f>
        <v>-0.45471090674885373</v>
      </c>
      <c r="R177" s="8">
        <f>bdrate(C177:C180,E177:E180,J177:J180,L177:L180)</f>
        <v>-0.2184341890127991</v>
      </c>
      <c r="S177" s="8">
        <f>bdrate(C177:C180,F177:F180,J177:J180,M177:M180)</f>
        <v>-0.22942649557717198</v>
      </c>
      <c r="T177" s="25">
        <f>bdrate(C177:C180,H177:H180,J177:J180,O177:O180)</f>
        <v>-0.42488729253827917</v>
      </c>
      <c r="U177" s="28">
        <f t="shared" si="7"/>
        <v>0.17268965517241383</v>
      </c>
    </row>
    <row r="178" spans="2:21" hidden="1" x14ac:dyDescent="0.25">
      <c r="B178" s="9"/>
      <c r="C178" s="17">
        <v>1366.74</v>
      </c>
      <c r="D178" s="18">
        <v>34.11</v>
      </c>
      <c r="E178" s="18">
        <v>42.08</v>
      </c>
      <c r="F178" s="18">
        <v>42.781999999999996</v>
      </c>
      <c r="G178" s="18">
        <v>59.51</v>
      </c>
      <c r="H178" s="18">
        <f t="shared" si="5"/>
        <v>36.190249999999999</v>
      </c>
      <c r="I178" s="5"/>
      <c r="J178" s="17">
        <v>1024.8557000000001</v>
      </c>
      <c r="K178" s="18">
        <v>35.2498</v>
      </c>
      <c r="L178" s="18">
        <v>41.825699999999998</v>
      </c>
      <c r="M178" s="18">
        <v>42.539299999999997</v>
      </c>
      <c r="N178" s="18">
        <v>73.817499999999995</v>
      </c>
      <c r="O178" s="18">
        <f t="shared" si="6"/>
        <v>36.982974999999996</v>
      </c>
      <c r="P178" s="7"/>
      <c r="Q178" s="10"/>
      <c r="R178" s="11"/>
      <c r="S178" s="11"/>
      <c r="T178" s="26"/>
      <c r="U178" s="28">
        <f t="shared" si="7"/>
        <v>0.24042177785246174</v>
      </c>
    </row>
    <row r="179" spans="2:21" hidden="1" x14ac:dyDescent="0.25">
      <c r="B179" s="9"/>
      <c r="C179" s="17">
        <v>819.56</v>
      </c>
      <c r="D179" s="18">
        <v>31.454000000000001</v>
      </c>
      <c r="E179" s="18">
        <v>40.817</v>
      </c>
      <c r="F179" s="18">
        <v>41.545000000000002</v>
      </c>
      <c r="G179" s="18">
        <v>67</v>
      </c>
      <c r="H179" s="18">
        <f t="shared" si="5"/>
        <v>33.885750000000002</v>
      </c>
      <c r="I179" s="5"/>
      <c r="J179" s="17">
        <v>614.25189999999998</v>
      </c>
      <c r="K179" s="18">
        <v>33.114199999999997</v>
      </c>
      <c r="L179" s="18">
        <v>40.704900000000002</v>
      </c>
      <c r="M179" s="18">
        <v>41.482799999999997</v>
      </c>
      <c r="N179" s="18">
        <v>89.078999999999994</v>
      </c>
      <c r="O179" s="18">
        <f t="shared" si="6"/>
        <v>35.109112499999995</v>
      </c>
      <c r="P179" s="7"/>
      <c r="Q179" s="10"/>
      <c r="R179" s="11"/>
      <c r="S179" s="11"/>
      <c r="T179" s="26"/>
      <c r="U179" s="28">
        <f t="shared" si="7"/>
        <v>0.32953731343283571</v>
      </c>
    </row>
    <row r="180" spans="2:21" ht="16.5" hidden="1" thickBot="1" x14ac:dyDescent="0.3">
      <c r="B180" s="12"/>
      <c r="C180" s="19">
        <v>411.51</v>
      </c>
      <c r="D180" s="20">
        <v>27.108000000000001</v>
      </c>
      <c r="E180" s="20">
        <v>38.905999999999999</v>
      </c>
      <c r="F180" s="20">
        <v>39.616999999999997</v>
      </c>
      <c r="G180" s="20">
        <v>78.010000000000005</v>
      </c>
      <c r="H180" s="20">
        <f t="shared" si="5"/>
        <v>30.146374999999999</v>
      </c>
      <c r="I180" s="5"/>
      <c r="J180" s="19">
        <v>307.01249999999999</v>
      </c>
      <c r="K180" s="20">
        <v>30.290800000000001</v>
      </c>
      <c r="L180" s="20">
        <v>39.313499999999998</v>
      </c>
      <c r="M180" s="20">
        <v>40.148000000000003</v>
      </c>
      <c r="N180" s="20">
        <v>114.3057</v>
      </c>
      <c r="O180" s="20">
        <f t="shared" si="6"/>
        <v>32.6507875</v>
      </c>
      <c r="P180" s="7"/>
      <c r="Q180" s="13"/>
      <c r="R180" s="14"/>
      <c r="S180" s="14"/>
      <c r="T180" s="27"/>
      <c r="U180" s="28">
        <f t="shared" si="7"/>
        <v>0.46526983720035886</v>
      </c>
    </row>
    <row r="181" spans="2:21" hidden="1" x14ac:dyDescent="0.25">
      <c r="B181" s="6" t="s">
        <v>127</v>
      </c>
      <c r="C181" s="15">
        <v>2182.06</v>
      </c>
      <c r="D181" s="16">
        <v>34.588000000000001</v>
      </c>
      <c r="E181" s="16">
        <v>40.570999999999998</v>
      </c>
      <c r="F181" s="16">
        <v>38.863</v>
      </c>
      <c r="G181" s="16">
        <v>57.84</v>
      </c>
      <c r="H181" s="16">
        <f t="shared" si="5"/>
        <v>35.870249999999999</v>
      </c>
      <c r="I181" s="5"/>
      <c r="J181" s="15">
        <v>1542.2937999999999</v>
      </c>
      <c r="K181" s="16">
        <v>34.0809</v>
      </c>
      <c r="L181" s="16">
        <v>39.903100000000002</v>
      </c>
      <c r="M181" s="16">
        <v>38.003700000000002</v>
      </c>
      <c r="N181" s="16">
        <v>51.470399999999998</v>
      </c>
      <c r="O181" s="16">
        <f t="shared" si="6"/>
        <v>35.299025</v>
      </c>
      <c r="P181" s="7"/>
      <c r="Q181" s="8">
        <f>bdrate(C181:C184,D181:D184,J181:J184,K181:K184)</f>
        <v>-0.37798151904677801</v>
      </c>
      <c r="R181" s="8">
        <f>bdrate(C181:C184,E181:E184,J181:J184,L181:L184)</f>
        <v>-5.838930780226359E-2</v>
      </c>
      <c r="S181" s="8">
        <f>bdrate(C181:C184,F181:F184,J181:J184,M181:M184)</f>
        <v>9.6897898310062569E-2</v>
      </c>
      <c r="T181" s="25">
        <f>bdrate(C181:C184,H181:H184,J181:J184,O181:O184)</f>
        <v>-0.33404642885354652</v>
      </c>
      <c r="U181" s="28">
        <f t="shared" si="7"/>
        <v>-0.11012448132780092</v>
      </c>
    </row>
    <row r="182" spans="2:21" hidden="1" x14ac:dyDescent="0.25">
      <c r="B182" s="9"/>
      <c r="C182" s="17">
        <v>1458.93</v>
      </c>
      <c r="D182" s="18">
        <v>32.328000000000003</v>
      </c>
      <c r="E182" s="18">
        <v>39.512999999999998</v>
      </c>
      <c r="F182" s="18">
        <v>37.770000000000003</v>
      </c>
      <c r="G182" s="18">
        <v>63.02</v>
      </c>
      <c r="H182" s="18">
        <f t="shared" si="5"/>
        <v>33.906375000000004</v>
      </c>
      <c r="I182" s="5"/>
      <c r="J182" s="17">
        <v>1027.4219000000001</v>
      </c>
      <c r="K182" s="18">
        <v>32.32</v>
      </c>
      <c r="L182" s="18">
        <v>38.6937</v>
      </c>
      <c r="M182" s="18">
        <v>36.605200000000004</v>
      </c>
      <c r="N182" s="18">
        <v>60.795299999999997</v>
      </c>
      <c r="O182" s="18">
        <f t="shared" si="6"/>
        <v>33.652362500000002</v>
      </c>
      <c r="P182" s="7"/>
      <c r="Q182" s="10"/>
      <c r="R182" s="11"/>
      <c r="S182" s="11"/>
      <c r="T182" s="26"/>
      <c r="U182" s="28">
        <f t="shared" si="7"/>
        <v>-3.5301491589971527E-2</v>
      </c>
    </row>
    <row r="183" spans="2:21" hidden="1" x14ac:dyDescent="0.25">
      <c r="B183" s="9"/>
      <c r="C183" s="17">
        <v>879.94</v>
      </c>
      <c r="D183" s="18">
        <v>29.434000000000001</v>
      </c>
      <c r="E183" s="18">
        <v>38.280999999999999</v>
      </c>
      <c r="F183" s="18">
        <v>36.537999999999997</v>
      </c>
      <c r="G183" s="18">
        <v>69.8</v>
      </c>
      <c r="H183" s="18">
        <f t="shared" si="5"/>
        <v>31.427875</v>
      </c>
      <c r="I183" s="5"/>
      <c r="J183" s="17">
        <v>616.73320000000001</v>
      </c>
      <c r="K183" s="18">
        <v>30.342400000000001</v>
      </c>
      <c r="L183" s="18">
        <v>37.312399999999997</v>
      </c>
      <c r="M183" s="18">
        <v>34.976100000000002</v>
      </c>
      <c r="N183" s="18">
        <v>74.338499999999996</v>
      </c>
      <c r="O183" s="18">
        <f t="shared" si="6"/>
        <v>31.792862500000002</v>
      </c>
      <c r="P183" s="7"/>
      <c r="Q183" s="10"/>
      <c r="R183" s="11"/>
      <c r="S183" s="11"/>
      <c r="T183" s="26"/>
      <c r="U183" s="28">
        <f t="shared" si="7"/>
        <v>6.5021489971346699E-2</v>
      </c>
    </row>
    <row r="184" spans="2:21" ht="16.5" hidden="1" thickBot="1" x14ac:dyDescent="0.3">
      <c r="B184" s="12"/>
      <c r="C184" s="19">
        <v>441.19</v>
      </c>
      <c r="D184" s="20">
        <v>24.885999999999999</v>
      </c>
      <c r="E184" s="20">
        <v>35.884999999999998</v>
      </c>
      <c r="F184" s="20">
        <v>33.997999999999998</v>
      </c>
      <c r="G184" s="20">
        <v>80.12</v>
      </c>
      <c r="H184" s="20">
        <f t="shared" si="5"/>
        <v>27.399874999999998</v>
      </c>
      <c r="I184" s="5"/>
      <c r="J184" s="19">
        <v>308.06970000000001</v>
      </c>
      <c r="K184" s="20">
        <v>28.079599999999999</v>
      </c>
      <c r="L184" s="20">
        <v>35.570099999999996</v>
      </c>
      <c r="M184" s="20">
        <v>32.866399999999999</v>
      </c>
      <c r="N184" s="20">
        <v>99.015900000000002</v>
      </c>
      <c r="O184" s="20">
        <f t="shared" si="6"/>
        <v>29.614262499999999</v>
      </c>
      <c r="P184" s="7"/>
      <c r="Q184" s="13"/>
      <c r="R184" s="14"/>
      <c r="S184" s="14"/>
      <c r="T184" s="27"/>
      <c r="U184" s="28">
        <f t="shared" si="7"/>
        <v>0.23584498252621064</v>
      </c>
    </row>
    <row r="185" spans="2:21" hidden="1" x14ac:dyDescent="0.25">
      <c r="B185" s="6" t="s">
        <v>128</v>
      </c>
      <c r="C185" s="15">
        <v>2148.89</v>
      </c>
      <c r="D185" s="16">
        <v>38.658999999999999</v>
      </c>
      <c r="E185" s="16">
        <v>45.688000000000002</v>
      </c>
      <c r="F185" s="16">
        <v>45.52</v>
      </c>
      <c r="G185" s="16">
        <v>53.63</v>
      </c>
      <c r="H185" s="16">
        <f t="shared" si="5"/>
        <v>40.395249999999997</v>
      </c>
      <c r="I185" s="5"/>
      <c r="J185" s="15">
        <v>1537.7221999999999</v>
      </c>
      <c r="K185" s="16">
        <v>39.350999999999999</v>
      </c>
      <c r="L185" s="16">
        <v>45.994100000000003</v>
      </c>
      <c r="M185" s="16">
        <v>45.792200000000001</v>
      </c>
      <c r="N185" s="16">
        <v>46.842500000000001</v>
      </c>
      <c r="O185" s="16">
        <f t="shared" si="6"/>
        <v>40.986537499999997</v>
      </c>
      <c r="P185" s="7"/>
      <c r="Q185" s="8">
        <f>bdrate(C185:C188,D185:D188,J185:J188,K185:K188)</f>
        <v>-0.52859718837367287</v>
      </c>
      <c r="R185" s="8">
        <f>bdrate(C185:C188,E185:E188,J185:J188,L185:L188)</f>
        <v>-0.44609757609068257</v>
      </c>
      <c r="S185" s="8">
        <f>bdrate(C185:C188,F185:F188,J185:J188,M185:M188)</f>
        <v>-0.42313259331172193</v>
      </c>
      <c r="T185" s="25">
        <f>bdrate(C185:C188,H185:H188,J185:J188,O185:O188)</f>
        <v>-0.51240670961997536</v>
      </c>
      <c r="U185" s="28">
        <f t="shared" si="7"/>
        <v>-0.12656162595562187</v>
      </c>
    </row>
    <row r="186" spans="2:21" hidden="1" x14ac:dyDescent="0.25">
      <c r="B186" s="9"/>
      <c r="C186" s="17">
        <v>1434.52</v>
      </c>
      <c r="D186" s="18">
        <v>36.893999999999998</v>
      </c>
      <c r="E186" s="18">
        <v>44.454999999999998</v>
      </c>
      <c r="F186" s="18">
        <v>44.228000000000002</v>
      </c>
      <c r="G186" s="18">
        <v>58.47</v>
      </c>
      <c r="H186" s="18">
        <f t="shared" si="5"/>
        <v>38.755874999999996</v>
      </c>
      <c r="I186" s="5"/>
      <c r="J186" s="17">
        <v>1024.4658999999999</v>
      </c>
      <c r="K186" s="18">
        <v>38.097000000000001</v>
      </c>
      <c r="L186" s="18">
        <v>44.9741</v>
      </c>
      <c r="M186" s="18">
        <v>44.71</v>
      </c>
      <c r="N186" s="18">
        <v>56.649500000000003</v>
      </c>
      <c r="O186" s="18">
        <f t="shared" si="6"/>
        <v>39.783262499999999</v>
      </c>
      <c r="P186" s="7"/>
      <c r="Q186" s="10"/>
      <c r="R186" s="11"/>
      <c r="S186" s="11"/>
      <c r="T186" s="26"/>
      <c r="U186" s="28">
        <f t="shared" si="7"/>
        <v>-3.1135625106892349E-2</v>
      </c>
    </row>
    <row r="187" spans="2:21" hidden="1" x14ac:dyDescent="0.25">
      <c r="B187" s="9"/>
      <c r="C187" s="17">
        <v>863.02</v>
      </c>
      <c r="D187" s="18">
        <v>34.25</v>
      </c>
      <c r="E187" s="18">
        <v>42.78</v>
      </c>
      <c r="F187" s="18">
        <v>42.536000000000001</v>
      </c>
      <c r="G187" s="18">
        <v>64.83</v>
      </c>
      <c r="H187" s="18">
        <f t="shared" si="5"/>
        <v>36.352000000000004</v>
      </c>
      <c r="I187" s="5"/>
      <c r="J187" s="17">
        <v>614.13810000000001</v>
      </c>
      <c r="K187" s="18">
        <v>36.362000000000002</v>
      </c>
      <c r="L187" s="18">
        <v>43.640700000000002</v>
      </c>
      <c r="M187" s="18">
        <v>43.278199999999998</v>
      </c>
      <c r="N187" s="18">
        <v>71.183899999999994</v>
      </c>
      <c r="O187" s="18">
        <f t="shared" si="6"/>
        <v>38.136362500000004</v>
      </c>
      <c r="P187" s="7"/>
      <c r="Q187" s="10"/>
      <c r="R187" s="11"/>
      <c r="S187" s="11"/>
      <c r="T187" s="26"/>
      <c r="U187" s="28">
        <f t="shared" si="7"/>
        <v>9.8008637976245511E-2</v>
      </c>
    </row>
    <row r="188" spans="2:21" ht="16.5" hidden="1" thickBot="1" x14ac:dyDescent="0.3">
      <c r="B188" s="12"/>
      <c r="C188" s="19">
        <v>438.08</v>
      </c>
      <c r="D188" s="20">
        <v>29.597999999999999</v>
      </c>
      <c r="E188" s="20">
        <v>40.343000000000004</v>
      </c>
      <c r="F188" s="20">
        <v>40.121000000000002</v>
      </c>
      <c r="G188" s="20">
        <v>74.13</v>
      </c>
      <c r="H188" s="20">
        <f t="shared" si="5"/>
        <v>32.256499999999996</v>
      </c>
      <c r="I188" s="5"/>
      <c r="J188" s="19">
        <v>305.27760000000001</v>
      </c>
      <c r="K188" s="20">
        <v>33.657200000000003</v>
      </c>
      <c r="L188" s="20">
        <v>41.638599999999997</v>
      </c>
      <c r="M188" s="20">
        <v>41.113999999999997</v>
      </c>
      <c r="N188" s="20">
        <v>95.818799999999996</v>
      </c>
      <c r="O188" s="20">
        <f t="shared" si="6"/>
        <v>35.586975000000002</v>
      </c>
      <c r="P188" s="7"/>
      <c r="Q188" s="13"/>
      <c r="R188" s="14"/>
      <c r="S188" s="14"/>
      <c r="T188" s="27"/>
      <c r="U188" s="28">
        <f t="shared" si="7"/>
        <v>0.29257790368271958</v>
      </c>
    </row>
    <row r="189" spans="2:21" hidden="1" x14ac:dyDescent="0.25">
      <c r="B189" s="6" t="s">
        <v>129</v>
      </c>
      <c r="C189" s="29">
        <v>2099.1999999999998</v>
      </c>
      <c r="D189" s="30">
        <v>45.899000000000001</v>
      </c>
      <c r="E189" s="30">
        <v>51.253</v>
      </c>
      <c r="F189" s="30">
        <v>51.116</v>
      </c>
      <c r="G189" s="16">
        <v>51.01</v>
      </c>
      <c r="H189" s="16">
        <f t="shared" si="5"/>
        <v>47.220374999999997</v>
      </c>
      <c r="I189" s="5"/>
      <c r="J189" s="29">
        <v>1536.1324999999999</v>
      </c>
      <c r="K189" s="30">
        <v>46.395099999999999</v>
      </c>
      <c r="L189" s="30">
        <v>50.86</v>
      </c>
      <c r="M189" s="30">
        <v>50.671199999999999</v>
      </c>
      <c r="N189" s="16">
        <v>54.133099999999999</v>
      </c>
      <c r="O189" s="16">
        <f t="shared" si="6"/>
        <v>47.487724999999998</v>
      </c>
      <c r="P189" s="7"/>
      <c r="Q189" s="8">
        <f>bdrate(C189:C192,D189:D192,J189:J192,K189:K192)</f>
        <v>-0.53871987673868948</v>
      </c>
      <c r="R189" s="8">
        <f>bdrate(C189:C192,E189:E192,J189:J192,L189:L192)</f>
        <v>-0.27660775899960088</v>
      </c>
      <c r="S189" s="8">
        <f>bdrate(C189:C192,F189:F192,J189:J192,M189:M192)</f>
        <v>-0.21620660108651601</v>
      </c>
      <c r="T189" s="25">
        <f>bdrate(C189:C192,H189:H192,J189:J192,O189:O192)</f>
        <v>-0.49049508065873282</v>
      </c>
      <c r="U189" s="28">
        <f t="shared" si="7"/>
        <v>6.1225249950990018E-2</v>
      </c>
    </row>
    <row r="190" spans="2:21" hidden="1" x14ac:dyDescent="0.25">
      <c r="B190" s="9"/>
      <c r="C190" s="31">
        <v>1398.65</v>
      </c>
      <c r="D190" s="32">
        <v>44.930999999999997</v>
      </c>
      <c r="E190" s="32">
        <v>50.552999999999997</v>
      </c>
      <c r="F190" s="32">
        <v>50.484999999999999</v>
      </c>
      <c r="G190" s="18">
        <v>58.48</v>
      </c>
      <c r="H190" s="18">
        <f t="shared" si="5"/>
        <v>46.328000000000003</v>
      </c>
      <c r="I190" s="5"/>
      <c r="J190" s="31">
        <v>1022.9073</v>
      </c>
      <c r="K190" s="32">
        <v>45.683599999999998</v>
      </c>
      <c r="L190" s="32">
        <v>50.244900000000001</v>
      </c>
      <c r="M190" s="32">
        <v>50.137999999999998</v>
      </c>
      <c r="N190" s="18">
        <v>65.884100000000004</v>
      </c>
      <c r="O190" s="18">
        <f t="shared" si="6"/>
        <v>46.810562499999996</v>
      </c>
      <c r="P190" s="7"/>
      <c r="Q190" s="10"/>
      <c r="R190" s="11"/>
      <c r="S190" s="11"/>
      <c r="T190" s="26"/>
      <c r="U190" s="28">
        <f t="shared" si="7"/>
        <v>0.1266090971272231</v>
      </c>
    </row>
    <row r="191" spans="2:21" hidden="1" x14ac:dyDescent="0.25">
      <c r="B191" s="9"/>
      <c r="C191" s="31">
        <v>842.31</v>
      </c>
      <c r="D191" s="32">
        <v>43.395000000000003</v>
      </c>
      <c r="E191" s="32">
        <v>49.415999999999997</v>
      </c>
      <c r="F191" s="32">
        <v>49.616</v>
      </c>
      <c r="G191" s="18">
        <v>66.430000000000007</v>
      </c>
      <c r="H191" s="18">
        <f t="shared" si="5"/>
        <v>44.925249999999998</v>
      </c>
      <c r="I191" s="5"/>
      <c r="J191" s="31">
        <v>605.64189999999996</v>
      </c>
      <c r="K191" s="32">
        <v>44.697899999999997</v>
      </c>
      <c r="L191" s="32">
        <v>49.441400000000002</v>
      </c>
      <c r="M191" s="32">
        <v>49.458500000000001</v>
      </c>
      <c r="N191" s="18">
        <v>81.265799999999999</v>
      </c>
      <c r="O191" s="18">
        <f t="shared" si="6"/>
        <v>45.885912499999996</v>
      </c>
      <c r="P191" s="7"/>
      <c r="Q191" s="10"/>
      <c r="R191" s="11"/>
      <c r="S191" s="11"/>
      <c r="T191" s="26"/>
      <c r="U191" s="28">
        <f t="shared" si="7"/>
        <v>0.2233298208640673</v>
      </c>
    </row>
    <row r="192" spans="2:21" ht="16.5" hidden="1" thickBot="1" x14ac:dyDescent="0.3">
      <c r="B192" s="12"/>
      <c r="C192" s="33">
        <v>423.82</v>
      </c>
      <c r="D192" s="34">
        <v>40.332999999999998</v>
      </c>
      <c r="E192" s="34">
        <v>47.378</v>
      </c>
      <c r="F192" s="34">
        <v>47.87</v>
      </c>
      <c r="G192" s="20">
        <v>75.92</v>
      </c>
      <c r="H192" s="20">
        <f t="shared" si="5"/>
        <v>42.155749999999998</v>
      </c>
      <c r="I192" s="5"/>
      <c r="J192" s="33">
        <v>293.70510000000002</v>
      </c>
      <c r="K192" s="34">
        <v>42.907400000000003</v>
      </c>
      <c r="L192" s="34">
        <v>48.218600000000002</v>
      </c>
      <c r="M192" s="34">
        <v>48.585799999999999</v>
      </c>
      <c r="N192" s="20">
        <v>106.6396</v>
      </c>
      <c r="O192" s="20">
        <f t="shared" si="6"/>
        <v>44.281100000000002</v>
      </c>
      <c r="P192" s="7"/>
      <c r="Q192" s="13"/>
      <c r="R192" s="14"/>
      <c r="S192" s="14"/>
      <c r="T192" s="27"/>
      <c r="U192" s="28">
        <f t="shared" si="7"/>
        <v>0.40463119072708115</v>
      </c>
    </row>
    <row r="193" spans="1:21" hidden="1" x14ac:dyDescent="0.25">
      <c r="A193" s="6" t="s">
        <v>100</v>
      </c>
      <c r="B193" s="6" t="s">
        <v>77</v>
      </c>
      <c r="C193" s="15">
        <v>980.55</v>
      </c>
      <c r="D193" s="16">
        <v>39.713000000000001</v>
      </c>
      <c r="E193" s="16">
        <v>44.052</v>
      </c>
      <c r="F193" s="16">
        <v>44.53</v>
      </c>
      <c r="G193" s="16">
        <v>230.95</v>
      </c>
      <c r="H193" s="16">
        <f t="shared" si="5"/>
        <v>40.857500000000002</v>
      </c>
      <c r="I193" s="5"/>
      <c r="J193" s="15">
        <v>827.25120000000004</v>
      </c>
      <c r="K193" s="16">
        <v>40.693899999999999</v>
      </c>
      <c r="L193" s="16">
        <v>44.744999999999997</v>
      </c>
      <c r="M193" s="16">
        <v>45.186599999999999</v>
      </c>
      <c r="N193" s="16">
        <v>139.32429999999999</v>
      </c>
      <c r="O193" s="16">
        <f t="shared" si="6"/>
        <v>41.761874999999996</v>
      </c>
      <c r="P193" s="7"/>
      <c r="Q193" s="8">
        <f>bdrate(C193:C196,D193:D196,J193:J196,K193:K196)</f>
        <v>-0.38139213681581019</v>
      </c>
      <c r="R193" s="8">
        <f>bdrate(C193:C196,E193:E196,J193:J196,L193:L196)</f>
        <v>-0.25586444134478392</v>
      </c>
      <c r="S193" s="8">
        <f>bdrate(C193:C196,F193:F196,J193:J196,M193:M196)</f>
        <v>-0.23491628504771944</v>
      </c>
      <c r="T193" s="25">
        <f>bdrate(C193:C196,H193:H196,J193:J196,O193:O196)</f>
        <v>-0.36024744831979982</v>
      </c>
      <c r="U193" s="28">
        <f t="shared" si="7"/>
        <v>-0.39673392509201127</v>
      </c>
    </row>
    <row r="194" spans="1:21" hidden="1" x14ac:dyDescent="0.25">
      <c r="A194" s="9"/>
      <c r="B194" s="9"/>
      <c r="C194" s="17">
        <v>613.45000000000005</v>
      </c>
      <c r="D194" s="18">
        <v>37.518999999999998</v>
      </c>
      <c r="E194" s="18">
        <v>42.381</v>
      </c>
      <c r="F194" s="18">
        <v>42.811999999999998</v>
      </c>
      <c r="G194" s="18">
        <v>259.07</v>
      </c>
      <c r="H194" s="18">
        <f t="shared" si="5"/>
        <v>38.788375000000002</v>
      </c>
      <c r="I194" s="5"/>
      <c r="J194" s="17">
        <v>515.5308</v>
      </c>
      <c r="K194" s="18">
        <v>38.714100000000002</v>
      </c>
      <c r="L194" s="18">
        <v>42.985300000000002</v>
      </c>
      <c r="M194" s="18">
        <v>43.352800000000002</v>
      </c>
      <c r="N194" s="18">
        <v>166.52789999999999</v>
      </c>
      <c r="O194" s="18">
        <f t="shared" si="6"/>
        <v>39.827837500000001</v>
      </c>
      <c r="P194" s="7"/>
      <c r="Q194" s="10"/>
      <c r="R194" s="11"/>
      <c r="S194" s="11"/>
      <c r="T194" s="26"/>
      <c r="U194" s="28">
        <f t="shared" si="7"/>
        <v>-0.35720886246960282</v>
      </c>
    </row>
    <row r="195" spans="1:21" hidden="1" x14ac:dyDescent="0.25">
      <c r="B195" s="9"/>
      <c r="C195" s="17">
        <v>369.02</v>
      </c>
      <c r="D195" s="18">
        <v>34.973999999999997</v>
      </c>
      <c r="E195" s="18">
        <v>40.892000000000003</v>
      </c>
      <c r="F195" s="18">
        <v>41.31</v>
      </c>
      <c r="G195" s="18">
        <v>291.55</v>
      </c>
      <c r="H195" s="18">
        <f t="shared" si="5"/>
        <v>36.505749999999999</v>
      </c>
      <c r="I195" s="5"/>
      <c r="J195" s="17">
        <v>309.44220000000001</v>
      </c>
      <c r="K195" s="18">
        <v>36.503599999999999</v>
      </c>
      <c r="L195" s="18">
        <v>41.205599999999997</v>
      </c>
      <c r="M195" s="18">
        <v>41.532299999999999</v>
      </c>
      <c r="N195" s="18">
        <v>206.8252</v>
      </c>
      <c r="O195" s="18">
        <f t="shared" si="6"/>
        <v>37.7199375</v>
      </c>
      <c r="P195" s="7"/>
      <c r="Q195" s="10"/>
      <c r="R195" s="11"/>
      <c r="S195" s="11"/>
      <c r="T195" s="26"/>
      <c r="U195" s="28">
        <f t="shared" si="7"/>
        <v>-0.29060126907906025</v>
      </c>
    </row>
    <row r="196" spans="1:21" ht="16.5" hidden="1" thickBot="1" x14ac:dyDescent="0.3">
      <c r="B196" s="12"/>
      <c r="C196" s="19">
        <v>184.31</v>
      </c>
      <c r="D196" s="20">
        <v>30.88</v>
      </c>
      <c r="E196" s="20">
        <v>39.136000000000003</v>
      </c>
      <c r="F196" s="20">
        <v>39.527999999999999</v>
      </c>
      <c r="G196" s="20">
        <v>341.88</v>
      </c>
      <c r="H196" s="20">
        <f t="shared" si="5"/>
        <v>32.993000000000002</v>
      </c>
      <c r="I196" s="5"/>
      <c r="J196" s="19">
        <v>154.69739999999999</v>
      </c>
      <c r="K196" s="20">
        <v>33.353000000000002</v>
      </c>
      <c r="L196" s="20">
        <v>39.14</v>
      </c>
      <c r="M196" s="20">
        <v>39.401000000000003</v>
      </c>
      <c r="N196" s="20">
        <v>278.74560000000002</v>
      </c>
      <c r="O196" s="20">
        <f t="shared" si="6"/>
        <v>34.832374999999999</v>
      </c>
      <c r="P196" s="7"/>
      <c r="Q196" s="13"/>
      <c r="R196" s="14"/>
      <c r="S196" s="14"/>
      <c r="T196" s="27"/>
      <c r="U196" s="28">
        <f t="shared" si="7"/>
        <v>-0.18466830466830458</v>
      </c>
    </row>
    <row r="197" spans="1:21" hidden="1" x14ac:dyDescent="0.25">
      <c r="B197" s="6" t="s">
        <v>78</v>
      </c>
      <c r="C197" s="15">
        <v>1021.55</v>
      </c>
      <c r="D197" s="16">
        <v>42.267000000000003</v>
      </c>
      <c r="E197" s="16">
        <v>46.372999999999998</v>
      </c>
      <c r="F197" s="16">
        <v>47.087000000000003</v>
      </c>
      <c r="G197" s="16">
        <v>281.89</v>
      </c>
      <c r="H197" s="16">
        <f t="shared" si="5"/>
        <v>43.382750000000001</v>
      </c>
      <c r="I197" s="5"/>
      <c r="J197" s="15">
        <v>848.65139999999997</v>
      </c>
      <c r="K197" s="16">
        <v>42.697000000000003</v>
      </c>
      <c r="L197" s="16">
        <v>47.475200000000001</v>
      </c>
      <c r="M197" s="16">
        <v>48.076300000000003</v>
      </c>
      <c r="N197" s="16">
        <v>181.81819999999999</v>
      </c>
      <c r="O197" s="16">
        <f t="shared" si="6"/>
        <v>43.966687499999999</v>
      </c>
      <c r="P197" s="7"/>
      <c r="Q197" s="8">
        <f>bdrate(C197:C200,D197:D200,J197:J200,K197:K200)</f>
        <v>-0.3085892053901963</v>
      </c>
      <c r="R197" s="8">
        <f>bdrate(C197:C200,E197:E200,J197:J200,L197:L200)</f>
        <v>-0.42031232782686478</v>
      </c>
      <c r="S197" s="8">
        <f>bdrate(C197:C200,F197:F200,J197:J200,M197:M200)</f>
        <v>-0.40576303728284113</v>
      </c>
      <c r="T197" s="25">
        <f>bdrate(C197:C200,H197:H200,J197:J200,O197:O200)</f>
        <v>-0.33345908823384973</v>
      </c>
      <c r="U197" s="28">
        <f t="shared" si="7"/>
        <v>-0.35500301536060164</v>
      </c>
    </row>
    <row r="198" spans="1:21" hidden="1" x14ac:dyDescent="0.25">
      <c r="B198" s="9"/>
      <c r="C198" s="17">
        <v>634.14</v>
      </c>
      <c r="D198" s="18">
        <v>40.744</v>
      </c>
      <c r="E198" s="18">
        <v>44.904000000000003</v>
      </c>
      <c r="F198" s="18">
        <v>45.814</v>
      </c>
      <c r="G198" s="18">
        <v>328.68</v>
      </c>
      <c r="H198" s="18">
        <f t="shared" si="5"/>
        <v>41.897750000000002</v>
      </c>
      <c r="I198" s="5"/>
      <c r="J198" s="17">
        <v>535.92539999999997</v>
      </c>
      <c r="K198" s="18">
        <v>41.292200000000001</v>
      </c>
      <c r="L198" s="18">
        <v>46.157499999999999</v>
      </c>
      <c r="M198" s="18">
        <v>46.872900000000001</v>
      </c>
      <c r="N198" s="18">
        <v>226.886</v>
      </c>
      <c r="O198" s="18">
        <f t="shared" si="6"/>
        <v>42.597950000000004</v>
      </c>
      <c r="P198" s="7"/>
      <c r="Q198" s="10"/>
      <c r="R198" s="11"/>
      <c r="S198" s="11"/>
      <c r="T198" s="26"/>
      <c r="U198" s="28">
        <f t="shared" si="7"/>
        <v>-0.30970548862115133</v>
      </c>
    </row>
    <row r="199" spans="1:21" hidden="1" x14ac:dyDescent="0.25">
      <c r="B199" s="9"/>
      <c r="C199" s="17">
        <v>377.11</v>
      </c>
      <c r="D199" s="18">
        <v>38.646999999999998</v>
      </c>
      <c r="E199" s="18">
        <v>43.156999999999996</v>
      </c>
      <c r="F199" s="18">
        <v>44.112000000000002</v>
      </c>
      <c r="G199" s="18">
        <v>377</v>
      </c>
      <c r="H199" s="18">
        <f t="shared" si="5"/>
        <v>39.893875000000001</v>
      </c>
      <c r="I199" s="5"/>
      <c r="J199" s="17">
        <v>320.76960000000003</v>
      </c>
      <c r="K199" s="18">
        <v>39.474400000000003</v>
      </c>
      <c r="L199" s="18">
        <v>44.423099999999998</v>
      </c>
      <c r="M199" s="18">
        <v>45.255000000000003</v>
      </c>
      <c r="N199" s="18">
        <v>281.69009999999997</v>
      </c>
      <c r="O199" s="18">
        <f t="shared" si="6"/>
        <v>40.815562499999999</v>
      </c>
      <c r="P199" s="7"/>
      <c r="Q199" s="10"/>
      <c r="R199" s="11"/>
      <c r="S199" s="11"/>
      <c r="T199" s="26"/>
      <c r="U199" s="28">
        <f t="shared" si="7"/>
        <v>-0.25281140583554385</v>
      </c>
    </row>
    <row r="200" spans="1:21" ht="16.5" hidden="1" thickBot="1" x14ac:dyDescent="0.3">
      <c r="B200" s="12"/>
      <c r="C200" s="19">
        <v>187.22</v>
      </c>
      <c r="D200" s="20">
        <v>35.409999999999997</v>
      </c>
      <c r="E200" s="20">
        <v>41.058999999999997</v>
      </c>
      <c r="F200" s="20">
        <v>42.015999999999998</v>
      </c>
      <c r="G200" s="20">
        <v>420.61</v>
      </c>
      <c r="H200" s="20">
        <f t="shared" si="5"/>
        <v>36.941874999999996</v>
      </c>
      <c r="I200" s="5"/>
      <c r="J200" s="19">
        <v>157.61160000000001</v>
      </c>
      <c r="K200" s="20">
        <v>36.780200000000001</v>
      </c>
      <c r="L200" s="20">
        <v>42.071199999999997</v>
      </c>
      <c r="M200" s="20">
        <v>42.9876</v>
      </c>
      <c r="N200" s="20">
        <v>371.74720000000002</v>
      </c>
      <c r="O200" s="20">
        <f t="shared" si="6"/>
        <v>38.217499999999994</v>
      </c>
      <c r="P200" s="7"/>
      <c r="Q200" s="13"/>
      <c r="R200" s="14"/>
      <c r="S200" s="14"/>
      <c r="T200" s="27"/>
      <c r="U200" s="28">
        <f t="shared" si="7"/>
        <v>-0.11617127505289934</v>
      </c>
    </row>
    <row r="201" spans="1:21" hidden="1" x14ac:dyDescent="0.25">
      <c r="B201" s="6" t="s">
        <v>79</v>
      </c>
      <c r="C201" s="15">
        <v>1295.3499999999999</v>
      </c>
      <c r="D201" s="16">
        <v>40.582000000000001</v>
      </c>
      <c r="E201" s="16">
        <v>46.924999999999997</v>
      </c>
      <c r="F201" s="16">
        <v>46.735999999999997</v>
      </c>
      <c r="G201" s="16">
        <v>207.36</v>
      </c>
      <c r="H201" s="16">
        <f t="shared" si="5"/>
        <v>42.144125000000003</v>
      </c>
      <c r="I201" s="5"/>
      <c r="J201" s="15">
        <v>1028.8271999999999</v>
      </c>
      <c r="K201" s="16">
        <v>41.129300000000001</v>
      </c>
      <c r="L201" s="16">
        <v>47.6616</v>
      </c>
      <c r="M201" s="16">
        <v>47.286499999999997</v>
      </c>
      <c r="N201" s="16">
        <v>143.709</v>
      </c>
      <c r="O201" s="16">
        <f t="shared" si="6"/>
        <v>42.715487500000002</v>
      </c>
      <c r="P201" s="7"/>
      <c r="Q201" s="8">
        <f>bdrate(C201:C204,D201:D204,J201:J204,K201:K204)</f>
        <v>-0.4013051319707116</v>
      </c>
      <c r="R201" s="8">
        <f>bdrate(C201:C204,E201:E204,J201:J204,L201:L204)</f>
        <v>-0.40752688837841677</v>
      </c>
      <c r="S201" s="8">
        <f>bdrate(C201:C204,F201:F204,J201:J204,M201:M204)</f>
        <v>-0.42591319510362735</v>
      </c>
      <c r="T201" s="25">
        <f>bdrate(C201:C204,H201:H204,J201:J204,O201:O204)</f>
        <v>-0.4043778042977012</v>
      </c>
      <c r="U201" s="28">
        <f t="shared" si="7"/>
        <v>-0.30695891203703707</v>
      </c>
    </row>
    <row r="202" spans="1:21" hidden="1" x14ac:dyDescent="0.25">
      <c r="B202" s="9"/>
      <c r="C202" s="17">
        <v>775.63</v>
      </c>
      <c r="D202" s="18">
        <v>39.570999999999998</v>
      </c>
      <c r="E202" s="18">
        <v>46.390999999999998</v>
      </c>
      <c r="F202" s="18">
        <v>46.261000000000003</v>
      </c>
      <c r="G202" s="18">
        <v>234.95</v>
      </c>
      <c r="H202" s="18">
        <f t="shared" si="5"/>
        <v>41.259750000000004</v>
      </c>
      <c r="I202" s="5"/>
      <c r="J202" s="17">
        <v>615.65449999999998</v>
      </c>
      <c r="K202" s="18">
        <v>40.2087</v>
      </c>
      <c r="L202" s="18">
        <v>46.896099999999997</v>
      </c>
      <c r="M202" s="18">
        <v>46.630800000000001</v>
      </c>
      <c r="N202" s="18">
        <v>183.37450000000001</v>
      </c>
      <c r="O202" s="18">
        <f t="shared" si="6"/>
        <v>41.847387500000004</v>
      </c>
      <c r="P202" s="7"/>
      <c r="Q202" s="10"/>
      <c r="R202" s="11"/>
      <c r="S202" s="11"/>
      <c r="T202" s="26"/>
      <c r="U202" s="28">
        <f t="shared" si="7"/>
        <v>-0.21951691849329635</v>
      </c>
    </row>
    <row r="203" spans="1:21" hidden="1" x14ac:dyDescent="0.25">
      <c r="B203" s="9"/>
      <c r="C203" s="17">
        <v>516.33000000000004</v>
      </c>
      <c r="D203" s="18">
        <v>38.542000000000002</v>
      </c>
      <c r="E203" s="18">
        <v>45.774999999999999</v>
      </c>
      <c r="F203" s="18">
        <v>45.697000000000003</v>
      </c>
      <c r="G203" s="18">
        <v>258.51</v>
      </c>
      <c r="H203" s="18">
        <f t="shared" si="5"/>
        <v>40.340499999999999</v>
      </c>
      <c r="I203" s="5"/>
      <c r="J203" s="17">
        <v>409.69670000000002</v>
      </c>
      <c r="K203" s="18">
        <v>39.284500000000001</v>
      </c>
      <c r="L203" s="18">
        <v>46.288200000000003</v>
      </c>
      <c r="M203" s="18">
        <v>46.181699999999999</v>
      </c>
      <c r="N203" s="18">
        <v>209.47409999999999</v>
      </c>
      <c r="O203" s="18">
        <f t="shared" si="6"/>
        <v>41.022112499999999</v>
      </c>
      <c r="P203" s="7"/>
      <c r="Q203" s="10"/>
      <c r="R203" s="11"/>
      <c r="S203" s="11"/>
      <c r="T203" s="26"/>
      <c r="U203" s="28">
        <f t="shared" si="7"/>
        <v>-0.1896866658930022</v>
      </c>
    </row>
    <row r="204" spans="1:21" ht="16.5" hidden="1" thickBot="1" x14ac:dyDescent="0.3">
      <c r="B204" s="12"/>
      <c r="C204" s="19">
        <v>257.01</v>
      </c>
      <c r="D204" s="20">
        <v>35.927999999999997</v>
      </c>
      <c r="E204" s="20">
        <v>44.360999999999997</v>
      </c>
      <c r="F204" s="20">
        <v>44.332000000000001</v>
      </c>
      <c r="G204" s="20">
        <v>290.10000000000002</v>
      </c>
      <c r="H204" s="20">
        <f t="shared" si="5"/>
        <v>38.032624999999996</v>
      </c>
      <c r="I204" s="5"/>
      <c r="J204" s="19">
        <v>204.59979999999999</v>
      </c>
      <c r="K204" s="20">
        <v>37.087299999999999</v>
      </c>
      <c r="L204" s="20">
        <v>44.756900000000002</v>
      </c>
      <c r="M204" s="20">
        <v>44.883099999999999</v>
      </c>
      <c r="N204" s="20">
        <v>257.47859999999997</v>
      </c>
      <c r="O204" s="20">
        <f t="shared" si="6"/>
        <v>39.020475000000005</v>
      </c>
      <c r="P204" s="7"/>
      <c r="Q204" s="13"/>
      <c r="R204" s="14"/>
      <c r="S204" s="14"/>
      <c r="T204" s="27"/>
      <c r="U204" s="28">
        <f t="shared" si="7"/>
        <v>-0.11244881075491227</v>
      </c>
    </row>
    <row r="205" spans="1:21" hidden="1" x14ac:dyDescent="0.25">
      <c r="B205" s="6" t="s">
        <v>80</v>
      </c>
      <c r="C205" s="15">
        <v>1297.07</v>
      </c>
      <c r="D205" s="16">
        <v>38.942</v>
      </c>
      <c r="E205" s="16">
        <v>46.091999999999999</v>
      </c>
      <c r="F205" s="16">
        <v>45.889000000000003</v>
      </c>
      <c r="G205" s="16">
        <v>138.1</v>
      </c>
      <c r="H205" s="16">
        <f t="shared" si="5"/>
        <v>40.704124999999998</v>
      </c>
      <c r="I205" s="5"/>
      <c r="J205" s="15">
        <v>1025.9935</v>
      </c>
      <c r="K205" s="16">
        <v>39.848599999999998</v>
      </c>
      <c r="L205" s="16">
        <v>46.229900000000001</v>
      </c>
      <c r="M205" s="16">
        <v>46.058100000000003</v>
      </c>
      <c r="N205" s="16">
        <v>101.4061</v>
      </c>
      <c r="O205" s="16">
        <f t="shared" si="6"/>
        <v>41.422449999999998</v>
      </c>
      <c r="P205" s="7"/>
      <c r="Q205" s="8">
        <f>bdrate(C205:C208,D205:D208,J205:J208,K205:K208)</f>
        <v>-0.45347497326593278</v>
      </c>
      <c r="R205" s="8">
        <f>bdrate(C205:C208,E205:E208,J205:J208,L205:L208)</f>
        <v>-0.35824591010170881</v>
      </c>
      <c r="S205" s="8">
        <f>bdrate(C205:C208,F205:F208,J205:J208,M205:M208)</f>
        <v>-0.35567592280066618</v>
      </c>
      <c r="T205" s="25">
        <f>bdrate(C205:C208,H205:H208,J205:J208,O205:O208)</f>
        <v>-0.43940145967665312</v>
      </c>
      <c r="U205" s="28">
        <f t="shared" si="7"/>
        <v>-0.26570528602461985</v>
      </c>
    </row>
    <row r="206" spans="1:21" hidden="1" x14ac:dyDescent="0.25">
      <c r="B206" s="9"/>
      <c r="C206" s="17">
        <v>773.4</v>
      </c>
      <c r="D206" s="18">
        <v>36.881</v>
      </c>
      <c r="E206" s="18">
        <v>44.853000000000002</v>
      </c>
      <c r="F206" s="18">
        <v>44.725999999999999</v>
      </c>
      <c r="G206" s="18">
        <v>159.04</v>
      </c>
      <c r="H206" s="18">
        <f t="shared" si="5"/>
        <v>38.858125000000001</v>
      </c>
      <c r="I206" s="5"/>
      <c r="J206" s="17">
        <v>614.28269999999998</v>
      </c>
      <c r="K206" s="18">
        <v>38.133499999999998</v>
      </c>
      <c r="L206" s="18">
        <v>45.241999999999997</v>
      </c>
      <c r="M206" s="18">
        <v>45.132100000000001</v>
      </c>
      <c r="N206" s="18">
        <v>126.8634</v>
      </c>
      <c r="O206" s="18">
        <f t="shared" si="6"/>
        <v>39.896887499999998</v>
      </c>
      <c r="P206" s="7"/>
      <c r="Q206" s="10"/>
      <c r="R206" s="11"/>
      <c r="S206" s="11"/>
      <c r="T206" s="26"/>
      <c r="U206" s="28">
        <f t="shared" si="7"/>
        <v>-0.20231765593561366</v>
      </c>
    </row>
    <row r="207" spans="1:21" hidden="1" x14ac:dyDescent="0.25">
      <c r="B207" s="9"/>
      <c r="C207" s="17">
        <v>512.34</v>
      </c>
      <c r="D207" s="18">
        <v>35.06</v>
      </c>
      <c r="E207" s="18">
        <v>43.8</v>
      </c>
      <c r="F207" s="18">
        <v>43.783000000000001</v>
      </c>
      <c r="G207" s="18">
        <v>175.39</v>
      </c>
      <c r="H207" s="18">
        <f t="shared" si="5"/>
        <v>37.242875000000005</v>
      </c>
      <c r="I207" s="5"/>
      <c r="J207" s="17">
        <v>409.41829999999999</v>
      </c>
      <c r="K207" s="18">
        <v>36.71</v>
      </c>
      <c r="L207" s="18">
        <v>44.357100000000003</v>
      </c>
      <c r="M207" s="18">
        <v>44.2699</v>
      </c>
      <c r="N207" s="18">
        <v>148.6463</v>
      </c>
      <c r="O207" s="18">
        <f t="shared" si="6"/>
        <v>38.610875</v>
      </c>
      <c r="P207" s="7"/>
      <c r="Q207" s="10"/>
      <c r="R207" s="11"/>
      <c r="S207" s="11"/>
      <c r="T207" s="26"/>
      <c r="U207" s="28">
        <f t="shared" si="7"/>
        <v>-0.15248132732766972</v>
      </c>
    </row>
    <row r="208" spans="1:21" ht="16.5" hidden="1" thickBot="1" x14ac:dyDescent="0.3">
      <c r="B208" s="12"/>
      <c r="C208" s="19">
        <v>253.68</v>
      </c>
      <c r="D208" s="20">
        <v>31.54</v>
      </c>
      <c r="E208" s="20">
        <v>42.003999999999998</v>
      </c>
      <c r="F208" s="20">
        <v>42.075000000000003</v>
      </c>
      <c r="G208" s="20">
        <v>204.27</v>
      </c>
      <c r="H208" s="20">
        <f t="shared" si="5"/>
        <v>34.164875000000002</v>
      </c>
      <c r="I208" s="5"/>
      <c r="J208" s="19">
        <v>203.7758</v>
      </c>
      <c r="K208" s="20">
        <v>33.9998</v>
      </c>
      <c r="L208" s="20">
        <v>43.033700000000003</v>
      </c>
      <c r="M208" s="20">
        <v>42.892699999999998</v>
      </c>
      <c r="N208" s="20">
        <v>202.76390000000001</v>
      </c>
      <c r="O208" s="20">
        <f t="shared" si="6"/>
        <v>36.240650000000002</v>
      </c>
      <c r="P208" s="7"/>
      <c r="Q208" s="13"/>
      <c r="R208" s="14"/>
      <c r="S208" s="14"/>
      <c r="T208" s="27"/>
      <c r="U208" s="28">
        <f t="shared" si="7"/>
        <v>-7.3730846428746435E-3</v>
      </c>
    </row>
    <row r="209" spans="2:21" hidden="1" x14ac:dyDescent="0.25">
      <c r="B209" s="6" t="s">
        <v>81</v>
      </c>
      <c r="C209" s="15">
        <v>1465.54</v>
      </c>
      <c r="D209" s="16">
        <v>42.173999999999999</v>
      </c>
      <c r="E209" s="16">
        <v>43.865000000000002</v>
      </c>
      <c r="F209" s="16">
        <v>44.262</v>
      </c>
      <c r="G209" s="16">
        <v>172.29</v>
      </c>
      <c r="H209" s="16">
        <f t="shared" si="5"/>
        <v>42.646374999999999</v>
      </c>
      <c r="I209" s="5"/>
      <c r="J209" s="15">
        <v>1030.8688</v>
      </c>
      <c r="K209" s="16">
        <v>41.843499999999999</v>
      </c>
      <c r="L209" s="16">
        <v>43.696899999999999</v>
      </c>
      <c r="M209" s="16">
        <v>44.057299999999998</v>
      </c>
      <c r="N209" s="16">
        <v>105.08620000000001</v>
      </c>
      <c r="O209" s="16">
        <f t="shared" si="6"/>
        <v>42.351899999999993</v>
      </c>
      <c r="P209" s="7"/>
      <c r="Q209" s="8">
        <f>bdrate(C209:C212,D209:D212,J209:J212,K209:K212)</f>
        <v>-0.34803004718671005</v>
      </c>
      <c r="R209" s="8">
        <f>bdrate(C209:C212,E209:E212,J209:J212,L209:L212)</f>
        <v>-0.30357312834070804</v>
      </c>
      <c r="S209" s="8">
        <f>bdrate(C209:C212,F209:F212,J209:J212,M209:M212)</f>
        <v>-0.29326977878468441</v>
      </c>
      <c r="T209" s="25">
        <f>bdrate(C209:C212,H209:H212,J209:J212,O209:O212)</f>
        <v>-0.34105140661571498</v>
      </c>
      <c r="U209" s="28">
        <f t="shared" si="7"/>
        <v>-0.39006210459109636</v>
      </c>
    </row>
    <row r="210" spans="2:21" hidden="1" x14ac:dyDescent="0.25">
      <c r="B210" s="9"/>
      <c r="C210" s="17">
        <v>881.25</v>
      </c>
      <c r="D210" s="18">
        <v>39.524000000000001</v>
      </c>
      <c r="E210" s="18">
        <v>42.110999999999997</v>
      </c>
      <c r="F210" s="18">
        <v>42.454999999999998</v>
      </c>
      <c r="G210" s="18">
        <v>197.86</v>
      </c>
      <c r="H210" s="18">
        <f t="shared" si="5"/>
        <v>40.213749999999997</v>
      </c>
      <c r="I210" s="5"/>
      <c r="J210" s="17">
        <v>619.81719999999996</v>
      </c>
      <c r="K210" s="18">
        <v>39.597499999999997</v>
      </c>
      <c r="L210" s="18">
        <v>42.135899999999999</v>
      </c>
      <c r="M210" s="18">
        <v>42.4465</v>
      </c>
      <c r="N210" s="18">
        <v>130.31010000000001</v>
      </c>
      <c r="O210" s="18">
        <f t="shared" si="6"/>
        <v>40.270924999999998</v>
      </c>
      <c r="P210" s="7"/>
      <c r="Q210" s="10"/>
      <c r="R210" s="11"/>
      <c r="S210" s="11"/>
      <c r="T210" s="26"/>
      <c r="U210" s="28">
        <f t="shared" si="7"/>
        <v>-0.34140250682300616</v>
      </c>
    </row>
    <row r="211" spans="2:21" hidden="1" x14ac:dyDescent="0.25">
      <c r="B211" s="9"/>
      <c r="C211" s="17">
        <v>586.71</v>
      </c>
      <c r="D211" s="18">
        <v>37.249000000000002</v>
      </c>
      <c r="E211" s="18">
        <v>40.823</v>
      </c>
      <c r="F211" s="18">
        <v>41.101999999999997</v>
      </c>
      <c r="G211" s="18">
        <v>213.68</v>
      </c>
      <c r="H211" s="18">
        <f t="shared" si="5"/>
        <v>38.177374999999998</v>
      </c>
      <c r="I211" s="5"/>
      <c r="J211" s="17">
        <v>412.16160000000002</v>
      </c>
      <c r="K211" s="18">
        <v>37.762900000000002</v>
      </c>
      <c r="L211" s="18">
        <v>40.945799999999998</v>
      </c>
      <c r="M211" s="18">
        <v>41.177100000000003</v>
      </c>
      <c r="N211" s="18">
        <v>154.08320000000001</v>
      </c>
      <c r="O211" s="18">
        <f t="shared" si="6"/>
        <v>38.587537500000003</v>
      </c>
      <c r="P211" s="7"/>
      <c r="Q211" s="10"/>
      <c r="R211" s="11"/>
      <c r="S211" s="11"/>
      <c r="T211" s="26"/>
      <c r="U211" s="28">
        <f t="shared" si="7"/>
        <v>-0.27890677648820666</v>
      </c>
    </row>
    <row r="212" spans="2:21" ht="16.5" hidden="1" thickBot="1" x14ac:dyDescent="0.3">
      <c r="B212" s="12"/>
      <c r="C212" s="19">
        <v>293.74</v>
      </c>
      <c r="D212" s="20">
        <v>32.963000000000001</v>
      </c>
      <c r="E212" s="20">
        <v>38.826999999999998</v>
      </c>
      <c r="F212" s="20">
        <v>38.984999999999999</v>
      </c>
      <c r="G212" s="20">
        <v>250.38</v>
      </c>
      <c r="H212" s="20">
        <f t="shared" si="5"/>
        <v>34.448750000000004</v>
      </c>
      <c r="I212" s="5"/>
      <c r="J212" s="19">
        <v>205.28479999999999</v>
      </c>
      <c r="K212" s="20">
        <v>34.342500000000001</v>
      </c>
      <c r="L212" s="20">
        <v>38.723799999999997</v>
      </c>
      <c r="M212" s="20">
        <v>38.796900000000001</v>
      </c>
      <c r="N212" s="20">
        <v>208.15989999999999</v>
      </c>
      <c r="O212" s="20">
        <f t="shared" si="6"/>
        <v>35.446962499999998</v>
      </c>
      <c r="P212" s="7"/>
      <c r="Q212" s="13"/>
      <c r="R212" s="14"/>
      <c r="S212" s="14"/>
      <c r="T212" s="27"/>
      <c r="U212" s="28">
        <f t="shared" si="7"/>
        <v>-0.16862409138110074</v>
      </c>
    </row>
    <row r="213" spans="2:21" hidden="1" x14ac:dyDescent="0.25">
      <c r="B213" s="6" t="s">
        <v>82</v>
      </c>
      <c r="C213" s="29">
        <v>1254.79</v>
      </c>
      <c r="D213" s="30">
        <v>40.079000000000001</v>
      </c>
      <c r="E213" s="30">
        <v>43.265000000000001</v>
      </c>
      <c r="F213" s="30">
        <v>44.106000000000002</v>
      </c>
      <c r="G213" s="16">
        <v>210.79</v>
      </c>
      <c r="H213" s="16">
        <f t="shared" si="5"/>
        <v>40.980624999999996</v>
      </c>
      <c r="I213" s="5"/>
      <c r="J213" s="29">
        <v>1031.5239999999999</v>
      </c>
      <c r="K213" s="30">
        <v>40.411900000000003</v>
      </c>
      <c r="L213" s="30">
        <v>43.897100000000002</v>
      </c>
      <c r="M213" s="30">
        <v>45.0274</v>
      </c>
      <c r="N213" s="16">
        <v>133.547</v>
      </c>
      <c r="O213" s="16">
        <f t="shared" si="6"/>
        <v>41.424487500000005</v>
      </c>
      <c r="P213" s="7"/>
      <c r="Q213" s="8">
        <f>bdrate(C213:C216,D213:D216,J213:J216,K213:K216)</f>
        <v>-0.32275022060043579</v>
      </c>
      <c r="R213" s="8">
        <f>bdrate(C213:C216,E213:E216,J213:J216,L213:L216)</f>
        <v>-0.42075609183302043</v>
      </c>
      <c r="S213" s="8">
        <f>bdrate(C213:C216,F213:F216,J213:J216,M213:M216)</f>
        <v>-0.47689989869809357</v>
      </c>
      <c r="T213" s="25">
        <f>bdrate(C213:C216,H213:H216,J213:J216,O213:O216)</f>
        <v>-0.34904509242772797</v>
      </c>
      <c r="U213" s="28">
        <f t="shared" si="7"/>
        <v>-0.36644527729019405</v>
      </c>
    </row>
    <row r="214" spans="2:21" hidden="1" x14ac:dyDescent="0.25">
      <c r="B214" s="9"/>
      <c r="C214" s="31">
        <v>762.12</v>
      </c>
      <c r="D214" s="32">
        <v>38.738999999999997</v>
      </c>
      <c r="E214" s="32">
        <v>42.421999999999997</v>
      </c>
      <c r="F214" s="32">
        <v>43.082000000000001</v>
      </c>
      <c r="G214" s="18">
        <v>242.84</v>
      </c>
      <c r="H214" s="18">
        <f t="shared" si="5"/>
        <v>39.742249999999999</v>
      </c>
      <c r="I214" s="5"/>
      <c r="J214" s="31">
        <v>621.32960000000003</v>
      </c>
      <c r="K214" s="32">
        <v>39.169800000000002</v>
      </c>
      <c r="L214" s="32">
        <v>43.0794</v>
      </c>
      <c r="M214" s="32">
        <v>44.101799999999997</v>
      </c>
      <c r="N214" s="18">
        <v>171.40899999999999</v>
      </c>
      <c r="O214" s="18">
        <f t="shared" si="6"/>
        <v>40.275000000000006</v>
      </c>
      <c r="P214" s="7"/>
      <c r="Q214" s="10"/>
      <c r="R214" s="11"/>
      <c r="S214" s="11"/>
      <c r="T214" s="26"/>
      <c r="U214" s="28">
        <f t="shared" si="7"/>
        <v>-0.29414841047603363</v>
      </c>
    </row>
    <row r="215" spans="2:21" hidden="1" x14ac:dyDescent="0.25">
      <c r="B215" s="9"/>
      <c r="C215" s="31">
        <v>514.20000000000005</v>
      </c>
      <c r="D215" s="32">
        <v>37.482999999999997</v>
      </c>
      <c r="E215" s="32">
        <v>41.642000000000003</v>
      </c>
      <c r="F215" s="32">
        <v>42.186999999999998</v>
      </c>
      <c r="G215" s="18">
        <v>262.74</v>
      </c>
      <c r="H215" s="18">
        <f t="shared" si="5"/>
        <v>38.590874999999997</v>
      </c>
      <c r="I215" s="5"/>
      <c r="J215" s="31">
        <v>409.42680000000001</v>
      </c>
      <c r="K215" s="32">
        <v>38.026899999999998</v>
      </c>
      <c r="L215" s="32">
        <v>42.296900000000001</v>
      </c>
      <c r="M215" s="32">
        <v>43.170999999999999</v>
      </c>
      <c r="N215" s="18">
        <v>202.8398</v>
      </c>
      <c r="O215" s="18">
        <f t="shared" si="6"/>
        <v>39.2036625</v>
      </c>
      <c r="P215" s="7"/>
      <c r="Q215" s="10"/>
      <c r="R215" s="11"/>
      <c r="S215" s="11"/>
      <c r="T215" s="26"/>
      <c r="U215" s="28">
        <f t="shared" si="7"/>
        <v>-0.22798279668112967</v>
      </c>
    </row>
    <row r="216" spans="2:21" ht="16.5" hidden="1" thickBot="1" x14ac:dyDescent="0.3">
      <c r="B216" s="12"/>
      <c r="C216" s="33">
        <v>260.06</v>
      </c>
      <c r="D216" s="34">
        <v>34.732999999999997</v>
      </c>
      <c r="E216" s="34">
        <v>40.14</v>
      </c>
      <c r="F216" s="34">
        <v>40.548999999999999</v>
      </c>
      <c r="G216" s="20">
        <v>302.48</v>
      </c>
      <c r="H216" s="20">
        <f t="shared" si="5"/>
        <v>36.135874999999992</v>
      </c>
      <c r="I216" s="5"/>
      <c r="J216" s="33">
        <v>204.61359999999999</v>
      </c>
      <c r="K216" s="34">
        <v>35.584600000000002</v>
      </c>
      <c r="L216" s="34">
        <v>40.719900000000003</v>
      </c>
      <c r="M216" s="34">
        <v>41.4</v>
      </c>
      <c r="N216" s="20">
        <v>264.83049999999997</v>
      </c>
      <c r="O216" s="20">
        <f t="shared" si="6"/>
        <v>36.9534375</v>
      </c>
      <c r="P216" s="7"/>
      <c r="Q216" s="13"/>
      <c r="R216" s="14"/>
      <c r="S216" s="14"/>
      <c r="T216" s="27"/>
      <c r="U216" s="28">
        <f t="shared" si="7"/>
        <v>-0.12446938640571292</v>
      </c>
    </row>
    <row r="217" spans="2:21" hidden="1" x14ac:dyDescent="0.25">
      <c r="B217" s="6" t="s">
        <v>83</v>
      </c>
      <c r="C217" s="15">
        <v>1433.57</v>
      </c>
      <c r="D217" s="16">
        <v>41.61</v>
      </c>
      <c r="E217" s="16">
        <v>44.899000000000001</v>
      </c>
      <c r="F217" s="16">
        <v>44.975000000000001</v>
      </c>
      <c r="G217" s="16">
        <v>109.27</v>
      </c>
      <c r="H217" s="16">
        <f t="shared" si="5"/>
        <v>42.441749999999999</v>
      </c>
      <c r="I217" s="5"/>
      <c r="J217" s="15">
        <v>1180.2602999999999</v>
      </c>
      <c r="K217" s="16">
        <v>43.197800000000001</v>
      </c>
      <c r="L217" s="16">
        <v>45.444299999999998</v>
      </c>
      <c r="M217" s="16">
        <v>45.401899999999998</v>
      </c>
      <c r="N217" s="16">
        <v>76.7971</v>
      </c>
      <c r="O217" s="16">
        <f t="shared" si="6"/>
        <v>43.754125000000002</v>
      </c>
      <c r="P217" s="7"/>
      <c r="Q217" s="8">
        <f>bdrate(C217:C220,D217:D220,J217:J220,K217:K220)</f>
        <v>-0.5012177510368796</v>
      </c>
      <c r="R217" s="8">
        <f>bdrate(C217:C220,E217:E220,J217:J220,L217:L220)</f>
        <v>-0.40364101590199142</v>
      </c>
      <c r="S217" s="8">
        <f>bdrate(C217:C220,F217:F220,J217:J220,M217:M220)</f>
        <v>-0.36760489046521438</v>
      </c>
      <c r="T217" s="25">
        <f>bdrate(C217:C220,H217:H220,J217:J220,O217:O220)</f>
        <v>-0.48558559970493298</v>
      </c>
      <c r="U217" s="28">
        <f t="shared" si="7"/>
        <v>-0.29718037887800858</v>
      </c>
    </row>
    <row r="218" spans="2:21" hidden="1" x14ac:dyDescent="0.25">
      <c r="B218" s="9"/>
      <c r="C218" s="17">
        <v>960.42</v>
      </c>
      <c r="D218" s="18">
        <v>39.548999999999999</v>
      </c>
      <c r="E218" s="18">
        <v>43.798999999999999</v>
      </c>
      <c r="F218" s="18">
        <v>43.896000000000001</v>
      </c>
      <c r="G218" s="18">
        <v>123.58</v>
      </c>
      <c r="H218" s="18">
        <f t="shared" si="5"/>
        <v>40.623624999999997</v>
      </c>
      <c r="I218" s="5"/>
      <c r="J218" s="17">
        <v>782.3424</v>
      </c>
      <c r="K218" s="18">
        <v>41.632800000000003</v>
      </c>
      <c r="L218" s="18">
        <v>44.502899999999997</v>
      </c>
      <c r="M218" s="18">
        <v>44.4499</v>
      </c>
      <c r="N218" s="18">
        <v>90.700199999999995</v>
      </c>
      <c r="O218" s="18">
        <f t="shared" si="6"/>
        <v>42.343700000000005</v>
      </c>
      <c r="P218" s="7"/>
      <c r="Q218" s="10"/>
      <c r="R218" s="11"/>
      <c r="S218" s="11"/>
      <c r="T218" s="26"/>
      <c r="U218" s="28">
        <f t="shared" si="7"/>
        <v>-0.26606085127043216</v>
      </c>
    </row>
    <row r="219" spans="2:21" hidden="1" x14ac:dyDescent="0.25">
      <c r="B219" s="9"/>
      <c r="C219" s="17">
        <v>605.11</v>
      </c>
      <c r="D219" s="18">
        <v>36.93</v>
      </c>
      <c r="E219" s="18">
        <v>42.530999999999999</v>
      </c>
      <c r="F219" s="18">
        <v>42.604999999999997</v>
      </c>
      <c r="G219" s="18">
        <v>136.19</v>
      </c>
      <c r="H219" s="18">
        <f t="shared" si="5"/>
        <v>38.339500000000001</v>
      </c>
      <c r="I219" s="5"/>
      <c r="J219" s="17">
        <v>487.7989</v>
      </c>
      <c r="K219" s="18">
        <v>39.608400000000003</v>
      </c>
      <c r="L219" s="18">
        <v>43.391399999999997</v>
      </c>
      <c r="M219" s="18">
        <v>43.3172</v>
      </c>
      <c r="N219" s="18">
        <v>111.276</v>
      </c>
      <c r="O219" s="18">
        <f t="shared" si="6"/>
        <v>40.544875000000005</v>
      </c>
      <c r="P219" s="7"/>
      <c r="Q219" s="10"/>
      <c r="R219" s="11"/>
      <c r="S219" s="11"/>
      <c r="T219" s="26"/>
      <c r="U219" s="28">
        <f t="shared" si="7"/>
        <v>-0.18293560466994641</v>
      </c>
    </row>
    <row r="220" spans="2:21" ht="16.5" hidden="1" thickBot="1" x14ac:dyDescent="0.3">
      <c r="B220" s="12"/>
      <c r="C220" s="19">
        <v>367.67</v>
      </c>
      <c r="D220" s="20">
        <v>33.86</v>
      </c>
      <c r="E220" s="20">
        <v>41.1</v>
      </c>
      <c r="F220" s="20">
        <v>41.231999999999999</v>
      </c>
      <c r="G220" s="20">
        <v>150.24</v>
      </c>
      <c r="H220" s="20">
        <f t="shared" si="5"/>
        <v>35.686499999999995</v>
      </c>
      <c r="I220" s="5"/>
      <c r="J220" s="19">
        <v>294.04270000000002</v>
      </c>
      <c r="K220" s="20">
        <v>37.2562</v>
      </c>
      <c r="L220" s="20">
        <v>42.147100000000002</v>
      </c>
      <c r="M220" s="20">
        <v>42.085799999999999</v>
      </c>
      <c r="N220" s="20">
        <v>136.19030000000001</v>
      </c>
      <c r="O220" s="20">
        <f t="shared" si="6"/>
        <v>38.471262500000002</v>
      </c>
      <c r="P220" s="7"/>
      <c r="Q220" s="13"/>
      <c r="R220" s="14"/>
      <c r="S220" s="14"/>
      <c r="T220" s="27"/>
      <c r="U220" s="28">
        <f t="shared" si="7"/>
        <v>-9.3515042598509054E-2</v>
      </c>
    </row>
    <row r="221" spans="2:21" hidden="1" x14ac:dyDescent="0.25">
      <c r="B221" s="6" t="s">
        <v>84</v>
      </c>
      <c r="C221" s="15">
        <v>2207.1</v>
      </c>
      <c r="D221" s="16">
        <v>49.6</v>
      </c>
      <c r="E221" s="16">
        <v>51.26</v>
      </c>
      <c r="F221" s="16">
        <v>51.372999999999998</v>
      </c>
      <c r="G221" s="16">
        <v>83.67</v>
      </c>
      <c r="H221" s="16">
        <f t="shared" si="5"/>
        <v>50.029125000000001</v>
      </c>
      <c r="I221" s="5"/>
      <c r="J221" s="15">
        <v>1608.1981000000001</v>
      </c>
      <c r="K221" s="16">
        <v>47.758200000000002</v>
      </c>
      <c r="L221" s="16">
        <v>49.831099999999999</v>
      </c>
      <c r="M221" s="16">
        <v>49.9574</v>
      </c>
      <c r="N221" s="16">
        <v>72.578299999999999</v>
      </c>
      <c r="O221" s="16">
        <f t="shared" si="6"/>
        <v>48.292212500000005</v>
      </c>
      <c r="P221" s="7"/>
      <c r="Q221" s="8">
        <f>bdrate(C221:C224,D221:D224,J221:J224,K221:K224)</f>
        <v>-8.6706647386194713E-2</v>
      </c>
      <c r="R221" s="8">
        <f>bdrate(C221:C224,E221:E224,J221:J224,L221:L224)</f>
        <v>-9.2463725395846907E-2</v>
      </c>
      <c r="S221" s="8">
        <f>bdrate(C221:C224,F221:F224,J221:J224,M221:M224)</f>
        <v>-0.10685779255318972</v>
      </c>
      <c r="T221" s="25">
        <f>bdrate(C221:C224,H221:H224,J221:J224,O221:O224)</f>
        <v>-8.9653253007998646E-2</v>
      </c>
      <c r="U221" s="28">
        <f t="shared" si="7"/>
        <v>-0.13256483805426081</v>
      </c>
    </row>
    <row r="222" spans="2:21" hidden="1" x14ac:dyDescent="0.25">
      <c r="B222" s="9"/>
      <c r="C222" s="17">
        <v>1489.2</v>
      </c>
      <c r="D222" s="18">
        <v>47.317</v>
      </c>
      <c r="E222" s="18">
        <v>49.421999999999997</v>
      </c>
      <c r="F222" s="18">
        <v>49.58</v>
      </c>
      <c r="G222" s="18">
        <v>95.79</v>
      </c>
      <c r="H222" s="18">
        <f t="shared" si="5"/>
        <v>47.862999999999992</v>
      </c>
      <c r="I222" s="5"/>
      <c r="J222" s="17">
        <v>1079.0923</v>
      </c>
      <c r="K222" s="18">
        <v>45.77</v>
      </c>
      <c r="L222" s="18">
        <v>48.088799999999999</v>
      </c>
      <c r="M222" s="18">
        <v>48.272199999999998</v>
      </c>
      <c r="N222" s="18">
        <v>86.381100000000004</v>
      </c>
      <c r="O222" s="18">
        <f t="shared" si="6"/>
        <v>46.372624999999999</v>
      </c>
      <c r="P222" s="7"/>
      <c r="Q222" s="10"/>
      <c r="R222" s="11"/>
      <c r="S222" s="11"/>
      <c r="T222" s="26"/>
      <c r="U222" s="28">
        <f t="shared" si="7"/>
        <v>-9.8224240526150974E-2</v>
      </c>
    </row>
    <row r="223" spans="2:21" hidden="1" x14ac:dyDescent="0.25">
      <c r="B223" s="9"/>
      <c r="C223" s="17">
        <v>895.2</v>
      </c>
      <c r="D223" s="18">
        <v>44.296999999999997</v>
      </c>
      <c r="E223" s="18">
        <v>46.69</v>
      </c>
      <c r="F223" s="18">
        <v>46.825000000000003</v>
      </c>
      <c r="G223" s="18">
        <v>105.98</v>
      </c>
      <c r="H223" s="18">
        <f t="shared" si="5"/>
        <v>44.912124999999996</v>
      </c>
      <c r="I223" s="5"/>
      <c r="J223" s="17">
        <v>649.95349999999996</v>
      </c>
      <c r="K223" s="18">
        <v>42.964799999999997</v>
      </c>
      <c r="L223" s="18">
        <v>45.571899999999999</v>
      </c>
      <c r="M223" s="18">
        <v>45.868200000000002</v>
      </c>
      <c r="N223" s="18">
        <v>101.22450000000001</v>
      </c>
      <c r="O223" s="18">
        <f t="shared" si="6"/>
        <v>43.653612499999994</v>
      </c>
      <c r="P223" s="7"/>
      <c r="Q223" s="10"/>
      <c r="R223" s="11"/>
      <c r="S223" s="11"/>
      <c r="T223" s="26"/>
      <c r="U223" s="28">
        <f t="shared" si="7"/>
        <v>-4.4871673900735966E-2</v>
      </c>
    </row>
    <row r="224" spans="2:21" ht="16.5" hidden="1" thickBot="1" x14ac:dyDescent="0.3">
      <c r="B224" s="12"/>
      <c r="C224" s="19">
        <v>449.15</v>
      </c>
      <c r="D224" s="20">
        <v>40.052999999999997</v>
      </c>
      <c r="E224" s="20">
        <v>43.093000000000004</v>
      </c>
      <c r="F224" s="20">
        <v>43.390999999999998</v>
      </c>
      <c r="G224" s="20">
        <v>117.76</v>
      </c>
      <c r="H224" s="20">
        <f t="shared" si="5"/>
        <v>40.850250000000003</v>
      </c>
      <c r="I224" s="5"/>
      <c r="J224" s="19">
        <v>325.17739999999998</v>
      </c>
      <c r="K224" s="20">
        <v>39.384799999999998</v>
      </c>
      <c r="L224" s="20">
        <v>42.526000000000003</v>
      </c>
      <c r="M224" s="20">
        <v>42.894199999999998</v>
      </c>
      <c r="N224" s="20">
        <v>121.33069999999999</v>
      </c>
      <c r="O224" s="20">
        <f t="shared" si="6"/>
        <v>40.216124999999998</v>
      </c>
      <c r="P224" s="7"/>
      <c r="Q224" s="13"/>
      <c r="R224" s="14"/>
      <c r="S224" s="14"/>
      <c r="T224" s="27"/>
      <c r="U224" s="28">
        <f t="shared" si="7"/>
        <v>3.0321841032608592E-2</v>
      </c>
    </row>
    <row r="225" spans="2:21" hidden="1" x14ac:dyDescent="0.25">
      <c r="B225" s="6" t="s">
        <v>85</v>
      </c>
      <c r="C225" s="15">
        <v>2000.83</v>
      </c>
      <c r="D225" s="16">
        <v>48.601999999999997</v>
      </c>
      <c r="E225" s="16">
        <v>49.71</v>
      </c>
      <c r="F225" s="16">
        <v>50.046999999999997</v>
      </c>
      <c r="G225" s="16">
        <v>89.29</v>
      </c>
      <c r="H225" s="16">
        <f t="shared" si="5"/>
        <v>48.921124999999989</v>
      </c>
      <c r="I225" s="5"/>
      <c r="J225" s="15">
        <v>1569.5006000000001</v>
      </c>
      <c r="K225" s="16">
        <v>47.549399999999999</v>
      </c>
      <c r="L225" s="16">
        <v>49.242600000000003</v>
      </c>
      <c r="M225" s="16">
        <v>49.515099999999997</v>
      </c>
      <c r="N225" s="16">
        <v>68.520899999999997</v>
      </c>
      <c r="O225" s="16">
        <f t="shared" si="6"/>
        <v>48.006762500000001</v>
      </c>
      <c r="P225" s="7"/>
      <c r="Q225" s="8">
        <f>bdrate(C225:C228,D225:D228,J225:J228,K225:K228)</f>
        <v>-0.14862329360004367</v>
      </c>
      <c r="R225" s="8">
        <f>bdrate(C225:C228,E225:E228,J225:J228,L225:L228)</f>
        <v>-0.17828782463273907</v>
      </c>
      <c r="S225" s="8">
        <f>bdrate(C225:C228,F225:F228,J225:J228,M225:M228)</f>
        <v>-0.17901251020748876</v>
      </c>
      <c r="T225" s="25">
        <f>bdrate(C225:C228,H225:H228,J225:J228,O225:O228)</f>
        <v>-0.15516396738355365</v>
      </c>
      <c r="U225" s="28">
        <f t="shared" si="7"/>
        <v>-0.23260275506775682</v>
      </c>
    </row>
    <row r="226" spans="2:21" hidden="1" x14ac:dyDescent="0.25">
      <c r="B226" s="9"/>
      <c r="C226" s="17">
        <v>1320.45</v>
      </c>
      <c r="D226" s="18">
        <v>46.252000000000002</v>
      </c>
      <c r="E226" s="18">
        <v>47.784999999999997</v>
      </c>
      <c r="F226" s="18">
        <v>48.088999999999999</v>
      </c>
      <c r="G226" s="18">
        <v>100.62</v>
      </c>
      <c r="H226" s="18">
        <f t="shared" si="5"/>
        <v>46.673250000000003</v>
      </c>
      <c r="I226" s="5"/>
      <c r="J226" s="17">
        <v>1049.4494999999999</v>
      </c>
      <c r="K226" s="18">
        <v>45.7639</v>
      </c>
      <c r="L226" s="18">
        <v>47.638599999999997</v>
      </c>
      <c r="M226" s="18">
        <v>47.869599999999998</v>
      </c>
      <c r="N226" s="18">
        <v>83.370699999999999</v>
      </c>
      <c r="O226" s="18">
        <f t="shared" si="6"/>
        <v>46.261449999999996</v>
      </c>
      <c r="P226" s="7"/>
      <c r="Q226" s="10"/>
      <c r="R226" s="11"/>
      <c r="S226" s="11"/>
      <c r="T226" s="26"/>
      <c r="U226" s="28">
        <f t="shared" si="7"/>
        <v>-0.17143013317431927</v>
      </c>
    </row>
    <row r="227" spans="2:21" hidden="1" x14ac:dyDescent="0.25">
      <c r="B227" s="9"/>
      <c r="C227" s="17">
        <v>784.61</v>
      </c>
      <c r="D227" s="18">
        <v>43.511000000000003</v>
      </c>
      <c r="E227" s="18">
        <v>45.499000000000002</v>
      </c>
      <c r="F227" s="18">
        <v>45.665999999999997</v>
      </c>
      <c r="G227" s="18">
        <v>109.9</v>
      </c>
      <c r="H227" s="18">
        <f t="shared" si="5"/>
        <v>44.028875000000006</v>
      </c>
      <c r="I227" s="5"/>
      <c r="J227" s="17">
        <v>625.22879999999998</v>
      </c>
      <c r="K227" s="18">
        <v>43.205500000000001</v>
      </c>
      <c r="L227" s="18">
        <v>45.361899999999999</v>
      </c>
      <c r="M227" s="18">
        <v>45.524999999999999</v>
      </c>
      <c r="N227" s="18">
        <v>97.331199999999995</v>
      </c>
      <c r="O227" s="18">
        <f t="shared" si="6"/>
        <v>43.764987499999997</v>
      </c>
      <c r="P227" s="7"/>
      <c r="Q227" s="10"/>
      <c r="R227" s="11"/>
      <c r="S227" s="11"/>
      <c r="T227" s="26"/>
      <c r="U227" s="28">
        <f t="shared" si="7"/>
        <v>-0.11436578707916296</v>
      </c>
    </row>
    <row r="228" spans="2:21" ht="16.5" hidden="1" thickBot="1" x14ac:dyDescent="0.3">
      <c r="B228" s="12"/>
      <c r="C228" s="19">
        <v>387.62</v>
      </c>
      <c r="D228" s="20">
        <v>39.856999999999999</v>
      </c>
      <c r="E228" s="20">
        <v>42.691000000000003</v>
      </c>
      <c r="F228" s="20">
        <v>42.54</v>
      </c>
      <c r="G228" s="20">
        <v>122.29</v>
      </c>
      <c r="H228" s="20">
        <f t="shared" si="5"/>
        <v>40.546624999999999</v>
      </c>
      <c r="I228" s="5"/>
      <c r="J228" s="19">
        <v>313.11099999999999</v>
      </c>
      <c r="K228" s="20">
        <v>39.911499999999997</v>
      </c>
      <c r="L228" s="20">
        <v>42.749499999999998</v>
      </c>
      <c r="M228" s="20">
        <v>42.757300000000001</v>
      </c>
      <c r="N228" s="20">
        <v>121.0543</v>
      </c>
      <c r="O228" s="20">
        <f t="shared" si="6"/>
        <v>40.621974999999999</v>
      </c>
      <c r="P228" s="7"/>
      <c r="Q228" s="13"/>
      <c r="R228" s="14"/>
      <c r="S228" s="14"/>
      <c r="T228" s="27"/>
      <c r="U228" s="28">
        <f t="shared" si="7"/>
        <v>-1.0104669228882234E-2</v>
      </c>
    </row>
    <row r="229" spans="2:21" hidden="1" x14ac:dyDescent="0.25">
      <c r="B229" s="6" t="s">
        <v>86</v>
      </c>
      <c r="C229" s="15">
        <v>2091.8000000000002</v>
      </c>
      <c r="D229" s="16">
        <v>39.99</v>
      </c>
      <c r="E229" s="16">
        <v>42.933999999999997</v>
      </c>
      <c r="F229" s="16">
        <v>41.421999999999997</v>
      </c>
      <c r="G229" s="16">
        <v>85.03</v>
      </c>
      <c r="H229" s="16">
        <f t="shared" si="5"/>
        <v>40.537000000000006</v>
      </c>
      <c r="I229" s="5"/>
      <c r="J229" s="15">
        <v>1542.7978000000001</v>
      </c>
      <c r="K229" s="16">
        <v>37.910299999999999</v>
      </c>
      <c r="L229" s="16">
        <v>41.186300000000003</v>
      </c>
      <c r="M229" s="16">
        <v>39.749699999999997</v>
      </c>
      <c r="N229" s="16">
        <v>64.914100000000005</v>
      </c>
      <c r="O229" s="16">
        <f t="shared" si="6"/>
        <v>38.549725000000002</v>
      </c>
      <c r="P229" s="7"/>
      <c r="Q229" s="8">
        <f>bdrate(C229:C232,D229:D232,J229:J232,K229:K232)</f>
        <v>-0.13543926024852593</v>
      </c>
      <c r="R229" s="8">
        <f>bdrate(C229:C232,E229:E232,J229:J232,L229:L232)</f>
        <v>-2.1703938087350827E-2</v>
      </c>
      <c r="S229" s="8">
        <f>bdrate(C229:C232,F229:F232,J229:J232,M229:M232)</f>
        <v>-3.5126025858168153E-2</v>
      </c>
      <c r="T229" s="25">
        <f>bdrate(C229:C232,H229:H232,J229:J232,O229:O232)</f>
        <v>-0.11418821239391286</v>
      </c>
      <c r="U229" s="28">
        <f t="shared" si="7"/>
        <v>-0.23657415029989412</v>
      </c>
    </row>
    <row r="230" spans="2:21" hidden="1" x14ac:dyDescent="0.25">
      <c r="B230" s="9"/>
      <c r="C230" s="17">
        <v>1392.87</v>
      </c>
      <c r="D230" s="18">
        <v>36.953000000000003</v>
      </c>
      <c r="E230" s="18">
        <v>40.500999999999998</v>
      </c>
      <c r="F230" s="18">
        <v>38.942999999999998</v>
      </c>
      <c r="G230" s="18">
        <v>91.85</v>
      </c>
      <c r="H230" s="18">
        <f t="shared" si="5"/>
        <v>37.645249999999997</v>
      </c>
      <c r="I230" s="5"/>
      <c r="J230" s="17">
        <v>1033.2311999999999</v>
      </c>
      <c r="K230" s="18">
        <v>35.606999999999999</v>
      </c>
      <c r="L230" s="18">
        <v>39.406500000000001</v>
      </c>
      <c r="M230" s="18">
        <v>37.9514</v>
      </c>
      <c r="N230" s="18">
        <v>76.501400000000004</v>
      </c>
      <c r="O230" s="18">
        <f t="shared" si="6"/>
        <v>36.374987499999996</v>
      </c>
      <c r="P230" s="7"/>
      <c r="Q230" s="10"/>
      <c r="R230" s="11"/>
      <c r="S230" s="11"/>
      <c r="T230" s="26"/>
      <c r="U230" s="28">
        <f t="shared" si="7"/>
        <v>-0.1671050626020685</v>
      </c>
    </row>
    <row r="231" spans="2:21" hidden="1" x14ac:dyDescent="0.25">
      <c r="B231" s="9"/>
      <c r="C231" s="17">
        <v>839.39</v>
      </c>
      <c r="D231" s="18">
        <v>33.731000000000002</v>
      </c>
      <c r="E231" s="18">
        <v>38.392000000000003</v>
      </c>
      <c r="F231" s="18">
        <v>36.859000000000002</v>
      </c>
      <c r="G231" s="18">
        <v>97.99</v>
      </c>
      <c r="H231" s="18">
        <f t="shared" si="5"/>
        <v>34.704625</v>
      </c>
      <c r="I231" s="5"/>
      <c r="J231" s="17">
        <v>624.30949999999996</v>
      </c>
      <c r="K231" s="18">
        <v>32.843200000000003</v>
      </c>
      <c r="L231" s="18">
        <v>37.389099999999999</v>
      </c>
      <c r="M231" s="18">
        <v>35.909500000000001</v>
      </c>
      <c r="N231" s="18">
        <v>87.561400000000006</v>
      </c>
      <c r="O231" s="18">
        <f t="shared" si="6"/>
        <v>33.794725</v>
      </c>
      <c r="P231" s="7"/>
      <c r="Q231" s="10"/>
      <c r="R231" s="11"/>
      <c r="S231" s="11"/>
      <c r="T231" s="26"/>
      <c r="U231" s="28">
        <f t="shared" si="7"/>
        <v>-0.10642514542300224</v>
      </c>
    </row>
    <row r="232" spans="2:21" ht="16.5" hidden="1" thickBot="1" x14ac:dyDescent="0.3">
      <c r="B232" s="12"/>
      <c r="C232" s="19">
        <v>420</v>
      </c>
      <c r="D232" s="20">
        <v>29.49</v>
      </c>
      <c r="E232" s="20">
        <v>36.247</v>
      </c>
      <c r="F232" s="20">
        <v>34.871000000000002</v>
      </c>
      <c r="G232" s="20">
        <v>107.72</v>
      </c>
      <c r="H232" s="20">
        <f t="shared" si="5"/>
        <v>31.007250000000003</v>
      </c>
      <c r="I232" s="5"/>
      <c r="J232" s="19">
        <v>314.42340000000002</v>
      </c>
      <c r="K232" s="20">
        <v>29.6126</v>
      </c>
      <c r="L232" s="20">
        <v>34.971499999999999</v>
      </c>
      <c r="M232" s="20">
        <v>33.578800000000001</v>
      </c>
      <c r="N232" s="20">
        <v>107.71810000000001</v>
      </c>
      <c r="O232" s="20">
        <f t="shared" si="6"/>
        <v>30.778237499999999</v>
      </c>
      <c r="P232" s="7"/>
      <c r="Q232" s="13"/>
      <c r="R232" s="14"/>
      <c r="S232" s="14"/>
      <c r="T232" s="27"/>
      <c r="U232" s="28">
        <f t="shared" si="7"/>
        <v>-1.7638321574378196E-5</v>
      </c>
    </row>
    <row r="233" spans="2:21" hidden="1" x14ac:dyDescent="0.25">
      <c r="B233" s="6" t="s">
        <v>87</v>
      </c>
      <c r="C233" s="15">
        <v>2123.36</v>
      </c>
      <c r="D233" s="16">
        <v>36.652000000000001</v>
      </c>
      <c r="E233" s="16">
        <v>41.529000000000003</v>
      </c>
      <c r="F233" s="16">
        <v>41.734999999999999</v>
      </c>
      <c r="G233" s="16">
        <v>67.010000000000005</v>
      </c>
      <c r="H233" s="16">
        <f t="shared" si="5"/>
        <v>37.897000000000006</v>
      </c>
      <c r="I233" s="5"/>
      <c r="J233" s="15">
        <v>1545.6728000000001</v>
      </c>
      <c r="K233" s="16">
        <v>37.228000000000002</v>
      </c>
      <c r="L233" s="16">
        <v>43.0105</v>
      </c>
      <c r="M233" s="16">
        <v>43.050800000000002</v>
      </c>
      <c r="N233" s="16">
        <v>63.8842</v>
      </c>
      <c r="O233" s="16">
        <f t="shared" si="6"/>
        <v>38.678662499999994</v>
      </c>
      <c r="P233" s="7"/>
      <c r="Q233" s="8">
        <f>bdrate(C233:C236,D233:D236,J233:J236,K233:K236)</f>
        <v>-0.48481060712195956</v>
      </c>
      <c r="R233" s="8">
        <f>bdrate(C233:C236,E233:E236,J233:J236,L233:L236)</f>
        <v>-0.59637339102888332</v>
      </c>
      <c r="S233" s="8">
        <f>bdrate(C233:C236,F233:F236,J233:J236,M233:M236)</f>
        <v>-0.58205976347712429</v>
      </c>
      <c r="T233" s="25">
        <f>bdrate(C233:C236,H233:H236,J233:J236,O233:O236)</f>
        <v>-0.51054255276052496</v>
      </c>
      <c r="U233" s="28">
        <f t="shared" si="7"/>
        <v>-4.6646769138934563E-2</v>
      </c>
    </row>
    <row r="234" spans="2:21" hidden="1" x14ac:dyDescent="0.25">
      <c r="B234" s="9"/>
      <c r="C234" s="17">
        <v>1411.14</v>
      </c>
      <c r="D234" s="18">
        <v>35.357999999999997</v>
      </c>
      <c r="E234" s="18">
        <v>40.506</v>
      </c>
      <c r="F234" s="18">
        <v>40.869999999999997</v>
      </c>
      <c r="G234" s="18">
        <v>73.14</v>
      </c>
      <c r="H234" s="18">
        <f t="shared" si="5"/>
        <v>36.690499999999993</v>
      </c>
      <c r="I234" s="5"/>
      <c r="J234" s="17">
        <v>1024.1815999999999</v>
      </c>
      <c r="K234" s="18">
        <v>36.125300000000003</v>
      </c>
      <c r="L234" s="18">
        <v>42.0488</v>
      </c>
      <c r="M234" s="18">
        <v>42.160800000000002</v>
      </c>
      <c r="N234" s="18">
        <v>78.165700000000001</v>
      </c>
      <c r="O234" s="18">
        <f t="shared" si="6"/>
        <v>37.620175000000003</v>
      </c>
      <c r="P234" s="7"/>
      <c r="Q234" s="10"/>
      <c r="R234" s="11"/>
      <c r="S234" s="11"/>
      <c r="T234" s="26"/>
      <c r="U234" s="28">
        <f t="shared" si="7"/>
        <v>6.8713426305715072E-2</v>
      </c>
    </row>
    <row r="235" spans="2:21" hidden="1" x14ac:dyDescent="0.25">
      <c r="B235" s="9"/>
      <c r="C235" s="17">
        <v>844.52</v>
      </c>
      <c r="D235" s="18">
        <v>33.716999999999999</v>
      </c>
      <c r="E235" s="18">
        <v>39.453000000000003</v>
      </c>
      <c r="F235" s="18">
        <v>39.899000000000001</v>
      </c>
      <c r="G235" s="18">
        <v>79.16</v>
      </c>
      <c r="H235" s="18">
        <f t="shared" si="5"/>
        <v>35.20675</v>
      </c>
      <c r="I235" s="5"/>
      <c r="J235" s="17">
        <v>613.87040000000002</v>
      </c>
      <c r="K235" s="18">
        <v>34.823099999999997</v>
      </c>
      <c r="L235" s="18">
        <v>40.787799999999997</v>
      </c>
      <c r="M235" s="18">
        <v>41.005699999999997</v>
      </c>
      <c r="N235" s="18">
        <v>93.370699999999999</v>
      </c>
      <c r="O235" s="18">
        <f t="shared" si="6"/>
        <v>36.3415125</v>
      </c>
      <c r="P235" s="7"/>
      <c r="Q235" s="10"/>
      <c r="R235" s="11"/>
      <c r="S235" s="11"/>
      <c r="T235" s="26"/>
      <c r="U235" s="28">
        <f t="shared" si="7"/>
        <v>0.17951869631126835</v>
      </c>
    </row>
    <row r="236" spans="2:21" ht="16.5" hidden="1" thickBot="1" x14ac:dyDescent="0.3">
      <c r="B236" s="12"/>
      <c r="C236" s="19">
        <v>418.41</v>
      </c>
      <c r="D236" s="20">
        <v>31.391999999999999</v>
      </c>
      <c r="E236" s="20">
        <v>37.915999999999997</v>
      </c>
      <c r="F236" s="20">
        <v>38.573</v>
      </c>
      <c r="G236" s="20">
        <v>87.41</v>
      </c>
      <c r="H236" s="20">
        <f t="shared" si="5"/>
        <v>33.105125000000001</v>
      </c>
      <c r="I236" s="5"/>
      <c r="J236" s="19">
        <v>300.09840000000003</v>
      </c>
      <c r="K236" s="20">
        <v>32.942100000000003</v>
      </c>
      <c r="L236" s="20">
        <v>38.973599999999998</v>
      </c>
      <c r="M236" s="20">
        <v>39.470599999999997</v>
      </c>
      <c r="N236" s="20">
        <v>115.1631</v>
      </c>
      <c r="O236" s="20">
        <f t="shared" si="6"/>
        <v>34.512100000000004</v>
      </c>
      <c r="P236" s="7"/>
      <c r="Q236" s="13"/>
      <c r="R236" s="14"/>
      <c r="S236" s="14"/>
      <c r="T236" s="27"/>
      <c r="U236" s="28">
        <f t="shared" si="7"/>
        <v>0.31750486214391949</v>
      </c>
    </row>
    <row r="237" spans="2:21" hidden="1" x14ac:dyDescent="0.25">
      <c r="B237" s="6" t="s">
        <v>88</v>
      </c>
      <c r="C237" s="15">
        <v>2183.65</v>
      </c>
      <c r="D237" s="16">
        <v>33.209000000000003</v>
      </c>
      <c r="E237" s="16">
        <v>38.051000000000002</v>
      </c>
      <c r="F237" s="16">
        <v>40.408000000000001</v>
      </c>
      <c r="G237" s="16">
        <v>75.88</v>
      </c>
      <c r="H237" s="16">
        <f t="shared" si="5"/>
        <v>34.714125000000003</v>
      </c>
      <c r="I237" s="5"/>
      <c r="J237" s="15">
        <v>1533.0856000000001</v>
      </c>
      <c r="K237" s="16">
        <v>34.1877</v>
      </c>
      <c r="L237" s="16">
        <v>39.567999999999998</v>
      </c>
      <c r="M237" s="16">
        <v>41.901200000000003</v>
      </c>
      <c r="N237" s="16">
        <v>81.833100000000002</v>
      </c>
      <c r="O237" s="16">
        <f t="shared" si="6"/>
        <v>35.824424999999998</v>
      </c>
      <c r="P237" s="7"/>
      <c r="Q237" s="8">
        <f>bdrate(C237:C240,D237:D240,J237:J240,K237:K240)</f>
        <v>-0.55722864110575032</v>
      </c>
      <c r="R237" s="8">
        <f>bdrate(C237:C240,E237:E240,J237:J240,L237:L240)</f>
        <v>-0.67299807530992406</v>
      </c>
      <c r="S237" s="8">
        <f>bdrate(C237:C240,F237:F240,J237:J240,M237:M240)</f>
        <v>-0.71108653264813737</v>
      </c>
      <c r="T237" s="25">
        <f>bdrate(C237:C240,H237:H240,J237:J240,O237:O240)</f>
        <v>-0.57907498893164855</v>
      </c>
      <c r="U237" s="28">
        <f t="shared" si="7"/>
        <v>7.8454138112809782E-2</v>
      </c>
    </row>
    <row r="238" spans="2:21" hidden="1" x14ac:dyDescent="0.25">
      <c r="B238" s="9"/>
      <c r="C238" s="17">
        <v>1450.29</v>
      </c>
      <c r="D238" s="18">
        <v>31.890999999999998</v>
      </c>
      <c r="E238" s="18">
        <v>37.448</v>
      </c>
      <c r="F238" s="18">
        <v>39.826999999999998</v>
      </c>
      <c r="G238" s="18">
        <v>65.63</v>
      </c>
      <c r="H238" s="18">
        <f t="shared" si="5"/>
        <v>33.577624999999998</v>
      </c>
      <c r="I238" s="5"/>
      <c r="J238" s="17">
        <v>1016.1448</v>
      </c>
      <c r="K238" s="18">
        <v>33.094000000000001</v>
      </c>
      <c r="L238" s="18">
        <v>38.751800000000003</v>
      </c>
      <c r="M238" s="18">
        <v>41.167299999999997</v>
      </c>
      <c r="N238" s="18">
        <v>96.153800000000004</v>
      </c>
      <c r="O238" s="18">
        <f t="shared" si="6"/>
        <v>34.810387500000004</v>
      </c>
      <c r="P238" s="7"/>
      <c r="Q238" s="10"/>
      <c r="R238" s="11"/>
      <c r="S238" s="11"/>
      <c r="T238" s="26"/>
      <c r="U238" s="28">
        <f t="shared" si="7"/>
        <v>0.46508913606582369</v>
      </c>
    </row>
    <row r="239" spans="2:21" hidden="1" x14ac:dyDescent="0.25">
      <c r="B239" s="9"/>
      <c r="C239" s="17">
        <v>872.46</v>
      </c>
      <c r="D239" s="18">
        <v>30.088000000000001</v>
      </c>
      <c r="E239" s="18">
        <v>36.682000000000002</v>
      </c>
      <c r="F239" s="18">
        <v>39.142000000000003</v>
      </c>
      <c r="G239" s="18">
        <v>91.14</v>
      </c>
      <c r="H239" s="18">
        <f t="shared" si="5"/>
        <v>32.044000000000004</v>
      </c>
      <c r="I239" s="5"/>
      <c r="J239" s="17">
        <v>595.99360000000001</v>
      </c>
      <c r="K239" s="18">
        <v>31.5745</v>
      </c>
      <c r="L239" s="18">
        <v>37.814</v>
      </c>
      <c r="M239" s="18">
        <v>40.343200000000003</v>
      </c>
      <c r="N239" s="18">
        <v>112.12860000000001</v>
      </c>
      <c r="O239" s="18">
        <f t="shared" si="6"/>
        <v>33.450524999999999</v>
      </c>
      <c r="P239" s="7"/>
      <c r="Q239" s="10"/>
      <c r="R239" s="11"/>
      <c r="S239" s="11"/>
      <c r="T239" s="26"/>
      <c r="U239" s="28">
        <f t="shared" si="7"/>
        <v>0.23028966425279795</v>
      </c>
    </row>
    <row r="240" spans="2:21" ht="16.5" hidden="1" thickBot="1" x14ac:dyDescent="0.3">
      <c r="B240" s="12"/>
      <c r="C240" s="19">
        <v>439.17</v>
      </c>
      <c r="D240" s="20">
        <v>27.314</v>
      </c>
      <c r="E240" s="20">
        <v>35.796999999999997</v>
      </c>
      <c r="F240" s="20">
        <v>38.204999999999998</v>
      </c>
      <c r="G240" s="20">
        <v>102.02</v>
      </c>
      <c r="H240" s="20">
        <f t="shared" si="5"/>
        <v>29.735750000000003</v>
      </c>
      <c r="I240" s="5"/>
      <c r="J240" s="19">
        <v>292.82400000000001</v>
      </c>
      <c r="K240" s="20">
        <v>29.459299999999999</v>
      </c>
      <c r="L240" s="20">
        <v>36.693399999999997</v>
      </c>
      <c r="M240" s="20">
        <v>39.3217</v>
      </c>
      <c r="N240" s="20">
        <v>137.36259999999999</v>
      </c>
      <c r="O240" s="20">
        <f t="shared" si="6"/>
        <v>31.596362499999998</v>
      </c>
      <c r="P240" s="7"/>
      <c r="Q240" s="13"/>
      <c r="R240" s="14"/>
      <c r="S240" s="14"/>
      <c r="T240" s="27"/>
      <c r="U240" s="28">
        <f t="shared" si="7"/>
        <v>0.34642815134287386</v>
      </c>
    </row>
    <row r="241" spans="2:21" hidden="1" x14ac:dyDescent="0.25">
      <c r="B241" s="6" t="s">
        <v>89</v>
      </c>
      <c r="C241" s="15">
        <v>2236.35</v>
      </c>
      <c r="D241" s="16">
        <v>35.408999999999999</v>
      </c>
      <c r="E241" s="16">
        <v>41.47</v>
      </c>
      <c r="F241" s="16">
        <v>41.061</v>
      </c>
      <c r="G241" s="16">
        <v>61.24</v>
      </c>
      <c r="H241" s="16">
        <f t="shared" ref="H241:H260" si="8">(6*D241+E241+F241)/8</f>
        <v>36.873125000000002</v>
      </c>
      <c r="I241" s="5"/>
      <c r="J241" s="15">
        <v>1540.7367999999999</v>
      </c>
      <c r="K241" s="16">
        <v>36.279299999999999</v>
      </c>
      <c r="L241" s="16">
        <v>41.905299999999997</v>
      </c>
      <c r="M241" s="16">
        <v>41.643000000000001</v>
      </c>
      <c r="N241" s="16">
        <v>66.086600000000004</v>
      </c>
      <c r="O241" s="16">
        <f t="shared" ref="O241:O260" si="9">(6*K241+L241+M241)/8</f>
        <v>37.653012500000003</v>
      </c>
      <c r="P241" s="7"/>
      <c r="Q241" s="8">
        <f>bdrate(C241:C244,D241:D244,J241:J244,K241:K244)</f>
        <v>-0.58278612457601642</v>
      </c>
      <c r="R241" s="8">
        <f>bdrate(C241:C244,E241:E244,J241:J244,L241:L244)</f>
        <v>-0.48236227147262056</v>
      </c>
      <c r="S241" s="8">
        <f>bdrate(C241:C244,F241:F244,J241:J244,M241:M244)</f>
        <v>-0.42131848735633382</v>
      </c>
      <c r="T241" s="25">
        <f>bdrate(C241:C244,H241:H244,J241:J244,O241:O244)</f>
        <v>-0.564966492157155</v>
      </c>
      <c r="U241" s="28">
        <f t="shared" ref="U241:U260" si="10">(N241-G241)/G241</f>
        <v>7.9141084258654515E-2</v>
      </c>
    </row>
    <row r="242" spans="2:21" hidden="1" x14ac:dyDescent="0.25">
      <c r="B242" s="9"/>
      <c r="C242" s="17">
        <v>1503.54</v>
      </c>
      <c r="D242" s="18">
        <v>33.700000000000003</v>
      </c>
      <c r="E242" s="18">
        <v>40.619</v>
      </c>
      <c r="F242" s="18">
        <v>40.03</v>
      </c>
      <c r="G242" s="18">
        <v>66.89</v>
      </c>
      <c r="H242" s="18">
        <f t="shared" si="8"/>
        <v>35.356125000000006</v>
      </c>
      <c r="I242" s="5"/>
      <c r="J242" s="17">
        <v>1019.0872000000001</v>
      </c>
      <c r="K242" s="18">
        <v>35.069099999999999</v>
      </c>
      <c r="L242" s="18">
        <v>41.1464</v>
      </c>
      <c r="M242" s="18">
        <v>40.5124</v>
      </c>
      <c r="N242" s="18">
        <v>80.128200000000007</v>
      </c>
      <c r="O242" s="18">
        <f t="shared" si="9"/>
        <v>36.509174999999999</v>
      </c>
      <c r="P242" s="7"/>
      <c r="Q242" s="10"/>
      <c r="R242" s="11"/>
      <c r="S242" s="11"/>
      <c r="T242" s="26"/>
      <c r="U242" s="28">
        <f t="shared" si="10"/>
        <v>0.19791000149499186</v>
      </c>
    </row>
    <row r="243" spans="2:21" hidden="1" x14ac:dyDescent="0.25">
      <c r="B243" s="9"/>
      <c r="C243" s="17">
        <v>918.64</v>
      </c>
      <c r="D243" s="18">
        <v>31.116</v>
      </c>
      <c r="E243" s="18">
        <v>39.478000000000002</v>
      </c>
      <c r="F243" s="18">
        <v>38.628</v>
      </c>
      <c r="G243" s="18">
        <v>73.39</v>
      </c>
      <c r="H243" s="18">
        <f t="shared" si="8"/>
        <v>33.100250000000003</v>
      </c>
      <c r="I243" s="5"/>
      <c r="J243" s="17">
        <v>604.71280000000002</v>
      </c>
      <c r="K243" s="18">
        <v>33.407499999999999</v>
      </c>
      <c r="L243" s="18">
        <v>40.057299999999998</v>
      </c>
      <c r="M243" s="18">
        <v>38.973500000000001</v>
      </c>
      <c r="N243" s="18">
        <v>98.879400000000004</v>
      </c>
      <c r="O243" s="18">
        <f t="shared" si="9"/>
        <v>34.934474999999999</v>
      </c>
      <c r="P243" s="7"/>
      <c r="Q243" s="10"/>
      <c r="R243" s="11"/>
      <c r="S243" s="11"/>
      <c r="T243" s="26"/>
      <c r="U243" s="28">
        <f t="shared" si="10"/>
        <v>0.34731434800381528</v>
      </c>
    </row>
    <row r="244" spans="2:21" ht="16.5" hidden="1" thickBot="1" x14ac:dyDescent="0.3">
      <c r="B244" s="12"/>
      <c r="C244" s="19">
        <v>480.42</v>
      </c>
      <c r="D244" s="20">
        <v>26.975999999999999</v>
      </c>
      <c r="E244" s="20">
        <v>37.707999999999998</v>
      </c>
      <c r="F244" s="20">
        <v>36.545999999999999</v>
      </c>
      <c r="G244" s="20">
        <v>81.31</v>
      </c>
      <c r="H244" s="20">
        <f t="shared" si="8"/>
        <v>29.513749999999998</v>
      </c>
      <c r="I244" s="5"/>
      <c r="J244" s="19">
        <v>304.33679999999998</v>
      </c>
      <c r="K244" s="20">
        <v>31.186</v>
      </c>
      <c r="L244" s="20">
        <v>38.352200000000003</v>
      </c>
      <c r="M244" s="20">
        <v>36.859499999999997</v>
      </c>
      <c r="N244" s="20">
        <v>129.9264</v>
      </c>
      <c r="O244" s="20">
        <f t="shared" si="9"/>
        <v>32.790962499999999</v>
      </c>
      <c r="P244" s="7"/>
      <c r="Q244" s="13"/>
      <c r="R244" s="14"/>
      <c r="S244" s="14"/>
      <c r="T244" s="27"/>
      <c r="U244" s="28">
        <f t="shared" si="10"/>
        <v>0.59791415570040585</v>
      </c>
    </row>
    <row r="245" spans="2:21" hidden="1" x14ac:dyDescent="0.25">
      <c r="B245" s="6" t="s">
        <v>90</v>
      </c>
      <c r="C245" s="29">
        <v>2180.39</v>
      </c>
      <c r="D245" s="30">
        <v>46.387</v>
      </c>
      <c r="E245" s="30">
        <v>51.743000000000002</v>
      </c>
      <c r="F245" s="30">
        <v>51.820999999999998</v>
      </c>
      <c r="G245" s="16">
        <v>61.46</v>
      </c>
      <c r="H245" s="16">
        <f t="shared" si="8"/>
        <v>47.735749999999996</v>
      </c>
      <c r="I245" s="5"/>
      <c r="J245" s="29">
        <v>1500.5119999999999</v>
      </c>
      <c r="K245" s="30">
        <v>46.935499999999998</v>
      </c>
      <c r="L245" s="30">
        <v>51.6858</v>
      </c>
      <c r="M245" s="30">
        <v>51.8628</v>
      </c>
      <c r="N245" s="16">
        <v>54.560600000000001</v>
      </c>
      <c r="O245" s="16">
        <f t="shared" si="9"/>
        <v>48.145200000000003</v>
      </c>
      <c r="P245" s="7"/>
      <c r="Q245" s="8">
        <f>bdrate(C245:C248,D245:D248,J245:J248,K245:K248)</f>
        <v>-0.51353420394534366</v>
      </c>
      <c r="R245" s="8">
        <f>bdrate(C245:C248,E245:E248,J245:J248,L245:L248)</f>
        <v>-0.36989517123831117</v>
      </c>
      <c r="S245" s="8">
        <f>bdrate(C245:C248,F245:F248,J245:J248,M245:M248)</f>
        <v>-0.42698985110059051</v>
      </c>
      <c r="T245" s="25">
        <f>bdrate(C245:C248,H245:H248,J245:J248,O245:O248)</f>
        <v>-0.49528410040728565</v>
      </c>
      <c r="U245" s="28">
        <f t="shared" si="10"/>
        <v>-0.11225837943377806</v>
      </c>
    </row>
    <row r="246" spans="2:21" hidden="1" x14ac:dyDescent="0.25">
      <c r="B246" s="9"/>
      <c r="C246" s="31">
        <v>1447.75</v>
      </c>
      <c r="D246" s="32">
        <v>44.895000000000003</v>
      </c>
      <c r="E246" s="32">
        <v>50.963000000000001</v>
      </c>
      <c r="F246" s="32">
        <v>50.875</v>
      </c>
      <c r="G246" s="18">
        <v>68.930000000000007</v>
      </c>
      <c r="H246" s="18">
        <f t="shared" si="8"/>
        <v>46.401000000000003</v>
      </c>
      <c r="I246" s="5"/>
      <c r="J246" s="31">
        <v>1000.5898999999999</v>
      </c>
      <c r="K246" s="32">
        <v>45.868699999999997</v>
      </c>
      <c r="L246" s="32">
        <v>50.994</v>
      </c>
      <c r="M246" s="32">
        <v>51.139400000000002</v>
      </c>
      <c r="N246" s="18">
        <v>68.423599999999993</v>
      </c>
      <c r="O246" s="18">
        <f t="shared" si="9"/>
        <v>47.168199999999999</v>
      </c>
      <c r="P246" s="7"/>
      <c r="Q246" s="10"/>
      <c r="R246" s="11"/>
      <c r="S246" s="11"/>
      <c r="T246" s="26"/>
      <c r="U246" s="28">
        <f t="shared" si="10"/>
        <v>-7.3465834904978015E-3</v>
      </c>
    </row>
    <row r="247" spans="2:21" hidden="1" x14ac:dyDescent="0.25">
      <c r="B247" s="9"/>
      <c r="C247" s="31">
        <v>861.47</v>
      </c>
      <c r="D247" s="32">
        <v>42.789000000000001</v>
      </c>
      <c r="E247" s="32">
        <v>49.734000000000002</v>
      </c>
      <c r="F247" s="32">
        <v>49.496000000000002</v>
      </c>
      <c r="G247" s="18">
        <v>77.95</v>
      </c>
      <c r="H247" s="18">
        <f t="shared" si="8"/>
        <v>44.4955</v>
      </c>
      <c r="I247" s="5"/>
      <c r="J247" s="31">
        <v>595.76649999999995</v>
      </c>
      <c r="K247" s="32">
        <v>44.239600000000003</v>
      </c>
      <c r="L247" s="32">
        <v>49.974200000000003</v>
      </c>
      <c r="M247" s="32">
        <v>50.043500000000002</v>
      </c>
      <c r="N247" s="18">
        <v>84.904499999999999</v>
      </c>
      <c r="O247" s="18">
        <f t="shared" si="9"/>
        <v>45.681912500000003</v>
      </c>
      <c r="P247" s="7"/>
      <c r="Q247" s="10"/>
      <c r="R247" s="11"/>
      <c r="S247" s="11"/>
      <c r="T247" s="26"/>
      <c r="U247" s="28">
        <f t="shared" si="10"/>
        <v>8.9217447081462425E-2</v>
      </c>
    </row>
    <row r="248" spans="2:21" ht="16.5" hidden="1" thickBot="1" x14ac:dyDescent="0.3">
      <c r="B248" s="12"/>
      <c r="C248" s="33">
        <v>422.47</v>
      </c>
      <c r="D248" s="34">
        <v>39.335999999999999</v>
      </c>
      <c r="E248" s="34">
        <v>47.539000000000001</v>
      </c>
      <c r="F248" s="34">
        <v>47.194000000000003</v>
      </c>
      <c r="G248" s="20">
        <v>87.64</v>
      </c>
      <c r="H248" s="20">
        <f t="shared" si="8"/>
        <v>41.343625000000003</v>
      </c>
      <c r="I248" s="5"/>
      <c r="J248" s="33">
        <v>291.3775</v>
      </c>
      <c r="K248" s="34">
        <v>41.506700000000002</v>
      </c>
      <c r="L248" s="34">
        <v>48.294600000000003</v>
      </c>
      <c r="M248" s="34">
        <v>48.200699999999998</v>
      </c>
      <c r="N248" s="20">
        <v>109.4486</v>
      </c>
      <c r="O248" s="20">
        <f t="shared" si="9"/>
        <v>43.191937500000002</v>
      </c>
      <c r="P248" s="7"/>
      <c r="Q248" s="13"/>
      <c r="R248" s="14"/>
      <c r="S248" s="14"/>
      <c r="T248" s="27"/>
      <c r="U248" s="28">
        <f t="shared" si="10"/>
        <v>0.24884299406663621</v>
      </c>
    </row>
    <row r="249" spans="2:21" hidden="1" x14ac:dyDescent="0.25">
      <c r="B249" s="6" t="s">
        <v>91</v>
      </c>
      <c r="C249" s="15">
        <v>3984.62</v>
      </c>
      <c r="D249" s="16">
        <v>43.466999999999999</v>
      </c>
      <c r="E249" s="16">
        <v>48.101999999999997</v>
      </c>
      <c r="F249" s="16">
        <v>49.951000000000001</v>
      </c>
      <c r="G249" s="16">
        <v>24.59</v>
      </c>
      <c r="H249" s="16">
        <f t="shared" si="8"/>
        <v>44.856875000000002</v>
      </c>
      <c r="I249" s="5"/>
      <c r="J249" s="15">
        <v>2414.8155999999999</v>
      </c>
      <c r="K249" s="16">
        <v>43.423299999999998</v>
      </c>
      <c r="L249" s="16">
        <v>47.507399999999997</v>
      </c>
      <c r="M249" s="16">
        <v>49.5413</v>
      </c>
      <c r="N249" s="16">
        <v>25.094000000000001</v>
      </c>
      <c r="O249" s="16">
        <f t="shared" si="9"/>
        <v>44.698562500000001</v>
      </c>
      <c r="P249" s="7"/>
      <c r="Q249" s="8">
        <f>bdrate(C249:C252,D249:D252,J249:J252,K249:K252)</f>
        <v>-0.49729025391923343</v>
      </c>
      <c r="R249" s="8">
        <f>bdrate(C249:C252,E249:E252,J249:J252,L249:L252)</f>
        <v>-0.42092635155129488</v>
      </c>
      <c r="S249" s="8">
        <f>bdrate(C249:C252,F249:F252,J249:J252,M249:M252)</f>
        <v>-0.47370844320501049</v>
      </c>
      <c r="T249" s="25">
        <f>bdrate(C249:C252,H249:H252,J249:J252,O249:O252)</f>
        <v>-0.48792280348050732</v>
      </c>
      <c r="U249" s="28">
        <f t="shared" si="10"/>
        <v>2.0496136640910993E-2</v>
      </c>
    </row>
    <row r="250" spans="2:21" hidden="1" x14ac:dyDescent="0.25">
      <c r="B250" s="9"/>
      <c r="C250" s="17">
        <v>2682.89</v>
      </c>
      <c r="D250" s="18">
        <v>41.487000000000002</v>
      </c>
      <c r="E250" s="18">
        <v>46.725000000000001</v>
      </c>
      <c r="F250" s="18">
        <v>48.530999999999999</v>
      </c>
      <c r="G250" s="18">
        <v>27.5</v>
      </c>
      <c r="H250" s="18">
        <f t="shared" si="8"/>
        <v>43.022250000000007</v>
      </c>
      <c r="I250" s="5"/>
      <c r="J250" s="17">
        <v>1601.0987</v>
      </c>
      <c r="K250" s="18">
        <v>41.864100000000001</v>
      </c>
      <c r="L250" s="18">
        <v>46.418500000000002</v>
      </c>
      <c r="M250" s="18">
        <v>48.459099999999999</v>
      </c>
      <c r="N250" s="18">
        <v>29.047699999999999</v>
      </c>
      <c r="O250" s="18">
        <f t="shared" si="9"/>
        <v>43.257774999999995</v>
      </c>
      <c r="P250" s="7"/>
      <c r="Q250" s="10"/>
      <c r="R250" s="11"/>
      <c r="S250" s="11"/>
      <c r="T250" s="26"/>
      <c r="U250" s="28">
        <f t="shared" si="10"/>
        <v>5.6279999999999962E-2</v>
      </c>
    </row>
    <row r="251" spans="2:21" hidden="1" x14ac:dyDescent="0.25">
      <c r="B251" s="9"/>
      <c r="C251" s="17">
        <v>1690.55</v>
      </c>
      <c r="D251" s="18">
        <v>38.728000000000002</v>
      </c>
      <c r="E251" s="18">
        <v>44.783999999999999</v>
      </c>
      <c r="F251" s="18">
        <v>46.292999999999999</v>
      </c>
      <c r="G251" s="18">
        <v>30.45</v>
      </c>
      <c r="H251" s="18">
        <f t="shared" si="8"/>
        <v>40.430624999999999</v>
      </c>
      <c r="I251" s="5"/>
      <c r="J251" s="17">
        <v>993.36239999999998</v>
      </c>
      <c r="K251" s="18">
        <v>39.997599999999998</v>
      </c>
      <c r="L251" s="18">
        <v>45.092199999999998</v>
      </c>
      <c r="M251" s="18">
        <v>47.176299999999998</v>
      </c>
      <c r="N251" s="18">
        <v>36.124299999999998</v>
      </c>
      <c r="O251" s="18">
        <f t="shared" si="9"/>
        <v>41.531762499999999</v>
      </c>
      <c r="P251" s="7"/>
      <c r="Q251" s="10"/>
      <c r="R251" s="11"/>
      <c r="S251" s="11"/>
      <c r="T251" s="26"/>
      <c r="U251" s="28">
        <f t="shared" si="10"/>
        <v>0.18634811165845644</v>
      </c>
    </row>
    <row r="252" spans="2:21" ht="16.5" hidden="1" thickBot="1" x14ac:dyDescent="0.3">
      <c r="B252" s="12"/>
      <c r="C252" s="19">
        <v>1027.48</v>
      </c>
      <c r="D252" s="20">
        <v>35.33</v>
      </c>
      <c r="E252" s="20">
        <v>42.509</v>
      </c>
      <c r="F252" s="20">
        <v>43.648000000000003</v>
      </c>
      <c r="G252" s="20">
        <v>33.5</v>
      </c>
      <c r="H252" s="20">
        <f t="shared" si="8"/>
        <v>37.267125</v>
      </c>
      <c r="I252" s="5"/>
      <c r="J252" s="19">
        <v>594.16369999999995</v>
      </c>
      <c r="K252" s="20">
        <v>37.934699999999999</v>
      </c>
      <c r="L252" s="20">
        <v>43.546100000000003</v>
      </c>
      <c r="M252" s="20">
        <v>45.491199999999999</v>
      </c>
      <c r="N252" s="20">
        <v>43.386600000000001</v>
      </c>
      <c r="O252" s="20">
        <f t="shared" si="9"/>
        <v>39.580687500000003</v>
      </c>
      <c r="P252" s="7"/>
      <c r="Q252" s="13"/>
      <c r="R252" s="14"/>
      <c r="S252" s="14"/>
      <c r="T252" s="27"/>
      <c r="U252" s="28">
        <f t="shared" si="10"/>
        <v>0.29512238805970153</v>
      </c>
    </row>
    <row r="253" spans="2:21" hidden="1" x14ac:dyDescent="0.25">
      <c r="B253" s="6" t="s">
        <v>92</v>
      </c>
      <c r="C253" s="15">
        <v>3457.79</v>
      </c>
      <c r="D253" s="16">
        <v>38.668999999999997</v>
      </c>
      <c r="E253" s="16">
        <v>41.5</v>
      </c>
      <c r="F253" s="16">
        <v>43.040999999999997</v>
      </c>
      <c r="G253" s="16">
        <v>28.77</v>
      </c>
      <c r="H253" s="16">
        <f t="shared" si="8"/>
        <v>39.569375000000001</v>
      </c>
      <c r="I253" s="5"/>
      <c r="J253" s="15">
        <v>2381.6750999999999</v>
      </c>
      <c r="K253" s="16">
        <v>39.790999999999997</v>
      </c>
      <c r="L253" s="16">
        <v>41.859000000000002</v>
      </c>
      <c r="M253" s="16">
        <v>43.46</v>
      </c>
      <c r="N253" s="16">
        <v>29.0639</v>
      </c>
      <c r="O253" s="16">
        <f t="shared" si="9"/>
        <v>40.508124999999993</v>
      </c>
      <c r="P253" s="7"/>
      <c r="Q253" s="8">
        <f>bdrate(C253:C256,D253:D256,J253:J256,K253:K256)</f>
        <v>-0.73409891595515675</v>
      </c>
      <c r="R253" s="8">
        <f>bdrate(C253:C256,E253:E256,J253:J256,L253:L256)</f>
        <v>-0.62695340155648438</v>
      </c>
      <c r="S253" s="8">
        <f>bdrate(C253:C256,F253:F256,J253:J256,M253:M256)</f>
        <v>-0.66157479420097887</v>
      </c>
      <c r="T253" s="25">
        <f>bdrate(C253:C256,H253:H256,J253:J256,O253:O256)</f>
        <v>-0.72449766707842622</v>
      </c>
      <c r="U253" s="28">
        <f t="shared" si="10"/>
        <v>1.0215502259297906E-2</v>
      </c>
    </row>
    <row r="254" spans="2:21" hidden="1" x14ac:dyDescent="0.25">
      <c r="B254" s="9"/>
      <c r="C254" s="17">
        <v>2303.63</v>
      </c>
      <c r="D254" s="18">
        <v>37.591000000000001</v>
      </c>
      <c r="E254" s="18">
        <v>41.103000000000002</v>
      </c>
      <c r="F254" s="18">
        <v>42.640999999999998</v>
      </c>
      <c r="G254" s="18">
        <v>32.520000000000003</v>
      </c>
      <c r="H254" s="18">
        <f t="shared" si="8"/>
        <v>38.661250000000003</v>
      </c>
      <c r="I254" s="5"/>
      <c r="J254" s="17">
        <v>1541.4197999999999</v>
      </c>
      <c r="K254" s="18">
        <v>39.241599999999998</v>
      </c>
      <c r="L254" s="18">
        <v>41.547400000000003</v>
      </c>
      <c r="M254" s="18">
        <v>43.163800000000002</v>
      </c>
      <c r="N254" s="18">
        <v>35.722200000000001</v>
      </c>
      <c r="O254" s="18">
        <f t="shared" si="9"/>
        <v>40.020099999999992</v>
      </c>
      <c r="P254" s="7"/>
      <c r="Q254" s="10"/>
      <c r="R254" s="11"/>
      <c r="S254" s="11"/>
      <c r="T254" s="26"/>
      <c r="U254" s="28">
        <f t="shared" si="10"/>
        <v>9.8468634686346784E-2</v>
      </c>
    </row>
    <row r="255" spans="2:21" hidden="1" x14ac:dyDescent="0.25">
      <c r="B255" s="9"/>
      <c r="C255" s="17">
        <v>1441.95</v>
      </c>
      <c r="D255" s="18">
        <v>36.142000000000003</v>
      </c>
      <c r="E255" s="18">
        <v>40.619</v>
      </c>
      <c r="F255" s="18">
        <v>42.088999999999999</v>
      </c>
      <c r="G255" s="18">
        <v>35.369999999999997</v>
      </c>
      <c r="H255" s="18">
        <f t="shared" si="8"/>
        <v>37.445</v>
      </c>
      <c r="I255" s="5"/>
      <c r="J255" s="17">
        <v>940.64290000000005</v>
      </c>
      <c r="K255" s="18">
        <v>38.508400000000002</v>
      </c>
      <c r="L255" s="18">
        <v>41.179900000000004</v>
      </c>
      <c r="M255" s="18">
        <v>42.808399999999999</v>
      </c>
      <c r="N255" s="18">
        <v>42.49</v>
      </c>
      <c r="O255" s="18">
        <f t="shared" si="9"/>
        <v>39.379837500000008</v>
      </c>
      <c r="P255" s="7"/>
      <c r="Q255" s="10"/>
      <c r="R255" s="11"/>
      <c r="S255" s="11"/>
      <c r="T255" s="26"/>
      <c r="U255" s="28">
        <f t="shared" si="10"/>
        <v>0.20130053717839991</v>
      </c>
    </row>
    <row r="256" spans="2:21" ht="16.5" hidden="1" thickBot="1" x14ac:dyDescent="0.3">
      <c r="B256" s="12"/>
      <c r="C256" s="19">
        <v>870.07</v>
      </c>
      <c r="D256" s="20">
        <v>34.039000000000001</v>
      </c>
      <c r="E256" s="20">
        <v>39.926000000000002</v>
      </c>
      <c r="F256" s="20">
        <v>41.259</v>
      </c>
      <c r="G256" s="20">
        <v>38.72</v>
      </c>
      <c r="H256" s="20">
        <f t="shared" si="8"/>
        <v>35.677375000000005</v>
      </c>
      <c r="I256" s="5"/>
      <c r="J256" s="19">
        <v>541.2287</v>
      </c>
      <c r="K256" s="20">
        <v>37.567799999999998</v>
      </c>
      <c r="L256" s="20">
        <v>40.7395</v>
      </c>
      <c r="M256" s="20">
        <v>42.309899999999999</v>
      </c>
      <c r="N256" s="20">
        <v>50.395800000000001</v>
      </c>
      <c r="O256" s="20">
        <f t="shared" si="9"/>
        <v>38.557024999999996</v>
      </c>
      <c r="P256" s="7"/>
      <c r="Q256" s="13"/>
      <c r="R256" s="14"/>
      <c r="S256" s="14"/>
      <c r="T256" s="27"/>
      <c r="U256" s="28">
        <f t="shared" si="10"/>
        <v>0.30154442148760335</v>
      </c>
    </row>
    <row r="257" spans="1:21" hidden="1" x14ac:dyDescent="0.25">
      <c r="B257" s="6" t="s">
        <v>93</v>
      </c>
      <c r="C257" s="15">
        <v>3461.44</v>
      </c>
      <c r="D257" s="16">
        <v>34.651000000000003</v>
      </c>
      <c r="E257" s="16">
        <v>39.459000000000003</v>
      </c>
      <c r="F257" s="16">
        <v>40.896999999999998</v>
      </c>
      <c r="G257" s="16">
        <v>32.299999999999997</v>
      </c>
      <c r="H257" s="16">
        <f t="shared" si="8"/>
        <v>36.03275</v>
      </c>
      <c r="I257" s="5"/>
      <c r="J257" s="15">
        <v>2406.1134000000002</v>
      </c>
      <c r="K257" s="16">
        <v>35.843400000000003</v>
      </c>
      <c r="L257" s="16">
        <v>40.469799999999999</v>
      </c>
      <c r="M257" s="16">
        <v>41.534199999999998</v>
      </c>
      <c r="N257" s="16">
        <v>31.0594</v>
      </c>
      <c r="O257" s="16">
        <f t="shared" si="9"/>
        <v>37.133049999999997</v>
      </c>
      <c r="P257" s="7"/>
      <c r="Q257" s="8">
        <f>bdrate(C257:C260,D257:D260,J257:J260,K257:K260)</f>
        <v>-0.57564487764327799</v>
      </c>
      <c r="R257" s="8">
        <f>bdrate(C257:C260,E257:E260,J257:J260,L257:L260)</f>
        <v>-0.52409379563522274</v>
      </c>
      <c r="S257" s="8">
        <f>bdrate(C257:C260,F257:F260,J257:J260,M257:M260)</f>
        <v>-0.44729128217310987</v>
      </c>
      <c r="T257" s="25">
        <f>bdrate(C257:C260,H257:H260,J257:J260,O257:O260)</f>
        <v>-0.56445084310782923</v>
      </c>
      <c r="U257" s="28">
        <f t="shared" si="10"/>
        <v>-3.8408668730650068E-2</v>
      </c>
    </row>
    <row r="258" spans="1:21" hidden="1" x14ac:dyDescent="0.25">
      <c r="B258" s="9"/>
      <c r="C258" s="17">
        <v>2311.96</v>
      </c>
      <c r="D258" s="18">
        <v>32.661999999999999</v>
      </c>
      <c r="E258" s="18">
        <v>38.436999999999998</v>
      </c>
      <c r="F258" s="18">
        <v>39.887999999999998</v>
      </c>
      <c r="G258" s="18">
        <v>34.94</v>
      </c>
      <c r="H258" s="18">
        <f t="shared" si="8"/>
        <v>34.287124999999996</v>
      </c>
      <c r="I258" s="5"/>
      <c r="J258" s="17">
        <v>1605.2895000000001</v>
      </c>
      <c r="K258" s="18">
        <v>34.408700000000003</v>
      </c>
      <c r="L258" s="18">
        <v>39.392899999999997</v>
      </c>
      <c r="M258" s="18">
        <v>40.4754</v>
      </c>
      <c r="N258" s="18">
        <v>37.749200000000002</v>
      </c>
      <c r="O258" s="18">
        <f t="shared" si="9"/>
        <v>35.790062499999998</v>
      </c>
      <c r="P258" s="7"/>
      <c r="Q258" s="10"/>
      <c r="R258" s="11"/>
      <c r="S258" s="11"/>
      <c r="T258" s="26"/>
      <c r="U258" s="28">
        <f t="shared" si="10"/>
        <v>8.0400686891814663E-2</v>
      </c>
    </row>
    <row r="259" spans="1:21" hidden="1" x14ac:dyDescent="0.25">
      <c r="B259" s="9"/>
      <c r="C259" s="17">
        <v>1443.79</v>
      </c>
      <c r="D259" s="18">
        <v>30.443999999999999</v>
      </c>
      <c r="E259" s="18">
        <v>37.396000000000001</v>
      </c>
      <c r="F259" s="18">
        <v>38.83</v>
      </c>
      <c r="G259" s="18">
        <v>37.450000000000003</v>
      </c>
      <c r="H259" s="18">
        <f t="shared" si="8"/>
        <v>32.361249999999998</v>
      </c>
      <c r="I259" s="5"/>
      <c r="J259" s="17">
        <v>1001.9719</v>
      </c>
      <c r="K259" s="18">
        <v>32.783900000000003</v>
      </c>
      <c r="L259" s="18">
        <v>38.2483</v>
      </c>
      <c r="M259" s="18">
        <v>39.349800000000002</v>
      </c>
      <c r="N259" s="18">
        <v>45.036900000000003</v>
      </c>
      <c r="O259" s="18">
        <f t="shared" si="9"/>
        <v>34.287687500000004</v>
      </c>
      <c r="P259" s="7"/>
      <c r="Q259" s="10"/>
      <c r="R259" s="11"/>
      <c r="S259" s="11"/>
      <c r="T259" s="26"/>
      <c r="U259" s="28">
        <f t="shared" si="10"/>
        <v>0.20258744993324432</v>
      </c>
    </row>
    <row r="260" spans="1:21" ht="16.5" hidden="1" thickBot="1" x14ac:dyDescent="0.3">
      <c r="B260" s="12"/>
      <c r="C260" s="19">
        <v>860.66</v>
      </c>
      <c r="D260" s="20">
        <v>28.116</v>
      </c>
      <c r="E260" s="20">
        <v>36.372999999999998</v>
      </c>
      <c r="F260" s="20">
        <v>37.784999999999997</v>
      </c>
      <c r="G260" s="20">
        <v>40</v>
      </c>
      <c r="H260" s="20">
        <f t="shared" si="8"/>
        <v>30.356749999999998</v>
      </c>
      <c r="I260" s="5"/>
      <c r="J260" s="19">
        <v>594.12689999999998</v>
      </c>
      <c r="K260" s="20">
        <v>31.091899999999999</v>
      </c>
      <c r="L260" s="20">
        <v>37.009099999999997</v>
      </c>
      <c r="M260" s="20">
        <v>38.113599999999998</v>
      </c>
      <c r="N260" s="20">
        <v>53.674500000000002</v>
      </c>
      <c r="O260" s="20">
        <f t="shared" si="9"/>
        <v>32.709262500000001</v>
      </c>
      <c r="P260" s="7"/>
      <c r="Q260" s="13"/>
      <c r="R260" s="14"/>
      <c r="S260" s="14"/>
      <c r="T260" s="27"/>
      <c r="U260" s="28">
        <f t="shared" si="10"/>
        <v>0.34186250000000007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>AVERAGE(Q9:Q80)</f>
        <v>-0.46855457548808549</v>
      </c>
      <c r="R261" s="21">
        <f>AVERAGE(R9:R80)</f>
        <v>-0.50681278747520908</v>
      </c>
      <c r="S261" s="21">
        <f>AVERAGE(S9:S80)</f>
        <v>-0.50837002058471226</v>
      </c>
      <c r="T261" s="21">
        <f>AVERAGE(T9:T80)</f>
        <v>-0.47865122675461286</v>
      </c>
      <c r="U261" s="21">
        <f>AVERAGE(U9:U80)</f>
        <v>-1.2828979019163344E-2</v>
      </c>
    </row>
    <row r="264" spans="1:21" s="35" customFormat="1" ht="15.75" customHeight="1" x14ac:dyDescent="0.25">
      <c r="B264" s="68" t="s">
        <v>29</v>
      </c>
      <c r="C264" s="73" t="s">
        <v>169</v>
      </c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5"/>
    </row>
    <row r="265" spans="1:21" s="35" customFormat="1" x14ac:dyDescent="0.25">
      <c r="B265" s="69"/>
      <c r="C265" s="76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8"/>
    </row>
    <row r="266" spans="1:21" ht="16.5" customHeight="1" thickBot="1" x14ac:dyDescent="0.3">
      <c r="C266" s="70" t="s">
        <v>133</v>
      </c>
      <c r="D266" s="71"/>
      <c r="E266" s="71"/>
      <c r="F266" s="71"/>
      <c r="G266" s="71"/>
      <c r="H266" s="71"/>
      <c r="I266" s="5"/>
      <c r="J266" s="70" t="s">
        <v>137</v>
      </c>
      <c r="K266" s="71"/>
      <c r="L266" s="71"/>
      <c r="M266" s="71"/>
      <c r="N266" s="71"/>
      <c r="O266" s="71"/>
      <c r="Q266" s="70" t="s">
        <v>7</v>
      </c>
      <c r="R266" s="71"/>
      <c r="S266" s="72"/>
      <c r="T266" s="36"/>
      <c r="U266" s="79" t="s">
        <v>45</v>
      </c>
    </row>
    <row r="267" spans="1:21" ht="16.5" thickBot="1" x14ac:dyDescent="0.3">
      <c r="C267" s="2" t="s">
        <v>64</v>
      </c>
      <c r="D267" s="3" t="s">
        <v>30</v>
      </c>
      <c r="E267" s="3" t="s">
        <v>31</v>
      </c>
      <c r="F267" s="3" t="s">
        <v>32</v>
      </c>
      <c r="G267" s="3" t="s">
        <v>33</v>
      </c>
      <c r="H267" s="3" t="s">
        <v>34</v>
      </c>
      <c r="I267" s="1"/>
      <c r="J267" s="2" t="s">
        <v>64</v>
      </c>
      <c r="K267" s="3" t="s">
        <v>30</v>
      </c>
      <c r="L267" s="3" t="s">
        <v>31</v>
      </c>
      <c r="M267" s="3" t="s">
        <v>32</v>
      </c>
      <c r="N267" s="3" t="s">
        <v>33</v>
      </c>
      <c r="O267" s="3" t="s">
        <v>34</v>
      </c>
      <c r="Q267" s="2" t="s">
        <v>4</v>
      </c>
      <c r="R267" s="3" t="s">
        <v>5</v>
      </c>
      <c r="S267" s="4" t="s">
        <v>6</v>
      </c>
      <c r="T267" s="24" t="s">
        <v>21</v>
      </c>
      <c r="U267" s="79"/>
    </row>
    <row r="268" spans="1:21" x14ac:dyDescent="0.25">
      <c r="A268" s="6" t="s">
        <v>35</v>
      </c>
      <c r="B268" s="6" t="s">
        <v>46</v>
      </c>
      <c r="C268" s="15">
        <v>5906.76</v>
      </c>
      <c r="D268" s="16">
        <v>36.969000000000001</v>
      </c>
      <c r="E268" s="16">
        <v>38.771000000000001</v>
      </c>
      <c r="F268" s="16">
        <v>41.063000000000002</v>
      </c>
      <c r="G268" s="16">
        <v>48.06</v>
      </c>
      <c r="H268" s="16">
        <f t="shared" ref="H268:H339" si="11">(6*D268+E268+F268)/8</f>
        <v>37.706000000000003</v>
      </c>
      <c r="I268" s="5"/>
      <c r="J268" s="15">
        <v>4052.8703999999998</v>
      </c>
      <c r="K268" s="16">
        <v>37.804099999999998</v>
      </c>
      <c r="L268" s="16">
        <v>39.499899999999997</v>
      </c>
      <c r="M268" s="16">
        <v>42.012</v>
      </c>
      <c r="N268" s="16">
        <v>34.706200000000003</v>
      </c>
      <c r="O268" s="16">
        <f t="shared" ref="O268:O339" si="12">(6*K268+L268+M268)/8</f>
        <v>38.542062499999993</v>
      </c>
      <c r="P268" s="7"/>
      <c r="Q268" s="8">
        <f>bdrate(C268:C271,D268:D271,J268:J271,K268:K271)</f>
        <v>-0.47799956878648187</v>
      </c>
      <c r="R268" s="8">
        <f>bdrate(C268:C271,E268:E271,J268:J271,L268:L271)</f>
        <v>-0.50714236975528304</v>
      </c>
      <c r="S268" s="8">
        <f>bdrate(C268:C271,F268:F271,J268:J271,M268:M271)</f>
        <v>-0.51152260421115614</v>
      </c>
      <c r="T268" s="25">
        <f>bdrate(C268:C271,H268:H271,J268:J271,O268:O271)</f>
        <v>-0.48300854639552471</v>
      </c>
      <c r="U268" s="28">
        <f t="shared" ref="U268:U299" si="13">(N268-G268)/G268</f>
        <v>-0.27785684560965457</v>
      </c>
    </row>
    <row r="269" spans="1:21" x14ac:dyDescent="0.25">
      <c r="A269" s="9" t="s">
        <v>36</v>
      </c>
      <c r="B269" s="9"/>
      <c r="C269" s="17">
        <v>4362.6899999999996</v>
      </c>
      <c r="D269" s="18">
        <v>35.905999999999999</v>
      </c>
      <c r="E269" s="18">
        <v>38.317999999999998</v>
      </c>
      <c r="F269" s="18">
        <v>40.582000000000001</v>
      </c>
      <c r="G269" s="18">
        <v>53.13</v>
      </c>
      <c r="H269" s="18">
        <f t="shared" si="11"/>
        <v>36.791999999999994</v>
      </c>
      <c r="I269" s="5"/>
      <c r="J269" s="17">
        <v>2900.576</v>
      </c>
      <c r="K269" s="18">
        <v>36.742899999999999</v>
      </c>
      <c r="L269" s="18">
        <v>38.905900000000003</v>
      </c>
      <c r="M269" s="18">
        <v>41.269399999999997</v>
      </c>
      <c r="N269" s="18">
        <v>54.624899999999997</v>
      </c>
      <c r="O269" s="18">
        <f t="shared" si="12"/>
        <v>37.5790875</v>
      </c>
      <c r="P269" s="7"/>
      <c r="Q269" s="10"/>
      <c r="R269" s="11"/>
      <c r="S269" s="11"/>
      <c r="T269" s="26"/>
      <c r="U269" s="28">
        <f t="shared" si="13"/>
        <v>2.8136645962732808E-2</v>
      </c>
    </row>
    <row r="270" spans="1:21" x14ac:dyDescent="0.25">
      <c r="B270" s="9"/>
      <c r="C270" s="17">
        <v>2859.46</v>
      </c>
      <c r="D270" s="18">
        <v>34.274999999999999</v>
      </c>
      <c r="E270" s="18">
        <v>37.656999999999996</v>
      </c>
      <c r="F270" s="18">
        <v>39.887999999999998</v>
      </c>
      <c r="G270" s="18">
        <v>55.25</v>
      </c>
      <c r="H270" s="18">
        <f t="shared" si="11"/>
        <v>35.399374999999992</v>
      </c>
      <c r="I270" s="5"/>
      <c r="J270" s="17">
        <v>1922.2560000000001</v>
      </c>
      <c r="K270" s="18">
        <v>35.195999999999998</v>
      </c>
      <c r="L270" s="18">
        <v>38.202100000000002</v>
      </c>
      <c r="M270" s="18">
        <v>40.490600000000001</v>
      </c>
      <c r="N270" s="18">
        <v>60.606099999999998</v>
      </c>
      <c r="O270" s="18">
        <f t="shared" si="12"/>
        <v>36.233587499999999</v>
      </c>
      <c r="P270" s="7"/>
      <c r="Q270" s="10"/>
      <c r="R270" s="11"/>
      <c r="S270" s="11"/>
      <c r="T270" s="26"/>
      <c r="U270" s="28">
        <f t="shared" si="13"/>
        <v>9.6942986425339328E-2</v>
      </c>
    </row>
    <row r="271" spans="1:21" ht="16.5" thickBot="1" x14ac:dyDescent="0.3">
      <c r="B271" s="12"/>
      <c r="C271" s="19">
        <v>1390.8</v>
      </c>
      <c r="D271" s="20">
        <v>30.922000000000001</v>
      </c>
      <c r="E271" s="20">
        <v>36.572000000000003</v>
      </c>
      <c r="F271" s="20">
        <v>38.728000000000002</v>
      </c>
      <c r="G271" s="20">
        <v>57.23</v>
      </c>
      <c r="H271" s="20">
        <f t="shared" si="11"/>
        <v>32.603999999999999</v>
      </c>
      <c r="I271" s="5"/>
      <c r="J271" s="19">
        <v>923.32159999999999</v>
      </c>
      <c r="K271" s="20">
        <v>32.408900000000003</v>
      </c>
      <c r="L271" s="20">
        <v>36.8551</v>
      </c>
      <c r="M271" s="20">
        <v>39.032200000000003</v>
      </c>
      <c r="N271" s="20">
        <v>71.736000000000004</v>
      </c>
      <c r="O271" s="20">
        <f t="shared" si="12"/>
        <v>33.792587500000003</v>
      </c>
      <c r="P271" s="7"/>
      <c r="Q271" s="13"/>
      <c r="R271" s="14"/>
      <c r="S271" s="14"/>
      <c r="T271" s="27"/>
      <c r="U271" s="28">
        <f t="shared" si="13"/>
        <v>0.25346846059758882</v>
      </c>
    </row>
    <row r="272" spans="1:21" x14ac:dyDescent="0.25">
      <c r="B272" s="6" t="s">
        <v>47</v>
      </c>
      <c r="C272" s="15">
        <v>6656.77</v>
      </c>
      <c r="D272" s="16">
        <v>28.562999999999999</v>
      </c>
      <c r="E272" s="16">
        <v>39.088000000000001</v>
      </c>
      <c r="F272" s="16">
        <v>39.884999999999998</v>
      </c>
      <c r="G272" s="16">
        <v>45.14</v>
      </c>
      <c r="H272" s="16">
        <f t="shared" si="11"/>
        <v>31.293874999999996</v>
      </c>
      <c r="I272" s="5"/>
      <c r="J272" s="15">
        <v>4148.8527999999997</v>
      </c>
      <c r="K272" s="16">
        <v>29.260899999999999</v>
      </c>
      <c r="L272" s="16">
        <v>39.205300000000001</v>
      </c>
      <c r="M272" s="16">
        <v>40.158799999999999</v>
      </c>
      <c r="N272" s="16">
        <v>27.154199999999999</v>
      </c>
      <c r="O272" s="16">
        <f t="shared" si="12"/>
        <v>31.866187500000002</v>
      </c>
      <c r="P272" s="7"/>
      <c r="Q272" s="8">
        <f>bdrate(C272:C275,D272:D275,J272:J275,K272:K275)</f>
        <v>-0.50592363642307614</v>
      </c>
      <c r="R272" s="8">
        <f>bdrate(C272:C275,E272:E275,J272:J275,L272:L275)</f>
        <v>-0.39249717393130457</v>
      </c>
      <c r="S272" s="8">
        <f>bdrate(C272:C275,F272:F275,J272:J275,M272:M275)</f>
        <v>-0.44041262329814757</v>
      </c>
      <c r="T272" s="25">
        <f>bdrate(C272:C275,H272:H275,J272:J275,O272:O275)</f>
        <v>-0.49655986386786988</v>
      </c>
      <c r="U272" s="28">
        <f t="shared" si="13"/>
        <v>-0.39844483828090388</v>
      </c>
    </row>
    <row r="273" spans="1:21" x14ac:dyDescent="0.25">
      <c r="B273" s="9"/>
      <c r="C273" s="17">
        <v>4995.1000000000004</v>
      </c>
      <c r="D273" s="18">
        <v>27.12</v>
      </c>
      <c r="E273" s="18">
        <v>38.566000000000003</v>
      </c>
      <c r="F273" s="18">
        <v>39.484000000000002</v>
      </c>
      <c r="G273" s="18">
        <v>49.57</v>
      </c>
      <c r="H273" s="18">
        <f t="shared" si="11"/>
        <v>30.096250000000001</v>
      </c>
      <c r="I273" s="5"/>
      <c r="J273" s="17">
        <v>3061.6239999999998</v>
      </c>
      <c r="K273" s="18">
        <v>27.892600000000002</v>
      </c>
      <c r="L273" s="18">
        <v>38.6708</v>
      </c>
      <c r="M273" s="18">
        <v>39.712400000000002</v>
      </c>
      <c r="N273" s="18">
        <v>42.734999999999999</v>
      </c>
      <c r="O273" s="18">
        <f t="shared" si="12"/>
        <v>30.717350000000003</v>
      </c>
      <c r="P273" s="7"/>
      <c r="Q273" s="10"/>
      <c r="R273" s="11"/>
      <c r="S273" s="11"/>
      <c r="T273" s="26"/>
      <c r="U273" s="28">
        <f t="shared" si="13"/>
        <v>-0.13788581803510189</v>
      </c>
    </row>
    <row r="274" spans="1:21" x14ac:dyDescent="0.25">
      <c r="B274" s="9"/>
      <c r="C274" s="17">
        <v>3210.31</v>
      </c>
      <c r="D274" s="18">
        <v>24.861999999999998</v>
      </c>
      <c r="E274" s="18">
        <v>37.792000000000002</v>
      </c>
      <c r="F274" s="18">
        <v>38.747</v>
      </c>
      <c r="G274" s="18">
        <v>54.33</v>
      </c>
      <c r="H274" s="18">
        <f t="shared" si="11"/>
        <v>28.213875000000002</v>
      </c>
      <c r="I274" s="5"/>
      <c r="J274" s="17">
        <v>2052.6608000000001</v>
      </c>
      <c r="K274" s="18">
        <v>26.138999999999999</v>
      </c>
      <c r="L274" s="18">
        <v>37.835999999999999</v>
      </c>
      <c r="M274" s="18">
        <v>38.975299999999997</v>
      </c>
      <c r="N274" s="18">
        <v>48.309199999999997</v>
      </c>
      <c r="O274" s="18">
        <f t="shared" si="12"/>
        <v>29.205662500000003</v>
      </c>
      <c r="P274" s="7"/>
      <c r="Q274" s="10"/>
      <c r="R274" s="11"/>
      <c r="S274" s="11"/>
      <c r="T274" s="26"/>
      <c r="U274" s="28">
        <f t="shared" si="13"/>
        <v>-0.11081906865451871</v>
      </c>
    </row>
    <row r="275" spans="1:21" ht="16.5" thickBot="1" x14ac:dyDescent="0.3">
      <c r="B275" s="12"/>
      <c r="C275" s="19">
        <v>1786.27</v>
      </c>
      <c r="D275" s="20">
        <v>22.268000000000001</v>
      </c>
      <c r="E275" s="20">
        <v>35.76</v>
      </c>
      <c r="F275" s="20">
        <v>36.933</v>
      </c>
      <c r="G275" s="20">
        <v>57.23</v>
      </c>
      <c r="H275" s="20">
        <f t="shared" si="11"/>
        <v>25.787624999999998</v>
      </c>
      <c r="I275" s="5"/>
      <c r="J275" s="19">
        <v>1226.5536</v>
      </c>
      <c r="K275" s="20">
        <v>24.321000000000002</v>
      </c>
      <c r="L275" s="20">
        <v>36.455800000000004</v>
      </c>
      <c r="M275" s="20">
        <v>37.704599999999999</v>
      </c>
      <c r="N275" s="20">
        <v>56.882800000000003</v>
      </c>
      <c r="O275" s="20">
        <f t="shared" si="12"/>
        <v>27.510800000000003</v>
      </c>
      <c r="P275" s="7"/>
      <c r="Q275" s="13"/>
      <c r="R275" s="14"/>
      <c r="S275" s="14"/>
      <c r="T275" s="27"/>
      <c r="U275" s="28">
        <f t="shared" si="13"/>
        <v>-6.0667482089811946E-3</v>
      </c>
    </row>
    <row r="276" spans="1:21" x14ac:dyDescent="0.25">
      <c r="A276" s="6" t="s">
        <v>37</v>
      </c>
      <c r="B276" s="6" t="s">
        <v>48</v>
      </c>
      <c r="C276" s="15">
        <v>3027.51</v>
      </c>
      <c r="D276" s="16">
        <v>37.984000000000002</v>
      </c>
      <c r="E276" s="16">
        <v>41.488999999999997</v>
      </c>
      <c r="F276" s="16">
        <v>42.491999999999997</v>
      </c>
      <c r="G276" s="16">
        <v>83.62</v>
      </c>
      <c r="H276" s="16">
        <f t="shared" si="11"/>
        <v>38.985624999999999</v>
      </c>
      <c r="I276" s="5"/>
      <c r="J276" s="15">
        <v>2420.2456000000002</v>
      </c>
      <c r="K276" s="16">
        <v>39.044600000000003</v>
      </c>
      <c r="L276" s="16">
        <v>41.850299999999997</v>
      </c>
      <c r="M276" s="16">
        <v>43.208799999999997</v>
      </c>
      <c r="N276" s="16">
        <v>66.28</v>
      </c>
      <c r="O276" s="16">
        <f t="shared" si="12"/>
        <v>39.915837500000002</v>
      </c>
      <c r="P276" s="7"/>
      <c r="Q276" s="8">
        <f>bdrate(C276:C279,D276:D279,J276:J279,K276:K279)</f>
        <v>-0.48671876237900635</v>
      </c>
      <c r="R276" s="8">
        <f>bdrate(C276:C279,E276:E279,J276:J279,L276:L279)</f>
        <v>-0.36928136527940825</v>
      </c>
      <c r="S276" s="8">
        <f>bdrate(C276:C279,F276:F279,J276:J279,M276:M279)</f>
        <v>-0.47593228579670488</v>
      </c>
      <c r="T276" s="25">
        <f>bdrate(C276:C279,H276:H279,J276:J279,O276:O279)</f>
        <v>-0.47888314310937308</v>
      </c>
      <c r="U276" s="28">
        <f t="shared" si="13"/>
        <v>-0.20736665869409235</v>
      </c>
    </row>
    <row r="277" spans="1:21" x14ac:dyDescent="0.25">
      <c r="A277" s="9" t="s">
        <v>38</v>
      </c>
      <c r="B277" s="9"/>
      <c r="C277" s="17">
        <v>1995.54</v>
      </c>
      <c r="D277" s="18">
        <v>36.457000000000001</v>
      </c>
      <c r="E277" s="18">
        <v>40.786999999999999</v>
      </c>
      <c r="F277" s="18">
        <v>41.673999999999999</v>
      </c>
      <c r="G277" s="18">
        <v>92.7</v>
      </c>
      <c r="H277" s="18">
        <f t="shared" si="11"/>
        <v>37.650374999999997</v>
      </c>
      <c r="I277" s="5"/>
      <c r="J277" s="17">
        <v>1583.7983999999999</v>
      </c>
      <c r="K277" s="18">
        <v>37.781300000000002</v>
      </c>
      <c r="L277" s="18">
        <v>41.152500000000003</v>
      </c>
      <c r="M277" s="18">
        <v>42.400199999999998</v>
      </c>
      <c r="N277" s="18">
        <v>100.5446</v>
      </c>
      <c r="O277" s="18">
        <f t="shared" si="12"/>
        <v>38.7800625</v>
      </c>
      <c r="P277" s="7"/>
      <c r="Q277" s="10"/>
      <c r="R277" s="11"/>
      <c r="S277" s="11"/>
      <c r="T277" s="26"/>
      <c r="U277" s="28">
        <f t="shared" si="13"/>
        <v>8.46235167206041E-2</v>
      </c>
    </row>
    <row r="278" spans="1:21" x14ac:dyDescent="0.25">
      <c r="B278" s="9"/>
      <c r="C278" s="17">
        <v>1236.3800000000001</v>
      </c>
      <c r="D278" s="18">
        <v>34.499000000000002</v>
      </c>
      <c r="E278" s="18">
        <v>39.988</v>
      </c>
      <c r="F278" s="18">
        <v>40.927999999999997</v>
      </c>
      <c r="G278" s="18">
        <v>102.48</v>
      </c>
      <c r="H278" s="18">
        <f t="shared" si="11"/>
        <v>35.988750000000003</v>
      </c>
      <c r="I278" s="5"/>
      <c r="J278" s="17">
        <v>966.42160000000001</v>
      </c>
      <c r="K278" s="18">
        <v>36.190600000000003</v>
      </c>
      <c r="L278" s="18">
        <v>40.315100000000001</v>
      </c>
      <c r="M278" s="18">
        <v>41.529699999999998</v>
      </c>
      <c r="N278" s="18">
        <v>114.72280000000001</v>
      </c>
      <c r="O278" s="18">
        <f t="shared" si="12"/>
        <v>37.373550000000002</v>
      </c>
      <c r="P278" s="7"/>
      <c r="Q278" s="10"/>
      <c r="R278" s="11"/>
      <c r="S278" s="11"/>
      <c r="T278" s="26"/>
      <c r="U278" s="28">
        <f t="shared" si="13"/>
        <v>0.11946526151444187</v>
      </c>
    </row>
    <row r="279" spans="1:21" ht="16.5" thickBot="1" x14ac:dyDescent="0.3">
      <c r="B279" s="12"/>
      <c r="C279" s="19">
        <v>737.05</v>
      </c>
      <c r="D279" s="20">
        <v>32.176000000000002</v>
      </c>
      <c r="E279" s="20">
        <v>39.122999999999998</v>
      </c>
      <c r="F279" s="20">
        <v>40.091999999999999</v>
      </c>
      <c r="G279" s="20">
        <v>107.53</v>
      </c>
      <c r="H279" s="20">
        <f t="shared" si="11"/>
        <v>34.033875000000002</v>
      </c>
      <c r="I279" s="5"/>
      <c r="J279" s="19">
        <v>540.23919999999998</v>
      </c>
      <c r="K279" s="20">
        <v>34.258800000000001</v>
      </c>
      <c r="L279" s="20">
        <v>39.5259</v>
      </c>
      <c r="M279" s="20">
        <v>40.796599999999998</v>
      </c>
      <c r="N279" s="20">
        <v>131.5068</v>
      </c>
      <c r="O279" s="20">
        <f t="shared" si="12"/>
        <v>35.734412499999998</v>
      </c>
      <c r="P279" s="7"/>
      <c r="Q279" s="13"/>
      <c r="R279" s="14"/>
      <c r="S279" s="14"/>
      <c r="T279" s="27"/>
      <c r="U279" s="28">
        <f t="shared" si="13"/>
        <v>0.22297777364456428</v>
      </c>
    </row>
    <row r="280" spans="1:21" x14ac:dyDescent="0.25">
      <c r="B280" s="6" t="s">
        <v>49</v>
      </c>
      <c r="C280" s="15">
        <v>3459.85</v>
      </c>
      <c r="D280" s="16">
        <v>35.295000000000002</v>
      </c>
      <c r="E280" s="16">
        <v>38.71</v>
      </c>
      <c r="F280" s="16">
        <v>39.929000000000002</v>
      </c>
      <c r="G280" s="16">
        <v>93.71</v>
      </c>
      <c r="H280" s="16">
        <f t="shared" si="11"/>
        <v>36.301124999999999</v>
      </c>
      <c r="I280" s="5"/>
      <c r="J280" s="15">
        <v>2593.6104</v>
      </c>
      <c r="K280" s="16">
        <v>36.0837</v>
      </c>
      <c r="L280" s="16">
        <v>39.983199999999997</v>
      </c>
      <c r="M280" s="16">
        <v>41.217300000000002</v>
      </c>
      <c r="N280" s="16">
        <v>67.4726</v>
      </c>
      <c r="O280" s="16">
        <f t="shared" si="12"/>
        <v>37.212837500000006</v>
      </c>
      <c r="P280" s="7"/>
      <c r="Q280" s="8">
        <f>bdrate(C280:C283,D280:D283,J280:J283,K280:K283)</f>
        <v>-0.47555558637966844</v>
      </c>
      <c r="R280" s="8">
        <f>bdrate(C280:C283,E280:E283,J280:J283,L280:L283)</f>
        <v>-0.57826789659811606</v>
      </c>
      <c r="S280" s="8">
        <f>bdrate(C280:C283,F280:F283,J280:J283,M280:M283)</f>
        <v>-0.58914064350165229</v>
      </c>
      <c r="T280" s="25">
        <f>bdrate(C280:C283,H280:H283,J280:J283,O280:O283)</f>
        <v>-0.49348121413806134</v>
      </c>
      <c r="U280" s="28">
        <f t="shared" si="13"/>
        <v>-0.2799850602923914</v>
      </c>
    </row>
    <row r="281" spans="1:21" x14ac:dyDescent="0.25">
      <c r="B281" s="9"/>
      <c r="C281" s="17">
        <v>2292.25</v>
      </c>
      <c r="D281" s="18">
        <v>33.765000000000001</v>
      </c>
      <c r="E281" s="18">
        <v>38.06</v>
      </c>
      <c r="F281" s="18">
        <v>39.408000000000001</v>
      </c>
      <c r="G281" s="18">
        <v>104.67</v>
      </c>
      <c r="H281" s="18">
        <f t="shared" si="11"/>
        <v>35.007249999999999</v>
      </c>
      <c r="I281" s="5"/>
      <c r="J281" s="17">
        <v>1698.3352</v>
      </c>
      <c r="K281" s="18">
        <v>34.773299999999999</v>
      </c>
      <c r="L281" s="18">
        <v>39.167400000000001</v>
      </c>
      <c r="M281" s="18">
        <v>40.401499999999999</v>
      </c>
      <c r="N281" s="18">
        <v>98.603099999999998</v>
      </c>
      <c r="O281" s="18">
        <f t="shared" si="12"/>
        <v>36.026087499999996</v>
      </c>
      <c r="P281" s="7"/>
      <c r="Q281" s="10"/>
      <c r="R281" s="11"/>
      <c r="S281" s="11"/>
      <c r="T281" s="26"/>
      <c r="U281" s="28">
        <f t="shared" si="13"/>
        <v>-5.7962166809974243E-2</v>
      </c>
    </row>
    <row r="282" spans="1:21" x14ac:dyDescent="0.25">
      <c r="B282" s="9"/>
      <c r="C282" s="17">
        <v>1420.28</v>
      </c>
      <c r="D282" s="18">
        <v>31.957999999999998</v>
      </c>
      <c r="E282" s="18">
        <v>37.348999999999997</v>
      </c>
      <c r="F282" s="18">
        <v>38.765000000000001</v>
      </c>
      <c r="G282" s="18">
        <v>113.96</v>
      </c>
      <c r="H282" s="18">
        <f t="shared" si="11"/>
        <v>33.482749999999996</v>
      </c>
      <c r="I282" s="5"/>
      <c r="J282" s="17">
        <v>1023.1048</v>
      </c>
      <c r="K282" s="18">
        <v>33.190600000000003</v>
      </c>
      <c r="L282" s="18">
        <v>38.169899999999998</v>
      </c>
      <c r="M282" s="18">
        <v>39.511400000000002</v>
      </c>
      <c r="N282" s="18">
        <v>116.50490000000001</v>
      </c>
      <c r="O282" s="18">
        <f t="shared" si="12"/>
        <v>34.603112500000002</v>
      </c>
      <c r="P282" s="7"/>
      <c r="Q282" s="10"/>
      <c r="R282" s="11"/>
      <c r="S282" s="11"/>
      <c r="T282" s="26"/>
      <c r="U282" s="28">
        <f t="shared" si="13"/>
        <v>2.2331519831519944E-2</v>
      </c>
    </row>
    <row r="283" spans="1:21" ht="16.5" thickBot="1" x14ac:dyDescent="0.3">
      <c r="B283" s="12"/>
      <c r="C283" s="19">
        <v>846.05</v>
      </c>
      <c r="D283" s="20">
        <v>29.966999999999999</v>
      </c>
      <c r="E283" s="20">
        <v>36.673999999999999</v>
      </c>
      <c r="F283" s="20">
        <v>38.143999999999998</v>
      </c>
      <c r="G283" s="20">
        <v>120.24</v>
      </c>
      <c r="H283" s="20">
        <f t="shared" si="11"/>
        <v>31.827500000000001</v>
      </c>
      <c r="I283" s="5"/>
      <c r="J283" s="19">
        <v>592.01520000000005</v>
      </c>
      <c r="K283" s="20">
        <v>31.520199999999999</v>
      </c>
      <c r="L283" s="20">
        <v>37.2395</v>
      </c>
      <c r="M283" s="20">
        <v>38.7652</v>
      </c>
      <c r="N283" s="20">
        <v>132.66999999999999</v>
      </c>
      <c r="O283" s="20">
        <f t="shared" si="12"/>
        <v>33.1407375</v>
      </c>
      <c r="P283" s="7"/>
      <c r="Q283" s="13"/>
      <c r="R283" s="14"/>
      <c r="S283" s="14"/>
      <c r="T283" s="27"/>
      <c r="U283" s="28">
        <f t="shared" si="13"/>
        <v>0.1033765801729873</v>
      </c>
    </row>
    <row r="284" spans="1:21" x14ac:dyDescent="0.25">
      <c r="B284" s="6" t="s">
        <v>50</v>
      </c>
      <c r="C284" s="15">
        <v>3574.57</v>
      </c>
      <c r="D284" s="16">
        <v>33.496000000000002</v>
      </c>
      <c r="E284" s="16">
        <v>37.649000000000001</v>
      </c>
      <c r="F284" s="16">
        <v>38.997</v>
      </c>
      <c r="G284" s="16">
        <v>103.99</v>
      </c>
      <c r="H284" s="16">
        <f t="shared" si="11"/>
        <v>34.702750000000002</v>
      </c>
      <c r="I284" s="5"/>
      <c r="J284" s="15">
        <v>2467.5672</v>
      </c>
      <c r="K284" s="16">
        <v>34.1691</v>
      </c>
      <c r="L284" s="16">
        <v>38.070999999999998</v>
      </c>
      <c r="M284" s="16">
        <v>40.0077</v>
      </c>
      <c r="N284" s="16">
        <v>74.716099999999997</v>
      </c>
      <c r="O284" s="16">
        <f t="shared" si="12"/>
        <v>35.3866625</v>
      </c>
      <c r="P284" s="7"/>
      <c r="Q284" s="8">
        <f>bdrate(C284:C287,D284:D287,J284:J287,K284:K287)</f>
        <v>-0.50493319641861634</v>
      </c>
      <c r="R284" s="8">
        <f>bdrate(C284:C287,E284:E287,J284:J287,L284:L287)</f>
        <v>-0.49085613198864775</v>
      </c>
      <c r="S284" s="8">
        <f>bdrate(C284:C287,F284:F287,J284:J287,M284:M287)</f>
        <v>-0.5294475252679065</v>
      </c>
      <c r="T284" s="25">
        <f>bdrate(C284:C287,H284:H287,J284:J287,O284:O287)</f>
        <v>-0.50829741549616791</v>
      </c>
      <c r="U284" s="28">
        <f t="shared" si="13"/>
        <v>-0.28150687566112126</v>
      </c>
    </row>
    <row r="285" spans="1:21" x14ac:dyDescent="0.25">
      <c r="B285" s="9"/>
      <c r="C285" s="17">
        <v>2368.64</v>
      </c>
      <c r="D285" s="18">
        <v>31.972000000000001</v>
      </c>
      <c r="E285" s="18">
        <v>37.134</v>
      </c>
      <c r="F285" s="18">
        <v>38.152999999999999</v>
      </c>
      <c r="G285" s="18">
        <v>115.69</v>
      </c>
      <c r="H285" s="18">
        <f t="shared" si="11"/>
        <v>33.389875000000004</v>
      </c>
      <c r="I285" s="5"/>
      <c r="J285" s="17">
        <v>1640.1264000000001</v>
      </c>
      <c r="K285" s="18">
        <v>32.963000000000001</v>
      </c>
      <c r="L285" s="18">
        <v>37.604199999999999</v>
      </c>
      <c r="M285" s="18">
        <v>39.1053</v>
      </c>
      <c r="N285" s="18">
        <v>126.6785</v>
      </c>
      <c r="O285" s="18">
        <f t="shared" si="12"/>
        <v>34.310937500000001</v>
      </c>
      <c r="P285" s="7"/>
      <c r="Q285" s="10"/>
      <c r="R285" s="11"/>
      <c r="S285" s="11"/>
      <c r="T285" s="26"/>
      <c r="U285" s="28">
        <f t="shared" si="13"/>
        <v>9.4982280231653574E-2</v>
      </c>
    </row>
    <row r="286" spans="1:21" x14ac:dyDescent="0.25">
      <c r="B286" s="9"/>
      <c r="C286" s="17">
        <v>1474.3</v>
      </c>
      <c r="D286" s="18">
        <v>29.984000000000002</v>
      </c>
      <c r="E286" s="18">
        <v>36.540999999999997</v>
      </c>
      <c r="F286" s="18">
        <v>37.189</v>
      </c>
      <c r="G286" s="18">
        <v>120.45</v>
      </c>
      <c r="H286" s="18">
        <f t="shared" si="11"/>
        <v>31.704249999999998</v>
      </c>
      <c r="I286" s="5"/>
      <c r="J286" s="17">
        <v>1002.208</v>
      </c>
      <c r="K286" s="18">
        <v>31.346699999999998</v>
      </c>
      <c r="L286" s="18">
        <v>36.912999999999997</v>
      </c>
      <c r="M286" s="18">
        <v>37.958300000000001</v>
      </c>
      <c r="N286" s="18">
        <v>138.69630000000001</v>
      </c>
      <c r="O286" s="18">
        <f t="shared" si="12"/>
        <v>32.868937500000001</v>
      </c>
      <c r="P286" s="7"/>
      <c r="Q286" s="10"/>
      <c r="R286" s="11"/>
      <c r="S286" s="11"/>
      <c r="T286" s="26"/>
      <c r="U286" s="28">
        <f t="shared" si="13"/>
        <v>0.15148443337484438</v>
      </c>
    </row>
    <row r="287" spans="1:21" ht="16.5" thickBot="1" x14ac:dyDescent="0.3">
      <c r="B287" s="12"/>
      <c r="C287" s="19">
        <v>879.79</v>
      </c>
      <c r="D287" s="20">
        <v>27.626999999999999</v>
      </c>
      <c r="E287" s="20">
        <v>35.869999999999997</v>
      </c>
      <c r="F287" s="20">
        <v>36.261000000000003</v>
      </c>
      <c r="G287" s="20">
        <v>123.76</v>
      </c>
      <c r="H287" s="20">
        <f t="shared" si="11"/>
        <v>29.736625</v>
      </c>
      <c r="I287" s="5"/>
      <c r="J287" s="19">
        <v>587.51520000000005</v>
      </c>
      <c r="K287" s="20">
        <v>29.5505</v>
      </c>
      <c r="L287" s="20">
        <v>36.105800000000002</v>
      </c>
      <c r="M287" s="20">
        <v>36.691000000000003</v>
      </c>
      <c r="N287" s="20">
        <v>152.62520000000001</v>
      </c>
      <c r="O287" s="20">
        <f t="shared" si="12"/>
        <v>31.262474999999998</v>
      </c>
      <c r="P287" s="7"/>
      <c r="Q287" s="13"/>
      <c r="R287" s="14"/>
      <c r="S287" s="14"/>
      <c r="T287" s="27"/>
      <c r="U287" s="28">
        <f t="shared" si="13"/>
        <v>0.23323529411764707</v>
      </c>
    </row>
    <row r="288" spans="1:21" x14ac:dyDescent="0.25">
      <c r="B288" s="6" t="s">
        <v>51</v>
      </c>
      <c r="C288" s="29">
        <v>3594.75</v>
      </c>
      <c r="D288" s="30">
        <v>32.722999999999999</v>
      </c>
      <c r="E288" s="30">
        <v>39.253</v>
      </c>
      <c r="F288" s="30">
        <v>38.896000000000001</v>
      </c>
      <c r="G288" s="16">
        <v>95.97</v>
      </c>
      <c r="H288" s="16">
        <f t="shared" si="11"/>
        <v>34.310875000000003</v>
      </c>
      <c r="I288" s="5"/>
      <c r="J288" s="29">
        <v>2474.5279999999998</v>
      </c>
      <c r="K288" s="30">
        <v>34.033700000000003</v>
      </c>
      <c r="L288" s="30">
        <v>40.1053</v>
      </c>
      <c r="M288" s="30">
        <v>39.532299999999999</v>
      </c>
      <c r="N288" s="16">
        <v>71.357200000000006</v>
      </c>
      <c r="O288" s="16">
        <f t="shared" si="12"/>
        <v>35.479975000000003</v>
      </c>
      <c r="P288" s="7"/>
      <c r="Q288" s="8">
        <f>bdrate(C288:C291,D288:D291,J288:J291,K288:K291)</f>
        <v>-0.59351227620127256</v>
      </c>
      <c r="R288" s="8">
        <f>bdrate(C288:C291,E288:E291,J288:J291,L288:L291)</f>
        <v>-0.52588019565239286</v>
      </c>
      <c r="S288" s="8">
        <f>bdrate(C288:C291,F288:F291,J288:J291,M288:M291)</f>
        <v>-0.37484385188583091</v>
      </c>
      <c r="T288" s="25">
        <f>bdrate(C288:C291,H288:H291,J288:J291,O288:O291)</f>
        <v>-0.57679137222215893</v>
      </c>
      <c r="U288" s="28">
        <f t="shared" si="13"/>
        <v>-0.25646347817026149</v>
      </c>
    </row>
    <row r="289" spans="1:21" x14ac:dyDescent="0.25">
      <c r="B289" s="9"/>
      <c r="C289" s="31">
        <v>2385.96</v>
      </c>
      <c r="D289" s="32">
        <v>30.704999999999998</v>
      </c>
      <c r="E289" s="32">
        <v>38.412999999999997</v>
      </c>
      <c r="F289" s="32">
        <v>37.997999999999998</v>
      </c>
      <c r="G289" s="18">
        <v>106.84</v>
      </c>
      <c r="H289" s="18">
        <f t="shared" si="11"/>
        <v>32.580124999999995</v>
      </c>
      <c r="I289" s="5"/>
      <c r="J289" s="31">
        <v>1648.336</v>
      </c>
      <c r="K289" s="32">
        <v>32.6663</v>
      </c>
      <c r="L289" s="32">
        <v>39.314799999999998</v>
      </c>
      <c r="M289" s="32">
        <v>38.408900000000003</v>
      </c>
      <c r="N289" s="18">
        <v>112.5873</v>
      </c>
      <c r="O289" s="18">
        <f t="shared" si="12"/>
        <v>34.215187499999999</v>
      </c>
      <c r="P289" s="7"/>
      <c r="Q289" s="10"/>
      <c r="R289" s="11"/>
      <c r="S289" s="11"/>
      <c r="T289" s="26"/>
      <c r="U289" s="28">
        <f t="shared" si="13"/>
        <v>5.3793523025084194E-2</v>
      </c>
    </row>
    <row r="290" spans="1:21" x14ac:dyDescent="0.25">
      <c r="B290" s="9"/>
      <c r="C290" s="31">
        <v>1476.73</v>
      </c>
      <c r="D290" s="32">
        <v>27.832999999999998</v>
      </c>
      <c r="E290" s="32">
        <v>37.265999999999998</v>
      </c>
      <c r="F290" s="32">
        <v>36.813000000000002</v>
      </c>
      <c r="G290" s="18">
        <v>109.75</v>
      </c>
      <c r="H290" s="18">
        <f t="shared" si="11"/>
        <v>30.134625</v>
      </c>
      <c r="I290" s="5"/>
      <c r="J290" s="31">
        <v>1028.1007999999999</v>
      </c>
      <c r="K290" s="32">
        <v>30.9392</v>
      </c>
      <c r="L290" s="32">
        <v>38.245600000000003</v>
      </c>
      <c r="M290" s="32">
        <v>36.991900000000001</v>
      </c>
      <c r="N290" s="18">
        <v>120.919</v>
      </c>
      <c r="O290" s="18">
        <f t="shared" si="12"/>
        <v>32.609087500000001</v>
      </c>
      <c r="P290" s="7"/>
      <c r="Q290" s="10"/>
      <c r="R290" s="11"/>
      <c r="S290" s="11"/>
      <c r="T290" s="26"/>
      <c r="U290" s="28">
        <f t="shared" si="13"/>
        <v>0.10176765375854212</v>
      </c>
    </row>
    <row r="291" spans="1:21" ht="16.5" thickBot="1" x14ac:dyDescent="0.3">
      <c r="B291" s="12"/>
      <c r="C291" s="33">
        <v>875.54</v>
      </c>
      <c r="D291" s="34">
        <v>23.96</v>
      </c>
      <c r="E291" s="34">
        <v>35.402999999999999</v>
      </c>
      <c r="F291" s="34">
        <v>34.661999999999999</v>
      </c>
      <c r="G291" s="20">
        <v>110.91</v>
      </c>
      <c r="H291" s="20">
        <f t="shared" si="11"/>
        <v>26.728124999999999</v>
      </c>
      <c r="I291" s="5"/>
      <c r="J291" s="33">
        <v>613.89200000000005</v>
      </c>
      <c r="K291" s="34">
        <v>29.049299999999999</v>
      </c>
      <c r="L291" s="34">
        <v>36.673299999999998</v>
      </c>
      <c r="M291" s="34">
        <v>35.258800000000001</v>
      </c>
      <c r="N291" s="20">
        <v>140.56790000000001</v>
      </c>
      <c r="O291" s="20">
        <f t="shared" si="12"/>
        <v>30.778487499999997</v>
      </c>
      <c r="P291" s="7"/>
      <c r="Q291" s="13"/>
      <c r="R291" s="14"/>
      <c r="S291" s="14"/>
      <c r="T291" s="27"/>
      <c r="U291" s="28">
        <f t="shared" si="13"/>
        <v>0.26740510323685884</v>
      </c>
    </row>
    <row r="292" spans="1:21" x14ac:dyDescent="0.25">
      <c r="B292" s="6" t="s">
        <v>52</v>
      </c>
      <c r="C292" s="15">
        <v>3601.37</v>
      </c>
      <c r="D292" s="16">
        <v>31.856000000000002</v>
      </c>
      <c r="E292" s="16">
        <v>38.381</v>
      </c>
      <c r="F292" s="16">
        <v>40.902999999999999</v>
      </c>
      <c r="G292" s="16">
        <v>109.21</v>
      </c>
      <c r="H292" s="16">
        <f t="shared" si="11"/>
        <v>33.802500000000002</v>
      </c>
      <c r="I292" s="5"/>
      <c r="J292" s="15">
        <v>2419.4416000000001</v>
      </c>
      <c r="K292" s="16">
        <v>33.544800000000002</v>
      </c>
      <c r="L292" s="16">
        <v>39.721800000000002</v>
      </c>
      <c r="M292" s="16">
        <v>42.174300000000002</v>
      </c>
      <c r="N292" s="16">
        <v>79.302099999999996</v>
      </c>
      <c r="O292" s="16">
        <f t="shared" si="12"/>
        <v>35.395612499999999</v>
      </c>
      <c r="P292" s="7"/>
      <c r="Q292" s="8">
        <f>bdrate(C292:C295,D292:D295,J292:J295,K292:K295)</f>
        <v>-0.71791864778795467</v>
      </c>
      <c r="R292" s="8">
        <f>bdrate(C292:C295,E292:E295,J292:J295,L292:L295)</f>
        <v>-0.7155924251370871</v>
      </c>
      <c r="S292" s="8">
        <f>bdrate(C292:C295,F292:F295,J292:J295,M292:M295)</f>
        <v>-0.74490703320400575</v>
      </c>
      <c r="T292" s="25">
        <f>bdrate(C292:C295,H292:H295,J292:J295,O292:O295)</f>
        <v>-0.71895485494187605</v>
      </c>
      <c r="U292" s="28">
        <f t="shared" si="13"/>
        <v>-0.27385678967127552</v>
      </c>
    </row>
    <row r="293" spans="1:21" x14ac:dyDescent="0.25">
      <c r="B293" s="9"/>
      <c r="C293" s="17">
        <v>2375.42</v>
      </c>
      <c r="D293" s="18">
        <v>30.619</v>
      </c>
      <c r="E293" s="18">
        <v>37.994999999999997</v>
      </c>
      <c r="F293" s="18">
        <v>40.445</v>
      </c>
      <c r="G293" s="18">
        <v>120.48</v>
      </c>
      <c r="H293" s="18">
        <f t="shared" si="11"/>
        <v>32.76925</v>
      </c>
      <c r="I293" s="5"/>
      <c r="J293" s="17">
        <v>1606.0744</v>
      </c>
      <c r="K293" s="18">
        <v>32.809399999999997</v>
      </c>
      <c r="L293" s="18">
        <v>39.191200000000002</v>
      </c>
      <c r="M293" s="18">
        <v>41.690800000000003</v>
      </c>
      <c r="N293" s="18">
        <v>130.80439999999999</v>
      </c>
      <c r="O293" s="18">
        <f t="shared" si="12"/>
        <v>34.717300000000002</v>
      </c>
      <c r="P293" s="7"/>
      <c r="Q293" s="10"/>
      <c r="R293" s="11"/>
      <c r="S293" s="11"/>
      <c r="T293" s="26"/>
      <c r="U293" s="28">
        <f t="shared" si="13"/>
        <v>8.5693891102257488E-2</v>
      </c>
    </row>
    <row r="294" spans="1:21" x14ac:dyDescent="0.25">
      <c r="B294" s="9"/>
      <c r="C294" s="17">
        <v>1448.88</v>
      </c>
      <c r="D294" s="18">
        <v>28.838000000000001</v>
      </c>
      <c r="E294" s="18">
        <v>37.424999999999997</v>
      </c>
      <c r="F294" s="18">
        <v>39.884999999999998</v>
      </c>
      <c r="G294" s="18">
        <v>122.85</v>
      </c>
      <c r="H294" s="18">
        <f t="shared" si="11"/>
        <v>31.292250000000003</v>
      </c>
      <c r="I294" s="5"/>
      <c r="J294" s="17">
        <v>1001.3920000000001</v>
      </c>
      <c r="K294" s="18">
        <v>31.778099999999998</v>
      </c>
      <c r="L294" s="18">
        <v>38.471600000000002</v>
      </c>
      <c r="M294" s="18">
        <v>40.986600000000003</v>
      </c>
      <c r="N294" s="18">
        <v>148.44139999999999</v>
      </c>
      <c r="O294" s="18">
        <f t="shared" si="12"/>
        <v>33.76585</v>
      </c>
      <c r="P294" s="7"/>
      <c r="Q294" s="10"/>
      <c r="R294" s="11"/>
      <c r="S294" s="11"/>
      <c r="T294" s="26"/>
      <c r="U294" s="28">
        <f t="shared" si="13"/>
        <v>0.20831420431420428</v>
      </c>
    </row>
    <row r="295" spans="1:21" ht="16.5" thickBot="1" x14ac:dyDescent="0.3">
      <c r="B295" s="12"/>
      <c r="C295" s="19">
        <v>837.94</v>
      </c>
      <c r="D295" s="20">
        <v>26.353000000000002</v>
      </c>
      <c r="E295" s="20">
        <v>36.884999999999998</v>
      </c>
      <c r="F295" s="20">
        <v>38.792000000000002</v>
      </c>
      <c r="G295" s="20">
        <v>125.13</v>
      </c>
      <c r="H295" s="20">
        <f t="shared" si="11"/>
        <v>29.224374999999998</v>
      </c>
      <c r="I295" s="5"/>
      <c r="J295" s="19">
        <v>604.60479999999995</v>
      </c>
      <c r="K295" s="20">
        <v>30.278199999999998</v>
      </c>
      <c r="L295" s="20">
        <v>37.819099999999999</v>
      </c>
      <c r="M295" s="20">
        <v>40.480800000000002</v>
      </c>
      <c r="N295" s="20">
        <v>152.05269999999999</v>
      </c>
      <c r="O295" s="20">
        <f t="shared" si="12"/>
        <v>32.496137499999996</v>
      </c>
      <c r="P295" s="7"/>
      <c r="Q295" s="13"/>
      <c r="R295" s="14"/>
      <c r="S295" s="14"/>
      <c r="T295" s="27"/>
      <c r="U295" s="28">
        <f t="shared" si="13"/>
        <v>0.21515783585071521</v>
      </c>
    </row>
    <row r="296" spans="1:21" x14ac:dyDescent="0.25">
      <c r="A296" s="6" t="s">
        <v>39</v>
      </c>
      <c r="B296" s="6" t="s">
        <v>53</v>
      </c>
      <c r="C296" s="15">
        <v>1565.14</v>
      </c>
      <c r="D296" s="16">
        <v>33.957999999999998</v>
      </c>
      <c r="E296" s="16">
        <v>37.326000000000001</v>
      </c>
      <c r="F296" s="16">
        <v>37.176000000000002</v>
      </c>
      <c r="G296" s="16">
        <v>415.63</v>
      </c>
      <c r="H296" s="16">
        <f t="shared" si="11"/>
        <v>34.78125</v>
      </c>
      <c r="I296" s="5"/>
      <c r="J296" s="15">
        <v>1244.8024</v>
      </c>
      <c r="K296" s="16">
        <v>35.097000000000001</v>
      </c>
      <c r="L296" s="16">
        <v>39.009099999999997</v>
      </c>
      <c r="M296" s="16">
        <v>38.881500000000003</v>
      </c>
      <c r="N296" s="16">
        <v>344.5899</v>
      </c>
      <c r="O296" s="16">
        <f t="shared" si="12"/>
        <v>36.059075</v>
      </c>
      <c r="P296" s="7"/>
      <c r="Q296" s="8">
        <f>bdrate(C296:C299,D296:D299,J296:J299,K296:K299)</f>
        <v>-0.42487407082687667</v>
      </c>
      <c r="R296" s="8">
        <f>bdrate(C296:C299,E296:E299,J296:J299,L296:L299)</f>
        <v>-0.48891880468410331</v>
      </c>
      <c r="S296" s="8">
        <f>bdrate(C296:C299,F296:F299,J296:J299,M296:M299)</f>
        <v>-0.43601037983058555</v>
      </c>
      <c r="T296" s="25">
        <f>bdrate(C296:C299,H296:H299,J296:J299,O296:O299)</f>
        <v>-0.43439875778057091</v>
      </c>
      <c r="U296" s="28">
        <f t="shared" si="13"/>
        <v>-0.17092149267377232</v>
      </c>
    </row>
    <row r="297" spans="1:21" x14ac:dyDescent="0.25">
      <c r="A297" s="9" t="s">
        <v>40</v>
      </c>
      <c r="B297" s="9"/>
      <c r="C297" s="17">
        <v>1043.52</v>
      </c>
      <c r="D297" s="18">
        <v>32.402000000000001</v>
      </c>
      <c r="E297" s="18">
        <v>36.32</v>
      </c>
      <c r="F297" s="18">
        <v>36.084000000000003</v>
      </c>
      <c r="G297" s="18">
        <v>542.89</v>
      </c>
      <c r="H297" s="18">
        <f t="shared" si="11"/>
        <v>33.352000000000004</v>
      </c>
      <c r="I297" s="5"/>
      <c r="J297" s="17">
        <v>831.33920000000001</v>
      </c>
      <c r="K297" s="18">
        <v>33.583599999999997</v>
      </c>
      <c r="L297" s="18">
        <v>37.777299999999997</v>
      </c>
      <c r="M297" s="18">
        <v>37.439500000000002</v>
      </c>
      <c r="N297" s="18">
        <v>411.18419999999998</v>
      </c>
      <c r="O297" s="18">
        <f t="shared" si="12"/>
        <v>34.589799999999997</v>
      </c>
      <c r="P297" s="7"/>
      <c r="Q297" s="10"/>
      <c r="R297" s="11"/>
      <c r="S297" s="11"/>
      <c r="T297" s="26"/>
      <c r="U297" s="28">
        <f t="shared" si="13"/>
        <v>-0.24260126360772905</v>
      </c>
    </row>
    <row r="298" spans="1:21" x14ac:dyDescent="0.25">
      <c r="B298" s="9"/>
      <c r="C298" s="17">
        <v>647.76</v>
      </c>
      <c r="D298" s="18">
        <v>30.478999999999999</v>
      </c>
      <c r="E298" s="18">
        <v>35.363999999999997</v>
      </c>
      <c r="F298" s="18">
        <v>34.950000000000003</v>
      </c>
      <c r="G298" s="18">
        <v>525.21</v>
      </c>
      <c r="H298" s="18">
        <f t="shared" si="11"/>
        <v>31.648499999999999</v>
      </c>
      <c r="I298" s="5"/>
      <c r="J298" s="17">
        <v>518.24400000000003</v>
      </c>
      <c r="K298" s="18">
        <v>31.810700000000001</v>
      </c>
      <c r="L298" s="18">
        <v>36.347900000000003</v>
      </c>
      <c r="M298" s="18">
        <v>35.811999999999998</v>
      </c>
      <c r="N298" s="18">
        <v>478.01150000000001</v>
      </c>
      <c r="O298" s="18">
        <f t="shared" si="12"/>
        <v>32.878012500000004</v>
      </c>
      <c r="P298" s="7"/>
      <c r="Q298" s="10"/>
      <c r="R298" s="11"/>
      <c r="S298" s="11"/>
      <c r="T298" s="26"/>
      <c r="U298" s="28">
        <f t="shared" si="13"/>
        <v>-8.9865958378553379E-2</v>
      </c>
    </row>
    <row r="299" spans="1:21" ht="16.5" thickBot="1" x14ac:dyDescent="0.3">
      <c r="B299" s="12"/>
      <c r="C299" s="19">
        <v>386.25</v>
      </c>
      <c r="D299" s="20">
        <v>28.042999999999999</v>
      </c>
      <c r="E299" s="20">
        <v>34.363</v>
      </c>
      <c r="F299" s="20">
        <v>33.948999999999998</v>
      </c>
      <c r="G299" s="20">
        <v>615.01</v>
      </c>
      <c r="H299" s="20">
        <f t="shared" si="11"/>
        <v>29.571249999999999</v>
      </c>
      <c r="I299" s="5"/>
      <c r="J299" s="19">
        <v>310.41840000000002</v>
      </c>
      <c r="K299" s="20">
        <v>29.882400000000001</v>
      </c>
      <c r="L299" s="20">
        <v>34.930900000000001</v>
      </c>
      <c r="M299" s="20">
        <v>34.252899999999997</v>
      </c>
      <c r="N299" s="20">
        <v>485.43689999999998</v>
      </c>
      <c r="O299" s="20">
        <f t="shared" si="12"/>
        <v>31.059775000000002</v>
      </c>
      <c r="P299" s="7"/>
      <c r="Q299" s="13"/>
      <c r="R299" s="14"/>
      <c r="S299" s="14"/>
      <c r="T299" s="27"/>
      <c r="U299" s="28">
        <f t="shared" si="13"/>
        <v>-0.21068454171476889</v>
      </c>
    </row>
    <row r="300" spans="1:21" x14ac:dyDescent="0.25">
      <c r="B300" s="6" t="s">
        <v>54</v>
      </c>
      <c r="C300" s="15">
        <v>1581.26</v>
      </c>
      <c r="D300" s="16">
        <v>34.192</v>
      </c>
      <c r="E300" s="16">
        <v>39.11</v>
      </c>
      <c r="F300" s="16">
        <v>39.817999999999998</v>
      </c>
      <c r="G300" s="16">
        <v>492.61</v>
      </c>
      <c r="H300" s="16">
        <f t="shared" si="11"/>
        <v>35.51</v>
      </c>
      <c r="I300" s="5"/>
      <c r="J300" s="15">
        <v>1275.8664000000001</v>
      </c>
      <c r="K300" s="16">
        <v>35.347299999999997</v>
      </c>
      <c r="L300" s="16">
        <v>40.384500000000003</v>
      </c>
      <c r="M300" s="16">
        <v>41.177100000000003</v>
      </c>
      <c r="N300" s="16">
        <v>359.28140000000002</v>
      </c>
      <c r="O300" s="16">
        <f t="shared" si="12"/>
        <v>36.705674999999999</v>
      </c>
      <c r="P300" s="7"/>
      <c r="Q300" s="8">
        <f>bdrate(C300:C303,D300:D303,J300:J303,K300:K303)</f>
        <v>-0.45103952223365262</v>
      </c>
      <c r="R300" s="8">
        <f>bdrate(C300:C303,E300:E303,J300:J303,L300:L303)</f>
        <v>-0.46778511767361164</v>
      </c>
      <c r="S300" s="8">
        <f>bdrate(C300:C303,F300:F303,J300:J303,M300:M303)</f>
        <v>-0.43652661514462709</v>
      </c>
      <c r="T300" s="25">
        <f>bdrate(C300:C303,H300:H303,J300:J303,O300:O303)</f>
        <v>-0.45371964763590378</v>
      </c>
      <c r="U300" s="28">
        <f t="shared" ref="U300:U331" si="14">(N300-G300)/G300</f>
        <v>-0.27065751811778077</v>
      </c>
    </row>
    <row r="301" spans="1:21" x14ac:dyDescent="0.25">
      <c r="B301" s="9"/>
      <c r="C301" s="17">
        <v>1055.06</v>
      </c>
      <c r="D301" s="18">
        <v>32.302999999999997</v>
      </c>
      <c r="E301" s="18">
        <v>38.287999999999997</v>
      </c>
      <c r="F301" s="18">
        <v>38.960999999999999</v>
      </c>
      <c r="G301" s="18">
        <v>541.52</v>
      </c>
      <c r="H301" s="18">
        <f t="shared" si="11"/>
        <v>33.883375000000001</v>
      </c>
      <c r="I301" s="5"/>
      <c r="J301" s="17">
        <v>850.7088</v>
      </c>
      <c r="K301" s="18">
        <v>33.788200000000003</v>
      </c>
      <c r="L301" s="18">
        <v>39.362099999999998</v>
      </c>
      <c r="M301" s="18">
        <v>40.002400000000002</v>
      </c>
      <c r="N301" s="18">
        <v>422.83300000000003</v>
      </c>
      <c r="O301" s="18">
        <f t="shared" si="12"/>
        <v>35.261712500000002</v>
      </c>
      <c r="P301" s="7"/>
      <c r="Q301" s="10"/>
      <c r="R301" s="11"/>
      <c r="S301" s="11"/>
      <c r="T301" s="26"/>
      <c r="U301" s="28">
        <f t="shared" si="14"/>
        <v>-0.2191738070616043</v>
      </c>
    </row>
    <row r="302" spans="1:21" x14ac:dyDescent="0.25">
      <c r="B302" s="9"/>
      <c r="C302" s="17">
        <v>657.31</v>
      </c>
      <c r="D302" s="18">
        <v>29.917000000000002</v>
      </c>
      <c r="E302" s="18">
        <v>37.408999999999999</v>
      </c>
      <c r="F302" s="18">
        <v>37.963000000000001</v>
      </c>
      <c r="G302" s="18">
        <v>557.62</v>
      </c>
      <c r="H302" s="18">
        <f t="shared" si="11"/>
        <v>31.859249999999999</v>
      </c>
      <c r="I302" s="5"/>
      <c r="J302" s="17">
        <v>531.43359999999996</v>
      </c>
      <c r="K302" s="18">
        <v>31.884</v>
      </c>
      <c r="L302" s="18">
        <v>38.222900000000003</v>
      </c>
      <c r="M302" s="18">
        <v>38.737699999999997</v>
      </c>
      <c r="N302" s="18">
        <v>475.05939999999998</v>
      </c>
      <c r="O302" s="18">
        <f t="shared" si="12"/>
        <v>33.533075000000004</v>
      </c>
      <c r="P302" s="7"/>
      <c r="Q302" s="10"/>
      <c r="R302" s="11"/>
      <c r="S302" s="11"/>
      <c r="T302" s="26"/>
      <c r="U302" s="28">
        <f t="shared" si="14"/>
        <v>-0.14805889315304332</v>
      </c>
    </row>
    <row r="303" spans="1:21" ht="16.5" thickBot="1" x14ac:dyDescent="0.3">
      <c r="B303" s="12"/>
      <c r="C303" s="19">
        <v>392.28</v>
      </c>
      <c r="D303" s="20">
        <v>26.844999999999999</v>
      </c>
      <c r="E303" s="20">
        <v>36.46</v>
      </c>
      <c r="F303" s="20">
        <v>36.951000000000001</v>
      </c>
      <c r="G303" s="20">
        <v>591.72</v>
      </c>
      <c r="H303" s="20">
        <f t="shared" si="11"/>
        <v>29.310124999999999</v>
      </c>
      <c r="I303" s="5"/>
      <c r="J303" s="19">
        <v>317.94880000000001</v>
      </c>
      <c r="K303" s="20">
        <v>29.7773</v>
      </c>
      <c r="L303" s="20">
        <v>37.0334</v>
      </c>
      <c r="M303" s="20">
        <v>37.441400000000002</v>
      </c>
      <c r="N303" s="20">
        <v>534.28319999999997</v>
      </c>
      <c r="O303" s="20">
        <f t="shared" si="12"/>
        <v>31.642325</v>
      </c>
      <c r="P303" s="7"/>
      <c r="Q303" s="13"/>
      <c r="R303" s="14"/>
      <c r="S303" s="14"/>
      <c r="T303" s="27"/>
      <c r="U303" s="28">
        <f t="shared" si="14"/>
        <v>-9.7067531940782908E-2</v>
      </c>
    </row>
    <row r="304" spans="1:21" x14ac:dyDescent="0.25">
      <c r="B304" s="6" t="s">
        <v>55</v>
      </c>
      <c r="C304" s="15">
        <v>1442.81</v>
      </c>
      <c r="D304" s="16">
        <v>28.443000000000001</v>
      </c>
      <c r="E304" s="16">
        <v>34.865000000000002</v>
      </c>
      <c r="F304" s="16">
        <v>35.521999999999998</v>
      </c>
      <c r="G304" s="16">
        <v>516.53</v>
      </c>
      <c r="H304" s="16">
        <f t="shared" si="11"/>
        <v>30.130625000000002</v>
      </c>
      <c r="I304" s="5"/>
      <c r="J304" s="15">
        <v>1231.0784000000001</v>
      </c>
      <c r="K304" s="16">
        <v>30.388200000000001</v>
      </c>
      <c r="L304" s="16">
        <v>36.536499999999997</v>
      </c>
      <c r="M304" s="16">
        <v>37.259700000000002</v>
      </c>
      <c r="N304" s="16">
        <v>333.77839999999998</v>
      </c>
      <c r="O304" s="16">
        <f t="shared" si="12"/>
        <v>32.015675000000002</v>
      </c>
      <c r="P304" s="7"/>
      <c r="Q304" s="8">
        <f>bdrate(C304:C307,D304:D307,J304:J307,K304:K307)</f>
        <v>-0.53371383433447761</v>
      </c>
      <c r="R304" s="8">
        <f>bdrate(C304:C307,E304:E307,J304:J307,L304:L307)</f>
        <v>-0.53013358164451796</v>
      </c>
      <c r="S304" s="8">
        <f>bdrate(C304:C307,F304:F307,J304:J307,M304:M307)</f>
        <v>-0.53585601861385479</v>
      </c>
      <c r="T304" s="25">
        <f>bdrate(C304:C307,H304:H307,J304:J307,O304:O307)</f>
        <v>-0.53761533416505536</v>
      </c>
      <c r="U304" s="28">
        <f t="shared" si="14"/>
        <v>-0.35380636168276769</v>
      </c>
    </row>
    <row r="305" spans="1:21" x14ac:dyDescent="0.25">
      <c r="B305" s="9"/>
      <c r="C305" s="17">
        <v>962.16</v>
      </c>
      <c r="D305" s="18">
        <v>27.122</v>
      </c>
      <c r="E305" s="18">
        <v>34.430999999999997</v>
      </c>
      <c r="F305" s="18">
        <v>35.110999999999997</v>
      </c>
      <c r="G305" s="18">
        <v>572.08000000000004</v>
      </c>
      <c r="H305" s="18">
        <f t="shared" si="11"/>
        <v>29.03425</v>
      </c>
      <c r="I305" s="5"/>
      <c r="J305" s="17">
        <v>832.78319999999997</v>
      </c>
      <c r="K305" s="18">
        <v>29.137</v>
      </c>
      <c r="L305" s="18">
        <v>35.7684</v>
      </c>
      <c r="M305" s="18">
        <v>36.496600000000001</v>
      </c>
      <c r="N305" s="18">
        <v>395.56959999999998</v>
      </c>
      <c r="O305" s="18">
        <f t="shared" si="12"/>
        <v>30.885874999999999</v>
      </c>
      <c r="P305" s="7"/>
      <c r="Q305" s="10"/>
      <c r="R305" s="11"/>
      <c r="S305" s="11"/>
      <c r="T305" s="26"/>
      <c r="U305" s="28">
        <f t="shared" si="14"/>
        <v>-0.30854146273248506</v>
      </c>
    </row>
    <row r="306" spans="1:21" x14ac:dyDescent="0.25">
      <c r="B306" s="9"/>
      <c r="C306" s="17">
        <v>603.51</v>
      </c>
      <c r="D306" s="18">
        <v>25.675000000000001</v>
      </c>
      <c r="E306" s="18">
        <v>33.954000000000001</v>
      </c>
      <c r="F306" s="18">
        <v>34.651000000000003</v>
      </c>
      <c r="G306" s="18">
        <v>615.76</v>
      </c>
      <c r="H306" s="18">
        <f t="shared" si="11"/>
        <v>27.831875000000004</v>
      </c>
      <c r="I306" s="5"/>
      <c r="J306" s="17">
        <v>522.64080000000001</v>
      </c>
      <c r="K306" s="18">
        <v>27.638100000000001</v>
      </c>
      <c r="L306" s="18">
        <v>34.842399999999998</v>
      </c>
      <c r="M306" s="18">
        <v>35.548400000000001</v>
      </c>
      <c r="N306" s="18">
        <v>445.23599999999999</v>
      </c>
      <c r="O306" s="18">
        <f t="shared" si="12"/>
        <v>29.527425000000001</v>
      </c>
      <c r="P306" s="7"/>
      <c r="Q306" s="10"/>
      <c r="R306" s="11"/>
      <c r="S306" s="11"/>
      <c r="T306" s="26"/>
      <c r="U306" s="28">
        <f t="shared" si="14"/>
        <v>-0.27693257113160974</v>
      </c>
    </row>
    <row r="307" spans="1:21" ht="16.5" thickBot="1" x14ac:dyDescent="0.3">
      <c r="B307" s="12"/>
      <c r="C307" s="19">
        <v>361.04</v>
      </c>
      <c r="D307" s="20">
        <v>24.053999999999998</v>
      </c>
      <c r="E307" s="20">
        <v>33.517000000000003</v>
      </c>
      <c r="F307" s="20">
        <v>34.207999999999998</v>
      </c>
      <c r="G307" s="20">
        <v>652.74</v>
      </c>
      <c r="H307" s="20">
        <f t="shared" si="11"/>
        <v>26.506124999999997</v>
      </c>
      <c r="I307" s="5"/>
      <c r="J307" s="19">
        <v>290.02960000000002</v>
      </c>
      <c r="K307" s="20">
        <v>25.7042</v>
      </c>
      <c r="L307" s="20">
        <v>33.716500000000003</v>
      </c>
      <c r="M307" s="20">
        <v>34.427900000000001</v>
      </c>
      <c r="N307" s="20">
        <v>534.18799999999999</v>
      </c>
      <c r="O307" s="20">
        <f t="shared" si="12"/>
        <v>27.796199999999999</v>
      </c>
      <c r="P307" s="7"/>
      <c r="Q307" s="13"/>
      <c r="R307" s="14"/>
      <c r="S307" s="14"/>
      <c r="T307" s="27"/>
      <c r="U307" s="28">
        <f t="shared" si="14"/>
        <v>-0.18162208536323807</v>
      </c>
    </row>
    <row r="308" spans="1:21" x14ac:dyDescent="0.25">
      <c r="B308" s="6" t="s">
        <v>56</v>
      </c>
      <c r="C308" s="15">
        <v>1439.54</v>
      </c>
      <c r="D308" s="16">
        <v>32.189</v>
      </c>
      <c r="E308" s="16">
        <v>36.256</v>
      </c>
      <c r="F308" s="16">
        <v>37.837000000000003</v>
      </c>
      <c r="G308" s="16">
        <v>392.16</v>
      </c>
      <c r="H308" s="16">
        <f t="shared" si="11"/>
        <v>33.403375000000004</v>
      </c>
      <c r="I308" s="5"/>
      <c r="J308" s="15">
        <v>1238.1271999999999</v>
      </c>
      <c r="K308" s="16">
        <v>32.435000000000002</v>
      </c>
      <c r="L308" s="16">
        <v>36.6922</v>
      </c>
      <c r="M308" s="16">
        <v>38.2241</v>
      </c>
      <c r="N308" s="16">
        <v>246.7105</v>
      </c>
      <c r="O308" s="16">
        <f t="shared" si="12"/>
        <v>33.690787500000006</v>
      </c>
      <c r="P308" s="7"/>
      <c r="Q308" s="8">
        <f>bdrate(C308:C311,D308:D311,J308:J311,K308:K311)</f>
        <v>-0.27201910005764973</v>
      </c>
      <c r="R308" s="8">
        <f>bdrate(C308:C311,E308:E311,J308:J311,L308:L311)</f>
        <v>-0.19833310700094853</v>
      </c>
      <c r="S308" s="8">
        <f>bdrate(C308:C311,F308:F311,J308:J311,M308:M311)</f>
        <v>-0.17848064128655339</v>
      </c>
      <c r="T308" s="25">
        <f>bdrate(C308:C311,H308:H311,J308:J311,O308:O311)</f>
        <v>-0.26399302768506205</v>
      </c>
      <c r="U308" s="28">
        <f t="shared" si="14"/>
        <v>-0.37089325785393723</v>
      </c>
    </row>
    <row r="309" spans="1:21" x14ac:dyDescent="0.25">
      <c r="B309" s="9"/>
      <c r="C309" s="17">
        <v>967.71</v>
      </c>
      <c r="D309" s="18">
        <v>30.524999999999999</v>
      </c>
      <c r="E309" s="18">
        <v>35.545000000000002</v>
      </c>
      <c r="F309" s="18">
        <v>37.090000000000003</v>
      </c>
      <c r="G309" s="18">
        <v>436.68</v>
      </c>
      <c r="H309" s="18">
        <f t="shared" si="11"/>
        <v>31.973125</v>
      </c>
      <c r="I309" s="5"/>
      <c r="J309" s="17">
        <v>824.56079999999997</v>
      </c>
      <c r="K309" s="18">
        <v>30.964600000000001</v>
      </c>
      <c r="L309" s="18">
        <v>35.796199999999999</v>
      </c>
      <c r="M309" s="18">
        <v>37.284300000000002</v>
      </c>
      <c r="N309" s="18">
        <v>291.26209999999998</v>
      </c>
      <c r="O309" s="18">
        <f t="shared" si="12"/>
        <v>32.358512500000003</v>
      </c>
      <c r="P309" s="7"/>
      <c r="Q309" s="10"/>
      <c r="R309" s="11"/>
      <c r="S309" s="11"/>
      <c r="T309" s="26"/>
      <c r="U309" s="28">
        <f t="shared" si="14"/>
        <v>-0.33300792342218566</v>
      </c>
    </row>
    <row r="310" spans="1:21" x14ac:dyDescent="0.25">
      <c r="B310" s="9"/>
      <c r="C310" s="17">
        <v>615.01</v>
      </c>
      <c r="D310" s="18">
        <v>28.638999999999999</v>
      </c>
      <c r="E310" s="18">
        <v>34.786999999999999</v>
      </c>
      <c r="F310" s="18">
        <v>36.255000000000003</v>
      </c>
      <c r="G310" s="18">
        <v>468.75</v>
      </c>
      <c r="H310" s="18">
        <f t="shared" si="11"/>
        <v>30.359500000000001</v>
      </c>
      <c r="I310" s="5"/>
      <c r="J310" s="17">
        <v>515.15120000000002</v>
      </c>
      <c r="K310" s="18">
        <v>29.302600000000002</v>
      </c>
      <c r="L310" s="18">
        <v>34.8003</v>
      </c>
      <c r="M310" s="18">
        <v>36.234499999999997</v>
      </c>
      <c r="N310" s="18">
        <v>331.49169999999998</v>
      </c>
      <c r="O310" s="18">
        <f t="shared" si="12"/>
        <v>30.856300000000001</v>
      </c>
      <c r="P310" s="7"/>
      <c r="Q310" s="10"/>
      <c r="R310" s="11"/>
      <c r="S310" s="11"/>
      <c r="T310" s="26"/>
      <c r="U310" s="28">
        <f t="shared" si="14"/>
        <v>-0.29281770666666673</v>
      </c>
    </row>
    <row r="311" spans="1:21" ht="16.5" thickBot="1" x14ac:dyDescent="0.3">
      <c r="B311" s="12"/>
      <c r="C311" s="19">
        <v>370.08</v>
      </c>
      <c r="D311" s="20">
        <v>26.411999999999999</v>
      </c>
      <c r="E311" s="20">
        <v>33.85</v>
      </c>
      <c r="F311" s="20">
        <v>35.249000000000002</v>
      </c>
      <c r="G311" s="20">
        <v>533.80999999999995</v>
      </c>
      <c r="H311" s="20">
        <f t="shared" si="11"/>
        <v>28.446374999999996</v>
      </c>
      <c r="I311" s="5"/>
      <c r="J311" s="19">
        <v>308.98559999999998</v>
      </c>
      <c r="K311" s="20">
        <v>27.688300000000002</v>
      </c>
      <c r="L311" s="20">
        <v>33.702800000000003</v>
      </c>
      <c r="M311" s="20">
        <v>35.008800000000001</v>
      </c>
      <c r="N311" s="20">
        <v>427.35039999999998</v>
      </c>
      <c r="O311" s="20">
        <f t="shared" si="12"/>
        <v>29.355175000000003</v>
      </c>
      <c r="P311" s="7"/>
      <c r="Q311" s="13"/>
      <c r="R311" s="14"/>
      <c r="S311" s="14"/>
      <c r="T311" s="27"/>
      <c r="U311" s="28">
        <f t="shared" si="14"/>
        <v>-0.19943350630374099</v>
      </c>
    </row>
    <row r="312" spans="1:21" x14ac:dyDescent="0.25">
      <c r="A312" s="6" t="s">
        <v>41</v>
      </c>
      <c r="B312" s="6" t="s">
        <v>57</v>
      </c>
      <c r="C312" s="15">
        <v>830.27</v>
      </c>
      <c r="D312" s="16">
        <v>34.639000000000003</v>
      </c>
      <c r="E312" s="16">
        <v>38.704000000000001</v>
      </c>
      <c r="F312" s="16">
        <v>37.545000000000002</v>
      </c>
      <c r="G312" s="16">
        <v>1457.73</v>
      </c>
      <c r="H312" s="16">
        <f t="shared" si="11"/>
        <v>35.510375000000003</v>
      </c>
      <c r="I312" s="5"/>
      <c r="J312" s="15">
        <v>619.16480000000001</v>
      </c>
      <c r="K312" s="16">
        <v>34.542299999999997</v>
      </c>
      <c r="L312" s="16">
        <v>39.534700000000001</v>
      </c>
      <c r="M312" s="16">
        <v>38.129300000000001</v>
      </c>
      <c r="N312" s="16">
        <v>697.3501</v>
      </c>
      <c r="O312" s="16">
        <f t="shared" si="12"/>
        <v>35.614725</v>
      </c>
      <c r="P312" s="7"/>
      <c r="Q312" s="8">
        <f>bdrate(C312:C315,D312:D315,J312:J315,K312:K315)</f>
        <v>-0.2900187001653336</v>
      </c>
      <c r="R312" s="8">
        <f>bdrate(C312:C315,E312:E315,J312:J315,L312:L315)</f>
        <v>-0.35806125717863113</v>
      </c>
      <c r="S312" s="8">
        <f>bdrate(C312:C315,F312:F315,J312:J315,M312:M315)</f>
        <v>-0.26764404804336672</v>
      </c>
      <c r="T312" s="25">
        <f>bdrate(C312:C315,H312:H315,J312:J315,O312:O315)</f>
        <v>-0.29490718331748711</v>
      </c>
      <c r="U312" s="28">
        <f t="shared" si="14"/>
        <v>-0.52161916129873165</v>
      </c>
    </row>
    <row r="313" spans="1:21" x14ac:dyDescent="0.25">
      <c r="A313" s="9" t="s">
        <v>42</v>
      </c>
      <c r="B313" s="9"/>
      <c r="C313" s="17">
        <v>554.30999999999995</v>
      </c>
      <c r="D313" s="18">
        <v>32.701000000000001</v>
      </c>
      <c r="E313" s="18">
        <v>37.709000000000003</v>
      </c>
      <c r="F313" s="18">
        <v>36.343000000000004</v>
      </c>
      <c r="G313" s="18">
        <v>1602.56</v>
      </c>
      <c r="H313" s="18">
        <f t="shared" si="11"/>
        <v>33.782250000000005</v>
      </c>
      <c r="I313" s="5"/>
      <c r="J313" s="17">
        <v>413.1096</v>
      </c>
      <c r="K313" s="18">
        <v>32.753100000000003</v>
      </c>
      <c r="L313" s="18">
        <v>38.348100000000002</v>
      </c>
      <c r="M313" s="18">
        <v>36.700699999999998</v>
      </c>
      <c r="N313" s="18">
        <v>801.28210000000001</v>
      </c>
      <c r="O313" s="18">
        <f t="shared" si="12"/>
        <v>33.945925000000003</v>
      </c>
      <c r="P313" s="7"/>
      <c r="Q313" s="10"/>
      <c r="R313" s="11"/>
      <c r="S313" s="11"/>
      <c r="T313" s="26"/>
      <c r="U313" s="28">
        <f t="shared" si="14"/>
        <v>-0.49999868959664534</v>
      </c>
    </row>
    <row r="314" spans="1:21" x14ac:dyDescent="0.25">
      <c r="B314" s="9"/>
      <c r="C314" s="17">
        <v>347.97</v>
      </c>
      <c r="D314" s="18">
        <v>30.582000000000001</v>
      </c>
      <c r="E314" s="18">
        <v>36.793999999999997</v>
      </c>
      <c r="F314" s="18">
        <v>35.234999999999999</v>
      </c>
      <c r="G314" s="18">
        <v>1683.5</v>
      </c>
      <c r="H314" s="18">
        <f t="shared" si="11"/>
        <v>31.940125000000002</v>
      </c>
      <c r="I314" s="5"/>
      <c r="J314" s="17">
        <v>258.15519999999998</v>
      </c>
      <c r="K314" s="18">
        <v>30.7638</v>
      </c>
      <c r="L314" s="18">
        <v>37.075800000000001</v>
      </c>
      <c r="M314" s="18">
        <v>35.190399999999997</v>
      </c>
      <c r="N314" s="18">
        <v>972.76260000000002</v>
      </c>
      <c r="O314" s="18">
        <f t="shared" si="12"/>
        <v>32.106124999999999</v>
      </c>
      <c r="P314" s="7"/>
      <c r="Q314" s="10"/>
      <c r="R314" s="11"/>
      <c r="S314" s="11"/>
      <c r="T314" s="26"/>
      <c r="U314" s="28">
        <f t="shared" si="14"/>
        <v>-0.42217843777843778</v>
      </c>
    </row>
    <row r="315" spans="1:21" ht="16.5" thickBot="1" x14ac:dyDescent="0.3">
      <c r="B315" s="12"/>
      <c r="C315" s="19">
        <v>171.09</v>
      </c>
      <c r="D315" s="20">
        <v>27.297000000000001</v>
      </c>
      <c r="E315" s="20">
        <v>35.509</v>
      </c>
      <c r="F315" s="20">
        <v>33.805</v>
      </c>
      <c r="G315" s="20">
        <v>1683.5</v>
      </c>
      <c r="H315" s="20">
        <f t="shared" si="11"/>
        <v>29.137</v>
      </c>
      <c r="I315" s="5"/>
      <c r="J315" s="19">
        <v>123.864</v>
      </c>
      <c r="K315" s="20">
        <v>27.932400000000001</v>
      </c>
      <c r="L315" s="20">
        <v>35.382899999999999</v>
      </c>
      <c r="M315" s="20">
        <v>33.099600000000002</v>
      </c>
      <c r="N315" s="20">
        <v>1333.3333</v>
      </c>
      <c r="O315" s="20">
        <f t="shared" si="12"/>
        <v>29.509612500000003</v>
      </c>
      <c r="P315" s="7"/>
      <c r="Q315" s="13"/>
      <c r="R315" s="14"/>
      <c r="S315" s="14"/>
      <c r="T315" s="27"/>
      <c r="U315" s="28">
        <f t="shared" si="14"/>
        <v>-0.2079992277992278</v>
      </c>
    </row>
    <row r="316" spans="1:21" x14ac:dyDescent="0.25">
      <c r="B316" s="6" t="s">
        <v>58</v>
      </c>
      <c r="C316" s="15">
        <v>722.75</v>
      </c>
      <c r="D316" s="16">
        <v>30.75</v>
      </c>
      <c r="E316" s="16">
        <v>38.570999999999998</v>
      </c>
      <c r="F316" s="16">
        <v>38.991</v>
      </c>
      <c r="G316" s="16">
        <v>1538.46</v>
      </c>
      <c r="H316" s="16">
        <f t="shared" si="11"/>
        <v>32.757750000000001</v>
      </c>
      <c r="I316" s="5"/>
      <c r="J316" s="15">
        <v>596.61760000000004</v>
      </c>
      <c r="K316" s="16">
        <v>33.622599999999998</v>
      </c>
      <c r="L316" s="16">
        <v>41.084400000000002</v>
      </c>
      <c r="M316" s="16">
        <v>41.846899999999998</v>
      </c>
      <c r="N316" s="16">
        <v>835.65459999999996</v>
      </c>
      <c r="O316" s="16">
        <f t="shared" si="12"/>
        <v>35.5833625</v>
      </c>
      <c r="P316" s="7"/>
      <c r="Q316" s="8">
        <f>bdrate(C316:C319,D316:D319,J316:J319,K316:K319)</f>
        <v>-0.66873820926917682</v>
      </c>
      <c r="R316" s="8">
        <f>bdrate(C316:C319,E316:E319,J316:J319,L316:L319)</f>
        <v>-0.74339359759509094</v>
      </c>
      <c r="S316" s="8">
        <f>bdrate(C316:C319,F316:F319,J316:J319,M316:M319)</f>
        <v>-0.77687940714610504</v>
      </c>
      <c r="T316" s="25">
        <f>bdrate(C316:C319,H316:H319,J316:J319,O316:O319)</f>
        <v>-0.68280729926669159</v>
      </c>
      <c r="U316" s="28">
        <f t="shared" si="14"/>
        <v>-0.45682396682396686</v>
      </c>
    </row>
    <row r="317" spans="1:21" x14ac:dyDescent="0.25">
      <c r="B317" s="9"/>
      <c r="C317" s="17">
        <v>480.78</v>
      </c>
      <c r="D317" s="18">
        <v>29.260999999999999</v>
      </c>
      <c r="E317" s="18">
        <v>38.146000000000001</v>
      </c>
      <c r="F317" s="18">
        <v>38.401000000000003</v>
      </c>
      <c r="G317" s="18">
        <v>1923.08</v>
      </c>
      <c r="H317" s="18">
        <f t="shared" si="11"/>
        <v>31.514125</v>
      </c>
      <c r="I317" s="5"/>
      <c r="J317" s="17">
        <v>389.43439999999998</v>
      </c>
      <c r="K317" s="18">
        <v>32.261699999999998</v>
      </c>
      <c r="L317" s="18">
        <v>40.164499999999997</v>
      </c>
      <c r="M317" s="18">
        <v>40.903300000000002</v>
      </c>
      <c r="N317" s="18">
        <v>1098.9011</v>
      </c>
      <c r="O317" s="18">
        <f t="shared" si="12"/>
        <v>34.329750000000004</v>
      </c>
      <c r="P317" s="7"/>
      <c r="Q317" s="10"/>
      <c r="R317" s="11"/>
      <c r="S317" s="11"/>
      <c r="T317" s="26"/>
      <c r="U317" s="28">
        <f t="shared" si="14"/>
        <v>-0.42857234228425228</v>
      </c>
    </row>
    <row r="318" spans="1:21" x14ac:dyDescent="0.25">
      <c r="B318" s="9"/>
      <c r="C318" s="17">
        <v>298.77999999999997</v>
      </c>
      <c r="D318" s="18">
        <v>27.686</v>
      </c>
      <c r="E318" s="18">
        <v>37.744999999999997</v>
      </c>
      <c r="F318" s="18">
        <v>37.887999999999998</v>
      </c>
      <c r="G318" s="18">
        <v>1834.86</v>
      </c>
      <c r="H318" s="18">
        <f t="shared" si="11"/>
        <v>30.218624999999999</v>
      </c>
      <c r="I318" s="5"/>
      <c r="J318" s="17">
        <v>241.49359999999999</v>
      </c>
      <c r="K318" s="18">
        <v>30.714200000000002</v>
      </c>
      <c r="L318" s="18">
        <v>39.189799999999998</v>
      </c>
      <c r="M318" s="18">
        <v>39.922499999999999</v>
      </c>
      <c r="N318" s="18">
        <v>1327.4336000000001</v>
      </c>
      <c r="O318" s="18">
        <f t="shared" si="12"/>
        <v>32.924687499999997</v>
      </c>
      <c r="P318" s="7"/>
      <c r="Q318" s="10"/>
      <c r="R318" s="11"/>
      <c r="S318" s="11"/>
      <c r="T318" s="26"/>
      <c r="U318" s="28">
        <f t="shared" si="14"/>
        <v>-0.27654774751207167</v>
      </c>
    </row>
    <row r="319" spans="1:21" ht="16.5" thickBot="1" x14ac:dyDescent="0.3">
      <c r="B319" s="12"/>
      <c r="C319" s="19">
        <v>141.81</v>
      </c>
      <c r="D319" s="20">
        <v>25.414999999999999</v>
      </c>
      <c r="E319" s="20">
        <v>37.176000000000002</v>
      </c>
      <c r="F319" s="20">
        <v>37.148000000000003</v>
      </c>
      <c r="G319" s="20">
        <v>1829.27</v>
      </c>
      <c r="H319" s="20">
        <f t="shared" si="11"/>
        <v>28.351749999999999</v>
      </c>
      <c r="I319" s="5"/>
      <c r="J319" s="19">
        <v>118.1448</v>
      </c>
      <c r="K319" s="20">
        <v>28.219100000000001</v>
      </c>
      <c r="L319" s="20">
        <v>38.005099999999999</v>
      </c>
      <c r="M319" s="20">
        <v>38.439</v>
      </c>
      <c r="N319" s="20">
        <v>1744.1859999999999</v>
      </c>
      <c r="O319" s="20">
        <f t="shared" si="12"/>
        <v>30.719837500000001</v>
      </c>
      <c r="P319" s="7"/>
      <c r="Q319" s="13"/>
      <c r="R319" s="14"/>
      <c r="S319" s="14"/>
      <c r="T319" s="27"/>
      <c r="U319" s="28">
        <f t="shared" si="14"/>
        <v>-4.6512543254959661E-2</v>
      </c>
    </row>
    <row r="320" spans="1:21" x14ac:dyDescent="0.25">
      <c r="B320" s="6" t="s">
        <v>59</v>
      </c>
      <c r="C320" s="29">
        <v>816.01</v>
      </c>
      <c r="D320" s="30">
        <v>32.420999999999999</v>
      </c>
      <c r="E320" s="30">
        <v>36.048000000000002</v>
      </c>
      <c r="F320" s="30">
        <v>36.432000000000002</v>
      </c>
      <c r="G320" s="16">
        <v>1683.5</v>
      </c>
      <c r="H320" s="16">
        <f t="shared" si="11"/>
        <v>33.375750000000004</v>
      </c>
      <c r="I320" s="5"/>
      <c r="J320" s="29">
        <v>637.02080000000001</v>
      </c>
      <c r="K320" s="30">
        <v>33.307400000000001</v>
      </c>
      <c r="L320" s="30">
        <v>38.095199999999998</v>
      </c>
      <c r="M320" s="30">
        <v>38.846299999999999</v>
      </c>
      <c r="N320" s="16">
        <v>801.28210000000001</v>
      </c>
      <c r="O320" s="16">
        <f t="shared" si="12"/>
        <v>34.598237500000003</v>
      </c>
      <c r="P320" s="7"/>
      <c r="Q320" s="8">
        <f>bdrate(C320:C323,D320:D323,J320:J323,K320:K323)</f>
        <v>-0.41255650168334046</v>
      </c>
      <c r="R320" s="8">
        <f>bdrate(C320:C323,E320:E323,J320:J323,L320:L323)</f>
        <v>-0.60641657125359094</v>
      </c>
      <c r="S320" s="8">
        <f>bdrate(C320:C323,F320:F323,J320:J323,M320:M323)</f>
        <v>-0.66913295540904516</v>
      </c>
      <c r="T320" s="25">
        <f>bdrate(C320:C323,H320:H323,J320:J323,O320:O323)</f>
        <v>-0.45835948631229839</v>
      </c>
      <c r="U320" s="28">
        <f t="shared" si="14"/>
        <v>-0.5240379566379566</v>
      </c>
    </row>
    <row r="321" spans="1:21" x14ac:dyDescent="0.25">
      <c r="B321" s="9"/>
      <c r="C321" s="31">
        <v>543.05999999999995</v>
      </c>
      <c r="D321" s="32">
        <v>30.786999999999999</v>
      </c>
      <c r="E321" s="32">
        <v>35.271000000000001</v>
      </c>
      <c r="F321" s="32">
        <v>35.698999999999998</v>
      </c>
      <c r="G321" s="18">
        <v>1779.36</v>
      </c>
      <c r="H321" s="18">
        <f t="shared" si="11"/>
        <v>31.961500000000001</v>
      </c>
      <c r="I321" s="5"/>
      <c r="J321" s="31">
        <v>424.14960000000002</v>
      </c>
      <c r="K321" s="32">
        <v>31.745100000000001</v>
      </c>
      <c r="L321" s="32">
        <v>37.017699999999998</v>
      </c>
      <c r="M321" s="32">
        <v>37.724499999999999</v>
      </c>
      <c r="N321" s="18">
        <v>915.7509</v>
      </c>
      <c r="O321" s="18">
        <f t="shared" si="12"/>
        <v>33.151599999999995</v>
      </c>
      <c r="P321" s="7"/>
      <c r="Q321" s="10"/>
      <c r="R321" s="11"/>
      <c r="S321" s="11"/>
      <c r="T321" s="26"/>
      <c r="U321" s="28">
        <f t="shared" si="14"/>
        <v>-0.48534815888858912</v>
      </c>
    </row>
    <row r="322" spans="1:21" x14ac:dyDescent="0.25">
      <c r="B322" s="9"/>
      <c r="C322" s="31">
        <v>338.07</v>
      </c>
      <c r="D322" s="32">
        <v>29.045999999999999</v>
      </c>
      <c r="E322" s="32">
        <v>34.441000000000003</v>
      </c>
      <c r="F322" s="32">
        <v>34.895000000000003</v>
      </c>
      <c r="G322" s="18">
        <v>1683.5</v>
      </c>
      <c r="H322" s="18">
        <f t="shared" si="11"/>
        <v>30.451500000000003</v>
      </c>
      <c r="I322" s="5"/>
      <c r="J322" s="31">
        <v>265.37920000000003</v>
      </c>
      <c r="K322" s="32">
        <v>30.0947</v>
      </c>
      <c r="L322" s="32">
        <v>35.845100000000002</v>
      </c>
      <c r="M322" s="32">
        <v>36.586300000000001</v>
      </c>
      <c r="N322" s="18">
        <v>1035.1967</v>
      </c>
      <c r="O322" s="18">
        <f t="shared" si="12"/>
        <v>31.624949999999998</v>
      </c>
      <c r="P322" s="7"/>
      <c r="Q322" s="10"/>
      <c r="R322" s="11"/>
      <c r="S322" s="11"/>
      <c r="T322" s="26"/>
      <c r="U322" s="28">
        <f t="shared" si="14"/>
        <v>-0.38509254529254533</v>
      </c>
    </row>
    <row r="323" spans="1:21" ht="16.5" thickBot="1" x14ac:dyDescent="0.3">
      <c r="B323" s="12"/>
      <c r="C323" s="33">
        <v>159.19</v>
      </c>
      <c r="D323" s="34">
        <v>26.492000000000001</v>
      </c>
      <c r="E323" s="34">
        <v>33.526000000000003</v>
      </c>
      <c r="F323" s="34">
        <v>34.036000000000001</v>
      </c>
      <c r="G323" s="20">
        <v>1785.71</v>
      </c>
      <c r="H323" s="20">
        <f t="shared" si="11"/>
        <v>28.314250000000001</v>
      </c>
      <c r="I323" s="5"/>
      <c r="J323" s="33">
        <v>127.196</v>
      </c>
      <c r="K323" s="34">
        <v>27.701000000000001</v>
      </c>
      <c r="L323" s="34">
        <v>34.154400000000003</v>
      </c>
      <c r="M323" s="34">
        <v>34.946599999999997</v>
      </c>
      <c r="N323" s="20">
        <v>1333.3333</v>
      </c>
      <c r="O323" s="20">
        <f t="shared" si="12"/>
        <v>29.413375000000002</v>
      </c>
      <c r="P323" s="7"/>
      <c r="Q323" s="13"/>
      <c r="R323" s="14"/>
      <c r="S323" s="14"/>
      <c r="T323" s="27"/>
      <c r="U323" s="28">
        <f t="shared" si="14"/>
        <v>-0.25333155999574403</v>
      </c>
    </row>
    <row r="324" spans="1:21" x14ac:dyDescent="0.25">
      <c r="B324" s="6" t="s">
        <v>60</v>
      </c>
      <c r="C324" s="15">
        <v>748.62</v>
      </c>
      <c r="D324" s="16">
        <v>34.417999999999999</v>
      </c>
      <c r="E324" s="16">
        <v>36.948</v>
      </c>
      <c r="F324" s="16">
        <v>38.015000000000001</v>
      </c>
      <c r="G324" s="16">
        <v>1282.05</v>
      </c>
      <c r="H324" s="16">
        <f t="shared" si="11"/>
        <v>35.183875</v>
      </c>
      <c r="I324" s="5"/>
      <c r="J324" s="15">
        <v>619.08960000000002</v>
      </c>
      <c r="K324" s="16">
        <v>34.213200000000001</v>
      </c>
      <c r="L324" s="16">
        <v>37.7956</v>
      </c>
      <c r="M324" s="16">
        <v>38.844900000000003</v>
      </c>
      <c r="N324" s="16">
        <v>480.76920000000001</v>
      </c>
      <c r="O324" s="16">
        <f t="shared" si="12"/>
        <v>35.239962500000004</v>
      </c>
      <c r="P324" s="7"/>
      <c r="Q324" s="8">
        <f>bdrate(C324:C327,D324:D327,J324:J327,K324:K327)</f>
        <v>-0.18845219484618014</v>
      </c>
      <c r="R324" s="8">
        <f>bdrate(C324:C327,E324:E327,J324:J327,L324:L327)</f>
        <v>-0.30452022364891218</v>
      </c>
      <c r="S324" s="8">
        <f>bdrate(C324:C327,F324:F327,J324:J327,M324:M327)</f>
        <v>-0.29159871302945883</v>
      </c>
      <c r="T324" s="25">
        <f>bdrate(C324:C327,H324:H327,J324:J327,O324:O327)</f>
        <v>-0.20914639453129003</v>
      </c>
      <c r="U324" s="28">
        <f t="shared" si="14"/>
        <v>-0.62499964899964899</v>
      </c>
    </row>
    <row r="325" spans="1:21" x14ac:dyDescent="0.25">
      <c r="B325" s="9"/>
      <c r="C325" s="17">
        <v>501.52</v>
      </c>
      <c r="D325" s="18">
        <v>32.478999999999999</v>
      </c>
      <c r="E325" s="18">
        <v>35.930999999999997</v>
      </c>
      <c r="F325" s="18">
        <v>36.984999999999999</v>
      </c>
      <c r="G325" s="18">
        <v>1485.15</v>
      </c>
      <c r="H325" s="18">
        <f t="shared" si="11"/>
        <v>33.473750000000003</v>
      </c>
      <c r="I325" s="5"/>
      <c r="J325" s="17">
        <v>412.52800000000002</v>
      </c>
      <c r="K325" s="18">
        <v>32.374499999999998</v>
      </c>
      <c r="L325" s="18">
        <v>36.544499999999999</v>
      </c>
      <c r="M325" s="18">
        <v>37.5989</v>
      </c>
      <c r="N325" s="18">
        <v>564.97180000000003</v>
      </c>
      <c r="O325" s="18">
        <f t="shared" si="12"/>
        <v>33.5488</v>
      </c>
      <c r="P325" s="7"/>
      <c r="Q325" s="10"/>
      <c r="R325" s="11"/>
      <c r="S325" s="11"/>
      <c r="T325" s="26"/>
      <c r="U325" s="28">
        <f t="shared" si="14"/>
        <v>-0.61958603508063159</v>
      </c>
    </row>
    <row r="326" spans="1:21" x14ac:dyDescent="0.25">
      <c r="B326" s="9"/>
      <c r="C326" s="17">
        <v>314.12</v>
      </c>
      <c r="D326" s="18">
        <v>30.434000000000001</v>
      </c>
      <c r="E326" s="18">
        <v>34.905000000000001</v>
      </c>
      <c r="F326" s="18">
        <v>35.950000000000003</v>
      </c>
      <c r="G326" s="18">
        <v>1477.83</v>
      </c>
      <c r="H326" s="18">
        <f t="shared" si="11"/>
        <v>31.682375</v>
      </c>
      <c r="I326" s="5"/>
      <c r="J326" s="17">
        <v>257.76479999999998</v>
      </c>
      <c r="K326" s="18">
        <v>30.456399999999999</v>
      </c>
      <c r="L326" s="18">
        <v>35.251899999999999</v>
      </c>
      <c r="M326" s="18">
        <v>36.280900000000003</v>
      </c>
      <c r="N326" s="18">
        <v>688.07339999999999</v>
      </c>
      <c r="O326" s="18">
        <f t="shared" si="12"/>
        <v>31.783899999999999</v>
      </c>
      <c r="P326" s="7"/>
      <c r="Q326" s="10"/>
      <c r="R326" s="11"/>
      <c r="S326" s="11"/>
      <c r="T326" s="26"/>
      <c r="U326" s="28">
        <f t="shared" si="14"/>
        <v>-0.53440287448488666</v>
      </c>
    </row>
    <row r="327" spans="1:21" ht="16.5" thickBot="1" x14ac:dyDescent="0.3">
      <c r="B327" s="12"/>
      <c r="C327" s="19">
        <v>149.66</v>
      </c>
      <c r="D327" s="20">
        <v>27.311</v>
      </c>
      <c r="E327" s="20">
        <v>33.53</v>
      </c>
      <c r="F327" s="20">
        <v>34.545999999999999</v>
      </c>
      <c r="G327" s="20">
        <v>1477.83</v>
      </c>
      <c r="H327" s="20">
        <f t="shared" si="11"/>
        <v>28.992749999999997</v>
      </c>
      <c r="I327" s="5"/>
      <c r="J327" s="19">
        <v>123.524</v>
      </c>
      <c r="K327" s="20">
        <v>27.921099999999999</v>
      </c>
      <c r="L327" s="20">
        <v>33.622700000000002</v>
      </c>
      <c r="M327" s="20">
        <v>34.535899999999998</v>
      </c>
      <c r="N327" s="20">
        <v>961.5385</v>
      </c>
      <c r="O327" s="20">
        <f t="shared" si="12"/>
        <v>29.460650000000001</v>
      </c>
      <c r="P327" s="7"/>
      <c r="Q327" s="13"/>
      <c r="R327" s="14"/>
      <c r="S327" s="14"/>
      <c r="T327" s="27"/>
      <c r="U327" s="28">
        <f t="shared" si="14"/>
        <v>-0.34935784224166511</v>
      </c>
    </row>
    <row r="328" spans="1:21" x14ac:dyDescent="0.25">
      <c r="A328" s="6" t="s">
        <v>43</v>
      </c>
      <c r="B328" s="6" t="s">
        <v>61</v>
      </c>
      <c r="C328" s="15">
        <v>1896.4</v>
      </c>
      <c r="D328" s="16">
        <v>40.869999999999997</v>
      </c>
      <c r="E328" s="16">
        <v>44.581000000000003</v>
      </c>
      <c r="F328" s="16">
        <v>45.67</v>
      </c>
      <c r="G328" s="16">
        <v>237.44</v>
      </c>
      <c r="H328" s="16">
        <f t="shared" si="11"/>
        <v>41.933875</v>
      </c>
      <c r="I328" s="5"/>
      <c r="J328" s="15">
        <v>1548.4384</v>
      </c>
      <c r="K328" s="16">
        <v>41.369199999999999</v>
      </c>
      <c r="L328" s="16">
        <v>45.5242</v>
      </c>
      <c r="M328" s="16">
        <v>46.732900000000001</v>
      </c>
      <c r="N328" s="16">
        <v>212.53989999999999</v>
      </c>
      <c r="O328" s="16">
        <f t="shared" si="12"/>
        <v>42.559037500000002</v>
      </c>
      <c r="P328" s="7"/>
      <c r="Q328" s="8">
        <f>bdrate(C328:C331,D328:D331,J328:J331,K328:K331)</f>
        <v>-0.36032057538352491</v>
      </c>
      <c r="R328" s="8">
        <f>bdrate(C328:C331,E328:E331,J328:J331,L328:L331)</f>
        <v>-0.45961767292785982</v>
      </c>
      <c r="S328" s="8">
        <f>bdrate(C328:C331,F328:F331,J328:J331,M328:M331)</f>
        <v>-0.48909912695523816</v>
      </c>
      <c r="T328" s="25">
        <f>bdrate(C328:C331,H328:H331,J328:J331,O328:O331)</f>
        <v>-0.38310720545996746</v>
      </c>
      <c r="U328" s="28">
        <f t="shared" si="14"/>
        <v>-0.10486901954177902</v>
      </c>
    </row>
    <row r="329" spans="1:21" x14ac:dyDescent="0.25">
      <c r="A329" s="9" t="s">
        <v>44</v>
      </c>
      <c r="B329" s="9"/>
      <c r="C329" s="17">
        <v>1237.8399999999999</v>
      </c>
      <c r="D329" s="18">
        <v>39.482999999999997</v>
      </c>
      <c r="E329" s="18">
        <v>43.412999999999997</v>
      </c>
      <c r="F329" s="18">
        <v>44.389000000000003</v>
      </c>
      <c r="G329" s="18">
        <v>259.85000000000002</v>
      </c>
      <c r="H329" s="18">
        <f t="shared" si="11"/>
        <v>40.587499999999999</v>
      </c>
      <c r="I329" s="5"/>
      <c r="J329" s="17">
        <v>1014.4328</v>
      </c>
      <c r="K329" s="18">
        <v>40.054000000000002</v>
      </c>
      <c r="L329" s="18">
        <v>44.370199999999997</v>
      </c>
      <c r="M329" s="18">
        <v>45.516800000000003</v>
      </c>
      <c r="N329" s="18">
        <v>295.858</v>
      </c>
      <c r="O329" s="18">
        <f t="shared" si="12"/>
        <v>41.276375000000002</v>
      </c>
      <c r="P329" s="7"/>
      <c r="Q329" s="10"/>
      <c r="R329" s="11"/>
      <c r="S329" s="11"/>
      <c r="T329" s="26"/>
      <c r="U329" s="28">
        <f t="shared" si="14"/>
        <v>0.1385722532230132</v>
      </c>
    </row>
    <row r="330" spans="1:21" x14ac:dyDescent="0.25">
      <c r="B330" s="9"/>
      <c r="C330" s="17">
        <v>730.03</v>
      </c>
      <c r="D330" s="18">
        <v>37.146000000000001</v>
      </c>
      <c r="E330" s="18">
        <v>41.869</v>
      </c>
      <c r="F330" s="18">
        <v>42.603999999999999</v>
      </c>
      <c r="G330" s="18">
        <v>258.18</v>
      </c>
      <c r="H330" s="18">
        <f t="shared" si="11"/>
        <v>38.418624999999999</v>
      </c>
      <c r="I330" s="5"/>
      <c r="J330" s="17">
        <v>563.29759999999999</v>
      </c>
      <c r="K330" s="18">
        <v>38.074800000000003</v>
      </c>
      <c r="L330" s="18">
        <v>42.934699999999999</v>
      </c>
      <c r="M330" s="18">
        <v>44.000100000000003</v>
      </c>
      <c r="N330" s="18">
        <v>328.76710000000003</v>
      </c>
      <c r="O330" s="18">
        <f t="shared" si="12"/>
        <v>39.42295</v>
      </c>
      <c r="P330" s="7"/>
      <c r="Q330" s="10"/>
      <c r="R330" s="11"/>
      <c r="S330" s="11"/>
      <c r="T330" s="26"/>
      <c r="U330" s="28">
        <f t="shared" si="14"/>
        <v>0.2734026648074987</v>
      </c>
    </row>
    <row r="331" spans="1:21" ht="16.5" thickBot="1" x14ac:dyDescent="0.3">
      <c r="B331" s="12"/>
      <c r="C331" s="19">
        <v>358.71</v>
      </c>
      <c r="D331" s="20">
        <v>33.15</v>
      </c>
      <c r="E331" s="20">
        <v>39.872</v>
      </c>
      <c r="F331" s="20">
        <v>40.729999999999997</v>
      </c>
      <c r="G331" s="20">
        <v>267.14</v>
      </c>
      <c r="H331" s="20">
        <f t="shared" si="11"/>
        <v>34.937750000000001</v>
      </c>
      <c r="I331" s="5"/>
      <c r="J331" s="19">
        <v>277.45519999999999</v>
      </c>
      <c r="K331" s="20">
        <v>34.654400000000003</v>
      </c>
      <c r="L331" s="20">
        <v>40.968899999999998</v>
      </c>
      <c r="M331" s="20">
        <v>41.876399999999997</v>
      </c>
      <c r="N331" s="20">
        <v>388.601</v>
      </c>
      <c r="O331" s="20">
        <f t="shared" si="12"/>
        <v>36.346462500000001</v>
      </c>
      <c r="P331" s="7"/>
      <c r="Q331" s="13"/>
      <c r="R331" s="14"/>
      <c r="S331" s="14"/>
      <c r="T331" s="27"/>
      <c r="U331" s="28">
        <f t="shared" si="14"/>
        <v>0.45467170771879922</v>
      </c>
    </row>
    <row r="332" spans="1:21" x14ac:dyDescent="0.25">
      <c r="B332" s="6" t="s">
        <v>62</v>
      </c>
      <c r="C332" s="15">
        <v>1991.55</v>
      </c>
      <c r="D332" s="16">
        <v>41.807000000000002</v>
      </c>
      <c r="E332" s="16">
        <v>46.203000000000003</v>
      </c>
      <c r="F332" s="16">
        <v>46.707999999999998</v>
      </c>
      <c r="G332" s="16">
        <v>248.14</v>
      </c>
      <c r="H332" s="16">
        <f t="shared" si="11"/>
        <v>42.969125000000005</v>
      </c>
      <c r="I332" s="5"/>
      <c r="J332" s="15">
        <v>1477.2416000000001</v>
      </c>
      <c r="K332" s="16">
        <v>42.554499999999997</v>
      </c>
      <c r="L332" s="16">
        <v>47.655999999999999</v>
      </c>
      <c r="M332" s="16">
        <v>48.341500000000003</v>
      </c>
      <c r="N332" s="16">
        <v>218.57919999999999</v>
      </c>
      <c r="O332" s="16">
        <f t="shared" si="12"/>
        <v>43.9155625</v>
      </c>
      <c r="P332" s="7"/>
      <c r="Q332" s="8">
        <f>bdrate(C332:C335,D332:D335,J332:J335,K332:K335)</f>
        <v>-0.57883806607998767</v>
      </c>
      <c r="R332" s="8">
        <f>bdrate(C332:C335,E332:E335,J332:J335,L332:L335)</f>
        <v>-0.68976131184191558</v>
      </c>
      <c r="S332" s="8">
        <f>bdrate(C332:C335,F332:F335,J332:J335,M332:M335)</f>
        <v>-0.69885342778794013</v>
      </c>
      <c r="T332" s="25">
        <f>bdrate(C332:C335,H332:H335,J332:J335,O332:O335)</f>
        <v>-0.60985040129669077</v>
      </c>
      <c r="U332" s="28">
        <f t="shared" ref="U332:U339" si="15">(N332-G332)/G332</f>
        <v>-0.11912952365600066</v>
      </c>
    </row>
    <row r="333" spans="1:21" x14ac:dyDescent="0.25">
      <c r="B333" s="9"/>
      <c r="C333" s="17">
        <v>1303.4100000000001</v>
      </c>
      <c r="D333" s="18">
        <v>40.962000000000003</v>
      </c>
      <c r="E333" s="18">
        <v>45.308</v>
      </c>
      <c r="F333" s="18">
        <v>45.692</v>
      </c>
      <c r="G333" s="18">
        <v>278.68</v>
      </c>
      <c r="H333" s="18">
        <f t="shared" si="11"/>
        <v>42.096500000000006</v>
      </c>
      <c r="I333" s="5"/>
      <c r="J333" s="17">
        <v>986.42</v>
      </c>
      <c r="K333" s="18">
        <v>42.005000000000003</v>
      </c>
      <c r="L333" s="18">
        <v>47.081299999999999</v>
      </c>
      <c r="M333" s="18">
        <v>47.692799999999998</v>
      </c>
      <c r="N333" s="18">
        <v>337.45780000000002</v>
      </c>
      <c r="O333" s="18">
        <f t="shared" si="12"/>
        <v>43.350512500000001</v>
      </c>
      <c r="P333" s="7"/>
      <c r="Q333" s="10"/>
      <c r="R333" s="11"/>
      <c r="S333" s="11"/>
      <c r="T333" s="26"/>
      <c r="U333" s="28">
        <f t="shared" si="15"/>
        <v>0.21091502798909148</v>
      </c>
    </row>
    <row r="334" spans="1:21" x14ac:dyDescent="0.25">
      <c r="B334" s="9"/>
      <c r="C334" s="17">
        <v>761.93</v>
      </c>
      <c r="D334" s="18">
        <v>39.420999999999999</v>
      </c>
      <c r="E334" s="18">
        <v>43.899000000000001</v>
      </c>
      <c r="F334" s="18">
        <v>44.539000000000001</v>
      </c>
      <c r="G334" s="18">
        <v>284.89999999999998</v>
      </c>
      <c r="H334" s="18">
        <f t="shared" si="11"/>
        <v>40.6205</v>
      </c>
      <c r="I334" s="5"/>
      <c r="J334" s="17">
        <v>591.54639999999995</v>
      </c>
      <c r="K334" s="18">
        <v>41.055999999999997</v>
      </c>
      <c r="L334" s="18">
        <v>46.142400000000002</v>
      </c>
      <c r="M334" s="18">
        <v>46.711199999999998</v>
      </c>
      <c r="N334" s="18">
        <v>369.91370000000001</v>
      </c>
      <c r="O334" s="18">
        <f t="shared" si="12"/>
        <v>42.398699999999998</v>
      </c>
      <c r="P334" s="7"/>
      <c r="Q334" s="10"/>
      <c r="R334" s="11"/>
      <c r="S334" s="11"/>
      <c r="T334" s="26"/>
      <c r="U334" s="28">
        <f t="shared" si="15"/>
        <v>0.29839838539838553</v>
      </c>
    </row>
    <row r="335" spans="1:21" ht="16.5" thickBot="1" x14ac:dyDescent="0.3">
      <c r="B335" s="12"/>
      <c r="C335" s="19">
        <v>362.52</v>
      </c>
      <c r="D335" s="20">
        <v>36.212000000000003</v>
      </c>
      <c r="E335" s="20">
        <v>41.677999999999997</v>
      </c>
      <c r="F335" s="20">
        <v>42.509</v>
      </c>
      <c r="G335" s="20">
        <v>293.26</v>
      </c>
      <c r="H335" s="20">
        <f t="shared" si="11"/>
        <v>37.682375000000008</v>
      </c>
      <c r="I335" s="5"/>
      <c r="J335" s="19">
        <v>276.43360000000001</v>
      </c>
      <c r="K335" s="20">
        <v>39.1008</v>
      </c>
      <c r="L335" s="20">
        <v>44.300600000000003</v>
      </c>
      <c r="M335" s="20">
        <v>44.742800000000003</v>
      </c>
      <c r="N335" s="20">
        <v>404.85829999999999</v>
      </c>
      <c r="O335" s="20">
        <f t="shared" si="12"/>
        <v>40.456024999999997</v>
      </c>
      <c r="P335" s="7"/>
      <c r="Q335" s="13"/>
      <c r="R335" s="14"/>
      <c r="S335" s="14"/>
      <c r="T335" s="27"/>
      <c r="U335" s="28">
        <f t="shared" si="15"/>
        <v>0.38054388597149286</v>
      </c>
    </row>
    <row r="336" spans="1:21" x14ac:dyDescent="0.25">
      <c r="B336" s="6" t="s">
        <v>63</v>
      </c>
      <c r="C336" s="15">
        <v>2089.94</v>
      </c>
      <c r="D336" s="16">
        <v>41.784999999999997</v>
      </c>
      <c r="E336" s="16">
        <v>45.500999999999998</v>
      </c>
      <c r="F336" s="16">
        <v>46.249000000000002</v>
      </c>
      <c r="G336" s="16">
        <v>251.47</v>
      </c>
      <c r="H336" s="16">
        <f t="shared" si="11"/>
        <v>42.807499999999997</v>
      </c>
      <c r="I336" s="5"/>
      <c r="J336" s="15">
        <v>1541.8304000000001</v>
      </c>
      <c r="K336" s="16">
        <v>42.4283</v>
      </c>
      <c r="L336" s="16">
        <v>46.671199999999999</v>
      </c>
      <c r="M336" s="16">
        <v>47.493699999999997</v>
      </c>
      <c r="N336" s="16">
        <v>171.72300000000001</v>
      </c>
      <c r="O336" s="16">
        <f t="shared" si="12"/>
        <v>43.591837499999997</v>
      </c>
      <c r="P336" s="7"/>
      <c r="Q336" s="8">
        <f>bdrate(C336:C339,D336:D339,J336:J339,K336:K339)</f>
        <v>-0.5137902846110225</v>
      </c>
      <c r="R336" s="8">
        <f>bdrate(C336:C339,E336:E339,J336:J339,L336:L339)</f>
        <v>-0.58935540250699514</v>
      </c>
      <c r="S336" s="8">
        <f>bdrate(C336:C339,F336:F339,J336:J339,M336:M339)</f>
        <v>-0.60598050640378331</v>
      </c>
      <c r="T336" s="25">
        <f>bdrate(C336:C339,H336:H339,J336:J339,O336:O339)</f>
        <v>-0.53375110429880868</v>
      </c>
      <c r="U336" s="28">
        <f t="shared" si="15"/>
        <v>-0.31712331490833889</v>
      </c>
    </row>
    <row r="337" spans="1:21" x14ac:dyDescent="0.25">
      <c r="B337" s="9"/>
      <c r="C337" s="17">
        <v>1375.68</v>
      </c>
      <c r="D337" s="18">
        <v>40.549999999999997</v>
      </c>
      <c r="E337" s="18">
        <v>44.460999999999999</v>
      </c>
      <c r="F337" s="18">
        <v>45.048999999999999</v>
      </c>
      <c r="G337" s="18">
        <v>272.60000000000002</v>
      </c>
      <c r="H337" s="18">
        <f t="shared" si="11"/>
        <v>41.601249999999993</v>
      </c>
      <c r="I337" s="5"/>
      <c r="J337" s="17">
        <v>1005.728</v>
      </c>
      <c r="K337" s="18">
        <v>41.590299999999999</v>
      </c>
      <c r="L337" s="18">
        <v>45.846499999999999</v>
      </c>
      <c r="M337" s="18">
        <v>46.686199999999999</v>
      </c>
      <c r="N337" s="18">
        <v>310.23779999999999</v>
      </c>
      <c r="O337" s="18">
        <f t="shared" si="12"/>
        <v>42.7593125</v>
      </c>
      <c r="P337" s="7"/>
      <c r="Q337" s="10"/>
      <c r="R337" s="11"/>
      <c r="S337" s="11"/>
      <c r="T337" s="26"/>
      <c r="U337" s="28">
        <f t="shared" si="15"/>
        <v>0.13806969919295659</v>
      </c>
    </row>
    <row r="338" spans="1:21" x14ac:dyDescent="0.25">
      <c r="B338" s="9"/>
      <c r="C338" s="17">
        <v>808.99</v>
      </c>
      <c r="D338" s="18">
        <v>38.539000000000001</v>
      </c>
      <c r="E338" s="18">
        <v>42.633000000000003</v>
      </c>
      <c r="F338" s="18">
        <v>43.329000000000001</v>
      </c>
      <c r="G338" s="18">
        <v>272.73</v>
      </c>
      <c r="H338" s="18">
        <f t="shared" si="11"/>
        <v>39.649500000000003</v>
      </c>
      <c r="I338" s="5"/>
      <c r="J338" s="17">
        <v>598.04880000000003</v>
      </c>
      <c r="K338" s="18">
        <v>40.1158</v>
      </c>
      <c r="L338" s="18">
        <v>44.502800000000001</v>
      </c>
      <c r="M338" s="18">
        <v>45.247300000000003</v>
      </c>
      <c r="N338" s="18">
        <v>343.44589999999999</v>
      </c>
      <c r="O338" s="18">
        <f t="shared" si="12"/>
        <v>41.305612499999995</v>
      </c>
      <c r="P338" s="7"/>
      <c r="Q338" s="10"/>
      <c r="R338" s="11"/>
      <c r="S338" s="11"/>
      <c r="T338" s="26"/>
      <c r="U338" s="28">
        <f t="shared" si="15"/>
        <v>0.25928904044292878</v>
      </c>
    </row>
    <row r="339" spans="1:21" ht="16.5" thickBot="1" x14ac:dyDescent="0.3">
      <c r="B339" s="12"/>
      <c r="C339" s="19">
        <v>394.92</v>
      </c>
      <c r="D339" s="20">
        <v>34.880000000000003</v>
      </c>
      <c r="E339" s="20">
        <v>40.499000000000002</v>
      </c>
      <c r="F339" s="20">
        <v>41.161999999999999</v>
      </c>
      <c r="G339" s="20">
        <v>278.81</v>
      </c>
      <c r="H339" s="20">
        <f t="shared" si="11"/>
        <v>36.367625000000004</v>
      </c>
      <c r="I339" s="5"/>
      <c r="J339" s="19">
        <v>293.93599999999998</v>
      </c>
      <c r="K339" s="20">
        <v>37.4587</v>
      </c>
      <c r="L339" s="20">
        <v>42.450099999999999</v>
      </c>
      <c r="M339" s="20">
        <v>43.302799999999998</v>
      </c>
      <c r="N339" s="20">
        <v>359.28140000000002</v>
      </c>
      <c r="O339" s="20">
        <f t="shared" si="12"/>
        <v>38.813137500000003</v>
      </c>
      <c r="P339" s="7"/>
      <c r="Q339" s="13"/>
      <c r="R339" s="14"/>
      <c r="S339" s="14"/>
      <c r="T339" s="27"/>
      <c r="U339" s="28">
        <f t="shared" si="15"/>
        <v>0.28862451131594996</v>
      </c>
    </row>
    <row r="340" spans="1:21" hidden="1" x14ac:dyDescent="0.25">
      <c r="A340" s="6" t="s">
        <v>71</v>
      </c>
      <c r="B340" s="6" t="s">
        <v>73</v>
      </c>
      <c r="C340" s="15">
        <v>1609.97</v>
      </c>
      <c r="D340" s="16">
        <v>33.588999999999999</v>
      </c>
      <c r="E340" s="16">
        <v>36.512999999999998</v>
      </c>
      <c r="F340" s="16">
        <v>36.484000000000002</v>
      </c>
      <c r="G340" s="16">
        <v>493.1</v>
      </c>
      <c r="H340" s="16">
        <f t="shared" ref="H340:H499" si="16">(6*D340+E340+F340)/8</f>
        <v>34.316375000000001</v>
      </c>
      <c r="I340" s="5"/>
      <c r="J340" s="15">
        <v>1242.8104000000001</v>
      </c>
      <c r="K340" s="16">
        <v>34.622</v>
      </c>
      <c r="L340" s="16">
        <v>38.153399999999998</v>
      </c>
      <c r="M340" s="16">
        <v>38.084499999999998</v>
      </c>
      <c r="N340" s="16">
        <v>344.5899</v>
      </c>
      <c r="O340" s="16">
        <f t="shared" ref="O340:O499" si="17">(6*K340+L340+M340)/8</f>
        <v>35.496237499999999</v>
      </c>
      <c r="P340" s="7"/>
      <c r="Q340" s="8">
        <f>bdrate(C340:C343,D340:D343,J340:J343,K340:K343)</f>
        <v>-0.43049390583364955</v>
      </c>
      <c r="R340" s="8">
        <f>bdrate(C340:C343,E340:E343,J340:J343,L340:L343)</f>
        <v>-0.47345200099379248</v>
      </c>
      <c r="S340" s="8">
        <f>bdrate(C340:C343,F340:F343,J340:J343,M340:M343)</f>
        <v>-0.42583479060744045</v>
      </c>
      <c r="T340" s="25">
        <f>bdrate(C340:C343,H340:H343,J340:J343,O340:O343)</f>
        <v>-0.43722156315054606</v>
      </c>
      <c r="U340" s="28">
        <f t="shared" ref="U340:U499" si="18">(N340-G340)/G340</f>
        <v>-0.30117643480024336</v>
      </c>
    </row>
    <row r="341" spans="1:21" hidden="1" x14ac:dyDescent="0.25">
      <c r="A341" s="9" t="s">
        <v>72</v>
      </c>
      <c r="B341" s="9"/>
      <c r="C341" s="17">
        <v>1071</v>
      </c>
      <c r="D341" s="18">
        <v>31.87</v>
      </c>
      <c r="E341" s="18">
        <v>35.325000000000003</v>
      </c>
      <c r="F341" s="18">
        <v>35.24</v>
      </c>
      <c r="G341" s="18">
        <v>552.49</v>
      </c>
      <c r="H341" s="18">
        <f t="shared" si="16"/>
        <v>32.723125000000003</v>
      </c>
      <c r="I341" s="5"/>
      <c r="J341" s="17">
        <v>829.05200000000002</v>
      </c>
      <c r="K341" s="18">
        <v>32.997999999999998</v>
      </c>
      <c r="L341" s="18">
        <v>36.746099999999998</v>
      </c>
      <c r="M341" s="18">
        <v>36.536000000000001</v>
      </c>
      <c r="N341" s="18">
        <v>410.84629999999999</v>
      </c>
      <c r="O341" s="18">
        <f t="shared" si="17"/>
        <v>33.908762500000002</v>
      </c>
      <c r="P341" s="7"/>
      <c r="Q341" s="10"/>
      <c r="R341" s="11"/>
      <c r="S341" s="11"/>
      <c r="T341" s="26"/>
      <c r="U341" s="28">
        <f t="shared" si="18"/>
        <v>-0.25637332802403667</v>
      </c>
    </row>
    <row r="342" spans="1:21" hidden="1" x14ac:dyDescent="0.25">
      <c r="B342" s="9"/>
      <c r="C342" s="17">
        <v>668.06</v>
      </c>
      <c r="D342" s="18">
        <v>29.763000000000002</v>
      </c>
      <c r="E342" s="18">
        <v>34.268000000000001</v>
      </c>
      <c r="F342" s="18">
        <v>34.090000000000003</v>
      </c>
      <c r="G342" s="18">
        <v>593.82000000000005</v>
      </c>
      <c r="H342" s="18">
        <f t="shared" si="16"/>
        <v>30.867000000000001</v>
      </c>
      <c r="I342" s="5"/>
      <c r="J342" s="17">
        <v>516.93520000000001</v>
      </c>
      <c r="K342" s="18">
        <v>31.165299999999998</v>
      </c>
      <c r="L342" s="18">
        <v>35.215499999999999</v>
      </c>
      <c r="M342" s="18">
        <v>34.851300000000002</v>
      </c>
      <c r="N342" s="18">
        <v>478.01150000000001</v>
      </c>
      <c r="O342" s="18">
        <f t="shared" si="17"/>
        <v>32.132324999999994</v>
      </c>
      <c r="P342" s="7"/>
      <c r="Q342" s="10"/>
      <c r="R342" s="11"/>
      <c r="S342" s="11"/>
      <c r="T342" s="26"/>
      <c r="U342" s="28">
        <f t="shared" si="18"/>
        <v>-0.19502290256306629</v>
      </c>
    </row>
    <row r="343" spans="1:21" ht="16.5" hidden="1" thickBot="1" x14ac:dyDescent="0.3">
      <c r="B343" s="12"/>
      <c r="C343" s="19">
        <v>398.37</v>
      </c>
      <c r="D343" s="20">
        <v>27.082999999999998</v>
      </c>
      <c r="E343" s="20">
        <v>33.219000000000001</v>
      </c>
      <c r="F343" s="20">
        <v>32.997</v>
      </c>
      <c r="G343" s="20">
        <v>640.20000000000005</v>
      </c>
      <c r="H343" s="20">
        <f t="shared" si="16"/>
        <v>28.58925</v>
      </c>
      <c r="I343" s="5"/>
      <c r="J343" s="19">
        <v>309.86799999999999</v>
      </c>
      <c r="K343" s="20">
        <v>29.080400000000001</v>
      </c>
      <c r="L343" s="20">
        <v>33.619700000000002</v>
      </c>
      <c r="M343" s="20">
        <v>33.186300000000003</v>
      </c>
      <c r="N343" s="20">
        <v>525.76239999999996</v>
      </c>
      <c r="O343" s="20">
        <f t="shared" si="17"/>
        <v>30.161050000000003</v>
      </c>
      <c r="P343" s="7"/>
      <c r="Q343" s="13"/>
      <c r="R343" s="14"/>
      <c r="S343" s="14"/>
      <c r="T343" s="27"/>
      <c r="U343" s="28">
        <f t="shared" si="18"/>
        <v>-0.17875288972196202</v>
      </c>
    </row>
    <row r="344" spans="1:21" hidden="1" x14ac:dyDescent="0.25">
      <c r="B344" s="6" t="s">
        <v>74</v>
      </c>
      <c r="C344" s="15">
        <v>1468.58</v>
      </c>
      <c r="D344" s="16">
        <v>32.811</v>
      </c>
      <c r="E344" s="16">
        <v>39.5</v>
      </c>
      <c r="F344" s="16">
        <v>38.786000000000001</v>
      </c>
      <c r="G344" s="16">
        <v>252.27</v>
      </c>
      <c r="H344" s="16">
        <f t="shared" si="16"/>
        <v>34.393999999999998</v>
      </c>
      <c r="I344" s="5"/>
      <c r="J344" s="15">
        <v>1240.2998</v>
      </c>
      <c r="K344" s="16">
        <v>32.823399999999999</v>
      </c>
      <c r="L344" s="16">
        <v>40.110700000000001</v>
      </c>
      <c r="M344" s="16">
        <v>39.456000000000003</v>
      </c>
      <c r="N344" s="16">
        <v>191.86490000000001</v>
      </c>
      <c r="O344" s="16">
        <f t="shared" si="17"/>
        <v>34.563387500000005</v>
      </c>
      <c r="P344" s="7"/>
      <c r="Q344" s="8">
        <f>bdrate(C344:C347,D344:D347,J344:J347,K344:K347)</f>
        <v>-0.31096459061027892</v>
      </c>
      <c r="R344" s="8">
        <f>bdrate(C344:C347,E344:E347,J344:J347,L344:L347)</f>
        <v>-0.32552033693793714</v>
      </c>
      <c r="S344" s="8">
        <f>bdrate(C344:C347,F344:F347,J344:J347,M344:M347)</f>
        <v>-0.32709612576153402</v>
      </c>
      <c r="T344" s="25">
        <f>bdrate(C344:C347,H344:H347,J344:J347,O344:O347)</f>
        <v>-0.31850199089579656</v>
      </c>
      <c r="U344" s="28">
        <f t="shared" si="18"/>
        <v>-0.2394462282475126</v>
      </c>
    </row>
    <row r="345" spans="1:21" hidden="1" x14ac:dyDescent="0.25">
      <c r="B345" s="9"/>
      <c r="C345" s="17">
        <v>975.92</v>
      </c>
      <c r="D345" s="18">
        <v>30.923999999999999</v>
      </c>
      <c r="E345" s="18">
        <v>38.557000000000002</v>
      </c>
      <c r="F345" s="18">
        <v>37.652000000000001</v>
      </c>
      <c r="G345" s="18">
        <v>288.85000000000002</v>
      </c>
      <c r="H345" s="18">
        <f t="shared" si="16"/>
        <v>32.719124999999998</v>
      </c>
      <c r="I345" s="5"/>
      <c r="J345" s="17">
        <v>825.44060000000002</v>
      </c>
      <c r="K345" s="18">
        <v>31.4711</v>
      </c>
      <c r="L345" s="18">
        <v>39.107100000000003</v>
      </c>
      <c r="M345" s="18">
        <v>38.338099999999997</v>
      </c>
      <c r="N345" s="18">
        <v>210.7038</v>
      </c>
      <c r="O345" s="18">
        <f t="shared" si="17"/>
        <v>33.283974999999998</v>
      </c>
      <c r="P345" s="7"/>
      <c r="Q345" s="10"/>
      <c r="R345" s="11"/>
      <c r="S345" s="11"/>
      <c r="T345" s="26"/>
      <c r="U345" s="28">
        <f t="shared" si="18"/>
        <v>-0.270542496105245</v>
      </c>
    </row>
    <row r="346" spans="1:21" hidden="1" x14ac:dyDescent="0.25">
      <c r="B346" s="9"/>
      <c r="C346" s="17">
        <v>608.41</v>
      </c>
      <c r="D346" s="18">
        <v>28.771999999999998</v>
      </c>
      <c r="E346" s="18">
        <v>37.555</v>
      </c>
      <c r="F346" s="18">
        <v>36.529000000000003</v>
      </c>
      <c r="G346" s="18">
        <v>302.48</v>
      </c>
      <c r="H346" s="18">
        <f t="shared" si="16"/>
        <v>30.839500000000001</v>
      </c>
      <c r="I346" s="5"/>
      <c r="J346" s="17">
        <v>513.80740000000003</v>
      </c>
      <c r="K346" s="18">
        <v>29.957899999999999</v>
      </c>
      <c r="L346" s="18">
        <v>38.030799999999999</v>
      </c>
      <c r="M346" s="18">
        <v>37.0319</v>
      </c>
      <c r="N346" s="18">
        <v>242.83629999999999</v>
      </c>
      <c r="O346" s="18">
        <f t="shared" si="17"/>
        <v>31.851262500000001</v>
      </c>
      <c r="P346" s="7"/>
      <c r="Q346" s="10"/>
      <c r="R346" s="11"/>
      <c r="S346" s="11"/>
      <c r="T346" s="26"/>
      <c r="U346" s="28">
        <f t="shared" si="18"/>
        <v>-0.19718229304416829</v>
      </c>
    </row>
    <row r="347" spans="1:21" ht="16.5" hidden="1" thickBot="1" x14ac:dyDescent="0.3">
      <c r="B347" s="12"/>
      <c r="C347" s="19">
        <v>363.78</v>
      </c>
      <c r="D347" s="20">
        <v>26.451000000000001</v>
      </c>
      <c r="E347" s="20">
        <v>36.561999999999998</v>
      </c>
      <c r="F347" s="20">
        <v>35.274000000000001</v>
      </c>
      <c r="G347" s="20">
        <v>311.33</v>
      </c>
      <c r="H347" s="20">
        <f t="shared" si="16"/>
        <v>28.817750000000004</v>
      </c>
      <c r="I347" s="5"/>
      <c r="J347" s="19">
        <v>308.59679999999997</v>
      </c>
      <c r="K347" s="20">
        <v>28.419</v>
      </c>
      <c r="L347" s="20">
        <v>36.9011</v>
      </c>
      <c r="M347" s="20">
        <v>35.801699999999997</v>
      </c>
      <c r="N347" s="20">
        <v>250.37559999999999</v>
      </c>
      <c r="O347" s="20">
        <f t="shared" si="17"/>
        <v>30.402099999999997</v>
      </c>
      <c r="P347" s="7"/>
      <c r="Q347" s="13"/>
      <c r="R347" s="14"/>
      <c r="S347" s="14"/>
      <c r="T347" s="27"/>
      <c r="U347" s="28">
        <f t="shared" si="18"/>
        <v>-0.1957871069283397</v>
      </c>
    </row>
    <row r="348" spans="1:21" hidden="1" x14ac:dyDescent="0.25">
      <c r="B348" s="6" t="s">
        <v>75</v>
      </c>
      <c r="C348" s="15">
        <v>1447.58</v>
      </c>
      <c r="D348" s="16">
        <v>49.826999999999998</v>
      </c>
      <c r="E348" s="16">
        <v>49.481999999999999</v>
      </c>
      <c r="F348" s="16">
        <v>49.28</v>
      </c>
      <c r="G348" s="16">
        <v>278.81</v>
      </c>
      <c r="H348" s="16">
        <f t="shared" si="16"/>
        <v>49.715499999999992</v>
      </c>
      <c r="I348" s="5"/>
      <c r="J348" s="15">
        <v>983.71759999999995</v>
      </c>
      <c r="K348" s="16">
        <v>48.064500000000002</v>
      </c>
      <c r="L348" s="16">
        <v>48.2333</v>
      </c>
      <c r="M348" s="16">
        <v>48.016300000000001</v>
      </c>
      <c r="N348" s="16">
        <v>168.72890000000001</v>
      </c>
      <c r="O348" s="16">
        <f t="shared" si="17"/>
        <v>48.079574999999998</v>
      </c>
      <c r="P348" s="7"/>
      <c r="Q348" s="8">
        <f>bdrate(C348:C351,D348:D351,J348:J351,K348:K351)</f>
        <v>-0.13630593737288621</v>
      </c>
      <c r="R348" s="8">
        <f>bdrate(C348:C351,E348:E351,J348:J351,L348:L351)</f>
        <v>-0.14759491360211419</v>
      </c>
      <c r="S348" s="8">
        <f>bdrate(C348:C351,F348:F351,J348:J351,M348:M351)</f>
        <v>-0.14366134363383853</v>
      </c>
      <c r="T348" s="25">
        <f>bdrate(C348:C351,H348:H351,J348:J351,O348:O351)</f>
        <v>-0.13817541680019829</v>
      </c>
      <c r="U348" s="28">
        <f t="shared" si="18"/>
        <v>-0.3948247910763602</v>
      </c>
    </row>
    <row r="349" spans="1:21" hidden="1" x14ac:dyDescent="0.25">
      <c r="B349" s="9"/>
      <c r="C349" s="17">
        <v>925.14</v>
      </c>
      <c r="D349" s="18">
        <v>45.984999999999999</v>
      </c>
      <c r="E349" s="18">
        <v>46.177999999999997</v>
      </c>
      <c r="F349" s="18">
        <v>45.999000000000002</v>
      </c>
      <c r="G349" s="18">
        <v>363.2</v>
      </c>
      <c r="H349" s="18">
        <f t="shared" si="16"/>
        <v>46.010874999999999</v>
      </c>
      <c r="I349" s="5"/>
      <c r="J349" s="17">
        <v>771.74239999999998</v>
      </c>
      <c r="K349" s="18">
        <v>45.832500000000003</v>
      </c>
      <c r="L349" s="18">
        <v>46.383299999999998</v>
      </c>
      <c r="M349" s="18">
        <v>46.157499999999999</v>
      </c>
      <c r="N349" s="18">
        <v>300.60120000000001</v>
      </c>
      <c r="O349" s="18">
        <f t="shared" si="17"/>
        <v>45.941974999999999</v>
      </c>
      <c r="P349" s="7"/>
      <c r="Q349" s="10"/>
      <c r="R349" s="11"/>
      <c r="S349" s="11"/>
      <c r="T349" s="26"/>
      <c r="U349" s="28">
        <f t="shared" si="18"/>
        <v>-0.17235352422907485</v>
      </c>
    </row>
    <row r="350" spans="1:21" hidden="1" x14ac:dyDescent="0.25">
      <c r="B350" s="9"/>
      <c r="C350" s="17">
        <v>576.02</v>
      </c>
      <c r="D350" s="18">
        <v>40.515999999999998</v>
      </c>
      <c r="E350" s="18">
        <v>42.07</v>
      </c>
      <c r="F350" s="18">
        <v>41.915999999999997</v>
      </c>
      <c r="G350" s="18">
        <v>377.36</v>
      </c>
      <c r="H350" s="18">
        <f t="shared" si="16"/>
        <v>40.885249999999999</v>
      </c>
      <c r="I350" s="5"/>
      <c r="J350" s="17">
        <v>537.04639999999995</v>
      </c>
      <c r="K350" s="18">
        <v>41.186599999999999</v>
      </c>
      <c r="L350" s="18">
        <v>42.570900000000002</v>
      </c>
      <c r="M350" s="18">
        <v>42.3827</v>
      </c>
      <c r="N350" s="18">
        <v>376.88440000000003</v>
      </c>
      <c r="O350" s="18">
        <f t="shared" si="17"/>
        <v>41.509149999999998</v>
      </c>
      <c r="P350" s="7"/>
      <c r="Q350" s="10"/>
      <c r="R350" s="11"/>
      <c r="S350" s="11"/>
      <c r="T350" s="26"/>
      <c r="U350" s="28">
        <f t="shared" si="18"/>
        <v>-1.2603349586601277E-3</v>
      </c>
    </row>
    <row r="351" spans="1:21" ht="16.5" hidden="1" thickBot="1" x14ac:dyDescent="0.3">
      <c r="B351" s="12"/>
      <c r="C351" s="19">
        <v>305.52999999999997</v>
      </c>
      <c r="D351" s="20">
        <v>32.585999999999999</v>
      </c>
      <c r="E351" s="20">
        <v>37.914000000000001</v>
      </c>
      <c r="F351" s="20">
        <v>37.487000000000002</v>
      </c>
      <c r="G351" s="20">
        <v>392.67</v>
      </c>
      <c r="H351" s="20">
        <f t="shared" si="16"/>
        <v>33.864625000000004</v>
      </c>
      <c r="I351" s="5"/>
      <c r="J351" s="19">
        <v>295.26479999999998</v>
      </c>
      <c r="K351" s="20">
        <v>34.454000000000001</v>
      </c>
      <c r="L351" s="20">
        <v>38.515500000000003</v>
      </c>
      <c r="M351" s="20">
        <v>38.1676</v>
      </c>
      <c r="N351" s="20">
        <v>409.27690000000001</v>
      </c>
      <c r="O351" s="20">
        <f t="shared" si="17"/>
        <v>35.425887500000002</v>
      </c>
      <c r="P351" s="7"/>
      <c r="Q351" s="13"/>
      <c r="R351" s="14"/>
      <c r="S351" s="14"/>
      <c r="T351" s="27"/>
      <c r="U351" s="28">
        <f t="shared" si="18"/>
        <v>4.2292255583568888E-2</v>
      </c>
    </row>
    <row r="352" spans="1:21" hidden="1" x14ac:dyDescent="0.25">
      <c r="B352" s="6" t="s">
        <v>76</v>
      </c>
      <c r="C352" s="15">
        <v>1736.02</v>
      </c>
      <c r="D352" s="16">
        <v>52.517000000000003</v>
      </c>
      <c r="E352" s="16">
        <v>55.561999999999998</v>
      </c>
      <c r="F352" s="16">
        <v>56.277000000000001</v>
      </c>
      <c r="G352" s="16">
        <v>266.81</v>
      </c>
      <c r="H352" s="16">
        <f t="shared" si="16"/>
        <v>53.367625000000004</v>
      </c>
      <c r="I352" s="5"/>
      <c r="J352" s="15">
        <v>1147.5360000000001</v>
      </c>
      <c r="K352" s="16">
        <v>49.582000000000001</v>
      </c>
      <c r="L352" s="16">
        <v>52.928800000000003</v>
      </c>
      <c r="M352" s="16">
        <v>53.953800000000001</v>
      </c>
      <c r="N352" s="16">
        <v>215.1463</v>
      </c>
      <c r="O352" s="16">
        <f t="shared" si="17"/>
        <v>50.546825000000005</v>
      </c>
      <c r="P352" s="7"/>
      <c r="Q352" s="8">
        <f>bdrate(C352:C355,D352:D355,J352:J355,K352:K355)</f>
        <v>-8.7988942501229683E-2</v>
      </c>
      <c r="R352" s="8">
        <f>bdrate(C352:C355,E352:E355,J352:J355,L352:L355)</f>
        <v>-0.16968148719882448</v>
      </c>
      <c r="S352" s="8">
        <f>bdrate(C352:C355,F352:F355,J352:J355,M352:M355)</f>
        <v>-0.16860836528471046</v>
      </c>
      <c r="T352" s="25">
        <f>bdrate(C352:C355,H352:H355,J352:J355,O352:O355)</f>
        <v>-0.10560538096343197</v>
      </c>
      <c r="U352" s="28">
        <f t="shared" si="18"/>
        <v>-0.19363479629699037</v>
      </c>
    </row>
    <row r="353" spans="1:21" hidden="1" x14ac:dyDescent="0.25">
      <c r="B353" s="9"/>
      <c r="C353" s="17">
        <v>1153.8</v>
      </c>
      <c r="D353" s="18">
        <v>49.008000000000003</v>
      </c>
      <c r="E353" s="18">
        <v>52.338999999999999</v>
      </c>
      <c r="F353" s="18">
        <v>53.168999999999997</v>
      </c>
      <c r="G353" s="18">
        <v>308.07</v>
      </c>
      <c r="H353" s="18">
        <f t="shared" si="16"/>
        <v>49.944499999999998</v>
      </c>
      <c r="I353" s="5"/>
      <c r="J353" s="17">
        <v>794.16899999999998</v>
      </c>
      <c r="K353" s="18">
        <v>46.7485</v>
      </c>
      <c r="L353" s="18">
        <v>50.569000000000003</v>
      </c>
      <c r="M353" s="18">
        <v>51.599299999999999</v>
      </c>
      <c r="N353" s="18">
        <v>269.39659999999998</v>
      </c>
      <c r="O353" s="18">
        <f t="shared" si="17"/>
        <v>47.832412500000004</v>
      </c>
      <c r="P353" s="7"/>
      <c r="Q353" s="10"/>
      <c r="R353" s="11"/>
      <c r="S353" s="11"/>
      <c r="T353" s="26"/>
      <c r="U353" s="28">
        <f t="shared" si="18"/>
        <v>-0.1255344564547019</v>
      </c>
    </row>
    <row r="354" spans="1:21" hidden="1" x14ac:dyDescent="0.25">
      <c r="B354" s="9"/>
      <c r="C354" s="17">
        <v>696</v>
      </c>
      <c r="D354" s="18">
        <v>44.789000000000001</v>
      </c>
      <c r="E354" s="18">
        <v>48.284999999999997</v>
      </c>
      <c r="F354" s="18">
        <v>49.360999999999997</v>
      </c>
      <c r="G354" s="18">
        <v>311.33</v>
      </c>
      <c r="H354" s="18">
        <f t="shared" si="16"/>
        <v>45.797499999999999</v>
      </c>
      <c r="I354" s="5"/>
      <c r="J354" s="17">
        <v>509.4803</v>
      </c>
      <c r="K354" s="18">
        <v>42.899799999999999</v>
      </c>
      <c r="L354" s="18">
        <v>47.256399999999999</v>
      </c>
      <c r="M354" s="18">
        <v>48.543500000000002</v>
      </c>
      <c r="N354" s="18">
        <v>294.11759999999998</v>
      </c>
      <c r="O354" s="18">
        <f t="shared" si="17"/>
        <v>44.149837499999997</v>
      </c>
      <c r="P354" s="7"/>
      <c r="Q354" s="10"/>
      <c r="R354" s="11"/>
      <c r="S354" s="11"/>
      <c r="T354" s="26"/>
      <c r="U354" s="28">
        <f t="shared" si="18"/>
        <v>-5.528667330485338E-2</v>
      </c>
    </row>
    <row r="355" spans="1:21" ht="16.5" hidden="1" thickBot="1" x14ac:dyDescent="0.3">
      <c r="B355" s="12"/>
      <c r="C355" s="19">
        <v>350.75</v>
      </c>
      <c r="D355" s="20">
        <v>39.015999999999998</v>
      </c>
      <c r="E355" s="20">
        <v>43.226999999999997</v>
      </c>
      <c r="F355" s="20">
        <v>44.904000000000003</v>
      </c>
      <c r="G355" s="20">
        <v>327.01</v>
      </c>
      <c r="H355" s="20">
        <f t="shared" si="16"/>
        <v>40.278374999999997</v>
      </c>
      <c r="I355" s="5"/>
      <c r="J355" s="19">
        <v>262.48610000000002</v>
      </c>
      <c r="K355" s="20">
        <v>37.4148</v>
      </c>
      <c r="L355" s="20">
        <v>43.588000000000001</v>
      </c>
      <c r="M355" s="20">
        <v>44.598300000000002</v>
      </c>
      <c r="N355" s="20">
        <v>327.0111</v>
      </c>
      <c r="O355" s="20">
        <f t="shared" si="17"/>
        <v>39.084387499999998</v>
      </c>
      <c r="P355" s="7"/>
      <c r="Q355" s="13"/>
      <c r="R355" s="14"/>
      <c r="S355" s="14"/>
      <c r="T355" s="27"/>
      <c r="U355" s="28">
        <f t="shared" si="18"/>
        <v>3.3638115042600977E-6</v>
      </c>
    </row>
    <row r="356" spans="1:21" hidden="1" x14ac:dyDescent="0.25">
      <c r="A356" s="6" t="s">
        <v>104</v>
      </c>
      <c r="B356" s="6" t="s">
        <v>105</v>
      </c>
      <c r="C356" s="15">
        <v>1302.79</v>
      </c>
      <c r="D356" s="16">
        <v>40.819000000000003</v>
      </c>
      <c r="E356" s="16">
        <v>47.523000000000003</v>
      </c>
      <c r="F356" s="16">
        <v>47.344999999999999</v>
      </c>
      <c r="G356" s="16">
        <v>387.19</v>
      </c>
      <c r="H356" s="16">
        <f t="shared" si="16"/>
        <v>42.472750000000005</v>
      </c>
      <c r="I356" s="5"/>
      <c r="J356" s="15">
        <v>1023.8924</v>
      </c>
      <c r="K356" s="16">
        <v>41.209499999999998</v>
      </c>
      <c r="L356" s="16">
        <v>47.697400000000002</v>
      </c>
      <c r="M356" s="16">
        <v>47.601700000000001</v>
      </c>
      <c r="N356" s="16">
        <v>240.3561</v>
      </c>
      <c r="O356" s="16">
        <f t="shared" si="17"/>
        <v>42.819512500000002</v>
      </c>
      <c r="P356" s="7"/>
      <c r="Q356" s="8">
        <f>bdrate(C356:C359,D356:D359,J356:J359,K356:K359)</f>
        <v>-0.30711322143387321</v>
      </c>
      <c r="R356" s="8">
        <f>bdrate(C356:C359,E356:E359,J356:J359,L356:L359)</f>
        <v>-0.27757426678781527</v>
      </c>
      <c r="S356" s="8">
        <f>bdrate(C356:C359,F356:F359,J356:J359,M356:M359)</f>
        <v>-0.29960111827104974</v>
      </c>
      <c r="T356" s="25">
        <f>bdrate(C356:C359,H356:H359,J356:J359,O356:O359)</f>
        <v>-0.30408707298902071</v>
      </c>
      <c r="U356" s="28">
        <f t="shared" si="18"/>
        <v>-0.37922957721015521</v>
      </c>
    </row>
    <row r="357" spans="1:21" hidden="1" x14ac:dyDescent="0.25">
      <c r="A357" s="9"/>
      <c r="B357" s="9"/>
      <c r="C357" s="17">
        <v>773.85</v>
      </c>
      <c r="D357" s="18">
        <v>38.164999999999999</v>
      </c>
      <c r="E357" s="18">
        <v>45.728999999999999</v>
      </c>
      <c r="F357" s="18">
        <v>45.378999999999998</v>
      </c>
      <c r="G357" s="18">
        <v>455.57</v>
      </c>
      <c r="H357" s="18">
        <f t="shared" si="16"/>
        <v>40.012250000000002</v>
      </c>
      <c r="I357" s="5"/>
      <c r="J357" s="17">
        <v>612.73990000000003</v>
      </c>
      <c r="K357" s="18">
        <v>38.704599999999999</v>
      </c>
      <c r="L357" s="18">
        <v>45.983899999999998</v>
      </c>
      <c r="M357" s="18">
        <v>45.784999999999997</v>
      </c>
      <c r="N357" s="18">
        <v>282.23</v>
      </c>
      <c r="O357" s="18">
        <f t="shared" si="17"/>
        <v>40.499562499999996</v>
      </c>
      <c r="P357" s="7"/>
      <c r="Q357" s="10"/>
      <c r="R357" s="11"/>
      <c r="S357" s="11"/>
      <c r="T357" s="26"/>
      <c r="U357" s="28">
        <f t="shared" si="18"/>
        <v>-0.38049037469543645</v>
      </c>
    </row>
    <row r="358" spans="1:21" hidden="1" x14ac:dyDescent="0.25">
      <c r="B358" s="9"/>
      <c r="C358" s="17">
        <v>511.65</v>
      </c>
      <c r="D358" s="18">
        <v>36.011000000000003</v>
      </c>
      <c r="E358" s="18">
        <v>44.387</v>
      </c>
      <c r="F358" s="18">
        <v>43.932000000000002</v>
      </c>
      <c r="G358" s="18">
        <v>519.23</v>
      </c>
      <c r="H358" s="18">
        <f t="shared" si="16"/>
        <v>38.048125000000006</v>
      </c>
      <c r="I358" s="5"/>
      <c r="J358" s="17">
        <v>407.61189999999999</v>
      </c>
      <c r="K358" s="18">
        <v>36.7318</v>
      </c>
      <c r="L358" s="18">
        <v>44.735900000000001</v>
      </c>
      <c r="M358" s="18">
        <v>44.402700000000003</v>
      </c>
      <c r="N358" s="18">
        <v>333.05919999999998</v>
      </c>
      <c r="O358" s="18">
        <f t="shared" si="17"/>
        <v>38.691175000000001</v>
      </c>
      <c r="P358" s="7"/>
      <c r="Q358" s="10"/>
      <c r="R358" s="11"/>
      <c r="S358" s="11"/>
      <c r="T358" s="26"/>
      <c r="U358" s="28">
        <f t="shared" si="18"/>
        <v>-0.35855170155807647</v>
      </c>
    </row>
    <row r="359" spans="1:21" ht="16.5" hidden="1" thickBot="1" x14ac:dyDescent="0.3">
      <c r="B359" s="12"/>
      <c r="C359" s="19">
        <v>251.8</v>
      </c>
      <c r="D359" s="20">
        <v>32.201000000000001</v>
      </c>
      <c r="E359" s="20">
        <v>42.33</v>
      </c>
      <c r="F359" s="20">
        <v>41.691000000000003</v>
      </c>
      <c r="G359" s="20">
        <v>564.85</v>
      </c>
      <c r="H359" s="20">
        <f t="shared" si="16"/>
        <v>34.653374999999997</v>
      </c>
      <c r="I359" s="5"/>
      <c r="J359" s="19">
        <v>202.75409999999999</v>
      </c>
      <c r="K359" s="20">
        <v>33.446800000000003</v>
      </c>
      <c r="L359" s="20">
        <v>42.678800000000003</v>
      </c>
      <c r="M359" s="20">
        <v>42.187600000000003</v>
      </c>
      <c r="N359" s="20">
        <v>432.69229999999999</v>
      </c>
      <c r="O359" s="20">
        <f t="shared" si="17"/>
        <v>35.693400000000004</v>
      </c>
      <c r="P359" s="7"/>
      <c r="Q359" s="13"/>
      <c r="R359" s="14"/>
      <c r="S359" s="14"/>
      <c r="T359" s="27"/>
      <c r="U359" s="28">
        <f t="shared" si="18"/>
        <v>-0.23396954943790391</v>
      </c>
    </row>
    <row r="360" spans="1:21" hidden="1" x14ac:dyDescent="0.25">
      <c r="B360" s="6" t="s">
        <v>106</v>
      </c>
      <c r="C360" s="15">
        <v>1281.72</v>
      </c>
      <c r="D360" s="16">
        <v>40.036000000000001</v>
      </c>
      <c r="E360" s="16">
        <v>49.735999999999997</v>
      </c>
      <c r="F360" s="16">
        <v>47.375</v>
      </c>
      <c r="G360" s="16">
        <v>430.39</v>
      </c>
      <c r="H360" s="16">
        <f t="shared" si="16"/>
        <v>42.165875</v>
      </c>
      <c r="I360" s="5"/>
      <c r="J360" s="15">
        <v>1023.0663</v>
      </c>
      <c r="K360" s="16">
        <v>40.064599999999999</v>
      </c>
      <c r="L360" s="16">
        <v>49.745600000000003</v>
      </c>
      <c r="M360" s="16">
        <v>47.633299999999998</v>
      </c>
      <c r="N360" s="16">
        <v>265.01170000000002</v>
      </c>
      <c r="O360" s="16">
        <f t="shared" si="17"/>
        <v>42.220812500000001</v>
      </c>
      <c r="P360" s="7"/>
      <c r="Q360" s="8">
        <f>bdrate(C360:C363,D360:D363,J360:J363,K360:K363)</f>
        <v>-0.24265839087499996</v>
      </c>
      <c r="R360" s="8">
        <f>bdrate(C360:C363,E360:E363,J360:J363,L360:L363)</f>
        <v>-0.32508211744793403</v>
      </c>
      <c r="S360" s="8">
        <f>bdrate(C360:C363,F360:F363,J360:J363,M360:M363)</f>
        <v>-0.35314660698557399</v>
      </c>
      <c r="T360" s="25">
        <f>bdrate(C360:C363,H360:H363,J360:J363,O360:O363)</f>
        <v>-0.26110614539631616</v>
      </c>
      <c r="U360" s="28">
        <f t="shared" si="18"/>
        <v>-0.38425218987429999</v>
      </c>
    </row>
    <row r="361" spans="1:21" hidden="1" x14ac:dyDescent="0.25">
      <c r="B361" s="9"/>
      <c r="C361" s="17">
        <v>766.14</v>
      </c>
      <c r="D361" s="18">
        <v>37.640999999999998</v>
      </c>
      <c r="E361" s="18">
        <v>48.162999999999997</v>
      </c>
      <c r="F361" s="18">
        <v>45.478000000000002</v>
      </c>
      <c r="G361" s="18">
        <v>479.46</v>
      </c>
      <c r="H361" s="18">
        <f t="shared" si="16"/>
        <v>39.935875000000003</v>
      </c>
      <c r="I361" s="5"/>
      <c r="J361" s="17">
        <v>613.81970000000001</v>
      </c>
      <c r="K361" s="18">
        <v>37.7714</v>
      </c>
      <c r="L361" s="18">
        <v>48.496000000000002</v>
      </c>
      <c r="M361" s="18">
        <v>46.061900000000001</v>
      </c>
      <c r="N361" s="18">
        <v>317.65010000000001</v>
      </c>
      <c r="O361" s="18">
        <f t="shared" si="17"/>
        <v>40.148287499999995</v>
      </c>
      <c r="P361" s="7"/>
      <c r="Q361" s="10"/>
      <c r="R361" s="11"/>
      <c r="S361" s="11"/>
      <c r="T361" s="26"/>
      <c r="U361" s="28">
        <f t="shared" si="18"/>
        <v>-0.33748362741417426</v>
      </c>
    </row>
    <row r="362" spans="1:21" hidden="1" x14ac:dyDescent="0.25">
      <c r="B362" s="9"/>
      <c r="C362" s="17">
        <v>510.18</v>
      </c>
      <c r="D362" s="18">
        <v>35.790999999999997</v>
      </c>
      <c r="E362" s="18">
        <v>46.914000000000001</v>
      </c>
      <c r="F362" s="18">
        <v>44.158999999999999</v>
      </c>
      <c r="G362" s="18">
        <v>533.76</v>
      </c>
      <c r="H362" s="18">
        <f t="shared" si="16"/>
        <v>38.227374999999995</v>
      </c>
      <c r="I362" s="5"/>
      <c r="J362" s="17">
        <v>409.1078</v>
      </c>
      <c r="K362" s="18">
        <v>36.066299999999998</v>
      </c>
      <c r="L362" s="18">
        <v>47.529800000000002</v>
      </c>
      <c r="M362" s="18">
        <v>44.928800000000003</v>
      </c>
      <c r="N362" s="18">
        <v>361.92410000000001</v>
      </c>
      <c r="O362" s="18">
        <f t="shared" si="17"/>
        <v>38.607050000000001</v>
      </c>
      <c r="P362" s="7"/>
      <c r="Q362" s="10"/>
      <c r="R362" s="11"/>
      <c r="S362" s="11"/>
      <c r="T362" s="26"/>
      <c r="U362" s="28">
        <f t="shared" si="18"/>
        <v>-0.32193476468824939</v>
      </c>
    </row>
    <row r="363" spans="1:21" ht="16.5" hidden="1" thickBot="1" x14ac:dyDescent="0.3">
      <c r="B363" s="12"/>
      <c r="C363" s="19">
        <v>255.19</v>
      </c>
      <c r="D363" s="20">
        <v>32.71</v>
      </c>
      <c r="E363" s="20">
        <v>45.344999999999999</v>
      </c>
      <c r="F363" s="20">
        <v>42.155000000000001</v>
      </c>
      <c r="G363" s="20">
        <v>597.61</v>
      </c>
      <c r="H363" s="20">
        <f t="shared" si="16"/>
        <v>35.47</v>
      </c>
      <c r="I363" s="5"/>
      <c r="J363" s="19">
        <v>204.38290000000001</v>
      </c>
      <c r="K363" s="20">
        <v>33.322699999999998</v>
      </c>
      <c r="L363" s="20">
        <v>46.005400000000002</v>
      </c>
      <c r="M363" s="20">
        <v>43.007800000000003</v>
      </c>
      <c r="N363" s="20">
        <v>476.53570000000002</v>
      </c>
      <c r="O363" s="20">
        <f t="shared" si="17"/>
        <v>36.118674999999996</v>
      </c>
      <c r="P363" s="7"/>
      <c r="Q363" s="13"/>
      <c r="R363" s="14"/>
      <c r="S363" s="14"/>
      <c r="T363" s="27"/>
      <c r="U363" s="28">
        <f t="shared" si="18"/>
        <v>-0.20259751342849014</v>
      </c>
    </row>
    <row r="364" spans="1:21" hidden="1" x14ac:dyDescent="0.25">
      <c r="B364" s="6" t="s">
        <v>107</v>
      </c>
      <c r="C364" s="15">
        <v>1323.24</v>
      </c>
      <c r="D364" s="16">
        <v>43.636000000000003</v>
      </c>
      <c r="E364" s="16">
        <v>47.673999999999999</v>
      </c>
      <c r="F364" s="16">
        <v>48.021000000000001</v>
      </c>
      <c r="G364" s="16">
        <v>350.85</v>
      </c>
      <c r="H364" s="16">
        <f t="shared" si="16"/>
        <v>44.688875000000003</v>
      </c>
      <c r="I364" s="5"/>
      <c r="J364" s="15">
        <v>1026.7336</v>
      </c>
      <c r="K364" s="16">
        <v>43.542400000000001</v>
      </c>
      <c r="L364" s="16">
        <v>47.547699999999999</v>
      </c>
      <c r="M364" s="16">
        <v>47.917099999999998</v>
      </c>
      <c r="N364" s="16">
        <v>209.84460000000001</v>
      </c>
      <c r="O364" s="16">
        <f t="shared" si="17"/>
        <v>44.589900000000007</v>
      </c>
      <c r="P364" s="7"/>
      <c r="Q364" s="8">
        <f>bdrate(C364:C367,D364:D367,J364:J367,K364:K367)</f>
        <v>-0.26251900967059638</v>
      </c>
      <c r="R364" s="8">
        <f>bdrate(C364:C367,E364:E367,J364:J367,L364:L367)</f>
        <v>-0.21749547145249903</v>
      </c>
      <c r="S364" s="8">
        <f>bdrate(C364:C367,F364:F367,J364:J367,M364:M367)</f>
        <v>-0.22175342354761807</v>
      </c>
      <c r="T364" s="25">
        <f>bdrate(C364:C367,H364:H367,J364:J367,O364:O367)</f>
        <v>-0.25595461116897644</v>
      </c>
      <c r="U364" s="28">
        <f t="shared" si="18"/>
        <v>-0.40189653698161609</v>
      </c>
    </row>
    <row r="365" spans="1:21" hidden="1" x14ac:dyDescent="0.25">
      <c r="B365" s="9"/>
      <c r="C365" s="17">
        <v>788.95</v>
      </c>
      <c r="D365" s="18">
        <v>41.317</v>
      </c>
      <c r="E365" s="18">
        <v>46.161999999999999</v>
      </c>
      <c r="F365" s="18">
        <v>46.612000000000002</v>
      </c>
      <c r="G365" s="18">
        <v>416.38</v>
      </c>
      <c r="H365" s="18">
        <f t="shared" si="16"/>
        <v>42.584499999999998</v>
      </c>
      <c r="I365" s="5"/>
      <c r="J365" s="17">
        <v>615.57190000000003</v>
      </c>
      <c r="K365" s="18">
        <v>41.411000000000001</v>
      </c>
      <c r="L365" s="18">
        <v>46.1235</v>
      </c>
      <c r="M365" s="18">
        <v>46.554499999999997</v>
      </c>
      <c r="N365" s="18">
        <v>264.93680000000001</v>
      </c>
      <c r="O365" s="18">
        <f t="shared" si="17"/>
        <v>42.643000000000001</v>
      </c>
      <c r="P365" s="7"/>
      <c r="Q365" s="10"/>
      <c r="R365" s="11"/>
      <c r="S365" s="11"/>
      <c r="T365" s="26"/>
      <c r="U365" s="28">
        <f t="shared" si="18"/>
        <v>-0.36371391517363943</v>
      </c>
    </row>
    <row r="366" spans="1:21" hidden="1" x14ac:dyDescent="0.25">
      <c r="B366" s="9"/>
      <c r="C366" s="17">
        <v>521.82000000000005</v>
      </c>
      <c r="D366" s="18">
        <v>39.347999999999999</v>
      </c>
      <c r="E366" s="18">
        <v>45.006999999999998</v>
      </c>
      <c r="F366" s="18">
        <v>45.463999999999999</v>
      </c>
      <c r="G366" s="18">
        <v>450.17</v>
      </c>
      <c r="H366" s="18">
        <f t="shared" si="16"/>
        <v>40.819874999999996</v>
      </c>
      <c r="I366" s="5"/>
      <c r="J366" s="17">
        <v>408.9905</v>
      </c>
      <c r="K366" s="18">
        <v>39.656700000000001</v>
      </c>
      <c r="L366" s="18">
        <v>45.049199999999999</v>
      </c>
      <c r="M366" s="18">
        <v>45.5047</v>
      </c>
      <c r="N366" s="18">
        <v>307.82870000000003</v>
      </c>
      <c r="O366" s="18">
        <f t="shared" si="17"/>
        <v>41.0617625</v>
      </c>
      <c r="P366" s="7"/>
      <c r="Q366" s="10"/>
      <c r="R366" s="11"/>
      <c r="S366" s="11"/>
      <c r="T366" s="26"/>
      <c r="U366" s="28">
        <f t="shared" si="18"/>
        <v>-0.31619454872603681</v>
      </c>
    </row>
    <row r="367" spans="1:21" ht="16.5" hidden="1" thickBot="1" x14ac:dyDescent="0.3">
      <c r="B367" s="12"/>
      <c r="C367" s="19">
        <v>257.85000000000002</v>
      </c>
      <c r="D367" s="20">
        <v>35.534999999999997</v>
      </c>
      <c r="E367" s="20">
        <v>43.052999999999997</v>
      </c>
      <c r="F367" s="20">
        <v>43.456000000000003</v>
      </c>
      <c r="G367" s="20">
        <v>515.91999999999996</v>
      </c>
      <c r="H367" s="20">
        <f t="shared" si="16"/>
        <v>37.464874999999999</v>
      </c>
      <c r="I367" s="5"/>
      <c r="J367" s="19">
        <v>202.7963</v>
      </c>
      <c r="K367" s="20">
        <v>36.462299999999999</v>
      </c>
      <c r="L367" s="20">
        <v>43.087600000000002</v>
      </c>
      <c r="M367" s="20">
        <v>43.615000000000002</v>
      </c>
      <c r="N367" s="20">
        <v>407.71809999999999</v>
      </c>
      <c r="O367" s="20">
        <f t="shared" si="17"/>
        <v>38.184550000000002</v>
      </c>
      <c r="P367" s="7"/>
      <c r="Q367" s="13"/>
      <c r="R367" s="14"/>
      <c r="S367" s="14"/>
      <c r="T367" s="27"/>
      <c r="U367" s="28">
        <f t="shared" si="18"/>
        <v>-0.20972612032873308</v>
      </c>
    </row>
    <row r="368" spans="1:21" hidden="1" x14ac:dyDescent="0.25">
      <c r="B368" s="6" t="s">
        <v>108</v>
      </c>
      <c r="C368" s="29">
        <v>1269.31</v>
      </c>
      <c r="D368" s="30">
        <v>40.130000000000003</v>
      </c>
      <c r="E368" s="30">
        <v>47.116999999999997</v>
      </c>
      <c r="F368" s="30">
        <v>46.963000000000001</v>
      </c>
      <c r="G368" s="16">
        <v>393.88</v>
      </c>
      <c r="H368" s="16">
        <f t="shared" si="16"/>
        <v>41.857500000000009</v>
      </c>
      <c r="I368" s="5"/>
      <c r="J368" s="29">
        <v>1024.9606000000001</v>
      </c>
      <c r="K368" s="30">
        <v>39.564300000000003</v>
      </c>
      <c r="L368" s="30">
        <v>46.452199999999998</v>
      </c>
      <c r="M368" s="30">
        <v>46.285600000000002</v>
      </c>
      <c r="N368" s="16">
        <v>223.0581</v>
      </c>
      <c r="O368" s="16">
        <f t="shared" si="17"/>
        <v>41.265450000000001</v>
      </c>
      <c r="P368" s="7"/>
      <c r="Q368" s="8">
        <f>bdrate(C368:C371,D368:D371,J368:J371,K368:K371)</f>
        <v>-0.2262706856162926</v>
      </c>
      <c r="R368" s="8">
        <f>bdrate(C368:C371,E368:E371,J368:J371,L368:L371)</f>
        <v>-7.9056394248995354E-2</v>
      </c>
      <c r="S368" s="8">
        <f>bdrate(C368:C371,F368:F371,J368:J371,M368:M371)</f>
        <v>-9.4650603705731862E-2</v>
      </c>
      <c r="T368" s="25">
        <f>bdrate(C368:C371,H368:H371,J368:J371,O368:O371)</f>
        <v>-0.20705232394978845</v>
      </c>
      <c r="U368" s="28">
        <f t="shared" si="18"/>
        <v>-0.43369021021630955</v>
      </c>
    </row>
    <row r="369" spans="2:21" hidden="1" x14ac:dyDescent="0.25">
      <c r="B369" s="9"/>
      <c r="C369" s="31">
        <v>757.64</v>
      </c>
      <c r="D369" s="32">
        <v>37.28</v>
      </c>
      <c r="E369" s="32">
        <v>45.536000000000001</v>
      </c>
      <c r="F369" s="32">
        <v>45.341000000000001</v>
      </c>
      <c r="G369" s="18">
        <v>464.74</v>
      </c>
      <c r="H369" s="18">
        <f t="shared" si="16"/>
        <v>39.319625000000002</v>
      </c>
      <c r="I369" s="5"/>
      <c r="J369" s="31">
        <v>614.67909999999995</v>
      </c>
      <c r="K369" s="32">
        <v>37.243699999999997</v>
      </c>
      <c r="L369" s="32">
        <v>45.127400000000002</v>
      </c>
      <c r="M369" s="32">
        <v>44.944000000000003</v>
      </c>
      <c r="N369" s="18">
        <v>269.0335</v>
      </c>
      <c r="O369" s="18">
        <f t="shared" si="17"/>
        <v>39.191700000000004</v>
      </c>
      <c r="P369" s="7"/>
      <c r="Q369" s="10"/>
      <c r="R369" s="11"/>
      <c r="S369" s="11"/>
      <c r="T369" s="26"/>
      <c r="U369" s="28">
        <f t="shared" si="18"/>
        <v>-0.4211096527090416</v>
      </c>
    </row>
    <row r="370" spans="2:21" hidden="1" x14ac:dyDescent="0.25">
      <c r="B370" s="9"/>
      <c r="C370" s="31">
        <v>504.04</v>
      </c>
      <c r="D370" s="32">
        <v>35.137</v>
      </c>
      <c r="E370" s="32">
        <v>44.411999999999999</v>
      </c>
      <c r="F370" s="32">
        <v>44.186</v>
      </c>
      <c r="G370" s="18">
        <v>496.72</v>
      </c>
      <c r="H370" s="18">
        <f t="shared" si="16"/>
        <v>37.427500000000002</v>
      </c>
      <c r="I370" s="5"/>
      <c r="J370" s="31">
        <v>409.6934</v>
      </c>
      <c r="K370" s="32">
        <v>35.518599999999999</v>
      </c>
      <c r="L370" s="32">
        <v>44.117899999999999</v>
      </c>
      <c r="M370" s="32">
        <v>43.933500000000002</v>
      </c>
      <c r="N370" s="18">
        <v>307.90069999999997</v>
      </c>
      <c r="O370" s="18">
        <f t="shared" si="17"/>
        <v>37.645375000000001</v>
      </c>
      <c r="P370" s="7"/>
      <c r="Q370" s="10"/>
      <c r="R370" s="11"/>
      <c r="S370" s="11"/>
      <c r="T370" s="26"/>
      <c r="U370" s="28">
        <f t="shared" si="18"/>
        <v>-0.38013226767595437</v>
      </c>
    </row>
    <row r="371" spans="2:21" ht="16.5" hidden="1" thickBot="1" x14ac:dyDescent="0.3">
      <c r="B371" s="12"/>
      <c r="C371" s="33">
        <v>251.47</v>
      </c>
      <c r="D371" s="34">
        <v>31.488</v>
      </c>
      <c r="E371" s="34">
        <v>42.531999999999996</v>
      </c>
      <c r="F371" s="34">
        <v>42.23</v>
      </c>
      <c r="G371" s="20">
        <v>560.39</v>
      </c>
      <c r="H371" s="20">
        <f t="shared" si="16"/>
        <v>34.21125</v>
      </c>
      <c r="I371" s="5"/>
      <c r="J371" s="33">
        <v>204.5575</v>
      </c>
      <c r="K371" s="34">
        <v>32.522599999999997</v>
      </c>
      <c r="L371" s="34">
        <v>42.359299999999998</v>
      </c>
      <c r="M371" s="34">
        <v>42.148200000000003</v>
      </c>
      <c r="N371" s="20">
        <v>410.47250000000003</v>
      </c>
      <c r="O371" s="20">
        <f t="shared" si="17"/>
        <v>34.955387500000001</v>
      </c>
      <c r="P371" s="7"/>
      <c r="Q371" s="13"/>
      <c r="R371" s="14"/>
      <c r="S371" s="14"/>
      <c r="T371" s="27"/>
      <c r="U371" s="28">
        <f t="shared" si="18"/>
        <v>-0.26752351041239131</v>
      </c>
    </row>
    <row r="372" spans="2:21" hidden="1" x14ac:dyDescent="0.25">
      <c r="B372" s="6" t="s">
        <v>109</v>
      </c>
      <c r="C372" s="15">
        <v>1295.8699999999999</v>
      </c>
      <c r="D372" s="16">
        <v>39.204999999999998</v>
      </c>
      <c r="E372" s="16">
        <v>47.301000000000002</v>
      </c>
      <c r="F372" s="16">
        <v>45.847999999999999</v>
      </c>
      <c r="G372" s="16">
        <v>434.7</v>
      </c>
      <c r="H372" s="16">
        <f t="shared" si="16"/>
        <v>41.047375000000002</v>
      </c>
      <c r="I372" s="5"/>
      <c r="J372" s="15">
        <v>1024.7598</v>
      </c>
      <c r="K372" s="16">
        <v>39.133000000000003</v>
      </c>
      <c r="L372" s="16">
        <v>47.377499999999998</v>
      </c>
      <c r="M372" s="16">
        <v>46.091000000000001</v>
      </c>
      <c r="N372" s="16">
        <v>243.98159999999999</v>
      </c>
      <c r="O372" s="16">
        <f t="shared" si="17"/>
        <v>41.033312500000001</v>
      </c>
      <c r="P372" s="7"/>
      <c r="Q372" s="8">
        <f>bdrate(C372:C375,D372:D375,J372:J375,K372:K375)</f>
        <v>-0.28773591577432678</v>
      </c>
      <c r="R372" s="8">
        <f>bdrate(C372:C375,E372:E375,J372:J375,L372:L375)</f>
        <v>-0.32061748857262118</v>
      </c>
      <c r="S372" s="8">
        <f>bdrate(C372:C375,F372:F375,J372:J375,M372:M375)</f>
        <v>-0.37838393348389543</v>
      </c>
      <c r="T372" s="25">
        <f>bdrate(C372:C375,H372:H375,J372:J375,O372:O375)</f>
        <v>-0.29979089319529062</v>
      </c>
      <c r="U372" s="28">
        <f t="shared" si="18"/>
        <v>-0.43873567977915806</v>
      </c>
    </row>
    <row r="373" spans="2:21" hidden="1" x14ac:dyDescent="0.25">
      <c r="B373" s="9"/>
      <c r="C373" s="17">
        <v>779.05</v>
      </c>
      <c r="D373" s="18">
        <v>37.533000000000001</v>
      </c>
      <c r="E373" s="18">
        <v>46.228999999999999</v>
      </c>
      <c r="F373" s="18">
        <v>44.59</v>
      </c>
      <c r="G373" s="18">
        <v>505.04</v>
      </c>
      <c r="H373" s="18">
        <f t="shared" si="16"/>
        <v>39.502125000000007</v>
      </c>
      <c r="I373" s="5"/>
      <c r="J373" s="17">
        <v>614.70669999999996</v>
      </c>
      <c r="K373" s="18">
        <v>37.685200000000002</v>
      </c>
      <c r="L373" s="18">
        <v>46.4893</v>
      </c>
      <c r="M373" s="18">
        <v>45.086399999999998</v>
      </c>
      <c r="N373" s="18">
        <v>294.14640000000003</v>
      </c>
      <c r="O373" s="18">
        <f t="shared" si="17"/>
        <v>39.710862500000005</v>
      </c>
      <c r="P373" s="7"/>
      <c r="Q373" s="10"/>
      <c r="R373" s="11"/>
      <c r="S373" s="11"/>
      <c r="T373" s="26"/>
      <c r="U373" s="28">
        <f t="shared" si="18"/>
        <v>-0.41757801362268332</v>
      </c>
    </row>
    <row r="374" spans="2:21" hidden="1" x14ac:dyDescent="0.25">
      <c r="B374" s="9"/>
      <c r="C374" s="17">
        <v>519.58000000000004</v>
      </c>
      <c r="D374" s="18">
        <v>36.293999999999997</v>
      </c>
      <c r="E374" s="18">
        <v>45.387</v>
      </c>
      <c r="F374" s="18">
        <v>43.680999999999997</v>
      </c>
      <c r="G374" s="18">
        <v>545.34</v>
      </c>
      <c r="H374" s="18">
        <f t="shared" si="16"/>
        <v>38.353999999999992</v>
      </c>
      <c r="I374" s="5"/>
      <c r="J374" s="17">
        <v>409.4665</v>
      </c>
      <c r="K374" s="18">
        <v>36.666699999999999</v>
      </c>
      <c r="L374" s="18">
        <v>45.749099999999999</v>
      </c>
      <c r="M374" s="18">
        <v>44.2639</v>
      </c>
      <c r="N374" s="18">
        <v>353.65609999999998</v>
      </c>
      <c r="O374" s="18">
        <f t="shared" si="17"/>
        <v>38.751649999999998</v>
      </c>
      <c r="P374" s="7"/>
      <c r="Q374" s="10"/>
      <c r="R374" s="11"/>
      <c r="S374" s="11"/>
      <c r="T374" s="26"/>
      <c r="U374" s="28">
        <f t="shared" si="18"/>
        <v>-0.35149429713573194</v>
      </c>
    </row>
    <row r="375" spans="2:21" ht="16.5" hidden="1" thickBot="1" x14ac:dyDescent="0.3">
      <c r="B375" s="12"/>
      <c r="C375" s="19">
        <v>259.97000000000003</v>
      </c>
      <c r="D375" s="20">
        <v>34.042000000000002</v>
      </c>
      <c r="E375" s="20">
        <v>44.052</v>
      </c>
      <c r="F375" s="20">
        <v>42.256999999999998</v>
      </c>
      <c r="G375" s="20">
        <v>608.64</v>
      </c>
      <c r="H375" s="20">
        <f t="shared" si="16"/>
        <v>36.320124999999997</v>
      </c>
      <c r="I375" s="5"/>
      <c r="J375" s="19">
        <v>201.55359999999999</v>
      </c>
      <c r="K375" s="20">
        <v>34.805999999999997</v>
      </c>
      <c r="L375" s="20">
        <v>44.326099999999997</v>
      </c>
      <c r="M375" s="20">
        <v>42.738900000000001</v>
      </c>
      <c r="N375" s="20">
        <v>453.49419999999998</v>
      </c>
      <c r="O375" s="20">
        <f t="shared" si="17"/>
        <v>36.987624999999994</v>
      </c>
      <c r="P375" s="7"/>
      <c r="Q375" s="13"/>
      <c r="R375" s="14"/>
      <c r="S375" s="14"/>
      <c r="T375" s="27"/>
      <c r="U375" s="28">
        <f t="shared" si="18"/>
        <v>-0.25490569137749741</v>
      </c>
    </row>
    <row r="376" spans="2:21" hidden="1" x14ac:dyDescent="0.25">
      <c r="B376" s="6" t="s">
        <v>110</v>
      </c>
      <c r="C376" s="15">
        <v>2130.59</v>
      </c>
      <c r="D376" s="16">
        <v>38.767000000000003</v>
      </c>
      <c r="E376" s="16">
        <v>45.003999999999998</v>
      </c>
      <c r="F376" s="16">
        <v>44.417000000000002</v>
      </c>
      <c r="G376" s="16">
        <v>164.43</v>
      </c>
      <c r="H376" s="16">
        <f t="shared" si="16"/>
        <v>40.252875000000003</v>
      </c>
      <c r="I376" s="5"/>
      <c r="J376" s="15">
        <v>1493.4245000000001</v>
      </c>
      <c r="K376" s="16">
        <v>37.664000000000001</v>
      </c>
      <c r="L376" s="16">
        <v>44.347200000000001</v>
      </c>
      <c r="M376" s="16">
        <v>43.746899999999997</v>
      </c>
      <c r="N376" s="16">
        <v>134.57740000000001</v>
      </c>
      <c r="O376" s="16">
        <f t="shared" si="17"/>
        <v>39.259762500000001</v>
      </c>
      <c r="P376" s="7"/>
      <c r="Q376" s="8">
        <f>bdrate(C376:C379,D376:D379,J376:J379,K376:K379)</f>
        <v>-0.26864201077842198</v>
      </c>
      <c r="R376" s="8">
        <f>bdrate(C376:C379,E376:E379,J376:J379,L376:L379)</f>
        <v>-0.16220484065581919</v>
      </c>
      <c r="S376" s="8">
        <f>bdrate(C376:C379,F376:F379,J376:J379,M376:M379)</f>
        <v>-9.7492764551595168E-2</v>
      </c>
      <c r="T376" s="25">
        <f>bdrate(C376:C379,H376:H379,J376:J379,O376:O379)</f>
        <v>-0.25090171437179265</v>
      </c>
      <c r="U376" s="28">
        <f t="shared" si="18"/>
        <v>-0.18155202821869484</v>
      </c>
    </row>
    <row r="377" spans="2:21" hidden="1" x14ac:dyDescent="0.25">
      <c r="B377" s="9"/>
      <c r="C377" s="17">
        <v>1423</v>
      </c>
      <c r="D377" s="18">
        <v>36.451999999999998</v>
      </c>
      <c r="E377" s="18">
        <v>43.732999999999997</v>
      </c>
      <c r="F377" s="18">
        <v>43.054000000000002</v>
      </c>
      <c r="G377" s="18">
        <v>184.36</v>
      </c>
      <c r="H377" s="18">
        <f t="shared" si="16"/>
        <v>38.187375000000003</v>
      </c>
      <c r="I377" s="5"/>
      <c r="J377" s="17">
        <v>995.30129999999997</v>
      </c>
      <c r="K377" s="18">
        <v>35.654899999999998</v>
      </c>
      <c r="L377" s="18">
        <v>43.140300000000003</v>
      </c>
      <c r="M377" s="18">
        <v>42.338700000000003</v>
      </c>
      <c r="N377" s="18">
        <v>167.2122</v>
      </c>
      <c r="O377" s="18">
        <f t="shared" si="17"/>
        <v>37.426050000000004</v>
      </c>
      <c r="P377" s="7"/>
      <c r="Q377" s="10"/>
      <c r="R377" s="11"/>
      <c r="S377" s="11"/>
      <c r="T377" s="26"/>
      <c r="U377" s="28">
        <f t="shared" si="18"/>
        <v>-9.3012584074636667E-2</v>
      </c>
    </row>
    <row r="378" spans="2:21" hidden="1" x14ac:dyDescent="0.25">
      <c r="B378" s="9"/>
      <c r="C378" s="17">
        <v>855.41</v>
      </c>
      <c r="D378" s="18">
        <v>33.497</v>
      </c>
      <c r="E378" s="18">
        <v>42.201999999999998</v>
      </c>
      <c r="F378" s="18">
        <v>41.487000000000002</v>
      </c>
      <c r="G378" s="18">
        <v>197.49</v>
      </c>
      <c r="H378" s="18">
        <f t="shared" si="16"/>
        <v>35.583874999999999</v>
      </c>
      <c r="I378" s="5"/>
      <c r="J378" s="17">
        <v>598.20249999999999</v>
      </c>
      <c r="K378" s="18">
        <v>33.347799999999999</v>
      </c>
      <c r="L378" s="18">
        <v>41.7288</v>
      </c>
      <c r="M378" s="18">
        <v>40.692599999999999</v>
      </c>
      <c r="N378" s="18">
        <v>188.90600000000001</v>
      </c>
      <c r="O378" s="18">
        <f t="shared" si="17"/>
        <v>35.313524999999998</v>
      </c>
      <c r="P378" s="7"/>
      <c r="Q378" s="10"/>
      <c r="R378" s="11"/>
      <c r="S378" s="11"/>
      <c r="T378" s="26"/>
      <c r="U378" s="28">
        <f t="shared" si="18"/>
        <v>-4.3465491923641721E-2</v>
      </c>
    </row>
    <row r="379" spans="2:21" ht="16.5" hidden="1" thickBot="1" x14ac:dyDescent="0.3">
      <c r="B379" s="12"/>
      <c r="C379" s="19">
        <v>427.49</v>
      </c>
      <c r="D379" s="20">
        <v>29.350999999999999</v>
      </c>
      <c r="E379" s="20">
        <v>40.305</v>
      </c>
      <c r="F379" s="20">
        <v>39.633000000000003</v>
      </c>
      <c r="G379" s="20">
        <v>210.15</v>
      </c>
      <c r="H379" s="20">
        <f t="shared" si="16"/>
        <v>32.005499999999998</v>
      </c>
      <c r="I379" s="5"/>
      <c r="J379" s="19">
        <v>297.88209999999998</v>
      </c>
      <c r="K379" s="20">
        <v>30.521899999999999</v>
      </c>
      <c r="L379" s="20">
        <v>39.8523</v>
      </c>
      <c r="M379" s="20">
        <v>38.431800000000003</v>
      </c>
      <c r="N379" s="20">
        <v>237.9658</v>
      </c>
      <c r="O379" s="20">
        <f t="shared" si="17"/>
        <v>32.676937500000001</v>
      </c>
      <c r="P379" s="7"/>
      <c r="Q379" s="13"/>
      <c r="R379" s="14"/>
      <c r="S379" s="14"/>
      <c r="T379" s="27"/>
      <c r="U379" s="28">
        <f t="shared" si="18"/>
        <v>0.13236164644301687</v>
      </c>
    </row>
    <row r="380" spans="2:21" hidden="1" x14ac:dyDescent="0.25">
      <c r="B380" s="6" t="s">
        <v>111</v>
      </c>
      <c r="C380" s="15">
        <v>1332.08</v>
      </c>
      <c r="D380" s="16">
        <v>40.816000000000003</v>
      </c>
      <c r="E380" s="16">
        <v>45.997999999999998</v>
      </c>
      <c r="F380" s="16">
        <v>45.536000000000001</v>
      </c>
      <c r="G380" s="16">
        <v>378.1</v>
      </c>
      <c r="H380" s="16">
        <f t="shared" si="16"/>
        <v>42.053750000000001</v>
      </c>
      <c r="I380" s="5"/>
      <c r="J380" s="15">
        <v>1026.2012</v>
      </c>
      <c r="K380" s="16">
        <v>40.362099999999998</v>
      </c>
      <c r="L380" s="16">
        <v>45.797699999999999</v>
      </c>
      <c r="M380" s="16">
        <v>45.320099999999996</v>
      </c>
      <c r="N380" s="16">
        <v>207.0196</v>
      </c>
      <c r="O380" s="16">
        <f t="shared" si="17"/>
        <v>41.661299999999997</v>
      </c>
      <c r="P380" s="7"/>
      <c r="Q380" s="8">
        <f>bdrate(C380:C383,D380:D383,J380:J383,K380:K383)</f>
        <v>-0.26874740099495509</v>
      </c>
      <c r="R380" s="8">
        <f>bdrate(C380:C383,E380:E383,J380:J383,L380:L383)</f>
        <v>-0.29737227990979076</v>
      </c>
      <c r="S380" s="8">
        <f>bdrate(C380:C383,F380:F383,J380:J383,M380:M383)</f>
        <v>-0.30982685507156271</v>
      </c>
      <c r="T380" s="25">
        <f>bdrate(C380:C383,H380:H383,J380:J383,O380:O383)</f>
        <v>-0.27546921529178592</v>
      </c>
      <c r="U380" s="28">
        <f t="shared" si="18"/>
        <v>-0.45247394869082258</v>
      </c>
    </row>
    <row r="381" spans="2:21" hidden="1" x14ac:dyDescent="0.25">
      <c r="B381" s="9"/>
      <c r="C381" s="17">
        <v>790.89</v>
      </c>
      <c r="D381" s="18">
        <v>38.328000000000003</v>
      </c>
      <c r="E381" s="18">
        <v>44.243000000000002</v>
      </c>
      <c r="F381" s="18">
        <v>43.670999999999999</v>
      </c>
      <c r="G381" s="18">
        <v>430.28</v>
      </c>
      <c r="H381" s="18">
        <f t="shared" si="16"/>
        <v>39.735250000000001</v>
      </c>
      <c r="I381" s="5"/>
      <c r="J381" s="17">
        <v>615.13620000000003</v>
      </c>
      <c r="K381" s="18">
        <v>38.356200000000001</v>
      </c>
      <c r="L381" s="18">
        <v>44.429099999999998</v>
      </c>
      <c r="M381" s="18">
        <v>43.922600000000003</v>
      </c>
      <c r="N381" s="18">
        <v>271.99880000000002</v>
      </c>
      <c r="O381" s="18">
        <f t="shared" si="17"/>
        <v>39.8111125</v>
      </c>
      <c r="P381" s="7"/>
      <c r="Q381" s="10"/>
      <c r="R381" s="11"/>
      <c r="S381" s="11"/>
      <c r="T381" s="26"/>
      <c r="U381" s="28">
        <f t="shared" si="18"/>
        <v>-0.36785627963186757</v>
      </c>
    </row>
    <row r="382" spans="2:21" hidden="1" x14ac:dyDescent="0.25">
      <c r="B382" s="9"/>
      <c r="C382" s="17">
        <v>522.01</v>
      </c>
      <c r="D382" s="18">
        <v>36.375</v>
      </c>
      <c r="E382" s="18">
        <v>42.936</v>
      </c>
      <c r="F382" s="18">
        <v>42.295000000000002</v>
      </c>
      <c r="G382" s="18">
        <v>464.98</v>
      </c>
      <c r="H382" s="18">
        <f t="shared" si="16"/>
        <v>37.935124999999999</v>
      </c>
      <c r="I382" s="5"/>
      <c r="J382" s="17">
        <v>407.63740000000001</v>
      </c>
      <c r="K382" s="18">
        <v>36.776899999999998</v>
      </c>
      <c r="L382" s="18">
        <v>43.379399999999997</v>
      </c>
      <c r="M382" s="18">
        <v>42.818399999999997</v>
      </c>
      <c r="N382" s="18">
        <v>318.57619999999997</v>
      </c>
      <c r="O382" s="18">
        <f t="shared" si="17"/>
        <v>38.357399999999998</v>
      </c>
      <c r="P382" s="7"/>
      <c r="Q382" s="10"/>
      <c r="R382" s="11"/>
      <c r="S382" s="11"/>
      <c r="T382" s="26"/>
      <c r="U382" s="28">
        <f t="shared" si="18"/>
        <v>-0.31486042410426263</v>
      </c>
    </row>
    <row r="383" spans="2:21" ht="16.5" hidden="1" thickBot="1" x14ac:dyDescent="0.3">
      <c r="B383" s="12"/>
      <c r="C383" s="19">
        <v>256.88</v>
      </c>
      <c r="D383" s="20">
        <v>32.880000000000003</v>
      </c>
      <c r="E383" s="20">
        <v>40.878999999999998</v>
      </c>
      <c r="F383" s="20">
        <v>40.168999999999997</v>
      </c>
      <c r="G383" s="20">
        <v>531.30999999999995</v>
      </c>
      <c r="H383" s="20">
        <f t="shared" si="16"/>
        <v>34.791000000000004</v>
      </c>
      <c r="I383" s="5"/>
      <c r="J383" s="19">
        <v>200.08879999999999</v>
      </c>
      <c r="K383" s="20">
        <v>33.904299999999999</v>
      </c>
      <c r="L383" s="20">
        <v>41.355499999999999</v>
      </c>
      <c r="M383" s="20">
        <v>40.756999999999998</v>
      </c>
      <c r="N383" s="20">
        <v>408.86360000000002</v>
      </c>
      <c r="O383" s="20">
        <f t="shared" si="17"/>
        <v>35.692287499999999</v>
      </c>
      <c r="P383" s="7"/>
      <c r="Q383" s="13"/>
      <c r="R383" s="14"/>
      <c r="S383" s="14"/>
      <c r="T383" s="27"/>
      <c r="U383" s="28">
        <f t="shared" si="18"/>
        <v>-0.23046131260469394</v>
      </c>
    </row>
    <row r="384" spans="2:21" hidden="1" x14ac:dyDescent="0.25">
      <c r="B384" s="6" t="s">
        <v>112</v>
      </c>
      <c r="C384" s="15">
        <v>1287.3</v>
      </c>
      <c r="D384" s="16">
        <v>43.963000000000001</v>
      </c>
      <c r="E384" s="16">
        <v>48.374000000000002</v>
      </c>
      <c r="F384" s="16">
        <v>47.537999999999997</v>
      </c>
      <c r="G384" s="16">
        <v>378.99</v>
      </c>
      <c r="H384" s="16">
        <f t="shared" si="16"/>
        <v>44.961250000000007</v>
      </c>
      <c r="I384" s="5"/>
      <c r="J384" s="15">
        <v>1025.3353</v>
      </c>
      <c r="K384" s="16">
        <v>44.0779</v>
      </c>
      <c r="L384" s="16">
        <v>48.193100000000001</v>
      </c>
      <c r="M384" s="16">
        <v>47.465499999999999</v>
      </c>
      <c r="N384" s="16">
        <v>220.7492</v>
      </c>
      <c r="O384" s="16">
        <f t="shared" si="17"/>
        <v>45.015750000000004</v>
      </c>
      <c r="P384" s="7"/>
      <c r="Q384" s="8">
        <f>bdrate(C384:C387,D384:D387,J384:J387,K384:K387)</f>
        <v>-0.31576046074962971</v>
      </c>
      <c r="R384" s="8">
        <f>bdrate(C384:C387,E384:E387,J384:J387,L384:L387)</f>
        <v>-0.19925592786221435</v>
      </c>
      <c r="S384" s="8">
        <f>bdrate(C384:C387,F384:F387,J384:J387,M384:M387)</f>
        <v>-0.25019637594818289</v>
      </c>
      <c r="T384" s="25">
        <f>bdrate(C384:C387,H384:H387,J384:J387,O384:O387)</f>
        <v>-0.29881132605739436</v>
      </c>
      <c r="U384" s="28">
        <f t="shared" si="18"/>
        <v>-0.41753291643578988</v>
      </c>
    </row>
    <row r="385" spans="2:21" hidden="1" x14ac:dyDescent="0.25">
      <c r="B385" s="9"/>
      <c r="C385" s="17">
        <v>775.27</v>
      </c>
      <c r="D385" s="18">
        <v>41.72</v>
      </c>
      <c r="E385" s="18">
        <v>46.805</v>
      </c>
      <c r="F385" s="18">
        <v>45.781999999999996</v>
      </c>
      <c r="G385" s="18">
        <v>437.35</v>
      </c>
      <c r="H385" s="18">
        <f t="shared" si="16"/>
        <v>42.863374999999998</v>
      </c>
      <c r="I385" s="5"/>
      <c r="J385" s="17">
        <v>615.21690000000001</v>
      </c>
      <c r="K385" s="18">
        <v>42.17</v>
      </c>
      <c r="L385" s="18">
        <v>46.708399999999997</v>
      </c>
      <c r="M385" s="18">
        <v>45.909700000000001</v>
      </c>
      <c r="N385" s="18">
        <v>275.04169999999999</v>
      </c>
      <c r="O385" s="18">
        <f t="shared" si="17"/>
        <v>43.204762500000001</v>
      </c>
      <c r="P385" s="7"/>
      <c r="Q385" s="10"/>
      <c r="R385" s="11"/>
      <c r="S385" s="11"/>
      <c r="T385" s="26"/>
      <c r="U385" s="28">
        <f t="shared" si="18"/>
        <v>-0.37111764033382877</v>
      </c>
    </row>
    <row r="386" spans="2:21" hidden="1" x14ac:dyDescent="0.25">
      <c r="B386" s="9"/>
      <c r="C386" s="17">
        <v>517.86</v>
      </c>
      <c r="D386" s="18">
        <v>39.82</v>
      </c>
      <c r="E386" s="18">
        <v>45.459000000000003</v>
      </c>
      <c r="F386" s="18">
        <v>44.357999999999997</v>
      </c>
      <c r="G386" s="18">
        <v>474.88</v>
      </c>
      <c r="H386" s="18">
        <f t="shared" si="16"/>
        <v>41.092125000000003</v>
      </c>
      <c r="I386" s="5"/>
      <c r="J386" s="17">
        <v>409.27890000000002</v>
      </c>
      <c r="K386" s="18">
        <v>40.576000000000001</v>
      </c>
      <c r="L386" s="18">
        <v>45.453899999999997</v>
      </c>
      <c r="M386" s="18">
        <v>44.607300000000002</v>
      </c>
      <c r="N386" s="18">
        <v>310.25639999999999</v>
      </c>
      <c r="O386" s="18">
        <f t="shared" si="17"/>
        <v>41.68965</v>
      </c>
      <c r="P386" s="7"/>
      <c r="Q386" s="10"/>
      <c r="R386" s="11"/>
      <c r="S386" s="11"/>
      <c r="T386" s="26"/>
      <c r="U386" s="28">
        <f t="shared" si="18"/>
        <v>-0.3466635781671159</v>
      </c>
    </row>
    <row r="387" spans="2:21" ht="16.5" hidden="1" thickBot="1" x14ac:dyDescent="0.3">
      <c r="B387" s="12"/>
      <c r="C387" s="19">
        <v>260.64999999999998</v>
      </c>
      <c r="D387" s="20">
        <v>36.18</v>
      </c>
      <c r="E387" s="20">
        <v>43.067</v>
      </c>
      <c r="F387" s="20">
        <v>41.917000000000002</v>
      </c>
      <c r="G387" s="20">
        <v>540.82000000000005</v>
      </c>
      <c r="H387" s="20">
        <f t="shared" si="16"/>
        <v>37.757999999999996</v>
      </c>
      <c r="I387" s="5"/>
      <c r="J387" s="19">
        <v>203.02879999999999</v>
      </c>
      <c r="K387" s="20">
        <v>37.426499999999997</v>
      </c>
      <c r="L387" s="20">
        <v>43.0867</v>
      </c>
      <c r="M387" s="20">
        <v>42.174900000000001</v>
      </c>
      <c r="N387" s="20">
        <v>409.70650000000001</v>
      </c>
      <c r="O387" s="20">
        <f t="shared" si="17"/>
        <v>38.727574999999995</v>
      </c>
      <c r="P387" s="7"/>
      <c r="Q387" s="13"/>
      <c r="R387" s="14"/>
      <c r="S387" s="14"/>
      <c r="T387" s="27"/>
      <c r="U387" s="28">
        <f t="shared" si="18"/>
        <v>-0.24243463629303655</v>
      </c>
    </row>
    <row r="388" spans="2:21" hidden="1" x14ac:dyDescent="0.25">
      <c r="B388" s="6" t="s">
        <v>113</v>
      </c>
      <c r="C388" s="15">
        <v>2059.7800000000002</v>
      </c>
      <c r="D388" s="16">
        <v>37.264000000000003</v>
      </c>
      <c r="E388" s="16">
        <v>43.643000000000001</v>
      </c>
      <c r="F388" s="16">
        <v>44.348999999999997</v>
      </c>
      <c r="G388" s="16">
        <v>147.05000000000001</v>
      </c>
      <c r="H388" s="16">
        <f t="shared" si="16"/>
        <v>38.946999999999996</v>
      </c>
      <c r="I388" s="5"/>
      <c r="J388" s="15">
        <v>1536.7466999999999</v>
      </c>
      <c r="K388" s="16">
        <v>37.680199999999999</v>
      </c>
      <c r="L388" s="16">
        <v>43.346699999999998</v>
      </c>
      <c r="M388" s="16">
        <v>44.017699999999998</v>
      </c>
      <c r="N388" s="16">
        <v>148.9186</v>
      </c>
      <c r="O388" s="16">
        <f t="shared" si="17"/>
        <v>39.180700000000002</v>
      </c>
      <c r="P388" s="7"/>
      <c r="Q388" s="8">
        <f>bdrate(C388:C391,D388:D391,J388:J391,K388:K391)</f>
        <v>-0.37530356668420883</v>
      </c>
      <c r="R388" s="8">
        <f>bdrate(C388:C391,E388:E391,J388:J391,L388:L391)</f>
        <v>-0.15929643069928123</v>
      </c>
      <c r="S388" s="8">
        <f>bdrate(C388:C391,F388:F391,J388:J391,M388:M391)</f>
        <v>-0.17650387578899662</v>
      </c>
      <c r="T388" s="25">
        <f>bdrate(C388:C391,H388:H391,J388:J391,O388:O391)</f>
        <v>-0.34858004964043066</v>
      </c>
      <c r="U388" s="28">
        <f t="shared" si="18"/>
        <v>1.270724243454598E-2</v>
      </c>
    </row>
    <row r="389" spans="2:21" hidden="1" x14ac:dyDescent="0.25">
      <c r="B389" s="9"/>
      <c r="C389" s="17">
        <v>1370.6</v>
      </c>
      <c r="D389" s="18">
        <v>35.206000000000003</v>
      </c>
      <c r="E389" s="18">
        <v>42.518999999999998</v>
      </c>
      <c r="F389" s="18">
        <v>43.228000000000002</v>
      </c>
      <c r="G389" s="18">
        <v>163.26</v>
      </c>
      <c r="H389" s="18">
        <f t="shared" si="16"/>
        <v>37.122875000000001</v>
      </c>
      <c r="I389" s="5"/>
      <c r="J389" s="17">
        <v>1024.0372</v>
      </c>
      <c r="K389" s="18">
        <v>35.848599999999998</v>
      </c>
      <c r="L389" s="18">
        <v>42.180599999999998</v>
      </c>
      <c r="M389" s="18">
        <v>42.897199999999998</v>
      </c>
      <c r="N389" s="18">
        <v>170.5104</v>
      </c>
      <c r="O389" s="18">
        <f t="shared" si="17"/>
        <v>37.521174999999999</v>
      </c>
      <c r="P389" s="7"/>
      <c r="Q389" s="10"/>
      <c r="R389" s="11"/>
      <c r="S389" s="11"/>
      <c r="T389" s="26"/>
      <c r="U389" s="28">
        <f t="shared" si="18"/>
        <v>4.44101433296583E-2</v>
      </c>
    </row>
    <row r="390" spans="2:21" hidden="1" x14ac:dyDescent="0.25">
      <c r="B390" s="9"/>
      <c r="C390" s="17">
        <v>819.64</v>
      </c>
      <c r="D390" s="18">
        <v>32.625</v>
      </c>
      <c r="E390" s="18">
        <v>41.209000000000003</v>
      </c>
      <c r="F390" s="18">
        <v>41.921999999999997</v>
      </c>
      <c r="G390" s="18">
        <v>182.3</v>
      </c>
      <c r="H390" s="18">
        <f t="shared" si="16"/>
        <v>34.860124999999996</v>
      </c>
      <c r="I390" s="5"/>
      <c r="J390" s="17">
        <v>614.41650000000004</v>
      </c>
      <c r="K390" s="18">
        <v>33.538600000000002</v>
      </c>
      <c r="L390" s="18">
        <v>40.924199999999999</v>
      </c>
      <c r="M390" s="18">
        <v>41.692300000000003</v>
      </c>
      <c r="N390" s="18">
        <v>200.7567</v>
      </c>
      <c r="O390" s="18">
        <f t="shared" si="17"/>
        <v>35.481012499999999</v>
      </c>
      <c r="P390" s="7"/>
      <c r="Q390" s="10"/>
      <c r="R390" s="11"/>
      <c r="S390" s="11"/>
      <c r="T390" s="26"/>
      <c r="U390" s="28">
        <f t="shared" si="18"/>
        <v>0.10124355458036194</v>
      </c>
    </row>
    <row r="391" spans="2:21" ht="16.5" hidden="1" thickBot="1" x14ac:dyDescent="0.3">
      <c r="B391" s="12"/>
      <c r="C391" s="19">
        <v>407.84</v>
      </c>
      <c r="D391" s="20">
        <v>28.901</v>
      </c>
      <c r="E391" s="20">
        <v>39.609000000000002</v>
      </c>
      <c r="F391" s="20">
        <v>40.295000000000002</v>
      </c>
      <c r="G391" s="20">
        <v>202.02</v>
      </c>
      <c r="H391" s="20">
        <f t="shared" si="16"/>
        <v>31.66375</v>
      </c>
      <c r="I391" s="5"/>
      <c r="J391" s="19">
        <v>306.6388</v>
      </c>
      <c r="K391" s="20">
        <v>30.5868</v>
      </c>
      <c r="L391" s="20">
        <v>39.438800000000001</v>
      </c>
      <c r="M391" s="20">
        <v>40.282499999999999</v>
      </c>
      <c r="N391" s="20">
        <v>237.93190000000001</v>
      </c>
      <c r="O391" s="20">
        <f t="shared" si="17"/>
        <v>32.905262500000006</v>
      </c>
      <c r="P391" s="7"/>
      <c r="Q391" s="13"/>
      <c r="R391" s="14"/>
      <c r="S391" s="14"/>
      <c r="T391" s="27"/>
      <c r="U391" s="28">
        <f t="shared" si="18"/>
        <v>0.17776408276408276</v>
      </c>
    </row>
    <row r="392" spans="2:21" hidden="1" x14ac:dyDescent="0.25">
      <c r="B392" s="6" t="s">
        <v>114</v>
      </c>
      <c r="C392" s="15">
        <v>2173.3200000000002</v>
      </c>
      <c r="D392" s="16">
        <v>36.109000000000002</v>
      </c>
      <c r="E392" s="16">
        <v>41.213999999999999</v>
      </c>
      <c r="F392" s="16">
        <v>39.557000000000002</v>
      </c>
      <c r="G392" s="16">
        <v>153.52000000000001</v>
      </c>
      <c r="H392" s="16">
        <f t="shared" si="16"/>
        <v>37.178125000000001</v>
      </c>
      <c r="I392" s="5"/>
      <c r="J392" s="15">
        <v>1539.692</v>
      </c>
      <c r="K392" s="16">
        <v>35.299500000000002</v>
      </c>
      <c r="L392" s="16">
        <v>40.774700000000003</v>
      </c>
      <c r="M392" s="16">
        <v>38.991999999999997</v>
      </c>
      <c r="N392" s="16">
        <v>121.8459</v>
      </c>
      <c r="O392" s="16">
        <f t="shared" si="17"/>
        <v>36.445462500000005</v>
      </c>
      <c r="P392" s="7"/>
      <c r="Q392" s="8">
        <f>bdrate(C392:C395,D392:D395,J392:J395,K392:K395)</f>
        <v>-0.28916415451812616</v>
      </c>
      <c r="R392" s="8">
        <f>bdrate(C392:C395,E392:E395,J392:J395,L392:L395)</f>
        <v>-2.7087096224953089E-2</v>
      </c>
      <c r="S392" s="8">
        <f>bdrate(C392:C395,F392:F395,J392:J395,M392:M395)</f>
        <v>5.3091701302051542E-2</v>
      </c>
      <c r="T392" s="25">
        <f>bdrate(C392:C395,H392:H395,J392:J395,O392:O395)</f>
        <v>-0.24892540892654225</v>
      </c>
      <c r="U392" s="28">
        <f t="shared" si="18"/>
        <v>-0.2063190463783221</v>
      </c>
    </row>
    <row r="393" spans="2:21" hidden="1" x14ac:dyDescent="0.25">
      <c r="B393" s="9"/>
      <c r="C393" s="17">
        <v>1450.35</v>
      </c>
      <c r="D393" s="18">
        <v>33.860999999999997</v>
      </c>
      <c r="E393" s="18">
        <v>40.034999999999997</v>
      </c>
      <c r="F393" s="18">
        <v>38.284999999999997</v>
      </c>
      <c r="G393" s="18">
        <v>168.28</v>
      </c>
      <c r="H393" s="18">
        <f t="shared" si="16"/>
        <v>35.185749999999999</v>
      </c>
      <c r="I393" s="5"/>
      <c r="J393" s="17">
        <v>1025.8551</v>
      </c>
      <c r="K393" s="18">
        <v>33.322200000000002</v>
      </c>
      <c r="L393" s="18">
        <v>39.346200000000003</v>
      </c>
      <c r="M393" s="18">
        <v>37.344799999999999</v>
      </c>
      <c r="N393" s="18">
        <v>136.4667</v>
      </c>
      <c r="O393" s="18">
        <f t="shared" si="17"/>
        <v>34.578025000000004</v>
      </c>
      <c r="P393" s="7"/>
      <c r="Q393" s="10"/>
      <c r="R393" s="11"/>
      <c r="S393" s="11"/>
      <c r="T393" s="26"/>
      <c r="U393" s="28">
        <f t="shared" si="18"/>
        <v>-0.18904979795578797</v>
      </c>
    </row>
    <row r="394" spans="2:21" hidden="1" x14ac:dyDescent="0.25">
      <c r="B394" s="9"/>
      <c r="C394" s="17">
        <v>873</v>
      </c>
      <c r="D394" s="18">
        <v>31.042000000000002</v>
      </c>
      <c r="E394" s="18">
        <v>38.802999999999997</v>
      </c>
      <c r="F394" s="18">
        <v>36.999000000000002</v>
      </c>
      <c r="G394" s="18">
        <v>184.93</v>
      </c>
      <c r="H394" s="18">
        <f t="shared" si="16"/>
        <v>32.756750000000004</v>
      </c>
      <c r="I394" s="5"/>
      <c r="J394" s="17">
        <v>615.51310000000001</v>
      </c>
      <c r="K394" s="18">
        <v>31.088100000000001</v>
      </c>
      <c r="L394" s="18">
        <v>37.703200000000002</v>
      </c>
      <c r="M394" s="18">
        <v>35.408000000000001</v>
      </c>
      <c r="N394" s="18">
        <v>165.8707</v>
      </c>
      <c r="O394" s="18">
        <f t="shared" si="17"/>
        <v>32.454975000000005</v>
      </c>
      <c r="P394" s="7"/>
      <c r="Q394" s="10"/>
      <c r="R394" s="11"/>
      <c r="S394" s="11"/>
      <c r="T394" s="26"/>
      <c r="U394" s="28">
        <f t="shared" si="18"/>
        <v>-0.10306223976639814</v>
      </c>
    </row>
    <row r="395" spans="2:21" ht="16.5" hidden="1" thickBot="1" x14ac:dyDescent="0.3">
      <c r="B395" s="12"/>
      <c r="C395" s="19">
        <v>440.85</v>
      </c>
      <c r="D395" s="20">
        <v>26.972999999999999</v>
      </c>
      <c r="E395" s="20">
        <v>37.097999999999999</v>
      </c>
      <c r="F395" s="20">
        <v>35.298000000000002</v>
      </c>
      <c r="G395" s="20">
        <v>203.01</v>
      </c>
      <c r="H395" s="20">
        <f t="shared" si="16"/>
        <v>29.279249999999998</v>
      </c>
      <c r="I395" s="5"/>
      <c r="J395" s="19">
        <v>307.94499999999999</v>
      </c>
      <c r="K395" s="20">
        <v>28.535399999999999</v>
      </c>
      <c r="L395" s="20">
        <v>35.775700000000001</v>
      </c>
      <c r="M395" s="20">
        <v>33.042299999999997</v>
      </c>
      <c r="N395" s="20">
        <v>217.59039999999999</v>
      </c>
      <c r="O395" s="20">
        <f t="shared" si="17"/>
        <v>30.003799999999998</v>
      </c>
      <c r="P395" s="7"/>
      <c r="Q395" s="13"/>
      <c r="R395" s="14"/>
      <c r="S395" s="14"/>
      <c r="T395" s="27"/>
      <c r="U395" s="28">
        <f t="shared" si="18"/>
        <v>7.182109255701688E-2</v>
      </c>
    </row>
    <row r="396" spans="2:21" hidden="1" x14ac:dyDescent="0.25">
      <c r="B396" s="6" t="s">
        <v>115</v>
      </c>
      <c r="C396" s="15">
        <v>2148.8200000000002</v>
      </c>
      <c r="D396" s="16">
        <v>40.320999999999998</v>
      </c>
      <c r="E396" s="16">
        <v>46.874000000000002</v>
      </c>
      <c r="F396" s="16">
        <v>46.734000000000002</v>
      </c>
      <c r="G396" s="16">
        <v>152.83000000000001</v>
      </c>
      <c r="H396" s="16">
        <f t="shared" si="16"/>
        <v>41.941749999999999</v>
      </c>
      <c r="I396" s="5"/>
      <c r="J396" s="15">
        <v>1536.6013</v>
      </c>
      <c r="K396" s="16">
        <v>40.448999999999998</v>
      </c>
      <c r="L396" s="16">
        <v>46.790799999999997</v>
      </c>
      <c r="M396" s="16">
        <v>46.661000000000001</v>
      </c>
      <c r="N396" s="16">
        <v>111.58750000000001</v>
      </c>
      <c r="O396" s="16">
        <f t="shared" si="17"/>
        <v>42.018225000000001</v>
      </c>
      <c r="P396" s="7"/>
      <c r="Q396" s="8">
        <f>bdrate(C396:C399,D396:D399,J396:J399,K396:K399)</f>
        <v>-0.40059271780919103</v>
      </c>
      <c r="R396" s="8">
        <f>bdrate(C396:C399,E396:E399,J396:J399,L396:L399)</f>
        <v>-0.33353224718423624</v>
      </c>
      <c r="S396" s="8">
        <f>bdrate(C396:C399,F396:F399,J396:J399,M396:M399)</f>
        <v>-0.32990619896871953</v>
      </c>
      <c r="T396" s="25">
        <f>bdrate(C396:C399,H396:H399,J396:J399,O396:O399)</f>
        <v>-0.3880808333329715</v>
      </c>
      <c r="U396" s="28">
        <f t="shared" si="18"/>
        <v>-0.26985866649218088</v>
      </c>
    </row>
    <row r="397" spans="2:21" hidden="1" x14ac:dyDescent="0.25">
      <c r="B397" s="9"/>
      <c r="C397" s="17">
        <v>1436.45</v>
      </c>
      <c r="D397" s="18">
        <v>38.698</v>
      </c>
      <c r="E397" s="18">
        <v>45.645000000000003</v>
      </c>
      <c r="F397" s="18">
        <v>45.426000000000002</v>
      </c>
      <c r="G397" s="18">
        <v>168.62</v>
      </c>
      <c r="H397" s="18">
        <f t="shared" si="16"/>
        <v>40.407374999999995</v>
      </c>
      <c r="I397" s="5"/>
      <c r="J397" s="17">
        <v>1024.1695</v>
      </c>
      <c r="K397" s="18">
        <v>39.089300000000001</v>
      </c>
      <c r="L397" s="18">
        <v>45.747100000000003</v>
      </c>
      <c r="M397" s="18">
        <v>45.547199999999997</v>
      </c>
      <c r="N397" s="18">
        <v>131.435</v>
      </c>
      <c r="O397" s="18">
        <f t="shared" si="17"/>
        <v>40.728762499999995</v>
      </c>
      <c r="P397" s="7"/>
      <c r="Q397" s="10"/>
      <c r="R397" s="11"/>
      <c r="S397" s="11"/>
      <c r="T397" s="26"/>
      <c r="U397" s="28">
        <f t="shared" si="18"/>
        <v>-0.22052544182184794</v>
      </c>
    </row>
    <row r="398" spans="2:21" hidden="1" x14ac:dyDescent="0.25">
      <c r="B398" s="9"/>
      <c r="C398" s="17">
        <v>865.32</v>
      </c>
      <c r="D398" s="18">
        <v>36.417999999999999</v>
      </c>
      <c r="E398" s="18">
        <v>44.043999999999997</v>
      </c>
      <c r="F398" s="18">
        <v>43.777999999999999</v>
      </c>
      <c r="G398" s="18">
        <v>185.32</v>
      </c>
      <c r="H398" s="18">
        <f t="shared" si="16"/>
        <v>38.291249999999998</v>
      </c>
      <c r="I398" s="5"/>
      <c r="J398" s="17">
        <v>613.95889999999997</v>
      </c>
      <c r="K398" s="18">
        <v>37.231000000000002</v>
      </c>
      <c r="L398" s="18">
        <v>44.282600000000002</v>
      </c>
      <c r="M398" s="18">
        <v>44.017499999999998</v>
      </c>
      <c r="N398" s="18">
        <v>160.61019999999999</v>
      </c>
      <c r="O398" s="18">
        <f t="shared" si="17"/>
        <v>38.960762500000001</v>
      </c>
      <c r="P398" s="7"/>
      <c r="Q398" s="10"/>
      <c r="R398" s="11"/>
      <c r="S398" s="11"/>
      <c r="T398" s="26"/>
      <c r="U398" s="28">
        <f t="shared" si="18"/>
        <v>-0.13333585150010793</v>
      </c>
    </row>
    <row r="399" spans="2:21" ht="16.5" hidden="1" thickBot="1" x14ac:dyDescent="0.3">
      <c r="B399" s="12"/>
      <c r="C399" s="19">
        <v>435.27</v>
      </c>
      <c r="D399" s="20">
        <v>32.567</v>
      </c>
      <c r="E399" s="20">
        <v>41.792000000000002</v>
      </c>
      <c r="F399" s="20">
        <v>41.500999999999998</v>
      </c>
      <c r="G399" s="20">
        <v>199.53</v>
      </c>
      <c r="H399" s="20">
        <f t="shared" si="16"/>
        <v>34.836874999999999</v>
      </c>
      <c r="I399" s="5"/>
      <c r="J399" s="19">
        <v>306.83499999999998</v>
      </c>
      <c r="K399" s="20">
        <v>34.427999999999997</v>
      </c>
      <c r="L399" s="20">
        <v>42.182699999999997</v>
      </c>
      <c r="M399" s="20">
        <v>41.772100000000002</v>
      </c>
      <c r="N399" s="20">
        <v>212.13489999999999</v>
      </c>
      <c r="O399" s="20">
        <f t="shared" si="17"/>
        <v>36.315350000000002</v>
      </c>
      <c r="P399" s="7"/>
      <c r="Q399" s="13"/>
      <c r="R399" s="14"/>
      <c r="S399" s="14"/>
      <c r="T399" s="27"/>
      <c r="U399" s="28">
        <f t="shared" si="18"/>
        <v>6.3172956447651918E-2</v>
      </c>
    </row>
    <row r="400" spans="2:21" hidden="1" x14ac:dyDescent="0.25">
      <c r="B400" s="6" t="s">
        <v>116</v>
      </c>
      <c r="C400" s="29">
        <v>2094.9899999999998</v>
      </c>
      <c r="D400" s="30">
        <v>46.917999999999999</v>
      </c>
      <c r="E400" s="30">
        <v>51.831000000000003</v>
      </c>
      <c r="F400" s="30">
        <v>51.764000000000003</v>
      </c>
      <c r="G400" s="16">
        <v>143.38999999999999</v>
      </c>
      <c r="H400" s="16">
        <f t="shared" si="16"/>
        <v>48.137875000000001</v>
      </c>
      <c r="I400" s="5"/>
      <c r="J400" s="29">
        <v>1538.0573999999999</v>
      </c>
      <c r="K400" s="30">
        <v>47.184699999999999</v>
      </c>
      <c r="L400" s="30">
        <v>51.460099999999997</v>
      </c>
      <c r="M400" s="30">
        <v>51.275500000000001</v>
      </c>
      <c r="N400" s="16">
        <v>123.4568</v>
      </c>
      <c r="O400" s="16">
        <f t="shared" si="17"/>
        <v>48.230475000000006</v>
      </c>
      <c r="P400" s="7"/>
      <c r="Q400" s="8">
        <f>bdrate(C400:C403,D400:D403,J400:J403,K400:K403)</f>
        <v>-0.43606956478126979</v>
      </c>
      <c r="R400" s="8">
        <f>bdrate(C400:C403,E400:E403,J400:J403,L400:L403)</f>
        <v>-0.15188005455839848</v>
      </c>
      <c r="S400" s="8">
        <f>bdrate(C400:C403,F400:F403,J400:J403,M400:M403)</f>
        <v>-8.7764947710745611E-2</v>
      </c>
      <c r="T400" s="25">
        <f>bdrate(C400:C403,H400:H403,J400:J403,O400:O403)</f>
        <v>-0.38351017030697909</v>
      </c>
      <c r="U400" s="28">
        <f t="shared" si="18"/>
        <v>-0.1390138782341864</v>
      </c>
    </row>
    <row r="401" spans="1:21" hidden="1" x14ac:dyDescent="0.25">
      <c r="B401" s="9"/>
      <c r="C401" s="31">
        <v>1399.67</v>
      </c>
      <c r="D401" s="32">
        <v>45.944000000000003</v>
      </c>
      <c r="E401" s="32">
        <v>51.249000000000002</v>
      </c>
      <c r="F401" s="32">
        <v>51.164000000000001</v>
      </c>
      <c r="G401" s="18">
        <v>163.88</v>
      </c>
      <c r="H401" s="18">
        <f t="shared" si="16"/>
        <v>47.259625</v>
      </c>
      <c r="I401" s="5"/>
      <c r="J401" s="31">
        <v>1025.1284000000001</v>
      </c>
      <c r="K401" s="32">
        <v>46.376399999999997</v>
      </c>
      <c r="L401" s="32">
        <v>50.771099999999997</v>
      </c>
      <c r="M401" s="32">
        <v>50.641599999999997</v>
      </c>
      <c r="N401" s="18">
        <v>149.38749999999999</v>
      </c>
      <c r="O401" s="18">
        <f t="shared" si="17"/>
        <v>47.458887499999996</v>
      </c>
      <c r="P401" s="7"/>
      <c r="Q401" s="10"/>
      <c r="R401" s="11"/>
      <c r="S401" s="11"/>
      <c r="T401" s="26"/>
      <c r="U401" s="28">
        <f t="shared" si="18"/>
        <v>-8.8433609958506271E-2</v>
      </c>
    </row>
    <row r="402" spans="1:21" hidden="1" x14ac:dyDescent="0.25">
      <c r="B402" s="9"/>
      <c r="C402" s="31">
        <v>840.84</v>
      </c>
      <c r="D402" s="32">
        <v>44.593000000000004</v>
      </c>
      <c r="E402" s="32">
        <v>50.265999999999998</v>
      </c>
      <c r="F402" s="32">
        <v>50.317</v>
      </c>
      <c r="G402" s="18">
        <v>187.44</v>
      </c>
      <c r="H402" s="18">
        <f t="shared" si="16"/>
        <v>46.017625000000002</v>
      </c>
      <c r="I402" s="5"/>
      <c r="J402" s="31">
        <v>613.28710000000001</v>
      </c>
      <c r="K402" s="32">
        <v>45.295099999999998</v>
      </c>
      <c r="L402" s="32">
        <v>49.914099999999998</v>
      </c>
      <c r="M402" s="32">
        <v>49.872</v>
      </c>
      <c r="N402" s="18">
        <v>183.15020000000001</v>
      </c>
      <c r="O402" s="18">
        <f t="shared" si="17"/>
        <v>46.444587500000004</v>
      </c>
      <c r="P402" s="7"/>
      <c r="Q402" s="10"/>
      <c r="R402" s="11"/>
      <c r="S402" s="11"/>
      <c r="T402" s="26"/>
      <c r="U402" s="28">
        <f t="shared" si="18"/>
        <v>-2.2886256935552633E-2</v>
      </c>
    </row>
    <row r="403" spans="1:21" ht="16.5" hidden="1" thickBot="1" x14ac:dyDescent="0.3">
      <c r="B403" s="12"/>
      <c r="C403" s="33">
        <v>422.69</v>
      </c>
      <c r="D403" s="34">
        <v>42.051000000000002</v>
      </c>
      <c r="E403" s="34">
        <v>48.401000000000003</v>
      </c>
      <c r="F403" s="34">
        <v>48.813000000000002</v>
      </c>
      <c r="G403" s="20">
        <v>212.27</v>
      </c>
      <c r="H403" s="20">
        <f t="shared" si="16"/>
        <v>43.69</v>
      </c>
      <c r="I403" s="5"/>
      <c r="J403" s="33">
        <v>298.85410000000002</v>
      </c>
      <c r="K403" s="34">
        <v>43.4803</v>
      </c>
      <c r="L403" s="34">
        <v>48.620199999999997</v>
      </c>
      <c r="M403" s="34">
        <v>48.866700000000002</v>
      </c>
      <c r="N403" s="20">
        <v>233.86340000000001</v>
      </c>
      <c r="O403" s="20">
        <f t="shared" si="17"/>
        <v>44.796087499999999</v>
      </c>
      <c r="P403" s="7"/>
      <c r="Q403" s="13"/>
      <c r="R403" s="14"/>
      <c r="S403" s="14"/>
      <c r="T403" s="27"/>
      <c r="U403" s="28">
        <f t="shared" si="18"/>
        <v>0.10172610354736893</v>
      </c>
    </row>
    <row r="404" spans="1:21" hidden="1" x14ac:dyDescent="0.25">
      <c r="A404" s="6" t="s">
        <v>117</v>
      </c>
      <c r="B404" s="6" t="s">
        <v>118</v>
      </c>
      <c r="C404" s="15">
        <v>1290.05</v>
      </c>
      <c r="D404" s="16">
        <v>38.767000000000003</v>
      </c>
      <c r="E404" s="16">
        <v>46.252000000000002</v>
      </c>
      <c r="F404" s="16">
        <v>45.994999999999997</v>
      </c>
      <c r="G404" s="16">
        <v>496.61</v>
      </c>
      <c r="H404" s="16">
        <f t="shared" si="16"/>
        <v>40.606125000000006</v>
      </c>
      <c r="I404" s="5"/>
      <c r="J404" s="15">
        <v>1023.8114</v>
      </c>
      <c r="K404" s="16">
        <v>39.536700000000003</v>
      </c>
      <c r="L404" s="16">
        <v>46.5732</v>
      </c>
      <c r="M404" s="16">
        <v>46.3872</v>
      </c>
      <c r="N404" s="16">
        <v>315.0899</v>
      </c>
      <c r="O404" s="16">
        <f t="shared" si="17"/>
        <v>41.272575000000003</v>
      </c>
      <c r="P404" s="7"/>
      <c r="Q404" s="8">
        <f>bdrate(C404:C407,D404:D407,J404:J407,K404:K407)</f>
        <v>-0.39883444616948993</v>
      </c>
      <c r="R404" s="8">
        <f>bdrate(C404:C407,E404:E407,J404:J407,L404:L407)</f>
        <v>-0.32238464743865936</v>
      </c>
      <c r="S404" s="8">
        <f>bdrate(C404:C407,F404:F407,J404:J407,M404:M407)</f>
        <v>-0.33771053655019367</v>
      </c>
      <c r="T404" s="25">
        <f>bdrate(C404:C407,H404:H407,J404:J407,O404:O407)</f>
        <v>-0.38770262281968326</v>
      </c>
      <c r="U404" s="28">
        <f t="shared" si="18"/>
        <v>-0.36551841485270131</v>
      </c>
    </row>
    <row r="405" spans="1:21" hidden="1" x14ac:dyDescent="0.25">
      <c r="A405" s="9"/>
      <c r="B405" s="9"/>
      <c r="C405" s="17">
        <v>765.07</v>
      </c>
      <c r="D405" s="18">
        <v>36.134999999999998</v>
      </c>
      <c r="E405" s="18">
        <v>44.597999999999999</v>
      </c>
      <c r="F405" s="18">
        <v>44.225999999999999</v>
      </c>
      <c r="G405" s="18">
        <v>561.28</v>
      </c>
      <c r="H405" s="18">
        <f t="shared" si="16"/>
        <v>38.204250000000002</v>
      </c>
      <c r="I405" s="5"/>
      <c r="J405" s="17">
        <v>612.26469999999995</v>
      </c>
      <c r="K405" s="18">
        <v>37.300199999999997</v>
      </c>
      <c r="L405" s="18">
        <v>45.072499999999998</v>
      </c>
      <c r="M405" s="18">
        <v>44.805500000000002</v>
      </c>
      <c r="N405" s="18">
        <v>382.71600000000001</v>
      </c>
      <c r="O405" s="18">
        <f t="shared" si="17"/>
        <v>39.209899999999998</v>
      </c>
      <c r="P405" s="7"/>
      <c r="Q405" s="10"/>
      <c r="R405" s="11"/>
      <c r="S405" s="11"/>
      <c r="T405" s="26"/>
      <c r="U405" s="28">
        <f t="shared" si="18"/>
        <v>-0.31813711516533633</v>
      </c>
    </row>
    <row r="406" spans="1:21" hidden="1" x14ac:dyDescent="0.25">
      <c r="B406" s="9"/>
      <c r="C406" s="17">
        <v>505.42</v>
      </c>
      <c r="D406" s="18">
        <v>33.945</v>
      </c>
      <c r="E406" s="18">
        <v>43.316000000000003</v>
      </c>
      <c r="F406" s="18">
        <v>42.860999999999997</v>
      </c>
      <c r="G406" s="18">
        <v>600.6</v>
      </c>
      <c r="H406" s="18">
        <f t="shared" si="16"/>
        <v>36.230875000000005</v>
      </c>
      <c r="I406" s="5"/>
      <c r="J406" s="17">
        <v>406.01600000000002</v>
      </c>
      <c r="K406" s="18">
        <v>35.488500000000002</v>
      </c>
      <c r="L406" s="18">
        <v>43.833599999999997</v>
      </c>
      <c r="M406" s="18">
        <v>43.497500000000002</v>
      </c>
      <c r="N406" s="18">
        <v>434.03339999999997</v>
      </c>
      <c r="O406" s="18">
        <f t="shared" si="17"/>
        <v>37.532762500000004</v>
      </c>
      <c r="P406" s="7"/>
      <c r="Q406" s="10"/>
      <c r="R406" s="11"/>
      <c r="S406" s="11"/>
      <c r="T406" s="26"/>
      <c r="U406" s="28">
        <f t="shared" si="18"/>
        <v>-0.27733366633366641</v>
      </c>
    </row>
    <row r="407" spans="1:21" ht="16.5" hidden="1" thickBot="1" x14ac:dyDescent="0.3">
      <c r="B407" s="12"/>
      <c r="C407" s="19">
        <v>249.26</v>
      </c>
      <c r="D407" s="20">
        <v>30.004999999999999</v>
      </c>
      <c r="E407" s="20">
        <v>41.433999999999997</v>
      </c>
      <c r="F407" s="20">
        <v>40.777999999999999</v>
      </c>
      <c r="G407" s="20">
        <v>645.83000000000004</v>
      </c>
      <c r="H407" s="20">
        <f t="shared" si="16"/>
        <v>32.780250000000002</v>
      </c>
      <c r="I407" s="5"/>
      <c r="J407" s="19">
        <v>202.0967</v>
      </c>
      <c r="K407" s="20">
        <v>32.292700000000004</v>
      </c>
      <c r="L407" s="20">
        <v>41.9983</v>
      </c>
      <c r="M407" s="20">
        <v>41.4617</v>
      </c>
      <c r="N407" s="20">
        <v>587.03570000000002</v>
      </c>
      <c r="O407" s="20">
        <f t="shared" si="17"/>
        <v>34.652025000000002</v>
      </c>
      <c r="P407" s="7"/>
      <c r="Q407" s="13"/>
      <c r="R407" s="14"/>
      <c r="S407" s="14"/>
      <c r="T407" s="27"/>
      <c r="U407" s="28">
        <f t="shared" si="18"/>
        <v>-9.1036805351253455E-2</v>
      </c>
    </row>
    <row r="408" spans="1:21" hidden="1" x14ac:dyDescent="0.25">
      <c r="B408" s="6" t="s">
        <v>119</v>
      </c>
      <c r="C408" s="15">
        <v>1272.24</v>
      </c>
      <c r="D408" s="16">
        <v>37.923000000000002</v>
      </c>
      <c r="E408" s="16">
        <v>48.34</v>
      </c>
      <c r="F408" s="16">
        <v>45.63</v>
      </c>
      <c r="G408" s="16">
        <v>524.04999999999995</v>
      </c>
      <c r="H408" s="16">
        <f t="shared" si="16"/>
        <v>40.188500000000005</v>
      </c>
      <c r="I408" s="5"/>
      <c r="J408" s="15">
        <v>1023.4521999999999</v>
      </c>
      <c r="K408" s="16">
        <v>38.334299999999999</v>
      </c>
      <c r="L408" s="16">
        <v>48.881599999999999</v>
      </c>
      <c r="M408" s="16">
        <v>46.508800000000001</v>
      </c>
      <c r="N408" s="16">
        <v>356.93849999999998</v>
      </c>
      <c r="O408" s="16">
        <f t="shared" si="17"/>
        <v>40.674525000000003</v>
      </c>
      <c r="P408" s="7"/>
      <c r="Q408" s="8">
        <f>bdrate(C408:C411,D408:D411,J408:J411,K408:K411)</f>
        <v>-0.34754347380343154</v>
      </c>
      <c r="R408" s="8">
        <f>bdrate(C408:C411,E408:E411,J408:J411,L408:L411)</f>
        <v>-0.43305505748696993</v>
      </c>
      <c r="S408" s="8">
        <f>bdrate(C408:C411,F408:F411,J408:J411,M408:M411)</f>
        <v>-0.4850987684243725</v>
      </c>
      <c r="T408" s="25">
        <f>bdrate(C408:C411,H408:H411,J408:J411,O408:O411)</f>
        <v>-0.36822024822481803</v>
      </c>
      <c r="U408" s="28">
        <f t="shared" si="18"/>
        <v>-0.31888464841141112</v>
      </c>
    </row>
    <row r="409" spans="1:21" hidden="1" x14ac:dyDescent="0.25">
      <c r="B409" s="9"/>
      <c r="C409" s="17">
        <v>762.85</v>
      </c>
      <c r="D409" s="18">
        <v>35.719000000000001</v>
      </c>
      <c r="E409" s="18">
        <v>46.905000000000001</v>
      </c>
      <c r="F409" s="18">
        <v>44.03</v>
      </c>
      <c r="G409" s="18">
        <v>592.21</v>
      </c>
      <c r="H409" s="18">
        <f t="shared" si="16"/>
        <v>38.156125000000003</v>
      </c>
      <c r="I409" s="5"/>
      <c r="J409" s="17">
        <v>613.54480000000001</v>
      </c>
      <c r="K409" s="18">
        <v>36.389000000000003</v>
      </c>
      <c r="L409" s="18">
        <v>47.753999999999998</v>
      </c>
      <c r="M409" s="18">
        <v>45.181800000000003</v>
      </c>
      <c r="N409" s="18">
        <v>431.0643</v>
      </c>
      <c r="O409" s="18">
        <f t="shared" si="17"/>
        <v>38.908725000000004</v>
      </c>
      <c r="P409" s="7"/>
      <c r="Q409" s="10"/>
      <c r="R409" s="11"/>
      <c r="S409" s="11"/>
      <c r="T409" s="26"/>
      <c r="U409" s="28">
        <f t="shared" si="18"/>
        <v>-0.27210904915486067</v>
      </c>
    </row>
    <row r="410" spans="1:21" hidden="1" x14ac:dyDescent="0.25">
      <c r="B410" s="9"/>
      <c r="C410" s="17">
        <v>509.99</v>
      </c>
      <c r="D410" s="18">
        <v>33.996000000000002</v>
      </c>
      <c r="E410" s="18">
        <v>46.101999999999997</v>
      </c>
      <c r="F410" s="18">
        <v>42.970999999999997</v>
      </c>
      <c r="G410" s="18">
        <v>632.13</v>
      </c>
      <c r="H410" s="18">
        <f t="shared" si="16"/>
        <v>36.631124999999997</v>
      </c>
      <c r="I410" s="5"/>
      <c r="J410" s="17">
        <v>408.58569999999997</v>
      </c>
      <c r="K410" s="18">
        <v>34.900799999999997</v>
      </c>
      <c r="L410" s="18">
        <v>46.7682</v>
      </c>
      <c r="M410" s="18">
        <v>44.133200000000002</v>
      </c>
      <c r="N410" s="18">
        <v>474.6053</v>
      </c>
      <c r="O410" s="18">
        <f t="shared" si="17"/>
        <v>37.538274999999992</v>
      </c>
      <c r="P410" s="7"/>
      <c r="Q410" s="10"/>
      <c r="R410" s="11"/>
      <c r="S410" s="11"/>
      <c r="T410" s="26"/>
      <c r="U410" s="28">
        <f t="shared" si="18"/>
        <v>-0.24919668422634583</v>
      </c>
    </row>
    <row r="411" spans="1:21" ht="16.5" hidden="1" thickBot="1" x14ac:dyDescent="0.3">
      <c r="B411" s="12"/>
      <c r="C411" s="19">
        <v>255.65</v>
      </c>
      <c r="D411" s="20">
        <v>31</v>
      </c>
      <c r="E411" s="20">
        <v>43.737000000000002</v>
      </c>
      <c r="F411" s="20">
        <v>41.478999999999999</v>
      </c>
      <c r="G411" s="20">
        <v>666.04</v>
      </c>
      <c r="H411" s="20">
        <f t="shared" si="16"/>
        <v>33.902000000000001</v>
      </c>
      <c r="I411" s="5"/>
      <c r="J411" s="19">
        <v>203.86340000000001</v>
      </c>
      <c r="K411" s="20">
        <v>32.427399999999999</v>
      </c>
      <c r="L411" s="20">
        <v>45.597000000000001</v>
      </c>
      <c r="M411" s="20">
        <v>42.603099999999998</v>
      </c>
      <c r="N411" s="20">
        <v>639.74360000000001</v>
      </c>
      <c r="O411" s="20">
        <f t="shared" si="17"/>
        <v>35.3455625</v>
      </c>
      <c r="P411" s="7"/>
      <c r="Q411" s="13"/>
      <c r="R411" s="14"/>
      <c r="S411" s="14"/>
      <c r="T411" s="27"/>
      <c r="U411" s="28">
        <f t="shared" si="18"/>
        <v>-3.9481712810041363E-2</v>
      </c>
    </row>
    <row r="412" spans="1:21" hidden="1" x14ac:dyDescent="0.25">
      <c r="B412" s="6" t="s">
        <v>120</v>
      </c>
      <c r="C412" s="15">
        <v>1322.02</v>
      </c>
      <c r="D412" s="16">
        <v>41.985999999999997</v>
      </c>
      <c r="E412" s="16">
        <v>46.643999999999998</v>
      </c>
      <c r="F412" s="16">
        <v>47.073</v>
      </c>
      <c r="G412" s="16">
        <v>427.06</v>
      </c>
      <c r="H412" s="16">
        <f t="shared" si="16"/>
        <v>43.204124999999998</v>
      </c>
      <c r="I412" s="5"/>
      <c r="J412" s="15">
        <v>1025.5771999999999</v>
      </c>
      <c r="K412" s="16">
        <v>42.1768</v>
      </c>
      <c r="L412" s="16">
        <v>46.631700000000002</v>
      </c>
      <c r="M412" s="16">
        <v>47.076099999999997</v>
      </c>
      <c r="N412" s="16">
        <v>281.3261</v>
      </c>
      <c r="O412" s="16">
        <f t="shared" si="17"/>
        <v>43.346074999999999</v>
      </c>
      <c r="P412" s="7"/>
      <c r="Q412" s="8">
        <f>bdrate(C412:C415,D412:D415,J412:J415,K412:K415)</f>
        <v>-0.34338802447678363</v>
      </c>
      <c r="R412" s="8">
        <f>bdrate(C412:C415,E412:E415,J412:J415,L412:L415)</f>
        <v>-0.26021684836652625</v>
      </c>
      <c r="S412" s="8">
        <f>bdrate(C412:C415,F412:F415,J412:J415,M412:M415)</f>
        <v>-0.26971389748076025</v>
      </c>
      <c r="T412" s="25">
        <f>bdrate(C412:C415,H412:H415,J412:J415,O412:O415)</f>
        <v>-0.3317633709018637</v>
      </c>
      <c r="U412" s="28">
        <f t="shared" si="18"/>
        <v>-0.34124923898281273</v>
      </c>
    </row>
    <row r="413" spans="1:21" hidden="1" x14ac:dyDescent="0.25">
      <c r="B413" s="9"/>
      <c r="C413" s="17">
        <v>787.61</v>
      </c>
      <c r="D413" s="18">
        <v>39.804000000000002</v>
      </c>
      <c r="E413" s="18">
        <v>45.322000000000003</v>
      </c>
      <c r="F413" s="18">
        <v>45.81</v>
      </c>
      <c r="G413" s="18">
        <v>487.55</v>
      </c>
      <c r="H413" s="18">
        <f t="shared" si="16"/>
        <v>41.244500000000002</v>
      </c>
      <c r="I413" s="5"/>
      <c r="J413" s="17">
        <v>615.18669999999997</v>
      </c>
      <c r="K413" s="18">
        <v>40.319499999999998</v>
      </c>
      <c r="L413" s="18">
        <v>45.446199999999997</v>
      </c>
      <c r="M413" s="18">
        <v>45.908700000000003</v>
      </c>
      <c r="N413" s="18">
        <v>365.07220000000001</v>
      </c>
      <c r="O413" s="18">
        <f t="shared" si="17"/>
        <v>41.658987499999995</v>
      </c>
      <c r="P413" s="7"/>
      <c r="Q413" s="10"/>
      <c r="R413" s="11"/>
      <c r="S413" s="11"/>
      <c r="T413" s="26"/>
      <c r="U413" s="28">
        <f t="shared" si="18"/>
        <v>-0.25121074761562917</v>
      </c>
    </row>
    <row r="414" spans="1:21" hidden="1" x14ac:dyDescent="0.25">
      <c r="B414" s="9"/>
      <c r="C414" s="17">
        <v>521.11</v>
      </c>
      <c r="D414" s="18">
        <v>37.860999999999997</v>
      </c>
      <c r="E414" s="18">
        <v>44.326000000000001</v>
      </c>
      <c r="F414" s="18">
        <v>44.780999999999999</v>
      </c>
      <c r="G414" s="18">
        <v>525.44000000000005</v>
      </c>
      <c r="H414" s="18">
        <f t="shared" si="16"/>
        <v>39.534125000000003</v>
      </c>
      <c r="I414" s="5"/>
      <c r="J414" s="17">
        <v>408.78969999999998</v>
      </c>
      <c r="K414" s="18">
        <v>38.7361</v>
      </c>
      <c r="L414" s="18">
        <v>44.475499999999997</v>
      </c>
      <c r="M414" s="18">
        <v>44.974499999999999</v>
      </c>
      <c r="N414" s="18">
        <v>427.43920000000003</v>
      </c>
      <c r="O414" s="18">
        <f t="shared" si="17"/>
        <v>40.233325000000001</v>
      </c>
      <c r="P414" s="7"/>
      <c r="Q414" s="10"/>
      <c r="R414" s="11"/>
      <c r="S414" s="11"/>
      <c r="T414" s="26"/>
      <c r="U414" s="28">
        <f t="shared" si="18"/>
        <v>-0.18651187576126677</v>
      </c>
    </row>
    <row r="415" spans="1:21" ht="16.5" hidden="1" thickBot="1" x14ac:dyDescent="0.3">
      <c r="B415" s="12"/>
      <c r="C415" s="19">
        <v>257.44</v>
      </c>
      <c r="D415" s="20">
        <v>33.872999999999998</v>
      </c>
      <c r="E415" s="20">
        <v>42.359000000000002</v>
      </c>
      <c r="F415" s="20">
        <v>42.747</v>
      </c>
      <c r="G415" s="20">
        <v>542.1</v>
      </c>
      <c r="H415" s="20">
        <f t="shared" si="16"/>
        <v>36.042999999999999</v>
      </c>
      <c r="I415" s="5"/>
      <c r="J415" s="19">
        <v>200.8946</v>
      </c>
      <c r="K415" s="20">
        <v>35.631700000000002</v>
      </c>
      <c r="L415" s="20">
        <v>42.633099999999999</v>
      </c>
      <c r="M415" s="20">
        <v>43.161499999999997</v>
      </c>
      <c r="N415" s="20">
        <v>553.4778</v>
      </c>
      <c r="O415" s="20">
        <f t="shared" si="17"/>
        <v>37.448100000000004</v>
      </c>
      <c r="P415" s="7"/>
      <c r="Q415" s="13"/>
      <c r="R415" s="14"/>
      <c r="S415" s="14"/>
      <c r="T415" s="27"/>
      <c r="U415" s="28">
        <f t="shared" si="18"/>
        <v>2.0988378527946834E-2</v>
      </c>
    </row>
    <row r="416" spans="1:21" hidden="1" x14ac:dyDescent="0.25">
      <c r="B416" s="6" t="s">
        <v>121</v>
      </c>
      <c r="C416" s="29">
        <v>1260.95</v>
      </c>
      <c r="D416" s="30">
        <v>38.14</v>
      </c>
      <c r="E416" s="30">
        <v>46.235999999999997</v>
      </c>
      <c r="F416" s="30">
        <v>46.085999999999999</v>
      </c>
      <c r="G416" s="16">
        <v>478.22</v>
      </c>
      <c r="H416" s="16">
        <f t="shared" si="16"/>
        <v>40.145250000000004</v>
      </c>
      <c r="I416" s="5"/>
      <c r="J416" s="29">
        <v>1025.3402000000001</v>
      </c>
      <c r="K416" s="30">
        <v>38.063699999999997</v>
      </c>
      <c r="L416" s="30">
        <v>45.760399999999997</v>
      </c>
      <c r="M416" s="30">
        <v>45.594700000000003</v>
      </c>
      <c r="N416" s="16">
        <v>304.00799999999998</v>
      </c>
      <c r="O416" s="16">
        <f t="shared" si="17"/>
        <v>39.967162499999993</v>
      </c>
      <c r="P416" s="7"/>
      <c r="Q416" s="8">
        <f>bdrate(C416:C419,D416:D419,J416:J419,K416:K419)</f>
        <v>-0.3266360533495597</v>
      </c>
      <c r="R416" s="8">
        <f>bdrate(C416:C419,E416:E419,J416:J419,L416:L419)</f>
        <v>-0.16206053008329413</v>
      </c>
      <c r="S416" s="8">
        <f>bdrate(C416:C419,F416:F419,J416:J419,M416:M419)</f>
        <v>-0.18343716860111015</v>
      </c>
      <c r="T416" s="25">
        <f>bdrate(C416:C419,H416:H419,J416:J419,O416:O419)</f>
        <v>-0.30493088052761397</v>
      </c>
      <c r="U416" s="28">
        <f t="shared" si="18"/>
        <v>-0.36429258500271849</v>
      </c>
    </row>
    <row r="417" spans="2:21" hidden="1" x14ac:dyDescent="0.25">
      <c r="B417" s="9"/>
      <c r="C417" s="31">
        <v>753.54</v>
      </c>
      <c r="D417" s="32">
        <v>35.448999999999998</v>
      </c>
      <c r="E417" s="32">
        <v>44.735999999999997</v>
      </c>
      <c r="F417" s="32">
        <v>44.524000000000001</v>
      </c>
      <c r="G417" s="18">
        <v>537.08000000000004</v>
      </c>
      <c r="H417" s="18">
        <f t="shared" si="16"/>
        <v>37.744250000000001</v>
      </c>
      <c r="I417" s="5"/>
      <c r="J417" s="31">
        <v>615.13</v>
      </c>
      <c r="K417" s="32">
        <v>36.082500000000003</v>
      </c>
      <c r="L417" s="32">
        <v>44.580399999999997</v>
      </c>
      <c r="M417" s="32">
        <v>44.387</v>
      </c>
      <c r="N417" s="18">
        <v>372.1979</v>
      </c>
      <c r="O417" s="18">
        <f t="shared" si="17"/>
        <v>38.1828</v>
      </c>
      <c r="P417" s="7"/>
      <c r="Q417" s="10"/>
      <c r="R417" s="11"/>
      <c r="S417" s="11"/>
      <c r="T417" s="26"/>
      <c r="U417" s="28">
        <f t="shared" si="18"/>
        <v>-0.30699728159678263</v>
      </c>
    </row>
    <row r="418" spans="2:21" hidden="1" x14ac:dyDescent="0.25">
      <c r="B418" s="9"/>
      <c r="C418" s="31">
        <v>500.69</v>
      </c>
      <c r="D418" s="32">
        <v>33.345999999999997</v>
      </c>
      <c r="E418" s="32">
        <v>43.591999999999999</v>
      </c>
      <c r="F418" s="32">
        <v>43.277000000000001</v>
      </c>
      <c r="G418" s="18">
        <v>570.02</v>
      </c>
      <c r="H418" s="18">
        <f t="shared" si="16"/>
        <v>35.868124999999992</v>
      </c>
      <c r="I418" s="5"/>
      <c r="J418" s="31">
        <v>409.63220000000001</v>
      </c>
      <c r="K418" s="32">
        <v>34.506300000000003</v>
      </c>
      <c r="L418" s="32">
        <v>43.589599999999997</v>
      </c>
      <c r="M418" s="32">
        <v>43.360300000000002</v>
      </c>
      <c r="N418" s="18">
        <v>434.15179999999998</v>
      </c>
      <c r="O418" s="18">
        <f t="shared" si="17"/>
        <v>36.748462500000002</v>
      </c>
      <c r="P418" s="7"/>
      <c r="Q418" s="10"/>
      <c r="R418" s="11"/>
      <c r="S418" s="11"/>
      <c r="T418" s="26"/>
      <c r="U418" s="28">
        <f t="shared" si="18"/>
        <v>-0.23835689975790325</v>
      </c>
    </row>
    <row r="419" spans="2:21" ht="16.5" hidden="1" thickBot="1" x14ac:dyDescent="0.3">
      <c r="B419" s="12"/>
      <c r="C419" s="33">
        <v>249.87</v>
      </c>
      <c r="D419" s="34">
        <v>29.603999999999999</v>
      </c>
      <c r="E419" s="34">
        <v>41.771000000000001</v>
      </c>
      <c r="F419" s="34">
        <v>41.363999999999997</v>
      </c>
      <c r="G419" s="20">
        <v>625.54999999999995</v>
      </c>
      <c r="H419" s="20">
        <f t="shared" si="16"/>
        <v>32.594874999999995</v>
      </c>
      <c r="I419" s="5"/>
      <c r="J419" s="33">
        <v>204.5214</v>
      </c>
      <c r="K419" s="34">
        <v>31.5825</v>
      </c>
      <c r="L419" s="34">
        <v>41.909700000000001</v>
      </c>
      <c r="M419" s="34">
        <v>41.690199999999997</v>
      </c>
      <c r="N419" s="20">
        <v>554.13109999999995</v>
      </c>
      <c r="O419" s="20">
        <f t="shared" si="17"/>
        <v>34.136862499999999</v>
      </c>
      <c r="P419" s="7"/>
      <c r="Q419" s="13"/>
      <c r="R419" s="14"/>
      <c r="S419" s="14"/>
      <c r="T419" s="27"/>
      <c r="U419" s="28">
        <f t="shared" si="18"/>
        <v>-0.11416977060187038</v>
      </c>
    </row>
    <row r="420" spans="2:21" hidden="1" x14ac:dyDescent="0.25">
      <c r="B420" s="6" t="s">
        <v>122</v>
      </c>
      <c r="C420" s="15">
        <v>1298.69</v>
      </c>
      <c r="D420" s="16">
        <v>37.588000000000001</v>
      </c>
      <c r="E420" s="16">
        <v>46.332000000000001</v>
      </c>
      <c r="F420" s="16">
        <v>44.674999999999997</v>
      </c>
      <c r="G420" s="16">
        <v>528.97</v>
      </c>
      <c r="H420" s="16">
        <f t="shared" si="16"/>
        <v>39.566875000000003</v>
      </c>
      <c r="I420" s="5"/>
      <c r="J420" s="15">
        <v>1024.5605</v>
      </c>
      <c r="K420" s="16">
        <v>37.859400000000001</v>
      </c>
      <c r="L420" s="16">
        <v>46.776299999999999</v>
      </c>
      <c r="M420" s="16">
        <v>45.381799999999998</v>
      </c>
      <c r="N420" s="16">
        <v>334.44630000000001</v>
      </c>
      <c r="O420" s="16">
        <f t="shared" si="17"/>
        <v>39.914312500000001</v>
      </c>
      <c r="P420" s="7"/>
      <c r="Q420" s="8">
        <f>bdrate(C420:C423,D420:D423,J420:J423,K420:K423)</f>
        <v>-0.41344284774051121</v>
      </c>
      <c r="R420" s="8">
        <f>bdrate(C420:C423,E420:E423,J420:J423,L420:L423)</f>
        <v>-0.43515572469046659</v>
      </c>
      <c r="S420" s="8">
        <f>bdrate(C420:C423,F420:F423,J420:J423,M420:M423)</f>
        <v>-0.49733182735151582</v>
      </c>
      <c r="T420" s="25">
        <f>bdrate(C420:C423,H420:H423,J420:J423,O420:O423)</f>
        <v>-0.42522468696302218</v>
      </c>
      <c r="U420" s="28">
        <f t="shared" si="18"/>
        <v>-0.36774051458494811</v>
      </c>
    </row>
    <row r="421" spans="2:21" hidden="1" x14ac:dyDescent="0.25">
      <c r="B421" s="9"/>
      <c r="C421" s="17">
        <v>780.3</v>
      </c>
      <c r="D421" s="18">
        <v>36.149000000000001</v>
      </c>
      <c r="E421" s="18">
        <v>45.386000000000003</v>
      </c>
      <c r="F421" s="18">
        <v>43.616</v>
      </c>
      <c r="G421" s="18">
        <v>604.92999999999995</v>
      </c>
      <c r="H421" s="18">
        <f t="shared" si="16"/>
        <v>38.237000000000002</v>
      </c>
      <c r="I421" s="5"/>
      <c r="J421" s="17">
        <v>614.58969999999999</v>
      </c>
      <c r="K421" s="18">
        <v>36.746899999999997</v>
      </c>
      <c r="L421" s="18">
        <v>45.942399999999999</v>
      </c>
      <c r="M421" s="18">
        <v>44.4818</v>
      </c>
      <c r="N421" s="18">
        <v>415.67720000000003</v>
      </c>
      <c r="O421" s="18">
        <f t="shared" si="17"/>
        <v>38.863199999999999</v>
      </c>
      <c r="P421" s="7"/>
      <c r="Q421" s="10"/>
      <c r="R421" s="11"/>
      <c r="S421" s="11"/>
      <c r="T421" s="26"/>
      <c r="U421" s="28">
        <f t="shared" si="18"/>
        <v>-0.31285074306118055</v>
      </c>
    </row>
    <row r="422" spans="2:21" hidden="1" x14ac:dyDescent="0.25">
      <c r="B422" s="9"/>
      <c r="C422" s="17">
        <v>519.66999999999996</v>
      </c>
      <c r="D422" s="18">
        <v>34.954000000000001</v>
      </c>
      <c r="E422" s="18">
        <v>44.606999999999999</v>
      </c>
      <c r="F422" s="18">
        <v>42.798000000000002</v>
      </c>
      <c r="G422" s="18">
        <v>645.54</v>
      </c>
      <c r="H422" s="18">
        <f t="shared" si="16"/>
        <v>37.141125000000002</v>
      </c>
      <c r="I422" s="5"/>
      <c r="J422" s="17">
        <v>408.14499999999998</v>
      </c>
      <c r="K422" s="18">
        <v>35.844999999999999</v>
      </c>
      <c r="L422" s="18">
        <v>45.230499999999999</v>
      </c>
      <c r="M422" s="18">
        <v>43.7</v>
      </c>
      <c r="N422" s="18">
        <v>470.69569999999999</v>
      </c>
      <c r="O422" s="18">
        <f t="shared" si="17"/>
        <v>38.000062499999999</v>
      </c>
      <c r="P422" s="7"/>
      <c r="Q422" s="10"/>
      <c r="R422" s="11"/>
      <c r="S422" s="11"/>
      <c r="T422" s="26"/>
      <c r="U422" s="28">
        <f t="shared" si="18"/>
        <v>-0.27084967624004708</v>
      </c>
    </row>
    <row r="423" spans="2:21" ht="16.5" hidden="1" thickBot="1" x14ac:dyDescent="0.3">
      <c r="B423" s="12"/>
      <c r="C423" s="19">
        <v>259</v>
      </c>
      <c r="D423" s="20">
        <v>32.536000000000001</v>
      </c>
      <c r="E423" s="20">
        <v>43.075000000000003</v>
      </c>
      <c r="F423" s="20">
        <v>41.381</v>
      </c>
      <c r="G423" s="20">
        <v>704.43</v>
      </c>
      <c r="H423" s="20">
        <f t="shared" si="16"/>
        <v>34.959000000000003</v>
      </c>
      <c r="I423" s="5"/>
      <c r="J423" s="19">
        <v>198.01259999999999</v>
      </c>
      <c r="K423" s="20">
        <v>34.005499999999998</v>
      </c>
      <c r="L423" s="20">
        <v>43.918599999999998</v>
      </c>
      <c r="M423" s="20">
        <v>42.273099999999999</v>
      </c>
      <c r="N423" s="20">
        <v>592.70219999999995</v>
      </c>
      <c r="O423" s="20">
        <f t="shared" si="17"/>
        <v>36.278087499999998</v>
      </c>
      <c r="P423" s="7"/>
      <c r="Q423" s="13"/>
      <c r="R423" s="14"/>
      <c r="S423" s="14"/>
      <c r="T423" s="27"/>
      <c r="U423" s="28">
        <f t="shared" si="18"/>
        <v>-0.15860738469400792</v>
      </c>
    </row>
    <row r="424" spans="2:21" hidden="1" x14ac:dyDescent="0.25">
      <c r="B424" s="6" t="s">
        <v>123</v>
      </c>
      <c r="C424" s="15">
        <v>2127.5300000000002</v>
      </c>
      <c r="D424" s="16">
        <v>37.594000000000001</v>
      </c>
      <c r="E424" s="16">
        <v>44.414000000000001</v>
      </c>
      <c r="F424" s="16">
        <v>43.774999999999999</v>
      </c>
      <c r="G424" s="16">
        <v>186.45</v>
      </c>
      <c r="H424" s="16">
        <f t="shared" si="16"/>
        <v>39.219124999999998</v>
      </c>
      <c r="I424" s="5"/>
      <c r="J424" s="15">
        <v>1490.5174</v>
      </c>
      <c r="K424" s="16">
        <v>37.194000000000003</v>
      </c>
      <c r="L424" s="16">
        <v>44.017400000000002</v>
      </c>
      <c r="M424" s="16">
        <v>43.337499999999999</v>
      </c>
      <c r="N424" s="16">
        <v>180.47559999999999</v>
      </c>
      <c r="O424" s="16">
        <f t="shared" si="17"/>
        <v>38.814862499999997</v>
      </c>
      <c r="P424" s="7"/>
      <c r="Q424" s="8">
        <f>bdrate(C424:C427,D424:D427,J424:J427,K424:K427)</f>
        <v>-0.36497821198933023</v>
      </c>
      <c r="R424" s="8">
        <f>bdrate(C424:C427,E424:E427,J424:J427,L424:L427)</f>
        <v>-0.24889065603341276</v>
      </c>
      <c r="S424" s="8">
        <f>bdrate(C424:C427,F424:F427,J424:J427,M424:M427)</f>
        <v>-0.16460639196698246</v>
      </c>
      <c r="T424" s="25">
        <f>bdrate(C424:C427,H424:H427,J424:J427,O424:O427)</f>
        <v>-0.34549220115316692</v>
      </c>
      <c r="U424" s="28">
        <f t="shared" si="18"/>
        <v>-3.2042906945561833E-2</v>
      </c>
    </row>
    <row r="425" spans="2:21" hidden="1" x14ac:dyDescent="0.25">
      <c r="B425" s="9"/>
      <c r="C425" s="17">
        <v>1418.67</v>
      </c>
      <c r="D425" s="18">
        <v>35.338999999999999</v>
      </c>
      <c r="E425" s="18">
        <v>43.185000000000002</v>
      </c>
      <c r="F425" s="18">
        <v>42.509</v>
      </c>
      <c r="G425" s="18">
        <v>219.43</v>
      </c>
      <c r="H425" s="18">
        <f t="shared" si="16"/>
        <v>37.216000000000001</v>
      </c>
      <c r="I425" s="5"/>
      <c r="J425" s="17">
        <v>997.56590000000006</v>
      </c>
      <c r="K425" s="18">
        <v>35.381999999999998</v>
      </c>
      <c r="L425" s="18">
        <v>42.924799999999998</v>
      </c>
      <c r="M425" s="18">
        <v>42.097299999999997</v>
      </c>
      <c r="N425" s="18">
        <v>224.42609999999999</v>
      </c>
      <c r="O425" s="18">
        <f t="shared" si="17"/>
        <v>37.1642625</v>
      </c>
      <c r="P425" s="7"/>
      <c r="Q425" s="10"/>
      <c r="R425" s="11"/>
      <c r="S425" s="11"/>
      <c r="T425" s="26"/>
      <c r="U425" s="28">
        <f t="shared" si="18"/>
        <v>2.2768536663172693E-2</v>
      </c>
    </row>
    <row r="426" spans="2:21" hidden="1" x14ac:dyDescent="0.25">
      <c r="B426" s="9"/>
      <c r="C426" s="17">
        <v>852.81</v>
      </c>
      <c r="D426" s="18">
        <v>32.405999999999999</v>
      </c>
      <c r="E426" s="18">
        <v>41.698</v>
      </c>
      <c r="F426" s="18">
        <v>41.04</v>
      </c>
      <c r="G426" s="18">
        <v>228.37</v>
      </c>
      <c r="H426" s="18">
        <f t="shared" si="16"/>
        <v>34.646749999999997</v>
      </c>
      <c r="I426" s="5"/>
      <c r="J426" s="17">
        <v>594.52009999999996</v>
      </c>
      <c r="K426" s="18">
        <v>33.046300000000002</v>
      </c>
      <c r="L426" s="18">
        <v>41.5062</v>
      </c>
      <c r="M426" s="18">
        <v>40.480800000000002</v>
      </c>
      <c r="N426" s="18">
        <v>263.76</v>
      </c>
      <c r="O426" s="18">
        <f t="shared" si="17"/>
        <v>35.033100000000005</v>
      </c>
      <c r="P426" s="7"/>
      <c r="Q426" s="10"/>
      <c r="R426" s="11"/>
      <c r="S426" s="11"/>
      <c r="T426" s="26"/>
      <c r="U426" s="28">
        <f t="shared" si="18"/>
        <v>0.15496781538731</v>
      </c>
    </row>
    <row r="427" spans="2:21" ht="16.5" hidden="1" thickBot="1" x14ac:dyDescent="0.3">
      <c r="B427" s="12"/>
      <c r="C427" s="19">
        <v>426.54</v>
      </c>
      <c r="D427" s="20">
        <v>28.088999999999999</v>
      </c>
      <c r="E427" s="20">
        <v>39.75</v>
      </c>
      <c r="F427" s="20">
        <v>39.133000000000003</v>
      </c>
      <c r="G427" s="20">
        <v>236.64</v>
      </c>
      <c r="H427" s="20">
        <f t="shared" si="16"/>
        <v>30.927125</v>
      </c>
      <c r="I427" s="5"/>
      <c r="J427" s="19">
        <v>296.65449999999998</v>
      </c>
      <c r="K427" s="20">
        <v>30.254200000000001</v>
      </c>
      <c r="L427" s="20">
        <v>39.690600000000003</v>
      </c>
      <c r="M427" s="20">
        <v>38.3123</v>
      </c>
      <c r="N427" s="20">
        <v>314.54309999999998</v>
      </c>
      <c r="O427" s="20">
        <f t="shared" si="17"/>
        <v>32.441012499999999</v>
      </c>
      <c r="P427" s="7"/>
      <c r="Q427" s="13"/>
      <c r="R427" s="14"/>
      <c r="S427" s="14"/>
      <c r="T427" s="27"/>
      <c r="U427" s="28">
        <f t="shared" si="18"/>
        <v>0.32920512170385396</v>
      </c>
    </row>
    <row r="428" spans="2:21" hidden="1" x14ac:dyDescent="0.25">
      <c r="B428" s="6" t="s">
        <v>124</v>
      </c>
      <c r="C428" s="15">
        <v>1324.3</v>
      </c>
      <c r="D428" s="16">
        <v>39.392000000000003</v>
      </c>
      <c r="E428" s="16">
        <v>45.186</v>
      </c>
      <c r="F428" s="16">
        <v>44.618000000000002</v>
      </c>
      <c r="G428" s="16">
        <v>456.33</v>
      </c>
      <c r="H428" s="16">
        <f t="shared" si="16"/>
        <v>40.769500000000001</v>
      </c>
      <c r="I428" s="5"/>
      <c r="J428" s="15">
        <v>1024.3115</v>
      </c>
      <c r="K428" s="16">
        <v>39.279299999999999</v>
      </c>
      <c r="L428" s="16">
        <v>45.112699999999997</v>
      </c>
      <c r="M428" s="16">
        <v>44.593800000000002</v>
      </c>
      <c r="N428" s="16">
        <v>303.22199999999998</v>
      </c>
      <c r="O428" s="16">
        <f t="shared" si="17"/>
        <v>40.672787499999998</v>
      </c>
      <c r="P428" s="7"/>
      <c r="Q428" s="8">
        <f>bdrate(C428:C431,D428:D431,J428:J431,K428:K431)</f>
        <v>-0.36241117060329786</v>
      </c>
      <c r="R428" s="8">
        <f>bdrate(C428:C431,E428:E431,J428:J431,L428:L431)</f>
        <v>-0.3503030568249671</v>
      </c>
      <c r="S428" s="8">
        <f>bdrate(C428:C431,F428:F431,J428:J431,M428:M431)</f>
        <v>-0.35957004380743907</v>
      </c>
      <c r="T428" s="25">
        <f>bdrate(C428:C431,H428:H431,J428:J431,O428:O431)</f>
        <v>-0.36136048022252854</v>
      </c>
      <c r="U428" s="28">
        <f t="shared" si="18"/>
        <v>-0.33552034711721784</v>
      </c>
    </row>
    <row r="429" spans="2:21" hidden="1" x14ac:dyDescent="0.25">
      <c r="B429" s="9"/>
      <c r="C429" s="17">
        <v>787.37</v>
      </c>
      <c r="D429" s="18">
        <v>36.866</v>
      </c>
      <c r="E429" s="18">
        <v>43.395000000000003</v>
      </c>
      <c r="F429" s="18">
        <v>42.795999999999999</v>
      </c>
      <c r="G429" s="18">
        <v>502.09</v>
      </c>
      <c r="H429" s="18">
        <f t="shared" si="16"/>
        <v>38.423375</v>
      </c>
      <c r="I429" s="5"/>
      <c r="J429" s="17">
        <v>614.57159999999999</v>
      </c>
      <c r="K429" s="18">
        <v>37.473199999999999</v>
      </c>
      <c r="L429" s="18">
        <v>43.879100000000001</v>
      </c>
      <c r="M429" s="18">
        <v>43.307099999999998</v>
      </c>
      <c r="N429" s="18">
        <v>379.01949999999999</v>
      </c>
      <c r="O429" s="18">
        <f t="shared" si="17"/>
        <v>39.003174999999999</v>
      </c>
      <c r="P429" s="7"/>
      <c r="Q429" s="10"/>
      <c r="R429" s="11"/>
      <c r="S429" s="11"/>
      <c r="T429" s="26"/>
      <c r="U429" s="28">
        <f t="shared" si="18"/>
        <v>-0.24511641339202134</v>
      </c>
    </row>
    <row r="430" spans="2:21" hidden="1" x14ac:dyDescent="0.25">
      <c r="B430" s="9"/>
      <c r="C430" s="17">
        <v>520.32000000000005</v>
      </c>
      <c r="D430" s="18">
        <v>34.857999999999997</v>
      </c>
      <c r="E430" s="18">
        <v>42.118000000000002</v>
      </c>
      <c r="F430" s="18">
        <v>41.478000000000002</v>
      </c>
      <c r="G430" s="18">
        <v>554.01</v>
      </c>
      <c r="H430" s="18">
        <f t="shared" si="16"/>
        <v>36.592999999999996</v>
      </c>
      <c r="I430" s="5"/>
      <c r="J430" s="17">
        <v>407.70310000000001</v>
      </c>
      <c r="K430" s="18">
        <v>36.0047</v>
      </c>
      <c r="L430" s="18">
        <v>42.801400000000001</v>
      </c>
      <c r="M430" s="18">
        <v>42.236899999999999</v>
      </c>
      <c r="N430" s="18">
        <v>443.11599999999999</v>
      </c>
      <c r="O430" s="18">
        <f t="shared" si="17"/>
        <v>37.633312500000002</v>
      </c>
      <c r="P430" s="7"/>
      <c r="Q430" s="10"/>
      <c r="R430" s="11"/>
      <c r="S430" s="11"/>
      <c r="T430" s="26"/>
      <c r="U430" s="28">
        <f t="shared" si="18"/>
        <v>-0.20016606198444073</v>
      </c>
    </row>
    <row r="431" spans="2:21" ht="16.5" hidden="1" thickBot="1" x14ac:dyDescent="0.3">
      <c r="B431" s="12"/>
      <c r="C431" s="19">
        <v>255.5</v>
      </c>
      <c r="D431" s="20">
        <v>31.148</v>
      </c>
      <c r="E431" s="20">
        <v>40.051000000000002</v>
      </c>
      <c r="F431" s="20">
        <v>39.375</v>
      </c>
      <c r="G431" s="20">
        <v>604.80999999999995</v>
      </c>
      <c r="H431" s="20">
        <f t="shared" si="16"/>
        <v>33.289250000000003</v>
      </c>
      <c r="I431" s="5"/>
      <c r="J431" s="19">
        <v>200.18889999999999</v>
      </c>
      <c r="K431" s="20">
        <v>33.1374</v>
      </c>
      <c r="L431" s="20">
        <v>40.784300000000002</v>
      </c>
      <c r="M431" s="20">
        <v>40.190399999999997</v>
      </c>
      <c r="N431" s="20">
        <v>546.10360000000003</v>
      </c>
      <c r="O431" s="20">
        <f t="shared" si="17"/>
        <v>34.974887500000001</v>
      </c>
      <c r="P431" s="7"/>
      <c r="Q431" s="13"/>
      <c r="R431" s="14"/>
      <c r="S431" s="14"/>
      <c r="T431" s="27"/>
      <c r="U431" s="28">
        <f t="shared" si="18"/>
        <v>-9.7065855392602512E-2</v>
      </c>
    </row>
    <row r="432" spans="2:21" hidden="1" x14ac:dyDescent="0.25">
      <c r="B432" s="6" t="s">
        <v>125</v>
      </c>
      <c r="C432" s="15">
        <v>1288.79</v>
      </c>
      <c r="D432" s="16">
        <v>42.732999999999997</v>
      </c>
      <c r="E432" s="16">
        <v>47.81</v>
      </c>
      <c r="F432" s="16">
        <v>46.860999999999997</v>
      </c>
      <c r="G432" s="16">
        <v>446.13</v>
      </c>
      <c r="H432" s="16">
        <f t="shared" si="16"/>
        <v>43.883624999999995</v>
      </c>
      <c r="I432" s="5"/>
      <c r="J432" s="15">
        <v>1025.5432000000001</v>
      </c>
      <c r="K432" s="16">
        <v>43.055500000000002</v>
      </c>
      <c r="L432" s="16">
        <v>47.539299999999997</v>
      </c>
      <c r="M432" s="16">
        <v>46.772399999999998</v>
      </c>
      <c r="N432" s="16">
        <v>320.18009999999998</v>
      </c>
      <c r="O432" s="16">
        <f t="shared" si="17"/>
        <v>44.0805875</v>
      </c>
      <c r="P432" s="7"/>
      <c r="Q432" s="8">
        <f>bdrate(C432:C435,D432:D435,J432:J435,K432:K435)</f>
        <v>-0.3806684744784995</v>
      </c>
      <c r="R432" s="8">
        <f>bdrate(C432:C435,E432:E435,J432:J435,L432:L435)</f>
        <v>-0.24306141270475679</v>
      </c>
      <c r="S432" s="8">
        <f>bdrate(C432:C435,F432:F435,J432:J435,M432:M435)</f>
        <v>-0.29391419027667631</v>
      </c>
      <c r="T432" s="25">
        <f>bdrate(C432:C435,H432:H435,J432:J435,O432:O435)</f>
        <v>-0.35964498224625352</v>
      </c>
      <c r="U432" s="28">
        <f t="shared" si="18"/>
        <v>-0.28231658933494724</v>
      </c>
    </row>
    <row r="433" spans="2:21" hidden="1" x14ac:dyDescent="0.25">
      <c r="B433" s="9"/>
      <c r="C433" s="17">
        <v>775.46</v>
      </c>
      <c r="D433" s="18">
        <v>40.414999999999999</v>
      </c>
      <c r="E433" s="18">
        <v>46.073999999999998</v>
      </c>
      <c r="F433" s="18">
        <v>45.018999999999998</v>
      </c>
      <c r="G433" s="18">
        <v>518.96</v>
      </c>
      <c r="H433" s="18">
        <f t="shared" si="16"/>
        <v>41.697875000000003</v>
      </c>
      <c r="I433" s="5"/>
      <c r="J433" s="17">
        <v>614.32579999999996</v>
      </c>
      <c r="K433" s="18">
        <v>41.258600000000001</v>
      </c>
      <c r="L433" s="18">
        <v>46.110900000000001</v>
      </c>
      <c r="M433" s="18">
        <v>45.301099999999998</v>
      </c>
      <c r="N433" s="18">
        <v>392.06569999999999</v>
      </c>
      <c r="O433" s="18">
        <f t="shared" si="17"/>
        <v>42.370450000000005</v>
      </c>
      <c r="P433" s="7"/>
      <c r="Q433" s="10"/>
      <c r="R433" s="11"/>
      <c r="S433" s="11"/>
      <c r="T433" s="26"/>
      <c r="U433" s="28">
        <f t="shared" si="18"/>
        <v>-0.24451653306613233</v>
      </c>
    </row>
    <row r="434" spans="2:21" hidden="1" x14ac:dyDescent="0.25">
      <c r="B434" s="9"/>
      <c r="C434" s="17">
        <v>518.1</v>
      </c>
      <c r="D434" s="18">
        <v>38.411999999999999</v>
      </c>
      <c r="E434" s="18">
        <v>44.651000000000003</v>
      </c>
      <c r="F434" s="18">
        <v>43.545000000000002</v>
      </c>
      <c r="G434" s="18">
        <v>557.57000000000005</v>
      </c>
      <c r="H434" s="18">
        <f t="shared" si="16"/>
        <v>39.833500000000001</v>
      </c>
      <c r="I434" s="5"/>
      <c r="J434" s="17">
        <v>407.25290000000001</v>
      </c>
      <c r="K434" s="18">
        <v>39.666400000000003</v>
      </c>
      <c r="L434" s="18">
        <v>44.860100000000003</v>
      </c>
      <c r="M434" s="18">
        <v>44.039499999999997</v>
      </c>
      <c r="N434" s="18">
        <v>455.88240000000002</v>
      </c>
      <c r="O434" s="18">
        <f t="shared" si="17"/>
        <v>40.862249999999996</v>
      </c>
      <c r="P434" s="7"/>
      <c r="Q434" s="10"/>
      <c r="R434" s="11"/>
      <c r="S434" s="11"/>
      <c r="T434" s="26"/>
      <c r="U434" s="28">
        <f t="shared" si="18"/>
        <v>-0.18237638323439215</v>
      </c>
    </row>
    <row r="435" spans="2:21" ht="16.5" hidden="1" thickBot="1" x14ac:dyDescent="0.3">
      <c r="B435" s="12"/>
      <c r="C435" s="19">
        <v>260.70999999999998</v>
      </c>
      <c r="D435" s="20">
        <v>34.502000000000002</v>
      </c>
      <c r="E435" s="20">
        <v>42.195</v>
      </c>
      <c r="F435" s="20">
        <v>41.094999999999999</v>
      </c>
      <c r="G435" s="20">
        <v>615.05999999999995</v>
      </c>
      <c r="H435" s="20">
        <f t="shared" si="16"/>
        <v>36.287750000000003</v>
      </c>
      <c r="I435" s="5"/>
      <c r="J435" s="19">
        <v>201.6618</v>
      </c>
      <c r="K435" s="20">
        <v>36.457599999999999</v>
      </c>
      <c r="L435" s="20">
        <v>42.527500000000003</v>
      </c>
      <c r="M435" s="20">
        <v>41.636400000000002</v>
      </c>
      <c r="N435" s="20">
        <v>552.22289999999998</v>
      </c>
      <c r="O435" s="20">
        <f t="shared" si="17"/>
        <v>37.863687499999997</v>
      </c>
      <c r="P435" s="7"/>
      <c r="Q435" s="13"/>
      <c r="R435" s="14"/>
      <c r="S435" s="14"/>
      <c r="T435" s="27"/>
      <c r="U435" s="28">
        <f t="shared" si="18"/>
        <v>-0.10216417910447756</v>
      </c>
    </row>
    <row r="436" spans="2:21" hidden="1" x14ac:dyDescent="0.25">
      <c r="B436" s="6" t="s">
        <v>126</v>
      </c>
      <c r="C436" s="15">
        <v>2049.4299999999998</v>
      </c>
      <c r="D436" s="16">
        <v>36.128</v>
      </c>
      <c r="E436" s="16">
        <v>43.191000000000003</v>
      </c>
      <c r="F436" s="16">
        <v>43.886000000000003</v>
      </c>
      <c r="G436" s="16">
        <v>178.92</v>
      </c>
      <c r="H436" s="16">
        <f t="shared" si="16"/>
        <v>37.980625000000003</v>
      </c>
      <c r="I436" s="5"/>
      <c r="J436" s="15">
        <v>1537.8307</v>
      </c>
      <c r="K436" s="16">
        <v>36.878</v>
      </c>
      <c r="L436" s="16">
        <v>42.820099999999996</v>
      </c>
      <c r="M436" s="16">
        <v>43.501399999999997</v>
      </c>
      <c r="N436" s="16">
        <v>187.95660000000001</v>
      </c>
      <c r="O436" s="16">
        <f t="shared" si="17"/>
        <v>38.448687499999998</v>
      </c>
      <c r="P436" s="7"/>
      <c r="Q436" s="8">
        <f>bdrate(C436:C439,D436:D439,J436:J439,K436:K439)</f>
        <v>-0.44394843356289415</v>
      </c>
      <c r="R436" s="8">
        <f>bdrate(C436:C439,E436:E439,J436:J439,L436:L439)</f>
        <v>-0.21190991280938798</v>
      </c>
      <c r="S436" s="8">
        <f>bdrate(C436:C439,F436:F439,J436:J439,M436:M439)</f>
        <v>-0.2286627696332888</v>
      </c>
      <c r="T436" s="25">
        <f>bdrate(C436:C439,H436:H439,J436:J439,O436:O439)</f>
        <v>-0.41512440152046826</v>
      </c>
      <c r="U436" s="28">
        <f t="shared" si="18"/>
        <v>5.0506371562709713E-2</v>
      </c>
    </row>
    <row r="437" spans="2:21" hidden="1" x14ac:dyDescent="0.25">
      <c r="B437" s="9"/>
      <c r="C437" s="17">
        <v>1364.71</v>
      </c>
      <c r="D437" s="18">
        <v>34.03</v>
      </c>
      <c r="E437" s="18">
        <v>42.033999999999999</v>
      </c>
      <c r="F437" s="18">
        <v>42.741999999999997</v>
      </c>
      <c r="G437" s="18">
        <v>201.12</v>
      </c>
      <c r="H437" s="18">
        <f t="shared" si="16"/>
        <v>36.119500000000002</v>
      </c>
      <c r="I437" s="5"/>
      <c r="J437" s="17">
        <v>1025.0231000000001</v>
      </c>
      <c r="K437" s="18">
        <v>35.1554</v>
      </c>
      <c r="L437" s="18">
        <v>41.806399999999996</v>
      </c>
      <c r="M437" s="18">
        <v>42.527000000000001</v>
      </c>
      <c r="N437" s="18">
        <v>227.19820000000001</v>
      </c>
      <c r="O437" s="18">
        <f t="shared" si="17"/>
        <v>36.908225000000002</v>
      </c>
      <c r="P437" s="7"/>
      <c r="Q437" s="10"/>
      <c r="R437" s="11"/>
      <c r="S437" s="11"/>
      <c r="T437" s="26"/>
      <c r="U437" s="28">
        <f t="shared" si="18"/>
        <v>0.12966487669053306</v>
      </c>
    </row>
    <row r="438" spans="2:21" hidden="1" x14ac:dyDescent="0.25">
      <c r="B438" s="9"/>
      <c r="C438" s="17">
        <v>818.14</v>
      </c>
      <c r="D438" s="18">
        <v>31.364999999999998</v>
      </c>
      <c r="E438" s="18">
        <v>40.786999999999999</v>
      </c>
      <c r="F438" s="18">
        <v>41.482999999999997</v>
      </c>
      <c r="G438" s="18">
        <v>218.22</v>
      </c>
      <c r="H438" s="18">
        <f t="shared" si="16"/>
        <v>33.807499999999997</v>
      </c>
      <c r="I438" s="5"/>
      <c r="J438" s="17">
        <v>614.57180000000005</v>
      </c>
      <c r="K438" s="18">
        <v>32.938000000000002</v>
      </c>
      <c r="L438" s="18">
        <v>40.635100000000001</v>
      </c>
      <c r="M438" s="18">
        <v>41.412300000000002</v>
      </c>
      <c r="N438" s="18">
        <v>265.32119999999998</v>
      </c>
      <c r="O438" s="18">
        <f t="shared" si="17"/>
        <v>34.959425000000003</v>
      </c>
      <c r="P438" s="7"/>
      <c r="Q438" s="10"/>
      <c r="R438" s="11"/>
      <c r="S438" s="11"/>
      <c r="T438" s="26"/>
      <c r="U438" s="28">
        <f t="shared" si="18"/>
        <v>0.21584272752268344</v>
      </c>
    </row>
    <row r="439" spans="2:21" ht="16.5" hidden="1" thickBot="1" x14ac:dyDescent="0.3">
      <c r="B439" s="12"/>
      <c r="C439" s="19">
        <v>410.59</v>
      </c>
      <c r="D439" s="20">
        <v>26.957999999999998</v>
      </c>
      <c r="E439" s="20">
        <v>38.813000000000002</v>
      </c>
      <c r="F439" s="20">
        <v>39.526000000000003</v>
      </c>
      <c r="G439" s="20">
        <v>228.58</v>
      </c>
      <c r="H439" s="20">
        <f t="shared" si="16"/>
        <v>30.010874999999999</v>
      </c>
      <c r="I439" s="5"/>
      <c r="J439" s="19">
        <v>307.1438</v>
      </c>
      <c r="K439" s="20">
        <v>29.941700000000001</v>
      </c>
      <c r="L439" s="20">
        <v>39.141599999999997</v>
      </c>
      <c r="M439" s="20">
        <v>39.979500000000002</v>
      </c>
      <c r="N439" s="20">
        <v>308.70760000000001</v>
      </c>
      <c r="O439" s="20">
        <f t="shared" si="17"/>
        <v>32.3464125</v>
      </c>
      <c r="P439" s="7"/>
      <c r="Q439" s="13"/>
      <c r="R439" s="14"/>
      <c r="S439" s="14"/>
      <c r="T439" s="27"/>
      <c r="U439" s="28">
        <f t="shared" si="18"/>
        <v>0.35054510455857901</v>
      </c>
    </row>
    <row r="440" spans="2:21" hidden="1" x14ac:dyDescent="0.25">
      <c r="B440" s="6" t="s">
        <v>127</v>
      </c>
      <c r="C440" s="15">
        <v>2182.33</v>
      </c>
      <c r="D440" s="16">
        <v>34.569000000000003</v>
      </c>
      <c r="E440" s="16">
        <v>40.572000000000003</v>
      </c>
      <c r="F440" s="16">
        <v>38.859000000000002</v>
      </c>
      <c r="G440" s="16">
        <v>188</v>
      </c>
      <c r="H440" s="16">
        <f t="shared" si="16"/>
        <v>35.855625000000003</v>
      </c>
      <c r="I440" s="5"/>
      <c r="J440" s="15">
        <v>1542.8198</v>
      </c>
      <c r="K440" s="16">
        <v>34.031599999999997</v>
      </c>
      <c r="L440" s="16">
        <v>39.8489</v>
      </c>
      <c r="M440" s="16">
        <v>37.948300000000003</v>
      </c>
      <c r="N440" s="16">
        <v>169.44210000000001</v>
      </c>
      <c r="O440" s="16">
        <f t="shared" si="17"/>
        <v>35.248350000000002</v>
      </c>
      <c r="P440" s="7"/>
      <c r="Q440" s="8">
        <f>bdrate(C440:C443,D440:D443,J440:J443,K440:K443)</f>
        <v>-0.37080057167875247</v>
      </c>
      <c r="R440" s="8">
        <f>bdrate(C440:C443,E440:E443,J440:J443,L440:L443)</f>
        <v>-3.0894817240579076E-2</v>
      </c>
      <c r="S440" s="8">
        <f>bdrate(C440:C443,F440:F443,J440:J443,M440:M443)</f>
        <v>0.1276892813783943</v>
      </c>
      <c r="T440" s="25">
        <f>bdrate(C440:C443,H440:H443,J440:J443,O440:O443)</f>
        <v>-0.32431808934191098</v>
      </c>
      <c r="U440" s="28">
        <f t="shared" si="18"/>
        <v>-9.8712234042553137E-2</v>
      </c>
    </row>
    <row r="441" spans="2:21" hidden="1" x14ac:dyDescent="0.25">
      <c r="B441" s="9"/>
      <c r="C441" s="17">
        <v>1459.01</v>
      </c>
      <c r="D441" s="18">
        <v>32.296999999999997</v>
      </c>
      <c r="E441" s="18">
        <v>39.511000000000003</v>
      </c>
      <c r="F441" s="18">
        <v>37.759</v>
      </c>
      <c r="G441" s="18">
        <v>204.33</v>
      </c>
      <c r="H441" s="18">
        <f t="shared" si="16"/>
        <v>33.881499999999996</v>
      </c>
      <c r="I441" s="5"/>
      <c r="J441" s="17">
        <v>1027.9593</v>
      </c>
      <c r="K441" s="18">
        <v>32.2483</v>
      </c>
      <c r="L441" s="18">
        <v>38.6297</v>
      </c>
      <c r="M441" s="18">
        <v>36.527799999999999</v>
      </c>
      <c r="N441" s="18">
        <v>194.9134</v>
      </c>
      <c r="O441" s="18">
        <f t="shared" si="17"/>
        <v>33.580912500000004</v>
      </c>
      <c r="P441" s="7"/>
      <c r="Q441" s="10"/>
      <c r="R441" s="11"/>
      <c r="S441" s="11"/>
      <c r="T441" s="26"/>
      <c r="U441" s="28">
        <f t="shared" si="18"/>
        <v>-4.6085254245583206E-2</v>
      </c>
    </row>
    <row r="442" spans="2:21" hidden="1" x14ac:dyDescent="0.25">
      <c r="B442" s="9"/>
      <c r="C442" s="17">
        <v>880.05</v>
      </c>
      <c r="D442" s="18">
        <v>29.408000000000001</v>
      </c>
      <c r="E442" s="18">
        <v>38.270000000000003</v>
      </c>
      <c r="F442" s="18">
        <v>36.526000000000003</v>
      </c>
      <c r="G442" s="18">
        <v>209.91</v>
      </c>
      <c r="H442" s="18">
        <f t="shared" si="16"/>
        <v>31.405500000000004</v>
      </c>
      <c r="I442" s="5"/>
      <c r="J442" s="17">
        <v>616.34450000000004</v>
      </c>
      <c r="K442" s="18">
        <v>30.225999999999999</v>
      </c>
      <c r="L442" s="18">
        <v>37.220999999999997</v>
      </c>
      <c r="M442" s="18">
        <v>34.844299999999997</v>
      </c>
      <c r="N442" s="18">
        <v>214.83959999999999</v>
      </c>
      <c r="O442" s="18">
        <f t="shared" si="17"/>
        <v>31.6776625</v>
      </c>
      <c r="P442" s="7"/>
      <c r="Q442" s="10"/>
      <c r="R442" s="11"/>
      <c r="S442" s="11"/>
      <c r="T442" s="26"/>
      <c r="U442" s="28">
        <f t="shared" si="18"/>
        <v>2.348435043590107E-2</v>
      </c>
    </row>
    <row r="443" spans="2:21" ht="16.5" hidden="1" thickBot="1" x14ac:dyDescent="0.3">
      <c r="B443" s="12"/>
      <c r="C443" s="19">
        <v>441.52</v>
      </c>
      <c r="D443" s="20">
        <v>24.879000000000001</v>
      </c>
      <c r="E443" s="20">
        <v>35.875</v>
      </c>
      <c r="F443" s="20">
        <v>33.973999999999997</v>
      </c>
      <c r="G443" s="20">
        <v>235.61</v>
      </c>
      <c r="H443" s="20">
        <f t="shared" si="16"/>
        <v>27.390374999999999</v>
      </c>
      <c r="I443" s="5"/>
      <c r="J443" s="19">
        <v>308.44889999999998</v>
      </c>
      <c r="K443" s="20">
        <v>27.860199999999999</v>
      </c>
      <c r="L443" s="20">
        <v>35.382100000000001</v>
      </c>
      <c r="M443" s="20">
        <v>32.602499999999999</v>
      </c>
      <c r="N443" s="20">
        <v>291.56549999999999</v>
      </c>
      <c r="O443" s="20">
        <f t="shared" si="17"/>
        <v>29.393225000000001</v>
      </c>
      <c r="P443" s="7"/>
      <c r="Q443" s="13"/>
      <c r="R443" s="14"/>
      <c r="S443" s="14"/>
      <c r="T443" s="27"/>
      <c r="U443" s="28">
        <f t="shared" si="18"/>
        <v>0.23749204193370388</v>
      </c>
    </row>
    <row r="444" spans="2:21" hidden="1" x14ac:dyDescent="0.25">
      <c r="B444" s="6" t="s">
        <v>128</v>
      </c>
      <c r="C444" s="15">
        <v>2148.88</v>
      </c>
      <c r="D444" s="16">
        <v>38.654000000000003</v>
      </c>
      <c r="E444" s="16">
        <v>45.683999999999997</v>
      </c>
      <c r="F444" s="16">
        <v>45.524999999999999</v>
      </c>
      <c r="G444" s="16">
        <v>177.55</v>
      </c>
      <c r="H444" s="16">
        <f t="shared" si="16"/>
        <v>40.391625000000005</v>
      </c>
      <c r="I444" s="5"/>
      <c r="J444" s="15">
        <v>1538.085</v>
      </c>
      <c r="K444" s="16">
        <v>39.306600000000003</v>
      </c>
      <c r="L444" s="16">
        <v>45.966500000000003</v>
      </c>
      <c r="M444" s="16">
        <v>45.754199999999997</v>
      </c>
      <c r="N444" s="16">
        <v>151.2945</v>
      </c>
      <c r="O444" s="16">
        <f t="shared" si="17"/>
        <v>40.945037499999998</v>
      </c>
      <c r="P444" s="7"/>
      <c r="Q444" s="8">
        <f>bdrate(C444:C447,D444:D447,J444:J447,K444:K447)</f>
        <v>-0.51334656968647185</v>
      </c>
      <c r="R444" s="8">
        <f>bdrate(C444:C447,E444:E447,J444:J447,L444:L447)</f>
        <v>-0.42852293548536124</v>
      </c>
      <c r="S444" s="8">
        <f>bdrate(C444:C447,F444:F447,J444:J447,M444:M447)</f>
        <v>-0.40155649853027031</v>
      </c>
      <c r="T444" s="25">
        <f>bdrate(C444:C447,H444:H447,J444:J447,O444:O447)</f>
        <v>-0.49657128805259787</v>
      </c>
      <c r="U444" s="28">
        <f t="shared" si="18"/>
        <v>-0.14787665446353146</v>
      </c>
    </row>
    <row r="445" spans="2:21" hidden="1" x14ac:dyDescent="0.25">
      <c r="B445" s="9"/>
      <c r="C445" s="17">
        <v>1433.86</v>
      </c>
      <c r="D445" s="18">
        <v>36.880000000000003</v>
      </c>
      <c r="E445" s="18">
        <v>44.448999999999998</v>
      </c>
      <c r="F445" s="18">
        <v>44.228999999999999</v>
      </c>
      <c r="G445" s="18">
        <v>196.37</v>
      </c>
      <c r="H445" s="18">
        <f t="shared" si="16"/>
        <v>38.744750000000003</v>
      </c>
      <c r="I445" s="5"/>
      <c r="J445" s="17">
        <v>1024.8299</v>
      </c>
      <c r="K445" s="18">
        <v>38.024700000000003</v>
      </c>
      <c r="L445" s="18">
        <v>44.920299999999997</v>
      </c>
      <c r="M445" s="18">
        <v>44.649099999999997</v>
      </c>
      <c r="N445" s="18">
        <v>179.91149999999999</v>
      </c>
      <c r="O445" s="18">
        <f t="shared" si="17"/>
        <v>39.714700000000001</v>
      </c>
      <c r="P445" s="7"/>
      <c r="Q445" s="10"/>
      <c r="R445" s="11"/>
      <c r="S445" s="11"/>
      <c r="T445" s="26"/>
      <c r="U445" s="28">
        <f t="shared" si="18"/>
        <v>-8.3813718999847298E-2</v>
      </c>
    </row>
    <row r="446" spans="2:21" hidden="1" x14ac:dyDescent="0.25">
      <c r="B446" s="9"/>
      <c r="C446" s="17">
        <v>862.83</v>
      </c>
      <c r="D446" s="18">
        <v>34.247</v>
      </c>
      <c r="E446" s="18">
        <v>42.773000000000003</v>
      </c>
      <c r="F446" s="18">
        <v>42.536999999999999</v>
      </c>
      <c r="G446" s="18">
        <v>207.71</v>
      </c>
      <c r="H446" s="18">
        <f t="shared" si="16"/>
        <v>36.348999999999997</v>
      </c>
      <c r="I446" s="5"/>
      <c r="J446" s="17">
        <v>614.26599999999996</v>
      </c>
      <c r="K446" s="18">
        <v>36.210099999999997</v>
      </c>
      <c r="L446" s="18">
        <v>43.543199999999999</v>
      </c>
      <c r="M446" s="18">
        <v>43.1586</v>
      </c>
      <c r="N446" s="18">
        <v>207.0187</v>
      </c>
      <c r="O446" s="18">
        <f t="shared" si="17"/>
        <v>37.995299999999993</v>
      </c>
      <c r="P446" s="7"/>
      <c r="Q446" s="10"/>
      <c r="R446" s="11"/>
      <c r="S446" s="11"/>
      <c r="T446" s="26"/>
      <c r="U446" s="28">
        <f t="shared" si="18"/>
        <v>-3.3281979683212771E-3</v>
      </c>
    </row>
    <row r="447" spans="2:21" ht="16.5" hidden="1" thickBot="1" x14ac:dyDescent="0.3">
      <c r="B447" s="12"/>
      <c r="C447" s="19">
        <v>438.3</v>
      </c>
      <c r="D447" s="20">
        <v>29.593</v>
      </c>
      <c r="E447" s="20">
        <v>40.343000000000004</v>
      </c>
      <c r="F447" s="20">
        <v>40.122</v>
      </c>
      <c r="G447" s="20">
        <v>217.11</v>
      </c>
      <c r="H447" s="20">
        <f t="shared" si="16"/>
        <v>32.252875000000003</v>
      </c>
      <c r="I447" s="5"/>
      <c r="J447" s="19">
        <v>306.23869999999999</v>
      </c>
      <c r="K447" s="20">
        <v>33.3611</v>
      </c>
      <c r="L447" s="20">
        <v>41.4129</v>
      </c>
      <c r="M447" s="20">
        <v>40.912599999999998</v>
      </c>
      <c r="N447" s="20">
        <v>282.05130000000003</v>
      </c>
      <c r="O447" s="20">
        <f t="shared" si="17"/>
        <v>35.311512500000006</v>
      </c>
      <c r="P447" s="7"/>
      <c r="Q447" s="13"/>
      <c r="R447" s="14"/>
      <c r="S447" s="14"/>
      <c r="T447" s="27"/>
      <c r="U447" s="28">
        <f t="shared" si="18"/>
        <v>0.29911703744645574</v>
      </c>
    </row>
    <row r="448" spans="2:21" hidden="1" x14ac:dyDescent="0.25">
      <c r="B448" s="6" t="s">
        <v>129</v>
      </c>
      <c r="C448" s="29">
        <v>2099.79</v>
      </c>
      <c r="D448" s="30">
        <v>45.902000000000001</v>
      </c>
      <c r="E448" s="30">
        <v>51.249000000000002</v>
      </c>
      <c r="F448" s="30">
        <v>51.106999999999999</v>
      </c>
      <c r="G448" s="16">
        <v>143.9</v>
      </c>
      <c r="H448" s="16">
        <f t="shared" si="16"/>
        <v>47.221000000000004</v>
      </c>
      <c r="I448" s="5"/>
      <c r="J448" s="29">
        <v>1534.5637999999999</v>
      </c>
      <c r="K448" s="30">
        <v>46.380299999999998</v>
      </c>
      <c r="L448" s="30">
        <v>50.856200000000001</v>
      </c>
      <c r="M448" s="30">
        <v>50.668799999999997</v>
      </c>
      <c r="N448" s="16">
        <v>162.63740000000001</v>
      </c>
      <c r="O448" s="16">
        <f t="shared" si="17"/>
        <v>47.475849999999994</v>
      </c>
      <c r="P448" s="7"/>
      <c r="Q448" s="8">
        <f>bdrate(C448:C451,D448:D451,J448:J451,K448:K451)</f>
        <v>-0.52934031444691765</v>
      </c>
      <c r="R448" s="8">
        <f>bdrate(C448:C451,E448:E451,J448:J451,L448:L451)</f>
        <v>-0.27444078987159692</v>
      </c>
      <c r="S448" s="8">
        <f>bdrate(C448:C451,F448:F451,J448:J451,M448:M451)</f>
        <v>-0.22427485002304837</v>
      </c>
      <c r="T448" s="25">
        <f>bdrate(C448:C451,H448:H451,J448:J451,O448:O451)</f>
        <v>-0.48271395501238534</v>
      </c>
      <c r="U448" s="28">
        <f t="shared" si="18"/>
        <v>0.13021125781792917</v>
      </c>
    </row>
    <row r="449" spans="1:21" hidden="1" x14ac:dyDescent="0.25">
      <c r="B449" s="9"/>
      <c r="C449" s="31">
        <v>1398.66</v>
      </c>
      <c r="D449" s="32">
        <v>44.936</v>
      </c>
      <c r="E449" s="32">
        <v>50.558</v>
      </c>
      <c r="F449" s="32">
        <v>50.493000000000002</v>
      </c>
      <c r="G449" s="18">
        <v>198.47</v>
      </c>
      <c r="H449" s="18">
        <f t="shared" si="16"/>
        <v>46.333374999999997</v>
      </c>
      <c r="I449" s="5"/>
      <c r="J449" s="31">
        <v>1019.9594</v>
      </c>
      <c r="K449" s="32">
        <v>45.658999999999999</v>
      </c>
      <c r="L449" s="32">
        <v>50.234000000000002</v>
      </c>
      <c r="M449" s="32">
        <v>50.142299999999999</v>
      </c>
      <c r="N449" s="18">
        <v>201.96100000000001</v>
      </c>
      <c r="O449" s="18">
        <f t="shared" si="17"/>
        <v>46.791287499999996</v>
      </c>
      <c r="P449" s="7"/>
      <c r="Q449" s="10"/>
      <c r="R449" s="11"/>
      <c r="S449" s="11"/>
      <c r="T449" s="26"/>
      <c r="U449" s="28">
        <f t="shared" si="18"/>
        <v>1.7589560135033072E-2</v>
      </c>
    </row>
    <row r="450" spans="1:21" hidden="1" x14ac:dyDescent="0.25">
      <c r="B450" s="9"/>
      <c r="C450" s="31">
        <v>842.74</v>
      </c>
      <c r="D450" s="32">
        <v>43.395000000000003</v>
      </c>
      <c r="E450" s="32">
        <v>49.411000000000001</v>
      </c>
      <c r="F450" s="32">
        <v>49.59</v>
      </c>
      <c r="G450" s="18">
        <v>220.07</v>
      </c>
      <c r="H450" s="18">
        <f t="shared" si="16"/>
        <v>44.921374999999998</v>
      </c>
      <c r="I450" s="5"/>
      <c r="J450" s="31">
        <v>606.09119999999996</v>
      </c>
      <c r="K450" s="32">
        <v>44.654600000000002</v>
      </c>
      <c r="L450" s="32">
        <v>49.4223</v>
      </c>
      <c r="M450" s="32">
        <v>49.4559</v>
      </c>
      <c r="N450" s="18">
        <v>245.84719999999999</v>
      </c>
      <c r="O450" s="18">
        <f t="shared" si="17"/>
        <v>45.850724999999997</v>
      </c>
      <c r="P450" s="7"/>
      <c r="Q450" s="10"/>
      <c r="R450" s="11"/>
      <c r="S450" s="11"/>
      <c r="T450" s="26"/>
      <c r="U450" s="28">
        <f t="shared" si="18"/>
        <v>0.11713182169309762</v>
      </c>
    </row>
    <row r="451" spans="1:21" ht="16.5" hidden="1" thickBot="1" x14ac:dyDescent="0.3">
      <c r="B451" s="12"/>
      <c r="C451" s="33">
        <v>424.04</v>
      </c>
      <c r="D451" s="34">
        <v>40.344999999999999</v>
      </c>
      <c r="E451" s="34">
        <v>47.292999999999999</v>
      </c>
      <c r="F451" s="34">
        <v>47.875</v>
      </c>
      <c r="G451" s="20">
        <v>233.66</v>
      </c>
      <c r="H451" s="20">
        <f t="shared" si="16"/>
        <v>42.15475</v>
      </c>
      <c r="I451" s="5"/>
      <c r="J451" s="33">
        <v>293.65190000000001</v>
      </c>
      <c r="K451" s="34">
        <v>42.763300000000001</v>
      </c>
      <c r="L451" s="34">
        <v>48.125</v>
      </c>
      <c r="M451" s="34">
        <v>48.5334</v>
      </c>
      <c r="N451" s="20">
        <v>303.46289999999999</v>
      </c>
      <c r="O451" s="20">
        <f t="shared" si="17"/>
        <v>44.154775000000001</v>
      </c>
      <c r="P451" s="7"/>
      <c r="Q451" s="13"/>
      <c r="R451" s="14"/>
      <c r="S451" s="14"/>
      <c r="T451" s="27"/>
      <c r="U451" s="28">
        <f t="shared" si="18"/>
        <v>0.29873705383891119</v>
      </c>
    </row>
    <row r="452" spans="1:21" hidden="1" x14ac:dyDescent="0.25">
      <c r="A452" s="6" t="s">
        <v>100</v>
      </c>
      <c r="B452" s="6" t="s">
        <v>77</v>
      </c>
      <c r="C452" s="15">
        <v>977.23</v>
      </c>
      <c r="D452" s="16">
        <v>39.695999999999998</v>
      </c>
      <c r="E452" s="16">
        <v>44.029000000000003</v>
      </c>
      <c r="F452" s="16">
        <v>44.527000000000001</v>
      </c>
      <c r="G452" s="16">
        <v>732.6</v>
      </c>
      <c r="H452" s="16">
        <f t="shared" si="16"/>
        <v>40.841499999999996</v>
      </c>
      <c r="I452" s="5"/>
      <c r="J452" s="15">
        <v>825.8442</v>
      </c>
      <c r="K452" s="16">
        <v>40.653799999999997</v>
      </c>
      <c r="L452" s="16">
        <v>44.698700000000002</v>
      </c>
      <c r="M452" s="16">
        <v>45.164299999999997</v>
      </c>
      <c r="N452" s="16">
        <v>388.7269</v>
      </c>
      <c r="O452" s="16">
        <f t="shared" si="17"/>
        <v>41.723224999999999</v>
      </c>
      <c r="P452" s="7"/>
      <c r="Q452" s="8">
        <f>bdrate(C452:C455,D452:D455,J452:J455,K452:K455)</f>
        <v>-0.3724830963626361</v>
      </c>
      <c r="R452" s="8">
        <f>bdrate(C452:C455,E452:E455,J452:J455,L452:L455)</f>
        <v>-0.24815623374223783</v>
      </c>
      <c r="S452" s="8">
        <f>bdrate(C452:C455,F452:F455,J452:J455,M452:M455)</f>
        <v>-0.23343991538920161</v>
      </c>
      <c r="T452" s="25">
        <f>bdrate(C452:C455,H452:H455,J452:J455,O452:O455)</f>
        <v>-0.35177612101768807</v>
      </c>
      <c r="U452" s="28">
        <f t="shared" si="18"/>
        <v>-0.46938725088725092</v>
      </c>
    </row>
    <row r="453" spans="1:21" hidden="1" x14ac:dyDescent="0.25">
      <c r="A453" s="9"/>
      <c r="B453" s="9"/>
      <c r="C453" s="17">
        <v>611.76</v>
      </c>
      <c r="D453" s="18">
        <v>37.491999999999997</v>
      </c>
      <c r="E453" s="18">
        <v>42.356999999999999</v>
      </c>
      <c r="F453" s="18">
        <v>42.805</v>
      </c>
      <c r="G453" s="18">
        <v>854.7</v>
      </c>
      <c r="H453" s="18">
        <f t="shared" si="16"/>
        <v>38.764249999999997</v>
      </c>
      <c r="I453" s="5"/>
      <c r="J453" s="17">
        <v>516.07799999999997</v>
      </c>
      <c r="K453" s="18">
        <v>38.658999999999999</v>
      </c>
      <c r="L453" s="18">
        <v>42.957500000000003</v>
      </c>
      <c r="M453" s="18">
        <v>43.367400000000004</v>
      </c>
      <c r="N453" s="18">
        <v>466.20049999999998</v>
      </c>
      <c r="O453" s="18">
        <f t="shared" si="17"/>
        <v>39.784862500000003</v>
      </c>
      <c r="P453" s="7"/>
      <c r="Q453" s="10"/>
      <c r="R453" s="11"/>
      <c r="S453" s="11"/>
      <c r="T453" s="26"/>
      <c r="U453" s="28">
        <f t="shared" si="18"/>
        <v>-0.45454486954486961</v>
      </c>
    </row>
    <row r="454" spans="1:21" hidden="1" x14ac:dyDescent="0.25">
      <c r="B454" s="9"/>
      <c r="C454" s="17">
        <v>368.08</v>
      </c>
      <c r="D454" s="18">
        <v>34.94</v>
      </c>
      <c r="E454" s="18">
        <v>40.832999999999998</v>
      </c>
      <c r="F454" s="18">
        <v>41.255000000000003</v>
      </c>
      <c r="G454" s="18">
        <v>987.65</v>
      </c>
      <c r="H454" s="18">
        <f t="shared" si="16"/>
        <v>36.466000000000001</v>
      </c>
      <c r="I454" s="5"/>
      <c r="J454" s="17">
        <v>310.01100000000002</v>
      </c>
      <c r="K454" s="18">
        <v>36.439300000000003</v>
      </c>
      <c r="L454" s="18">
        <v>41.130499999999998</v>
      </c>
      <c r="M454" s="18">
        <v>41.500300000000003</v>
      </c>
      <c r="N454" s="18">
        <v>557.88009999999997</v>
      </c>
      <c r="O454" s="18">
        <f t="shared" si="17"/>
        <v>37.658324999999998</v>
      </c>
      <c r="P454" s="7"/>
      <c r="Q454" s="10"/>
      <c r="R454" s="11"/>
      <c r="S454" s="11"/>
      <c r="T454" s="26"/>
      <c r="U454" s="28">
        <f t="shared" si="18"/>
        <v>-0.43514392750468284</v>
      </c>
    </row>
    <row r="455" spans="1:21" ht="16.5" hidden="1" thickBot="1" x14ac:dyDescent="0.3">
      <c r="B455" s="12"/>
      <c r="C455" s="19">
        <v>184.13</v>
      </c>
      <c r="D455" s="20">
        <v>30.869</v>
      </c>
      <c r="E455" s="20">
        <v>39.116999999999997</v>
      </c>
      <c r="F455" s="20">
        <v>39.488</v>
      </c>
      <c r="G455" s="20">
        <v>1069.52</v>
      </c>
      <c r="H455" s="20">
        <f t="shared" si="16"/>
        <v>32.977374999999995</v>
      </c>
      <c r="I455" s="5"/>
      <c r="J455" s="19">
        <v>154.89420000000001</v>
      </c>
      <c r="K455" s="20">
        <v>33.172800000000002</v>
      </c>
      <c r="L455" s="20">
        <v>39.060400000000001</v>
      </c>
      <c r="M455" s="20">
        <v>39.3125</v>
      </c>
      <c r="N455" s="20">
        <v>732.60069999999996</v>
      </c>
      <c r="O455" s="20">
        <f t="shared" si="17"/>
        <v>34.676212500000005</v>
      </c>
      <c r="P455" s="7"/>
      <c r="Q455" s="13"/>
      <c r="R455" s="14"/>
      <c r="S455" s="14"/>
      <c r="T455" s="27"/>
      <c r="U455" s="28">
        <f t="shared" si="18"/>
        <v>-0.31501916747699904</v>
      </c>
    </row>
    <row r="456" spans="1:21" hidden="1" x14ac:dyDescent="0.25">
      <c r="B456" s="6" t="s">
        <v>78</v>
      </c>
      <c r="C456" s="15">
        <v>1022.03</v>
      </c>
      <c r="D456" s="16">
        <v>42.252000000000002</v>
      </c>
      <c r="E456" s="16">
        <v>46.369</v>
      </c>
      <c r="F456" s="16">
        <v>47.081000000000003</v>
      </c>
      <c r="G456" s="16">
        <v>884.96</v>
      </c>
      <c r="H456" s="16">
        <f t="shared" si="16"/>
        <v>43.370249999999999</v>
      </c>
      <c r="I456" s="5"/>
      <c r="J456" s="15">
        <v>854.53679999999997</v>
      </c>
      <c r="K456" s="16">
        <v>42.677599999999998</v>
      </c>
      <c r="L456" s="16">
        <v>47.436700000000002</v>
      </c>
      <c r="M456" s="16">
        <v>48.020899999999997</v>
      </c>
      <c r="N456" s="16">
        <v>503.1447</v>
      </c>
      <c r="O456" s="16">
        <f t="shared" si="17"/>
        <v>43.940399999999997</v>
      </c>
      <c r="P456" s="7"/>
      <c r="Q456" s="8">
        <f>bdrate(C456:C459,D456:D459,J456:J459,K456:K459)</f>
        <v>-0.30846136519517953</v>
      </c>
      <c r="R456" s="8">
        <f>bdrate(C456:C459,E456:E459,J456:J459,L456:L459)</f>
        <v>-0.40595356651551129</v>
      </c>
      <c r="S456" s="8">
        <f>bdrate(C456:C459,F456:F459,J456:J459,M456:M459)</f>
        <v>-0.39495709645213539</v>
      </c>
      <c r="T456" s="25">
        <f>bdrate(C456:C459,H456:H459,J456:J459,O456:O459)</f>
        <v>-0.33040801777680417</v>
      </c>
      <c r="U456" s="28">
        <f t="shared" si="18"/>
        <v>-0.43144921804375341</v>
      </c>
    </row>
    <row r="457" spans="1:21" hidden="1" x14ac:dyDescent="0.25">
      <c r="B457" s="9"/>
      <c r="C457" s="17">
        <v>636.52</v>
      </c>
      <c r="D457" s="18">
        <v>40.713999999999999</v>
      </c>
      <c r="E457" s="18">
        <v>44.896999999999998</v>
      </c>
      <c r="F457" s="18">
        <v>45.798000000000002</v>
      </c>
      <c r="G457" s="18">
        <v>1069.52</v>
      </c>
      <c r="H457" s="18">
        <f t="shared" si="16"/>
        <v>41.872374999999998</v>
      </c>
      <c r="I457" s="5"/>
      <c r="J457" s="17">
        <v>537.45060000000001</v>
      </c>
      <c r="K457" s="18">
        <v>41.272799999999997</v>
      </c>
      <c r="L457" s="18">
        <v>46.134</v>
      </c>
      <c r="M457" s="18">
        <v>46.844900000000003</v>
      </c>
      <c r="N457" s="18">
        <v>583.09040000000005</v>
      </c>
      <c r="O457" s="18">
        <f t="shared" si="17"/>
        <v>42.5769625</v>
      </c>
      <c r="P457" s="7"/>
      <c r="Q457" s="10"/>
      <c r="R457" s="11"/>
      <c r="S457" s="11"/>
      <c r="T457" s="26"/>
      <c r="U457" s="28">
        <f t="shared" si="18"/>
        <v>-0.45481113022664366</v>
      </c>
    </row>
    <row r="458" spans="1:21" hidden="1" x14ac:dyDescent="0.25">
      <c r="B458" s="9"/>
      <c r="C458" s="17">
        <v>378.21</v>
      </c>
      <c r="D458" s="18">
        <v>38.625999999999998</v>
      </c>
      <c r="E458" s="18">
        <v>43.201999999999998</v>
      </c>
      <c r="F458" s="18">
        <v>44.121000000000002</v>
      </c>
      <c r="G458" s="18">
        <v>1166.18</v>
      </c>
      <c r="H458" s="18">
        <f t="shared" si="16"/>
        <v>39.884874999999994</v>
      </c>
      <c r="I458" s="5"/>
      <c r="J458" s="17">
        <v>321.786</v>
      </c>
      <c r="K458" s="18">
        <v>39.466200000000001</v>
      </c>
      <c r="L458" s="18">
        <v>44.365900000000003</v>
      </c>
      <c r="M458" s="18">
        <v>45.25</v>
      </c>
      <c r="N458" s="18">
        <v>751.87969999999996</v>
      </c>
      <c r="O458" s="18">
        <f t="shared" si="17"/>
        <v>40.801637499999998</v>
      </c>
      <c r="P458" s="7"/>
      <c r="Q458" s="10"/>
      <c r="R458" s="11"/>
      <c r="S458" s="11"/>
      <c r="T458" s="26"/>
      <c r="U458" s="28">
        <f t="shared" si="18"/>
        <v>-0.35526273817077986</v>
      </c>
    </row>
    <row r="459" spans="1:21" ht="16.5" hidden="1" thickBot="1" x14ac:dyDescent="0.3">
      <c r="B459" s="12"/>
      <c r="C459" s="19">
        <v>188.17</v>
      </c>
      <c r="D459" s="20">
        <v>35.375</v>
      </c>
      <c r="E459" s="20">
        <v>41.036999999999999</v>
      </c>
      <c r="F459" s="20">
        <v>42.000999999999998</v>
      </c>
      <c r="G459" s="20">
        <v>1282.05</v>
      </c>
      <c r="H459" s="20">
        <f t="shared" si="16"/>
        <v>36.911000000000001</v>
      </c>
      <c r="I459" s="5"/>
      <c r="J459" s="19">
        <v>155.5926</v>
      </c>
      <c r="K459" s="20">
        <v>36.585000000000001</v>
      </c>
      <c r="L459" s="20">
        <v>41.909700000000001</v>
      </c>
      <c r="M459" s="20">
        <v>42.7134</v>
      </c>
      <c r="N459" s="20">
        <v>852.87850000000003</v>
      </c>
      <c r="O459" s="20">
        <f t="shared" si="17"/>
        <v>38.016637499999995</v>
      </c>
      <c r="P459" s="7"/>
      <c r="Q459" s="13"/>
      <c r="R459" s="14"/>
      <c r="S459" s="14"/>
      <c r="T459" s="27"/>
      <c r="U459" s="28">
        <f t="shared" si="18"/>
        <v>-0.33475410475410472</v>
      </c>
    </row>
    <row r="460" spans="1:21" hidden="1" x14ac:dyDescent="0.25">
      <c r="B460" s="6" t="s">
        <v>79</v>
      </c>
      <c r="C460" s="15">
        <v>1294.46</v>
      </c>
      <c r="D460" s="16">
        <v>40.576999999999998</v>
      </c>
      <c r="E460" s="16">
        <v>46.917000000000002</v>
      </c>
      <c r="F460" s="16">
        <v>46.732999999999997</v>
      </c>
      <c r="G460" s="16">
        <v>643.52</v>
      </c>
      <c r="H460" s="16">
        <f t="shared" si="16"/>
        <v>42.139000000000003</v>
      </c>
      <c r="I460" s="5"/>
      <c r="J460" s="15">
        <v>1027.0974000000001</v>
      </c>
      <c r="K460" s="16">
        <v>41.127000000000002</v>
      </c>
      <c r="L460" s="16">
        <v>47.6374</v>
      </c>
      <c r="M460" s="16">
        <v>47.2849</v>
      </c>
      <c r="N460" s="16">
        <v>444.64940000000001</v>
      </c>
      <c r="O460" s="16">
        <f t="shared" si="17"/>
        <v>42.710537500000001</v>
      </c>
      <c r="P460" s="7"/>
      <c r="Q460" s="8">
        <f>bdrate(C460:C463,D460:D463,J460:J463,K460:K463)</f>
        <v>-0.38437502521835765</v>
      </c>
      <c r="R460" s="8">
        <f>bdrate(C460:C463,E460:E463,J460:J463,L460:L463)</f>
        <v>-0.38291807500413899</v>
      </c>
      <c r="S460" s="8">
        <f>bdrate(C460:C463,F460:F463,J460:J463,M460:M463)</f>
        <v>-0.40562021521189218</v>
      </c>
      <c r="T460" s="25">
        <f>bdrate(C460:C463,H460:H463,J460:J463,O460:O463)</f>
        <v>-0.38678797516828833</v>
      </c>
      <c r="U460" s="28">
        <f t="shared" si="18"/>
        <v>-0.30903561660865236</v>
      </c>
    </row>
    <row r="461" spans="1:21" hidden="1" x14ac:dyDescent="0.25">
      <c r="B461" s="9"/>
      <c r="C461" s="17">
        <v>774.73</v>
      </c>
      <c r="D461" s="18">
        <v>39.561999999999998</v>
      </c>
      <c r="E461" s="18">
        <v>46.390999999999998</v>
      </c>
      <c r="F461" s="18">
        <v>46.232999999999997</v>
      </c>
      <c r="G461" s="18">
        <v>694.52</v>
      </c>
      <c r="H461" s="18">
        <f t="shared" si="16"/>
        <v>41.249499999999998</v>
      </c>
      <c r="I461" s="5"/>
      <c r="J461" s="17">
        <v>608.62530000000004</v>
      </c>
      <c r="K461" s="18">
        <v>40.148299999999999</v>
      </c>
      <c r="L461" s="18">
        <v>46.882300000000001</v>
      </c>
      <c r="M461" s="18">
        <v>46.625100000000003</v>
      </c>
      <c r="N461" s="18">
        <v>532.59670000000006</v>
      </c>
      <c r="O461" s="18">
        <f t="shared" si="17"/>
        <v>41.79965</v>
      </c>
      <c r="P461" s="7"/>
      <c r="Q461" s="10"/>
      <c r="R461" s="11"/>
      <c r="S461" s="11"/>
      <c r="T461" s="26"/>
      <c r="U461" s="28">
        <f t="shared" si="18"/>
        <v>-0.2331441859125726</v>
      </c>
    </row>
    <row r="462" spans="1:21" hidden="1" x14ac:dyDescent="0.25">
      <c r="B462" s="9"/>
      <c r="C462" s="17">
        <v>515.69000000000005</v>
      </c>
      <c r="D462" s="18">
        <v>38.539000000000001</v>
      </c>
      <c r="E462" s="18">
        <v>45.767000000000003</v>
      </c>
      <c r="F462" s="18">
        <v>45.698999999999998</v>
      </c>
      <c r="G462" s="18">
        <v>792.76</v>
      </c>
      <c r="H462" s="18">
        <f t="shared" si="16"/>
        <v>40.337500000000006</v>
      </c>
      <c r="I462" s="5"/>
      <c r="J462" s="17">
        <v>410.09480000000002</v>
      </c>
      <c r="K462" s="18">
        <v>39.234000000000002</v>
      </c>
      <c r="L462" s="18">
        <v>46.239100000000001</v>
      </c>
      <c r="M462" s="18">
        <v>46.148200000000003</v>
      </c>
      <c r="N462" s="18">
        <v>593.96180000000004</v>
      </c>
      <c r="O462" s="18">
        <f t="shared" si="17"/>
        <v>40.973912499999997</v>
      </c>
      <c r="P462" s="7"/>
      <c r="Q462" s="10"/>
      <c r="R462" s="11"/>
      <c r="S462" s="11"/>
      <c r="T462" s="26"/>
      <c r="U462" s="28">
        <f t="shared" si="18"/>
        <v>-0.25076719309753259</v>
      </c>
    </row>
    <row r="463" spans="1:21" ht="16.5" hidden="1" thickBot="1" x14ac:dyDescent="0.3">
      <c r="B463" s="12"/>
      <c r="C463" s="19">
        <v>257.02</v>
      </c>
      <c r="D463" s="20">
        <v>35.914000000000001</v>
      </c>
      <c r="E463" s="20">
        <v>44.323999999999998</v>
      </c>
      <c r="F463" s="20">
        <v>44.302</v>
      </c>
      <c r="G463" s="20">
        <v>858.41</v>
      </c>
      <c r="H463" s="20">
        <f t="shared" si="16"/>
        <v>38.013750000000002</v>
      </c>
      <c r="I463" s="5"/>
      <c r="J463" s="19">
        <v>202.4709</v>
      </c>
      <c r="K463" s="20">
        <v>36.852200000000003</v>
      </c>
      <c r="L463" s="20">
        <v>44.586300000000001</v>
      </c>
      <c r="M463" s="20">
        <v>44.722999999999999</v>
      </c>
      <c r="N463" s="20">
        <v>744.40150000000006</v>
      </c>
      <c r="O463" s="20">
        <f t="shared" si="17"/>
        <v>38.802812500000002</v>
      </c>
      <c r="P463" s="7"/>
      <c r="Q463" s="13"/>
      <c r="R463" s="14"/>
      <c r="S463" s="14"/>
      <c r="T463" s="27"/>
      <c r="U463" s="28">
        <f t="shared" si="18"/>
        <v>-0.13281357393320198</v>
      </c>
    </row>
    <row r="464" spans="1:21" hidden="1" x14ac:dyDescent="0.25">
      <c r="B464" s="6" t="s">
        <v>80</v>
      </c>
      <c r="C464" s="15">
        <v>1295.19</v>
      </c>
      <c r="D464" s="16">
        <v>38.9</v>
      </c>
      <c r="E464" s="16">
        <v>46.070999999999998</v>
      </c>
      <c r="F464" s="16">
        <v>45.866</v>
      </c>
      <c r="G464" s="16">
        <v>443.46</v>
      </c>
      <c r="H464" s="16">
        <f t="shared" si="16"/>
        <v>40.667124999999999</v>
      </c>
      <c r="I464" s="5"/>
      <c r="J464" s="15">
        <v>1026.2056</v>
      </c>
      <c r="K464" s="16">
        <v>39.808500000000002</v>
      </c>
      <c r="L464" s="16">
        <v>46.206099999999999</v>
      </c>
      <c r="M464" s="16">
        <v>46.040300000000002</v>
      </c>
      <c r="N464" s="16">
        <v>318.96550000000002</v>
      </c>
      <c r="O464" s="16">
        <f t="shared" si="17"/>
        <v>41.387174999999999</v>
      </c>
      <c r="P464" s="7"/>
      <c r="Q464" s="8">
        <f>bdrate(C464:C467,D464:D467,J464:J467,K464:K467)</f>
        <v>-0.45120388641661269</v>
      </c>
      <c r="R464" s="8">
        <f>bdrate(C464:C467,E464:E467,J464:J467,L464:L467)</f>
        <v>-0.35658028415833076</v>
      </c>
      <c r="S464" s="8">
        <f>bdrate(C464:C467,F464:F467,J464:J467,M464:M467)</f>
        <v>-0.35134286031555317</v>
      </c>
      <c r="T464" s="25">
        <f>bdrate(C464:C467,H464:H467,J464:J467,O464:O467)</f>
        <v>-0.43688430774425591</v>
      </c>
      <c r="U464" s="28">
        <f t="shared" si="18"/>
        <v>-0.28073445181076073</v>
      </c>
    </row>
    <row r="465" spans="2:21" hidden="1" x14ac:dyDescent="0.25">
      <c r="B465" s="9"/>
      <c r="C465" s="17">
        <v>772.89</v>
      </c>
      <c r="D465" s="18">
        <v>36.828000000000003</v>
      </c>
      <c r="E465" s="18">
        <v>44.808</v>
      </c>
      <c r="F465" s="18">
        <v>44.674999999999997</v>
      </c>
      <c r="G465" s="18">
        <v>509.89</v>
      </c>
      <c r="H465" s="18">
        <f t="shared" si="16"/>
        <v>38.806375000000003</v>
      </c>
      <c r="I465" s="5"/>
      <c r="J465" s="17">
        <v>614.04780000000005</v>
      </c>
      <c r="K465" s="18">
        <v>38.091999999999999</v>
      </c>
      <c r="L465" s="18">
        <v>45.204500000000003</v>
      </c>
      <c r="M465" s="18">
        <v>45.1203</v>
      </c>
      <c r="N465" s="18">
        <v>384.02530000000002</v>
      </c>
      <c r="O465" s="18">
        <f t="shared" si="17"/>
        <v>39.8596</v>
      </c>
      <c r="P465" s="7"/>
      <c r="Q465" s="10"/>
      <c r="R465" s="11"/>
      <c r="S465" s="11"/>
      <c r="T465" s="26"/>
      <c r="U465" s="28">
        <f t="shared" si="18"/>
        <v>-0.24684677087214885</v>
      </c>
    </row>
    <row r="466" spans="2:21" hidden="1" x14ac:dyDescent="0.25">
      <c r="B466" s="9"/>
      <c r="C466" s="17">
        <v>511.59</v>
      </c>
      <c r="D466" s="18">
        <v>34.984000000000002</v>
      </c>
      <c r="E466" s="18">
        <v>43.720999999999997</v>
      </c>
      <c r="F466" s="18">
        <v>43.726999999999997</v>
      </c>
      <c r="G466" s="18">
        <v>574.22</v>
      </c>
      <c r="H466" s="18">
        <f t="shared" si="16"/>
        <v>37.168999999999997</v>
      </c>
      <c r="I466" s="5"/>
      <c r="J466" s="17">
        <v>409.5412</v>
      </c>
      <c r="K466" s="18">
        <v>36.6402</v>
      </c>
      <c r="L466" s="18">
        <v>44.286200000000001</v>
      </c>
      <c r="M466" s="18">
        <v>44.1813</v>
      </c>
      <c r="N466" s="18">
        <v>454.59399999999999</v>
      </c>
      <c r="O466" s="18">
        <f t="shared" si="17"/>
        <v>38.538587500000006</v>
      </c>
      <c r="P466" s="7"/>
      <c r="Q466" s="10"/>
      <c r="R466" s="11"/>
      <c r="S466" s="11"/>
      <c r="T466" s="26"/>
      <c r="U466" s="28">
        <f t="shared" si="18"/>
        <v>-0.20832781860610922</v>
      </c>
    </row>
    <row r="467" spans="2:21" ht="16.5" hidden="1" thickBot="1" x14ac:dyDescent="0.3">
      <c r="B467" s="12"/>
      <c r="C467" s="19">
        <v>253.8</v>
      </c>
      <c r="D467" s="20">
        <v>31.460999999999999</v>
      </c>
      <c r="E467" s="20">
        <v>41.857999999999997</v>
      </c>
      <c r="F467" s="20">
        <v>42.058999999999997</v>
      </c>
      <c r="G467" s="20">
        <v>613.11</v>
      </c>
      <c r="H467" s="20">
        <f t="shared" si="16"/>
        <v>34.085374999999999</v>
      </c>
      <c r="I467" s="5"/>
      <c r="J467" s="19">
        <v>203.7259</v>
      </c>
      <c r="K467" s="20">
        <v>33.872500000000002</v>
      </c>
      <c r="L467" s="20">
        <v>42.944600000000001</v>
      </c>
      <c r="M467" s="20">
        <v>42.811300000000003</v>
      </c>
      <c r="N467" s="20">
        <v>574.22400000000005</v>
      </c>
      <c r="O467" s="20">
        <f t="shared" si="17"/>
        <v>36.123862500000001</v>
      </c>
      <c r="P467" s="7"/>
      <c r="Q467" s="13"/>
      <c r="R467" s="14"/>
      <c r="S467" s="14"/>
      <c r="T467" s="27"/>
      <c r="U467" s="28">
        <f t="shared" si="18"/>
        <v>-6.342418163135484E-2</v>
      </c>
    </row>
    <row r="468" spans="2:21" hidden="1" x14ac:dyDescent="0.25">
      <c r="B468" s="6" t="s">
        <v>81</v>
      </c>
      <c r="C468" s="15">
        <v>1477.84</v>
      </c>
      <c r="D468" s="16">
        <v>42.07</v>
      </c>
      <c r="E468" s="16">
        <v>43.8</v>
      </c>
      <c r="F468" s="16">
        <v>44.198999999999998</v>
      </c>
      <c r="G468" s="16">
        <v>572.74</v>
      </c>
      <c r="H468" s="16">
        <f t="shared" si="16"/>
        <v>42.552375000000005</v>
      </c>
      <c r="I468" s="5"/>
      <c r="J468" s="15">
        <v>1030.6912</v>
      </c>
      <c r="K468" s="16">
        <v>41.803699999999999</v>
      </c>
      <c r="L468" s="16">
        <v>43.6646</v>
      </c>
      <c r="M468" s="16">
        <v>44.033900000000003</v>
      </c>
      <c r="N468" s="16">
        <v>311.33249999999998</v>
      </c>
      <c r="O468" s="16">
        <f t="shared" si="17"/>
        <v>42.315087500000004</v>
      </c>
      <c r="P468" s="7"/>
      <c r="Q468" s="8">
        <f>bdrate(C468:C471,D468:D471,J468:J471,K468:K471)</f>
        <v>-0.36356584309347018</v>
      </c>
      <c r="R468" s="8">
        <f>bdrate(C468:C471,E468:E471,J468:J471,L468:L471)</f>
        <v>-0.31494523178797929</v>
      </c>
      <c r="S468" s="8">
        <f>bdrate(C468:C471,F468:F471,J468:J471,M468:M471)</f>
        <v>-0.31070562913459709</v>
      </c>
      <c r="T468" s="25">
        <f>bdrate(C468:C471,H468:H471,J468:J471,O468:O471)</f>
        <v>-0.35643704458543246</v>
      </c>
      <c r="U468" s="28">
        <f t="shared" si="18"/>
        <v>-0.45641565108076965</v>
      </c>
    </row>
    <row r="469" spans="2:21" hidden="1" x14ac:dyDescent="0.25">
      <c r="B469" s="9"/>
      <c r="C469" s="17">
        <v>890.59</v>
      </c>
      <c r="D469" s="18">
        <v>39.399000000000001</v>
      </c>
      <c r="E469" s="18">
        <v>42.039000000000001</v>
      </c>
      <c r="F469" s="18">
        <v>42.378</v>
      </c>
      <c r="G469" s="18">
        <v>654.45000000000005</v>
      </c>
      <c r="H469" s="18">
        <f t="shared" si="16"/>
        <v>40.101374999999997</v>
      </c>
      <c r="I469" s="5"/>
      <c r="J469" s="17">
        <v>620.06079999999997</v>
      </c>
      <c r="K469" s="18">
        <v>39.570700000000002</v>
      </c>
      <c r="L469" s="18">
        <v>42.114400000000003</v>
      </c>
      <c r="M469" s="18">
        <v>42.424999999999997</v>
      </c>
      <c r="N469" s="18">
        <v>372.85610000000003</v>
      </c>
      <c r="O469" s="18">
        <f t="shared" si="17"/>
        <v>40.245450000000005</v>
      </c>
      <c r="P469" s="7"/>
      <c r="Q469" s="10"/>
      <c r="R469" s="11"/>
      <c r="S469" s="11"/>
      <c r="T469" s="26"/>
      <c r="U469" s="28">
        <f t="shared" si="18"/>
        <v>-0.43027565131026052</v>
      </c>
    </row>
    <row r="470" spans="2:21" hidden="1" x14ac:dyDescent="0.25">
      <c r="B470" s="9"/>
      <c r="C470" s="17">
        <v>592.16</v>
      </c>
      <c r="D470" s="18">
        <v>37.061999999999998</v>
      </c>
      <c r="E470" s="18">
        <v>40.720999999999997</v>
      </c>
      <c r="F470" s="18">
        <v>40.969000000000001</v>
      </c>
      <c r="G470" s="18">
        <v>712.25</v>
      </c>
      <c r="H470" s="18">
        <f t="shared" si="16"/>
        <v>38.007749999999994</v>
      </c>
      <c r="I470" s="5"/>
      <c r="J470" s="17">
        <v>411.68200000000002</v>
      </c>
      <c r="K470" s="18">
        <v>37.661000000000001</v>
      </c>
      <c r="L470" s="18">
        <v>40.860100000000003</v>
      </c>
      <c r="M470" s="18">
        <v>41.105200000000004</v>
      </c>
      <c r="N470" s="18">
        <v>421.58519999999999</v>
      </c>
      <c r="O470" s="18">
        <f t="shared" si="17"/>
        <v>38.491412500000003</v>
      </c>
      <c r="P470" s="7"/>
      <c r="Q470" s="10"/>
      <c r="R470" s="11"/>
      <c r="S470" s="11"/>
      <c r="T470" s="26"/>
      <c r="U470" s="28">
        <f t="shared" si="18"/>
        <v>-0.40809378729378731</v>
      </c>
    </row>
    <row r="471" spans="2:21" ht="16.5" hidden="1" thickBot="1" x14ac:dyDescent="0.3">
      <c r="B471" s="12"/>
      <c r="C471" s="19">
        <v>296.12</v>
      </c>
      <c r="D471" s="20">
        <v>32.74</v>
      </c>
      <c r="E471" s="20">
        <v>38.734999999999999</v>
      </c>
      <c r="F471" s="20">
        <v>38.811999999999998</v>
      </c>
      <c r="G471" s="20">
        <v>781.25</v>
      </c>
      <c r="H471" s="20">
        <f t="shared" si="16"/>
        <v>34.248375000000003</v>
      </c>
      <c r="I471" s="5"/>
      <c r="J471" s="19">
        <v>205.4384</v>
      </c>
      <c r="K471" s="20">
        <v>34.206699999999998</v>
      </c>
      <c r="L471" s="20">
        <v>38.615699999999997</v>
      </c>
      <c r="M471" s="20">
        <v>38.6539</v>
      </c>
      <c r="N471" s="20">
        <v>572.08240000000001</v>
      </c>
      <c r="O471" s="20">
        <f t="shared" si="17"/>
        <v>35.313724999999998</v>
      </c>
      <c r="P471" s="7"/>
      <c r="Q471" s="13"/>
      <c r="R471" s="14"/>
      <c r="S471" s="14"/>
      <c r="T471" s="27"/>
      <c r="U471" s="28">
        <f t="shared" si="18"/>
        <v>-0.26773452799999997</v>
      </c>
    </row>
    <row r="472" spans="2:21" hidden="1" x14ac:dyDescent="0.25">
      <c r="B472" s="6" t="s">
        <v>82</v>
      </c>
      <c r="C472" s="29">
        <v>1258.28</v>
      </c>
      <c r="D472" s="30">
        <v>40.061999999999998</v>
      </c>
      <c r="E472" s="30">
        <v>43.264000000000003</v>
      </c>
      <c r="F472" s="30">
        <v>44.101999999999997</v>
      </c>
      <c r="G472" s="16">
        <v>697.35</v>
      </c>
      <c r="H472" s="16">
        <f t="shared" si="16"/>
        <v>40.967249999999993</v>
      </c>
      <c r="I472" s="5"/>
      <c r="J472" s="29">
        <v>1029.9395999999999</v>
      </c>
      <c r="K472" s="30">
        <v>40.438699999999997</v>
      </c>
      <c r="L472" s="30">
        <v>43.9084</v>
      </c>
      <c r="M472" s="30">
        <v>45.056899999999999</v>
      </c>
      <c r="N472" s="16">
        <v>405.51499999999999</v>
      </c>
      <c r="O472" s="16">
        <f t="shared" si="17"/>
        <v>41.449687499999996</v>
      </c>
      <c r="P472" s="7"/>
      <c r="Q472" s="8">
        <f>bdrate(C472:C475,D472:D475,J472:J475,K472:K475)</f>
        <v>-0.33827373134578098</v>
      </c>
      <c r="R472" s="8">
        <f>bdrate(C472:C475,E472:E475,J472:J475,L472:L475)</f>
        <v>-0.42770161043249233</v>
      </c>
      <c r="S472" s="8">
        <f>bdrate(C472:C475,F472:F475,J472:J475,M472:M475)</f>
        <v>-0.47307754290299309</v>
      </c>
      <c r="T472" s="25">
        <f>bdrate(C472:C475,H472:H475,J472:J475,O472:O475)</f>
        <v>-0.36130584713263536</v>
      </c>
      <c r="U472" s="28">
        <f t="shared" si="18"/>
        <v>-0.41849143184914323</v>
      </c>
    </row>
    <row r="473" spans="2:21" hidden="1" x14ac:dyDescent="0.25">
      <c r="B473" s="9"/>
      <c r="C473" s="31">
        <v>766.37</v>
      </c>
      <c r="D473" s="32">
        <v>38.718000000000004</v>
      </c>
      <c r="E473" s="32">
        <v>42.411999999999999</v>
      </c>
      <c r="F473" s="32">
        <v>43.082000000000001</v>
      </c>
      <c r="G473" s="18">
        <v>782.47</v>
      </c>
      <c r="H473" s="18">
        <f t="shared" si="16"/>
        <v>39.725250000000003</v>
      </c>
      <c r="I473" s="5"/>
      <c r="J473" s="31">
        <v>613.47360000000003</v>
      </c>
      <c r="K473" s="32">
        <v>39.161900000000003</v>
      </c>
      <c r="L473" s="32">
        <v>43.056199999999997</v>
      </c>
      <c r="M473" s="32">
        <v>44.058</v>
      </c>
      <c r="N473" s="18">
        <v>501.00200000000001</v>
      </c>
      <c r="O473" s="18">
        <f t="shared" si="17"/>
        <v>40.2607</v>
      </c>
      <c r="P473" s="7"/>
      <c r="Q473" s="10"/>
      <c r="R473" s="11"/>
      <c r="S473" s="11"/>
      <c r="T473" s="26"/>
      <c r="U473" s="28">
        <f t="shared" si="18"/>
        <v>-0.35971730545580022</v>
      </c>
    </row>
    <row r="474" spans="2:21" hidden="1" x14ac:dyDescent="0.25">
      <c r="B474" s="9"/>
      <c r="C474" s="31">
        <v>518.41</v>
      </c>
      <c r="D474" s="32">
        <v>37.465000000000003</v>
      </c>
      <c r="E474" s="32">
        <v>41.616</v>
      </c>
      <c r="F474" s="32">
        <v>42.201999999999998</v>
      </c>
      <c r="G474" s="18">
        <v>866.55</v>
      </c>
      <c r="H474" s="18">
        <f t="shared" si="16"/>
        <v>38.576000000000001</v>
      </c>
      <c r="I474" s="5"/>
      <c r="J474" s="31">
        <v>390.70920000000001</v>
      </c>
      <c r="K474" s="32">
        <v>37.935299999999998</v>
      </c>
      <c r="L474" s="32">
        <v>42.200099999999999</v>
      </c>
      <c r="M474" s="32">
        <v>43.039200000000001</v>
      </c>
      <c r="N474" s="18">
        <v>572.73770000000002</v>
      </c>
      <c r="O474" s="18">
        <f t="shared" si="17"/>
        <v>39.106387499999997</v>
      </c>
      <c r="P474" s="7"/>
      <c r="Q474" s="10"/>
      <c r="R474" s="11"/>
      <c r="S474" s="11"/>
      <c r="T474" s="26"/>
      <c r="U474" s="28">
        <f t="shared" si="18"/>
        <v>-0.33905983497778541</v>
      </c>
    </row>
    <row r="475" spans="2:21" ht="16.5" hidden="1" thickBot="1" x14ac:dyDescent="0.3">
      <c r="B475" s="12"/>
      <c r="C475" s="33">
        <v>263.72000000000003</v>
      </c>
      <c r="D475" s="34">
        <v>34.713000000000001</v>
      </c>
      <c r="E475" s="34">
        <v>40.15</v>
      </c>
      <c r="F475" s="34">
        <v>40.552</v>
      </c>
      <c r="G475" s="20">
        <v>915.75</v>
      </c>
      <c r="H475" s="20">
        <f t="shared" si="16"/>
        <v>36.122500000000002</v>
      </c>
      <c r="I475" s="5"/>
      <c r="J475" s="33">
        <v>201.66640000000001</v>
      </c>
      <c r="K475" s="34">
        <v>35.472200000000001</v>
      </c>
      <c r="L475" s="34">
        <v>40.672600000000003</v>
      </c>
      <c r="M475" s="34">
        <v>41.328000000000003</v>
      </c>
      <c r="N475" s="20">
        <v>728.86300000000006</v>
      </c>
      <c r="O475" s="20">
        <f t="shared" si="17"/>
        <v>36.854225</v>
      </c>
      <c r="P475" s="7"/>
      <c r="Q475" s="13"/>
      <c r="R475" s="14"/>
      <c r="S475" s="14"/>
      <c r="T475" s="27"/>
      <c r="U475" s="28">
        <f t="shared" si="18"/>
        <v>-0.20408080808080803</v>
      </c>
    </row>
    <row r="476" spans="2:21" hidden="1" x14ac:dyDescent="0.25">
      <c r="B476" s="6" t="s">
        <v>83</v>
      </c>
      <c r="C476" s="15">
        <v>1433.11</v>
      </c>
      <c r="D476" s="16">
        <v>41.546999999999997</v>
      </c>
      <c r="E476" s="16">
        <v>44.860999999999997</v>
      </c>
      <c r="F476" s="16">
        <v>44.948999999999998</v>
      </c>
      <c r="G476" s="16">
        <v>369.82</v>
      </c>
      <c r="H476" s="16">
        <f t="shared" si="16"/>
        <v>42.386499999999998</v>
      </c>
      <c r="I476" s="5"/>
      <c r="J476" s="15">
        <v>1183.0443</v>
      </c>
      <c r="K476" s="16">
        <v>43.170400000000001</v>
      </c>
      <c r="L476" s="16">
        <v>45.4315</v>
      </c>
      <c r="M476" s="16">
        <v>45.395899999999997</v>
      </c>
      <c r="N476" s="16">
        <v>235.6268</v>
      </c>
      <c r="O476" s="16">
        <f t="shared" si="17"/>
        <v>43.731224999999995</v>
      </c>
      <c r="P476" s="7"/>
      <c r="Q476" s="8">
        <f>bdrate(C476:C479,D476:D479,J476:J479,K476:K479)</f>
        <v>-0.50248865297401768</v>
      </c>
      <c r="R476" s="8">
        <f>bdrate(C476:C479,E476:E479,J476:J479,L476:L479)</f>
        <v>-0.40662878483056608</v>
      </c>
      <c r="S476" s="8">
        <f>bdrate(C476:C479,F476:F479,J476:J479,M476:M479)</f>
        <v>-0.37119587361814566</v>
      </c>
      <c r="T476" s="25">
        <f>bdrate(C476:C479,H476:H479,J476:J479,O476:O479)</f>
        <v>-0.48715110458656607</v>
      </c>
      <c r="U476" s="28">
        <f t="shared" si="18"/>
        <v>-0.36286085122492023</v>
      </c>
    </row>
    <row r="477" spans="2:21" hidden="1" x14ac:dyDescent="0.25">
      <c r="B477" s="9"/>
      <c r="C477" s="17">
        <v>960.21</v>
      </c>
      <c r="D477" s="18">
        <v>39.460999999999999</v>
      </c>
      <c r="E477" s="18">
        <v>43.762999999999998</v>
      </c>
      <c r="F477" s="18">
        <v>43.837000000000003</v>
      </c>
      <c r="G477" s="18">
        <v>404.09</v>
      </c>
      <c r="H477" s="18">
        <f t="shared" si="16"/>
        <v>40.545749999999998</v>
      </c>
      <c r="I477" s="5"/>
      <c r="J477" s="17">
        <v>781.7808</v>
      </c>
      <c r="K477" s="18">
        <v>41.586599999999997</v>
      </c>
      <c r="L477" s="18">
        <v>44.470399999999998</v>
      </c>
      <c r="M477" s="18">
        <v>44.432200000000002</v>
      </c>
      <c r="N477" s="18">
        <v>277.88069999999999</v>
      </c>
      <c r="O477" s="18">
        <f t="shared" si="17"/>
        <v>42.302774999999997</v>
      </c>
      <c r="P477" s="7"/>
      <c r="Q477" s="10"/>
      <c r="R477" s="11"/>
      <c r="S477" s="11"/>
      <c r="T477" s="26"/>
      <c r="U477" s="28">
        <f t="shared" si="18"/>
        <v>-0.31232967903189884</v>
      </c>
    </row>
    <row r="478" spans="2:21" hidden="1" x14ac:dyDescent="0.25">
      <c r="B478" s="9"/>
      <c r="C478" s="17">
        <v>605.1</v>
      </c>
      <c r="D478" s="18">
        <v>36.828000000000003</v>
      </c>
      <c r="E478" s="18">
        <v>42.445</v>
      </c>
      <c r="F478" s="18">
        <v>42.578000000000003</v>
      </c>
      <c r="G478" s="18">
        <v>437.06</v>
      </c>
      <c r="H478" s="18">
        <f t="shared" si="16"/>
        <v>38.248874999999998</v>
      </c>
      <c r="I478" s="5"/>
      <c r="J478" s="17">
        <v>488.4067</v>
      </c>
      <c r="K478" s="18">
        <v>39.545499999999997</v>
      </c>
      <c r="L478" s="18">
        <v>43.349499999999999</v>
      </c>
      <c r="M478" s="18">
        <v>43.296300000000002</v>
      </c>
      <c r="N478" s="18">
        <v>336.1721</v>
      </c>
      <c r="O478" s="18">
        <f t="shared" si="17"/>
        <v>40.48984999999999</v>
      </c>
      <c r="P478" s="7"/>
      <c r="Q478" s="10"/>
      <c r="R478" s="11"/>
      <c r="S478" s="11"/>
      <c r="T478" s="26"/>
      <c r="U478" s="28">
        <f t="shared" si="18"/>
        <v>-0.23083306639820619</v>
      </c>
    </row>
    <row r="479" spans="2:21" ht="16.5" hidden="1" thickBot="1" x14ac:dyDescent="0.3">
      <c r="B479" s="12"/>
      <c r="C479" s="19">
        <v>367.58</v>
      </c>
      <c r="D479" s="20">
        <v>33.74</v>
      </c>
      <c r="E479" s="20">
        <v>41.037999999999997</v>
      </c>
      <c r="F479" s="20">
        <v>41.180999999999997</v>
      </c>
      <c r="G479" s="20">
        <v>466.71</v>
      </c>
      <c r="H479" s="20">
        <f t="shared" si="16"/>
        <v>35.582374999999999</v>
      </c>
      <c r="I479" s="5"/>
      <c r="J479" s="19">
        <v>294.48989999999998</v>
      </c>
      <c r="K479" s="20">
        <v>37.146999999999998</v>
      </c>
      <c r="L479" s="20">
        <v>42.118699999999997</v>
      </c>
      <c r="M479" s="20">
        <v>42.021000000000001</v>
      </c>
      <c r="N479" s="20">
        <v>407.38729999999998</v>
      </c>
      <c r="O479" s="20">
        <f t="shared" si="17"/>
        <v>38.377712500000001</v>
      </c>
      <c r="P479" s="7"/>
      <c r="Q479" s="13"/>
      <c r="R479" s="14"/>
      <c r="S479" s="14"/>
      <c r="T479" s="27"/>
      <c r="U479" s="28">
        <f t="shared" si="18"/>
        <v>-0.12710826851792334</v>
      </c>
    </row>
    <row r="480" spans="2:21" hidden="1" x14ac:dyDescent="0.25">
      <c r="B480" s="6" t="s">
        <v>84</v>
      </c>
      <c r="C480" s="15">
        <v>2211.02</v>
      </c>
      <c r="D480" s="16">
        <v>49.417000000000002</v>
      </c>
      <c r="E480" s="16">
        <v>51.058</v>
      </c>
      <c r="F480" s="16">
        <v>51.174999999999997</v>
      </c>
      <c r="G480" s="16">
        <v>233.74</v>
      </c>
      <c r="H480" s="16">
        <f t="shared" si="16"/>
        <v>49.841875000000002</v>
      </c>
      <c r="I480" s="5"/>
      <c r="J480" s="15">
        <v>1607.5516</v>
      </c>
      <c r="K480" s="16">
        <v>47.709699999999998</v>
      </c>
      <c r="L480" s="16">
        <v>49.802500000000002</v>
      </c>
      <c r="M480" s="16">
        <v>49.951099999999997</v>
      </c>
      <c r="N480" s="16">
        <v>209.1062</v>
      </c>
      <c r="O480" s="16">
        <f t="shared" si="17"/>
        <v>48.251474999999999</v>
      </c>
      <c r="P480" s="7"/>
      <c r="Q480" s="8">
        <f>bdrate(C480:C483,D480:D483,J480:J483,K480:K483)</f>
        <v>-0.11721525327334736</v>
      </c>
      <c r="R480" s="8">
        <f>bdrate(C480:C483,E480:E483,J480:J483,L480:L483)</f>
        <v>-0.12683475217206419</v>
      </c>
      <c r="S480" s="8">
        <f>bdrate(C480:C483,F480:F483,J480:J483,M480:M483)</f>
        <v>-0.139722804196446</v>
      </c>
      <c r="T480" s="25">
        <f>bdrate(C480:C483,H480:H483,J480:J483,O480:O483)</f>
        <v>-0.1208860962393844</v>
      </c>
      <c r="U480" s="28">
        <f t="shared" si="18"/>
        <v>-0.10538974929408748</v>
      </c>
    </row>
    <row r="481" spans="2:21" hidden="1" x14ac:dyDescent="0.25">
      <c r="B481" s="9"/>
      <c r="C481" s="17">
        <v>1486.85</v>
      </c>
      <c r="D481" s="18">
        <v>47.116</v>
      </c>
      <c r="E481" s="18">
        <v>49.207999999999998</v>
      </c>
      <c r="F481" s="18">
        <v>49.396999999999998</v>
      </c>
      <c r="G481" s="18">
        <v>264.95999999999998</v>
      </c>
      <c r="H481" s="18">
        <f t="shared" si="16"/>
        <v>47.662624999999998</v>
      </c>
      <c r="I481" s="5"/>
      <c r="J481" s="17">
        <v>1071.2716</v>
      </c>
      <c r="K481" s="18">
        <v>45.663200000000003</v>
      </c>
      <c r="L481" s="18">
        <v>47.976300000000002</v>
      </c>
      <c r="M481" s="18">
        <v>48.155900000000003</v>
      </c>
      <c r="N481" s="18">
        <v>233.74180000000001</v>
      </c>
      <c r="O481" s="18">
        <f t="shared" si="17"/>
        <v>46.263925</v>
      </c>
      <c r="P481" s="7"/>
      <c r="Q481" s="10"/>
      <c r="R481" s="11"/>
      <c r="S481" s="11"/>
      <c r="T481" s="26"/>
      <c r="U481" s="28">
        <f t="shared" si="18"/>
        <v>-0.11782231280193226</v>
      </c>
    </row>
    <row r="482" spans="2:21" hidden="1" x14ac:dyDescent="0.25">
      <c r="B482" s="9"/>
      <c r="C482" s="17">
        <v>897.87</v>
      </c>
      <c r="D482" s="18">
        <v>44.034999999999997</v>
      </c>
      <c r="E482" s="18">
        <v>46.417999999999999</v>
      </c>
      <c r="F482" s="18">
        <v>46.548000000000002</v>
      </c>
      <c r="G482" s="18">
        <v>289.04000000000002</v>
      </c>
      <c r="H482" s="18">
        <f t="shared" si="16"/>
        <v>44.646999999999998</v>
      </c>
      <c r="I482" s="5"/>
      <c r="J482" s="17">
        <v>644.73940000000005</v>
      </c>
      <c r="K482" s="18">
        <v>42.890099999999997</v>
      </c>
      <c r="L482" s="18">
        <v>45.519199999999998</v>
      </c>
      <c r="M482" s="18">
        <v>45.815199999999997</v>
      </c>
      <c r="N482" s="18">
        <v>274.03309999999999</v>
      </c>
      <c r="O482" s="18">
        <f t="shared" si="17"/>
        <v>43.584375000000001</v>
      </c>
      <c r="P482" s="7"/>
      <c r="Q482" s="10"/>
      <c r="R482" s="11"/>
      <c r="S482" s="11"/>
      <c r="T482" s="26"/>
      <c r="U482" s="28">
        <f t="shared" si="18"/>
        <v>-5.1919803487406685E-2</v>
      </c>
    </row>
    <row r="483" spans="2:21" ht="16.5" hidden="1" thickBot="1" x14ac:dyDescent="0.3">
      <c r="B483" s="12"/>
      <c r="C483" s="19">
        <v>450.47</v>
      </c>
      <c r="D483" s="20">
        <v>39.790999999999997</v>
      </c>
      <c r="E483" s="20">
        <v>42.887</v>
      </c>
      <c r="F483" s="20">
        <v>43.191000000000003</v>
      </c>
      <c r="G483" s="20">
        <v>317.95</v>
      </c>
      <c r="H483" s="20">
        <f t="shared" si="16"/>
        <v>40.602999999999994</v>
      </c>
      <c r="I483" s="5"/>
      <c r="J483" s="19">
        <v>326.47160000000002</v>
      </c>
      <c r="K483" s="20">
        <v>39.157699999999998</v>
      </c>
      <c r="L483" s="20">
        <v>42.317</v>
      </c>
      <c r="M483" s="20">
        <v>42.695</v>
      </c>
      <c r="N483" s="20">
        <v>324.18299999999999</v>
      </c>
      <c r="O483" s="20">
        <f t="shared" si="17"/>
        <v>39.994774999999997</v>
      </c>
      <c r="P483" s="7"/>
      <c r="Q483" s="13"/>
      <c r="R483" s="14"/>
      <c r="S483" s="14"/>
      <c r="T483" s="27"/>
      <c r="U483" s="28">
        <f t="shared" si="18"/>
        <v>1.9603711275357774E-2</v>
      </c>
    </row>
    <row r="484" spans="2:21" hidden="1" x14ac:dyDescent="0.25">
      <c r="B484" s="6" t="s">
        <v>85</v>
      </c>
      <c r="C484" s="15">
        <v>1996.08</v>
      </c>
      <c r="D484" s="16">
        <v>48.622999999999998</v>
      </c>
      <c r="E484" s="16">
        <v>49.704999999999998</v>
      </c>
      <c r="F484" s="16">
        <v>50.034999999999997</v>
      </c>
      <c r="G484" s="16">
        <v>245.71</v>
      </c>
      <c r="H484" s="16">
        <f t="shared" si="16"/>
        <v>48.934749999999994</v>
      </c>
      <c r="I484" s="5"/>
      <c r="J484" s="15">
        <v>1573.0998</v>
      </c>
      <c r="K484" s="16">
        <v>47.561199999999999</v>
      </c>
      <c r="L484" s="16">
        <v>49.258000000000003</v>
      </c>
      <c r="M484" s="16">
        <v>49.539499999999997</v>
      </c>
      <c r="N484" s="16">
        <v>192.24809999999999</v>
      </c>
      <c r="O484" s="16">
        <f t="shared" si="17"/>
        <v>48.020587499999998</v>
      </c>
      <c r="P484" s="7"/>
      <c r="Q484" s="8">
        <f>bdrate(C484:C487,D484:D487,J484:J487,K484:K487)</f>
        <v>-0.13743367100492976</v>
      </c>
      <c r="R484" s="8">
        <f>bdrate(C484:C487,E484:E487,J484:J487,L484:L487)</f>
        <v>-0.16936067283892042</v>
      </c>
      <c r="S484" s="8">
        <f>bdrate(C484:C487,F484:F487,J484:J487,M484:M487)</f>
        <v>-0.17030115047412198</v>
      </c>
      <c r="T484" s="25">
        <f>bdrate(C484:C487,H484:H487,J484:J487,O484:O487)</f>
        <v>-0.14454056270206261</v>
      </c>
      <c r="U484" s="28">
        <f t="shared" si="18"/>
        <v>-0.21758129502258766</v>
      </c>
    </row>
    <row r="485" spans="2:21" hidden="1" x14ac:dyDescent="0.25">
      <c r="B485" s="9"/>
      <c r="C485" s="17">
        <v>1317.12</v>
      </c>
      <c r="D485" s="18">
        <v>46.247999999999998</v>
      </c>
      <c r="E485" s="18">
        <v>47.767000000000003</v>
      </c>
      <c r="F485" s="18">
        <v>48.082000000000001</v>
      </c>
      <c r="G485" s="18">
        <v>290.85000000000002</v>
      </c>
      <c r="H485" s="18">
        <f t="shared" si="16"/>
        <v>46.667124999999999</v>
      </c>
      <c r="I485" s="5"/>
      <c r="J485" s="17">
        <v>1049.76</v>
      </c>
      <c r="K485" s="18">
        <v>45.685000000000002</v>
      </c>
      <c r="L485" s="18">
        <v>47.553699999999999</v>
      </c>
      <c r="M485" s="18">
        <v>47.795200000000001</v>
      </c>
      <c r="N485" s="18">
        <v>240.77670000000001</v>
      </c>
      <c r="O485" s="18">
        <f t="shared" si="17"/>
        <v>46.182362500000004</v>
      </c>
      <c r="P485" s="7"/>
      <c r="Q485" s="10"/>
      <c r="R485" s="11"/>
      <c r="S485" s="11"/>
      <c r="T485" s="26"/>
      <c r="U485" s="28">
        <f t="shared" si="18"/>
        <v>-0.17216193914388864</v>
      </c>
    </row>
    <row r="486" spans="2:21" hidden="1" x14ac:dyDescent="0.25">
      <c r="B486" s="9"/>
      <c r="C486" s="17">
        <v>782.83</v>
      </c>
      <c r="D486" s="18">
        <v>43.473999999999997</v>
      </c>
      <c r="E486" s="18">
        <v>45.457000000000001</v>
      </c>
      <c r="F486" s="18">
        <v>45.615000000000002</v>
      </c>
      <c r="G486" s="18">
        <v>313.66000000000003</v>
      </c>
      <c r="H486" s="18">
        <f t="shared" si="16"/>
        <v>43.9895</v>
      </c>
      <c r="I486" s="5"/>
      <c r="J486" s="17">
        <v>629.6422</v>
      </c>
      <c r="K486" s="18">
        <v>43.153799999999997</v>
      </c>
      <c r="L486" s="18">
        <v>45.353200000000001</v>
      </c>
      <c r="M486" s="18">
        <v>45.491</v>
      </c>
      <c r="N486" s="18">
        <v>274.13409999999999</v>
      </c>
      <c r="O486" s="18">
        <f t="shared" si="17"/>
        <v>43.720874999999999</v>
      </c>
      <c r="P486" s="7"/>
      <c r="Q486" s="10"/>
      <c r="R486" s="11"/>
      <c r="S486" s="11"/>
      <c r="T486" s="26"/>
      <c r="U486" s="28">
        <f t="shared" si="18"/>
        <v>-0.12601511190461018</v>
      </c>
    </row>
    <row r="487" spans="2:21" ht="16.5" hidden="1" thickBot="1" x14ac:dyDescent="0.3">
      <c r="B487" s="12"/>
      <c r="C487" s="19">
        <v>387.13</v>
      </c>
      <c r="D487" s="20">
        <v>39.802</v>
      </c>
      <c r="E487" s="20">
        <v>42.634999999999998</v>
      </c>
      <c r="F487" s="20">
        <v>42.497999999999998</v>
      </c>
      <c r="G487" s="20">
        <v>330.96</v>
      </c>
      <c r="H487" s="20">
        <f t="shared" si="16"/>
        <v>40.493124999999999</v>
      </c>
      <c r="I487" s="5"/>
      <c r="J487" s="19">
        <v>314.07049999999998</v>
      </c>
      <c r="K487" s="20">
        <v>39.802599999999998</v>
      </c>
      <c r="L487" s="20">
        <v>42.592700000000001</v>
      </c>
      <c r="M487" s="20">
        <v>42.646700000000003</v>
      </c>
      <c r="N487" s="20">
        <v>317.94869999999997</v>
      </c>
      <c r="O487" s="20">
        <f t="shared" si="17"/>
        <v>40.506875000000001</v>
      </c>
      <c r="P487" s="7"/>
      <c r="Q487" s="13"/>
      <c r="R487" s="14"/>
      <c r="S487" s="14"/>
      <c r="T487" s="27"/>
      <c r="U487" s="28">
        <f t="shared" si="18"/>
        <v>-3.9313814358230621E-2</v>
      </c>
    </row>
    <row r="488" spans="2:21" hidden="1" x14ac:dyDescent="0.25">
      <c r="B488" s="6" t="s">
        <v>86</v>
      </c>
      <c r="C488" s="15">
        <v>2095.9699999999998</v>
      </c>
      <c r="D488" s="16">
        <v>40.012999999999998</v>
      </c>
      <c r="E488" s="16">
        <v>42.991999999999997</v>
      </c>
      <c r="F488" s="16">
        <v>41.448999999999998</v>
      </c>
      <c r="G488" s="16">
        <v>244.66</v>
      </c>
      <c r="H488" s="16">
        <f t="shared" si="16"/>
        <v>40.564875000000001</v>
      </c>
      <c r="I488" s="5"/>
      <c r="J488" s="15">
        <v>1545.0088000000001</v>
      </c>
      <c r="K488" s="16">
        <v>37.874499999999998</v>
      </c>
      <c r="L488" s="16">
        <v>41.166600000000003</v>
      </c>
      <c r="M488" s="16">
        <v>39.720599999999997</v>
      </c>
      <c r="N488" s="16">
        <v>188.8235</v>
      </c>
      <c r="O488" s="16">
        <f t="shared" si="17"/>
        <v>38.516774999999996</v>
      </c>
      <c r="P488" s="7"/>
      <c r="Q488" s="8">
        <f>bdrate(C488:C491,D488:D491,J488:J491,K488:K491)</f>
        <v>-0.13321020435078557</v>
      </c>
      <c r="R488" s="8">
        <f>bdrate(C488:C491,E488:E491,J488:J491,L488:L491)</f>
        <v>-1.1220148092595195E-2</v>
      </c>
      <c r="S488" s="8">
        <f>bdrate(C488:C491,F488:F491,J488:J491,M488:M491)</f>
        <v>-2.8947701504954515E-2</v>
      </c>
      <c r="T488" s="25">
        <f>bdrate(C488:C491,H488:H491,J488:J491,O488:O491)</f>
        <v>-0.10872126262931425</v>
      </c>
      <c r="U488" s="28">
        <f t="shared" si="18"/>
        <v>-0.22822079620698113</v>
      </c>
    </row>
    <row r="489" spans="2:21" hidden="1" x14ac:dyDescent="0.25">
      <c r="B489" s="9"/>
      <c r="C489" s="17">
        <v>1396.37</v>
      </c>
      <c r="D489" s="18">
        <v>36.965000000000003</v>
      </c>
      <c r="E489" s="18">
        <v>40.512</v>
      </c>
      <c r="F489" s="18">
        <v>38.963999999999999</v>
      </c>
      <c r="G489" s="18">
        <v>270.89</v>
      </c>
      <c r="H489" s="18">
        <f t="shared" si="16"/>
        <v>37.658250000000002</v>
      </c>
      <c r="I489" s="5"/>
      <c r="J489" s="17">
        <v>1043.7283</v>
      </c>
      <c r="K489" s="18">
        <v>35.634900000000002</v>
      </c>
      <c r="L489" s="18">
        <v>39.440300000000001</v>
      </c>
      <c r="M489" s="18">
        <v>37.991599999999998</v>
      </c>
      <c r="N489" s="18">
        <v>223.6934</v>
      </c>
      <c r="O489" s="18">
        <f t="shared" si="17"/>
        <v>36.405162500000003</v>
      </c>
      <c r="P489" s="7"/>
      <c r="Q489" s="10"/>
      <c r="R489" s="11"/>
      <c r="S489" s="11"/>
      <c r="T489" s="26"/>
      <c r="U489" s="28">
        <f t="shared" si="18"/>
        <v>-0.17422791539001067</v>
      </c>
    </row>
    <row r="490" spans="2:21" hidden="1" x14ac:dyDescent="0.25">
      <c r="B490" s="9"/>
      <c r="C490" s="17">
        <v>840.97</v>
      </c>
      <c r="D490" s="18">
        <v>33.697000000000003</v>
      </c>
      <c r="E490" s="18">
        <v>38.393999999999998</v>
      </c>
      <c r="F490" s="18">
        <v>36.835000000000001</v>
      </c>
      <c r="G490" s="18">
        <v>285.83999999999997</v>
      </c>
      <c r="H490" s="18">
        <f t="shared" si="16"/>
        <v>34.676375</v>
      </c>
      <c r="I490" s="5"/>
      <c r="J490" s="17">
        <v>624.84389999999996</v>
      </c>
      <c r="K490" s="18">
        <v>32.783000000000001</v>
      </c>
      <c r="L490" s="18">
        <v>37.329000000000001</v>
      </c>
      <c r="M490" s="18">
        <v>35.825099999999999</v>
      </c>
      <c r="N490" s="18">
        <v>250.78129999999999</v>
      </c>
      <c r="O490" s="18">
        <f t="shared" si="17"/>
        <v>33.731512500000001</v>
      </c>
      <c r="P490" s="7"/>
      <c r="Q490" s="10"/>
      <c r="R490" s="11"/>
      <c r="S490" s="11"/>
      <c r="T490" s="26"/>
      <c r="U490" s="28">
        <f t="shared" si="18"/>
        <v>-0.12265148334732714</v>
      </c>
    </row>
    <row r="491" spans="2:21" ht="16.5" hidden="1" thickBot="1" x14ac:dyDescent="0.3">
      <c r="B491" s="12"/>
      <c r="C491" s="19">
        <v>420.02</v>
      </c>
      <c r="D491" s="20">
        <v>29.385000000000002</v>
      </c>
      <c r="E491" s="20">
        <v>36.304000000000002</v>
      </c>
      <c r="F491" s="20">
        <v>34.826999999999998</v>
      </c>
      <c r="G491" s="20">
        <v>302.26</v>
      </c>
      <c r="H491" s="20">
        <f t="shared" si="16"/>
        <v>30.930125</v>
      </c>
      <c r="I491" s="5"/>
      <c r="J491" s="19">
        <v>313.1026</v>
      </c>
      <c r="K491" s="20">
        <v>29.38</v>
      </c>
      <c r="L491" s="20">
        <v>34.748100000000001</v>
      </c>
      <c r="M491" s="20">
        <v>33.379300000000001</v>
      </c>
      <c r="N491" s="20">
        <v>298.05009999999999</v>
      </c>
      <c r="O491" s="20">
        <f t="shared" si="17"/>
        <v>30.550924999999999</v>
      </c>
      <c r="P491" s="7"/>
      <c r="Q491" s="13"/>
      <c r="R491" s="14"/>
      <c r="S491" s="14"/>
      <c r="T491" s="27"/>
      <c r="U491" s="28">
        <f t="shared" si="18"/>
        <v>-1.392807516707472E-2</v>
      </c>
    </row>
    <row r="492" spans="2:21" hidden="1" x14ac:dyDescent="0.25">
      <c r="B492" s="6" t="s">
        <v>87</v>
      </c>
      <c r="C492" s="15">
        <v>2116.87</v>
      </c>
      <c r="D492" s="16">
        <v>36.636000000000003</v>
      </c>
      <c r="E492" s="16">
        <v>41.503999999999998</v>
      </c>
      <c r="F492" s="16">
        <v>41.719000000000001</v>
      </c>
      <c r="G492" s="16">
        <v>202.43</v>
      </c>
      <c r="H492" s="16">
        <f t="shared" si="16"/>
        <v>37.879875000000006</v>
      </c>
      <c r="I492" s="5"/>
      <c r="J492" s="15">
        <v>1554.0064</v>
      </c>
      <c r="K492" s="16">
        <v>37.222999999999999</v>
      </c>
      <c r="L492" s="16">
        <v>42.994199999999999</v>
      </c>
      <c r="M492" s="16">
        <v>43.044199999999996</v>
      </c>
      <c r="N492" s="16">
        <v>181.3785</v>
      </c>
      <c r="O492" s="16">
        <f t="shared" si="17"/>
        <v>38.672049999999999</v>
      </c>
      <c r="P492" s="7"/>
      <c r="Q492" s="8">
        <f>bdrate(C492:C495,D492:D495,J492:J495,K492:K495)</f>
        <v>-0.47625860391660158</v>
      </c>
      <c r="R492" s="8">
        <f>bdrate(C492:C495,E492:E495,J492:J495,L492:L495)</f>
        <v>-0.58460388089898763</v>
      </c>
      <c r="S492" s="8">
        <f>bdrate(C492:C495,F492:F495,J492:J495,M492:M495)</f>
        <v>-0.57080979523934028</v>
      </c>
      <c r="T492" s="25">
        <f>bdrate(C492:C495,H492:H495,J492:J495,O492:O495)</f>
        <v>-0.50121023469305004</v>
      </c>
      <c r="U492" s="28">
        <f t="shared" si="18"/>
        <v>-0.10399397322531247</v>
      </c>
    </row>
    <row r="493" spans="2:21" hidden="1" x14ac:dyDescent="0.25">
      <c r="B493" s="9"/>
      <c r="C493" s="17">
        <v>1404.94</v>
      </c>
      <c r="D493" s="18">
        <v>35.337000000000003</v>
      </c>
      <c r="E493" s="18">
        <v>40.488</v>
      </c>
      <c r="F493" s="18">
        <v>40.848999999999997</v>
      </c>
      <c r="G493" s="18">
        <v>231.66</v>
      </c>
      <c r="H493" s="18">
        <f t="shared" si="16"/>
        <v>36.669875000000005</v>
      </c>
      <c r="I493" s="5"/>
      <c r="J493" s="17">
        <v>1026.6600000000001</v>
      </c>
      <c r="K493" s="18">
        <v>36.104199999999999</v>
      </c>
      <c r="L493" s="18">
        <v>42.014899999999997</v>
      </c>
      <c r="M493" s="18">
        <v>42.137900000000002</v>
      </c>
      <c r="N493" s="18">
        <v>226.24430000000001</v>
      </c>
      <c r="O493" s="18">
        <f t="shared" si="17"/>
        <v>37.597250000000003</v>
      </c>
      <c r="P493" s="7"/>
      <c r="Q493" s="10"/>
      <c r="R493" s="11"/>
      <c r="S493" s="11"/>
      <c r="T493" s="26"/>
      <c r="U493" s="28">
        <f t="shared" si="18"/>
        <v>-2.3377795044461656E-2</v>
      </c>
    </row>
    <row r="494" spans="2:21" hidden="1" x14ac:dyDescent="0.25">
      <c r="B494" s="9"/>
      <c r="C494" s="17">
        <v>839.95</v>
      </c>
      <c r="D494" s="18">
        <v>33.691000000000003</v>
      </c>
      <c r="E494" s="18">
        <v>39.415999999999997</v>
      </c>
      <c r="F494" s="18">
        <v>39.878999999999998</v>
      </c>
      <c r="G494" s="18">
        <v>240.38</v>
      </c>
      <c r="H494" s="18">
        <f t="shared" si="16"/>
        <v>35.180125000000004</v>
      </c>
      <c r="I494" s="5"/>
      <c r="J494" s="17">
        <v>597.01599999999996</v>
      </c>
      <c r="K494" s="18">
        <v>34.686500000000002</v>
      </c>
      <c r="L494" s="18">
        <v>40.645200000000003</v>
      </c>
      <c r="M494" s="18">
        <v>40.893500000000003</v>
      </c>
      <c r="N494" s="18">
        <v>267.14159999999998</v>
      </c>
      <c r="O494" s="18">
        <f t="shared" si="17"/>
        <v>36.207212500000004</v>
      </c>
      <c r="P494" s="7"/>
      <c r="Q494" s="10"/>
      <c r="R494" s="11"/>
      <c r="S494" s="11"/>
      <c r="T494" s="26"/>
      <c r="U494" s="28">
        <f t="shared" si="18"/>
        <v>0.11133039354355599</v>
      </c>
    </row>
    <row r="495" spans="2:21" ht="16.5" hidden="1" thickBot="1" x14ac:dyDescent="0.3">
      <c r="B495" s="12"/>
      <c r="C495" s="19">
        <v>416.5</v>
      </c>
      <c r="D495" s="20">
        <v>31.382999999999999</v>
      </c>
      <c r="E495" s="20">
        <v>37.945999999999998</v>
      </c>
      <c r="F495" s="20">
        <v>38.552999999999997</v>
      </c>
      <c r="G495" s="20">
        <v>263.39</v>
      </c>
      <c r="H495" s="20">
        <f t="shared" si="16"/>
        <v>33.099625000000003</v>
      </c>
      <c r="I495" s="5"/>
      <c r="J495" s="19">
        <v>296.52319999999997</v>
      </c>
      <c r="K495" s="20">
        <v>32.793500000000002</v>
      </c>
      <c r="L495" s="20">
        <v>38.85</v>
      </c>
      <c r="M495" s="20">
        <v>39.3504</v>
      </c>
      <c r="N495" s="20">
        <v>309.91739999999999</v>
      </c>
      <c r="O495" s="20">
        <f t="shared" si="17"/>
        <v>34.370175000000003</v>
      </c>
      <c r="P495" s="7"/>
      <c r="Q495" s="13"/>
      <c r="R495" s="14"/>
      <c r="S495" s="14"/>
      <c r="T495" s="27"/>
      <c r="U495" s="28">
        <f t="shared" si="18"/>
        <v>0.17664831618512472</v>
      </c>
    </row>
    <row r="496" spans="2:21" hidden="1" x14ac:dyDescent="0.25">
      <c r="B496" s="6" t="s">
        <v>88</v>
      </c>
      <c r="C496" s="15">
        <v>2182.5500000000002</v>
      </c>
      <c r="D496" s="16">
        <v>33.203000000000003</v>
      </c>
      <c r="E496" s="16">
        <v>38.042999999999999</v>
      </c>
      <c r="F496" s="16">
        <v>40.402000000000001</v>
      </c>
      <c r="G496" s="16">
        <v>231.57</v>
      </c>
      <c r="H496" s="16">
        <f t="shared" si="16"/>
        <v>34.707875000000001</v>
      </c>
      <c r="I496" s="5"/>
      <c r="J496" s="15">
        <v>1536.4032</v>
      </c>
      <c r="K496" s="16">
        <v>34.185699999999997</v>
      </c>
      <c r="L496" s="16">
        <v>39.543900000000001</v>
      </c>
      <c r="M496" s="16">
        <v>41.866599999999998</v>
      </c>
      <c r="N496" s="16">
        <v>178.89089999999999</v>
      </c>
      <c r="O496" s="16">
        <f t="shared" si="17"/>
        <v>35.815587499999999</v>
      </c>
      <c r="P496" s="7"/>
      <c r="Q496" s="8">
        <f>bdrate(C496:C499,D496:D499,J496:J499,K496:K499)</f>
        <v>-0.54090029063750111</v>
      </c>
      <c r="R496" s="8">
        <f>bdrate(C496:C499,E496:E499,J496:J499,L496:L499)</f>
        <v>-0.65668789943604899</v>
      </c>
      <c r="S496" s="8">
        <f>bdrate(C496:C499,F496:F499,J496:J499,M496:M499)</f>
        <v>-0.68535598304536616</v>
      </c>
      <c r="T496" s="25">
        <f>bdrate(C496:C499,H496:H499,J496:J499,O496:O499)</f>
        <v>-0.56166630713636856</v>
      </c>
      <c r="U496" s="28">
        <f t="shared" si="18"/>
        <v>-0.22748672107785986</v>
      </c>
    </row>
    <row r="497" spans="2:21" hidden="1" x14ac:dyDescent="0.25">
      <c r="B497" s="9"/>
      <c r="C497" s="17">
        <v>1450.64</v>
      </c>
      <c r="D497" s="18">
        <v>31.879000000000001</v>
      </c>
      <c r="E497" s="18">
        <v>37.447000000000003</v>
      </c>
      <c r="F497" s="18">
        <v>39.841999999999999</v>
      </c>
      <c r="G497" s="18">
        <v>259.63</v>
      </c>
      <c r="H497" s="18">
        <f t="shared" si="16"/>
        <v>33.570374999999999</v>
      </c>
      <c r="I497" s="5"/>
      <c r="J497" s="17">
        <v>1006.8896</v>
      </c>
      <c r="K497" s="18">
        <v>33.014400000000002</v>
      </c>
      <c r="L497" s="18">
        <v>38.667999999999999</v>
      </c>
      <c r="M497" s="18">
        <v>41.139899999999997</v>
      </c>
      <c r="N497" s="18">
        <v>274.7253</v>
      </c>
      <c r="O497" s="18">
        <f t="shared" si="17"/>
        <v>34.736787500000005</v>
      </c>
      <c r="P497" s="7"/>
      <c r="Q497" s="10"/>
      <c r="R497" s="11"/>
      <c r="S497" s="11"/>
      <c r="T497" s="26"/>
      <c r="U497" s="28">
        <f t="shared" si="18"/>
        <v>5.8141586103300884E-2</v>
      </c>
    </row>
    <row r="498" spans="2:21" hidden="1" x14ac:dyDescent="0.25">
      <c r="B498" s="9"/>
      <c r="C498" s="17">
        <v>872.48</v>
      </c>
      <c r="D498" s="18">
        <v>30.045999999999999</v>
      </c>
      <c r="E498" s="18">
        <v>36.661000000000001</v>
      </c>
      <c r="F498" s="18">
        <v>39.161000000000001</v>
      </c>
      <c r="G498" s="18">
        <v>274.73</v>
      </c>
      <c r="H498" s="18">
        <f t="shared" si="16"/>
        <v>32.012250000000002</v>
      </c>
      <c r="I498" s="5"/>
      <c r="J498" s="17">
        <v>596.86800000000005</v>
      </c>
      <c r="K498" s="18">
        <v>31.438300000000002</v>
      </c>
      <c r="L498" s="18">
        <v>37.759300000000003</v>
      </c>
      <c r="M498" s="18">
        <v>40.263100000000001</v>
      </c>
      <c r="N498" s="18">
        <v>312.6628</v>
      </c>
      <c r="O498" s="18">
        <f t="shared" si="17"/>
        <v>33.331524999999999</v>
      </c>
      <c r="P498" s="7"/>
      <c r="Q498" s="10"/>
      <c r="R498" s="11"/>
      <c r="S498" s="11"/>
      <c r="T498" s="26"/>
      <c r="U498" s="28">
        <f t="shared" si="18"/>
        <v>0.13807301714410505</v>
      </c>
    </row>
    <row r="499" spans="2:21" ht="16.5" hidden="1" thickBot="1" x14ac:dyDescent="0.3">
      <c r="B499" s="12"/>
      <c r="C499" s="19">
        <v>440.56</v>
      </c>
      <c r="D499" s="20">
        <v>27.263000000000002</v>
      </c>
      <c r="E499" s="20">
        <v>35.770000000000003</v>
      </c>
      <c r="F499" s="20">
        <v>38.234999999999999</v>
      </c>
      <c r="G499" s="20">
        <v>289.3</v>
      </c>
      <c r="H499" s="20">
        <f t="shared" si="16"/>
        <v>29.697875000000003</v>
      </c>
      <c r="I499" s="5"/>
      <c r="J499" s="19">
        <v>290.36160000000001</v>
      </c>
      <c r="K499" s="20">
        <v>29.168700000000001</v>
      </c>
      <c r="L499" s="20">
        <v>36.547800000000002</v>
      </c>
      <c r="M499" s="20">
        <v>39.178800000000003</v>
      </c>
      <c r="N499" s="20">
        <v>352.94119999999998</v>
      </c>
      <c r="O499" s="20">
        <f t="shared" si="17"/>
        <v>31.34235</v>
      </c>
      <c r="P499" s="7"/>
      <c r="Q499" s="13"/>
      <c r="R499" s="14"/>
      <c r="S499" s="14"/>
      <c r="T499" s="27"/>
      <c r="U499" s="28">
        <f t="shared" si="18"/>
        <v>0.21998340822675411</v>
      </c>
    </row>
    <row r="500" spans="2:21" hidden="1" x14ac:dyDescent="0.25">
      <c r="B500" s="6" t="s">
        <v>89</v>
      </c>
      <c r="C500" s="15">
        <v>2236.88</v>
      </c>
      <c r="D500" s="16">
        <v>35.411999999999999</v>
      </c>
      <c r="E500" s="16">
        <v>41.503</v>
      </c>
      <c r="F500" s="16">
        <v>41.076999999999998</v>
      </c>
      <c r="G500" s="16">
        <v>183.94</v>
      </c>
      <c r="H500" s="16">
        <f t="shared" ref="H500:H519" si="19">(6*D500+E500+F500)/8</f>
        <v>36.881499999999996</v>
      </c>
      <c r="I500" s="5"/>
      <c r="J500" s="15">
        <v>1530.5512000000001</v>
      </c>
      <c r="K500" s="16">
        <v>36.177999999999997</v>
      </c>
      <c r="L500" s="16">
        <v>41.843200000000003</v>
      </c>
      <c r="M500" s="16">
        <v>41.55</v>
      </c>
      <c r="N500" s="16">
        <v>194.23759999999999</v>
      </c>
      <c r="O500" s="16">
        <f t="shared" ref="O500:O519" si="20">(6*K500+L500+M500)/8</f>
        <v>37.557650000000002</v>
      </c>
      <c r="P500" s="7"/>
      <c r="Q500" s="8">
        <f>bdrate(C500:C503,D500:D503,J500:J503,K500:K503)</f>
        <v>-0.56374922822769213</v>
      </c>
      <c r="R500" s="8">
        <f>bdrate(C500:C503,E500:E503,J500:J503,L500:L503)</f>
        <v>-0.44019046595966482</v>
      </c>
      <c r="S500" s="8">
        <f>bdrate(C500:C503,F500:F503,J500:J503,M500:M503)</f>
        <v>-0.38502013800276202</v>
      </c>
      <c r="T500" s="25">
        <f>bdrate(C500:C503,H500:H503,J500:J503,O500:O503)</f>
        <v>-0.54345648131425883</v>
      </c>
      <c r="U500" s="28">
        <f t="shared" ref="U500:U519" si="21">(N500-G500)/G500</f>
        <v>5.5983472871588502E-2</v>
      </c>
    </row>
    <row r="501" spans="2:21" hidden="1" x14ac:dyDescent="0.25">
      <c r="B501" s="9"/>
      <c r="C501" s="17">
        <v>1505.51</v>
      </c>
      <c r="D501" s="18">
        <v>33.728000000000002</v>
      </c>
      <c r="E501" s="18">
        <v>40.673000000000002</v>
      </c>
      <c r="F501" s="18">
        <v>40.045999999999999</v>
      </c>
      <c r="G501" s="18">
        <v>197.11</v>
      </c>
      <c r="H501" s="18">
        <f t="shared" si="19"/>
        <v>35.385874999999999</v>
      </c>
      <c r="I501" s="5"/>
      <c r="J501" s="17">
        <v>1015.3271999999999</v>
      </c>
      <c r="K501" s="18">
        <v>34.950600000000001</v>
      </c>
      <c r="L501" s="18">
        <v>41.085000000000001</v>
      </c>
      <c r="M501" s="18">
        <v>40.427</v>
      </c>
      <c r="N501" s="18">
        <v>248.13900000000001</v>
      </c>
      <c r="O501" s="18">
        <f t="shared" si="20"/>
        <v>36.401949999999999</v>
      </c>
      <c r="P501" s="7"/>
      <c r="Q501" s="10"/>
      <c r="R501" s="11"/>
      <c r="S501" s="11"/>
      <c r="T501" s="26"/>
      <c r="U501" s="28">
        <f t="shared" si="21"/>
        <v>0.25888590127340061</v>
      </c>
    </row>
    <row r="502" spans="2:21" hidden="1" x14ac:dyDescent="0.25">
      <c r="B502" s="9"/>
      <c r="C502" s="17">
        <v>922.24</v>
      </c>
      <c r="D502" s="18">
        <v>31.177</v>
      </c>
      <c r="E502" s="18">
        <v>39.497999999999998</v>
      </c>
      <c r="F502" s="18">
        <v>38.640999999999998</v>
      </c>
      <c r="G502" s="18">
        <v>201.41</v>
      </c>
      <c r="H502" s="18">
        <f t="shared" si="19"/>
        <v>33.150125000000003</v>
      </c>
      <c r="I502" s="5"/>
      <c r="J502" s="17">
        <v>605.26400000000001</v>
      </c>
      <c r="K502" s="18">
        <v>33.230699999999999</v>
      </c>
      <c r="L502" s="18">
        <v>39.915700000000001</v>
      </c>
      <c r="M502" s="18">
        <v>38.797699999999999</v>
      </c>
      <c r="N502" s="18">
        <v>284.90030000000002</v>
      </c>
      <c r="O502" s="18">
        <f t="shared" si="20"/>
        <v>34.7622</v>
      </c>
      <c r="P502" s="7"/>
      <c r="Q502" s="10"/>
      <c r="R502" s="11"/>
      <c r="S502" s="11"/>
      <c r="T502" s="26"/>
      <c r="U502" s="28">
        <f t="shared" si="21"/>
        <v>0.41452907005610456</v>
      </c>
    </row>
    <row r="503" spans="2:21" ht="16.5" hidden="1" thickBot="1" x14ac:dyDescent="0.3">
      <c r="B503" s="12"/>
      <c r="C503" s="19">
        <v>480.8</v>
      </c>
      <c r="D503" s="20">
        <v>26.943999999999999</v>
      </c>
      <c r="E503" s="20">
        <v>37.692</v>
      </c>
      <c r="F503" s="20">
        <v>36.552</v>
      </c>
      <c r="G503" s="20">
        <v>203.53</v>
      </c>
      <c r="H503" s="20">
        <f t="shared" si="19"/>
        <v>29.488499999999998</v>
      </c>
      <c r="I503" s="5"/>
      <c r="J503" s="19">
        <v>301.78399999999999</v>
      </c>
      <c r="K503" s="20">
        <v>30.838899999999999</v>
      </c>
      <c r="L503" s="20">
        <v>37.953400000000002</v>
      </c>
      <c r="M503" s="20">
        <v>36.4953</v>
      </c>
      <c r="N503" s="20">
        <v>343.44589999999999</v>
      </c>
      <c r="O503" s="20">
        <f t="shared" si="20"/>
        <v>32.4352625</v>
      </c>
      <c r="P503" s="7"/>
      <c r="Q503" s="13"/>
      <c r="R503" s="14"/>
      <c r="S503" s="14"/>
      <c r="T503" s="27"/>
      <c r="U503" s="28">
        <f t="shared" si="21"/>
        <v>0.68744607674544289</v>
      </c>
    </row>
    <row r="504" spans="2:21" hidden="1" x14ac:dyDescent="0.25">
      <c r="B504" s="6" t="s">
        <v>90</v>
      </c>
      <c r="C504" s="29">
        <v>2188.5100000000002</v>
      </c>
      <c r="D504" s="30">
        <v>46.369</v>
      </c>
      <c r="E504" s="30">
        <v>51.722999999999999</v>
      </c>
      <c r="F504" s="30">
        <v>51.811</v>
      </c>
      <c r="G504" s="16">
        <v>194.07</v>
      </c>
      <c r="H504" s="16">
        <f t="shared" si="19"/>
        <v>47.718499999999999</v>
      </c>
      <c r="I504" s="5"/>
      <c r="J504" s="29">
        <v>1503.7107000000001</v>
      </c>
      <c r="K504" s="30">
        <v>46.9193</v>
      </c>
      <c r="L504" s="30">
        <v>51.686</v>
      </c>
      <c r="M504" s="30">
        <v>51.856000000000002</v>
      </c>
      <c r="N504" s="16">
        <v>171.69069999999999</v>
      </c>
      <c r="O504" s="16">
        <f t="shared" si="20"/>
        <v>48.132224999999998</v>
      </c>
      <c r="P504" s="7"/>
      <c r="Q504" s="8">
        <f>bdrate(C504:C507,D504:D507,J504:J507,K504:K507)</f>
        <v>-0.50934969187775536</v>
      </c>
      <c r="R504" s="8">
        <f>bdrate(C504:C507,E504:E507,J504:J507,L504:L507)</f>
        <v>-0.37042847653405719</v>
      </c>
      <c r="S504" s="8">
        <f>bdrate(C504:C507,F504:F507,J504:J507,M504:M507)</f>
        <v>-0.42672935538417023</v>
      </c>
      <c r="T504" s="25">
        <f>bdrate(C504:C507,H504:H507,J504:J507,O504:O507)</f>
        <v>-0.49174411678337326</v>
      </c>
      <c r="U504" s="28">
        <f t="shared" si="21"/>
        <v>-0.11531560777039214</v>
      </c>
    </row>
    <row r="505" spans="2:21" hidden="1" x14ac:dyDescent="0.25">
      <c r="B505" s="9"/>
      <c r="C505" s="31">
        <v>1454.2</v>
      </c>
      <c r="D505" s="32">
        <v>44.875</v>
      </c>
      <c r="E505" s="32">
        <v>50.93</v>
      </c>
      <c r="F505" s="32">
        <v>50.831000000000003</v>
      </c>
      <c r="G505" s="18">
        <v>223.1</v>
      </c>
      <c r="H505" s="18">
        <f t="shared" si="19"/>
        <v>46.376375000000003</v>
      </c>
      <c r="I505" s="5"/>
      <c r="J505" s="31">
        <v>1002.4079</v>
      </c>
      <c r="K505" s="32">
        <v>45.842100000000002</v>
      </c>
      <c r="L505" s="32">
        <v>50.990299999999998</v>
      </c>
      <c r="M505" s="32">
        <v>51.129199999999997</v>
      </c>
      <c r="N505" s="18">
        <v>208.47800000000001</v>
      </c>
      <c r="O505" s="18">
        <f t="shared" si="20"/>
        <v>47.1465125</v>
      </c>
      <c r="P505" s="7"/>
      <c r="Q505" s="10"/>
      <c r="R505" s="11"/>
      <c r="S505" s="11"/>
      <c r="T505" s="26"/>
      <c r="U505" s="28">
        <f t="shared" si="21"/>
        <v>-6.554011653966825E-2</v>
      </c>
    </row>
    <row r="506" spans="2:21" hidden="1" x14ac:dyDescent="0.25">
      <c r="B506" s="9"/>
      <c r="C506" s="31">
        <v>864.7</v>
      </c>
      <c r="D506" s="32">
        <v>42.773000000000003</v>
      </c>
      <c r="E506" s="32">
        <v>49.710999999999999</v>
      </c>
      <c r="F506" s="32">
        <v>49.463999999999999</v>
      </c>
      <c r="G506" s="18">
        <v>240.49</v>
      </c>
      <c r="H506" s="18">
        <f t="shared" si="19"/>
        <v>44.476625000000006</v>
      </c>
      <c r="I506" s="5"/>
      <c r="J506" s="31">
        <v>598.60360000000003</v>
      </c>
      <c r="K506" s="32">
        <v>44.190600000000003</v>
      </c>
      <c r="L506" s="32">
        <v>49.941400000000002</v>
      </c>
      <c r="M506" s="32">
        <v>50.006300000000003</v>
      </c>
      <c r="N506" s="18">
        <v>245.0264</v>
      </c>
      <c r="O506" s="18">
        <f t="shared" si="20"/>
        <v>45.636412499999999</v>
      </c>
      <c r="P506" s="7"/>
      <c r="Q506" s="10"/>
      <c r="R506" s="11"/>
      <c r="S506" s="11"/>
      <c r="T506" s="26"/>
      <c r="U506" s="28">
        <f t="shared" si="21"/>
        <v>1.8863154393114E-2</v>
      </c>
    </row>
    <row r="507" spans="2:21" ht="16.5" hidden="1" thickBot="1" x14ac:dyDescent="0.3">
      <c r="B507" s="12"/>
      <c r="C507" s="33">
        <v>423.93</v>
      </c>
      <c r="D507" s="34">
        <v>39.314999999999998</v>
      </c>
      <c r="E507" s="34">
        <v>47.488999999999997</v>
      </c>
      <c r="F507" s="34">
        <v>47.216999999999999</v>
      </c>
      <c r="G507" s="20">
        <v>255.86</v>
      </c>
      <c r="H507" s="20">
        <f t="shared" si="19"/>
        <v>41.324499999999993</v>
      </c>
      <c r="I507" s="5"/>
      <c r="J507" s="33">
        <v>292.40410000000003</v>
      </c>
      <c r="K507" s="34">
        <v>41.409799999999997</v>
      </c>
      <c r="L507" s="34">
        <v>48.234200000000001</v>
      </c>
      <c r="M507" s="34">
        <v>48.132599999999996</v>
      </c>
      <c r="N507" s="20">
        <v>305.81490000000002</v>
      </c>
      <c r="O507" s="20">
        <f t="shared" si="20"/>
        <v>43.103200000000001</v>
      </c>
      <c r="P507" s="7"/>
      <c r="Q507" s="13"/>
      <c r="R507" s="14"/>
      <c r="S507" s="14"/>
      <c r="T507" s="27"/>
      <c r="U507" s="28">
        <f t="shared" si="21"/>
        <v>0.19524310169624015</v>
      </c>
    </row>
    <row r="508" spans="2:21" hidden="1" x14ac:dyDescent="0.25">
      <c r="B508" s="6" t="s">
        <v>91</v>
      </c>
      <c r="C508" s="15">
        <v>3996.53</v>
      </c>
      <c r="D508" s="16">
        <v>43.392000000000003</v>
      </c>
      <c r="E508" s="16">
        <v>48.058</v>
      </c>
      <c r="F508" s="16">
        <v>49.905999999999999</v>
      </c>
      <c r="G508" s="16">
        <v>78.06</v>
      </c>
      <c r="H508" s="16">
        <f t="shared" si="19"/>
        <v>44.789500000000004</v>
      </c>
      <c r="I508" s="5"/>
      <c r="J508" s="15">
        <v>2432.4096</v>
      </c>
      <c r="K508" s="16">
        <v>43.3917</v>
      </c>
      <c r="L508" s="16">
        <v>47.471499999999999</v>
      </c>
      <c r="M508" s="16">
        <v>49.4557</v>
      </c>
      <c r="N508" s="16">
        <v>72.836600000000004</v>
      </c>
      <c r="O508" s="16">
        <f t="shared" si="20"/>
        <v>44.659674999999993</v>
      </c>
      <c r="P508" s="7"/>
      <c r="Q508" s="8">
        <f>bdrate(C508:C511,D508:D511,J508:J511,K508:K511)</f>
        <v>-0.49631771752283427</v>
      </c>
      <c r="R508" s="8">
        <f>bdrate(C508:C511,E508:E511,J508:J511,L508:L511)</f>
        <v>-0.41682908931815466</v>
      </c>
      <c r="S508" s="8">
        <f>bdrate(C508:C511,F508:F511,J508:J511,M508:M511)</f>
        <v>-0.46739430174127239</v>
      </c>
      <c r="T508" s="25">
        <f>bdrate(C508:C511,H508:H511,J508:J511,O508:O511)</f>
        <v>-0.48638121308947491</v>
      </c>
      <c r="U508" s="28">
        <f t="shared" si="21"/>
        <v>-6.6915193440942836E-2</v>
      </c>
    </row>
    <row r="509" spans="2:21" hidden="1" x14ac:dyDescent="0.25">
      <c r="B509" s="9"/>
      <c r="C509" s="17">
        <v>2689.11</v>
      </c>
      <c r="D509" s="18">
        <v>41.393999999999998</v>
      </c>
      <c r="E509" s="18">
        <v>46.665999999999997</v>
      </c>
      <c r="F509" s="18">
        <v>48.46</v>
      </c>
      <c r="G509" s="18">
        <v>86.32</v>
      </c>
      <c r="H509" s="18">
        <f t="shared" si="19"/>
        <v>42.936249999999994</v>
      </c>
      <c r="I509" s="5"/>
      <c r="J509" s="17">
        <v>1608.259</v>
      </c>
      <c r="K509" s="18">
        <v>41.808300000000003</v>
      </c>
      <c r="L509" s="18">
        <v>46.381900000000002</v>
      </c>
      <c r="M509" s="18">
        <v>48.436799999999998</v>
      </c>
      <c r="N509" s="18">
        <v>94.343299999999999</v>
      </c>
      <c r="O509" s="18">
        <f t="shared" si="20"/>
        <v>43.208562500000006</v>
      </c>
      <c r="P509" s="7"/>
      <c r="Q509" s="10"/>
      <c r="R509" s="11"/>
      <c r="S509" s="11"/>
      <c r="T509" s="26"/>
      <c r="U509" s="28">
        <f t="shared" si="21"/>
        <v>9.2948331788693314E-2</v>
      </c>
    </row>
    <row r="510" spans="2:21" hidden="1" x14ac:dyDescent="0.25">
      <c r="B510" s="9"/>
      <c r="C510" s="17">
        <v>1696.07</v>
      </c>
      <c r="D510" s="18">
        <v>38.625</v>
      </c>
      <c r="E510" s="18">
        <v>44.744999999999997</v>
      </c>
      <c r="F510" s="18">
        <v>46.249000000000002</v>
      </c>
      <c r="G510" s="18">
        <v>91.53</v>
      </c>
      <c r="H510" s="18">
        <f t="shared" si="19"/>
        <v>40.343000000000004</v>
      </c>
      <c r="I510" s="5"/>
      <c r="J510" s="17">
        <v>998.29259999999999</v>
      </c>
      <c r="K510" s="18">
        <v>39.868099999999998</v>
      </c>
      <c r="L510" s="18">
        <v>45.005299999999998</v>
      </c>
      <c r="M510" s="18">
        <v>47.052500000000002</v>
      </c>
      <c r="N510" s="18">
        <v>108.8862</v>
      </c>
      <c r="O510" s="18">
        <f t="shared" si="20"/>
        <v>41.408299999999997</v>
      </c>
      <c r="P510" s="7"/>
      <c r="Q510" s="10"/>
      <c r="R510" s="11"/>
      <c r="S510" s="11"/>
      <c r="T510" s="26"/>
      <c r="U510" s="28">
        <f t="shared" si="21"/>
        <v>0.18962307440183548</v>
      </c>
    </row>
    <row r="511" spans="2:21" ht="16.5" hidden="1" thickBot="1" x14ac:dyDescent="0.3">
      <c r="B511" s="12"/>
      <c r="C511" s="19">
        <v>1030.43</v>
      </c>
      <c r="D511" s="20">
        <v>35.244999999999997</v>
      </c>
      <c r="E511" s="20">
        <v>42.48</v>
      </c>
      <c r="F511" s="20">
        <v>43.604999999999997</v>
      </c>
      <c r="G511" s="20">
        <v>95.13</v>
      </c>
      <c r="H511" s="20">
        <f t="shared" si="19"/>
        <v>37.194374999999994</v>
      </c>
      <c r="I511" s="5"/>
      <c r="J511" s="19">
        <v>594.62710000000004</v>
      </c>
      <c r="K511" s="20">
        <v>37.744999999999997</v>
      </c>
      <c r="L511" s="20">
        <v>43.577399999999997</v>
      </c>
      <c r="M511" s="20">
        <v>45.6877</v>
      </c>
      <c r="N511" s="20">
        <v>123.10980000000001</v>
      </c>
      <c r="O511" s="20">
        <f t="shared" si="20"/>
        <v>39.466887499999999</v>
      </c>
      <c r="P511" s="7"/>
      <c r="Q511" s="13"/>
      <c r="R511" s="14"/>
      <c r="S511" s="14"/>
      <c r="T511" s="27"/>
      <c r="U511" s="28">
        <f t="shared" si="21"/>
        <v>0.29412172816146337</v>
      </c>
    </row>
    <row r="512" spans="2:21" hidden="1" x14ac:dyDescent="0.25">
      <c r="B512" s="6" t="s">
        <v>92</v>
      </c>
      <c r="C512" s="15">
        <v>3461.36</v>
      </c>
      <c r="D512" s="16">
        <v>38.576000000000001</v>
      </c>
      <c r="E512" s="16">
        <v>41.470999999999997</v>
      </c>
      <c r="F512" s="16">
        <v>43.012999999999998</v>
      </c>
      <c r="G512" s="16">
        <v>90.97</v>
      </c>
      <c r="H512" s="16">
        <f t="shared" si="19"/>
        <v>39.4925</v>
      </c>
      <c r="I512" s="5"/>
      <c r="J512" s="15">
        <v>2381.5699</v>
      </c>
      <c r="K512" s="16">
        <v>39.777799999999999</v>
      </c>
      <c r="L512" s="16">
        <v>41.846800000000002</v>
      </c>
      <c r="M512" s="16">
        <v>43.439599999999999</v>
      </c>
      <c r="N512" s="16">
        <v>78.472899999999996</v>
      </c>
      <c r="O512" s="16">
        <f t="shared" si="20"/>
        <v>40.494149999999998</v>
      </c>
      <c r="P512" s="7"/>
      <c r="Q512" s="8">
        <f>bdrate(C512:C515,D512:D515,J512:J515,K512:K515)</f>
        <v>-0.74083944015012038</v>
      </c>
      <c r="R512" s="8">
        <f>bdrate(C512:C515,E512:E515,J512:J515,L512:L515)</f>
        <v>-0.6327907017549852</v>
      </c>
      <c r="S512" s="8">
        <f>bdrate(C512:C515,F512:F515,J512:J515,M512:M515)</f>
        <v>-0.66487113793273855</v>
      </c>
      <c r="T512" s="25">
        <f>bdrate(C512:C515,H512:H515,J512:J515,O512:O515)</f>
        <v>-0.73115210432699418</v>
      </c>
      <c r="U512" s="28">
        <f t="shared" si="21"/>
        <v>-0.1373760580411125</v>
      </c>
    </row>
    <row r="513" spans="2:21" hidden="1" x14ac:dyDescent="0.25">
      <c r="B513" s="9"/>
      <c r="C513" s="17">
        <v>2306.08</v>
      </c>
      <c r="D513" s="18">
        <v>37.448999999999998</v>
      </c>
      <c r="E513" s="18">
        <v>41.075000000000003</v>
      </c>
      <c r="F513" s="18">
        <v>42.597999999999999</v>
      </c>
      <c r="G513" s="18">
        <v>100.76</v>
      </c>
      <c r="H513" s="18">
        <f t="shared" si="19"/>
        <v>38.545875000000002</v>
      </c>
      <c r="I513" s="5"/>
      <c r="J513" s="17">
        <v>1547.4409000000001</v>
      </c>
      <c r="K513" s="18">
        <v>39.221800000000002</v>
      </c>
      <c r="L513" s="18">
        <v>41.536099999999998</v>
      </c>
      <c r="M513" s="18">
        <v>43.160699999999999</v>
      </c>
      <c r="N513" s="18">
        <v>108.29649999999999</v>
      </c>
      <c r="O513" s="18">
        <f t="shared" si="20"/>
        <v>40.003450000000001</v>
      </c>
      <c r="P513" s="7"/>
      <c r="Q513" s="10"/>
      <c r="R513" s="11"/>
      <c r="S513" s="11"/>
      <c r="T513" s="26"/>
      <c r="U513" s="28">
        <f t="shared" si="21"/>
        <v>7.4796546248511203E-2</v>
      </c>
    </row>
    <row r="514" spans="2:21" hidden="1" x14ac:dyDescent="0.25">
      <c r="B514" s="9"/>
      <c r="C514" s="17">
        <v>1442.43</v>
      </c>
      <c r="D514" s="18">
        <v>35.966999999999999</v>
      </c>
      <c r="E514" s="18">
        <v>40.573</v>
      </c>
      <c r="F514" s="18">
        <v>42.017000000000003</v>
      </c>
      <c r="G514" s="18">
        <v>105.85</v>
      </c>
      <c r="H514" s="18">
        <f t="shared" si="19"/>
        <v>37.298999999999999</v>
      </c>
      <c r="I514" s="5"/>
      <c r="J514" s="17">
        <v>941.32219999999995</v>
      </c>
      <c r="K514" s="18">
        <v>38.459299999999999</v>
      </c>
      <c r="L514" s="18">
        <v>41.162199999999999</v>
      </c>
      <c r="M514" s="18">
        <v>42.770899999999997</v>
      </c>
      <c r="N514" s="18">
        <v>123.5993</v>
      </c>
      <c r="O514" s="18">
        <f t="shared" si="20"/>
        <v>39.336112499999999</v>
      </c>
      <c r="P514" s="7"/>
      <c r="Q514" s="10"/>
      <c r="R514" s="11"/>
      <c r="S514" s="11"/>
      <c r="T514" s="26"/>
      <c r="U514" s="28">
        <f t="shared" si="21"/>
        <v>0.16768351440718002</v>
      </c>
    </row>
    <row r="515" spans="2:21" ht="16.5" hidden="1" thickBot="1" x14ac:dyDescent="0.3">
      <c r="B515" s="12"/>
      <c r="C515" s="19">
        <v>869.96</v>
      </c>
      <c r="D515" s="20">
        <v>33.814999999999998</v>
      </c>
      <c r="E515" s="20">
        <v>39.866</v>
      </c>
      <c r="F515" s="20">
        <v>41.174999999999997</v>
      </c>
      <c r="G515" s="20">
        <v>109.94</v>
      </c>
      <c r="H515" s="20">
        <f t="shared" si="19"/>
        <v>35.491374999999998</v>
      </c>
      <c r="I515" s="5"/>
      <c r="J515" s="19">
        <v>542.00869999999998</v>
      </c>
      <c r="K515" s="20">
        <v>37.480600000000003</v>
      </c>
      <c r="L515" s="20">
        <v>40.728099999999998</v>
      </c>
      <c r="M515" s="20">
        <v>42.311900000000001</v>
      </c>
      <c r="N515" s="20">
        <v>138.87549999999999</v>
      </c>
      <c r="O515" s="20">
        <f t="shared" si="20"/>
        <v>38.490449999999996</v>
      </c>
      <c r="P515" s="7"/>
      <c r="Q515" s="13"/>
      <c r="R515" s="14"/>
      <c r="S515" s="14"/>
      <c r="T515" s="27"/>
      <c r="U515" s="28">
        <f t="shared" si="21"/>
        <v>0.26319356012370376</v>
      </c>
    </row>
    <row r="516" spans="2:21" hidden="1" x14ac:dyDescent="0.25">
      <c r="B516" s="6" t="s">
        <v>93</v>
      </c>
      <c r="C516" s="15">
        <v>3464.9</v>
      </c>
      <c r="D516" s="16">
        <v>34.593000000000004</v>
      </c>
      <c r="E516" s="16">
        <v>39.436999999999998</v>
      </c>
      <c r="F516" s="16">
        <v>40.869999999999997</v>
      </c>
      <c r="G516" s="16">
        <v>97.93</v>
      </c>
      <c r="H516" s="16">
        <f t="shared" si="19"/>
        <v>35.983125000000001</v>
      </c>
      <c r="I516" s="5"/>
      <c r="J516" s="15">
        <v>2404.7278999999999</v>
      </c>
      <c r="K516" s="16">
        <v>35.818100000000001</v>
      </c>
      <c r="L516" s="16">
        <v>40.466999999999999</v>
      </c>
      <c r="M516" s="16">
        <v>41.533999999999999</v>
      </c>
      <c r="N516" s="16">
        <v>85.034800000000004</v>
      </c>
      <c r="O516" s="16">
        <f t="shared" si="20"/>
        <v>37.113700000000001</v>
      </c>
      <c r="P516" s="7"/>
      <c r="Q516" s="8">
        <f>bdrate(C516:C519,D516:D519,J516:J519,K516:K519)</f>
        <v>-0.57641853702221657</v>
      </c>
      <c r="R516" s="8">
        <f>bdrate(C516:C519,E516:E519,J516:J519,L516:L519)</f>
        <v>-0.52043264223988972</v>
      </c>
      <c r="S516" s="8">
        <f>bdrate(C516:C519,F516:F519,J516:J519,M516:M519)</f>
        <v>-0.44643661932736844</v>
      </c>
      <c r="T516" s="25">
        <f>bdrate(C516:C519,H516:H519,J516:J519,O516:O519)</f>
        <v>-0.56481359674890008</v>
      </c>
      <c r="U516" s="28">
        <f t="shared" si="21"/>
        <v>-0.13167772899009497</v>
      </c>
    </row>
    <row r="517" spans="2:21" hidden="1" x14ac:dyDescent="0.25">
      <c r="B517" s="9"/>
      <c r="C517" s="17">
        <v>2315.19</v>
      </c>
      <c r="D517" s="18">
        <v>32.603000000000002</v>
      </c>
      <c r="E517" s="18">
        <v>38.417999999999999</v>
      </c>
      <c r="F517" s="18">
        <v>39.866999999999997</v>
      </c>
      <c r="G517" s="18">
        <v>106.17</v>
      </c>
      <c r="H517" s="18">
        <f t="shared" si="19"/>
        <v>34.237875000000003</v>
      </c>
      <c r="I517" s="5"/>
      <c r="J517" s="17">
        <v>1602.8681999999999</v>
      </c>
      <c r="K517" s="18">
        <v>34.360399999999998</v>
      </c>
      <c r="L517" s="18">
        <v>39.377099999999999</v>
      </c>
      <c r="M517" s="18">
        <v>40.470799999999997</v>
      </c>
      <c r="N517" s="18">
        <v>112.7102</v>
      </c>
      <c r="O517" s="18">
        <f t="shared" si="20"/>
        <v>35.751287499999997</v>
      </c>
      <c r="P517" s="7"/>
      <c r="Q517" s="10"/>
      <c r="R517" s="11"/>
      <c r="S517" s="11"/>
      <c r="T517" s="26"/>
      <c r="U517" s="28">
        <f t="shared" si="21"/>
        <v>6.1601205613638493E-2</v>
      </c>
    </row>
    <row r="518" spans="2:21" hidden="1" x14ac:dyDescent="0.25">
      <c r="B518" s="9"/>
      <c r="C518" s="17">
        <v>1443.77</v>
      </c>
      <c r="D518" s="18">
        <v>30.387</v>
      </c>
      <c r="E518" s="18">
        <v>37.369999999999997</v>
      </c>
      <c r="F518" s="18">
        <v>38.796999999999997</v>
      </c>
      <c r="G518" s="18">
        <v>111.64</v>
      </c>
      <c r="H518" s="18">
        <f t="shared" si="19"/>
        <v>32.311125000000004</v>
      </c>
      <c r="I518" s="5"/>
      <c r="J518" s="17">
        <v>999.19029999999998</v>
      </c>
      <c r="K518" s="18">
        <v>32.713700000000003</v>
      </c>
      <c r="L518" s="18">
        <v>38.193399999999997</v>
      </c>
      <c r="M518" s="18">
        <v>39.3108</v>
      </c>
      <c r="N518" s="18">
        <v>129.69130000000001</v>
      </c>
      <c r="O518" s="18">
        <f t="shared" si="20"/>
        <v>34.223300000000002</v>
      </c>
      <c r="P518" s="7"/>
      <c r="Q518" s="10"/>
      <c r="R518" s="11"/>
      <c r="S518" s="11"/>
      <c r="T518" s="26"/>
      <c r="U518" s="28">
        <f t="shared" si="21"/>
        <v>0.16169204586169841</v>
      </c>
    </row>
    <row r="519" spans="2:21" ht="16.5" hidden="1" thickBot="1" x14ac:dyDescent="0.3">
      <c r="B519" s="12"/>
      <c r="C519" s="19">
        <v>860.41</v>
      </c>
      <c r="D519" s="20">
        <v>28.064</v>
      </c>
      <c r="E519" s="20">
        <v>36.347000000000001</v>
      </c>
      <c r="F519" s="20">
        <v>37.753999999999998</v>
      </c>
      <c r="G519" s="20">
        <v>115.03</v>
      </c>
      <c r="H519" s="20">
        <f t="shared" si="19"/>
        <v>30.310625000000002</v>
      </c>
      <c r="I519" s="5"/>
      <c r="J519" s="19">
        <v>592.91719999999998</v>
      </c>
      <c r="K519" s="20">
        <v>30.998799999999999</v>
      </c>
      <c r="L519" s="20">
        <v>36.954300000000003</v>
      </c>
      <c r="M519" s="20">
        <v>38.033900000000003</v>
      </c>
      <c r="N519" s="20">
        <v>144.98439999999999</v>
      </c>
      <c r="O519" s="20">
        <f t="shared" si="20"/>
        <v>32.622624999999999</v>
      </c>
      <c r="P519" s="7"/>
      <c r="Q519" s="13"/>
      <c r="R519" s="14"/>
      <c r="S519" s="14"/>
      <c r="T519" s="27"/>
      <c r="U519" s="28">
        <f t="shared" si="21"/>
        <v>0.26040511170998865</v>
      </c>
    </row>
    <row r="520" spans="2:21" ht="16.5" thickBot="1" x14ac:dyDescent="0.3">
      <c r="B520" s="22" t="s">
        <v>22</v>
      </c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1">
        <f>AVERAGE(Q268:Q339)</f>
        <v>-0.46982904077040544</v>
      </c>
      <c r="R520" s="21">
        <f>AVERAGE(R268:R339)</f>
        <v>-0.50087856701657862</v>
      </c>
      <c r="S520" s="21">
        <f>AVERAGE(S268:S339)</f>
        <v>-0.50290380037866456</v>
      </c>
      <c r="T520" s="21">
        <f>AVERAGE(T268:T339)</f>
        <v>-0.47875734732893654</v>
      </c>
      <c r="U520" s="21">
        <f>AVERAGE(U268:U339)</f>
        <v>-0.11730814841704611</v>
      </c>
    </row>
  </sheetData>
  <mergeCells count="12">
    <mergeCell ref="B264:B265"/>
    <mergeCell ref="C266:H266"/>
    <mergeCell ref="J266:O266"/>
    <mergeCell ref="Q266:S266"/>
    <mergeCell ref="U7:U8"/>
    <mergeCell ref="U266:U267"/>
    <mergeCell ref="C264:U265"/>
    <mergeCell ref="B5:B6"/>
    <mergeCell ref="C7:H7"/>
    <mergeCell ref="J7:O7"/>
    <mergeCell ref="Q7:S7"/>
    <mergeCell ref="C5:U6"/>
  </mergeCells>
  <phoneticPr fontId="5" type="noConversion"/>
  <conditionalFormatting sqref="Q29:T32 Q37:T44 Q9:T20">
    <cfRule type="cellIs" dxfId="971" priority="309" operator="greaterThan">
      <formula>0.03</formula>
    </cfRule>
    <cfRule type="cellIs" dxfId="970" priority="310" stopIfTrue="1" operator="lessThan">
      <formula>-0.03</formula>
    </cfRule>
  </conditionalFormatting>
  <conditionalFormatting sqref="Q33:T36">
    <cfRule type="cellIs" dxfId="969" priority="307" operator="greaterThan">
      <formula>0.03</formula>
    </cfRule>
    <cfRule type="cellIs" dxfId="968" priority="308" stopIfTrue="1" operator="lessThan">
      <formula>-0.03</formula>
    </cfRule>
  </conditionalFormatting>
  <conditionalFormatting sqref="Q46:T48 Q62:T64">
    <cfRule type="cellIs" dxfId="967" priority="305" operator="greaterThan">
      <formula>0.03</formula>
    </cfRule>
    <cfRule type="cellIs" dxfId="966" priority="306" stopIfTrue="1" operator="lessThan">
      <formula>-0.03</formula>
    </cfRule>
  </conditionalFormatting>
  <conditionalFormatting sqref="Q50:T52 Q54:T56 Q58:T60">
    <cfRule type="cellIs" dxfId="965" priority="303" operator="greaterThan">
      <formula>0.03</formula>
    </cfRule>
    <cfRule type="cellIs" dxfId="964" priority="304" stopIfTrue="1" operator="lessThan">
      <formula>-0.03</formula>
    </cfRule>
  </conditionalFormatting>
  <conditionalFormatting sqref="Q70:T72 Q74:T76">
    <cfRule type="cellIs" dxfId="963" priority="301" operator="greaterThan">
      <formula>0.03</formula>
    </cfRule>
    <cfRule type="cellIs" dxfId="962" priority="302" stopIfTrue="1" operator="lessThan">
      <formula>-0.03</formula>
    </cfRule>
  </conditionalFormatting>
  <conditionalFormatting sqref="Q66:T68">
    <cfRule type="cellIs" dxfId="961" priority="299" operator="greaterThan">
      <formula>0.03</formula>
    </cfRule>
    <cfRule type="cellIs" dxfId="960" priority="300" stopIfTrue="1" operator="lessThan">
      <formula>-0.03</formula>
    </cfRule>
  </conditionalFormatting>
  <conditionalFormatting sqref="Q78:T80">
    <cfRule type="cellIs" dxfId="959" priority="297" operator="greaterThan">
      <formula>0.03</formula>
    </cfRule>
    <cfRule type="cellIs" dxfId="958" priority="298" stopIfTrue="1" operator="lessThan">
      <formula>-0.03</formula>
    </cfRule>
  </conditionalFormatting>
  <conditionalFormatting sqref="Q21:T28">
    <cfRule type="cellIs" dxfId="957" priority="273" operator="greaterThan">
      <formula>0.03</formula>
    </cfRule>
    <cfRule type="cellIs" dxfId="956" priority="274" stopIfTrue="1" operator="lessThan">
      <formula>-0.03</formula>
    </cfRule>
  </conditionalFormatting>
  <conditionalFormatting sqref="Q288:T291 Q296:T303 Q268:T279">
    <cfRule type="cellIs" dxfId="955" priority="269" operator="greaterThan">
      <formula>0.03</formula>
    </cfRule>
    <cfRule type="cellIs" dxfId="954" priority="270" stopIfTrue="1" operator="lessThan">
      <formula>-0.03</formula>
    </cfRule>
  </conditionalFormatting>
  <conditionalFormatting sqref="Q292:T295">
    <cfRule type="cellIs" dxfId="953" priority="267" operator="greaterThan">
      <formula>0.03</formula>
    </cfRule>
    <cfRule type="cellIs" dxfId="952" priority="268" stopIfTrue="1" operator="lessThan">
      <formula>-0.03</formula>
    </cfRule>
  </conditionalFormatting>
  <conditionalFormatting sqref="Q304:T307 Q320:T323">
    <cfRule type="cellIs" dxfId="951" priority="265" operator="greaterThan">
      <formula>0.03</formula>
    </cfRule>
    <cfRule type="cellIs" dxfId="950" priority="266" stopIfTrue="1" operator="lessThan">
      <formula>-0.03</formula>
    </cfRule>
  </conditionalFormatting>
  <conditionalFormatting sqref="Q308:T319">
    <cfRule type="cellIs" dxfId="949" priority="263" operator="greaterThan">
      <formula>0.03</formula>
    </cfRule>
    <cfRule type="cellIs" dxfId="948" priority="264" stopIfTrue="1" operator="lessThan">
      <formula>-0.03</formula>
    </cfRule>
  </conditionalFormatting>
  <conditionalFormatting sqref="Q328:T335">
    <cfRule type="cellIs" dxfId="947" priority="261" operator="greaterThan">
      <formula>0.03</formula>
    </cfRule>
    <cfRule type="cellIs" dxfId="946" priority="262" stopIfTrue="1" operator="lessThan">
      <formula>-0.03</formula>
    </cfRule>
  </conditionalFormatting>
  <conditionalFormatting sqref="Q324:T327">
    <cfRule type="cellIs" dxfId="945" priority="259" operator="greaterThan">
      <formula>0.03</formula>
    </cfRule>
    <cfRule type="cellIs" dxfId="944" priority="260" stopIfTrue="1" operator="lessThan">
      <formula>-0.03</formula>
    </cfRule>
  </conditionalFormatting>
  <conditionalFormatting sqref="Q336:T339">
    <cfRule type="cellIs" dxfId="943" priority="257" operator="greaterThan">
      <formula>0.03</formula>
    </cfRule>
    <cfRule type="cellIs" dxfId="942" priority="258" stopIfTrue="1" operator="lessThan">
      <formula>-0.03</formula>
    </cfRule>
  </conditionalFormatting>
  <conditionalFormatting sqref="Q280:T287">
    <cfRule type="cellIs" dxfId="941" priority="253" operator="greaterThan">
      <formula>0.03</formula>
    </cfRule>
    <cfRule type="cellIs" dxfId="940" priority="254" stopIfTrue="1" operator="lessThan">
      <formula>-0.03</formula>
    </cfRule>
  </conditionalFormatting>
  <conditionalFormatting sqref="Q45:T45">
    <cfRule type="cellIs" dxfId="939" priority="251" operator="greaterThan">
      <formula>0.03</formula>
    </cfRule>
    <cfRule type="cellIs" dxfId="938" priority="252" stopIfTrue="1" operator="lessThan">
      <formula>-0.03</formula>
    </cfRule>
  </conditionalFormatting>
  <conditionalFormatting sqref="Q49:T49">
    <cfRule type="cellIs" dxfId="937" priority="249" operator="greaterThan">
      <formula>0.03</formula>
    </cfRule>
    <cfRule type="cellIs" dxfId="936" priority="250" stopIfTrue="1" operator="lessThan">
      <formula>-0.03</formula>
    </cfRule>
  </conditionalFormatting>
  <conditionalFormatting sqref="Q53:T53">
    <cfRule type="cellIs" dxfId="935" priority="247" operator="greaterThan">
      <formula>0.03</formula>
    </cfRule>
    <cfRule type="cellIs" dxfId="934" priority="248" stopIfTrue="1" operator="lessThan">
      <formula>-0.03</formula>
    </cfRule>
  </conditionalFormatting>
  <conditionalFormatting sqref="Q57:T57">
    <cfRule type="cellIs" dxfId="933" priority="245" operator="greaterThan">
      <formula>0.03</formula>
    </cfRule>
    <cfRule type="cellIs" dxfId="932" priority="246" stopIfTrue="1" operator="lessThan">
      <formula>-0.03</formula>
    </cfRule>
  </conditionalFormatting>
  <conditionalFormatting sqref="Q61:T61">
    <cfRule type="cellIs" dxfId="931" priority="243" operator="greaterThan">
      <formula>0.03</formula>
    </cfRule>
    <cfRule type="cellIs" dxfId="930" priority="244" stopIfTrue="1" operator="lessThan">
      <formula>-0.03</formula>
    </cfRule>
  </conditionalFormatting>
  <conditionalFormatting sqref="Q65:T65">
    <cfRule type="cellIs" dxfId="929" priority="241" operator="greaterThan">
      <formula>0.03</formula>
    </cfRule>
    <cfRule type="cellIs" dxfId="928" priority="242" stopIfTrue="1" operator="lessThan">
      <formula>-0.03</formula>
    </cfRule>
  </conditionalFormatting>
  <conditionalFormatting sqref="Q69:T69">
    <cfRule type="cellIs" dxfId="927" priority="239" operator="greaterThan">
      <formula>0.03</formula>
    </cfRule>
    <cfRule type="cellIs" dxfId="926" priority="240" stopIfTrue="1" operator="lessThan">
      <formula>-0.03</formula>
    </cfRule>
  </conditionalFormatting>
  <conditionalFormatting sqref="Q73:T73">
    <cfRule type="cellIs" dxfId="925" priority="237" operator="greaterThan">
      <formula>0.03</formula>
    </cfRule>
    <cfRule type="cellIs" dxfId="924" priority="238" stopIfTrue="1" operator="lessThan">
      <formula>-0.03</formula>
    </cfRule>
  </conditionalFormatting>
  <conditionalFormatting sqref="Q77:T77">
    <cfRule type="cellIs" dxfId="923" priority="235" operator="greaterThan">
      <formula>0.03</formula>
    </cfRule>
    <cfRule type="cellIs" dxfId="922" priority="236" stopIfTrue="1" operator="lessThan">
      <formula>-0.03</formula>
    </cfRule>
  </conditionalFormatting>
  <conditionalFormatting sqref="Q93:T96">
    <cfRule type="cellIs" dxfId="921" priority="221" operator="greaterThan">
      <formula>0.03</formula>
    </cfRule>
    <cfRule type="cellIs" dxfId="920" priority="222" stopIfTrue="1" operator="lessThan">
      <formula>-0.03</formula>
    </cfRule>
  </conditionalFormatting>
  <conditionalFormatting sqref="Q81:T92">
    <cfRule type="cellIs" dxfId="919" priority="219" operator="greaterThan">
      <formula>0.03</formula>
    </cfRule>
    <cfRule type="cellIs" dxfId="918" priority="220" stopIfTrue="1" operator="lessThan">
      <formula>-0.03</formula>
    </cfRule>
  </conditionalFormatting>
  <conditionalFormatting sqref="Q352:T355">
    <cfRule type="cellIs" dxfId="917" priority="213" operator="greaterThan">
      <formula>0.03</formula>
    </cfRule>
    <cfRule type="cellIs" dxfId="916" priority="214" stopIfTrue="1" operator="lessThan">
      <formula>-0.03</formula>
    </cfRule>
  </conditionalFormatting>
  <conditionalFormatting sqref="Q340:T351">
    <cfRule type="cellIs" dxfId="915" priority="211" operator="greaterThan">
      <formula>0.03</formula>
    </cfRule>
    <cfRule type="cellIs" dxfId="914" priority="212" stopIfTrue="1" operator="lessThan">
      <formula>-0.03</formula>
    </cfRule>
  </conditionalFormatting>
  <conditionalFormatting sqref="Q213:T216 Q221:T228 Q193:T204">
    <cfRule type="cellIs" dxfId="913" priority="209" operator="greaterThan">
      <formula>0.03</formula>
    </cfRule>
    <cfRule type="cellIs" dxfId="912" priority="210" stopIfTrue="1" operator="lessThan">
      <formula>-0.03</formula>
    </cfRule>
  </conditionalFormatting>
  <conditionalFormatting sqref="Q217:T220">
    <cfRule type="cellIs" dxfId="911" priority="207" operator="greaterThan">
      <formula>0.03</formula>
    </cfRule>
    <cfRule type="cellIs" dxfId="910" priority="208" stopIfTrue="1" operator="lessThan">
      <formula>-0.03</formula>
    </cfRule>
  </conditionalFormatting>
  <conditionalFormatting sqref="Q230:T232 Q246:T248">
    <cfRule type="cellIs" dxfId="909" priority="205" operator="greaterThan">
      <formula>0.03</formula>
    </cfRule>
    <cfRule type="cellIs" dxfId="908" priority="206" stopIfTrue="1" operator="lessThan">
      <formula>-0.03</formula>
    </cfRule>
  </conditionalFormatting>
  <conditionalFormatting sqref="Q234:T236 Q238:T240 Q242:T244">
    <cfRule type="cellIs" dxfId="907" priority="203" operator="greaterThan">
      <formula>0.03</formula>
    </cfRule>
    <cfRule type="cellIs" dxfId="906" priority="204" stopIfTrue="1" operator="lessThan">
      <formula>-0.03</formula>
    </cfRule>
  </conditionalFormatting>
  <conditionalFormatting sqref="Q254:T256 Q258:T260">
    <cfRule type="cellIs" dxfId="905" priority="201" operator="greaterThan">
      <formula>0.03</formula>
    </cfRule>
    <cfRule type="cellIs" dxfId="904" priority="202" stopIfTrue="1" operator="lessThan">
      <formula>-0.03</formula>
    </cfRule>
  </conditionalFormatting>
  <conditionalFormatting sqref="Q250:T252">
    <cfRule type="cellIs" dxfId="903" priority="199" operator="greaterThan">
      <formula>0.03</formula>
    </cfRule>
    <cfRule type="cellIs" dxfId="902" priority="200" stopIfTrue="1" operator="lessThan">
      <formula>-0.03</formula>
    </cfRule>
  </conditionalFormatting>
  <conditionalFormatting sqref="Q205:T212">
    <cfRule type="cellIs" dxfId="901" priority="197" operator="greaterThan">
      <formula>0.03</formula>
    </cfRule>
    <cfRule type="cellIs" dxfId="900" priority="198" stopIfTrue="1" operator="lessThan">
      <formula>-0.03</formula>
    </cfRule>
  </conditionalFormatting>
  <conditionalFormatting sqref="Q229:T229">
    <cfRule type="cellIs" dxfId="899" priority="195" operator="greaterThan">
      <formula>0.03</formula>
    </cfRule>
    <cfRule type="cellIs" dxfId="898" priority="196" stopIfTrue="1" operator="lessThan">
      <formula>-0.03</formula>
    </cfRule>
  </conditionalFormatting>
  <conditionalFormatting sqref="Q233:T233">
    <cfRule type="cellIs" dxfId="897" priority="193" operator="greaterThan">
      <formula>0.03</formula>
    </cfRule>
    <cfRule type="cellIs" dxfId="896" priority="194" stopIfTrue="1" operator="lessThan">
      <formula>-0.03</formula>
    </cfRule>
  </conditionalFormatting>
  <conditionalFormatting sqref="Q237:T237">
    <cfRule type="cellIs" dxfId="895" priority="191" operator="greaterThan">
      <formula>0.03</formula>
    </cfRule>
    <cfRule type="cellIs" dxfId="894" priority="192" stopIfTrue="1" operator="lessThan">
      <formula>-0.03</formula>
    </cfRule>
  </conditionalFormatting>
  <conditionalFormatting sqref="Q241:T241">
    <cfRule type="cellIs" dxfId="893" priority="189" operator="greaterThan">
      <formula>0.03</formula>
    </cfRule>
    <cfRule type="cellIs" dxfId="892" priority="190" stopIfTrue="1" operator="lessThan">
      <formula>-0.03</formula>
    </cfRule>
  </conditionalFormatting>
  <conditionalFormatting sqref="Q245:T245">
    <cfRule type="cellIs" dxfId="891" priority="187" operator="greaterThan">
      <formula>0.03</formula>
    </cfRule>
    <cfRule type="cellIs" dxfId="890" priority="188" stopIfTrue="1" operator="lessThan">
      <formula>-0.03</formula>
    </cfRule>
  </conditionalFormatting>
  <conditionalFormatting sqref="Q249:T249">
    <cfRule type="cellIs" dxfId="889" priority="185" operator="greaterThan">
      <formula>0.03</formula>
    </cfRule>
    <cfRule type="cellIs" dxfId="888" priority="186" stopIfTrue="1" operator="lessThan">
      <formula>-0.03</formula>
    </cfRule>
  </conditionalFormatting>
  <conditionalFormatting sqref="Q253:T253">
    <cfRule type="cellIs" dxfId="887" priority="183" operator="greaterThan">
      <formula>0.03</formula>
    </cfRule>
    <cfRule type="cellIs" dxfId="886" priority="184" stopIfTrue="1" operator="lessThan">
      <formula>-0.03</formula>
    </cfRule>
  </conditionalFormatting>
  <conditionalFormatting sqref="Q257:T257">
    <cfRule type="cellIs" dxfId="885" priority="181" operator="greaterThan">
      <formula>0.03</formula>
    </cfRule>
    <cfRule type="cellIs" dxfId="884" priority="182" stopIfTrue="1" operator="lessThan">
      <formula>-0.03</formula>
    </cfRule>
  </conditionalFormatting>
  <conditionalFormatting sqref="Q472:T475 Q480:T487 Q452:T463">
    <cfRule type="cellIs" dxfId="883" priority="149" operator="greaterThan">
      <formula>0.03</formula>
    </cfRule>
    <cfRule type="cellIs" dxfId="882" priority="150" stopIfTrue="1" operator="lessThan">
      <formula>-0.03</formula>
    </cfRule>
  </conditionalFormatting>
  <conditionalFormatting sqref="Q476:T479">
    <cfRule type="cellIs" dxfId="881" priority="147" operator="greaterThan">
      <formula>0.03</formula>
    </cfRule>
    <cfRule type="cellIs" dxfId="880" priority="148" stopIfTrue="1" operator="lessThan">
      <formula>-0.03</formula>
    </cfRule>
  </conditionalFormatting>
  <conditionalFormatting sqref="Q489:T491 Q505:T507">
    <cfRule type="cellIs" dxfId="879" priority="145" operator="greaterThan">
      <formula>0.03</formula>
    </cfRule>
    <cfRule type="cellIs" dxfId="878" priority="146" stopIfTrue="1" operator="lessThan">
      <formula>-0.03</formula>
    </cfRule>
  </conditionalFormatting>
  <conditionalFormatting sqref="Q493:T495 Q497:T499 Q501:T503">
    <cfRule type="cellIs" dxfId="877" priority="143" operator="greaterThan">
      <formula>0.03</formula>
    </cfRule>
    <cfRule type="cellIs" dxfId="876" priority="144" stopIfTrue="1" operator="lessThan">
      <formula>-0.03</formula>
    </cfRule>
  </conditionalFormatting>
  <conditionalFormatting sqref="Q513:T515 Q517:T519">
    <cfRule type="cellIs" dxfId="875" priority="141" operator="greaterThan">
      <formula>0.03</formula>
    </cfRule>
    <cfRule type="cellIs" dxfId="874" priority="142" stopIfTrue="1" operator="lessThan">
      <formula>-0.03</formula>
    </cfRule>
  </conditionalFormatting>
  <conditionalFormatting sqref="Q509:T511">
    <cfRule type="cellIs" dxfId="873" priority="139" operator="greaterThan">
      <formula>0.03</formula>
    </cfRule>
    <cfRule type="cellIs" dxfId="872" priority="140" stopIfTrue="1" operator="lessThan">
      <formula>-0.03</formula>
    </cfRule>
  </conditionalFormatting>
  <conditionalFormatting sqref="Q464:T471">
    <cfRule type="cellIs" dxfId="871" priority="137" operator="greaterThan">
      <formula>0.03</formula>
    </cfRule>
    <cfRule type="cellIs" dxfId="870" priority="138" stopIfTrue="1" operator="lessThan">
      <formula>-0.03</formula>
    </cfRule>
  </conditionalFormatting>
  <conditionalFormatting sqref="Q488:T488">
    <cfRule type="cellIs" dxfId="869" priority="135" operator="greaterThan">
      <formula>0.03</formula>
    </cfRule>
    <cfRule type="cellIs" dxfId="868" priority="136" stopIfTrue="1" operator="lessThan">
      <formula>-0.03</formula>
    </cfRule>
  </conditionalFormatting>
  <conditionalFormatting sqref="Q492:T492">
    <cfRule type="cellIs" dxfId="867" priority="133" operator="greaterThan">
      <formula>0.03</formula>
    </cfRule>
    <cfRule type="cellIs" dxfId="866" priority="134" stopIfTrue="1" operator="lessThan">
      <formula>-0.03</formula>
    </cfRule>
  </conditionalFormatting>
  <conditionalFormatting sqref="Q496:T496">
    <cfRule type="cellIs" dxfId="865" priority="131" operator="greaterThan">
      <formula>0.03</formula>
    </cfRule>
    <cfRule type="cellIs" dxfId="864" priority="132" stopIfTrue="1" operator="lessThan">
      <formula>-0.03</formula>
    </cfRule>
  </conditionalFormatting>
  <conditionalFormatting sqref="Q500:T500">
    <cfRule type="cellIs" dxfId="863" priority="129" operator="greaterThan">
      <formula>0.03</formula>
    </cfRule>
    <cfRule type="cellIs" dxfId="862" priority="130" stopIfTrue="1" operator="lessThan">
      <formula>-0.03</formula>
    </cfRule>
  </conditionalFormatting>
  <conditionalFormatting sqref="Q504:T504">
    <cfRule type="cellIs" dxfId="861" priority="127" operator="greaterThan">
      <formula>0.03</formula>
    </cfRule>
    <cfRule type="cellIs" dxfId="860" priority="128" stopIfTrue="1" operator="lessThan">
      <formula>-0.03</formula>
    </cfRule>
  </conditionalFormatting>
  <conditionalFormatting sqref="Q508:T508">
    <cfRule type="cellIs" dxfId="859" priority="125" operator="greaterThan">
      <formula>0.03</formula>
    </cfRule>
    <cfRule type="cellIs" dxfId="858" priority="126" stopIfTrue="1" operator="lessThan">
      <formula>-0.03</formula>
    </cfRule>
  </conditionalFormatting>
  <conditionalFormatting sqref="Q512:T512">
    <cfRule type="cellIs" dxfId="857" priority="123" operator="greaterThan">
      <formula>0.03</formula>
    </cfRule>
    <cfRule type="cellIs" dxfId="856" priority="124" stopIfTrue="1" operator="lessThan">
      <formula>-0.03</formula>
    </cfRule>
  </conditionalFormatting>
  <conditionalFormatting sqref="Q516:T516">
    <cfRule type="cellIs" dxfId="855" priority="121" operator="greaterThan">
      <formula>0.03</formula>
    </cfRule>
    <cfRule type="cellIs" dxfId="854" priority="122" stopIfTrue="1" operator="lessThan">
      <formula>-0.03</formula>
    </cfRule>
  </conditionalFormatting>
  <conditionalFormatting sqref="Q109:T112 Q117:T124 Q97:T100">
    <cfRule type="cellIs" dxfId="853" priority="119" operator="greaterThan">
      <formula>0.03</formula>
    </cfRule>
    <cfRule type="cellIs" dxfId="852" priority="120" stopIfTrue="1" operator="lessThan">
      <formula>-0.03</formula>
    </cfRule>
  </conditionalFormatting>
  <conditionalFormatting sqref="Q113:T116">
    <cfRule type="cellIs" dxfId="851" priority="117" operator="greaterThan">
      <formula>0.03</formula>
    </cfRule>
    <cfRule type="cellIs" dxfId="850" priority="118" stopIfTrue="1" operator="lessThan">
      <formula>-0.03</formula>
    </cfRule>
  </conditionalFormatting>
  <conditionalFormatting sqref="Q126:T128 Q142:T144">
    <cfRule type="cellIs" dxfId="849" priority="115" operator="greaterThan">
      <formula>0.03</formula>
    </cfRule>
    <cfRule type="cellIs" dxfId="848" priority="116" stopIfTrue="1" operator="lessThan">
      <formula>-0.03</formula>
    </cfRule>
  </conditionalFormatting>
  <conditionalFormatting sqref="Q130:T132 Q134:T136 Q138:T140">
    <cfRule type="cellIs" dxfId="847" priority="113" operator="greaterThan">
      <formula>0.03</formula>
    </cfRule>
    <cfRule type="cellIs" dxfId="846" priority="114" stopIfTrue="1" operator="lessThan">
      <formula>-0.03</formula>
    </cfRule>
  </conditionalFormatting>
  <conditionalFormatting sqref="Q101:T108">
    <cfRule type="cellIs" dxfId="845" priority="111" operator="greaterThan">
      <formula>0.03</formula>
    </cfRule>
    <cfRule type="cellIs" dxfId="844" priority="112" stopIfTrue="1" operator="lessThan">
      <formula>-0.03</formula>
    </cfRule>
  </conditionalFormatting>
  <conditionalFormatting sqref="Q125:T125">
    <cfRule type="cellIs" dxfId="843" priority="109" operator="greaterThan">
      <formula>0.03</formula>
    </cfRule>
    <cfRule type="cellIs" dxfId="842" priority="110" stopIfTrue="1" operator="lessThan">
      <formula>-0.03</formula>
    </cfRule>
  </conditionalFormatting>
  <conditionalFormatting sqref="Q129:T129">
    <cfRule type="cellIs" dxfId="841" priority="107" operator="greaterThan">
      <formula>0.03</formula>
    </cfRule>
    <cfRule type="cellIs" dxfId="840" priority="108" stopIfTrue="1" operator="lessThan">
      <formula>-0.03</formula>
    </cfRule>
  </conditionalFormatting>
  <conditionalFormatting sqref="Q133:T133">
    <cfRule type="cellIs" dxfId="839" priority="105" operator="greaterThan">
      <formula>0.03</formula>
    </cfRule>
    <cfRule type="cellIs" dxfId="838" priority="106" stopIfTrue="1" operator="lessThan">
      <formula>-0.03</formula>
    </cfRule>
  </conditionalFormatting>
  <conditionalFormatting sqref="Q137:T137">
    <cfRule type="cellIs" dxfId="837" priority="103" operator="greaterThan">
      <formula>0.03</formula>
    </cfRule>
    <cfRule type="cellIs" dxfId="836" priority="104" stopIfTrue="1" operator="lessThan">
      <formula>-0.03</formula>
    </cfRule>
  </conditionalFormatting>
  <conditionalFormatting sqref="Q141:T141">
    <cfRule type="cellIs" dxfId="835" priority="101" operator="greaterThan">
      <formula>0.03</formula>
    </cfRule>
    <cfRule type="cellIs" dxfId="834" priority="102" stopIfTrue="1" operator="lessThan">
      <formula>-0.03</formula>
    </cfRule>
  </conditionalFormatting>
  <conditionalFormatting sqref="Q157:T160 Q165:T172 Q145:T148">
    <cfRule type="cellIs" dxfId="833" priority="99" operator="greaterThan">
      <formula>0.03</formula>
    </cfRule>
    <cfRule type="cellIs" dxfId="832" priority="100" stopIfTrue="1" operator="lessThan">
      <formula>-0.03</formula>
    </cfRule>
  </conditionalFormatting>
  <conditionalFormatting sqref="Q161:T164">
    <cfRule type="cellIs" dxfId="831" priority="97" operator="greaterThan">
      <formula>0.03</formula>
    </cfRule>
    <cfRule type="cellIs" dxfId="830" priority="98" stopIfTrue="1" operator="lessThan">
      <formula>-0.03</formula>
    </cfRule>
  </conditionalFormatting>
  <conditionalFormatting sqref="Q174:T176 Q190:T192">
    <cfRule type="cellIs" dxfId="829" priority="95" operator="greaterThan">
      <formula>0.03</formula>
    </cfRule>
    <cfRule type="cellIs" dxfId="828" priority="96" stopIfTrue="1" operator="lessThan">
      <formula>-0.03</formula>
    </cfRule>
  </conditionalFormatting>
  <conditionalFormatting sqref="Q178:T180 Q182:T184 Q186:T188">
    <cfRule type="cellIs" dxfId="827" priority="93" operator="greaterThan">
      <formula>0.03</formula>
    </cfRule>
    <cfRule type="cellIs" dxfId="826" priority="94" stopIfTrue="1" operator="lessThan">
      <formula>-0.03</formula>
    </cfRule>
  </conditionalFormatting>
  <conditionalFormatting sqref="Q149:T156">
    <cfRule type="cellIs" dxfId="825" priority="91" operator="greaterThan">
      <formula>0.03</formula>
    </cfRule>
    <cfRule type="cellIs" dxfId="824" priority="92" stopIfTrue="1" operator="lessThan">
      <formula>-0.03</formula>
    </cfRule>
  </conditionalFormatting>
  <conditionalFormatting sqref="Q173:T173">
    <cfRule type="cellIs" dxfId="823" priority="89" operator="greaterThan">
      <formula>0.03</formula>
    </cfRule>
    <cfRule type="cellIs" dxfId="822" priority="90" stopIfTrue="1" operator="lessThan">
      <formula>-0.03</formula>
    </cfRule>
  </conditionalFormatting>
  <conditionalFormatting sqref="Q177:T177">
    <cfRule type="cellIs" dxfId="821" priority="87" operator="greaterThan">
      <formula>0.03</formula>
    </cfRule>
    <cfRule type="cellIs" dxfId="820" priority="88" stopIfTrue="1" operator="lessThan">
      <formula>-0.03</formula>
    </cfRule>
  </conditionalFormatting>
  <conditionalFormatting sqref="Q181:T181">
    <cfRule type="cellIs" dxfId="819" priority="85" operator="greaterThan">
      <formula>0.03</formula>
    </cfRule>
    <cfRule type="cellIs" dxfId="818" priority="86" stopIfTrue="1" operator="lessThan">
      <formula>-0.03</formula>
    </cfRule>
  </conditionalFormatting>
  <conditionalFormatting sqref="Q185:T185">
    <cfRule type="cellIs" dxfId="817" priority="83" operator="greaterThan">
      <formula>0.03</formula>
    </cfRule>
    <cfRule type="cellIs" dxfId="816" priority="84" stopIfTrue="1" operator="lessThan">
      <formula>-0.03</formula>
    </cfRule>
  </conditionalFormatting>
  <conditionalFormatting sqref="Q189:T189">
    <cfRule type="cellIs" dxfId="815" priority="81" operator="greaterThan">
      <formula>0.03</formula>
    </cfRule>
    <cfRule type="cellIs" dxfId="814" priority="82" stopIfTrue="1" operator="lessThan">
      <formula>-0.03</formula>
    </cfRule>
  </conditionalFormatting>
  <conditionalFormatting sqref="Q368:T371 Q376:T383 Q356:T359">
    <cfRule type="cellIs" dxfId="813" priority="39" operator="greaterThan">
      <formula>0.03</formula>
    </cfRule>
    <cfRule type="cellIs" dxfId="812" priority="40" stopIfTrue="1" operator="lessThan">
      <formula>-0.03</formula>
    </cfRule>
  </conditionalFormatting>
  <conditionalFormatting sqref="Q372:T375">
    <cfRule type="cellIs" dxfId="811" priority="37" operator="greaterThan">
      <formula>0.03</formula>
    </cfRule>
    <cfRule type="cellIs" dxfId="810" priority="38" stopIfTrue="1" operator="lessThan">
      <formula>-0.03</formula>
    </cfRule>
  </conditionalFormatting>
  <conditionalFormatting sqref="Q385:T387 Q401:T403">
    <cfRule type="cellIs" dxfId="809" priority="35" operator="greaterThan">
      <formula>0.03</formula>
    </cfRule>
    <cfRule type="cellIs" dxfId="808" priority="36" stopIfTrue="1" operator="lessThan">
      <formula>-0.03</formula>
    </cfRule>
  </conditionalFormatting>
  <conditionalFormatting sqref="Q389:T391 Q393:T395 Q397:T399">
    <cfRule type="cellIs" dxfId="807" priority="33" operator="greaterThan">
      <formula>0.03</formula>
    </cfRule>
    <cfRule type="cellIs" dxfId="806" priority="34" stopIfTrue="1" operator="lessThan">
      <formula>-0.03</formula>
    </cfRule>
  </conditionalFormatting>
  <conditionalFormatting sqref="Q360:T367">
    <cfRule type="cellIs" dxfId="805" priority="31" operator="greaterThan">
      <formula>0.03</formula>
    </cfRule>
    <cfRule type="cellIs" dxfId="804" priority="32" stopIfTrue="1" operator="lessThan">
      <formula>-0.03</formula>
    </cfRule>
  </conditionalFormatting>
  <conditionalFormatting sqref="Q384:T384">
    <cfRule type="cellIs" dxfId="803" priority="29" operator="greaterThan">
      <formula>0.03</formula>
    </cfRule>
    <cfRule type="cellIs" dxfId="802" priority="30" stopIfTrue="1" operator="lessThan">
      <formula>-0.03</formula>
    </cfRule>
  </conditionalFormatting>
  <conditionalFormatting sqref="Q388:T388">
    <cfRule type="cellIs" dxfId="801" priority="27" operator="greaterThan">
      <formula>0.03</formula>
    </cfRule>
    <cfRule type="cellIs" dxfId="800" priority="28" stopIfTrue="1" operator="lessThan">
      <formula>-0.03</formula>
    </cfRule>
  </conditionalFormatting>
  <conditionalFormatting sqref="Q392:T392">
    <cfRule type="cellIs" dxfId="799" priority="25" operator="greaterThan">
      <formula>0.03</formula>
    </cfRule>
    <cfRule type="cellIs" dxfId="798" priority="26" stopIfTrue="1" operator="lessThan">
      <formula>-0.03</formula>
    </cfRule>
  </conditionalFormatting>
  <conditionalFormatting sqref="Q396:T396">
    <cfRule type="cellIs" dxfId="797" priority="23" operator="greaterThan">
      <formula>0.03</formula>
    </cfRule>
    <cfRule type="cellIs" dxfId="796" priority="24" stopIfTrue="1" operator="lessThan">
      <formula>-0.03</formula>
    </cfRule>
  </conditionalFormatting>
  <conditionalFormatting sqref="Q400:T400">
    <cfRule type="cellIs" dxfId="795" priority="21" operator="greaterThan">
      <formula>0.03</formula>
    </cfRule>
    <cfRule type="cellIs" dxfId="794" priority="22" stopIfTrue="1" operator="lessThan">
      <formula>-0.03</formula>
    </cfRule>
  </conditionalFormatting>
  <conditionalFormatting sqref="Q416:T419 Q424:T431 Q404:T407">
    <cfRule type="cellIs" dxfId="793" priority="19" operator="greaterThan">
      <formula>0.03</formula>
    </cfRule>
    <cfRule type="cellIs" dxfId="792" priority="20" stopIfTrue="1" operator="lessThan">
      <formula>-0.03</formula>
    </cfRule>
  </conditionalFormatting>
  <conditionalFormatting sqref="Q420:T423">
    <cfRule type="cellIs" dxfId="791" priority="17" operator="greaterThan">
      <formula>0.03</formula>
    </cfRule>
    <cfRule type="cellIs" dxfId="790" priority="18" stopIfTrue="1" operator="lessThan">
      <formula>-0.03</formula>
    </cfRule>
  </conditionalFormatting>
  <conditionalFormatting sqref="Q433:T435 Q449:T451">
    <cfRule type="cellIs" dxfId="789" priority="15" operator="greaterThan">
      <formula>0.03</formula>
    </cfRule>
    <cfRule type="cellIs" dxfId="788" priority="16" stopIfTrue="1" operator="lessThan">
      <formula>-0.03</formula>
    </cfRule>
  </conditionalFormatting>
  <conditionalFormatting sqref="Q437:T439 Q441:T443 Q445:T447">
    <cfRule type="cellIs" dxfId="787" priority="13" operator="greaterThan">
      <formula>0.03</formula>
    </cfRule>
    <cfRule type="cellIs" dxfId="786" priority="14" stopIfTrue="1" operator="lessThan">
      <formula>-0.03</formula>
    </cfRule>
  </conditionalFormatting>
  <conditionalFormatting sqref="Q408:T415">
    <cfRule type="cellIs" dxfId="785" priority="11" operator="greaterThan">
      <formula>0.03</formula>
    </cfRule>
    <cfRule type="cellIs" dxfId="784" priority="12" stopIfTrue="1" operator="lessThan">
      <formula>-0.03</formula>
    </cfRule>
  </conditionalFormatting>
  <conditionalFormatting sqref="Q432:T432">
    <cfRule type="cellIs" dxfId="783" priority="9" operator="greaterThan">
      <formula>0.03</formula>
    </cfRule>
    <cfRule type="cellIs" dxfId="782" priority="10" stopIfTrue="1" operator="lessThan">
      <formula>-0.03</formula>
    </cfRule>
  </conditionalFormatting>
  <conditionalFormatting sqref="Q436:T436">
    <cfRule type="cellIs" dxfId="781" priority="7" operator="greaterThan">
      <formula>0.03</formula>
    </cfRule>
    <cfRule type="cellIs" dxfId="780" priority="8" stopIfTrue="1" operator="lessThan">
      <formula>-0.03</formula>
    </cfRule>
  </conditionalFormatting>
  <conditionalFormatting sqref="Q440:T440">
    <cfRule type="cellIs" dxfId="779" priority="5" operator="greaterThan">
      <formula>0.03</formula>
    </cfRule>
    <cfRule type="cellIs" dxfId="778" priority="6" stopIfTrue="1" operator="lessThan">
      <formula>-0.03</formula>
    </cfRule>
  </conditionalFormatting>
  <conditionalFormatting sqref="Q444:T444">
    <cfRule type="cellIs" dxfId="777" priority="3" operator="greaterThan">
      <formula>0.03</formula>
    </cfRule>
    <cfRule type="cellIs" dxfId="776" priority="4" stopIfTrue="1" operator="lessThan">
      <formula>-0.03</formula>
    </cfRule>
  </conditionalFormatting>
  <conditionalFormatting sqref="Q448:T448">
    <cfRule type="cellIs" dxfId="775" priority="1" operator="greaterThan">
      <formula>0.03</formula>
    </cfRule>
    <cfRule type="cellIs" dxfId="774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19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179</v>
      </c>
    </row>
    <row r="2" spans="1:21" x14ac:dyDescent="0.25">
      <c r="A2" t="s">
        <v>159</v>
      </c>
    </row>
    <row r="3" spans="1:21" x14ac:dyDescent="0.25">
      <c r="A3" t="s">
        <v>174</v>
      </c>
    </row>
    <row r="4" spans="1:21" x14ac:dyDescent="0.25">
      <c r="A4" t="s">
        <v>160</v>
      </c>
    </row>
    <row r="5" spans="1:21" s="35" customFormat="1" ht="15.75" customHeight="1" x14ac:dyDescent="0.25">
      <c r="B5" s="68" t="s">
        <v>29</v>
      </c>
      <c r="C5" s="73" t="s">
        <v>168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5"/>
    </row>
    <row r="6" spans="1:21" s="35" customFormat="1" x14ac:dyDescent="0.25">
      <c r="B6" s="69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8"/>
    </row>
    <row r="7" spans="1:21" ht="16.5" customHeight="1" thickBot="1" x14ac:dyDescent="0.3">
      <c r="C7" s="70" t="s">
        <v>94</v>
      </c>
      <c r="D7" s="71"/>
      <c r="E7" s="71"/>
      <c r="F7" s="71"/>
      <c r="G7" s="71"/>
      <c r="H7" s="71"/>
      <c r="I7" s="5"/>
      <c r="J7" s="70" t="s">
        <v>138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</row>
    <row r="9" spans="1:21" x14ac:dyDescent="0.25">
      <c r="A9" s="6" t="s">
        <v>35</v>
      </c>
      <c r="B9" s="6" t="s">
        <v>46</v>
      </c>
      <c r="C9" s="15">
        <v>5750.1</v>
      </c>
      <c r="D9" s="16">
        <v>38.338999999999999</v>
      </c>
      <c r="E9" s="16">
        <v>39.268999999999998</v>
      </c>
      <c r="F9" s="16">
        <v>41.694000000000003</v>
      </c>
      <c r="G9" s="16">
        <v>4.13</v>
      </c>
      <c r="H9" s="16">
        <f t="shared" ref="H9:H80" si="0">(6*D9+E9+F9)/8</f>
        <v>38.874625000000002</v>
      </c>
      <c r="I9" s="5"/>
      <c r="J9" s="15">
        <v>4086.1327999999999</v>
      </c>
      <c r="K9" s="16">
        <v>38.647599999999997</v>
      </c>
      <c r="L9" s="16">
        <v>39.969700000000003</v>
      </c>
      <c r="M9" s="16">
        <v>42.600999999999999</v>
      </c>
      <c r="N9" s="16">
        <v>3.4352999999999998</v>
      </c>
      <c r="O9" s="16">
        <f t="shared" ref="O9:O80" si="1">(6*K9+L9+M9)/8</f>
        <v>39.3070375</v>
      </c>
      <c r="P9" s="7"/>
      <c r="Q9" s="8">
        <f>bdrate(C9:C12,D9:D12,J9:J12,K9:K12)</f>
        <v>-0.4100012609681698</v>
      </c>
      <c r="R9" s="8">
        <f>bdrate(C9:C12,E9:E12,J9:J12,L9:L12)</f>
        <v>-0.51092344994571381</v>
      </c>
      <c r="S9" s="8">
        <f>bdrate(C9:C12,F9:F12,J9:J12,M9:M12)</f>
        <v>-0.48631258460105142</v>
      </c>
      <c r="T9" s="25">
        <f>bdrate(C9:C12,H9:H12,J9:J12,O9:O12)</f>
        <v>-0.42569723323869302</v>
      </c>
      <c r="U9" s="28">
        <f t="shared" ref="U9:U72" si="2">(N9-G9)/G9</f>
        <v>-0.16820823244552061</v>
      </c>
    </row>
    <row r="10" spans="1:21" x14ac:dyDescent="0.25">
      <c r="A10" s="9" t="s">
        <v>36</v>
      </c>
      <c r="B10" s="9"/>
      <c r="C10" s="17">
        <v>4264</v>
      </c>
      <c r="D10" s="18">
        <v>37.332000000000001</v>
      </c>
      <c r="E10" s="18">
        <v>38.750999999999998</v>
      </c>
      <c r="F10" s="18">
        <v>41.148000000000003</v>
      </c>
      <c r="G10" s="18">
        <v>4.55</v>
      </c>
      <c r="H10" s="18">
        <f t="shared" si="0"/>
        <v>37.986375000000002</v>
      </c>
      <c r="I10" s="5"/>
      <c r="J10" s="17">
        <v>2964.2944000000002</v>
      </c>
      <c r="K10" s="18">
        <v>37.649099999999997</v>
      </c>
      <c r="L10" s="18">
        <v>39.4255</v>
      </c>
      <c r="M10" s="18">
        <v>41.885899999999999</v>
      </c>
      <c r="N10" s="18">
        <v>4.1090999999999998</v>
      </c>
      <c r="O10" s="18">
        <f t="shared" si="1"/>
        <v>38.400749999999995</v>
      </c>
      <c r="P10" s="7"/>
      <c r="Q10" s="10"/>
      <c r="R10" s="11"/>
      <c r="S10" s="11"/>
      <c r="T10" s="26"/>
      <c r="U10" s="28">
        <f t="shared" si="2"/>
        <v>-9.6901098901098923E-2</v>
      </c>
    </row>
    <row r="11" spans="1:21" x14ac:dyDescent="0.25">
      <c r="B11" s="9"/>
      <c r="C11" s="17">
        <v>2805.35</v>
      </c>
      <c r="D11" s="18">
        <v>35.709000000000003</v>
      </c>
      <c r="E11" s="18">
        <v>38.03</v>
      </c>
      <c r="F11" s="18">
        <v>40.393000000000001</v>
      </c>
      <c r="G11" s="18">
        <v>5.13</v>
      </c>
      <c r="H11" s="18">
        <f t="shared" si="0"/>
        <v>36.584625000000003</v>
      </c>
      <c r="I11" s="5"/>
      <c r="J11" s="17">
        <v>1928.1296</v>
      </c>
      <c r="K11" s="18">
        <v>36.256799999999998</v>
      </c>
      <c r="L11" s="18">
        <v>38.698</v>
      </c>
      <c r="M11" s="18">
        <v>41.022100000000002</v>
      </c>
      <c r="N11" s="18">
        <v>5.0183999999999997</v>
      </c>
      <c r="O11" s="18">
        <f t="shared" si="1"/>
        <v>37.157612499999999</v>
      </c>
      <c r="P11" s="7"/>
      <c r="Q11" s="10"/>
      <c r="R11" s="11"/>
      <c r="S11" s="11"/>
      <c r="T11" s="26"/>
      <c r="U11" s="28">
        <f t="shared" si="2"/>
        <v>-2.1754385964912311E-2</v>
      </c>
    </row>
    <row r="12" spans="1:21" ht="16.5" thickBot="1" x14ac:dyDescent="0.3">
      <c r="B12" s="12"/>
      <c r="C12" s="19">
        <v>1385.05</v>
      </c>
      <c r="D12" s="20">
        <v>32.401000000000003</v>
      </c>
      <c r="E12" s="20">
        <v>36.902000000000001</v>
      </c>
      <c r="F12" s="20">
        <v>39.222999999999999</v>
      </c>
      <c r="G12" s="20">
        <v>6.38</v>
      </c>
      <c r="H12" s="20">
        <f t="shared" si="0"/>
        <v>33.816375000000001</v>
      </c>
      <c r="I12" s="5"/>
      <c r="J12" s="19">
        <v>920.91359999999997</v>
      </c>
      <c r="K12" s="20">
        <v>33.575499999999998</v>
      </c>
      <c r="L12" s="20">
        <v>37.168300000000002</v>
      </c>
      <c r="M12" s="20">
        <v>39.380899999999997</v>
      </c>
      <c r="N12" s="20">
        <v>6.9930000000000003</v>
      </c>
      <c r="O12" s="20">
        <f t="shared" si="1"/>
        <v>34.750274999999995</v>
      </c>
      <c r="P12" s="7"/>
      <c r="Q12" s="13"/>
      <c r="R12" s="14"/>
      <c r="S12" s="14"/>
      <c r="T12" s="27"/>
      <c r="U12" s="28">
        <f t="shared" si="2"/>
        <v>9.6081504702194426E-2</v>
      </c>
    </row>
    <row r="13" spans="1:21" x14ac:dyDescent="0.25">
      <c r="B13" s="6" t="s">
        <v>47</v>
      </c>
      <c r="C13" s="15">
        <v>6234.39</v>
      </c>
      <c r="D13" s="16">
        <v>30.94</v>
      </c>
      <c r="E13" s="16">
        <v>40.103999999999999</v>
      </c>
      <c r="F13" s="16">
        <v>40.841000000000001</v>
      </c>
      <c r="G13" s="16">
        <v>2.98</v>
      </c>
      <c r="H13" s="16">
        <f t="shared" si="0"/>
        <v>33.323125000000005</v>
      </c>
      <c r="I13" s="5"/>
      <c r="J13" s="15">
        <v>4166.4960000000001</v>
      </c>
      <c r="K13" s="16">
        <v>30.0869</v>
      </c>
      <c r="L13" s="16">
        <v>40.119900000000001</v>
      </c>
      <c r="M13" s="16">
        <v>41.019599999999997</v>
      </c>
      <c r="N13" s="16">
        <v>2.2791000000000001</v>
      </c>
      <c r="O13" s="16">
        <f t="shared" si="1"/>
        <v>32.707612499999996</v>
      </c>
      <c r="P13" s="7"/>
      <c r="Q13" s="8">
        <f>bdrate(C13:C16,D13:D16,J13:J16,K13:K16)</f>
        <v>-0.29241872870544605</v>
      </c>
      <c r="R13" s="8">
        <f>bdrate(C13:C16,E13:E16,J13:J16,L13:L16)</f>
        <v>-0.23394703313105136</v>
      </c>
      <c r="S13" s="8">
        <f>bdrate(C13:C16,F13:F16,J13:J16,M13:M16)</f>
        <v>-0.31323217686593119</v>
      </c>
      <c r="T13" s="25">
        <f>bdrate(C13:C16,H13:H16,J13:J16,O13:O16)</f>
        <v>-0.29306128221237093</v>
      </c>
      <c r="U13" s="28">
        <f t="shared" si="2"/>
        <v>-0.23520134228187914</v>
      </c>
    </row>
    <row r="14" spans="1:21" x14ac:dyDescent="0.25">
      <c r="B14" s="9"/>
      <c r="C14" s="17">
        <v>4673.4799999999996</v>
      </c>
      <c r="D14" s="18">
        <v>29.373999999999999</v>
      </c>
      <c r="E14" s="18">
        <v>39.582999999999998</v>
      </c>
      <c r="F14" s="18">
        <v>40.33</v>
      </c>
      <c r="G14" s="18">
        <v>3.32</v>
      </c>
      <c r="H14" s="18">
        <f t="shared" si="0"/>
        <v>32.019624999999998</v>
      </c>
      <c r="I14" s="5"/>
      <c r="J14" s="17">
        <v>3142.7919999999999</v>
      </c>
      <c r="K14" s="18">
        <v>28.8279</v>
      </c>
      <c r="L14" s="18">
        <v>39.541600000000003</v>
      </c>
      <c r="M14" s="18">
        <v>40.4878</v>
      </c>
      <c r="N14" s="18">
        <v>2.6760999999999999</v>
      </c>
      <c r="O14" s="18">
        <f t="shared" si="1"/>
        <v>31.624600000000001</v>
      </c>
      <c r="P14" s="7"/>
      <c r="Q14" s="10"/>
      <c r="R14" s="11"/>
      <c r="S14" s="11"/>
      <c r="T14" s="26"/>
      <c r="U14" s="28">
        <f t="shared" si="2"/>
        <v>-0.19394578313253011</v>
      </c>
    </row>
    <row r="15" spans="1:21" x14ac:dyDescent="0.25">
      <c r="B15" s="9"/>
      <c r="C15" s="17">
        <v>3102.21</v>
      </c>
      <c r="D15" s="18">
        <v>27.167000000000002</v>
      </c>
      <c r="E15" s="18">
        <v>38.869999999999997</v>
      </c>
      <c r="F15" s="18">
        <v>39.645000000000003</v>
      </c>
      <c r="G15" s="18">
        <v>3.84</v>
      </c>
      <c r="H15" s="18">
        <f t="shared" si="0"/>
        <v>30.189625000000003</v>
      </c>
      <c r="I15" s="5"/>
      <c r="J15" s="17">
        <v>2092.1504</v>
      </c>
      <c r="K15" s="18">
        <v>27.037400000000002</v>
      </c>
      <c r="L15" s="18">
        <v>38.618899999999996</v>
      </c>
      <c r="M15" s="18">
        <v>39.677300000000002</v>
      </c>
      <c r="N15" s="18">
        <v>3.3111000000000002</v>
      </c>
      <c r="O15" s="18">
        <f t="shared" si="1"/>
        <v>30.065075</v>
      </c>
      <c r="P15" s="7"/>
      <c r="Q15" s="10"/>
      <c r="R15" s="11"/>
      <c r="S15" s="11"/>
      <c r="T15" s="26"/>
      <c r="U15" s="28">
        <f t="shared" si="2"/>
        <v>-0.13773437499999994</v>
      </c>
    </row>
    <row r="16" spans="1:21" ht="16.5" thickBot="1" x14ac:dyDescent="0.3">
      <c r="B16" s="12"/>
      <c r="C16" s="19">
        <v>1537.26</v>
      </c>
      <c r="D16" s="20">
        <v>23.866</v>
      </c>
      <c r="E16" s="20">
        <v>37.814999999999998</v>
      </c>
      <c r="F16" s="20">
        <v>38.677999999999997</v>
      </c>
      <c r="G16" s="20">
        <v>4.78</v>
      </c>
      <c r="H16" s="20">
        <f t="shared" si="0"/>
        <v>27.461124999999999</v>
      </c>
      <c r="I16" s="5"/>
      <c r="J16" s="19">
        <v>1351.1551999999999</v>
      </c>
      <c r="K16" s="20">
        <v>25.563600000000001</v>
      </c>
      <c r="L16" s="20">
        <v>37.313000000000002</v>
      </c>
      <c r="M16" s="20">
        <v>38.479799999999997</v>
      </c>
      <c r="N16" s="20">
        <v>3.8662999999999998</v>
      </c>
      <c r="O16" s="20">
        <f t="shared" si="1"/>
        <v>28.646799999999999</v>
      </c>
      <c r="P16" s="7"/>
      <c r="Q16" s="13"/>
      <c r="R16" s="14"/>
      <c r="S16" s="14"/>
      <c r="T16" s="27"/>
      <c r="U16" s="28">
        <f t="shared" si="2"/>
        <v>-0.19115062761506282</v>
      </c>
    </row>
    <row r="17" spans="1:21" x14ac:dyDescent="0.25">
      <c r="A17" s="6" t="s">
        <v>37</v>
      </c>
      <c r="B17" s="6" t="s">
        <v>48</v>
      </c>
      <c r="C17" s="15">
        <v>3055.15</v>
      </c>
      <c r="D17" s="16">
        <v>39.247</v>
      </c>
      <c r="E17" s="16">
        <v>41.923000000000002</v>
      </c>
      <c r="F17" s="16">
        <v>43.036000000000001</v>
      </c>
      <c r="G17" s="16">
        <v>5.92</v>
      </c>
      <c r="H17" s="16">
        <f t="shared" si="0"/>
        <v>40.055124999999997</v>
      </c>
      <c r="I17" s="5"/>
      <c r="J17" s="15">
        <v>2473.4232000000002</v>
      </c>
      <c r="K17" s="16">
        <v>39.506999999999998</v>
      </c>
      <c r="L17" s="16">
        <v>42.130499999999998</v>
      </c>
      <c r="M17" s="16">
        <v>43.628300000000003</v>
      </c>
      <c r="N17" s="16">
        <v>4.8364000000000003</v>
      </c>
      <c r="O17" s="16">
        <f t="shared" si="1"/>
        <v>40.350099999999998</v>
      </c>
      <c r="P17" s="7"/>
      <c r="Q17" s="8">
        <f>bdrate(C17:C20,D17:D20,J17:J20,K17:K20)</f>
        <v>-0.35553256048459203</v>
      </c>
      <c r="R17" s="8">
        <f>bdrate(C17:C20,E17:E20,J17:J20,L17:L20)</f>
        <v>-0.34168772182122775</v>
      </c>
      <c r="S17" s="8">
        <f>bdrate(C17:C20,F17:F20,J17:J20,M17:M20)</f>
        <v>-0.44455923417943199</v>
      </c>
      <c r="T17" s="25">
        <f>bdrate(C17:C20,H17:H20,J17:J20,O17:O20)</f>
        <v>-0.36197902049099062</v>
      </c>
      <c r="U17" s="28">
        <f t="shared" si="2"/>
        <v>-0.18304054054054048</v>
      </c>
    </row>
    <row r="18" spans="1:21" x14ac:dyDescent="0.25">
      <c r="A18" s="9" t="s">
        <v>38</v>
      </c>
      <c r="B18" s="9"/>
      <c r="C18" s="17">
        <v>2014.58</v>
      </c>
      <c r="D18" s="18">
        <v>37.834000000000003</v>
      </c>
      <c r="E18" s="18">
        <v>41.206000000000003</v>
      </c>
      <c r="F18" s="18">
        <v>42.212000000000003</v>
      </c>
      <c r="G18" s="18">
        <v>6.72</v>
      </c>
      <c r="H18" s="18">
        <f t="shared" si="0"/>
        <v>38.802750000000003</v>
      </c>
      <c r="I18" s="5"/>
      <c r="J18" s="17">
        <v>1636.7568000000001</v>
      </c>
      <c r="K18" s="18">
        <v>38.368200000000002</v>
      </c>
      <c r="L18" s="18">
        <v>41.491700000000002</v>
      </c>
      <c r="M18" s="18">
        <v>42.849600000000002</v>
      </c>
      <c r="N18" s="18">
        <v>5.8764000000000003</v>
      </c>
      <c r="O18" s="18">
        <f t="shared" si="1"/>
        <v>39.3188125</v>
      </c>
      <c r="P18" s="7"/>
      <c r="Q18" s="10"/>
      <c r="R18" s="11"/>
      <c r="S18" s="11"/>
      <c r="T18" s="26"/>
      <c r="U18" s="28">
        <f t="shared" si="2"/>
        <v>-0.12553571428571422</v>
      </c>
    </row>
    <row r="19" spans="1:21" x14ac:dyDescent="0.25">
      <c r="B19" s="9"/>
      <c r="C19" s="17">
        <v>1250.22</v>
      </c>
      <c r="D19" s="18">
        <v>35.951000000000001</v>
      </c>
      <c r="E19" s="18">
        <v>40.357999999999997</v>
      </c>
      <c r="F19" s="18">
        <v>41.295999999999999</v>
      </c>
      <c r="G19" s="18">
        <v>7.81</v>
      </c>
      <c r="H19" s="18">
        <f t="shared" si="0"/>
        <v>37.17</v>
      </c>
      <c r="I19" s="5"/>
      <c r="J19" s="17">
        <v>996.92079999999999</v>
      </c>
      <c r="K19" s="18">
        <v>36.884599999999999</v>
      </c>
      <c r="L19" s="18">
        <v>40.7117</v>
      </c>
      <c r="M19" s="18">
        <v>41.978299999999997</v>
      </c>
      <c r="N19" s="18">
        <v>7.2811000000000003</v>
      </c>
      <c r="O19" s="18">
        <f t="shared" si="1"/>
        <v>37.999699999999997</v>
      </c>
      <c r="P19" s="7"/>
      <c r="Q19" s="10"/>
      <c r="R19" s="11"/>
      <c r="S19" s="11"/>
      <c r="T19" s="26"/>
      <c r="U19" s="28">
        <f t="shared" si="2"/>
        <v>-6.7720870678617068E-2</v>
      </c>
    </row>
    <row r="20" spans="1:21" ht="16.5" thickBot="1" x14ac:dyDescent="0.3">
      <c r="B20" s="12"/>
      <c r="C20" s="19">
        <v>742.22</v>
      </c>
      <c r="D20" s="20">
        <v>33.622</v>
      </c>
      <c r="E20" s="20">
        <v>39.456000000000003</v>
      </c>
      <c r="F20" s="20">
        <v>40.39</v>
      </c>
      <c r="G20" s="20">
        <v>9.44</v>
      </c>
      <c r="H20" s="20">
        <f t="shared" si="0"/>
        <v>35.197249999999997</v>
      </c>
      <c r="I20" s="5"/>
      <c r="J20" s="19">
        <v>569.81119999999999</v>
      </c>
      <c r="K20" s="20">
        <v>35.085599999999999</v>
      </c>
      <c r="L20" s="20">
        <v>39.892400000000002</v>
      </c>
      <c r="M20" s="20">
        <v>41.134500000000003</v>
      </c>
      <c r="N20" s="20">
        <v>9.3577999999999992</v>
      </c>
      <c r="O20" s="20">
        <f t="shared" si="1"/>
        <v>36.442562500000001</v>
      </c>
      <c r="P20" s="7"/>
      <c r="Q20" s="13"/>
      <c r="R20" s="14"/>
      <c r="S20" s="14"/>
      <c r="T20" s="27"/>
      <c r="U20" s="28">
        <f t="shared" si="2"/>
        <v>-8.7076271186440971E-3</v>
      </c>
    </row>
    <row r="21" spans="1:21" x14ac:dyDescent="0.25">
      <c r="B21" s="6" t="s">
        <v>49</v>
      </c>
      <c r="C21" s="15">
        <v>3436.31</v>
      </c>
      <c r="D21" s="16">
        <v>36.783000000000001</v>
      </c>
      <c r="E21" s="16">
        <v>39.529000000000003</v>
      </c>
      <c r="F21" s="16">
        <v>40.68</v>
      </c>
      <c r="G21" s="16">
        <v>6.51</v>
      </c>
      <c r="H21" s="16">
        <f t="shared" si="0"/>
        <v>37.613375000000005</v>
      </c>
      <c r="I21" s="5"/>
      <c r="J21" s="15">
        <v>2533.3735999999999</v>
      </c>
      <c r="K21" s="16">
        <v>36.728200000000001</v>
      </c>
      <c r="L21" s="16">
        <v>40.328600000000002</v>
      </c>
      <c r="M21" s="16">
        <v>41.547499999999999</v>
      </c>
      <c r="N21" s="16">
        <v>5.1696</v>
      </c>
      <c r="O21" s="16">
        <f t="shared" si="1"/>
        <v>37.780662500000005</v>
      </c>
      <c r="P21" s="7"/>
      <c r="Q21" s="8">
        <f>bdrate(C21:C24,D21:D24,J21:J24,K21:K24)</f>
        <v>-0.31676934985714156</v>
      </c>
      <c r="R21" s="8">
        <f>bdrate(C21:C24,E21:E24,J21:J24,L21:L24)</f>
        <v>-0.46439689338800971</v>
      </c>
      <c r="S21" s="8">
        <f>bdrate(C21:C24,F21:F24,J21:J24,M21:M24)</f>
        <v>-0.45379121932228739</v>
      </c>
      <c r="T21" s="25">
        <f>bdrate(C21:C24,H21:H24,J21:J24,O21:O24)</f>
        <v>-0.34254743566813262</v>
      </c>
      <c r="U21" s="28">
        <f t="shared" si="2"/>
        <v>-0.20589861751152072</v>
      </c>
    </row>
    <row r="22" spans="1:21" x14ac:dyDescent="0.25">
      <c r="B22" s="9"/>
      <c r="C22" s="17">
        <v>2270.73</v>
      </c>
      <c r="D22" s="18">
        <v>35.341999999999999</v>
      </c>
      <c r="E22" s="18">
        <v>38.767000000000003</v>
      </c>
      <c r="F22" s="18">
        <v>40.021999999999998</v>
      </c>
      <c r="G22" s="18">
        <v>7.2</v>
      </c>
      <c r="H22" s="18">
        <f t="shared" si="0"/>
        <v>36.355125000000001</v>
      </c>
      <c r="I22" s="5"/>
      <c r="J22" s="17">
        <v>1687.4831999999999</v>
      </c>
      <c r="K22" s="18">
        <v>35.467100000000002</v>
      </c>
      <c r="L22" s="18">
        <v>39.504199999999997</v>
      </c>
      <c r="M22" s="18">
        <v>40.701700000000002</v>
      </c>
      <c r="N22" s="18">
        <v>6.3362999999999996</v>
      </c>
      <c r="O22" s="18">
        <f t="shared" si="1"/>
        <v>36.626062500000003</v>
      </c>
      <c r="P22" s="7"/>
      <c r="Q22" s="10"/>
      <c r="R22" s="11"/>
      <c r="S22" s="11"/>
      <c r="T22" s="26"/>
      <c r="U22" s="28">
        <f t="shared" si="2"/>
        <v>-0.11995833333333342</v>
      </c>
    </row>
    <row r="23" spans="1:21" x14ac:dyDescent="0.25">
      <c r="B23" s="9"/>
      <c r="C23" s="17">
        <v>1413.59</v>
      </c>
      <c r="D23" s="18">
        <v>33.597000000000001</v>
      </c>
      <c r="E23" s="18">
        <v>37.972000000000001</v>
      </c>
      <c r="F23" s="18">
        <v>39.381</v>
      </c>
      <c r="G23" s="18">
        <v>8.11</v>
      </c>
      <c r="H23" s="18">
        <f t="shared" si="0"/>
        <v>34.866875</v>
      </c>
      <c r="I23" s="5"/>
      <c r="J23" s="17">
        <v>1036.8496</v>
      </c>
      <c r="K23" s="18">
        <v>33.957700000000003</v>
      </c>
      <c r="L23" s="18">
        <v>38.528300000000002</v>
      </c>
      <c r="M23" s="18">
        <v>39.794400000000003</v>
      </c>
      <c r="N23" s="18">
        <v>8.1441999999999997</v>
      </c>
      <c r="O23" s="18">
        <f t="shared" si="1"/>
        <v>35.258612500000005</v>
      </c>
      <c r="P23" s="7"/>
      <c r="Q23" s="10"/>
      <c r="R23" s="11"/>
      <c r="S23" s="11"/>
      <c r="T23" s="26"/>
      <c r="U23" s="28">
        <f t="shared" si="2"/>
        <v>4.2170160295931236E-3</v>
      </c>
    </row>
    <row r="24" spans="1:21" ht="16.5" thickBot="1" x14ac:dyDescent="0.3">
      <c r="B24" s="12"/>
      <c r="C24" s="19">
        <v>844.74</v>
      </c>
      <c r="D24" s="20">
        <v>31.687000000000001</v>
      </c>
      <c r="E24" s="20">
        <v>37.212000000000003</v>
      </c>
      <c r="F24" s="20">
        <v>38.752000000000002</v>
      </c>
      <c r="G24" s="20">
        <v>9.31</v>
      </c>
      <c r="H24" s="20">
        <f t="shared" si="0"/>
        <v>33.260750000000002</v>
      </c>
      <c r="I24" s="5"/>
      <c r="J24" s="19">
        <v>613.81759999999997</v>
      </c>
      <c r="K24" s="20">
        <v>32.311700000000002</v>
      </c>
      <c r="L24" s="20">
        <v>37.436</v>
      </c>
      <c r="M24" s="20">
        <v>38.8812</v>
      </c>
      <c r="N24" s="20">
        <v>10.4872</v>
      </c>
      <c r="O24" s="20">
        <f t="shared" si="1"/>
        <v>33.773425000000003</v>
      </c>
      <c r="P24" s="7"/>
      <c r="Q24" s="13"/>
      <c r="R24" s="14"/>
      <c r="S24" s="14"/>
      <c r="T24" s="27"/>
      <c r="U24" s="28">
        <f t="shared" si="2"/>
        <v>0.12644468313641236</v>
      </c>
    </row>
    <row r="25" spans="1:21" x14ac:dyDescent="0.25">
      <c r="B25" s="6" t="s">
        <v>50</v>
      </c>
      <c r="C25" s="15">
        <v>3536.03</v>
      </c>
      <c r="D25" s="16">
        <v>34.637999999999998</v>
      </c>
      <c r="E25" s="16">
        <v>38.149000000000001</v>
      </c>
      <c r="F25" s="16">
        <v>39.863</v>
      </c>
      <c r="G25" s="16">
        <v>7.62</v>
      </c>
      <c r="H25" s="16">
        <f t="shared" si="0"/>
        <v>35.729999999999997</v>
      </c>
      <c r="I25" s="5"/>
      <c r="J25" s="15">
        <v>2468.5623999999998</v>
      </c>
      <c r="K25" s="16">
        <v>35.000799999999998</v>
      </c>
      <c r="L25" s="16">
        <v>38.379899999999999</v>
      </c>
      <c r="M25" s="16">
        <v>40.642200000000003</v>
      </c>
      <c r="N25" s="16">
        <v>6.4985999999999997</v>
      </c>
      <c r="O25" s="16">
        <f t="shared" si="1"/>
        <v>36.128362499999994</v>
      </c>
      <c r="P25" s="7"/>
      <c r="Q25" s="8">
        <f>bdrate(C25:C28,D25:D28,J25:J28,K25:K28)</f>
        <v>-0.4626455515248028</v>
      </c>
      <c r="R25" s="8">
        <f>bdrate(C25:C28,E25:E28,J25:J28,L25:L28)</f>
        <v>-0.46239477717981448</v>
      </c>
      <c r="S25" s="8">
        <f>bdrate(C25:C28,F25:F28,J25:J28,M25:M28)</f>
        <v>-0.48968084244298649</v>
      </c>
      <c r="T25" s="25">
        <f>bdrate(C25:C28,H25:H28,J25:J28,O25:O28)</f>
        <v>-0.46631016942350823</v>
      </c>
      <c r="U25" s="28">
        <f t="shared" si="2"/>
        <v>-0.14716535433070871</v>
      </c>
    </row>
    <row r="26" spans="1:21" x14ac:dyDescent="0.25">
      <c r="B26" s="9"/>
      <c r="C26" s="17">
        <v>2355.5500000000002</v>
      </c>
      <c r="D26" s="18">
        <v>33.234000000000002</v>
      </c>
      <c r="E26" s="18">
        <v>37.576999999999998</v>
      </c>
      <c r="F26" s="18">
        <v>38.962000000000003</v>
      </c>
      <c r="G26" s="18">
        <v>8.58</v>
      </c>
      <c r="H26" s="18">
        <f t="shared" si="0"/>
        <v>34.492874999999998</v>
      </c>
      <c r="I26" s="5"/>
      <c r="J26" s="17">
        <v>1642.3416</v>
      </c>
      <c r="K26" s="18">
        <v>33.930900000000001</v>
      </c>
      <c r="L26" s="18">
        <v>37.940899999999999</v>
      </c>
      <c r="M26" s="18">
        <v>39.741300000000003</v>
      </c>
      <c r="N26" s="18">
        <v>7.875</v>
      </c>
      <c r="O26" s="18">
        <f t="shared" si="1"/>
        <v>35.158450000000002</v>
      </c>
      <c r="P26" s="7"/>
      <c r="Q26" s="10"/>
      <c r="R26" s="11"/>
      <c r="S26" s="11"/>
      <c r="T26" s="26"/>
      <c r="U26" s="28">
        <f t="shared" si="2"/>
        <v>-8.2167832167832175E-2</v>
      </c>
    </row>
    <row r="27" spans="1:21" x14ac:dyDescent="0.25">
      <c r="B27" s="9"/>
      <c r="C27" s="17">
        <v>1465.76</v>
      </c>
      <c r="D27" s="18">
        <v>31.404</v>
      </c>
      <c r="E27" s="18">
        <v>36.93</v>
      </c>
      <c r="F27" s="18">
        <v>37.843000000000004</v>
      </c>
      <c r="G27" s="18">
        <v>10.02</v>
      </c>
      <c r="H27" s="18">
        <f t="shared" si="0"/>
        <v>32.899625</v>
      </c>
      <c r="I27" s="5"/>
      <c r="J27" s="17">
        <v>1023.7304</v>
      </c>
      <c r="K27" s="18">
        <v>32.460799999999999</v>
      </c>
      <c r="L27" s="18">
        <v>37.297800000000002</v>
      </c>
      <c r="M27" s="18">
        <v>38.539700000000003</v>
      </c>
      <c r="N27" s="18">
        <v>9.9971999999999994</v>
      </c>
      <c r="O27" s="18">
        <f t="shared" si="1"/>
        <v>33.825287499999995</v>
      </c>
      <c r="P27" s="7"/>
      <c r="Q27" s="10"/>
      <c r="R27" s="11"/>
      <c r="S27" s="11"/>
      <c r="T27" s="26"/>
      <c r="U27" s="28">
        <f t="shared" si="2"/>
        <v>-2.2754491017964226E-3</v>
      </c>
    </row>
    <row r="28" spans="1:21" ht="16.5" thickBot="1" x14ac:dyDescent="0.3">
      <c r="B28" s="12"/>
      <c r="C28" s="19">
        <v>884.22</v>
      </c>
      <c r="D28" s="20">
        <v>29.256</v>
      </c>
      <c r="E28" s="20">
        <v>36.231000000000002</v>
      </c>
      <c r="F28" s="20">
        <v>36.767000000000003</v>
      </c>
      <c r="G28" s="20">
        <v>11.68</v>
      </c>
      <c r="H28" s="20">
        <f t="shared" si="0"/>
        <v>31.066749999999999</v>
      </c>
      <c r="I28" s="5"/>
      <c r="J28" s="19">
        <v>590.75919999999996</v>
      </c>
      <c r="K28" s="20">
        <v>30.703600000000002</v>
      </c>
      <c r="L28" s="20">
        <v>36.500300000000003</v>
      </c>
      <c r="M28" s="20">
        <v>37.326900000000002</v>
      </c>
      <c r="N28" s="20">
        <v>13.2883</v>
      </c>
      <c r="O28" s="20">
        <f t="shared" si="1"/>
        <v>32.256100000000004</v>
      </c>
      <c r="P28" s="7"/>
      <c r="Q28" s="13"/>
      <c r="R28" s="14"/>
      <c r="S28" s="14"/>
      <c r="T28" s="27"/>
      <c r="U28" s="28">
        <f t="shared" si="2"/>
        <v>0.13769691780821916</v>
      </c>
    </row>
    <row r="29" spans="1:21" x14ac:dyDescent="0.25">
      <c r="B29" s="6" t="s">
        <v>51</v>
      </c>
      <c r="C29" s="29">
        <v>3583.67</v>
      </c>
      <c r="D29" s="30">
        <v>34.298999999999999</v>
      </c>
      <c r="E29" s="30">
        <v>39.918999999999997</v>
      </c>
      <c r="F29" s="30">
        <v>39.628</v>
      </c>
      <c r="G29" s="16">
        <v>6.76</v>
      </c>
      <c r="H29" s="16">
        <f t="shared" si="0"/>
        <v>35.667624999999994</v>
      </c>
      <c r="I29" s="5"/>
      <c r="J29" s="29">
        <v>2484.44</v>
      </c>
      <c r="K29" s="30">
        <v>34.774299999999997</v>
      </c>
      <c r="L29" s="30">
        <v>40.5702</v>
      </c>
      <c r="M29" s="30">
        <v>40.0715</v>
      </c>
      <c r="N29" s="16">
        <v>5.8022</v>
      </c>
      <c r="O29" s="16">
        <f t="shared" si="1"/>
        <v>36.160937499999996</v>
      </c>
      <c r="P29" s="7"/>
      <c r="Q29" s="8">
        <f>bdrate(C29:C32,D29:D32,J29:J32,K29:K32)</f>
        <v>-0.49241571837806197</v>
      </c>
      <c r="R29" s="8">
        <f>bdrate(C29:C32,E29:E32,J29:J32,L29:L32)</f>
        <v>-0.52046224185262213</v>
      </c>
      <c r="S29" s="8">
        <f>bdrate(C29:C32,F29:F32,J29:J32,M29:M32)</f>
        <v>-0.413037659583535</v>
      </c>
      <c r="T29" s="25">
        <f>bdrate(C29:C32,H29:H32,J29:J32,O29:O32)</f>
        <v>-0.48833785398902108</v>
      </c>
      <c r="U29" s="28">
        <f t="shared" si="2"/>
        <v>-0.14168639053254434</v>
      </c>
    </row>
    <row r="30" spans="1:21" x14ac:dyDescent="0.25">
      <c r="B30" s="9"/>
      <c r="C30" s="31">
        <v>2380.67</v>
      </c>
      <c r="D30" s="32">
        <v>32.631999999999998</v>
      </c>
      <c r="E30" s="32">
        <v>39.084000000000003</v>
      </c>
      <c r="F30" s="32">
        <v>38.530999999999999</v>
      </c>
      <c r="G30" s="18">
        <v>7.85</v>
      </c>
      <c r="H30" s="18">
        <f t="shared" si="0"/>
        <v>34.175874999999998</v>
      </c>
      <c r="I30" s="5"/>
      <c r="J30" s="31">
        <v>1655.7375999999999</v>
      </c>
      <c r="K30" s="32">
        <v>33.536700000000003</v>
      </c>
      <c r="L30" s="32">
        <v>39.799500000000002</v>
      </c>
      <c r="M30" s="32">
        <v>38.946800000000003</v>
      </c>
      <c r="N30" s="18">
        <v>7.0987999999999998</v>
      </c>
      <c r="O30" s="18">
        <f t="shared" si="1"/>
        <v>34.995812500000007</v>
      </c>
      <c r="P30" s="7"/>
      <c r="Q30" s="10"/>
      <c r="R30" s="11"/>
      <c r="S30" s="11"/>
      <c r="T30" s="26"/>
      <c r="U30" s="28">
        <f t="shared" si="2"/>
        <v>-9.5694267515923553E-2</v>
      </c>
    </row>
    <row r="31" spans="1:21" x14ac:dyDescent="0.25">
      <c r="B31" s="9"/>
      <c r="C31" s="31">
        <v>1471.91</v>
      </c>
      <c r="D31" s="32">
        <v>30.318999999999999</v>
      </c>
      <c r="E31" s="32">
        <v>38.023000000000003</v>
      </c>
      <c r="F31" s="32">
        <v>37.088999999999999</v>
      </c>
      <c r="G31" s="18">
        <v>9.4</v>
      </c>
      <c r="H31" s="18">
        <f t="shared" si="0"/>
        <v>32.128249999999994</v>
      </c>
      <c r="I31" s="5"/>
      <c r="J31" s="31">
        <v>1036.3016</v>
      </c>
      <c r="K31" s="32">
        <v>32.003</v>
      </c>
      <c r="L31" s="32">
        <v>38.879800000000003</v>
      </c>
      <c r="M31" s="32">
        <v>37.627200000000002</v>
      </c>
      <c r="N31" s="18">
        <v>8.8440999999999992</v>
      </c>
      <c r="O31" s="18">
        <f t="shared" si="1"/>
        <v>33.565625000000004</v>
      </c>
      <c r="P31" s="7"/>
      <c r="Q31" s="10"/>
      <c r="R31" s="11"/>
      <c r="S31" s="11"/>
      <c r="T31" s="26"/>
      <c r="U31" s="28">
        <f t="shared" si="2"/>
        <v>-5.9138297872340546E-2</v>
      </c>
    </row>
    <row r="32" spans="1:21" ht="16.5" thickBot="1" x14ac:dyDescent="0.3">
      <c r="B32" s="12"/>
      <c r="C32" s="33">
        <v>881.28</v>
      </c>
      <c r="D32" s="34">
        <v>27.396999999999998</v>
      </c>
      <c r="E32" s="34">
        <v>36.825000000000003</v>
      </c>
      <c r="F32" s="34">
        <v>35.256999999999998</v>
      </c>
      <c r="G32" s="20">
        <v>11.21</v>
      </c>
      <c r="H32" s="20">
        <f t="shared" si="0"/>
        <v>29.558</v>
      </c>
      <c r="I32" s="5"/>
      <c r="J32" s="33">
        <v>617.06240000000003</v>
      </c>
      <c r="K32" s="34">
        <v>30.270299999999999</v>
      </c>
      <c r="L32" s="34">
        <v>37.756799999999998</v>
      </c>
      <c r="M32" s="34">
        <v>36.185099999999998</v>
      </c>
      <c r="N32" s="20">
        <v>11.210800000000001</v>
      </c>
      <c r="O32" s="20">
        <f t="shared" si="1"/>
        <v>31.945462500000001</v>
      </c>
      <c r="P32" s="7"/>
      <c r="Q32" s="13"/>
      <c r="R32" s="14"/>
      <c r="S32" s="14"/>
      <c r="T32" s="27"/>
      <c r="U32" s="28">
        <f t="shared" si="2"/>
        <v>7.1364852809983212E-5</v>
      </c>
    </row>
    <row r="33" spans="1:21" x14ac:dyDescent="0.25">
      <c r="B33" s="6" t="s">
        <v>52</v>
      </c>
      <c r="C33" s="15">
        <v>3615.43</v>
      </c>
      <c r="D33" s="16">
        <v>33.414999999999999</v>
      </c>
      <c r="E33" s="16">
        <v>39.091000000000001</v>
      </c>
      <c r="F33" s="16">
        <v>41.826999999999998</v>
      </c>
      <c r="G33" s="16">
        <v>8.25</v>
      </c>
      <c r="H33" s="16">
        <f t="shared" si="0"/>
        <v>35.176000000000002</v>
      </c>
      <c r="I33" s="5"/>
      <c r="J33" s="15">
        <v>2450.6120000000001</v>
      </c>
      <c r="K33" s="16">
        <v>34.018999999999998</v>
      </c>
      <c r="L33" s="16">
        <v>40.006500000000003</v>
      </c>
      <c r="M33" s="16">
        <v>42.459499999999998</v>
      </c>
      <c r="N33" s="16">
        <v>8.7772000000000006</v>
      </c>
      <c r="O33" s="16">
        <f t="shared" si="1"/>
        <v>35.822499999999998</v>
      </c>
      <c r="P33" s="7"/>
      <c r="Q33" s="8">
        <f>bdrate(C33:C36,D33:D36,J33:J36,K33:K36)</f>
        <v>-0.58562820004875427</v>
      </c>
      <c r="R33" s="8">
        <f>bdrate(C33:C36,E33:E36,J33:J36,L33:L36)</f>
        <v>-0.62420811996079517</v>
      </c>
      <c r="S33" s="8">
        <f>bdrate(C33:C36,F33:F36,J33:J36,M33:M36)</f>
        <v>-0.57711590848094696</v>
      </c>
      <c r="T33" s="25">
        <f>bdrate(C33:C36,H33:H36,J33:J36,O33:O36)</f>
        <v>-0.58922016667508537</v>
      </c>
      <c r="U33" s="28">
        <f t="shared" si="2"/>
        <v>6.3903030303030364E-2</v>
      </c>
    </row>
    <row r="34" spans="1:21" x14ac:dyDescent="0.25">
      <c r="B34" s="9"/>
      <c r="C34" s="17">
        <v>2384.64</v>
      </c>
      <c r="D34" s="18">
        <v>32.481000000000002</v>
      </c>
      <c r="E34" s="18">
        <v>38.6</v>
      </c>
      <c r="F34" s="18">
        <v>41.268999999999998</v>
      </c>
      <c r="G34" s="18">
        <v>8.99</v>
      </c>
      <c r="H34" s="18">
        <f t="shared" si="0"/>
        <v>34.344374999999999</v>
      </c>
      <c r="I34" s="5"/>
      <c r="J34" s="17">
        <v>1614.4752000000001</v>
      </c>
      <c r="K34" s="18">
        <v>33.421599999999998</v>
      </c>
      <c r="L34" s="18">
        <v>39.5017</v>
      </c>
      <c r="M34" s="18">
        <v>41.9771</v>
      </c>
      <c r="N34" s="18">
        <v>11.1</v>
      </c>
      <c r="O34" s="18">
        <f t="shared" si="1"/>
        <v>35.251049999999999</v>
      </c>
      <c r="P34" s="7"/>
      <c r="Q34" s="10"/>
      <c r="R34" s="11"/>
      <c r="S34" s="11"/>
      <c r="T34" s="26"/>
      <c r="U34" s="28">
        <f t="shared" si="2"/>
        <v>0.23470522803114566</v>
      </c>
    </row>
    <row r="35" spans="1:21" x14ac:dyDescent="0.25">
      <c r="B35" s="9"/>
      <c r="C35" s="17">
        <v>1469.89</v>
      </c>
      <c r="D35" s="18">
        <v>31.05</v>
      </c>
      <c r="E35" s="18">
        <v>38.113</v>
      </c>
      <c r="F35" s="18">
        <v>40.817</v>
      </c>
      <c r="G35" s="18">
        <v>10.09</v>
      </c>
      <c r="H35" s="18">
        <f t="shared" si="0"/>
        <v>33.153750000000002</v>
      </c>
      <c r="I35" s="5"/>
      <c r="J35" s="17">
        <v>991.27599999999995</v>
      </c>
      <c r="K35" s="18">
        <v>32.481299999999997</v>
      </c>
      <c r="L35" s="18">
        <v>38.766800000000003</v>
      </c>
      <c r="M35" s="18">
        <v>41.304699999999997</v>
      </c>
      <c r="N35" s="18">
        <v>14.1975</v>
      </c>
      <c r="O35" s="18">
        <f t="shared" si="1"/>
        <v>34.369912499999998</v>
      </c>
      <c r="P35" s="7"/>
      <c r="Q35" s="10"/>
      <c r="R35" s="11"/>
      <c r="S35" s="11"/>
      <c r="T35" s="26"/>
      <c r="U35" s="28">
        <f t="shared" si="2"/>
        <v>0.40708622398414274</v>
      </c>
    </row>
    <row r="36" spans="1:21" ht="16.5" thickBot="1" x14ac:dyDescent="0.3">
      <c r="B36" s="12"/>
      <c r="C36" s="19">
        <v>862.56</v>
      </c>
      <c r="D36" s="20">
        <v>29.079000000000001</v>
      </c>
      <c r="E36" s="20">
        <v>37.476999999999997</v>
      </c>
      <c r="F36" s="20">
        <v>39.926000000000002</v>
      </c>
      <c r="G36" s="20">
        <v>11.63</v>
      </c>
      <c r="H36" s="20">
        <f t="shared" si="0"/>
        <v>31.484625000000001</v>
      </c>
      <c r="I36" s="5"/>
      <c r="J36" s="19">
        <v>614.62800000000004</v>
      </c>
      <c r="K36" s="20">
        <v>31.192399999999999</v>
      </c>
      <c r="L36" s="20">
        <v>38.089199999999998</v>
      </c>
      <c r="M36" s="20">
        <v>40.646000000000001</v>
      </c>
      <c r="N36" s="20">
        <v>18.023399999999999</v>
      </c>
      <c r="O36" s="20">
        <f t="shared" si="1"/>
        <v>33.236200000000004</v>
      </c>
      <c r="P36" s="7"/>
      <c r="Q36" s="13"/>
      <c r="R36" s="14"/>
      <c r="S36" s="14"/>
      <c r="T36" s="27"/>
      <c r="U36" s="28">
        <f t="shared" si="2"/>
        <v>0.54973344797936352</v>
      </c>
    </row>
    <row r="37" spans="1:21" x14ac:dyDescent="0.25">
      <c r="A37" s="6" t="s">
        <v>39</v>
      </c>
      <c r="B37" s="6" t="s">
        <v>53</v>
      </c>
      <c r="C37" s="15">
        <v>1559.67</v>
      </c>
      <c r="D37" s="16">
        <v>35.384999999999998</v>
      </c>
      <c r="E37" s="16">
        <v>38.764000000000003</v>
      </c>
      <c r="F37" s="16">
        <v>38.732999999999997</v>
      </c>
      <c r="G37" s="16">
        <v>30.73</v>
      </c>
      <c r="H37" s="16">
        <f t="shared" si="0"/>
        <v>36.225875000000002</v>
      </c>
      <c r="I37" s="5"/>
      <c r="J37" s="15">
        <v>1264.5896</v>
      </c>
      <c r="K37" s="16">
        <v>36.816400000000002</v>
      </c>
      <c r="L37" s="16">
        <v>40.357599999999998</v>
      </c>
      <c r="M37" s="16">
        <v>40.310600000000001</v>
      </c>
      <c r="N37" s="16">
        <v>17.687799999999999</v>
      </c>
      <c r="O37" s="16">
        <f t="shared" si="1"/>
        <v>37.695825000000006</v>
      </c>
      <c r="P37" s="7"/>
      <c r="Q37" s="8">
        <f>bdrate(C37:C40,D37:D40,J37:J40,K37:K40)</f>
        <v>-0.4169383238727693</v>
      </c>
      <c r="R37" s="8">
        <f>bdrate(C37:C40,E37:E40,J37:J40,L37:L40)</f>
        <v>-0.48093660875172328</v>
      </c>
      <c r="S37" s="8">
        <f>bdrate(C37:C40,F37:F40,J37:J40,M37:M40)</f>
        <v>-0.44058971236381261</v>
      </c>
      <c r="T37" s="25">
        <f>bdrate(C37:C40,H37:H40,J37:J40,O37:O40)</f>
        <v>-0.42609992769919669</v>
      </c>
      <c r="U37" s="28">
        <f t="shared" si="2"/>
        <v>-0.42441262609827535</v>
      </c>
    </row>
    <row r="38" spans="1:21" x14ac:dyDescent="0.25">
      <c r="A38" s="9" t="s">
        <v>40</v>
      </c>
      <c r="B38" s="9"/>
      <c r="C38" s="17">
        <v>1037.8499999999999</v>
      </c>
      <c r="D38" s="18">
        <v>33.789000000000001</v>
      </c>
      <c r="E38" s="18">
        <v>37.49</v>
      </c>
      <c r="F38" s="18">
        <v>37.338999999999999</v>
      </c>
      <c r="G38" s="18">
        <v>34.61</v>
      </c>
      <c r="H38" s="18">
        <f t="shared" si="0"/>
        <v>34.695374999999999</v>
      </c>
      <c r="I38" s="5"/>
      <c r="J38" s="17">
        <v>845.17679999999996</v>
      </c>
      <c r="K38" s="18">
        <v>35.073099999999997</v>
      </c>
      <c r="L38" s="18">
        <v>38.925699999999999</v>
      </c>
      <c r="M38" s="18">
        <v>38.6768</v>
      </c>
      <c r="N38" s="18">
        <v>21.031400000000001</v>
      </c>
      <c r="O38" s="18">
        <f t="shared" si="1"/>
        <v>36.005137499999996</v>
      </c>
      <c r="P38" s="7"/>
      <c r="Q38" s="10"/>
      <c r="R38" s="11"/>
      <c r="S38" s="11"/>
      <c r="T38" s="26"/>
      <c r="U38" s="28">
        <f t="shared" si="2"/>
        <v>-0.39233169604160645</v>
      </c>
    </row>
    <row r="39" spans="1:21" x14ac:dyDescent="0.25">
      <c r="B39" s="9"/>
      <c r="C39" s="17">
        <v>646.15</v>
      </c>
      <c r="D39" s="18">
        <v>31.879000000000001</v>
      </c>
      <c r="E39" s="18">
        <v>36.237000000000002</v>
      </c>
      <c r="F39" s="18">
        <v>35.884</v>
      </c>
      <c r="G39" s="18">
        <v>39.869999999999997</v>
      </c>
      <c r="H39" s="18">
        <f t="shared" si="0"/>
        <v>32.924374999999998</v>
      </c>
      <c r="I39" s="5"/>
      <c r="J39" s="17">
        <v>524.47839999999997</v>
      </c>
      <c r="K39" s="18">
        <v>33.192700000000002</v>
      </c>
      <c r="L39" s="18">
        <v>37.439799999999998</v>
      </c>
      <c r="M39" s="18">
        <v>37.013300000000001</v>
      </c>
      <c r="N39" s="18">
        <v>25.7852</v>
      </c>
      <c r="O39" s="18">
        <f t="shared" si="1"/>
        <v>34.201162500000002</v>
      </c>
      <c r="P39" s="7"/>
      <c r="Q39" s="10"/>
      <c r="R39" s="11"/>
      <c r="S39" s="11"/>
      <c r="T39" s="26"/>
      <c r="U39" s="28">
        <f t="shared" si="2"/>
        <v>-0.35326812139453218</v>
      </c>
    </row>
    <row r="40" spans="1:21" ht="16.5" thickBot="1" x14ac:dyDescent="0.3">
      <c r="B40" s="12"/>
      <c r="C40" s="19">
        <v>386.07</v>
      </c>
      <c r="D40" s="20">
        <v>29.631</v>
      </c>
      <c r="E40" s="20">
        <v>34.978000000000002</v>
      </c>
      <c r="F40" s="20">
        <v>34.424999999999997</v>
      </c>
      <c r="G40" s="20">
        <v>48.41</v>
      </c>
      <c r="H40" s="20">
        <f t="shared" si="0"/>
        <v>30.898625000000003</v>
      </c>
      <c r="I40" s="5"/>
      <c r="J40" s="19">
        <v>314.56799999999998</v>
      </c>
      <c r="K40" s="20">
        <v>31.292999999999999</v>
      </c>
      <c r="L40" s="20">
        <v>35.996699999999997</v>
      </c>
      <c r="M40" s="20">
        <v>35.433900000000001</v>
      </c>
      <c r="N40" s="20">
        <v>31.9877</v>
      </c>
      <c r="O40" s="20">
        <f t="shared" si="1"/>
        <v>32.398575000000001</v>
      </c>
      <c r="P40" s="7"/>
      <c r="Q40" s="13"/>
      <c r="R40" s="14"/>
      <c r="S40" s="14"/>
      <c r="T40" s="27"/>
      <c r="U40" s="28">
        <f t="shared" si="2"/>
        <v>-0.33923362941540997</v>
      </c>
    </row>
    <row r="41" spans="1:21" x14ac:dyDescent="0.25">
      <c r="B41" s="6" t="s">
        <v>54</v>
      </c>
      <c r="C41" s="15">
        <v>1570.27</v>
      </c>
      <c r="D41" s="16">
        <v>35.71</v>
      </c>
      <c r="E41" s="16">
        <v>40.115000000000002</v>
      </c>
      <c r="F41" s="16">
        <v>40.94</v>
      </c>
      <c r="G41" s="16">
        <v>34.28</v>
      </c>
      <c r="H41" s="16">
        <f t="shared" si="0"/>
        <v>36.914375</v>
      </c>
      <c r="I41" s="5"/>
      <c r="J41" s="15">
        <v>1278.7256</v>
      </c>
      <c r="K41" s="16">
        <v>36.3581</v>
      </c>
      <c r="L41" s="16">
        <v>41.174199999999999</v>
      </c>
      <c r="M41" s="16">
        <v>42.047199999999997</v>
      </c>
      <c r="N41" s="16">
        <v>22.772099999999998</v>
      </c>
      <c r="O41" s="16">
        <f t="shared" si="1"/>
        <v>37.671249999999993</v>
      </c>
      <c r="P41" s="7"/>
      <c r="Q41" s="8">
        <f>bdrate(C41:C44,D41:D44,J41:J44,K41:K44)</f>
        <v>-0.37226641719902986</v>
      </c>
      <c r="R41" s="8">
        <f>bdrate(C41:C44,E41:E44,J41:J44,L41:L44)</f>
        <v>-0.39945178509337509</v>
      </c>
      <c r="S41" s="8">
        <f>bdrate(C41:C44,F41:F44,J41:J44,M41:M44)</f>
        <v>-0.3824855744304172</v>
      </c>
      <c r="T41" s="25">
        <f>bdrate(C41:C44,H41:H44,J41:J44,O41:O44)</f>
        <v>-0.37756235806446148</v>
      </c>
      <c r="U41" s="28">
        <f t="shared" si="2"/>
        <v>-0.33570303383897321</v>
      </c>
    </row>
    <row r="42" spans="1:21" x14ac:dyDescent="0.25">
      <c r="B42" s="9"/>
      <c r="C42" s="17">
        <v>1048.53</v>
      </c>
      <c r="D42" s="18">
        <v>33.936999999999998</v>
      </c>
      <c r="E42" s="18">
        <v>39.231999999999999</v>
      </c>
      <c r="F42" s="18">
        <v>39.944000000000003</v>
      </c>
      <c r="G42" s="18">
        <v>37.82</v>
      </c>
      <c r="H42" s="18">
        <f t="shared" si="0"/>
        <v>35.34975</v>
      </c>
      <c r="I42" s="5"/>
      <c r="J42" s="17">
        <v>852.12800000000004</v>
      </c>
      <c r="K42" s="18">
        <v>34.851399999999998</v>
      </c>
      <c r="L42" s="18">
        <v>40.075899999999997</v>
      </c>
      <c r="M42" s="18">
        <v>40.810699999999997</v>
      </c>
      <c r="N42" s="18">
        <v>27.201000000000001</v>
      </c>
      <c r="O42" s="18">
        <f t="shared" si="1"/>
        <v>36.249375000000001</v>
      </c>
      <c r="P42" s="7"/>
      <c r="Q42" s="10"/>
      <c r="R42" s="11"/>
      <c r="S42" s="11"/>
      <c r="T42" s="26"/>
      <c r="U42" s="28">
        <f t="shared" si="2"/>
        <v>-0.28077736647276574</v>
      </c>
    </row>
    <row r="43" spans="1:21" x14ac:dyDescent="0.25">
      <c r="B43" s="9"/>
      <c r="C43" s="17">
        <v>654.4</v>
      </c>
      <c r="D43" s="18">
        <v>31.754999999999999</v>
      </c>
      <c r="E43" s="18">
        <v>38.220999999999997</v>
      </c>
      <c r="F43" s="18">
        <v>38.82</v>
      </c>
      <c r="G43" s="18">
        <v>42.83</v>
      </c>
      <c r="H43" s="18">
        <f t="shared" si="0"/>
        <v>33.446375000000003</v>
      </c>
      <c r="I43" s="5"/>
      <c r="J43" s="17">
        <v>532.48400000000004</v>
      </c>
      <c r="K43" s="18">
        <v>33.010800000000003</v>
      </c>
      <c r="L43" s="18">
        <v>38.858199999999997</v>
      </c>
      <c r="M43" s="18">
        <v>39.462200000000003</v>
      </c>
      <c r="N43" s="18">
        <v>33.272300000000001</v>
      </c>
      <c r="O43" s="18">
        <f t="shared" si="1"/>
        <v>34.54815</v>
      </c>
      <c r="P43" s="7"/>
      <c r="Q43" s="10"/>
      <c r="R43" s="11"/>
      <c r="S43" s="11"/>
      <c r="T43" s="26"/>
      <c r="U43" s="28">
        <f t="shared" si="2"/>
        <v>-0.2231543310763483</v>
      </c>
    </row>
    <row r="44" spans="1:21" ht="16.5" thickBot="1" x14ac:dyDescent="0.3">
      <c r="B44" s="12"/>
      <c r="C44" s="19">
        <v>393.49</v>
      </c>
      <c r="D44" s="20">
        <v>29.263000000000002</v>
      </c>
      <c r="E44" s="20">
        <v>37.215000000000003</v>
      </c>
      <c r="F44" s="20">
        <v>37.725000000000001</v>
      </c>
      <c r="G44" s="20">
        <v>48.75</v>
      </c>
      <c r="H44" s="20">
        <f t="shared" si="0"/>
        <v>31.31475</v>
      </c>
      <c r="I44" s="5"/>
      <c r="J44" s="19">
        <v>319.23840000000001</v>
      </c>
      <c r="K44" s="20">
        <v>30.984400000000001</v>
      </c>
      <c r="L44" s="20">
        <v>37.640900000000002</v>
      </c>
      <c r="M44" s="20">
        <v>38.102899999999998</v>
      </c>
      <c r="N44" s="20">
        <v>41.7624</v>
      </c>
      <c r="O44" s="20">
        <f t="shared" si="1"/>
        <v>32.706274999999998</v>
      </c>
      <c r="P44" s="7"/>
      <c r="Q44" s="13"/>
      <c r="R44" s="14"/>
      <c r="S44" s="14"/>
      <c r="T44" s="27"/>
      <c r="U44" s="28">
        <f t="shared" si="2"/>
        <v>-0.14333538461538461</v>
      </c>
    </row>
    <row r="45" spans="1:21" x14ac:dyDescent="0.25">
      <c r="B45" s="6" t="s">
        <v>55</v>
      </c>
      <c r="C45" s="15">
        <v>1433</v>
      </c>
      <c r="D45" s="16">
        <v>30.212</v>
      </c>
      <c r="E45" s="16">
        <v>35.841000000000001</v>
      </c>
      <c r="F45" s="16">
        <v>36.564999999999998</v>
      </c>
      <c r="G45" s="16">
        <v>30.1</v>
      </c>
      <c r="H45" s="16">
        <f t="shared" si="0"/>
        <v>31.70975</v>
      </c>
      <c r="I45" s="5"/>
      <c r="J45" s="15">
        <v>1258.0840000000001</v>
      </c>
      <c r="K45" s="16">
        <v>31.302499999999998</v>
      </c>
      <c r="L45" s="16">
        <v>37.075200000000002</v>
      </c>
      <c r="M45" s="16">
        <v>37.854199999999999</v>
      </c>
      <c r="N45" s="16">
        <v>22.150400000000001</v>
      </c>
      <c r="O45" s="16">
        <f t="shared" si="1"/>
        <v>32.843049999999998</v>
      </c>
      <c r="P45" s="7"/>
      <c r="Q45" s="8">
        <f>bdrate(C45:C48,D45:D48,J45:J48,K45:K48)</f>
        <v>-0.40296691155439246</v>
      </c>
      <c r="R45" s="8">
        <f>bdrate(C45:C48,E45:E48,J45:J48,L45:L48)</f>
        <v>-0.41743140445366989</v>
      </c>
      <c r="S45" s="8">
        <f>bdrate(C45:C48,F45:F48,J45:J48,M45:M48)</f>
        <v>-0.39912498247978834</v>
      </c>
      <c r="T45" s="25">
        <f>bdrate(C45:C48,H45:H48,J45:J48,O45:O48)</f>
        <v>-0.40769248027028659</v>
      </c>
      <c r="U45" s="28">
        <f t="shared" si="2"/>
        <v>-0.26410631229235881</v>
      </c>
    </row>
    <row r="46" spans="1:21" x14ac:dyDescent="0.25">
      <c r="B46" s="9"/>
      <c r="C46" s="17">
        <v>957.08</v>
      </c>
      <c r="D46" s="18">
        <v>28.73</v>
      </c>
      <c r="E46" s="18">
        <v>35.204000000000001</v>
      </c>
      <c r="F46" s="18">
        <v>35.933</v>
      </c>
      <c r="G46" s="18">
        <v>32.979999999999997</v>
      </c>
      <c r="H46" s="18">
        <f t="shared" si="0"/>
        <v>30.439624999999999</v>
      </c>
      <c r="I46" s="5"/>
      <c r="J46" s="17">
        <v>840.66560000000004</v>
      </c>
      <c r="K46" s="18">
        <v>29.972200000000001</v>
      </c>
      <c r="L46" s="18">
        <v>36.130800000000001</v>
      </c>
      <c r="M46" s="18">
        <v>36.942900000000002</v>
      </c>
      <c r="N46" s="18">
        <v>26.978899999999999</v>
      </c>
      <c r="O46" s="18">
        <f t="shared" si="1"/>
        <v>31.613362500000001</v>
      </c>
      <c r="P46" s="7"/>
      <c r="Q46" s="10"/>
      <c r="R46" s="11"/>
      <c r="S46" s="11"/>
      <c r="T46" s="26"/>
      <c r="U46" s="28">
        <f t="shared" si="2"/>
        <v>-0.18196179502728921</v>
      </c>
    </row>
    <row r="47" spans="1:21" x14ac:dyDescent="0.25">
      <c r="B47" s="9"/>
      <c r="C47" s="17">
        <v>600.79999999999995</v>
      </c>
      <c r="D47" s="18">
        <v>27.152999999999999</v>
      </c>
      <c r="E47" s="18">
        <v>34.591000000000001</v>
      </c>
      <c r="F47" s="18">
        <v>35.334000000000003</v>
      </c>
      <c r="G47" s="18">
        <v>36.67</v>
      </c>
      <c r="H47" s="18">
        <f t="shared" si="0"/>
        <v>29.105375000000002</v>
      </c>
      <c r="I47" s="5"/>
      <c r="J47" s="17">
        <v>523.29520000000002</v>
      </c>
      <c r="K47" s="18">
        <v>28.430900000000001</v>
      </c>
      <c r="L47" s="18">
        <v>35.166800000000002</v>
      </c>
      <c r="M47" s="18">
        <v>35.863399999999999</v>
      </c>
      <c r="N47" s="18">
        <v>34.1693</v>
      </c>
      <c r="O47" s="18">
        <f t="shared" si="1"/>
        <v>30.201949999999997</v>
      </c>
      <c r="P47" s="7"/>
      <c r="Q47" s="10"/>
      <c r="R47" s="11"/>
      <c r="S47" s="11"/>
      <c r="T47" s="26"/>
      <c r="U47" s="28">
        <f t="shared" si="2"/>
        <v>-6.8194709571857151E-2</v>
      </c>
    </row>
    <row r="48" spans="1:21" ht="16.5" thickBot="1" x14ac:dyDescent="0.3">
      <c r="B48" s="12"/>
      <c r="C48" s="19">
        <v>362.7</v>
      </c>
      <c r="D48" s="20">
        <v>25.538</v>
      </c>
      <c r="E48" s="20">
        <v>34.006999999999998</v>
      </c>
      <c r="F48" s="20">
        <v>34.719000000000001</v>
      </c>
      <c r="G48" s="20">
        <v>41.89</v>
      </c>
      <c r="H48" s="20">
        <f t="shared" si="0"/>
        <v>27.744250000000001</v>
      </c>
      <c r="I48" s="5"/>
      <c r="J48" s="19">
        <v>312.82080000000002</v>
      </c>
      <c r="K48" s="20">
        <v>26.8917</v>
      </c>
      <c r="L48" s="20">
        <v>34.243400000000001</v>
      </c>
      <c r="M48" s="20">
        <v>34.892800000000001</v>
      </c>
      <c r="N48" s="20">
        <v>44.267400000000002</v>
      </c>
      <c r="O48" s="20">
        <f t="shared" si="1"/>
        <v>28.8108</v>
      </c>
      <c r="P48" s="7"/>
      <c r="Q48" s="13"/>
      <c r="R48" s="14"/>
      <c r="S48" s="14"/>
      <c r="T48" s="27"/>
      <c r="U48" s="28">
        <f t="shared" si="2"/>
        <v>5.6753401766531424E-2</v>
      </c>
    </row>
    <row r="49" spans="1:21" x14ac:dyDescent="0.25">
      <c r="B49" s="6" t="s">
        <v>56</v>
      </c>
      <c r="C49" s="15">
        <v>1433.56</v>
      </c>
      <c r="D49" s="16">
        <v>33.552</v>
      </c>
      <c r="E49" s="16">
        <v>37.027000000000001</v>
      </c>
      <c r="F49" s="16">
        <v>38.747</v>
      </c>
      <c r="G49" s="16">
        <v>22.41</v>
      </c>
      <c r="H49" s="16">
        <f t="shared" si="0"/>
        <v>34.635750000000002</v>
      </c>
      <c r="I49" s="5"/>
      <c r="J49" s="15">
        <v>1263.088</v>
      </c>
      <c r="K49" s="16">
        <v>33.4298</v>
      </c>
      <c r="L49" s="16">
        <v>37.468000000000004</v>
      </c>
      <c r="M49" s="16">
        <v>39.014899999999997</v>
      </c>
      <c r="N49" s="16">
        <v>12.3513</v>
      </c>
      <c r="O49" s="16">
        <f t="shared" si="1"/>
        <v>34.632712500000004</v>
      </c>
      <c r="P49" s="7"/>
      <c r="Q49" s="8">
        <f>bdrate(C49:C52,D49:D52,J49:J52,K49:K52)</f>
        <v>-0.17741295824240155</v>
      </c>
      <c r="R49" s="8">
        <f>bdrate(C49:C52,E49:E52,J49:J52,L49:L52)</f>
        <v>-0.20408760718569952</v>
      </c>
      <c r="S49" s="8">
        <f>bdrate(C49:C52,F49:F52,J49:J52,M49:M52)</f>
        <v>-0.17104736398287712</v>
      </c>
      <c r="T49" s="25">
        <f>bdrate(C49:C52,H49:H52,J49:J52,O49:O52)</f>
        <v>-0.17958606027516133</v>
      </c>
      <c r="U49" s="28">
        <f t="shared" si="2"/>
        <v>-0.44884872824631861</v>
      </c>
    </row>
    <row r="50" spans="1:21" x14ac:dyDescent="0.25">
      <c r="B50" s="9"/>
      <c r="C50" s="17">
        <v>969.73</v>
      </c>
      <c r="D50" s="18">
        <v>31.925999999999998</v>
      </c>
      <c r="E50" s="18">
        <v>36.188000000000002</v>
      </c>
      <c r="F50" s="18">
        <v>37.875999999999998</v>
      </c>
      <c r="G50" s="18">
        <v>24.75</v>
      </c>
      <c r="H50" s="18">
        <f t="shared" si="0"/>
        <v>33.202499999999993</v>
      </c>
      <c r="I50" s="5"/>
      <c r="J50" s="17">
        <v>839.91039999999998</v>
      </c>
      <c r="K50" s="18">
        <v>31.956600000000002</v>
      </c>
      <c r="L50" s="18">
        <v>36.442799999999998</v>
      </c>
      <c r="M50" s="18">
        <v>38.001600000000003</v>
      </c>
      <c r="N50" s="18">
        <v>14.792899999999999</v>
      </c>
      <c r="O50" s="18">
        <f t="shared" si="1"/>
        <v>33.273000000000003</v>
      </c>
      <c r="P50" s="7"/>
      <c r="Q50" s="10"/>
      <c r="R50" s="11"/>
      <c r="S50" s="11"/>
      <c r="T50" s="26"/>
      <c r="U50" s="28">
        <f t="shared" si="2"/>
        <v>-0.40230707070707072</v>
      </c>
    </row>
    <row r="51" spans="1:21" x14ac:dyDescent="0.25">
      <c r="B51" s="9"/>
      <c r="C51" s="17">
        <v>614.30999999999995</v>
      </c>
      <c r="D51" s="18">
        <v>30.033999999999999</v>
      </c>
      <c r="E51" s="18">
        <v>35.305</v>
      </c>
      <c r="F51" s="18">
        <v>36.914999999999999</v>
      </c>
      <c r="G51" s="18">
        <v>28.16</v>
      </c>
      <c r="H51" s="18">
        <f t="shared" si="0"/>
        <v>31.553000000000001</v>
      </c>
      <c r="I51" s="5"/>
      <c r="J51" s="17">
        <v>523.40239999999994</v>
      </c>
      <c r="K51" s="18">
        <v>30.2836</v>
      </c>
      <c r="L51" s="18">
        <v>35.389800000000001</v>
      </c>
      <c r="M51" s="18">
        <v>36.918700000000001</v>
      </c>
      <c r="N51" s="18">
        <v>18.928599999999999</v>
      </c>
      <c r="O51" s="18">
        <f t="shared" si="1"/>
        <v>31.751262499999999</v>
      </c>
      <c r="P51" s="7"/>
      <c r="Q51" s="10"/>
      <c r="R51" s="11"/>
      <c r="S51" s="11"/>
      <c r="T51" s="26"/>
      <c r="U51" s="28">
        <f t="shared" si="2"/>
        <v>-0.32781960227272727</v>
      </c>
    </row>
    <row r="52" spans="1:21" ht="16.5" thickBot="1" x14ac:dyDescent="0.3">
      <c r="B52" s="12"/>
      <c r="C52" s="19">
        <v>372.73</v>
      </c>
      <c r="D52" s="20">
        <v>28</v>
      </c>
      <c r="E52" s="20">
        <v>34.295000000000002</v>
      </c>
      <c r="F52" s="20">
        <v>35.704000000000001</v>
      </c>
      <c r="G52" s="20">
        <v>33.1</v>
      </c>
      <c r="H52" s="20">
        <f t="shared" si="0"/>
        <v>29.749875000000003</v>
      </c>
      <c r="I52" s="5"/>
      <c r="J52" s="19">
        <v>315.30720000000002</v>
      </c>
      <c r="K52" s="20">
        <v>28.663699999999999</v>
      </c>
      <c r="L52" s="20">
        <v>34.339100000000002</v>
      </c>
      <c r="M52" s="20">
        <v>35.807499999999997</v>
      </c>
      <c r="N52" s="20">
        <v>24.342700000000001</v>
      </c>
      <c r="O52" s="20">
        <f t="shared" si="1"/>
        <v>30.266099999999998</v>
      </c>
      <c r="P52" s="7"/>
      <c r="Q52" s="13"/>
      <c r="R52" s="14"/>
      <c r="S52" s="14"/>
      <c r="T52" s="27"/>
      <c r="U52" s="28">
        <f t="shared" si="2"/>
        <v>-0.264570996978852</v>
      </c>
    </row>
    <row r="53" spans="1:21" x14ac:dyDescent="0.25">
      <c r="A53" s="6" t="s">
        <v>41</v>
      </c>
      <c r="B53" s="6" t="s">
        <v>57</v>
      </c>
      <c r="C53" s="15">
        <v>826.64</v>
      </c>
      <c r="D53" s="16">
        <v>35.997999999999998</v>
      </c>
      <c r="E53" s="16">
        <v>39.884999999999998</v>
      </c>
      <c r="F53" s="16">
        <v>38.664000000000001</v>
      </c>
      <c r="G53" s="16">
        <v>95.11</v>
      </c>
      <c r="H53" s="16">
        <f t="shared" si="0"/>
        <v>36.817124999999997</v>
      </c>
      <c r="I53" s="5"/>
      <c r="J53" s="15">
        <v>631.55039999999997</v>
      </c>
      <c r="K53" s="16">
        <v>35.584400000000002</v>
      </c>
      <c r="L53" s="16">
        <v>40.457599999999999</v>
      </c>
      <c r="M53" s="16">
        <v>38.877400000000002</v>
      </c>
      <c r="N53" s="16">
        <v>54.4129</v>
      </c>
      <c r="O53" s="16">
        <f t="shared" si="1"/>
        <v>36.605175000000003</v>
      </c>
      <c r="P53" s="7"/>
      <c r="Q53" s="8">
        <f>bdrate(C53:C56,D53:D56,J53:J56,K53:K56)</f>
        <v>-0.21937450499881084</v>
      </c>
      <c r="R53" s="8">
        <f>bdrate(C53:C56,E53:E56,J53:J56,L53:L56)</f>
        <v>-0.32283428494057886</v>
      </c>
      <c r="S53" s="8">
        <f>bdrate(C53:C56,F53:F56,J53:J56,M53:M56)</f>
        <v>-0.22582040602562969</v>
      </c>
      <c r="T53" s="25">
        <f>bdrate(C53:C56,H53:H56,J53:J56,O53:O56)</f>
        <v>-0.22845881432706439</v>
      </c>
      <c r="U53" s="28">
        <f t="shared" si="2"/>
        <v>-0.42789506886762696</v>
      </c>
    </row>
    <row r="54" spans="1:21" x14ac:dyDescent="0.25">
      <c r="A54" s="9" t="s">
        <v>42</v>
      </c>
      <c r="B54" s="9"/>
      <c r="C54" s="17">
        <v>552.09</v>
      </c>
      <c r="D54" s="18">
        <v>34.011000000000003</v>
      </c>
      <c r="E54" s="18">
        <v>38.728000000000002</v>
      </c>
      <c r="F54" s="18">
        <v>37.292999999999999</v>
      </c>
      <c r="G54" s="18">
        <v>104.41</v>
      </c>
      <c r="H54" s="18">
        <f t="shared" si="0"/>
        <v>35.010875000000006</v>
      </c>
      <c r="I54" s="5"/>
      <c r="J54" s="17">
        <v>420.68079999999998</v>
      </c>
      <c r="K54" s="18">
        <v>33.696300000000001</v>
      </c>
      <c r="L54" s="18">
        <v>39.216900000000003</v>
      </c>
      <c r="M54" s="18">
        <v>37.417999999999999</v>
      </c>
      <c r="N54" s="18">
        <v>65.146600000000007</v>
      </c>
      <c r="O54" s="18">
        <f t="shared" si="1"/>
        <v>34.851587500000001</v>
      </c>
      <c r="P54" s="7"/>
      <c r="Q54" s="10"/>
      <c r="R54" s="11"/>
      <c r="S54" s="11"/>
      <c r="T54" s="26"/>
      <c r="U54" s="28">
        <f t="shared" si="2"/>
        <v>-0.37605018676371987</v>
      </c>
    </row>
    <row r="55" spans="1:21" x14ac:dyDescent="0.25">
      <c r="B55" s="9"/>
      <c r="C55" s="17">
        <v>347.43</v>
      </c>
      <c r="D55" s="18">
        <v>31.826000000000001</v>
      </c>
      <c r="E55" s="18">
        <v>37.624000000000002</v>
      </c>
      <c r="F55" s="18">
        <v>35.954000000000001</v>
      </c>
      <c r="G55" s="18">
        <v>117.81</v>
      </c>
      <c r="H55" s="18">
        <f t="shared" si="0"/>
        <v>33.066749999999999</v>
      </c>
      <c r="I55" s="5"/>
      <c r="J55" s="17">
        <v>261.10559999999998</v>
      </c>
      <c r="K55" s="18">
        <v>31.667999999999999</v>
      </c>
      <c r="L55" s="18">
        <v>37.871400000000001</v>
      </c>
      <c r="M55" s="18">
        <v>35.820099999999996</v>
      </c>
      <c r="N55" s="18">
        <v>80.723299999999995</v>
      </c>
      <c r="O55" s="18">
        <f t="shared" si="1"/>
        <v>32.962437499999993</v>
      </c>
      <c r="P55" s="7"/>
      <c r="Q55" s="10"/>
      <c r="R55" s="11"/>
      <c r="S55" s="11"/>
      <c r="T55" s="26"/>
      <c r="U55" s="28">
        <f t="shared" si="2"/>
        <v>-0.31480095068330366</v>
      </c>
    </row>
    <row r="56" spans="1:21" ht="16.5" thickBot="1" x14ac:dyDescent="0.3">
      <c r="B56" s="12"/>
      <c r="C56" s="19">
        <v>168.67</v>
      </c>
      <c r="D56" s="20">
        <v>28.611999999999998</v>
      </c>
      <c r="E56" s="20">
        <v>36.134</v>
      </c>
      <c r="F56" s="20">
        <v>34.063000000000002</v>
      </c>
      <c r="G56" s="20">
        <v>149.75</v>
      </c>
      <c r="H56" s="20">
        <f t="shared" si="0"/>
        <v>30.233624999999996</v>
      </c>
      <c r="I56" s="5"/>
      <c r="J56" s="19">
        <v>123.6456</v>
      </c>
      <c r="K56" s="20">
        <v>28.776800000000001</v>
      </c>
      <c r="L56" s="20">
        <v>36.028799999999997</v>
      </c>
      <c r="M56" s="20">
        <v>33.567900000000002</v>
      </c>
      <c r="N56" s="20">
        <v>114.8633</v>
      </c>
      <c r="O56" s="20">
        <f t="shared" si="1"/>
        <v>30.282187499999999</v>
      </c>
      <c r="P56" s="7"/>
      <c r="Q56" s="13"/>
      <c r="R56" s="14"/>
      <c r="S56" s="14"/>
      <c r="T56" s="27"/>
      <c r="U56" s="28">
        <f t="shared" si="2"/>
        <v>-0.23296627712854762</v>
      </c>
    </row>
    <row r="57" spans="1:21" x14ac:dyDescent="0.25">
      <c r="B57" s="6" t="s">
        <v>58</v>
      </c>
      <c r="C57" s="15">
        <v>724.29</v>
      </c>
      <c r="D57" s="16">
        <v>32.914000000000001</v>
      </c>
      <c r="E57" s="16">
        <v>39.712000000000003</v>
      </c>
      <c r="F57" s="16">
        <v>40.444000000000003</v>
      </c>
      <c r="G57" s="16">
        <v>126.53</v>
      </c>
      <c r="H57" s="16">
        <f t="shared" si="0"/>
        <v>34.705000000000005</v>
      </c>
      <c r="I57" s="5"/>
      <c r="J57" s="15">
        <v>624.05920000000003</v>
      </c>
      <c r="K57" s="16">
        <v>34.537599999999998</v>
      </c>
      <c r="L57" s="16">
        <v>41.6586</v>
      </c>
      <c r="M57" s="16">
        <v>42.5169</v>
      </c>
      <c r="N57" s="16">
        <v>85.094300000000004</v>
      </c>
      <c r="O57" s="16">
        <f t="shared" si="1"/>
        <v>36.425137499999998</v>
      </c>
      <c r="P57" s="7"/>
      <c r="Q57" s="8">
        <f>bdrate(C57:C60,D57:D60,J57:J60,K57:K60)</f>
        <v>-0.4957782958433552</v>
      </c>
      <c r="R57" s="8">
        <f>bdrate(C57:C60,E57:E60,J57:J60,L57:L60)</f>
        <v>-0.5264799385055452</v>
      </c>
      <c r="S57" s="8">
        <f>bdrate(C57:C60,F57:F60,J57:J60,M57:M60)</f>
        <v>-0.59058128675635224</v>
      </c>
      <c r="T57" s="25">
        <f>bdrate(C57:C60,H57:H60,J57:J60,O57:O60)</f>
        <v>-0.50893632075659068</v>
      </c>
      <c r="U57" s="28">
        <f t="shared" si="2"/>
        <v>-0.3274772781158618</v>
      </c>
    </row>
    <row r="58" spans="1:21" x14ac:dyDescent="0.25">
      <c r="B58" s="9"/>
      <c r="C58" s="17">
        <v>476.16</v>
      </c>
      <c r="D58" s="18">
        <v>31.417999999999999</v>
      </c>
      <c r="E58" s="18">
        <v>39.222999999999999</v>
      </c>
      <c r="F58" s="18">
        <v>39.780999999999999</v>
      </c>
      <c r="G58" s="18">
        <v>138.86000000000001</v>
      </c>
      <c r="H58" s="18">
        <f t="shared" si="0"/>
        <v>33.439</v>
      </c>
      <c r="I58" s="5"/>
      <c r="J58" s="17">
        <v>414.78960000000001</v>
      </c>
      <c r="K58" s="18">
        <v>33.208199999999998</v>
      </c>
      <c r="L58" s="18">
        <v>40.727600000000002</v>
      </c>
      <c r="M58" s="18">
        <v>41.521999999999998</v>
      </c>
      <c r="N58" s="18">
        <v>105.9509</v>
      </c>
      <c r="O58" s="18">
        <f t="shared" si="1"/>
        <v>35.187349999999995</v>
      </c>
      <c r="P58" s="7"/>
      <c r="Q58" s="10"/>
      <c r="R58" s="11"/>
      <c r="S58" s="11"/>
      <c r="T58" s="26"/>
      <c r="U58" s="28">
        <f t="shared" si="2"/>
        <v>-0.2369948149215037</v>
      </c>
    </row>
    <row r="59" spans="1:21" x14ac:dyDescent="0.25">
      <c r="B59" s="9"/>
      <c r="C59" s="17">
        <v>294.51</v>
      </c>
      <c r="D59" s="18">
        <v>29.687999999999999</v>
      </c>
      <c r="E59" s="18">
        <v>38.661999999999999</v>
      </c>
      <c r="F59" s="18">
        <v>39.075000000000003</v>
      </c>
      <c r="G59" s="18">
        <v>153.26</v>
      </c>
      <c r="H59" s="18">
        <f t="shared" si="0"/>
        <v>31.983125000000001</v>
      </c>
      <c r="I59" s="5"/>
      <c r="J59" s="17">
        <v>257.79680000000002</v>
      </c>
      <c r="K59" s="18">
        <v>31.639099999999999</v>
      </c>
      <c r="L59" s="18">
        <v>39.659199999999998</v>
      </c>
      <c r="M59" s="18">
        <v>40.401699999999998</v>
      </c>
      <c r="N59" s="18">
        <v>141.40940000000001</v>
      </c>
      <c r="O59" s="18">
        <f t="shared" si="1"/>
        <v>33.736937499999996</v>
      </c>
      <c r="P59" s="7"/>
      <c r="Q59" s="10"/>
      <c r="R59" s="11"/>
      <c r="S59" s="11"/>
      <c r="T59" s="26"/>
      <c r="U59" s="28">
        <f t="shared" si="2"/>
        <v>-7.7323502544695208E-2</v>
      </c>
    </row>
    <row r="60" spans="1:21" ht="16.5" thickBot="1" x14ac:dyDescent="0.3">
      <c r="B60" s="12"/>
      <c r="C60" s="19">
        <v>139.93</v>
      </c>
      <c r="D60" s="20">
        <v>26.949000000000002</v>
      </c>
      <c r="E60" s="20">
        <v>38.119999999999997</v>
      </c>
      <c r="F60" s="20">
        <v>38.173999999999999</v>
      </c>
      <c r="G60" s="20">
        <v>181.43</v>
      </c>
      <c r="H60" s="20">
        <f t="shared" si="0"/>
        <v>29.748500000000003</v>
      </c>
      <c r="I60" s="5"/>
      <c r="J60" s="19">
        <v>123.08240000000001</v>
      </c>
      <c r="K60" s="20">
        <v>29.114100000000001</v>
      </c>
      <c r="L60" s="20">
        <v>38.277799999999999</v>
      </c>
      <c r="M60" s="20">
        <v>38.925899999999999</v>
      </c>
      <c r="N60" s="20">
        <v>224.88759999999999</v>
      </c>
      <c r="O60" s="20">
        <f t="shared" si="1"/>
        <v>31.486037500000002</v>
      </c>
      <c r="P60" s="7"/>
      <c r="Q60" s="13"/>
      <c r="R60" s="14"/>
      <c r="S60" s="14"/>
      <c r="T60" s="27"/>
      <c r="U60" s="28">
        <f t="shared" si="2"/>
        <v>0.23952819269139605</v>
      </c>
    </row>
    <row r="61" spans="1:21" x14ac:dyDescent="0.25">
      <c r="B61" s="6" t="s">
        <v>59</v>
      </c>
      <c r="C61" s="29">
        <v>808.64</v>
      </c>
      <c r="D61" s="30">
        <v>33.965000000000003</v>
      </c>
      <c r="E61" s="30">
        <v>37.433</v>
      </c>
      <c r="F61" s="30">
        <v>37.908000000000001</v>
      </c>
      <c r="G61" s="16">
        <v>112.46</v>
      </c>
      <c r="H61" s="16">
        <f t="shared" si="0"/>
        <v>34.891375000000004</v>
      </c>
      <c r="I61" s="5"/>
      <c r="J61" s="29">
        <v>646.80799999999999</v>
      </c>
      <c r="K61" s="30">
        <v>34.126899999999999</v>
      </c>
      <c r="L61" s="30">
        <v>38.616399999999999</v>
      </c>
      <c r="M61" s="30">
        <v>39.447200000000002</v>
      </c>
      <c r="N61" s="16">
        <v>74.194999999999993</v>
      </c>
      <c r="O61" s="16">
        <f t="shared" si="1"/>
        <v>35.353124999999999</v>
      </c>
      <c r="P61" s="7"/>
      <c r="Q61" s="8">
        <f>bdrate(C61:C64,D61:D64,J61:J64,K61:K64)</f>
        <v>-0.2791757555018527</v>
      </c>
      <c r="R61" s="8">
        <f>bdrate(C61:C64,E61:E64,J61:J64,L61:L64)</f>
        <v>-0.40276573656216796</v>
      </c>
      <c r="S61" s="8">
        <f>bdrate(C61:C64,F61:F64,J61:J64,M61:M64)</f>
        <v>-0.4792834817949565</v>
      </c>
      <c r="T61" s="25">
        <f>bdrate(C61:C64,H61:H64,J61:J64,O61:O64)</f>
        <v>-0.3124722319889528</v>
      </c>
      <c r="U61" s="28">
        <f t="shared" si="2"/>
        <v>-0.34025431264449585</v>
      </c>
    </row>
    <row r="62" spans="1:21" x14ac:dyDescent="0.25">
      <c r="B62" s="9"/>
      <c r="C62" s="31">
        <v>537.05999999999995</v>
      </c>
      <c r="D62" s="32">
        <v>32.268000000000001</v>
      </c>
      <c r="E62" s="32">
        <v>36.369</v>
      </c>
      <c r="F62" s="32">
        <v>36.835000000000001</v>
      </c>
      <c r="G62" s="18">
        <v>120.51</v>
      </c>
      <c r="H62" s="18">
        <f t="shared" si="0"/>
        <v>33.351500000000001</v>
      </c>
      <c r="I62" s="5"/>
      <c r="J62" s="31">
        <v>428.92320000000001</v>
      </c>
      <c r="K62" s="32">
        <v>32.540100000000002</v>
      </c>
      <c r="L62" s="32">
        <v>37.365400000000001</v>
      </c>
      <c r="M62" s="32">
        <v>38.168300000000002</v>
      </c>
      <c r="N62" s="18">
        <v>91.307500000000005</v>
      </c>
      <c r="O62" s="18">
        <f t="shared" si="1"/>
        <v>33.846787500000005</v>
      </c>
      <c r="P62" s="7"/>
      <c r="Q62" s="10"/>
      <c r="R62" s="11"/>
      <c r="S62" s="11"/>
      <c r="T62" s="26"/>
      <c r="U62" s="28">
        <f t="shared" si="2"/>
        <v>-0.24232428844079329</v>
      </c>
    </row>
    <row r="63" spans="1:21" x14ac:dyDescent="0.25">
      <c r="B63" s="9"/>
      <c r="C63" s="31">
        <v>333.68</v>
      </c>
      <c r="D63" s="32">
        <v>30.4</v>
      </c>
      <c r="E63" s="32">
        <v>35.447000000000003</v>
      </c>
      <c r="F63" s="32">
        <v>35.941000000000003</v>
      </c>
      <c r="G63" s="18">
        <v>132.44999999999999</v>
      </c>
      <c r="H63" s="18">
        <f t="shared" si="0"/>
        <v>31.723499999999998</v>
      </c>
      <c r="I63" s="5"/>
      <c r="J63" s="31">
        <v>267.476</v>
      </c>
      <c r="K63" s="32">
        <v>30.8367</v>
      </c>
      <c r="L63" s="32">
        <v>36.087200000000003</v>
      </c>
      <c r="M63" s="32">
        <v>36.876300000000001</v>
      </c>
      <c r="N63" s="18">
        <v>112.8668</v>
      </c>
      <c r="O63" s="18">
        <f t="shared" si="1"/>
        <v>32.2479625</v>
      </c>
      <c r="P63" s="7"/>
      <c r="Q63" s="10"/>
      <c r="R63" s="11"/>
      <c r="S63" s="11"/>
      <c r="T63" s="26"/>
      <c r="U63" s="28">
        <f t="shared" si="2"/>
        <v>-0.14785352963382403</v>
      </c>
    </row>
    <row r="64" spans="1:21" ht="16.5" thickBot="1" x14ac:dyDescent="0.3">
      <c r="B64" s="12"/>
      <c r="C64" s="33">
        <v>157.65</v>
      </c>
      <c r="D64" s="34">
        <v>27.733000000000001</v>
      </c>
      <c r="E64" s="34">
        <v>34.207999999999998</v>
      </c>
      <c r="F64" s="34">
        <v>34.771000000000001</v>
      </c>
      <c r="G64" s="20">
        <v>155.57</v>
      </c>
      <c r="H64" s="20">
        <f t="shared" si="0"/>
        <v>29.422125000000001</v>
      </c>
      <c r="I64" s="5"/>
      <c r="J64" s="33">
        <v>125.7912</v>
      </c>
      <c r="K64" s="34">
        <v>28.297599999999999</v>
      </c>
      <c r="L64" s="34">
        <v>34.350099999999998</v>
      </c>
      <c r="M64" s="34">
        <v>35.118000000000002</v>
      </c>
      <c r="N64" s="20">
        <v>157.87809999999999</v>
      </c>
      <c r="O64" s="20">
        <f t="shared" si="1"/>
        <v>29.906712499999998</v>
      </c>
      <c r="P64" s="7"/>
      <c r="Q64" s="13"/>
      <c r="R64" s="14"/>
      <c r="S64" s="14"/>
      <c r="T64" s="27"/>
      <c r="U64" s="28">
        <f t="shared" si="2"/>
        <v>1.4836408047824106E-2</v>
      </c>
    </row>
    <row r="65" spans="1:21" x14ac:dyDescent="0.25">
      <c r="B65" s="6" t="s">
        <v>60</v>
      </c>
      <c r="C65" s="15">
        <v>744.07</v>
      </c>
      <c r="D65" s="16">
        <v>35.74</v>
      </c>
      <c r="E65" s="16">
        <v>37.871000000000002</v>
      </c>
      <c r="F65" s="16">
        <v>39.031999999999996</v>
      </c>
      <c r="G65" s="16">
        <v>73.400000000000006</v>
      </c>
      <c r="H65" s="16">
        <f t="shared" si="0"/>
        <v>36.417875000000002</v>
      </c>
      <c r="I65" s="5"/>
      <c r="J65" s="15">
        <v>638.23440000000005</v>
      </c>
      <c r="K65" s="16">
        <v>35.3523</v>
      </c>
      <c r="L65" s="16">
        <v>38.7271</v>
      </c>
      <c r="M65" s="16">
        <v>39.814399999999999</v>
      </c>
      <c r="N65" s="16">
        <v>41.533999999999999</v>
      </c>
      <c r="O65" s="16">
        <f t="shared" si="1"/>
        <v>36.331912500000001</v>
      </c>
      <c r="P65" s="7"/>
      <c r="Q65" s="8">
        <f>bdrate(C65:C68,D65:D68,J65:J68,K65:K68)</f>
        <v>-0.11582927372643748</v>
      </c>
      <c r="R65" s="8">
        <f>bdrate(C65:C68,E65:E68,J65:J68,L65:L68)</f>
        <v>-0.28800470679631118</v>
      </c>
      <c r="S65" s="8">
        <f>bdrate(C65:C68,F65:F68,J65:J68,M65:M68)</f>
        <v>-0.2648496966752224</v>
      </c>
      <c r="T65" s="25">
        <f>bdrate(C65:C68,H65:H68,J65:J68,O65:O68)</f>
        <v>-0.14557216281035412</v>
      </c>
      <c r="U65" s="28">
        <f t="shared" si="2"/>
        <v>-0.43414168937329706</v>
      </c>
    </row>
    <row r="66" spans="1:21" x14ac:dyDescent="0.25">
      <c r="B66" s="9"/>
      <c r="C66" s="17">
        <v>497.59</v>
      </c>
      <c r="D66" s="18">
        <v>33.732999999999997</v>
      </c>
      <c r="E66" s="18">
        <v>36.720999999999997</v>
      </c>
      <c r="F66" s="18">
        <v>37.886000000000003</v>
      </c>
      <c r="G66" s="18">
        <v>80.13</v>
      </c>
      <c r="H66" s="18">
        <f t="shared" si="0"/>
        <v>34.625624999999999</v>
      </c>
      <c r="I66" s="5"/>
      <c r="J66" s="17">
        <v>425.48480000000001</v>
      </c>
      <c r="K66" s="18">
        <v>33.446800000000003</v>
      </c>
      <c r="L66" s="18">
        <v>37.375500000000002</v>
      </c>
      <c r="M66" s="18">
        <v>38.491799999999998</v>
      </c>
      <c r="N66" s="18">
        <v>49.309699999999999</v>
      </c>
      <c r="O66" s="18">
        <f t="shared" si="1"/>
        <v>34.568512500000004</v>
      </c>
      <c r="P66" s="7"/>
      <c r="Q66" s="10"/>
      <c r="R66" s="11"/>
      <c r="S66" s="11"/>
      <c r="T66" s="26"/>
      <c r="U66" s="28">
        <f t="shared" si="2"/>
        <v>-0.3846287283164857</v>
      </c>
    </row>
    <row r="67" spans="1:21" x14ac:dyDescent="0.25">
      <c r="B67" s="9"/>
      <c r="C67" s="17">
        <v>314.47000000000003</v>
      </c>
      <c r="D67" s="18">
        <v>31.616</v>
      </c>
      <c r="E67" s="18">
        <v>35.597999999999999</v>
      </c>
      <c r="F67" s="18">
        <v>36.741</v>
      </c>
      <c r="G67" s="18">
        <v>89.45</v>
      </c>
      <c r="H67" s="18">
        <f t="shared" si="0"/>
        <v>32.754374999999996</v>
      </c>
      <c r="I67" s="5"/>
      <c r="J67" s="17">
        <v>263.7808</v>
      </c>
      <c r="K67" s="18">
        <v>31.376100000000001</v>
      </c>
      <c r="L67" s="18">
        <v>36.007300000000001</v>
      </c>
      <c r="M67" s="18">
        <v>37.051200000000001</v>
      </c>
      <c r="N67" s="18">
        <v>60.483899999999998</v>
      </c>
      <c r="O67" s="18">
        <f t="shared" si="1"/>
        <v>32.664387499999997</v>
      </c>
      <c r="P67" s="7"/>
      <c r="Q67" s="10"/>
      <c r="R67" s="11"/>
      <c r="S67" s="11"/>
      <c r="T67" s="26"/>
      <c r="U67" s="28">
        <f t="shared" si="2"/>
        <v>-0.32382448295136951</v>
      </c>
    </row>
    <row r="68" spans="1:21" ht="16.5" thickBot="1" x14ac:dyDescent="0.3">
      <c r="B68" s="12"/>
      <c r="C68" s="19">
        <v>150.69999999999999</v>
      </c>
      <c r="D68" s="20">
        <v>28.567</v>
      </c>
      <c r="E68" s="20">
        <v>34.06</v>
      </c>
      <c r="F68" s="20">
        <v>35.084000000000003</v>
      </c>
      <c r="G68" s="20">
        <v>111.15</v>
      </c>
      <c r="H68" s="20">
        <f t="shared" si="0"/>
        <v>30.068249999999999</v>
      </c>
      <c r="I68" s="5"/>
      <c r="J68" s="19">
        <v>125.6144</v>
      </c>
      <c r="K68" s="20">
        <v>28.685500000000001</v>
      </c>
      <c r="L68" s="20">
        <v>34.1601</v>
      </c>
      <c r="M68" s="20">
        <v>35.158200000000001</v>
      </c>
      <c r="N68" s="20">
        <v>84.721800000000002</v>
      </c>
      <c r="O68" s="20">
        <f t="shared" si="1"/>
        <v>30.178912499999999</v>
      </c>
      <c r="P68" s="7"/>
      <c r="Q68" s="13"/>
      <c r="R68" s="14"/>
      <c r="S68" s="14"/>
      <c r="T68" s="27"/>
      <c r="U68" s="28">
        <f t="shared" si="2"/>
        <v>-0.2377705802968961</v>
      </c>
    </row>
    <row r="69" spans="1:21" x14ac:dyDescent="0.25">
      <c r="A69" s="6" t="s">
        <v>43</v>
      </c>
      <c r="B69" s="6" t="s">
        <v>61</v>
      </c>
      <c r="C69" s="15">
        <v>1924.11</v>
      </c>
      <c r="D69" s="16">
        <v>41.56</v>
      </c>
      <c r="E69" s="16">
        <v>45.156999999999996</v>
      </c>
      <c r="F69" s="16">
        <v>46.411999999999999</v>
      </c>
      <c r="G69" s="16">
        <v>23.73</v>
      </c>
      <c r="H69" s="16">
        <f t="shared" si="0"/>
        <v>42.616124999999997</v>
      </c>
      <c r="I69" s="5"/>
      <c r="J69" s="15">
        <v>1532.2112</v>
      </c>
      <c r="K69" s="16">
        <v>41.968400000000003</v>
      </c>
      <c r="L69" s="16">
        <v>46.115600000000001</v>
      </c>
      <c r="M69" s="16">
        <v>47.303100000000001</v>
      </c>
      <c r="N69" s="16">
        <v>19.154</v>
      </c>
      <c r="O69" s="16">
        <f t="shared" si="1"/>
        <v>43.153637500000002</v>
      </c>
      <c r="P69" s="7"/>
      <c r="Q69" s="8">
        <f>bdrate(C69:C72,D69:D72,J69:J72,K69:K72)</f>
        <v>-0.35762273204657669</v>
      </c>
      <c r="R69" s="8">
        <f>bdrate(C69:C72,E69:E72,J69:J72,L69:L72)</f>
        <v>-0.46626419363600535</v>
      </c>
      <c r="S69" s="8">
        <f>bdrate(C69:C72,F69:F72,J69:J72,M69:M72)</f>
        <v>-0.4730637670657325</v>
      </c>
      <c r="T69" s="25">
        <f>bdrate(C69:C72,H69:H72,J69:J72,O69:O72)</f>
        <v>-0.38220516582775388</v>
      </c>
      <c r="U69" s="28">
        <f t="shared" si="2"/>
        <v>-0.1928360724820902</v>
      </c>
    </row>
    <row r="70" spans="1:21" x14ac:dyDescent="0.25">
      <c r="A70" s="9" t="s">
        <v>44</v>
      </c>
      <c r="B70" s="9"/>
      <c r="C70" s="17">
        <v>1251.3399999999999</v>
      </c>
      <c r="D70" s="18">
        <v>40.411999999999999</v>
      </c>
      <c r="E70" s="18">
        <v>44.015999999999998</v>
      </c>
      <c r="F70" s="18">
        <v>45.142000000000003</v>
      </c>
      <c r="G70" s="18">
        <v>26.2</v>
      </c>
      <c r="H70" s="18">
        <f t="shared" si="0"/>
        <v>41.453749999999999</v>
      </c>
      <c r="I70" s="5"/>
      <c r="J70" s="17">
        <v>1009.9023999999999</v>
      </c>
      <c r="K70" s="18">
        <v>40.950000000000003</v>
      </c>
      <c r="L70" s="18">
        <v>45.138100000000001</v>
      </c>
      <c r="M70" s="18">
        <v>46.2517</v>
      </c>
      <c r="N70" s="18">
        <v>24.2807</v>
      </c>
      <c r="O70" s="18">
        <f t="shared" si="1"/>
        <v>42.136224999999996</v>
      </c>
      <c r="P70" s="7"/>
      <c r="Q70" s="10"/>
      <c r="R70" s="11"/>
      <c r="S70" s="11"/>
      <c r="T70" s="26"/>
      <c r="U70" s="28">
        <f t="shared" si="2"/>
        <v>-7.3255725190839685E-2</v>
      </c>
    </row>
    <row r="71" spans="1:21" x14ac:dyDescent="0.25">
      <c r="B71" s="9"/>
      <c r="C71" s="17">
        <v>732.01</v>
      </c>
      <c r="D71" s="18">
        <v>38.292000000000002</v>
      </c>
      <c r="E71" s="18">
        <v>42.463000000000001</v>
      </c>
      <c r="F71" s="18">
        <v>43.378999999999998</v>
      </c>
      <c r="G71" s="18">
        <v>29.7</v>
      </c>
      <c r="H71" s="18">
        <f t="shared" si="0"/>
        <v>39.449250000000006</v>
      </c>
      <c r="I71" s="5"/>
      <c r="J71" s="17">
        <v>586.25840000000005</v>
      </c>
      <c r="K71" s="18">
        <v>39.178899999999999</v>
      </c>
      <c r="L71" s="18">
        <v>43.638100000000001</v>
      </c>
      <c r="M71" s="18">
        <v>44.770600000000002</v>
      </c>
      <c r="N71" s="18">
        <v>31.7864</v>
      </c>
      <c r="O71" s="18">
        <f t="shared" si="1"/>
        <v>40.4352625</v>
      </c>
      <c r="P71" s="7"/>
      <c r="Q71" s="10"/>
      <c r="R71" s="11"/>
      <c r="S71" s="11"/>
      <c r="T71" s="26"/>
      <c r="U71" s="28">
        <f t="shared" si="2"/>
        <v>7.0249158249158283E-2</v>
      </c>
    </row>
    <row r="72" spans="1:21" ht="16.5" thickBot="1" x14ac:dyDescent="0.3">
      <c r="B72" s="12"/>
      <c r="C72" s="19">
        <v>355.78</v>
      </c>
      <c r="D72" s="20">
        <v>34.362000000000002</v>
      </c>
      <c r="E72" s="20">
        <v>40.415999999999997</v>
      </c>
      <c r="F72" s="20">
        <v>41.365000000000002</v>
      </c>
      <c r="G72" s="20">
        <v>35.03</v>
      </c>
      <c r="H72" s="20">
        <f t="shared" si="0"/>
        <v>35.994125000000004</v>
      </c>
      <c r="I72" s="5"/>
      <c r="J72" s="19">
        <v>282.27519999999998</v>
      </c>
      <c r="K72" s="20">
        <v>36.0548</v>
      </c>
      <c r="L72" s="20">
        <v>41.495800000000003</v>
      </c>
      <c r="M72" s="20">
        <v>42.425699999999999</v>
      </c>
      <c r="N72" s="20">
        <v>44.411499999999997</v>
      </c>
      <c r="O72" s="20">
        <f t="shared" si="1"/>
        <v>37.531287500000005</v>
      </c>
      <c r="P72" s="7"/>
      <c r="Q72" s="13"/>
      <c r="R72" s="14"/>
      <c r="S72" s="14"/>
      <c r="T72" s="27"/>
      <c r="U72" s="28">
        <f t="shared" si="2"/>
        <v>0.26781330288324279</v>
      </c>
    </row>
    <row r="73" spans="1:21" x14ac:dyDescent="0.25">
      <c r="B73" s="6" t="s">
        <v>62</v>
      </c>
      <c r="C73" s="15">
        <v>1977.59</v>
      </c>
      <c r="D73" s="16">
        <v>42.466000000000001</v>
      </c>
      <c r="E73" s="16">
        <v>47.005000000000003</v>
      </c>
      <c r="F73" s="16">
        <v>47.442999999999998</v>
      </c>
      <c r="G73" s="16">
        <v>23.24</v>
      </c>
      <c r="H73" s="16">
        <f t="shared" si="0"/>
        <v>43.655499999999996</v>
      </c>
      <c r="I73" s="5"/>
      <c r="J73" s="15">
        <v>1519.2231999999999</v>
      </c>
      <c r="K73" s="16">
        <v>42.925800000000002</v>
      </c>
      <c r="L73" s="16">
        <v>48.134900000000002</v>
      </c>
      <c r="M73" s="16">
        <v>48.815800000000003</v>
      </c>
      <c r="N73" s="16">
        <v>20.1052</v>
      </c>
      <c r="O73" s="16">
        <f t="shared" si="1"/>
        <v>44.313187500000005</v>
      </c>
      <c r="P73" s="7"/>
      <c r="Q73" s="8">
        <f>bdrate(C73:C76,D73:D76,J73:J76,K73:K76)</f>
        <v>-0.51968581046329287</v>
      </c>
      <c r="R73" s="8">
        <f>bdrate(C73:C76,E73:E76,J73:J76,L73:L76)</f>
        <v>-0.66274225614730642</v>
      </c>
      <c r="S73" s="8">
        <f>bdrate(C73:C76,F73:F76,J73:J76,M73:M76)</f>
        <v>-0.69017942522411468</v>
      </c>
      <c r="T73" s="25">
        <f>bdrate(C73:C76,H73:H76,J73:J76,O73:O76)</f>
        <v>-0.56945592084489705</v>
      </c>
      <c r="U73" s="28">
        <f t="shared" ref="U73:U232" si="3">(N73-G73)/G73</f>
        <v>-0.13488812392426844</v>
      </c>
    </row>
    <row r="74" spans="1:21" x14ac:dyDescent="0.25">
      <c r="B74" s="9"/>
      <c r="C74" s="17">
        <v>1299.3800000000001</v>
      </c>
      <c r="D74" s="18">
        <v>41.828000000000003</v>
      </c>
      <c r="E74" s="18">
        <v>46.069000000000003</v>
      </c>
      <c r="F74" s="18">
        <v>46.323</v>
      </c>
      <c r="G74" s="18">
        <v>25.19</v>
      </c>
      <c r="H74" s="18">
        <f t="shared" si="0"/>
        <v>42.92</v>
      </c>
      <c r="I74" s="5"/>
      <c r="J74" s="17">
        <v>997.18399999999997</v>
      </c>
      <c r="K74" s="18">
        <v>42.4664</v>
      </c>
      <c r="L74" s="18">
        <v>47.623399999999997</v>
      </c>
      <c r="M74" s="18">
        <v>48.270499999999998</v>
      </c>
      <c r="N74" s="18">
        <v>26.057500000000001</v>
      </c>
      <c r="O74" s="18">
        <f t="shared" si="1"/>
        <v>43.836537500000006</v>
      </c>
      <c r="P74" s="7"/>
      <c r="Q74" s="10"/>
      <c r="R74" s="11"/>
      <c r="S74" s="11"/>
      <c r="T74" s="26"/>
      <c r="U74" s="28">
        <f t="shared" si="3"/>
        <v>3.4438269154426347E-2</v>
      </c>
    </row>
    <row r="75" spans="1:21" x14ac:dyDescent="0.25">
      <c r="B75" s="9"/>
      <c r="C75" s="17">
        <v>751.77</v>
      </c>
      <c r="D75" s="18">
        <v>40.676000000000002</v>
      </c>
      <c r="E75" s="18">
        <v>44.734000000000002</v>
      </c>
      <c r="F75" s="18">
        <v>45.191000000000003</v>
      </c>
      <c r="G75" s="18">
        <v>27.99</v>
      </c>
      <c r="H75" s="18">
        <f t="shared" si="0"/>
        <v>41.747624999999999</v>
      </c>
      <c r="I75" s="5"/>
      <c r="J75" s="17">
        <v>583.76239999999996</v>
      </c>
      <c r="K75" s="18">
        <v>41.663400000000003</v>
      </c>
      <c r="L75" s="18">
        <v>46.715200000000003</v>
      </c>
      <c r="M75" s="18">
        <v>47.222099999999998</v>
      </c>
      <c r="N75" s="18">
        <v>34.902000000000001</v>
      </c>
      <c r="O75" s="18">
        <f t="shared" si="1"/>
        <v>42.989712500000003</v>
      </c>
      <c r="P75" s="7"/>
      <c r="Q75" s="10"/>
      <c r="R75" s="11"/>
      <c r="S75" s="11"/>
      <c r="T75" s="26"/>
      <c r="U75" s="28">
        <f t="shared" si="3"/>
        <v>0.24694533762057888</v>
      </c>
    </row>
    <row r="76" spans="1:21" ht="16.5" thickBot="1" x14ac:dyDescent="0.3">
      <c r="B76" s="12"/>
      <c r="C76" s="19">
        <v>351.67</v>
      </c>
      <c r="D76" s="20">
        <v>37.997999999999998</v>
      </c>
      <c r="E76" s="20">
        <v>42.354999999999997</v>
      </c>
      <c r="F76" s="20">
        <v>43.345999999999997</v>
      </c>
      <c r="G76" s="20">
        <v>33.36</v>
      </c>
      <c r="H76" s="20">
        <f t="shared" si="0"/>
        <v>39.211125000000003</v>
      </c>
      <c r="I76" s="5"/>
      <c r="J76" s="19">
        <v>277.60399999999998</v>
      </c>
      <c r="K76" s="20">
        <v>40.117699999999999</v>
      </c>
      <c r="L76" s="20">
        <v>44.8626</v>
      </c>
      <c r="M76" s="20">
        <v>45.455100000000002</v>
      </c>
      <c r="N76" s="20">
        <v>51.011699999999998</v>
      </c>
      <c r="O76" s="20">
        <f t="shared" si="1"/>
        <v>41.377987500000003</v>
      </c>
      <c r="P76" s="7"/>
      <c r="Q76" s="13"/>
      <c r="R76" s="14"/>
      <c r="S76" s="14"/>
      <c r="T76" s="27"/>
      <c r="U76" s="28">
        <f t="shared" si="3"/>
        <v>0.52912769784172653</v>
      </c>
    </row>
    <row r="77" spans="1:21" x14ac:dyDescent="0.25">
      <c r="B77" s="6" t="s">
        <v>63</v>
      </c>
      <c r="C77" s="15">
        <v>2052.38</v>
      </c>
      <c r="D77" s="16">
        <v>42.570999999999998</v>
      </c>
      <c r="E77" s="16">
        <v>46.329000000000001</v>
      </c>
      <c r="F77" s="16">
        <v>46.918999999999997</v>
      </c>
      <c r="G77" s="16">
        <v>21.93</v>
      </c>
      <c r="H77" s="16">
        <f t="shared" si="0"/>
        <v>43.584249999999997</v>
      </c>
      <c r="I77" s="5"/>
      <c r="J77" s="15">
        <v>1540.2568000000001</v>
      </c>
      <c r="K77" s="16">
        <v>42.8889</v>
      </c>
      <c r="L77" s="16">
        <v>47.249000000000002</v>
      </c>
      <c r="M77" s="16">
        <v>48.085900000000002</v>
      </c>
      <c r="N77" s="16">
        <v>18.771100000000001</v>
      </c>
      <c r="O77" s="16">
        <f t="shared" si="1"/>
        <v>44.083537499999998</v>
      </c>
      <c r="P77" s="7"/>
      <c r="Q77" s="8">
        <f>bdrate(C77:C80,D77:D80,J77:J80,K77:K80)</f>
        <v>-0.41367471252906429</v>
      </c>
      <c r="R77" s="8">
        <f>bdrate(C77:C80,E77:E80,J77:J80,L77:L80)</f>
        <v>-0.56932560745427052</v>
      </c>
      <c r="S77" s="8">
        <f>bdrate(C77:C80,F77:F80,J77:J80,M77:M80)</f>
        <v>-0.57954305251893401</v>
      </c>
      <c r="T77" s="25">
        <f>bdrate(C77:C80,H77:H80,J77:J80,O77:O80)</f>
        <v>-0.45790811568669665</v>
      </c>
      <c r="U77" s="28">
        <f t="shared" si="3"/>
        <v>-0.14404468764249884</v>
      </c>
    </row>
    <row r="78" spans="1:21" x14ac:dyDescent="0.25">
      <c r="B78" s="9"/>
      <c r="C78" s="17">
        <v>1354.15</v>
      </c>
      <c r="D78" s="18">
        <v>41.701000000000001</v>
      </c>
      <c r="E78" s="18">
        <v>45.259</v>
      </c>
      <c r="F78" s="18">
        <v>46.002000000000002</v>
      </c>
      <c r="G78" s="18">
        <v>23.79</v>
      </c>
      <c r="H78" s="18">
        <f t="shared" si="0"/>
        <v>42.683375000000005</v>
      </c>
      <c r="I78" s="5"/>
      <c r="J78" s="17">
        <v>1039.6288</v>
      </c>
      <c r="K78" s="18">
        <v>42.1233</v>
      </c>
      <c r="L78" s="18">
        <v>46.486800000000002</v>
      </c>
      <c r="M78" s="18">
        <v>47.308999999999997</v>
      </c>
      <c r="N78" s="18">
        <v>24.846800000000002</v>
      </c>
      <c r="O78" s="18">
        <f t="shared" si="1"/>
        <v>43.316950000000006</v>
      </c>
      <c r="P78" s="7"/>
      <c r="Q78" s="10"/>
      <c r="R78" s="11"/>
      <c r="S78" s="11"/>
      <c r="T78" s="26"/>
      <c r="U78" s="28">
        <f t="shared" si="3"/>
        <v>4.4422026061370433E-2</v>
      </c>
    </row>
    <row r="79" spans="1:21" x14ac:dyDescent="0.25">
      <c r="B79" s="9"/>
      <c r="C79" s="17">
        <v>795.02</v>
      </c>
      <c r="D79" s="18">
        <v>40.107999999999997</v>
      </c>
      <c r="E79" s="18">
        <v>43.488</v>
      </c>
      <c r="F79" s="18">
        <v>44.255000000000003</v>
      </c>
      <c r="G79" s="18">
        <v>27.37</v>
      </c>
      <c r="H79" s="18">
        <f t="shared" si="0"/>
        <v>41.048874999999995</v>
      </c>
      <c r="I79" s="5"/>
      <c r="J79" s="17">
        <v>595.84159999999997</v>
      </c>
      <c r="K79" s="18">
        <v>40.885100000000001</v>
      </c>
      <c r="L79" s="18">
        <v>45.236199999999997</v>
      </c>
      <c r="M79" s="18">
        <v>46.0199</v>
      </c>
      <c r="N79" s="18">
        <v>32.131999999999998</v>
      </c>
      <c r="O79" s="18">
        <f t="shared" si="1"/>
        <v>42.070837500000003</v>
      </c>
      <c r="P79" s="7"/>
      <c r="Q79" s="10"/>
      <c r="R79" s="11"/>
      <c r="S79" s="11"/>
      <c r="T79" s="26"/>
      <c r="U79" s="28">
        <f t="shared" si="3"/>
        <v>0.17398611618560456</v>
      </c>
    </row>
    <row r="80" spans="1:21" ht="16.5" thickBot="1" x14ac:dyDescent="0.3">
      <c r="B80" s="12"/>
      <c r="C80" s="19">
        <v>383.1</v>
      </c>
      <c r="D80" s="20">
        <v>36.634999999999998</v>
      </c>
      <c r="E80" s="20">
        <v>41.170999999999999</v>
      </c>
      <c r="F80" s="20">
        <v>41.779000000000003</v>
      </c>
      <c r="G80" s="20">
        <v>33.89</v>
      </c>
      <c r="H80" s="20">
        <f t="shared" si="0"/>
        <v>37.844999999999999</v>
      </c>
      <c r="I80" s="5"/>
      <c r="J80" s="19">
        <v>290.97519999999997</v>
      </c>
      <c r="K80" s="20">
        <v>38.446899999999999</v>
      </c>
      <c r="L80" s="20">
        <v>43.139499999999998</v>
      </c>
      <c r="M80" s="20">
        <v>43.968800000000002</v>
      </c>
      <c r="N80" s="20">
        <v>46.339199999999998</v>
      </c>
      <c r="O80" s="20">
        <f t="shared" si="1"/>
        <v>39.723712499999998</v>
      </c>
      <c r="P80" s="7"/>
      <c r="Q80" s="13"/>
      <c r="R80" s="14"/>
      <c r="S80" s="14"/>
      <c r="T80" s="27"/>
      <c r="U80" s="28">
        <f t="shared" si="3"/>
        <v>0.36734139864266735</v>
      </c>
    </row>
    <row r="81" spans="1:21" hidden="1" x14ac:dyDescent="0.25">
      <c r="A81" s="6" t="s">
        <v>69</v>
      </c>
      <c r="B81" s="6" t="s">
        <v>73</v>
      </c>
      <c r="C81" s="15">
        <v>1597.3</v>
      </c>
      <c r="D81" s="16">
        <v>35.209000000000003</v>
      </c>
      <c r="E81" s="16">
        <v>38.061999999999998</v>
      </c>
      <c r="F81" s="16">
        <v>38.095999999999997</v>
      </c>
      <c r="G81" s="16">
        <v>32.31</v>
      </c>
      <c r="H81" s="16">
        <f t="shared" ref="H81:H240" si="4">(6*D81+E81+F81)/8</f>
        <v>35.926500000000004</v>
      </c>
      <c r="I81" s="5"/>
      <c r="J81" s="15">
        <v>1271.1024</v>
      </c>
      <c r="K81" s="16">
        <v>36.604500000000002</v>
      </c>
      <c r="L81" s="16">
        <v>39.835700000000003</v>
      </c>
      <c r="M81" s="16">
        <v>39.8508</v>
      </c>
      <c r="N81" s="16">
        <v>18.128399999999999</v>
      </c>
      <c r="O81" s="16">
        <f t="shared" ref="O81:O240" si="5">(6*K81+L81+M81)/8</f>
        <v>37.414187500000004</v>
      </c>
      <c r="P81" s="7"/>
      <c r="Q81" s="8">
        <f>bdrate(C81:C84,D81:D84,J81:J84,K81:K84)</f>
        <v>-0.42687486473049396</v>
      </c>
      <c r="R81" s="8">
        <f>bdrate(C81:C84,E81:E84,J81:J84,L81:L84)</f>
        <v>-0.49181100345025741</v>
      </c>
      <c r="S81" s="8">
        <f>bdrate(C81:C84,F81:F84,J81:J84,M81:M84)</f>
        <v>-0.45409602051911879</v>
      </c>
      <c r="T81" s="25">
        <f>bdrate(C81:C84,H81:H84,J81:J84,O81:O84)</f>
        <v>-0.43713832686834608</v>
      </c>
      <c r="U81" s="28">
        <f t="shared" si="3"/>
        <v>-0.43892293407613747</v>
      </c>
    </row>
    <row r="82" spans="1:21" hidden="1" x14ac:dyDescent="0.25">
      <c r="A82" s="9" t="s">
        <v>70</v>
      </c>
      <c r="B82" s="9"/>
      <c r="C82" s="17">
        <v>1066.26</v>
      </c>
      <c r="D82" s="18">
        <v>33.463000000000001</v>
      </c>
      <c r="E82" s="18">
        <v>36.676000000000002</v>
      </c>
      <c r="F82" s="18">
        <v>36.633000000000003</v>
      </c>
      <c r="G82" s="18">
        <v>36.14</v>
      </c>
      <c r="H82" s="18">
        <f t="shared" si="4"/>
        <v>34.260874999999999</v>
      </c>
      <c r="I82" s="5"/>
      <c r="J82" s="17">
        <v>843.26559999999995</v>
      </c>
      <c r="K82" s="18">
        <v>34.7577</v>
      </c>
      <c r="L82" s="18">
        <v>38.252800000000001</v>
      </c>
      <c r="M82" s="18">
        <v>38.053600000000003</v>
      </c>
      <c r="N82" s="18">
        <v>21.598299999999998</v>
      </c>
      <c r="O82" s="18">
        <f t="shared" si="5"/>
        <v>35.606574999999999</v>
      </c>
      <c r="P82" s="7"/>
      <c r="Q82" s="10"/>
      <c r="R82" s="11"/>
      <c r="S82" s="11"/>
      <c r="T82" s="26"/>
      <c r="U82" s="28">
        <f t="shared" si="3"/>
        <v>-0.40237133370226902</v>
      </c>
    </row>
    <row r="83" spans="1:21" hidden="1" x14ac:dyDescent="0.25">
      <c r="B83" s="9"/>
      <c r="C83" s="17">
        <v>662.69</v>
      </c>
      <c r="D83" s="18">
        <v>31.373000000000001</v>
      </c>
      <c r="E83" s="18">
        <v>35.155999999999999</v>
      </c>
      <c r="F83" s="18">
        <v>35.006</v>
      </c>
      <c r="G83" s="18">
        <v>41.57</v>
      </c>
      <c r="H83" s="18">
        <f t="shared" si="4"/>
        <v>32.299999999999997</v>
      </c>
      <c r="I83" s="5"/>
      <c r="J83" s="17">
        <v>524.4896</v>
      </c>
      <c r="K83" s="18">
        <v>32.784500000000001</v>
      </c>
      <c r="L83" s="18">
        <v>36.564</v>
      </c>
      <c r="M83" s="18">
        <v>36.255600000000001</v>
      </c>
      <c r="N83" s="18">
        <v>25.952500000000001</v>
      </c>
      <c r="O83" s="18">
        <f t="shared" si="5"/>
        <v>33.690824999999997</v>
      </c>
      <c r="P83" s="7"/>
      <c r="Q83" s="10"/>
      <c r="R83" s="11"/>
      <c r="S83" s="11"/>
      <c r="T83" s="26"/>
      <c r="U83" s="28">
        <f t="shared" si="3"/>
        <v>-0.37569160452249217</v>
      </c>
    </row>
    <row r="84" spans="1:21" ht="16.5" hidden="1" thickBot="1" x14ac:dyDescent="0.3">
      <c r="B84" s="12"/>
      <c r="C84" s="19">
        <v>395.85</v>
      </c>
      <c r="D84" s="20">
        <v>28.966000000000001</v>
      </c>
      <c r="E84" s="20">
        <v>33.776000000000003</v>
      </c>
      <c r="F84" s="20">
        <v>33.481000000000002</v>
      </c>
      <c r="G84" s="20">
        <v>49.31</v>
      </c>
      <c r="H84" s="20">
        <f t="shared" si="4"/>
        <v>30.131625</v>
      </c>
      <c r="I84" s="5"/>
      <c r="J84" s="19">
        <v>314.74400000000003</v>
      </c>
      <c r="K84" s="20">
        <v>30.7561</v>
      </c>
      <c r="L84" s="20">
        <v>34.912500000000001</v>
      </c>
      <c r="M84" s="20">
        <v>34.515799999999999</v>
      </c>
      <c r="N84" s="20">
        <v>32.084200000000003</v>
      </c>
      <c r="O84" s="20">
        <f t="shared" si="5"/>
        <v>31.7456125</v>
      </c>
      <c r="P84" s="7"/>
      <c r="Q84" s="13"/>
      <c r="R84" s="14"/>
      <c r="S84" s="14"/>
      <c r="T84" s="27"/>
      <c r="U84" s="28">
        <f t="shared" si="3"/>
        <v>-0.34933684850943009</v>
      </c>
    </row>
    <row r="85" spans="1:21" hidden="1" x14ac:dyDescent="0.25">
      <c r="B85" s="6" t="s">
        <v>74</v>
      </c>
      <c r="C85" s="15">
        <v>1475.73</v>
      </c>
      <c r="D85" s="16">
        <v>34.643999999999998</v>
      </c>
      <c r="E85" s="16">
        <v>40.591999999999999</v>
      </c>
      <c r="F85" s="16">
        <v>40.15</v>
      </c>
      <c r="G85" s="16">
        <v>17.98</v>
      </c>
      <c r="H85" s="16">
        <f t="shared" si="4"/>
        <v>36.075749999999992</v>
      </c>
      <c r="I85" s="5"/>
      <c r="J85" s="15">
        <v>1242.287</v>
      </c>
      <c r="K85" s="16">
        <v>34.378300000000003</v>
      </c>
      <c r="L85" s="16">
        <v>41.247</v>
      </c>
      <c r="M85" s="16">
        <v>40.635100000000001</v>
      </c>
      <c r="N85" s="16">
        <v>11.3217</v>
      </c>
      <c r="O85" s="16">
        <f t="shared" si="5"/>
        <v>36.018987500000009</v>
      </c>
      <c r="P85" s="7"/>
      <c r="Q85" s="8">
        <f>bdrate(C85:C88,D85:D88,J85:J88,K85:K88)</f>
        <v>-0.21660688655874549</v>
      </c>
      <c r="R85" s="8">
        <f>bdrate(C85:C88,E85:E88,J85:J88,L85:L88)</f>
        <v>-0.30438848041277389</v>
      </c>
      <c r="S85" s="8">
        <f>bdrate(C85:C88,F85:F88,J85:J88,M85:M88)</f>
        <v>-0.24426922448297461</v>
      </c>
      <c r="T85" s="25">
        <f>bdrate(C85:C88,H85:H88,J85:J88,O85:O88)</f>
        <v>-0.22725759797229972</v>
      </c>
      <c r="U85" s="28">
        <f t="shared" si="3"/>
        <v>-0.37031701890989993</v>
      </c>
    </row>
    <row r="86" spans="1:21" hidden="1" x14ac:dyDescent="0.25">
      <c r="B86" s="9"/>
      <c r="C86" s="17">
        <v>978.48</v>
      </c>
      <c r="D86" s="18">
        <v>32.777000000000001</v>
      </c>
      <c r="E86" s="18">
        <v>39.506999999999998</v>
      </c>
      <c r="F86" s="18">
        <v>38.939</v>
      </c>
      <c r="G86" s="18">
        <v>20.64</v>
      </c>
      <c r="H86" s="18">
        <f t="shared" si="4"/>
        <v>34.388500000000001</v>
      </c>
      <c r="I86" s="5"/>
      <c r="J86" s="17">
        <v>827.88430000000005</v>
      </c>
      <c r="K86" s="18">
        <v>32.855400000000003</v>
      </c>
      <c r="L86" s="18">
        <v>40.0946</v>
      </c>
      <c r="M86" s="18">
        <v>39.352200000000003</v>
      </c>
      <c r="N86" s="18">
        <v>13.8931</v>
      </c>
      <c r="O86" s="18">
        <f t="shared" si="5"/>
        <v>34.572400000000002</v>
      </c>
      <c r="P86" s="7"/>
      <c r="Q86" s="10"/>
      <c r="R86" s="11"/>
      <c r="S86" s="11"/>
      <c r="T86" s="26"/>
      <c r="U86" s="28">
        <f t="shared" si="3"/>
        <v>-0.3268846899224806</v>
      </c>
    </row>
    <row r="87" spans="1:21" hidden="1" x14ac:dyDescent="0.25">
      <c r="B87" s="9"/>
      <c r="C87" s="17">
        <v>612.38</v>
      </c>
      <c r="D87" s="18">
        <v>30.817</v>
      </c>
      <c r="E87" s="18">
        <v>38.493000000000002</v>
      </c>
      <c r="F87" s="18">
        <v>37.656999999999996</v>
      </c>
      <c r="G87" s="18">
        <v>23.85</v>
      </c>
      <c r="H87" s="18">
        <f t="shared" si="4"/>
        <v>32.631499999999996</v>
      </c>
      <c r="I87" s="5"/>
      <c r="J87" s="17">
        <v>516.11659999999995</v>
      </c>
      <c r="K87" s="18">
        <v>31.3018</v>
      </c>
      <c r="L87" s="18">
        <v>38.8566</v>
      </c>
      <c r="M87" s="18">
        <v>37.896299999999997</v>
      </c>
      <c r="N87" s="18">
        <v>17.185700000000001</v>
      </c>
      <c r="O87" s="18">
        <f t="shared" si="5"/>
        <v>33.070462499999998</v>
      </c>
      <c r="P87" s="7"/>
      <c r="Q87" s="10"/>
      <c r="R87" s="11"/>
      <c r="S87" s="11"/>
      <c r="T87" s="26"/>
      <c r="U87" s="28">
        <f t="shared" si="3"/>
        <v>-0.27942557651991617</v>
      </c>
    </row>
    <row r="88" spans="1:21" ht="16.5" hidden="1" thickBot="1" x14ac:dyDescent="0.3">
      <c r="B88" s="12"/>
      <c r="C88" s="19">
        <v>369.01</v>
      </c>
      <c r="D88" s="20">
        <v>28.786999999999999</v>
      </c>
      <c r="E88" s="20">
        <v>37.408999999999999</v>
      </c>
      <c r="F88" s="20">
        <v>36.365000000000002</v>
      </c>
      <c r="G88" s="20">
        <v>27.75</v>
      </c>
      <c r="H88" s="20">
        <f t="shared" si="4"/>
        <v>30.811999999999998</v>
      </c>
      <c r="I88" s="5"/>
      <c r="J88" s="19">
        <v>312.25970000000001</v>
      </c>
      <c r="K88" s="20">
        <v>29.732299999999999</v>
      </c>
      <c r="L88" s="20">
        <v>37.7545</v>
      </c>
      <c r="M88" s="20">
        <v>36.559100000000001</v>
      </c>
      <c r="N88" s="20">
        <v>21.127400000000002</v>
      </c>
      <c r="O88" s="20">
        <f t="shared" si="5"/>
        <v>31.588425000000001</v>
      </c>
      <c r="P88" s="7"/>
      <c r="Q88" s="13"/>
      <c r="R88" s="14"/>
      <c r="S88" s="14"/>
      <c r="T88" s="27"/>
      <c r="U88" s="28">
        <f t="shared" si="3"/>
        <v>-0.2386522522522522</v>
      </c>
    </row>
    <row r="89" spans="1:21" hidden="1" x14ac:dyDescent="0.25">
      <c r="B89" s="6" t="s">
        <v>75</v>
      </c>
      <c r="C89" s="15">
        <v>1493.76</v>
      </c>
      <c r="D89" s="16">
        <v>53.487000000000002</v>
      </c>
      <c r="E89" s="16">
        <v>52.895000000000003</v>
      </c>
      <c r="F89" s="16">
        <v>52.728000000000002</v>
      </c>
      <c r="G89" s="16">
        <v>38.299999999999997</v>
      </c>
      <c r="H89" s="16">
        <f t="shared" si="4"/>
        <v>53.318125000000002</v>
      </c>
      <c r="I89" s="5"/>
      <c r="J89" s="15">
        <v>846.5752</v>
      </c>
      <c r="K89" s="16">
        <v>50.057000000000002</v>
      </c>
      <c r="L89" s="16">
        <v>49.683900000000001</v>
      </c>
      <c r="M89" s="16">
        <v>49.579099999999997</v>
      </c>
      <c r="N89" s="16">
        <v>15.459099999999999</v>
      </c>
      <c r="O89" s="16">
        <f t="shared" si="5"/>
        <v>49.950624999999995</v>
      </c>
      <c r="P89" s="7"/>
      <c r="Q89" s="8">
        <f>bdrate(C89:C92,D89:D92,J89:J92,K89:K92)</f>
        <v>-0.14794342001315142</v>
      </c>
      <c r="R89" s="8">
        <f>bdrate(C89:C92,E89:E92,J89:J92,L89:L92)</f>
        <v>-0.16636828361716327</v>
      </c>
      <c r="S89" s="8">
        <f>bdrate(C89:C92,F89:F92,J89:J92,M89:M92)</f>
        <v>-0.15773788802848421</v>
      </c>
      <c r="T89" s="25">
        <f>bdrate(C89:C92,H89:H92,J89:J92,O89:O92)</f>
        <v>-0.15110563415897749</v>
      </c>
      <c r="U89" s="28">
        <f t="shared" si="3"/>
        <v>-0.59636814621409917</v>
      </c>
    </row>
    <row r="90" spans="1:21" hidden="1" x14ac:dyDescent="0.25">
      <c r="B90" s="9"/>
      <c r="C90" s="17">
        <v>957.1</v>
      </c>
      <c r="D90" s="18">
        <v>49.171999999999997</v>
      </c>
      <c r="E90" s="18">
        <v>48.896000000000001</v>
      </c>
      <c r="F90" s="18">
        <v>48.764000000000003</v>
      </c>
      <c r="G90" s="18">
        <v>41.89</v>
      </c>
      <c r="H90" s="18">
        <f t="shared" si="4"/>
        <v>49.086500000000001</v>
      </c>
      <c r="I90" s="5"/>
      <c r="J90" s="17">
        <v>716.428</v>
      </c>
      <c r="K90" s="18">
        <v>48.6586</v>
      </c>
      <c r="L90" s="18">
        <v>48.471800000000002</v>
      </c>
      <c r="M90" s="18">
        <v>48.326999999999998</v>
      </c>
      <c r="N90" s="18">
        <v>24.0077</v>
      </c>
      <c r="O90" s="18">
        <f t="shared" si="5"/>
        <v>48.593800000000002</v>
      </c>
      <c r="P90" s="7"/>
      <c r="Q90" s="10"/>
      <c r="R90" s="11"/>
      <c r="S90" s="11"/>
      <c r="T90" s="26"/>
      <c r="U90" s="28">
        <f t="shared" si="3"/>
        <v>-0.42688708522320362</v>
      </c>
    </row>
    <row r="91" spans="1:21" hidden="1" x14ac:dyDescent="0.25">
      <c r="B91" s="9"/>
      <c r="C91" s="17">
        <v>573.04999999999995</v>
      </c>
      <c r="D91" s="18">
        <v>43.677999999999997</v>
      </c>
      <c r="E91" s="18">
        <v>44.173000000000002</v>
      </c>
      <c r="F91" s="18">
        <v>44.122</v>
      </c>
      <c r="G91" s="18">
        <v>47.84</v>
      </c>
      <c r="H91" s="18">
        <f t="shared" si="4"/>
        <v>43.795375</v>
      </c>
      <c r="I91" s="5"/>
      <c r="J91" s="17">
        <v>539.03840000000002</v>
      </c>
      <c r="K91" s="18">
        <v>44.747199999999999</v>
      </c>
      <c r="L91" s="18">
        <v>45.326799999999999</v>
      </c>
      <c r="M91" s="18">
        <v>45.144799999999996</v>
      </c>
      <c r="N91" s="18">
        <v>43.802</v>
      </c>
      <c r="O91" s="18">
        <f t="shared" si="5"/>
        <v>44.869349999999997</v>
      </c>
      <c r="P91" s="7"/>
      <c r="Q91" s="10"/>
      <c r="R91" s="11"/>
      <c r="S91" s="11"/>
      <c r="T91" s="26"/>
      <c r="U91" s="28">
        <f t="shared" si="3"/>
        <v>-8.4406354515050241E-2</v>
      </c>
    </row>
    <row r="92" spans="1:21" ht="16.5" hidden="1" thickBot="1" x14ac:dyDescent="0.3">
      <c r="B92" s="12"/>
      <c r="C92" s="19">
        <v>298.89999999999998</v>
      </c>
      <c r="D92" s="20">
        <v>35.585999999999999</v>
      </c>
      <c r="E92" s="20">
        <v>39.008000000000003</v>
      </c>
      <c r="F92" s="20">
        <v>38.756</v>
      </c>
      <c r="G92" s="20">
        <v>55.58</v>
      </c>
      <c r="H92" s="20">
        <f t="shared" si="4"/>
        <v>36.409999999999997</v>
      </c>
      <c r="I92" s="5"/>
      <c r="J92" s="19">
        <v>321.12400000000002</v>
      </c>
      <c r="K92" s="20">
        <v>37.947499999999998</v>
      </c>
      <c r="L92" s="20">
        <v>40.253599999999999</v>
      </c>
      <c r="M92" s="20">
        <v>40.013800000000003</v>
      </c>
      <c r="N92" s="20">
        <v>51.564100000000003</v>
      </c>
      <c r="O92" s="20">
        <f t="shared" si="5"/>
        <v>38.494050000000001</v>
      </c>
      <c r="P92" s="7"/>
      <c r="Q92" s="13"/>
      <c r="R92" s="14"/>
      <c r="S92" s="14"/>
      <c r="T92" s="27"/>
      <c r="U92" s="28">
        <f t="shared" si="3"/>
        <v>-7.2254408060453315E-2</v>
      </c>
    </row>
    <row r="93" spans="1:21" hidden="1" x14ac:dyDescent="0.25">
      <c r="B93" s="6" t="s">
        <v>76</v>
      </c>
      <c r="C93" s="15">
        <v>1747.72</v>
      </c>
      <c r="D93" s="16">
        <v>56.371000000000002</v>
      </c>
      <c r="E93" s="16">
        <v>58.929000000000002</v>
      </c>
      <c r="F93" s="16">
        <v>59.59</v>
      </c>
      <c r="G93" s="16">
        <v>31.86</v>
      </c>
      <c r="H93" s="16">
        <f t="shared" si="4"/>
        <v>57.093125000000001</v>
      </c>
      <c r="I93" s="5"/>
      <c r="J93" s="15">
        <v>1099.3533</v>
      </c>
      <c r="K93" s="16">
        <v>53.108499999999999</v>
      </c>
      <c r="L93" s="16">
        <v>56.023000000000003</v>
      </c>
      <c r="M93" s="16">
        <v>56.905000000000001</v>
      </c>
      <c r="N93" s="16">
        <v>17.066600000000001</v>
      </c>
      <c r="O93" s="16">
        <f t="shared" si="5"/>
        <v>53.947375000000008</v>
      </c>
      <c r="P93" s="7"/>
      <c r="Q93" s="8">
        <f>bdrate(C93:C96,D93:D96,J93:J96,K93:K96)</f>
        <v>-0.20312770432573402</v>
      </c>
      <c r="R93" s="8">
        <f>bdrate(C93:C96,E93:E96,J93:J96,L93:L96)</f>
        <v>-0.289143359253344</v>
      </c>
      <c r="S93" s="8">
        <f>bdrate(C93:C96,F93:F96,J93:J96,M93:M96)</f>
        <v>-0.26526200884961326</v>
      </c>
      <c r="T93" s="25">
        <f>bdrate(C93:C96,H93:H96,J93:J96,O93:O96)</f>
        <v>-0.222551255435535</v>
      </c>
      <c r="U93" s="28">
        <f t="shared" si="3"/>
        <v>-0.46432517263025735</v>
      </c>
    </row>
    <row r="94" spans="1:21" hidden="1" x14ac:dyDescent="0.25">
      <c r="B94" s="9"/>
      <c r="C94" s="17">
        <v>1172.8399999999999</v>
      </c>
      <c r="D94" s="18">
        <v>52.588000000000001</v>
      </c>
      <c r="E94" s="18">
        <v>55.429000000000002</v>
      </c>
      <c r="F94" s="18">
        <v>56.268999999999998</v>
      </c>
      <c r="G94" s="18">
        <v>34.24</v>
      </c>
      <c r="H94" s="18">
        <f t="shared" si="4"/>
        <v>53.40325</v>
      </c>
      <c r="I94" s="5"/>
      <c r="J94" s="17">
        <v>755.60900000000004</v>
      </c>
      <c r="K94" s="18">
        <v>50.459099999999999</v>
      </c>
      <c r="L94" s="18">
        <v>53.796599999999998</v>
      </c>
      <c r="M94" s="18">
        <v>54.793199999999999</v>
      </c>
      <c r="N94" s="18">
        <v>19.627099999999999</v>
      </c>
      <c r="O94" s="18">
        <f t="shared" si="5"/>
        <v>51.418050000000001</v>
      </c>
      <c r="P94" s="7"/>
      <c r="Q94" s="10"/>
      <c r="R94" s="11"/>
      <c r="S94" s="11"/>
      <c r="T94" s="26"/>
      <c r="U94" s="28">
        <f t="shared" si="3"/>
        <v>-0.42677862149532719</v>
      </c>
    </row>
    <row r="95" spans="1:21" hidden="1" x14ac:dyDescent="0.25">
      <c r="B95" s="9"/>
      <c r="C95" s="17">
        <v>710.66</v>
      </c>
      <c r="D95" s="18">
        <v>48.377000000000002</v>
      </c>
      <c r="E95" s="18">
        <v>51.307000000000002</v>
      </c>
      <c r="F95" s="18">
        <v>52.692</v>
      </c>
      <c r="G95" s="18">
        <v>37.799999999999997</v>
      </c>
      <c r="H95" s="18">
        <f t="shared" si="4"/>
        <v>49.282625000000003</v>
      </c>
      <c r="I95" s="5"/>
      <c r="J95" s="17">
        <v>473.36</v>
      </c>
      <c r="K95" s="18">
        <v>47.160600000000002</v>
      </c>
      <c r="L95" s="18">
        <v>51.0548</v>
      </c>
      <c r="M95" s="18">
        <v>52.092599999999997</v>
      </c>
      <c r="N95" s="18">
        <v>24.189599999999999</v>
      </c>
      <c r="O95" s="18">
        <f t="shared" si="5"/>
        <v>48.263875000000006</v>
      </c>
      <c r="P95" s="7"/>
      <c r="Q95" s="10"/>
      <c r="R95" s="11"/>
      <c r="S95" s="11"/>
      <c r="T95" s="26"/>
      <c r="U95" s="28">
        <f t="shared" si="3"/>
        <v>-0.36006349206349203</v>
      </c>
    </row>
    <row r="96" spans="1:21" ht="16.5" hidden="1" thickBot="1" x14ac:dyDescent="0.3">
      <c r="B96" s="12"/>
      <c r="C96" s="19">
        <v>359.81</v>
      </c>
      <c r="D96" s="20">
        <v>42.79</v>
      </c>
      <c r="E96" s="20">
        <v>45.634</v>
      </c>
      <c r="F96" s="20">
        <v>47.238999999999997</v>
      </c>
      <c r="G96" s="20">
        <v>42.51</v>
      </c>
      <c r="H96" s="20">
        <f t="shared" si="4"/>
        <v>43.701625</v>
      </c>
      <c r="I96" s="5"/>
      <c r="J96" s="19">
        <v>257.10849999999999</v>
      </c>
      <c r="K96" s="20">
        <v>42.090299999999999</v>
      </c>
      <c r="L96" s="20">
        <v>47.027799999999999</v>
      </c>
      <c r="M96" s="20">
        <v>48.154800000000002</v>
      </c>
      <c r="N96" s="20">
        <v>31.027000000000001</v>
      </c>
      <c r="O96" s="20">
        <f t="shared" si="5"/>
        <v>43.46555</v>
      </c>
      <c r="P96" s="7"/>
      <c r="Q96" s="13"/>
      <c r="R96" s="14"/>
      <c r="S96" s="14"/>
      <c r="T96" s="27"/>
      <c r="U96" s="28">
        <f t="shared" si="3"/>
        <v>-0.27012467654669486</v>
      </c>
    </row>
    <row r="97" spans="1:21" hidden="1" x14ac:dyDescent="0.25">
      <c r="A97" s="6" t="s">
        <v>104</v>
      </c>
      <c r="B97" s="6" t="s">
        <v>105</v>
      </c>
      <c r="C97" s="15">
        <v>1302.69</v>
      </c>
      <c r="D97" s="16">
        <v>42.331000000000003</v>
      </c>
      <c r="E97" s="16">
        <v>48.814</v>
      </c>
      <c r="F97" s="16">
        <v>48.762</v>
      </c>
      <c r="G97" s="16">
        <v>20.46</v>
      </c>
      <c r="H97" s="16">
        <f t="shared" si="4"/>
        <v>43.945250000000001</v>
      </c>
      <c r="I97" s="5"/>
      <c r="J97" s="15">
        <v>1042.6488999999999</v>
      </c>
      <c r="K97" s="16">
        <v>41.972999999999999</v>
      </c>
      <c r="L97" s="16">
        <v>48.118200000000002</v>
      </c>
      <c r="M97" s="16">
        <v>48.058900000000001</v>
      </c>
      <c r="N97" s="16">
        <v>10.217000000000001</v>
      </c>
      <c r="O97" s="16">
        <f t="shared" si="5"/>
        <v>43.501887499999995</v>
      </c>
      <c r="P97" s="7"/>
      <c r="Q97" s="8">
        <f>bdrate(C97:C100,D97:D100,J97:J100,K97:K100)</f>
        <v>-0.17479941348805583</v>
      </c>
      <c r="R97" s="8">
        <f>bdrate(C97:C100,E97:E100,J97:J100,L97:L100)</f>
        <v>-8.3925093887466828E-2</v>
      </c>
      <c r="S97" s="8">
        <f>bdrate(C97:C100,F97:F100,J97:J100,M97:M100)</f>
        <v>-0.10715565684781958</v>
      </c>
      <c r="T97" s="25">
        <f>bdrate(C97:C100,H97:H100,J97:J100,O97:O100)</f>
        <v>-0.16089897557323607</v>
      </c>
      <c r="U97" s="28">
        <f t="shared" si="3"/>
        <v>-0.50063538611925706</v>
      </c>
    </row>
    <row r="98" spans="1:21" hidden="1" x14ac:dyDescent="0.25">
      <c r="A98" s="9"/>
      <c r="B98" s="9"/>
      <c r="C98" s="17">
        <v>773.71</v>
      </c>
      <c r="D98" s="18">
        <v>39.820999999999998</v>
      </c>
      <c r="E98" s="18">
        <v>46.966000000000001</v>
      </c>
      <c r="F98" s="18">
        <v>46.747999999999998</v>
      </c>
      <c r="G98" s="18">
        <v>23.6</v>
      </c>
      <c r="H98" s="18">
        <f t="shared" si="4"/>
        <v>41.58</v>
      </c>
      <c r="I98" s="5"/>
      <c r="J98" s="17">
        <v>622.23230000000001</v>
      </c>
      <c r="K98" s="18">
        <v>39.585299999999997</v>
      </c>
      <c r="L98" s="18">
        <v>46.454500000000003</v>
      </c>
      <c r="M98" s="18">
        <v>46.252000000000002</v>
      </c>
      <c r="N98" s="18">
        <v>13.0852</v>
      </c>
      <c r="O98" s="18">
        <f t="shared" si="5"/>
        <v>41.2772875</v>
      </c>
      <c r="P98" s="7"/>
      <c r="Q98" s="10"/>
      <c r="R98" s="11"/>
      <c r="S98" s="11"/>
      <c r="T98" s="26"/>
      <c r="U98" s="28">
        <f t="shared" si="3"/>
        <v>-0.44554237288135595</v>
      </c>
    </row>
    <row r="99" spans="1:21" hidden="1" x14ac:dyDescent="0.25">
      <c r="B99" s="9"/>
      <c r="C99" s="17">
        <v>512.30999999999995</v>
      </c>
      <c r="D99" s="18">
        <v>37.786999999999999</v>
      </c>
      <c r="E99" s="18">
        <v>45.555</v>
      </c>
      <c r="F99" s="18">
        <v>45.210999999999999</v>
      </c>
      <c r="G99" s="18">
        <v>26.44</v>
      </c>
      <c r="H99" s="18">
        <f t="shared" si="4"/>
        <v>39.686</v>
      </c>
      <c r="I99" s="5"/>
      <c r="J99" s="17">
        <v>412.0847</v>
      </c>
      <c r="K99" s="18">
        <v>37.653599999999997</v>
      </c>
      <c r="L99" s="18">
        <v>45.195599999999999</v>
      </c>
      <c r="M99" s="18">
        <v>44.9129</v>
      </c>
      <c r="N99" s="18">
        <v>16.0657</v>
      </c>
      <c r="O99" s="18">
        <f t="shared" si="5"/>
        <v>39.503762499999993</v>
      </c>
      <c r="P99" s="7"/>
      <c r="Q99" s="10"/>
      <c r="R99" s="11"/>
      <c r="S99" s="11"/>
      <c r="T99" s="26"/>
      <c r="U99" s="28">
        <f t="shared" si="3"/>
        <v>-0.39237140695915285</v>
      </c>
    </row>
    <row r="100" spans="1:21" ht="16.5" hidden="1" thickBot="1" x14ac:dyDescent="0.3">
      <c r="B100" s="12"/>
      <c r="C100" s="19">
        <v>254.65</v>
      </c>
      <c r="D100" s="20">
        <v>34.246000000000002</v>
      </c>
      <c r="E100" s="20">
        <v>43.384</v>
      </c>
      <c r="F100" s="20">
        <v>42.822000000000003</v>
      </c>
      <c r="G100" s="20">
        <v>31.94</v>
      </c>
      <c r="H100" s="20">
        <f t="shared" si="4"/>
        <v>36.460250000000002</v>
      </c>
      <c r="I100" s="5"/>
      <c r="J100" s="19">
        <v>203.6978</v>
      </c>
      <c r="K100" s="20">
        <v>34.477200000000003</v>
      </c>
      <c r="L100" s="20">
        <v>43.118200000000002</v>
      </c>
      <c r="M100" s="20">
        <v>42.677500000000002</v>
      </c>
      <c r="N100" s="20">
        <v>22.169899999999998</v>
      </c>
      <c r="O100" s="20">
        <f t="shared" si="5"/>
        <v>36.582362500000002</v>
      </c>
      <c r="P100" s="7"/>
      <c r="Q100" s="13"/>
      <c r="R100" s="14"/>
      <c r="S100" s="14"/>
      <c r="T100" s="27"/>
      <c r="U100" s="28">
        <f t="shared" si="3"/>
        <v>-0.30588916718847847</v>
      </c>
    </row>
    <row r="101" spans="1:21" hidden="1" x14ac:dyDescent="0.25">
      <c r="B101" s="6" t="s">
        <v>106</v>
      </c>
      <c r="C101" s="15">
        <v>1281.17</v>
      </c>
      <c r="D101" s="16">
        <v>41.478000000000002</v>
      </c>
      <c r="E101" s="16">
        <v>50.74</v>
      </c>
      <c r="F101" s="16">
        <v>48.576999999999998</v>
      </c>
      <c r="G101" s="16">
        <v>22.36</v>
      </c>
      <c r="H101" s="16">
        <f t="shared" si="4"/>
        <v>43.523125</v>
      </c>
      <c r="I101" s="5"/>
      <c r="J101" s="15">
        <v>1027.7199000000001</v>
      </c>
      <c r="K101" s="16">
        <v>40.766300000000001</v>
      </c>
      <c r="L101" s="16">
        <v>50.004600000000003</v>
      </c>
      <c r="M101" s="16">
        <v>47.947800000000001</v>
      </c>
      <c r="N101" s="16">
        <v>12.841100000000001</v>
      </c>
      <c r="O101" s="16">
        <f t="shared" si="5"/>
        <v>42.818775000000002</v>
      </c>
      <c r="P101" s="7"/>
      <c r="Q101" s="8">
        <f>bdrate(C101:C104,D101:D104,J101:J104,K101:K104)</f>
        <v>-0.11918522386723518</v>
      </c>
      <c r="R101" s="8">
        <f>bdrate(C101:C104,E101:E104,J101:J104,L101:L104)</f>
        <v>-0.17994720195270542</v>
      </c>
      <c r="S101" s="8">
        <f>bdrate(C101:C104,F101:F104,J101:J104,M101:M104)</f>
        <v>-0.20925511734491686</v>
      </c>
      <c r="T101" s="25">
        <f>bdrate(C101:C104,H101:H104,J101:J104,O101:O104)</f>
        <v>-0.13376856180213437</v>
      </c>
      <c r="U101" s="28">
        <f t="shared" si="3"/>
        <v>-0.42571109123434697</v>
      </c>
    </row>
    <row r="102" spans="1:21" hidden="1" x14ac:dyDescent="0.25">
      <c r="B102" s="9"/>
      <c r="C102" s="17">
        <v>765.91</v>
      </c>
      <c r="D102" s="18">
        <v>39.087000000000003</v>
      </c>
      <c r="E102" s="18">
        <v>49.045999999999999</v>
      </c>
      <c r="F102" s="18">
        <v>46.53</v>
      </c>
      <c r="G102" s="18">
        <v>25.91</v>
      </c>
      <c r="H102" s="18">
        <f t="shared" si="4"/>
        <v>41.262250000000009</v>
      </c>
      <c r="I102" s="5"/>
      <c r="J102" s="17">
        <v>615.68960000000004</v>
      </c>
      <c r="K102" s="18">
        <v>38.5364</v>
      </c>
      <c r="L102" s="18">
        <v>48.7654</v>
      </c>
      <c r="M102" s="18">
        <v>46.416899999999998</v>
      </c>
      <c r="N102" s="18">
        <v>16.548999999999999</v>
      </c>
      <c r="O102" s="18">
        <f t="shared" si="5"/>
        <v>40.800087499999997</v>
      </c>
      <c r="P102" s="7"/>
      <c r="Q102" s="10"/>
      <c r="R102" s="11"/>
      <c r="S102" s="11"/>
      <c r="T102" s="26"/>
      <c r="U102" s="28">
        <f t="shared" si="3"/>
        <v>-0.36128907757622541</v>
      </c>
    </row>
    <row r="103" spans="1:21" hidden="1" x14ac:dyDescent="0.25">
      <c r="B103" s="9"/>
      <c r="C103" s="17">
        <v>509.8</v>
      </c>
      <c r="D103" s="18">
        <v>37.244</v>
      </c>
      <c r="E103" s="18">
        <v>47.787999999999997</v>
      </c>
      <c r="F103" s="18">
        <v>45.152999999999999</v>
      </c>
      <c r="G103" s="18">
        <v>29.2</v>
      </c>
      <c r="H103" s="18">
        <f t="shared" si="4"/>
        <v>39.550625000000004</v>
      </c>
      <c r="I103" s="5"/>
      <c r="J103" s="17">
        <v>410.3956</v>
      </c>
      <c r="K103" s="18">
        <v>36.857399999999998</v>
      </c>
      <c r="L103" s="18">
        <v>47.875700000000002</v>
      </c>
      <c r="M103" s="18">
        <v>45.313800000000001</v>
      </c>
      <c r="N103" s="18">
        <v>20.0914</v>
      </c>
      <c r="O103" s="18">
        <f t="shared" si="5"/>
        <v>39.291737500000004</v>
      </c>
      <c r="P103" s="7"/>
      <c r="Q103" s="10"/>
      <c r="R103" s="11"/>
      <c r="S103" s="11"/>
      <c r="T103" s="26"/>
      <c r="U103" s="28">
        <f t="shared" si="3"/>
        <v>-0.31193835616438353</v>
      </c>
    </row>
    <row r="104" spans="1:21" ht="16.5" hidden="1" thickBot="1" x14ac:dyDescent="0.3">
      <c r="B104" s="12"/>
      <c r="C104" s="19">
        <v>254.56</v>
      </c>
      <c r="D104" s="20">
        <v>34.179000000000002</v>
      </c>
      <c r="E104" s="20">
        <v>45.914000000000001</v>
      </c>
      <c r="F104" s="20">
        <v>42.877000000000002</v>
      </c>
      <c r="G104" s="20">
        <v>35.6</v>
      </c>
      <c r="H104" s="20">
        <f t="shared" si="4"/>
        <v>36.733125000000001</v>
      </c>
      <c r="I104" s="5"/>
      <c r="J104" s="19">
        <v>205.21379999999999</v>
      </c>
      <c r="K104" s="20">
        <v>34.227499999999999</v>
      </c>
      <c r="L104" s="20">
        <v>46.226300000000002</v>
      </c>
      <c r="M104" s="20">
        <v>43.392600000000002</v>
      </c>
      <c r="N104" s="20">
        <v>27.984400000000001</v>
      </c>
      <c r="O104" s="20">
        <f t="shared" si="5"/>
        <v>36.872987500000001</v>
      </c>
      <c r="P104" s="7"/>
      <c r="Q104" s="13"/>
      <c r="R104" s="14"/>
      <c r="S104" s="14"/>
      <c r="T104" s="27"/>
      <c r="U104" s="28">
        <f t="shared" si="3"/>
        <v>-0.21392134831460674</v>
      </c>
    </row>
    <row r="105" spans="1:21" hidden="1" x14ac:dyDescent="0.25">
      <c r="B105" s="6" t="s">
        <v>107</v>
      </c>
      <c r="C105" s="15">
        <v>1337.03</v>
      </c>
      <c r="D105" s="16">
        <v>44.878999999999998</v>
      </c>
      <c r="E105" s="16">
        <v>48.523000000000003</v>
      </c>
      <c r="F105" s="16">
        <v>48.863</v>
      </c>
      <c r="G105" s="16">
        <v>20.53</v>
      </c>
      <c r="H105" s="16">
        <f t="shared" si="4"/>
        <v>45.832500000000003</v>
      </c>
      <c r="I105" s="5"/>
      <c r="J105" s="15">
        <v>1034.0628999999999</v>
      </c>
      <c r="K105" s="16">
        <v>44.258899999999997</v>
      </c>
      <c r="L105" s="16">
        <v>48.0428</v>
      </c>
      <c r="M105" s="16">
        <v>48.349200000000003</v>
      </c>
      <c r="N105" s="16">
        <v>11.104200000000001</v>
      </c>
      <c r="O105" s="16">
        <f t="shared" si="5"/>
        <v>45.243175000000001</v>
      </c>
      <c r="P105" s="7"/>
      <c r="Q105" s="8">
        <f>bdrate(C105:C108,D105:D108,J105:J108,K105:K108)</f>
        <v>-0.1453111537044105</v>
      </c>
      <c r="R105" s="8">
        <f>bdrate(C105:C108,E105:E108,J105:J108,L105:L108)</f>
        <v>-0.14181393152822663</v>
      </c>
      <c r="S105" s="8">
        <f>bdrate(C105:C108,F105:F108,J105:J108,M105:M108)</f>
        <v>-0.11676359183170648</v>
      </c>
      <c r="T105" s="25">
        <f>bdrate(C105:C108,H105:H108,J105:J108,O105:O108)</f>
        <v>-0.14255078195507453</v>
      </c>
      <c r="U105" s="28">
        <f t="shared" si="3"/>
        <v>-0.45912323429128105</v>
      </c>
    </row>
    <row r="106" spans="1:21" hidden="1" x14ac:dyDescent="0.25">
      <c r="B106" s="9"/>
      <c r="C106" s="17">
        <v>795.62</v>
      </c>
      <c r="D106" s="18">
        <v>42.764000000000003</v>
      </c>
      <c r="E106" s="18">
        <v>46.981999999999999</v>
      </c>
      <c r="F106" s="18">
        <v>47.430999999999997</v>
      </c>
      <c r="G106" s="18">
        <v>24.16</v>
      </c>
      <c r="H106" s="18">
        <f t="shared" si="4"/>
        <v>43.874625000000002</v>
      </c>
      <c r="I106" s="5"/>
      <c r="J106" s="17">
        <v>618.91629999999998</v>
      </c>
      <c r="K106" s="18">
        <v>42.252800000000001</v>
      </c>
      <c r="L106" s="18">
        <v>46.655099999999997</v>
      </c>
      <c r="M106" s="18">
        <v>47.0364</v>
      </c>
      <c r="N106" s="18">
        <v>14.078799999999999</v>
      </c>
      <c r="O106" s="18">
        <f t="shared" si="5"/>
        <v>43.401037500000001</v>
      </c>
      <c r="P106" s="7"/>
      <c r="Q106" s="10"/>
      <c r="R106" s="11"/>
      <c r="S106" s="11"/>
      <c r="T106" s="26"/>
      <c r="U106" s="28">
        <f t="shared" si="3"/>
        <v>-0.41726821192052982</v>
      </c>
    </row>
    <row r="107" spans="1:21" hidden="1" x14ac:dyDescent="0.25">
      <c r="B107" s="9"/>
      <c r="C107" s="17">
        <v>528.11</v>
      </c>
      <c r="D107" s="18">
        <v>41.015999999999998</v>
      </c>
      <c r="E107" s="18">
        <v>45.802</v>
      </c>
      <c r="F107" s="18">
        <v>46.305999999999997</v>
      </c>
      <c r="G107" s="18">
        <v>27.21</v>
      </c>
      <c r="H107" s="18">
        <f t="shared" si="4"/>
        <v>42.275500000000001</v>
      </c>
      <c r="I107" s="5"/>
      <c r="J107" s="17">
        <v>411.76</v>
      </c>
      <c r="K107" s="18">
        <v>40.61</v>
      </c>
      <c r="L107" s="18">
        <v>45.576799999999999</v>
      </c>
      <c r="M107" s="18">
        <v>46.0092</v>
      </c>
      <c r="N107" s="18">
        <v>17.238700000000001</v>
      </c>
      <c r="O107" s="18">
        <f t="shared" si="5"/>
        <v>41.905750000000005</v>
      </c>
      <c r="P107" s="7"/>
      <c r="Q107" s="10"/>
      <c r="R107" s="11"/>
      <c r="S107" s="11"/>
      <c r="T107" s="26"/>
      <c r="U107" s="28">
        <f t="shared" si="3"/>
        <v>-0.36645718485850787</v>
      </c>
    </row>
    <row r="108" spans="1:21" ht="16.5" hidden="1" thickBot="1" x14ac:dyDescent="0.3">
      <c r="B108" s="12"/>
      <c r="C108" s="19">
        <v>261.62</v>
      </c>
      <c r="D108" s="20">
        <v>37.713000000000001</v>
      </c>
      <c r="E108" s="20">
        <v>43.878999999999998</v>
      </c>
      <c r="F108" s="20">
        <v>44.411000000000001</v>
      </c>
      <c r="G108" s="20">
        <v>33.5</v>
      </c>
      <c r="H108" s="20">
        <f t="shared" si="4"/>
        <v>39.321000000000005</v>
      </c>
      <c r="I108" s="5"/>
      <c r="J108" s="19">
        <v>204.58320000000001</v>
      </c>
      <c r="K108" s="20">
        <v>37.670200000000001</v>
      </c>
      <c r="L108" s="20">
        <v>43.719700000000003</v>
      </c>
      <c r="M108" s="20">
        <v>44.184600000000003</v>
      </c>
      <c r="N108" s="20">
        <v>23.979199999999999</v>
      </c>
      <c r="O108" s="20">
        <f t="shared" si="5"/>
        <v>39.2406875</v>
      </c>
      <c r="P108" s="7"/>
      <c r="Q108" s="13"/>
      <c r="R108" s="14"/>
      <c r="S108" s="14"/>
      <c r="T108" s="27"/>
      <c r="U108" s="28">
        <f t="shared" si="3"/>
        <v>-0.28420298507462688</v>
      </c>
    </row>
    <row r="109" spans="1:21" hidden="1" x14ac:dyDescent="0.25">
      <c r="B109" s="6" t="s">
        <v>108</v>
      </c>
      <c r="C109" s="29">
        <v>1271.47</v>
      </c>
      <c r="D109" s="30">
        <v>41.408999999999999</v>
      </c>
      <c r="E109" s="30">
        <v>47.844999999999999</v>
      </c>
      <c r="F109" s="30">
        <v>47.703000000000003</v>
      </c>
      <c r="G109" s="16">
        <v>23.68</v>
      </c>
      <c r="H109" s="16">
        <f t="shared" si="4"/>
        <v>43.000249999999994</v>
      </c>
      <c r="I109" s="5"/>
      <c r="J109" s="29">
        <v>1038.1862000000001</v>
      </c>
      <c r="K109" s="30">
        <v>40.355899999999998</v>
      </c>
      <c r="L109" s="30">
        <v>46.862099999999998</v>
      </c>
      <c r="M109" s="30">
        <v>46.7224</v>
      </c>
      <c r="N109" s="16">
        <v>13.067600000000001</v>
      </c>
      <c r="O109" s="16">
        <f t="shared" si="5"/>
        <v>41.964987499999999</v>
      </c>
      <c r="P109" s="7"/>
      <c r="Q109" s="8">
        <f>bdrate(C109:C112,D109:D112,J109:J112,K109:K112)</f>
        <v>-9.6395774266286871E-2</v>
      </c>
      <c r="R109" s="8">
        <f>bdrate(C109:C112,E109:E112,J109:J112,L109:L112)</f>
        <v>7.9826356796675713E-2</v>
      </c>
      <c r="S109" s="8">
        <f>bdrate(C109:C112,F109:F112,J109:J112,M109:M112)</f>
        <v>5.6848863055353416E-2</v>
      </c>
      <c r="T109" s="25">
        <f>bdrate(C109:C112,H109:H112,J109:J112,O109:O112)</f>
        <v>-7.2337852718161955E-2</v>
      </c>
      <c r="U109" s="28">
        <f t="shared" si="3"/>
        <v>-0.44815878378378377</v>
      </c>
    </row>
    <row r="110" spans="1:21" hidden="1" x14ac:dyDescent="0.25">
      <c r="B110" s="9"/>
      <c r="C110" s="31">
        <v>760.07</v>
      </c>
      <c r="D110" s="32">
        <v>38.741</v>
      </c>
      <c r="E110" s="32">
        <v>46.341000000000001</v>
      </c>
      <c r="F110" s="32">
        <v>46.173999999999999</v>
      </c>
      <c r="G110" s="18">
        <v>27.44</v>
      </c>
      <c r="H110" s="18">
        <f t="shared" si="4"/>
        <v>40.620124999999994</v>
      </c>
      <c r="I110" s="5"/>
      <c r="J110" s="31">
        <v>620.55920000000003</v>
      </c>
      <c r="K110" s="32">
        <v>38.061100000000003</v>
      </c>
      <c r="L110" s="32">
        <v>45.567599999999999</v>
      </c>
      <c r="M110" s="32">
        <v>45.416699999999999</v>
      </c>
      <c r="N110" s="18">
        <v>16.447600000000001</v>
      </c>
      <c r="O110" s="18">
        <f t="shared" si="5"/>
        <v>39.918862500000003</v>
      </c>
      <c r="P110" s="7"/>
      <c r="Q110" s="10"/>
      <c r="R110" s="11"/>
      <c r="S110" s="11"/>
      <c r="T110" s="26"/>
      <c r="U110" s="28">
        <f t="shared" si="3"/>
        <v>-0.40059766763848392</v>
      </c>
    </row>
    <row r="111" spans="1:21" hidden="1" x14ac:dyDescent="0.25">
      <c r="B111" s="9"/>
      <c r="C111" s="31">
        <v>505.38</v>
      </c>
      <c r="D111" s="32">
        <v>36.796999999999997</v>
      </c>
      <c r="E111" s="32">
        <v>45.243000000000002</v>
      </c>
      <c r="F111" s="32">
        <v>45.058</v>
      </c>
      <c r="G111" s="18">
        <v>30.7</v>
      </c>
      <c r="H111" s="18">
        <f t="shared" si="4"/>
        <v>38.885374999999996</v>
      </c>
      <c r="I111" s="5"/>
      <c r="J111" s="31">
        <v>412.44060000000002</v>
      </c>
      <c r="K111" s="32">
        <v>36.369100000000003</v>
      </c>
      <c r="L111" s="32">
        <v>44.558300000000003</v>
      </c>
      <c r="M111" s="32">
        <v>44.396799999999999</v>
      </c>
      <c r="N111" s="18">
        <v>19.808900000000001</v>
      </c>
      <c r="O111" s="18">
        <f t="shared" si="5"/>
        <v>38.396212500000004</v>
      </c>
      <c r="P111" s="7"/>
      <c r="Q111" s="10"/>
      <c r="R111" s="11"/>
      <c r="S111" s="11"/>
      <c r="T111" s="26"/>
      <c r="U111" s="28">
        <f t="shared" si="3"/>
        <v>-0.35475895765472309</v>
      </c>
    </row>
    <row r="112" spans="1:21" ht="16.5" hidden="1" thickBot="1" x14ac:dyDescent="0.3">
      <c r="B112" s="12"/>
      <c r="C112" s="33">
        <v>251.83</v>
      </c>
      <c r="D112" s="34">
        <v>33.462000000000003</v>
      </c>
      <c r="E112" s="34">
        <v>43.462000000000003</v>
      </c>
      <c r="F112" s="34">
        <v>43.134999999999998</v>
      </c>
      <c r="G112" s="20">
        <v>37.14</v>
      </c>
      <c r="H112" s="20">
        <f t="shared" si="4"/>
        <v>35.921125000000004</v>
      </c>
      <c r="I112" s="5"/>
      <c r="J112" s="33">
        <v>205.5872</v>
      </c>
      <c r="K112" s="34">
        <v>33.546700000000001</v>
      </c>
      <c r="L112" s="34">
        <v>42.853299999999997</v>
      </c>
      <c r="M112" s="34">
        <v>42.646000000000001</v>
      </c>
      <c r="N112" s="20">
        <v>26.738299999999999</v>
      </c>
      <c r="O112" s="20">
        <f t="shared" si="5"/>
        <v>35.847437499999998</v>
      </c>
      <c r="P112" s="7"/>
      <c r="Q112" s="13"/>
      <c r="R112" s="14"/>
      <c r="S112" s="14"/>
      <c r="T112" s="27"/>
      <c r="U112" s="28">
        <f t="shared" si="3"/>
        <v>-0.28006731287022085</v>
      </c>
    </row>
    <row r="113" spans="2:21" hidden="1" x14ac:dyDescent="0.25">
      <c r="B113" s="6" t="s">
        <v>109</v>
      </c>
      <c r="C113" s="15">
        <v>1300.77</v>
      </c>
      <c r="D113" s="16">
        <v>40.171999999999997</v>
      </c>
      <c r="E113" s="16">
        <v>48.115000000000002</v>
      </c>
      <c r="F113" s="16">
        <v>46.685000000000002</v>
      </c>
      <c r="G113" s="16">
        <v>24.3</v>
      </c>
      <c r="H113" s="16">
        <f t="shared" si="4"/>
        <v>41.978999999999999</v>
      </c>
      <c r="I113" s="5"/>
      <c r="J113" s="15">
        <v>1028.5533</v>
      </c>
      <c r="K113" s="16">
        <v>39.533999999999999</v>
      </c>
      <c r="L113" s="16">
        <v>47.676400000000001</v>
      </c>
      <c r="M113" s="16">
        <v>46.386200000000002</v>
      </c>
      <c r="N113" s="16">
        <v>12.751200000000001</v>
      </c>
      <c r="O113" s="16">
        <f t="shared" si="5"/>
        <v>41.408325000000005</v>
      </c>
      <c r="P113" s="7"/>
      <c r="Q113" s="8">
        <f>bdrate(C113:C116,D113:D116,J113:J116,K113:K116)</f>
        <v>-0.10944982252138047</v>
      </c>
      <c r="R113" s="8">
        <f>bdrate(C113:C116,E113:E116,J113:J116,L113:L116)</f>
        <v>-0.12896980333956687</v>
      </c>
      <c r="S113" s="8">
        <f>bdrate(C113:C116,F113:F116,J113:J116,M113:M116)</f>
        <v>-0.21230166082871138</v>
      </c>
      <c r="T113" s="25">
        <f>bdrate(C113:C116,H113:H116,J113:J116,O113:O116)</f>
        <v>-0.12292440000610094</v>
      </c>
      <c r="U113" s="28">
        <f t="shared" si="3"/>
        <v>-0.47525925925925927</v>
      </c>
    </row>
    <row r="114" spans="2:21" hidden="1" x14ac:dyDescent="0.25">
      <c r="B114" s="9"/>
      <c r="C114" s="17">
        <v>780.1</v>
      </c>
      <c r="D114" s="18">
        <v>38.548999999999999</v>
      </c>
      <c r="E114" s="18">
        <v>47.08</v>
      </c>
      <c r="F114" s="18">
        <v>45.512</v>
      </c>
      <c r="G114" s="18">
        <v>28.11</v>
      </c>
      <c r="H114" s="18">
        <f t="shared" si="4"/>
        <v>40.485749999999996</v>
      </c>
      <c r="I114" s="5"/>
      <c r="J114" s="17">
        <v>616.1866</v>
      </c>
      <c r="K114" s="18">
        <v>38.107900000000001</v>
      </c>
      <c r="L114" s="18">
        <v>46.839300000000001</v>
      </c>
      <c r="M114" s="18">
        <v>45.441699999999997</v>
      </c>
      <c r="N114" s="18">
        <v>16.255299999999998</v>
      </c>
      <c r="O114" s="18">
        <f t="shared" si="5"/>
        <v>40.116050000000001</v>
      </c>
      <c r="P114" s="7"/>
      <c r="Q114" s="10"/>
      <c r="R114" s="11"/>
      <c r="S114" s="11"/>
      <c r="T114" s="26"/>
      <c r="U114" s="28">
        <f t="shared" si="3"/>
        <v>-0.42172536463891858</v>
      </c>
    </row>
    <row r="115" spans="2:21" hidden="1" x14ac:dyDescent="0.25">
      <c r="B115" s="9"/>
      <c r="C115" s="17">
        <v>521.04999999999995</v>
      </c>
      <c r="D115" s="18">
        <v>37.435000000000002</v>
      </c>
      <c r="E115" s="18">
        <v>46.29</v>
      </c>
      <c r="F115" s="18">
        <v>44.606000000000002</v>
      </c>
      <c r="G115" s="18">
        <v>31.82</v>
      </c>
      <c r="H115" s="18">
        <f t="shared" si="4"/>
        <v>39.438250000000004</v>
      </c>
      <c r="I115" s="5"/>
      <c r="J115" s="17">
        <v>410.75409999999999</v>
      </c>
      <c r="K115" s="18">
        <v>37.1312</v>
      </c>
      <c r="L115" s="18">
        <v>46.145600000000002</v>
      </c>
      <c r="M115" s="18">
        <v>44.6768</v>
      </c>
      <c r="N115" s="18">
        <v>19.859300000000001</v>
      </c>
      <c r="O115" s="18">
        <f t="shared" si="5"/>
        <v>39.2012</v>
      </c>
      <c r="P115" s="7"/>
      <c r="Q115" s="10"/>
      <c r="R115" s="11"/>
      <c r="S115" s="11"/>
      <c r="T115" s="26"/>
      <c r="U115" s="28">
        <f t="shared" si="3"/>
        <v>-0.37588623507228158</v>
      </c>
    </row>
    <row r="116" spans="2:21" ht="16.5" hidden="1" thickBot="1" x14ac:dyDescent="0.3">
      <c r="B116" s="12"/>
      <c r="C116" s="19">
        <v>259.8</v>
      </c>
      <c r="D116" s="20">
        <v>35.512</v>
      </c>
      <c r="E116" s="20">
        <v>44.917000000000002</v>
      </c>
      <c r="F116" s="20">
        <v>43.088999999999999</v>
      </c>
      <c r="G116" s="20">
        <v>38.549999999999997</v>
      </c>
      <c r="H116" s="20">
        <f t="shared" si="4"/>
        <v>37.634750000000004</v>
      </c>
      <c r="I116" s="5"/>
      <c r="J116" s="19">
        <v>204.85669999999999</v>
      </c>
      <c r="K116" s="20">
        <v>35.471699999999998</v>
      </c>
      <c r="L116" s="20">
        <v>44.814599999999999</v>
      </c>
      <c r="M116" s="20">
        <v>43.200899999999997</v>
      </c>
      <c r="N116" s="20">
        <v>27.805199999999999</v>
      </c>
      <c r="O116" s="20">
        <f t="shared" si="5"/>
        <v>37.605712499999996</v>
      </c>
      <c r="P116" s="7"/>
      <c r="Q116" s="13"/>
      <c r="R116" s="14"/>
      <c r="S116" s="14"/>
      <c r="T116" s="27"/>
      <c r="U116" s="28">
        <f t="shared" si="3"/>
        <v>-0.27872373540856027</v>
      </c>
    </row>
    <row r="117" spans="2:21" hidden="1" x14ac:dyDescent="0.25">
      <c r="B117" s="6" t="s">
        <v>110</v>
      </c>
      <c r="C117" s="15">
        <v>2129.9699999999998</v>
      </c>
      <c r="D117" s="16">
        <v>40.51</v>
      </c>
      <c r="E117" s="16">
        <v>46.116</v>
      </c>
      <c r="F117" s="16">
        <v>45.6</v>
      </c>
      <c r="G117" s="16">
        <v>9.6999999999999993</v>
      </c>
      <c r="H117" s="16">
        <f t="shared" si="4"/>
        <v>41.847000000000001</v>
      </c>
      <c r="I117" s="5"/>
      <c r="J117" s="15">
        <v>1536.2936</v>
      </c>
      <c r="K117" s="16">
        <v>39.423699999999997</v>
      </c>
      <c r="L117" s="16">
        <v>45.276400000000002</v>
      </c>
      <c r="M117" s="16">
        <v>44.691200000000002</v>
      </c>
      <c r="N117" s="16">
        <v>6.2762000000000002</v>
      </c>
      <c r="O117" s="16">
        <f t="shared" si="5"/>
        <v>40.813724999999998</v>
      </c>
      <c r="P117" s="7"/>
      <c r="Q117" s="8">
        <f>bdrate(C117:C120,D117:D120,J117:J120,K117:K120)</f>
        <v>-0.20591266423834287</v>
      </c>
      <c r="R117" s="8">
        <f>bdrate(C117:C120,E117:E120,J117:J120,L117:L120)</f>
        <v>-0.1062935800072885</v>
      </c>
      <c r="S117" s="8">
        <f>bdrate(C117:C120,F117:F120,J117:J120,M117:M120)</f>
        <v>-8.4723503222845165E-2</v>
      </c>
      <c r="T117" s="25">
        <f>bdrate(C117:C120,H117:H120,J117:J120,O117:O120)</f>
        <v>-0.18919364926342452</v>
      </c>
      <c r="U117" s="28">
        <f t="shared" si="3"/>
        <v>-0.35296907216494838</v>
      </c>
    </row>
    <row r="118" spans="2:21" hidden="1" x14ac:dyDescent="0.25">
      <c r="B118" s="9"/>
      <c r="C118" s="17">
        <v>1417.67</v>
      </c>
      <c r="D118" s="18">
        <v>38.517000000000003</v>
      </c>
      <c r="E118" s="18">
        <v>44.847000000000001</v>
      </c>
      <c r="F118" s="18">
        <v>44.231999999999999</v>
      </c>
      <c r="G118" s="18">
        <v>10.92</v>
      </c>
      <c r="H118" s="18">
        <f t="shared" si="4"/>
        <v>40.022625000000005</v>
      </c>
      <c r="I118" s="5"/>
      <c r="J118" s="17">
        <v>1020.2545</v>
      </c>
      <c r="K118" s="18">
        <v>37.703299999999999</v>
      </c>
      <c r="L118" s="18">
        <v>44.1447</v>
      </c>
      <c r="M118" s="18">
        <v>43.413400000000003</v>
      </c>
      <c r="N118" s="18">
        <v>7.8197999999999999</v>
      </c>
      <c r="O118" s="18">
        <f t="shared" si="5"/>
        <v>39.222237500000006</v>
      </c>
      <c r="P118" s="7"/>
      <c r="Q118" s="10"/>
      <c r="R118" s="11"/>
      <c r="S118" s="11"/>
      <c r="T118" s="26"/>
      <c r="U118" s="28">
        <f t="shared" si="3"/>
        <v>-0.28390109890109894</v>
      </c>
    </row>
    <row r="119" spans="2:21" hidden="1" x14ac:dyDescent="0.25">
      <c r="B119" s="9"/>
      <c r="C119" s="17">
        <v>848.67</v>
      </c>
      <c r="D119" s="18">
        <v>35.985999999999997</v>
      </c>
      <c r="E119" s="18">
        <v>43.343000000000004</v>
      </c>
      <c r="F119" s="18">
        <v>42.576000000000001</v>
      </c>
      <c r="G119" s="18">
        <v>12.57</v>
      </c>
      <c r="H119" s="18">
        <f t="shared" si="4"/>
        <v>37.729375000000005</v>
      </c>
      <c r="I119" s="5"/>
      <c r="J119" s="17">
        <v>605.63670000000002</v>
      </c>
      <c r="K119" s="18">
        <v>35.528799999999997</v>
      </c>
      <c r="L119" s="18">
        <v>42.755200000000002</v>
      </c>
      <c r="M119" s="18">
        <v>41.8264</v>
      </c>
      <c r="N119" s="18">
        <v>10.037000000000001</v>
      </c>
      <c r="O119" s="18">
        <f t="shared" si="5"/>
        <v>37.219299999999997</v>
      </c>
      <c r="P119" s="7"/>
      <c r="Q119" s="10"/>
      <c r="R119" s="11"/>
      <c r="S119" s="11"/>
      <c r="T119" s="26"/>
      <c r="U119" s="28">
        <f t="shared" si="3"/>
        <v>-0.20151153540175015</v>
      </c>
    </row>
    <row r="120" spans="2:21" ht="16.5" hidden="1" thickBot="1" x14ac:dyDescent="0.3">
      <c r="B120" s="12"/>
      <c r="C120" s="19">
        <v>424.07</v>
      </c>
      <c r="D120" s="20">
        <v>32.448</v>
      </c>
      <c r="E120" s="20">
        <v>41.426000000000002</v>
      </c>
      <c r="F120" s="20">
        <v>40.417000000000002</v>
      </c>
      <c r="G120" s="20">
        <v>15.13</v>
      </c>
      <c r="H120" s="20">
        <f t="shared" si="4"/>
        <v>34.566374999999994</v>
      </c>
      <c r="I120" s="5"/>
      <c r="J120" s="19">
        <v>304.09980000000002</v>
      </c>
      <c r="K120" s="20">
        <v>32.682200000000002</v>
      </c>
      <c r="L120" s="20">
        <v>40.973700000000001</v>
      </c>
      <c r="M120" s="20">
        <v>39.757800000000003</v>
      </c>
      <c r="N120" s="20">
        <v>13.909700000000001</v>
      </c>
      <c r="O120" s="20">
        <f t="shared" si="5"/>
        <v>34.603087500000001</v>
      </c>
      <c r="P120" s="7"/>
      <c r="Q120" s="13"/>
      <c r="R120" s="14"/>
      <c r="S120" s="14"/>
      <c r="T120" s="27"/>
      <c r="U120" s="28">
        <f t="shared" si="3"/>
        <v>-8.0654329147389278E-2</v>
      </c>
    </row>
    <row r="121" spans="2:21" hidden="1" x14ac:dyDescent="0.25">
      <c r="B121" s="6" t="s">
        <v>111</v>
      </c>
      <c r="C121" s="15">
        <v>1333.25</v>
      </c>
      <c r="D121" s="16">
        <v>41.905000000000001</v>
      </c>
      <c r="E121" s="16">
        <v>46.801000000000002</v>
      </c>
      <c r="F121" s="16">
        <v>46.314</v>
      </c>
      <c r="G121" s="16">
        <v>21.3</v>
      </c>
      <c r="H121" s="16">
        <f t="shared" si="4"/>
        <v>43.068125000000002</v>
      </c>
      <c r="I121" s="5"/>
      <c r="J121" s="15">
        <v>1038.6632</v>
      </c>
      <c r="K121" s="16">
        <v>40.960799999999999</v>
      </c>
      <c r="L121" s="16">
        <v>46.0593</v>
      </c>
      <c r="M121" s="16">
        <v>45.5914</v>
      </c>
      <c r="N121" s="16">
        <v>11.885</v>
      </c>
      <c r="O121" s="16">
        <f t="shared" si="5"/>
        <v>42.176937500000001</v>
      </c>
      <c r="P121" s="7"/>
      <c r="Q121" s="8">
        <f>bdrate(C121:C124,D121:D124,J121:J124,K121:K124)</f>
        <v>-0.13913488259189011</v>
      </c>
      <c r="R121" s="8">
        <f>bdrate(C121:C124,E121:E124,J121:J124,L121:L124)</f>
        <v>-0.13797135191003929</v>
      </c>
      <c r="S121" s="8">
        <f>bdrate(C121:C124,F121:F124,J121:J124,M121:M124)</f>
        <v>-0.17781760679051561</v>
      </c>
      <c r="T121" s="25">
        <f>bdrate(C121:C124,H121:H124,J121:J124,O121:O124)</f>
        <v>-0.14286841148144758</v>
      </c>
      <c r="U121" s="28">
        <f t="shared" si="3"/>
        <v>-0.44201877934272304</v>
      </c>
    </row>
    <row r="122" spans="2:21" hidden="1" x14ac:dyDescent="0.25">
      <c r="B122" s="9"/>
      <c r="C122" s="17">
        <v>791.37</v>
      </c>
      <c r="D122" s="18">
        <v>39.579000000000001</v>
      </c>
      <c r="E122" s="18">
        <v>45.179000000000002</v>
      </c>
      <c r="F122" s="18">
        <v>44.597999999999999</v>
      </c>
      <c r="G122" s="18">
        <v>24.59</v>
      </c>
      <c r="H122" s="18">
        <f t="shared" si="4"/>
        <v>40.906375000000004</v>
      </c>
      <c r="I122" s="5"/>
      <c r="J122" s="17">
        <v>619.71019999999999</v>
      </c>
      <c r="K122" s="18">
        <v>38.992100000000001</v>
      </c>
      <c r="L122" s="18">
        <v>44.753</v>
      </c>
      <c r="M122" s="18">
        <v>44.254100000000001</v>
      </c>
      <c r="N122" s="18">
        <v>14.965</v>
      </c>
      <c r="O122" s="18">
        <f t="shared" si="5"/>
        <v>40.3699625</v>
      </c>
      <c r="P122" s="7"/>
      <c r="Q122" s="10"/>
      <c r="R122" s="11"/>
      <c r="S122" s="11"/>
      <c r="T122" s="26"/>
      <c r="U122" s="28">
        <f t="shared" si="3"/>
        <v>-0.39141927612850752</v>
      </c>
    </row>
    <row r="123" spans="2:21" hidden="1" x14ac:dyDescent="0.25">
      <c r="B123" s="9"/>
      <c r="C123" s="17">
        <v>523.52</v>
      </c>
      <c r="D123" s="18">
        <v>37.838999999999999</v>
      </c>
      <c r="E123" s="18">
        <v>43.921999999999997</v>
      </c>
      <c r="F123" s="18">
        <v>43.253</v>
      </c>
      <c r="G123" s="18">
        <v>27.5</v>
      </c>
      <c r="H123" s="18">
        <f t="shared" si="4"/>
        <v>39.276125</v>
      </c>
      <c r="I123" s="5"/>
      <c r="J123" s="17">
        <v>413.06369999999998</v>
      </c>
      <c r="K123" s="18">
        <v>37.516599999999997</v>
      </c>
      <c r="L123" s="18">
        <v>43.727400000000003</v>
      </c>
      <c r="M123" s="18">
        <v>43.223199999999999</v>
      </c>
      <c r="N123" s="18">
        <v>18.035599999999999</v>
      </c>
      <c r="O123" s="18">
        <f t="shared" si="5"/>
        <v>39.006275000000002</v>
      </c>
      <c r="P123" s="7"/>
      <c r="Q123" s="10"/>
      <c r="R123" s="11"/>
      <c r="S123" s="11"/>
      <c r="T123" s="26"/>
      <c r="U123" s="28">
        <f t="shared" si="3"/>
        <v>-0.34416000000000002</v>
      </c>
    </row>
    <row r="124" spans="2:21" ht="16.5" hidden="1" thickBot="1" x14ac:dyDescent="0.3">
      <c r="B124" s="12"/>
      <c r="C124" s="19">
        <v>258</v>
      </c>
      <c r="D124" s="20">
        <v>34.749000000000002</v>
      </c>
      <c r="E124" s="20">
        <v>41.843000000000004</v>
      </c>
      <c r="F124" s="20">
        <v>41.088000000000001</v>
      </c>
      <c r="G124" s="20">
        <v>33.43</v>
      </c>
      <c r="H124" s="20">
        <f t="shared" si="4"/>
        <v>36.428125000000009</v>
      </c>
      <c r="I124" s="5"/>
      <c r="J124" s="19">
        <v>206.44829999999999</v>
      </c>
      <c r="K124" s="20">
        <v>35.010199999999998</v>
      </c>
      <c r="L124" s="20">
        <v>41.951000000000001</v>
      </c>
      <c r="M124" s="20">
        <v>41.407600000000002</v>
      </c>
      <c r="N124" s="20">
        <v>25.097000000000001</v>
      </c>
      <c r="O124" s="20">
        <f t="shared" si="5"/>
        <v>36.677475000000001</v>
      </c>
      <c r="P124" s="7"/>
      <c r="Q124" s="13"/>
      <c r="R124" s="14"/>
      <c r="S124" s="14"/>
      <c r="T124" s="27"/>
      <c r="U124" s="28">
        <f t="shared" si="3"/>
        <v>-0.24926712533652404</v>
      </c>
    </row>
    <row r="125" spans="2:21" hidden="1" x14ac:dyDescent="0.25">
      <c r="B125" s="6" t="s">
        <v>112</v>
      </c>
      <c r="C125" s="15">
        <v>1282.3699999999999</v>
      </c>
      <c r="D125" s="16">
        <v>45.118000000000002</v>
      </c>
      <c r="E125" s="16">
        <v>49.26</v>
      </c>
      <c r="F125" s="16">
        <v>48.465000000000003</v>
      </c>
      <c r="G125" s="16">
        <v>22.43</v>
      </c>
      <c r="H125" s="16">
        <f t="shared" si="4"/>
        <v>46.054124999999999</v>
      </c>
      <c r="I125" s="5"/>
      <c r="J125" s="15">
        <v>1033.6714999999999</v>
      </c>
      <c r="K125" s="16">
        <v>44.582099999999997</v>
      </c>
      <c r="L125" s="16">
        <v>48.553199999999997</v>
      </c>
      <c r="M125" s="16">
        <v>47.803400000000003</v>
      </c>
      <c r="N125" s="16">
        <v>13.031599999999999</v>
      </c>
      <c r="O125" s="16">
        <f t="shared" si="5"/>
        <v>45.48115</v>
      </c>
      <c r="P125" s="7"/>
      <c r="Q125" s="8">
        <f>bdrate(C125:C128,D125:D128,J125:J128,K125:K128)</f>
        <v>-0.1700811420346523</v>
      </c>
      <c r="R125" s="8">
        <f>bdrate(C125:C128,E125:E128,J125:J128,L125:L128)</f>
        <v>-4.9624488476166961E-2</v>
      </c>
      <c r="S125" s="8">
        <f>bdrate(C125:C128,F125:F128,J125:J128,M125:M128)</f>
        <v>-0.10806988957150809</v>
      </c>
      <c r="T125" s="25">
        <f>bdrate(C125:C128,H125:H128,J125:J128,O125:O128)</f>
        <v>-0.15315336684239789</v>
      </c>
      <c r="U125" s="28">
        <f t="shared" si="3"/>
        <v>-0.41901025412394116</v>
      </c>
    </row>
    <row r="126" spans="2:21" hidden="1" x14ac:dyDescent="0.25">
      <c r="B126" s="9"/>
      <c r="C126" s="17">
        <v>771.03</v>
      </c>
      <c r="D126" s="18">
        <v>43.04</v>
      </c>
      <c r="E126" s="18">
        <v>47.743000000000002</v>
      </c>
      <c r="F126" s="18">
        <v>46.773000000000003</v>
      </c>
      <c r="G126" s="18">
        <v>25.94</v>
      </c>
      <c r="H126" s="18">
        <f t="shared" si="4"/>
        <v>44.094500000000004</v>
      </c>
      <c r="I126" s="5"/>
      <c r="J126" s="17">
        <v>618.98450000000003</v>
      </c>
      <c r="K126" s="18">
        <v>42.742199999999997</v>
      </c>
      <c r="L126" s="18">
        <v>47.1203</v>
      </c>
      <c r="M126" s="18">
        <v>46.311700000000002</v>
      </c>
      <c r="N126" s="18">
        <v>16.500599999999999</v>
      </c>
      <c r="O126" s="18">
        <f t="shared" si="5"/>
        <v>43.735649999999993</v>
      </c>
      <c r="P126" s="7"/>
      <c r="Q126" s="10"/>
      <c r="R126" s="11"/>
      <c r="S126" s="11"/>
      <c r="T126" s="26"/>
      <c r="U126" s="28">
        <f t="shared" si="3"/>
        <v>-0.36389360061680809</v>
      </c>
    </row>
    <row r="127" spans="2:21" hidden="1" x14ac:dyDescent="0.25">
      <c r="B127" s="9"/>
      <c r="C127" s="17">
        <v>515.66999999999996</v>
      </c>
      <c r="D127" s="18">
        <v>41.384</v>
      </c>
      <c r="E127" s="18">
        <v>46.5</v>
      </c>
      <c r="F127" s="18">
        <v>45.451000000000001</v>
      </c>
      <c r="G127" s="18">
        <v>29.1</v>
      </c>
      <c r="H127" s="18">
        <f t="shared" si="4"/>
        <v>42.531874999999999</v>
      </c>
      <c r="I127" s="5"/>
      <c r="J127" s="17">
        <v>411.86880000000002</v>
      </c>
      <c r="K127" s="18">
        <v>41.255200000000002</v>
      </c>
      <c r="L127" s="18">
        <v>45.964599999999997</v>
      </c>
      <c r="M127" s="18">
        <v>45.112000000000002</v>
      </c>
      <c r="N127" s="18">
        <v>19.973600000000001</v>
      </c>
      <c r="O127" s="18">
        <f t="shared" si="5"/>
        <v>42.325975000000007</v>
      </c>
      <c r="P127" s="7"/>
      <c r="Q127" s="10"/>
      <c r="R127" s="11"/>
      <c r="S127" s="11"/>
      <c r="T127" s="26"/>
      <c r="U127" s="28">
        <f t="shared" si="3"/>
        <v>-0.31362199312714778</v>
      </c>
    </row>
    <row r="128" spans="2:21" ht="16.5" hidden="1" thickBot="1" x14ac:dyDescent="0.3">
      <c r="B128" s="12"/>
      <c r="C128" s="19">
        <v>260.31</v>
      </c>
      <c r="D128" s="20">
        <v>38.173000000000002</v>
      </c>
      <c r="E128" s="20">
        <v>44.122</v>
      </c>
      <c r="F128" s="20">
        <v>42.966999999999999</v>
      </c>
      <c r="G128" s="20">
        <v>35.69</v>
      </c>
      <c r="H128" s="20">
        <f t="shared" si="4"/>
        <v>39.515875000000001</v>
      </c>
      <c r="I128" s="5"/>
      <c r="J128" s="19">
        <v>204.91849999999999</v>
      </c>
      <c r="K128" s="20">
        <v>38.3992</v>
      </c>
      <c r="L128" s="20">
        <v>43.822800000000001</v>
      </c>
      <c r="M128" s="20">
        <v>42.8506</v>
      </c>
      <c r="N128" s="20">
        <v>27.860900000000001</v>
      </c>
      <c r="O128" s="20">
        <f t="shared" si="5"/>
        <v>39.633574999999993</v>
      </c>
      <c r="P128" s="7"/>
      <c r="Q128" s="13"/>
      <c r="R128" s="14"/>
      <c r="S128" s="14"/>
      <c r="T128" s="27"/>
      <c r="U128" s="28">
        <f t="shared" si="3"/>
        <v>-0.21936396749789849</v>
      </c>
    </row>
    <row r="129" spans="2:21" hidden="1" x14ac:dyDescent="0.25">
      <c r="B129" s="6" t="s">
        <v>113</v>
      </c>
      <c r="C129" s="15">
        <v>2050.6</v>
      </c>
      <c r="D129" s="16">
        <v>38.753999999999998</v>
      </c>
      <c r="E129" s="16">
        <v>44.573999999999998</v>
      </c>
      <c r="F129" s="16">
        <v>45.314999999999998</v>
      </c>
      <c r="G129" s="16">
        <v>7.32</v>
      </c>
      <c r="H129" s="16">
        <f t="shared" si="4"/>
        <v>40.301625000000001</v>
      </c>
      <c r="I129" s="5"/>
      <c r="J129" s="15">
        <v>1546.7806</v>
      </c>
      <c r="K129" s="16">
        <v>38.2746</v>
      </c>
      <c r="L129" s="16">
        <v>43.703299999999999</v>
      </c>
      <c r="M129" s="16">
        <v>44.372700000000002</v>
      </c>
      <c r="N129" s="16">
        <v>5.2072000000000003</v>
      </c>
      <c r="O129" s="16">
        <f t="shared" si="5"/>
        <v>39.715450000000004</v>
      </c>
      <c r="P129" s="7"/>
      <c r="Q129" s="8">
        <f>bdrate(C129:C132,D129:D132,J129:J132,K129:K132)</f>
        <v>-0.26095354870848475</v>
      </c>
      <c r="R129" s="8">
        <f>bdrate(C129:C132,E129:E132,J129:J132,L129:L132)</f>
        <v>-4.6395694127760012E-2</v>
      </c>
      <c r="S129" s="8">
        <f>bdrate(C129:C132,F129:F132,J129:J132,M129:M132)</f>
        <v>-4.1603518434528697E-2</v>
      </c>
      <c r="T129" s="25">
        <f>bdrate(C129:C132,H129:H132,J129:J132,O129:O132)</f>
        <v>-0.23245908157428796</v>
      </c>
      <c r="U129" s="28">
        <f t="shared" si="3"/>
        <v>-0.28863387978142074</v>
      </c>
    </row>
    <row r="130" spans="2:21" hidden="1" x14ac:dyDescent="0.25">
      <c r="B130" s="9"/>
      <c r="C130" s="17">
        <v>1368.39</v>
      </c>
      <c r="D130" s="18">
        <v>36.804000000000002</v>
      </c>
      <c r="E130" s="18">
        <v>43.35</v>
      </c>
      <c r="F130" s="18">
        <v>44.112000000000002</v>
      </c>
      <c r="G130" s="18">
        <v>8.2200000000000006</v>
      </c>
      <c r="H130" s="18">
        <f t="shared" si="4"/>
        <v>38.535750000000007</v>
      </c>
      <c r="I130" s="5"/>
      <c r="J130" s="17">
        <v>1029.8733</v>
      </c>
      <c r="K130" s="18">
        <v>36.547600000000003</v>
      </c>
      <c r="L130" s="18">
        <v>42.608199999999997</v>
      </c>
      <c r="M130" s="18">
        <v>43.323099999999997</v>
      </c>
      <c r="N130" s="18">
        <v>6.7563000000000004</v>
      </c>
      <c r="O130" s="18">
        <f t="shared" si="5"/>
        <v>38.152112500000001</v>
      </c>
      <c r="P130" s="7"/>
      <c r="Q130" s="10"/>
      <c r="R130" s="11"/>
      <c r="S130" s="11"/>
      <c r="T130" s="26"/>
      <c r="U130" s="28">
        <f t="shared" si="3"/>
        <v>-0.17806569343065695</v>
      </c>
    </row>
    <row r="131" spans="2:21" hidden="1" x14ac:dyDescent="0.25">
      <c r="B131" s="9"/>
      <c r="C131" s="17">
        <v>819.96</v>
      </c>
      <c r="D131" s="18">
        <v>34.274999999999999</v>
      </c>
      <c r="E131" s="18">
        <v>41.895000000000003</v>
      </c>
      <c r="F131" s="18">
        <v>42.655000000000001</v>
      </c>
      <c r="G131" s="18">
        <v>9.6199999999999992</v>
      </c>
      <c r="H131" s="18">
        <f t="shared" si="4"/>
        <v>36.274999999999999</v>
      </c>
      <c r="I131" s="5"/>
      <c r="J131" s="17">
        <v>615.60080000000005</v>
      </c>
      <c r="K131" s="18">
        <v>34.400799999999997</v>
      </c>
      <c r="L131" s="18">
        <v>41.294899999999998</v>
      </c>
      <c r="M131" s="18">
        <v>42.055100000000003</v>
      </c>
      <c r="N131" s="18">
        <v>8.4248999999999992</v>
      </c>
      <c r="O131" s="18">
        <f t="shared" si="5"/>
        <v>36.219349999999991</v>
      </c>
      <c r="P131" s="7"/>
      <c r="Q131" s="10"/>
      <c r="R131" s="11"/>
      <c r="S131" s="11"/>
      <c r="T131" s="26"/>
      <c r="U131" s="28">
        <f t="shared" si="3"/>
        <v>-0.12423076923076924</v>
      </c>
    </row>
    <row r="132" spans="2:21" ht="16.5" hidden="1" thickBot="1" x14ac:dyDescent="0.3">
      <c r="B132" s="12"/>
      <c r="C132" s="19">
        <v>410.42</v>
      </c>
      <c r="D132" s="20">
        <v>30.568000000000001</v>
      </c>
      <c r="E132" s="20">
        <v>40.112000000000002</v>
      </c>
      <c r="F132" s="20">
        <v>40.865000000000002</v>
      </c>
      <c r="G132" s="20">
        <v>11.8</v>
      </c>
      <c r="H132" s="20">
        <f t="shared" si="4"/>
        <v>33.048124999999999</v>
      </c>
      <c r="I132" s="5"/>
      <c r="J132" s="19">
        <v>307.59800000000001</v>
      </c>
      <c r="K132" s="20">
        <v>31.6037</v>
      </c>
      <c r="L132" s="20">
        <v>39.719299999999997</v>
      </c>
      <c r="M132" s="20">
        <v>40.548900000000003</v>
      </c>
      <c r="N132" s="20">
        <v>11.749700000000001</v>
      </c>
      <c r="O132" s="20">
        <f t="shared" si="5"/>
        <v>33.7363</v>
      </c>
      <c r="P132" s="7"/>
      <c r="Q132" s="13"/>
      <c r="R132" s="14"/>
      <c r="S132" s="14"/>
      <c r="T132" s="27"/>
      <c r="U132" s="28">
        <f t="shared" si="3"/>
        <v>-4.2627118644067803E-3</v>
      </c>
    </row>
    <row r="133" spans="2:21" hidden="1" x14ac:dyDescent="0.25">
      <c r="B133" s="6" t="s">
        <v>114</v>
      </c>
      <c r="C133" s="15">
        <v>2179.4299999999998</v>
      </c>
      <c r="D133" s="16">
        <v>37.695</v>
      </c>
      <c r="E133" s="16">
        <v>42.6</v>
      </c>
      <c r="F133" s="16">
        <v>40.933999999999997</v>
      </c>
      <c r="G133" s="16">
        <v>8.44</v>
      </c>
      <c r="H133" s="16">
        <f t="shared" si="4"/>
        <v>38.713000000000008</v>
      </c>
      <c r="I133" s="5"/>
      <c r="J133" s="15">
        <v>1553.075</v>
      </c>
      <c r="K133" s="16">
        <v>36.2532</v>
      </c>
      <c r="L133" s="16">
        <v>41.152500000000003</v>
      </c>
      <c r="M133" s="16">
        <v>39.4221</v>
      </c>
      <c r="N133" s="16">
        <v>5.1435000000000004</v>
      </c>
      <c r="O133" s="16">
        <f t="shared" si="5"/>
        <v>37.261724999999998</v>
      </c>
      <c r="P133" s="7"/>
      <c r="Q133" s="8">
        <f>bdrate(C133:C136,D133:D136,J133:J136,K133:K136)</f>
        <v>-0.18656264154659941</v>
      </c>
      <c r="R133" s="8">
        <f>bdrate(C133:C136,E133:E136,J133:J136,L133:L136)</f>
        <v>9.795081386220339E-2</v>
      </c>
      <c r="S133" s="8">
        <f>bdrate(C133:C136,F133:F136,J133:J136,M133:M136)</f>
        <v>9.1196288583368146E-2</v>
      </c>
      <c r="T133" s="25">
        <f>bdrate(C133:C136,H133:H136,J133:J136,O133:O136)</f>
        <v>-0.14316745727432734</v>
      </c>
      <c r="U133" s="28">
        <f t="shared" si="3"/>
        <v>-0.39058056872037905</v>
      </c>
    </row>
    <row r="134" spans="2:21" hidden="1" x14ac:dyDescent="0.25">
      <c r="B134" s="9"/>
      <c r="C134" s="17">
        <v>1452.69</v>
      </c>
      <c r="D134" s="18">
        <v>35.463000000000001</v>
      </c>
      <c r="E134" s="18">
        <v>41.19</v>
      </c>
      <c r="F134" s="18">
        <v>39.420999999999999</v>
      </c>
      <c r="G134" s="18">
        <v>9.41</v>
      </c>
      <c r="H134" s="18">
        <f t="shared" si="4"/>
        <v>36.673625000000001</v>
      </c>
      <c r="I134" s="5"/>
      <c r="J134" s="17">
        <v>1033.0799</v>
      </c>
      <c r="K134" s="18">
        <v>34.302199999999999</v>
      </c>
      <c r="L134" s="18">
        <v>39.710599999999999</v>
      </c>
      <c r="M134" s="18">
        <v>37.766800000000003</v>
      </c>
      <c r="N134" s="18">
        <v>6.1086</v>
      </c>
      <c r="O134" s="18">
        <f t="shared" si="5"/>
        <v>35.411324999999998</v>
      </c>
      <c r="P134" s="7"/>
      <c r="Q134" s="10"/>
      <c r="R134" s="11"/>
      <c r="S134" s="11"/>
      <c r="T134" s="26"/>
      <c r="U134" s="28">
        <f t="shared" si="3"/>
        <v>-0.35083953241232729</v>
      </c>
    </row>
    <row r="135" spans="2:21" hidden="1" x14ac:dyDescent="0.25">
      <c r="B135" s="9"/>
      <c r="C135" s="17">
        <v>871.86</v>
      </c>
      <c r="D135" s="18">
        <v>32.731999999999999</v>
      </c>
      <c r="E135" s="18">
        <v>39.530999999999999</v>
      </c>
      <c r="F135" s="18">
        <v>37.582999999999998</v>
      </c>
      <c r="G135" s="18">
        <v>10.86</v>
      </c>
      <c r="H135" s="18">
        <f t="shared" si="4"/>
        <v>34.188249999999996</v>
      </c>
      <c r="I135" s="5"/>
      <c r="J135" s="17">
        <v>617.56880000000001</v>
      </c>
      <c r="K135" s="18">
        <v>32.1038</v>
      </c>
      <c r="L135" s="18">
        <v>38.031799999999997</v>
      </c>
      <c r="M135" s="18">
        <v>35.842500000000001</v>
      </c>
      <c r="N135" s="18">
        <v>7.9885000000000002</v>
      </c>
      <c r="O135" s="18">
        <f t="shared" si="5"/>
        <v>33.312137499999999</v>
      </c>
      <c r="P135" s="7"/>
      <c r="Q135" s="10"/>
      <c r="R135" s="11"/>
      <c r="S135" s="11"/>
      <c r="T135" s="26"/>
      <c r="U135" s="28">
        <f t="shared" si="3"/>
        <v>-0.26441068139963164</v>
      </c>
    </row>
    <row r="136" spans="2:21" ht="16.5" hidden="1" thickBot="1" x14ac:dyDescent="0.3">
      <c r="B136" s="12"/>
      <c r="C136" s="19">
        <v>434.91</v>
      </c>
      <c r="D136" s="20">
        <v>29.123000000000001</v>
      </c>
      <c r="E136" s="20">
        <v>37.085000000000001</v>
      </c>
      <c r="F136" s="20">
        <v>34.616999999999997</v>
      </c>
      <c r="G136" s="20">
        <v>13.41</v>
      </c>
      <c r="H136" s="20">
        <f t="shared" si="4"/>
        <v>30.805</v>
      </c>
      <c r="I136" s="5"/>
      <c r="J136" s="19">
        <v>307.7201</v>
      </c>
      <c r="K136" s="20">
        <v>29.560500000000001</v>
      </c>
      <c r="L136" s="20">
        <v>36.198399999999999</v>
      </c>
      <c r="M136" s="20">
        <v>33.627400000000002</v>
      </c>
      <c r="N136" s="20">
        <v>10.969099999999999</v>
      </c>
      <c r="O136" s="20">
        <f t="shared" si="5"/>
        <v>30.898599999999998</v>
      </c>
      <c r="P136" s="7"/>
      <c r="Q136" s="13"/>
      <c r="R136" s="14"/>
      <c r="S136" s="14"/>
      <c r="T136" s="27"/>
      <c r="U136" s="28">
        <f t="shared" si="3"/>
        <v>-0.18202087994034311</v>
      </c>
    </row>
    <row r="137" spans="2:21" hidden="1" x14ac:dyDescent="0.25">
      <c r="B137" s="6" t="s">
        <v>115</v>
      </c>
      <c r="C137" s="15">
        <v>2145.4299999999998</v>
      </c>
      <c r="D137" s="16">
        <v>41.597999999999999</v>
      </c>
      <c r="E137" s="16">
        <v>47.918999999999997</v>
      </c>
      <c r="F137" s="16">
        <v>47.84</v>
      </c>
      <c r="G137" s="16">
        <v>7.35</v>
      </c>
      <c r="H137" s="16">
        <f t="shared" si="4"/>
        <v>43.168374999999997</v>
      </c>
      <c r="I137" s="5"/>
      <c r="J137" s="15">
        <v>1549.3552</v>
      </c>
      <c r="K137" s="16">
        <v>40.832599999999999</v>
      </c>
      <c r="L137" s="16">
        <v>47.036700000000003</v>
      </c>
      <c r="M137" s="16">
        <v>46.927599999999998</v>
      </c>
      <c r="N137" s="16">
        <v>4.6999000000000004</v>
      </c>
      <c r="O137" s="16">
        <f t="shared" si="5"/>
        <v>42.369987500000001</v>
      </c>
      <c r="P137" s="7"/>
      <c r="Q137" s="8">
        <f>bdrate(C137:C140,D137:D140,J137:J140,K137:K140)</f>
        <v>-0.24621179154812312</v>
      </c>
      <c r="R137" s="8">
        <f>bdrate(C137:C140,E137:E140,J137:J140,L137:L140)</f>
        <v>-0.21603720004169114</v>
      </c>
      <c r="S137" s="8">
        <f>bdrate(C137:C140,F137:F140,J137:J140,M137:M140)</f>
        <v>-0.21075122422979442</v>
      </c>
      <c r="T137" s="25">
        <f>bdrate(C137:C140,H137:H140,J137:J140,O137:O140)</f>
        <v>-0.23929919344570305</v>
      </c>
      <c r="U137" s="28">
        <f t="shared" si="3"/>
        <v>-0.36055782312925161</v>
      </c>
    </row>
    <row r="138" spans="2:21" hidden="1" x14ac:dyDescent="0.25">
      <c r="B138" s="9"/>
      <c r="C138" s="17">
        <v>1436.68</v>
      </c>
      <c r="D138" s="18">
        <v>40.088999999999999</v>
      </c>
      <c r="E138" s="18">
        <v>46.673000000000002</v>
      </c>
      <c r="F138" s="18">
        <v>46.548000000000002</v>
      </c>
      <c r="G138" s="18">
        <v>8.3699999999999992</v>
      </c>
      <c r="H138" s="18">
        <f t="shared" si="4"/>
        <v>41.719374999999999</v>
      </c>
      <c r="I138" s="5"/>
      <c r="J138" s="17">
        <v>1029.7406000000001</v>
      </c>
      <c r="K138" s="18">
        <v>39.541899999999998</v>
      </c>
      <c r="L138" s="18">
        <v>46.039000000000001</v>
      </c>
      <c r="M138" s="18">
        <v>45.878900000000002</v>
      </c>
      <c r="N138" s="18">
        <v>5.8071999999999999</v>
      </c>
      <c r="O138" s="18">
        <f t="shared" si="5"/>
        <v>41.146162499999996</v>
      </c>
      <c r="P138" s="7"/>
      <c r="Q138" s="10"/>
      <c r="R138" s="11"/>
      <c r="S138" s="11"/>
      <c r="T138" s="26"/>
      <c r="U138" s="28">
        <f t="shared" si="3"/>
        <v>-0.30618876941457579</v>
      </c>
    </row>
    <row r="139" spans="2:21" hidden="1" x14ac:dyDescent="0.25">
      <c r="B139" s="9"/>
      <c r="C139" s="17">
        <v>862.61</v>
      </c>
      <c r="D139" s="18">
        <v>38.027000000000001</v>
      </c>
      <c r="E139" s="18">
        <v>44.914000000000001</v>
      </c>
      <c r="F139" s="18">
        <v>44.692</v>
      </c>
      <c r="G139" s="18">
        <v>9.6999999999999993</v>
      </c>
      <c r="H139" s="18">
        <f t="shared" si="4"/>
        <v>39.721000000000004</v>
      </c>
      <c r="I139" s="5"/>
      <c r="J139" s="17">
        <v>614.79290000000003</v>
      </c>
      <c r="K139" s="18">
        <v>37.802700000000002</v>
      </c>
      <c r="L139" s="18">
        <v>44.635800000000003</v>
      </c>
      <c r="M139" s="18">
        <v>44.392400000000002</v>
      </c>
      <c r="N139" s="18">
        <v>7.5704000000000002</v>
      </c>
      <c r="O139" s="18">
        <f t="shared" si="5"/>
        <v>39.480550000000001</v>
      </c>
      <c r="P139" s="7"/>
      <c r="Q139" s="10"/>
      <c r="R139" s="11"/>
      <c r="S139" s="11"/>
      <c r="T139" s="26"/>
      <c r="U139" s="28">
        <f t="shared" si="3"/>
        <v>-0.21954639175257723</v>
      </c>
    </row>
    <row r="140" spans="2:21" ht="16.5" hidden="1" thickBot="1" x14ac:dyDescent="0.3">
      <c r="B140" s="12"/>
      <c r="C140" s="19">
        <v>434.61</v>
      </c>
      <c r="D140" s="20">
        <v>34.567999999999998</v>
      </c>
      <c r="E140" s="20">
        <v>42.298000000000002</v>
      </c>
      <c r="F140" s="20">
        <v>42.036999999999999</v>
      </c>
      <c r="G140" s="20">
        <v>12.18</v>
      </c>
      <c r="H140" s="20">
        <f t="shared" si="4"/>
        <v>36.467874999999999</v>
      </c>
      <c r="I140" s="5"/>
      <c r="J140" s="19">
        <v>306.03050000000002</v>
      </c>
      <c r="K140" s="20">
        <v>35.258200000000002</v>
      </c>
      <c r="L140" s="20">
        <v>42.610599999999998</v>
      </c>
      <c r="M140" s="20">
        <v>42.200600000000001</v>
      </c>
      <c r="N140" s="20">
        <v>11.0311</v>
      </c>
      <c r="O140" s="20">
        <f t="shared" si="5"/>
        <v>37.045050000000003</v>
      </c>
      <c r="P140" s="7"/>
      <c r="Q140" s="13"/>
      <c r="R140" s="14"/>
      <c r="S140" s="14"/>
      <c r="T140" s="27"/>
      <c r="U140" s="28">
        <f t="shared" si="3"/>
        <v>-9.4326765188834108E-2</v>
      </c>
    </row>
    <row r="141" spans="2:21" hidden="1" x14ac:dyDescent="0.25">
      <c r="B141" s="6" t="s">
        <v>116</v>
      </c>
      <c r="C141" s="29">
        <v>2097.3200000000002</v>
      </c>
      <c r="D141" s="30">
        <v>47.68</v>
      </c>
      <c r="E141" s="30">
        <v>52.524999999999999</v>
      </c>
      <c r="F141" s="30">
        <v>52.457999999999998</v>
      </c>
      <c r="G141" s="16">
        <v>8.9499999999999993</v>
      </c>
      <c r="H141" s="16">
        <f t="shared" si="4"/>
        <v>48.882874999999999</v>
      </c>
      <c r="I141" s="5"/>
      <c r="J141" s="29">
        <v>1555.3486</v>
      </c>
      <c r="K141" s="30">
        <v>47.398600000000002</v>
      </c>
      <c r="L141" s="30">
        <v>51.862099999999998</v>
      </c>
      <c r="M141" s="30">
        <v>51.713299999999997</v>
      </c>
      <c r="N141" s="16">
        <v>6.7976999999999999</v>
      </c>
      <c r="O141" s="16">
        <f t="shared" si="5"/>
        <v>48.495875000000005</v>
      </c>
      <c r="P141" s="7"/>
      <c r="Q141" s="8">
        <f>bdrate(C141:C144,D141:D144,J141:J144,K141:K144)</f>
        <v>-0.26917106348189179</v>
      </c>
      <c r="R141" s="8">
        <f>bdrate(C141:C144,E141:E144,J141:J144,L141:L144)</f>
        <v>-0.16295148072889043</v>
      </c>
      <c r="S141" s="8">
        <f>bdrate(C141:C144,F141:F144,J141:J144,M141:M144)</f>
        <v>-0.13009030253353682</v>
      </c>
      <c r="T141" s="25">
        <f>bdrate(C141:C144,H141:H144,J141:J144,O141:O144)</f>
        <v>-0.2440994050132872</v>
      </c>
      <c r="U141" s="28">
        <f t="shared" si="3"/>
        <v>-0.24048044692737425</v>
      </c>
    </row>
    <row r="142" spans="2:21" hidden="1" x14ac:dyDescent="0.25">
      <c r="B142" s="9"/>
      <c r="C142" s="31">
        <v>1397.53</v>
      </c>
      <c r="D142" s="32">
        <v>46.776000000000003</v>
      </c>
      <c r="E142" s="32">
        <v>51.789000000000001</v>
      </c>
      <c r="F142" s="32">
        <v>51.686999999999998</v>
      </c>
      <c r="G142" s="18">
        <v>10.52</v>
      </c>
      <c r="H142" s="18">
        <f t="shared" si="4"/>
        <v>48.016500000000001</v>
      </c>
      <c r="I142" s="5"/>
      <c r="J142" s="31">
        <v>1029.144</v>
      </c>
      <c r="K142" s="32">
        <v>46.631399999999999</v>
      </c>
      <c r="L142" s="32">
        <v>51.188000000000002</v>
      </c>
      <c r="M142" s="32">
        <v>51.063800000000001</v>
      </c>
      <c r="N142" s="18">
        <v>8.5016999999999996</v>
      </c>
      <c r="O142" s="18">
        <f t="shared" si="5"/>
        <v>47.755025000000003</v>
      </c>
      <c r="P142" s="7"/>
      <c r="Q142" s="10"/>
      <c r="R142" s="11"/>
      <c r="S142" s="11"/>
      <c r="T142" s="26"/>
      <c r="U142" s="28">
        <f t="shared" si="3"/>
        <v>-0.19185361216730037</v>
      </c>
    </row>
    <row r="143" spans="2:21" hidden="1" x14ac:dyDescent="0.25">
      <c r="B143" s="9"/>
      <c r="C143" s="31">
        <v>840.28</v>
      </c>
      <c r="D143" s="32">
        <v>45.612000000000002</v>
      </c>
      <c r="E143" s="32">
        <v>50.686999999999998</v>
      </c>
      <c r="F143" s="32">
        <v>50.655999999999999</v>
      </c>
      <c r="G143" s="18">
        <v>12.54</v>
      </c>
      <c r="H143" s="18">
        <f t="shared" si="4"/>
        <v>46.876875000000005</v>
      </c>
      <c r="I143" s="5"/>
      <c r="J143" s="31">
        <v>612.72490000000005</v>
      </c>
      <c r="K143" s="32">
        <v>45.619100000000003</v>
      </c>
      <c r="L143" s="32">
        <v>50.416699999999999</v>
      </c>
      <c r="M143" s="32">
        <v>50.365600000000001</v>
      </c>
      <c r="N143" s="18">
        <v>11.187200000000001</v>
      </c>
      <c r="O143" s="18">
        <f t="shared" si="5"/>
        <v>46.812112499999998</v>
      </c>
      <c r="P143" s="7"/>
      <c r="Q143" s="10"/>
      <c r="R143" s="11"/>
      <c r="S143" s="11"/>
      <c r="T143" s="26"/>
      <c r="U143" s="28">
        <f t="shared" si="3"/>
        <v>-0.10787878787878777</v>
      </c>
    </row>
    <row r="144" spans="2:21" ht="16.5" hidden="1" thickBot="1" x14ac:dyDescent="0.3">
      <c r="B144" s="12"/>
      <c r="C144" s="33">
        <v>423.23</v>
      </c>
      <c r="D144" s="34">
        <v>43.646000000000001</v>
      </c>
      <c r="E144" s="34">
        <v>48.744999999999997</v>
      </c>
      <c r="F144" s="34">
        <v>49.12</v>
      </c>
      <c r="G144" s="20">
        <v>16.02</v>
      </c>
      <c r="H144" s="20">
        <f t="shared" si="4"/>
        <v>44.967624999999998</v>
      </c>
      <c r="I144" s="5"/>
      <c r="J144" s="33">
        <v>303.59859999999998</v>
      </c>
      <c r="K144" s="34">
        <v>44.054400000000001</v>
      </c>
      <c r="L144" s="34">
        <v>49.270299999999999</v>
      </c>
      <c r="M144" s="34">
        <v>49.437899999999999</v>
      </c>
      <c r="N144" s="20">
        <v>17.148800000000001</v>
      </c>
      <c r="O144" s="20">
        <f t="shared" si="5"/>
        <v>45.379325000000009</v>
      </c>
      <c r="P144" s="7"/>
      <c r="Q144" s="13"/>
      <c r="R144" s="14"/>
      <c r="S144" s="14"/>
      <c r="T144" s="27"/>
      <c r="U144" s="28">
        <f t="shared" si="3"/>
        <v>7.046192259675417E-2</v>
      </c>
    </row>
    <row r="145" spans="1:21" hidden="1" x14ac:dyDescent="0.25">
      <c r="A145" s="6" t="s">
        <v>117</v>
      </c>
      <c r="B145" s="6" t="s">
        <v>118</v>
      </c>
      <c r="C145" s="15">
        <v>1292.74</v>
      </c>
      <c r="D145" s="16">
        <v>40.381999999999998</v>
      </c>
      <c r="E145" s="16">
        <v>47.500999999999998</v>
      </c>
      <c r="F145" s="16">
        <v>47.287999999999997</v>
      </c>
      <c r="G145" s="16">
        <v>27.82</v>
      </c>
      <c r="H145" s="16">
        <f t="shared" si="4"/>
        <v>42.135124999999995</v>
      </c>
      <c r="I145" s="5"/>
      <c r="J145" s="15">
        <v>1025.5690999999999</v>
      </c>
      <c r="K145" s="16">
        <v>40.1982</v>
      </c>
      <c r="L145" s="16">
        <v>47.291899999999998</v>
      </c>
      <c r="M145" s="16">
        <v>47.138100000000001</v>
      </c>
      <c r="N145" s="16">
        <v>16.3658</v>
      </c>
      <c r="O145" s="16">
        <f t="shared" si="5"/>
        <v>41.952399999999997</v>
      </c>
      <c r="P145" s="7"/>
      <c r="Q145" s="8">
        <f>bdrate(C145:C148,D145:D148,J145:J148,K145:K148)</f>
        <v>-0.24627032036119956</v>
      </c>
      <c r="R145" s="8">
        <f>bdrate(C145:C148,E145:E148,J145:J148,L145:L148)</f>
        <v>-0.20728542826792951</v>
      </c>
      <c r="S145" s="8">
        <f>bdrate(C145:C148,F145:F148,J145:J148,M145:M148)</f>
        <v>-0.2405559767603429</v>
      </c>
      <c r="T145" s="25">
        <f>bdrate(C145:C148,H145:H148,J145:J148,O145:O148)</f>
        <v>-0.24263673141150999</v>
      </c>
      <c r="U145" s="28">
        <f t="shared" si="3"/>
        <v>-0.41172537742631199</v>
      </c>
    </row>
    <row r="146" spans="1:21" hidden="1" x14ac:dyDescent="0.25">
      <c r="A146" s="9"/>
      <c r="B146" s="9"/>
      <c r="C146" s="17">
        <v>766.18</v>
      </c>
      <c r="D146" s="18">
        <v>38.012</v>
      </c>
      <c r="E146" s="18">
        <v>45.859000000000002</v>
      </c>
      <c r="F146" s="18">
        <v>45.524999999999999</v>
      </c>
      <c r="G146" s="18">
        <v>32.270000000000003</v>
      </c>
      <c r="H146" s="18">
        <f t="shared" si="4"/>
        <v>39.931999999999995</v>
      </c>
      <c r="I146" s="5"/>
      <c r="J146" s="17">
        <v>612.79380000000003</v>
      </c>
      <c r="K146" s="18">
        <v>38.084000000000003</v>
      </c>
      <c r="L146" s="18">
        <v>45.8063</v>
      </c>
      <c r="M146" s="18">
        <v>45.5685</v>
      </c>
      <c r="N146" s="18">
        <v>20.429400000000001</v>
      </c>
      <c r="O146" s="18">
        <f t="shared" si="5"/>
        <v>39.984850000000009</v>
      </c>
      <c r="P146" s="7"/>
      <c r="Q146" s="10"/>
      <c r="R146" s="11"/>
      <c r="S146" s="11"/>
      <c r="T146" s="26"/>
      <c r="U146" s="28">
        <f t="shared" si="3"/>
        <v>-0.36692283854973662</v>
      </c>
    </row>
    <row r="147" spans="1:21" hidden="1" x14ac:dyDescent="0.25">
      <c r="B147" s="9"/>
      <c r="C147" s="17">
        <v>506.13</v>
      </c>
      <c r="D147" s="18">
        <v>36.018000000000001</v>
      </c>
      <c r="E147" s="18">
        <v>44.514000000000003</v>
      </c>
      <c r="F147" s="18">
        <v>44.043999999999997</v>
      </c>
      <c r="G147" s="18">
        <v>36.26</v>
      </c>
      <c r="H147" s="18">
        <f t="shared" si="4"/>
        <v>38.08325</v>
      </c>
      <c r="I147" s="5"/>
      <c r="J147" s="17">
        <v>408.56189999999998</v>
      </c>
      <c r="K147" s="18">
        <v>36.3705</v>
      </c>
      <c r="L147" s="18">
        <v>44.633000000000003</v>
      </c>
      <c r="M147" s="18">
        <v>44.325299999999999</v>
      </c>
      <c r="N147" s="18">
        <v>24.6265</v>
      </c>
      <c r="O147" s="18">
        <f t="shared" si="5"/>
        <v>38.397662499999996</v>
      </c>
      <c r="P147" s="7"/>
      <c r="Q147" s="10"/>
      <c r="R147" s="11"/>
      <c r="S147" s="11"/>
      <c r="T147" s="26"/>
      <c r="U147" s="28">
        <f t="shared" si="3"/>
        <v>-0.32083563154991723</v>
      </c>
    </row>
    <row r="148" spans="1:21" ht="16.5" hidden="1" thickBot="1" x14ac:dyDescent="0.3">
      <c r="B148" s="12"/>
      <c r="C148" s="19">
        <v>251.1</v>
      </c>
      <c r="D148" s="20">
        <v>32.383000000000003</v>
      </c>
      <c r="E148" s="20">
        <v>42.439</v>
      </c>
      <c r="F148" s="20">
        <v>41.73</v>
      </c>
      <c r="G148" s="20">
        <v>43.6</v>
      </c>
      <c r="H148" s="20">
        <f t="shared" si="4"/>
        <v>34.808374999999998</v>
      </c>
      <c r="I148" s="5"/>
      <c r="J148" s="19">
        <v>203.10339999999999</v>
      </c>
      <c r="K148" s="20">
        <v>33.479900000000001</v>
      </c>
      <c r="L148" s="20">
        <v>42.616999999999997</v>
      </c>
      <c r="M148" s="20">
        <v>42.192</v>
      </c>
      <c r="N148" s="20">
        <v>33.462000000000003</v>
      </c>
      <c r="O148" s="20">
        <f t="shared" si="5"/>
        <v>35.71105</v>
      </c>
      <c r="P148" s="7"/>
      <c r="Q148" s="13"/>
      <c r="R148" s="14"/>
      <c r="S148" s="14"/>
      <c r="T148" s="27"/>
      <c r="U148" s="28">
        <f t="shared" si="3"/>
        <v>-0.23252293577981648</v>
      </c>
    </row>
    <row r="149" spans="1:21" hidden="1" x14ac:dyDescent="0.25">
      <c r="B149" s="6" t="s">
        <v>119</v>
      </c>
      <c r="C149" s="15">
        <v>1274.94</v>
      </c>
      <c r="D149" s="16">
        <v>39.417999999999999</v>
      </c>
      <c r="E149" s="16">
        <v>49.421999999999997</v>
      </c>
      <c r="F149" s="16">
        <v>46.853999999999999</v>
      </c>
      <c r="G149" s="16">
        <v>30.09</v>
      </c>
      <c r="H149" s="16">
        <f t="shared" si="4"/>
        <v>41.597999999999992</v>
      </c>
      <c r="I149" s="5"/>
      <c r="J149" s="15">
        <v>1026.0038999999999</v>
      </c>
      <c r="K149" s="16">
        <v>38.943399999999997</v>
      </c>
      <c r="L149" s="16">
        <v>49.393599999999999</v>
      </c>
      <c r="M149" s="16">
        <v>47.028300000000002</v>
      </c>
      <c r="N149" s="16">
        <v>19.8309</v>
      </c>
      <c r="O149" s="16">
        <f t="shared" si="5"/>
        <v>41.260287499999997</v>
      </c>
      <c r="P149" s="7"/>
      <c r="Q149" s="8">
        <f>bdrate(C149:C152,D149:D152,J149:J152,K149:K152)</f>
        <v>-0.19472948789987721</v>
      </c>
      <c r="R149" s="8">
        <f>bdrate(C149:C152,E149:E152,J149:J152,L149:L152)</f>
        <v>-0.31632567557048896</v>
      </c>
      <c r="S149" s="8">
        <f>bdrate(C149:C152,F149:F152,J149:J152,M149:M152)</f>
        <v>-0.36506324097527609</v>
      </c>
      <c r="T149" s="25">
        <f>bdrate(C149:C152,H149:H152,J149:J152,O149:O152)</f>
        <v>-0.22402361405092241</v>
      </c>
      <c r="U149" s="28">
        <f t="shared" si="3"/>
        <v>-0.34094715852442675</v>
      </c>
    </row>
    <row r="150" spans="1:21" hidden="1" x14ac:dyDescent="0.25">
      <c r="B150" s="9"/>
      <c r="C150" s="17">
        <v>762.61</v>
      </c>
      <c r="D150" s="18">
        <v>37.28</v>
      </c>
      <c r="E150" s="18">
        <v>48.029000000000003</v>
      </c>
      <c r="F150" s="18">
        <v>45.220999999999997</v>
      </c>
      <c r="G150" s="18">
        <v>34.75</v>
      </c>
      <c r="H150" s="18">
        <f t="shared" si="4"/>
        <v>39.616250000000001</v>
      </c>
      <c r="I150" s="5"/>
      <c r="J150" s="17">
        <v>615.06799999999998</v>
      </c>
      <c r="K150" s="18">
        <v>37.073999999999998</v>
      </c>
      <c r="L150" s="18">
        <v>48.338099999999997</v>
      </c>
      <c r="M150" s="18">
        <v>45.779899999999998</v>
      </c>
      <c r="N150" s="18">
        <v>25.651299999999999</v>
      </c>
      <c r="O150" s="18">
        <f t="shared" si="5"/>
        <v>39.570250000000001</v>
      </c>
      <c r="P150" s="7"/>
      <c r="Q150" s="10"/>
      <c r="R150" s="11"/>
      <c r="S150" s="11"/>
      <c r="T150" s="26"/>
      <c r="U150" s="28">
        <f t="shared" si="3"/>
        <v>-0.26183309352517986</v>
      </c>
    </row>
    <row r="151" spans="1:21" hidden="1" x14ac:dyDescent="0.25">
      <c r="B151" s="9"/>
      <c r="C151" s="17">
        <v>508.64</v>
      </c>
      <c r="D151" s="18">
        <v>35.616</v>
      </c>
      <c r="E151" s="18">
        <v>47.015999999999998</v>
      </c>
      <c r="F151" s="18">
        <v>43.953000000000003</v>
      </c>
      <c r="G151" s="18">
        <v>38.96</v>
      </c>
      <c r="H151" s="18">
        <f t="shared" si="4"/>
        <v>38.083124999999995</v>
      </c>
      <c r="I151" s="5"/>
      <c r="J151" s="17">
        <v>409.68990000000002</v>
      </c>
      <c r="K151" s="18">
        <v>35.665300000000002</v>
      </c>
      <c r="L151" s="18">
        <v>47.4771</v>
      </c>
      <c r="M151" s="18">
        <v>44.747300000000003</v>
      </c>
      <c r="N151" s="18">
        <v>30.8994</v>
      </c>
      <c r="O151" s="18">
        <f t="shared" si="5"/>
        <v>38.277025000000002</v>
      </c>
      <c r="P151" s="7"/>
      <c r="Q151" s="10"/>
      <c r="R151" s="11"/>
      <c r="S151" s="11"/>
      <c r="T151" s="26"/>
      <c r="U151" s="28">
        <f t="shared" si="3"/>
        <v>-0.20689425051334703</v>
      </c>
    </row>
    <row r="152" spans="1:21" ht="16.5" hidden="1" thickBot="1" x14ac:dyDescent="0.3">
      <c r="B152" s="12"/>
      <c r="C152" s="19">
        <v>255.57</v>
      </c>
      <c r="D152" s="20">
        <v>32.707000000000001</v>
      </c>
      <c r="E152" s="20">
        <v>44.942</v>
      </c>
      <c r="F152" s="20">
        <v>42.110999999999997</v>
      </c>
      <c r="G152" s="20">
        <v>47.32</v>
      </c>
      <c r="H152" s="20">
        <f t="shared" si="4"/>
        <v>35.411875000000002</v>
      </c>
      <c r="I152" s="5"/>
      <c r="J152" s="19">
        <v>204.91329999999999</v>
      </c>
      <c r="K152" s="20">
        <v>33.384799999999998</v>
      </c>
      <c r="L152" s="20">
        <v>45.956200000000003</v>
      </c>
      <c r="M152" s="20">
        <v>43.071199999999997</v>
      </c>
      <c r="N152" s="20">
        <v>42.820900000000002</v>
      </c>
      <c r="O152" s="20">
        <f t="shared" si="5"/>
        <v>36.167024999999995</v>
      </c>
      <c r="P152" s="7"/>
      <c r="Q152" s="13"/>
      <c r="R152" s="14"/>
      <c r="S152" s="14"/>
      <c r="T152" s="27"/>
      <c r="U152" s="28">
        <f t="shared" si="3"/>
        <v>-9.5078191039729476E-2</v>
      </c>
    </row>
    <row r="153" spans="1:21" hidden="1" x14ac:dyDescent="0.25">
      <c r="B153" s="6" t="s">
        <v>120</v>
      </c>
      <c r="C153" s="15">
        <v>1332.13</v>
      </c>
      <c r="D153" s="16">
        <v>43.235999999999997</v>
      </c>
      <c r="E153" s="16">
        <v>47.259</v>
      </c>
      <c r="F153" s="16">
        <v>47.722999999999999</v>
      </c>
      <c r="G153" s="16">
        <v>27.11</v>
      </c>
      <c r="H153" s="16">
        <f t="shared" si="4"/>
        <v>44.299750000000003</v>
      </c>
      <c r="I153" s="5"/>
      <c r="J153" s="15">
        <v>1028.3571999999999</v>
      </c>
      <c r="K153" s="16">
        <v>42.883600000000001</v>
      </c>
      <c r="L153" s="16">
        <v>47.2502</v>
      </c>
      <c r="M153" s="16">
        <v>47.631100000000004</v>
      </c>
      <c r="N153" s="16">
        <v>16.470099999999999</v>
      </c>
      <c r="O153" s="16">
        <f t="shared" si="5"/>
        <v>44.022862500000002</v>
      </c>
      <c r="P153" s="7"/>
      <c r="Q153" s="8">
        <f>bdrate(C153:C156,D153:D156,J153:J156,K153:K156)</f>
        <v>-0.22790374082876974</v>
      </c>
      <c r="R153" s="8">
        <f>bdrate(C153:C156,E153:E156,J153:J156,L153:L156)</f>
        <v>-0.28220718402395384</v>
      </c>
      <c r="S153" s="8">
        <f>bdrate(C153:C156,F153:F156,J153:J156,M153:M156)</f>
        <v>-0.25131753166129278</v>
      </c>
      <c r="T153" s="25">
        <f>bdrate(C153:C156,H153:H156,J153:J156,O153:O156)</f>
        <v>-0.23476274585435242</v>
      </c>
      <c r="U153" s="28">
        <f t="shared" si="3"/>
        <v>-0.39247141276281816</v>
      </c>
    </row>
    <row r="154" spans="1:21" hidden="1" x14ac:dyDescent="0.25">
      <c r="B154" s="9"/>
      <c r="C154" s="17">
        <v>795.93</v>
      </c>
      <c r="D154" s="18">
        <v>41.32</v>
      </c>
      <c r="E154" s="18">
        <v>45.953000000000003</v>
      </c>
      <c r="F154" s="18">
        <v>46.505000000000003</v>
      </c>
      <c r="G154" s="18">
        <v>31.97</v>
      </c>
      <c r="H154" s="18">
        <f t="shared" si="4"/>
        <v>42.547250000000005</v>
      </c>
      <c r="I154" s="5"/>
      <c r="J154" s="17">
        <v>616.3356</v>
      </c>
      <c r="K154" s="18">
        <v>41.155700000000003</v>
      </c>
      <c r="L154" s="18">
        <v>46.112699999999997</v>
      </c>
      <c r="M154" s="18">
        <v>46.548499999999997</v>
      </c>
      <c r="N154" s="18">
        <v>21.8812</v>
      </c>
      <c r="O154" s="18">
        <f t="shared" si="5"/>
        <v>42.449425000000005</v>
      </c>
      <c r="P154" s="7"/>
      <c r="Q154" s="10"/>
      <c r="R154" s="11"/>
      <c r="S154" s="11"/>
      <c r="T154" s="26"/>
      <c r="U154" s="28">
        <f t="shared" si="3"/>
        <v>-0.31557084766969029</v>
      </c>
    </row>
    <row r="155" spans="1:21" hidden="1" x14ac:dyDescent="0.25">
      <c r="B155" s="9"/>
      <c r="C155" s="17">
        <v>527.27</v>
      </c>
      <c r="D155" s="18">
        <v>39.661999999999999</v>
      </c>
      <c r="E155" s="18">
        <v>44.933</v>
      </c>
      <c r="F155" s="18">
        <v>45.534999999999997</v>
      </c>
      <c r="G155" s="18">
        <v>36.32</v>
      </c>
      <c r="H155" s="18">
        <f t="shared" si="4"/>
        <v>41.054999999999993</v>
      </c>
      <c r="I155" s="5"/>
      <c r="J155" s="17">
        <v>410.7713</v>
      </c>
      <c r="K155" s="18">
        <v>39.705300000000001</v>
      </c>
      <c r="L155" s="18">
        <v>45.172800000000002</v>
      </c>
      <c r="M155" s="18">
        <v>45.633499999999998</v>
      </c>
      <c r="N155" s="18">
        <v>27.0379</v>
      </c>
      <c r="O155" s="18">
        <f t="shared" si="5"/>
        <v>41.129762499999998</v>
      </c>
      <c r="P155" s="7"/>
      <c r="Q155" s="10"/>
      <c r="R155" s="11"/>
      <c r="S155" s="11"/>
      <c r="T155" s="26"/>
      <c r="U155" s="28">
        <f t="shared" si="3"/>
        <v>-0.25556442731277534</v>
      </c>
    </row>
    <row r="156" spans="1:21" ht="16.5" hidden="1" thickBot="1" x14ac:dyDescent="0.3">
      <c r="B156" s="12"/>
      <c r="C156" s="19">
        <v>260.70999999999998</v>
      </c>
      <c r="D156" s="20">
        <v>36.222999999999999</v>
      </c>
      <c r="E156" s="20">
        <v>43.05</v>
      </c>
      <c r="F156" s="20">
        <v>43.55</v>
      </c>
      <c r="G156" s="20">
        <v>45.06</v>
      </c>
      <c r="H156" s="20">
        <f t="shared" si="4"/>
        <v>37.992249999999999</v>
      </c>
      <c r="I156" s="5"/>
      <c r="J156" s="19">
        <v>204.3929</v>
      </c>
      <c r="K156" s="20">
        <v>36.938800000000001</v>
      </c>
      <c r="L156" s="20">
        <v>43.383899999999997</v>
      </c>
      <c r="M156" s="20">
        <v>43.887900000000002</v>
      </c>
      <c r="N156" s="20">
        <v>38.272300000000001</v>
      </c>
      <c r="O156" s="20">
        <f t="shared" si="5"/>
        <v>38.613075000000002</v>
      </c>
      <c r="P156" s="7"/>
      <c r="Q156" s="13"/>
      <c r="R156" s="14"/>
      <c r="S156" s="14"/>
      <c r="T156" s="27"/>
      <c r="U156" s="28">
        <f t="shared" si="3"/>
        <v>-0.15063692853972482</v>
      </c>
    </row>
    <row r="157" spans="1:21" hidden="1" x14ac:dyDescent="0.25">
      <c r="B157" s="6" t="s">
        <v>121</v>
      </c>
      <c r="C157" s="29">
        <v>1267.9000000000001</v>
      </c>
      <c r="D157" s="30">
        <v>39.542999999999999</v>
      </c>
      <c r="E157" s="30">
        <v>47.082999999999998</v>
      </c>
      <c r="F157" s="30">
        <v>46.942999999999998</v>
      </c>
      <c r="G157" s="16">
        <v>31.5</v>
      </c>
      <c r="H157" s="16">
        <f t="shared" si="4"/>
        <v>41.410499999999999</v>
      </c>
      <c r="I157" s="5"/>
      <c r="J157" s="29">
        <v>1026.3224</v>
      </c>
      <c r="K157" s="30">
        <v>38.7089</v>
      </c>
      <c r="L157" s="30">
        <v>46.323599999999999</v>
      </c>
      <c r="M157" s="30">
        <v>46.177</v>
      </c>
      <c r="N157" s="16">
        <v>18.762899999999998</v>
      </c>
      <c r="O157" s="16">
        <f t="shared" si="5"/>
        <v>40.594250000000002</v>
      </c>
      <c r="P157" s="7"/>
      <c r="Q157" s="8">
        <f>bdrate(C157:C160,D157:D160,J157:J160,K157:K160)</f>
        <v>-0.18089979771696507</v>
      </c>
      <c r="R157" s="8">
        <f>bdrate(C157:C160,E157:E160,J157:J160,L157:L160)</f>
        <v>-5.2132746380484041E-2</v>
      </c>
      <c r="S157" s="8">
        <f>bdrate(C157:C160,F157:F160,J157:J160,M157:M160)</f>
        <v>-7.7098927861167676E-2</v>
      </c>
      <c r="T157" s="25">
        <f>bdrate(C157:C160,H157:H160,J157:J160,O157:O160)</f>
        <v>-0.16390526851678877</v>
      </c>
      <c r="U157" s="28">
        <f t="shared" si="3"/>
        <v>-0.40435238095238102</v>
      </c>
    </row>
    <row r="158" spans="1:21" hidden="1" x14ac:dyDescent="0.25">
      <c r="B158" s="9"/>
      <c r="C158" s="31">
        <v>757.8</v>
      </c>
      <c r="D158" s="32">
        <v>37.161999999999999</v>
      </c>
      <c r="E158" s="32">
        <v>45.66</v>
      </c>
      <c r="F158" s="32">
        <v>45.514000000000003</v>
      </c>
      <c r="G158" s="18">
        <v>36.200000000000003</v>
      </c>
      <c r="H158" s="18">
        <f t="shared" si="4"/>
        <v>39.268249999999995</v>
      </c>
      <c r="I158" s="5"/>
      <c r="J158" s="31">
        <v>613.03240000000005</v>
      </c>
      <c r="K158" s="32">
        <v>36.8093</v>
      </c>
      <c r="L158" s="32">
        <v>45.172600000000003</v>
      </c>
      <c r="M158" s="32">
        <v>45.022500000000001</v>
      </c>
      <c r="N158" s="18">
        <v>25.126000000000001</v>
      </c>
      <c r="O158" s="18">
        <f t="shared" si="5"/>
        <v>38.881362499999994</v>
      </c>
      <c r="P158" s="7"/>
      <c r="Q158" s="10"/>
      <c r="R158" s="11"/>
      <c r="S158" s="11"/>
      <c r="T158" s="26"/>
      <c r="U158" s="28">
        <f t="shared" si="3"/>
        <v>-0.30591160220994479</v>
      </c>
    </row>
    <row r="159" spans="1:21" hidden="1" x14ac:dyDescent="0.25">
      <c r="B159" s="9"/>
      <c r="C159" s="31">
        <v>504.41</v>
      </c>
      <c r="D159" s="32">
        <v>35.320999999999998</v>
      </c>
      <c r="E159" s="32">
        <v>44.604999999999997</v>
      </c>
      <c r="F159" s="32">
        <v>44.393000000000001</v>
      </c>
      <c r="G159" s="18">
        <v>40.15</v>
      </c>
      <c r="H159" s="18">
        <f t="shared" si="4"/>
        <v>37.615499999999997</v>
      </c>
      <c r="I159" s="5"/>
      <c r="J159" s="31">
        <v>407.92059999999998</v>
      </c>
      <c r="K159" s="32">
        <v>35.355200000000004</v>
      </c>
      <c r="L159" s="32">
        <v>44.2545</v>
      </c>
      <c r="M159" s="32">
        <v>44.097499999999997</v>
      </c>
      <c r="N159" s="18">
        <v>30.478400000000001</v>
      </c>
      <c r="O159" s="18">
        <f t="shared" si="5"/>
        <v>37.560400000000001</v>
      </c>
      <c r="P159" s="7"/>
      <c r="Q159" s="10"/>
      <c r="R159" s="11"/>
      <c r="S159" s="11"/>
      <c r="T159" s="26"/>
      <c r="U159" s="28">
        <f t="shared" si="3"/>
        <v>-0.2408866749688667</v>
      </c>
    </row>
    <row r="160" spans="1:21" ht="16.5" hidden="1" thickBot="1" x14ac:dyDescent="0.3">
      <c r="B160" s="12"/>
      <c r="C160" s="33">
        <v>251.8</v>
      </c>
      <c r="D160" s="34">
        <v>31.905000000000001</v>
      </c>
      <c r="E160" s="34">
        <v>42.79</v>
      </c>
      <c r="F160" s="34">
        <v>42.438000000000002</v>
      </c>
      <c r="G160" s="20">
        <v>46.48</v>
      </c>
      <c r="H160" s="20">
        <f t="shared" si="4"/>
        <v>34.582250000000002</v>
      </c>
      <c r="I160" s="5"/>
      <c r="J160" s="33">
        <v>203.8449</v>
      </c>
      <c r="K160" s="34">
        <v>32.7395</v>
      </c>
      <c r="L160" s="34">
        <v>42.590200000000003</v>
      </c>
      <c r="M160" s="34">
        <v>42.372700000000002</v>
      </c>
      <c r="N160" s="20">
        <v>42.866399999999999</v>
      </c>
      <c r="O160" s="20">
        <f t="shared" si="5"/>
        <v>35.1749875</v>
      </c>
      <c r="P160" s="7"/>
      <c r="Q160" s="13"/>
      <c r="R160" s="14"/>
      <c r="S160" s="14"/>
      <c r="T160" s="27"/>
      <c r="U160" s="28">
        <f t="shared" si="3"/>
        <v>-7.7745266781411332E-2</v>
      </c>
    </row>
    <row r="161" spans="2:21" hidden="1" x14ac:dyDescent="0.25">
      <c r="B161" s="6" t="s">
        <v>122</v>
      </c>
      <c r="C161" s="15">
        <v>1300.92</v>
      </c>
      <c r="D161" s="16">
        <v>38.572000000000003</v>
      </c>
      <c r="E161" s="16">
        <v>47.18</v>
      </c>
      <c r="F161" s="16">
        <v>45.59</v>
      </c>
      <c r="G161" s="16">
        <v>31.06</v>
      </c>
      <c r="H161" s="16">
        <f t="shared" si="4"/>
        <v>40.52525</v>
      </c>
      <c r="I161" s="5"/>
      <c r="J161" s="15">
        <v>1025.4866</v>
      </c>
      <c r="K161" s="16">
        <v>38.151499999999999</v>
      </c>
      <c r="L161" s="16">
        <v>47.2134</v>
      </c>
      <c r="M161" s="16">
        <v>45.809800000000003</v>
      </c>
      <c r="N161" s="16">
        <v>19.179600000000001</v>
      </c>
      <c r="O161" s="16">
        <f t="shared" si="5"/>
        <v>40.241524999999996</v>
      </c>
      <c r="P161" s="7"/>
      <c r="Q161" s="8">
        <f>bdrate(C161:C164,D161:D164,J161:J164,K161:K164)</f>
        <v>-0.20084988057370157</v>
      </c>
      <c r="R161" s="8">
        <f>bdrate(C161:C164,E161:E164,J161:J164,L161:L164)</f>
        <v>-0.30975789884771099</v>
      </c>
      <c r="S161" s="8">
        <f>bdrate(C161:C164,F161:F164,J161:J164,M161:M164)</f>
        <v>-0.39851861043816783</v>
      </c>
      <c r="T161" s="25">
        <f>bdrate(C161:C164,H161:H164,J161:J164,O161:O164)</f>
        <v>-0.2353833426280999</v>
      </c>
      <c r="U161" s="28">
        <f t="shared" si="3"/>
        <v>-0.38249839021249188</v>
      </c>
    </row>
    <row r="162" spans="2:21" hidden="1" x14ac:dyDescent="0.25">
      <c r="B162" s="9"/>
      <c r="C162" s="17">
        <v>779.5</v>
      </c>
      <c r="D162" s="18">
        <v>37.329000000000001</v>
      </c>
      <c r="E162" s="18">
        <v>46.274000000000001</v>
      </c>
      <c r="F162" s="18">
        <v>44.527000000000001</v>
      </c>
      <c r="G162" s="18">
        <v>36.880000000000003</v>
      </c>
      <c r="H162" s="18">
        <f t="shared" si="4"/>
        <v>39.346874999999997</v>
      </c>
      <c r="I162" s="5"/>
      <c r="J162" s="17">
        <v>614.62019999999995</v>
      </c>
      <c r="K162" s="18">
        <v>37.132399999999997</v>
      </c>
      <c r="L162" s="18">
        <v>46.466000000000001</v>
      </c>
      <c r="M162" s="18">
        <v>44.997900000000001</v>
      </c>
      <c r="N162" s="18">
        <v>24.5517</v>
      </c>
      <c r="O162" s="18">
        <f t="shared" si="5"/>
        <v>39.282287500000002</v>
      </c>
      <c r="P162" s="7"/>
      <c r="Q162" s="10"/>
      <c r="R162" s="11"/>
      <c r="S162" s="11"/>
      <c r="T162" s="26"/>
      <c r="U162" s="28">
        <f t="shared" si="3"/>
        <v>-0.33428145336225601</v>
      </c>
    </row>
    <row r="163" spans="2:21" hidden="1" x14ac:dyDescent="0.25">
      <c r="B163" s="9"/>
      <c r="C163" s="17">
        <v>518.96</v>
      </c>
      <c r="D163" s="18">
        <v>36.347999999999999</v>
      </c>
      <c r="E163" s="18">
        <v>45.515000000000001</v>
      </c>
      <c r="F163" s="18">
        <v>43.697000000000003</v>
      </c>
      <c r="G163" s="18">
        <v>40.869999999999997</v>
      </c>
      <c r="H163" s="18">
        <f t="shared" si="4"/>
        <v>38.412500000000001</v>
      </c>
      <c r="I163" s="5"/>
      <c r="J163" s="17">
        <v>408.56369999999998</v>
      </c>
      <c r="K163" s="18">
        <v>36.337299999999999</v>
      </c>
      <c r="L163" s="18">
        <v>45.7911</v>
      </c>
      <c r="M163" s="18">
        <v>44.286799999999999</v>
      </c>
      <c r="N163" s="18">
        <v>30.172999999999998</v>
      </c>
      <c r="O163" s="18">
        <f t="shared" si="5"/>
        <v>38.512712499999992</v>
      </c>
      <c r="P163" s="7"/>
      <c r="Q163" s="10"/>
      <c r="R163" s="11"/>
      <c r="S163" s="11"/>
      <c r="T163" s="26"/>
      <c r="U163" s="28">
        <f t="shared" si="3"/>
        <v>-0.26173232199657448</v>
      </c>
    </row>
    <row r="164" spans="2:21" ht="16.5" hidden="1" thickBot="1" x14ac:dyDescent="0.3">
      <c r="B164" s="12"/>
      <c r="C164" s="19">
        <v>257.89</v>
      </c>
      <c r="D164" s="20">
        <v>34.289000000000001</v>
      </c>
      <c r="E164" s="20">
        <v>44.094000000000001</v>
      </c>
      <c r="F164" s="20">
        <v>42.165999999999997</v>
      </c>
      <c r="G164" s="20">
        <v>49.68</v>
      </c>
      <c r="H164" s="20">
        <f t="shared" si="4"/>
        <v>36.499250000000004</v>
      </c>
      <c r="I164" s="5"/>
      <c r="J164" s="19">
        <v>203.62819999999999</v>
      </c>
      <c r="K164" s="20">
        <v>34.820999999999998</v>
      </c>
      <c r="L164" s="20">
        <v>44.494100000000003</v>
      </c>
      <c r="M164" s="20">
        <v>42.875799999999998</v>
      </c>
      <c r="N164" s="20">
        <v>42.9495</v>
      </c>
      <c r="O164" s="20">
        <f t="shared" si="5"/>
        <v>37.036987499999995</v>
      </c>
      <c r="P164" s="7"/>
      <c r="Q164" s="13"/>
      <c r="R164" s="14"/>
      <c r="S164" s="14"/>
      <c r="T164" s="27"/>
      <c r="U164" s="28">
        <f t="shared" si="3"/>
        <v>-0.13547705314009661</v>
      </c>
    </row>
    <row r="165" spans="2:21" hidden="1" x14ac:dyDescent="0.25">
      <c r="B165" s="6" t="s">
        <v>123</v>
      </c>
      <c r="C165" s="15">
        <v>2117.73</v>
      </c>
      <c r="D165" s="16">
        <v>39.356999999999999</v>
      </c>
      <c r="E165" s="16">
        <v>45.332999999999998</v>
      </c>
      <c r="F165" s="16">
        <v>44.71</v>
      </c>
      <c r="G165" s="16">
        <v>13.36</v>
      </c>
      <c r="H165" s="16">
        <f t="shared" si="4"/>
        <v>40.773125</v>
      </c>
      <c r="I165" s="5"/>
      <c r="J165" s="15">
        <v>1534.4051999999999</v>
      </c>
      <c r="K165" s="16">
        <v>38.707099999999997</v>
      </c>
      <c r="L165" s="16">
        <v>44.764600000000002</v>
      </c>
      <c r="M165" s="16">
        <v>44.095799999999997</v>
      </c>
      <c r="N165" s="16">
        <v>10.448600000000001</v>
      </c>
      <c r="O165" s="16">
        <f t="shared" si="5"/>
        <v>40.137875000000001</v>
      </c>
      <c r="P165" s="7"/>
      <c r="Q165" s="8">
        <f>bdrate(C165:C168,D165:D168,J165:J168,K165:K168)</f>
        <v>-0.28050190523627405</v>
      </c>
      <c r="R165" s="8">
        <f>bdrate(C165:C168,E165:E168,J165:J168,L165:L168)</f>
        <v>-0.19929863546977578</v>
      </c>
      <c r="S165" s="8">
        <f>bdrate(C165:C168,F165:F168,J165:J168,M165:M168)</f>
        <v>-0.16926379532386893</v>
      </c>
      <c r="T165" s="25">
        <f>bdrate(C165:C168,H165:H168,J165:J168,O165:O168)</f>
        <v>-0.26553858436137145</v>
      </c>
      <c r="U165" s="28">
        <f t="shared" si="3"/>
        <v>-0.21791916167664663</v>
      </c>
    </row>
    <row r="166" spans="2:21" hidden="1" x14ac:dyDescent="0.25">
      <c r="B166" s="9"/>
      <c r="C166" s="17">
        <v>1409.04</v>
      </c>
      <c r="D166" s="18">
        <v>37.405999999999999</v>
      </c>
      <c r="E166" s="18">
        <v>44.155000000000001</v>
      </c>
      <c r="F166" s="18">
        <v>43.460999999999999</v>
      </c>
      <c r="G166" s="18">
        <v>15.02</v>
      </c>
      <c r="H166" s="18">
        <f t="shared" si="4"/>
        <v>39.006500000000003</v>
      </c>
      <c r="I166" s="5"/>
      <c r="J166" s="17">
        <v>1017.206</v>
      </c>
      <c r="K166" s="18">
        <v>37.075000000000003</v>
      </c>
      <c r="L166" s="18">
        <v>43.720999999999997</v>
      </c>
      <c r="M166" s="18">
        <v>42.9253</v>
      </c>
      <c r="N166" s="18">
        <v>12.6364</v>
      </c>
      <c r="O166" s="18">
        <f t="shared" si="5"/>
        <v>38.637037499999998</v>
      </c>
      <c r="P166" s="7"/>
      <c r="Q166" s="10"/>
      <c r="R166" s="11"/>
      <c r="S166" s="11"/>
      <c r="T166" s="26"/>
      <c r="U166" s="28">
        <f t="shared" si="3"/>
        <v>-0.15869507323568571</v>
      </c>
    </row>
    <row r="167" spans="2:21" hidden="1" x14ac:dyDescent="0.25">
      <c r="B167" s="9"/>
      <c r="C167" s="17">
        <v>844.45</v>
      </c>
      <c r="D167" s="18">
        <v>34.866999999999997</v>
      </c>
      <c r="E167" s="18">
        <v>42.67</v>
      </c>
      <c r="F167" s="18">
        <v>41.872999999999998</v>
      </c>
      <c r="G167" s="18">
        <v>17.25</v>
      </c>
      <c r="H167" s="18">
        <f t="shared" si="4"/>
        <v>36.718125000000001</v>
      </c>
      <c r="I167" s="5"/>
      <c r="J167" s="17">
        <v>613.24810000000002</v>
      </c>
      <c r="K167" s="18">
        <v>34.966700000000003</v>
      </c>
      <c r="L167" s="18">
        <v>42.4221</v>
      </c>
      <c r="M167" s="18">
        <v>41.464100000000002</v>
      </c>
      <c r="N167" s="18">
        <v>15.976599999999999</v>
      </c>
      <c r="O167" s="18">
        <f t="shared" si="5"/>
        <v>36.710800000000006</v>
      </c>
      <c r="P167" s="7"/>
      <c r="Q167" s="10"/>
      <c r="R167" s="11"/>
      <c r="S167" s="11"/>
      <c r="T167" s="26"/>
      <c r="U167" s="28">
        <f t="shared" si="3"/>
        <v>-7.3820289855072496E-2</v>
      </c>
    </row>
    <row r="168" spans="2:21" ht="16.5" hidden="1" thickBot="1" x14ac:dyDescent="0.3">
      <c r="B168" s="12"/>
      <c r="C168" s="19">
        <v>422.47</v>
      </c>
      <c r="D168" s="20">
        <v>31.177</v>
      </c>
      <c r="E168" s="20">
        <v>40.706000000000003</v>
      </c>
      <c r="F168" s="20">
        <v>39.643999999999998</v>
      </c>
      <c r="G168" s="20">
        <v>20.61</v>
      </c>
      <c r="H168" s="20">
        <f t="shared" si="4"/>
        <v>33.426500000000004</v>
      </c>
      <c r="I168" s="5"/>
      <c r="J168" s="19">
        <v>304.62150000000003</v>
      </c>
      <c r="K168" s="20">
        <v>32.098599999999998</v>
      </c>
      <c r="L168" s="20">
        <v>40.707700000000003</v>
      </c>
      <c r="M168" s="20">
        <v>39.495699999999999</v>
      </c>
      <c r="N168" s="20">
        <v>22.5611</v>
      </c>
      <c r="O168" s="20">
        <f t="shared" si="5"/>
        <v>34.099374999999995</v>
      </c>
      <c r="P168" s="7"/>
      <c r="Q168" s="13"/>
      <c r="R168" s="14"/>
      <c r="S168" s="14"/>
      <c r="T168" s="27"/>
      <c r="U168" s="28">
        <f t="shared" si="3"/>
        <v>9.4667637069383817E-2</v>
      </c>
    </row>
    <row r="169" spans="2:21" hidden="1" x14ac:dyDescent="0.25">
      <c r="B169" s="6" t="s">
        <v>124</v>
      </c>
      <c r="C169" s="15">
        <v>1328.72</v>
      </c>
      <c r="D169" s="16">
        <v>40.607999999999997</v>
      </c>
      <c r="E169" s="16">
        <v>46.088999999999999</v>
      </c>
      <c r="F169" s="16">
        <v>45.524999999999999</v>
      </c>
      <c r="G169" s="16">
        <v>28.44</v>
      </c>
      <c r="H169" s="16">
        <f t="shared" si="4"/>
        <v>41.907749999999993</v>
      </c>
      <c r="I169" s="5"/>
      <c r="J169" s="15">
        <v>1034.6246000000001</v>
      </c>
      <c r="K169" s="16">
        <v>39.802100000000003</v>
      </c>
      <c r="L169" s="16">
        <v>45.496000000000002</v>
      </c>
      <c r="M169" s="16">
        <v>44.996000000000002</v>
      </c>
      <c r="N169" s="16">
        <v>18.341899999999999</v>
      </c>
      <c r="O169" s="16">
        <f t="shared" si="5"/>
        <v>41.163074999999999</v>
      </c>
      <c r="P169" s="7"/>
      <c r="Q169" s="8">
        <f>bdrate(C169:C172,D169:D172,J169:J172,K169:K172)</f>
        <v>-0.22039305376596063</v>
      </c>
      <c r="R169" s="8">
        <f>bdrate(C169:C172,E169:E172,J169:J172,L169:L172)</f>
        <v>-0.25488959908983566</v>
      </c>
      <c r="S169" s="8">
        <f>bdrate(C169:C172,F169:F172,J169:J172,M169:M172)</f>
        <v>-0.28783683701706042</v>
      </c>
      <c r="T169" s="25">
        <f>bdrate(C169:C172,H169:H172,J169:J172,O169:O172)</f>
        <v>-0.23066316597869552</v>
      </c>
      <c r="U169" s="28">
        <f t="shared" si="3"/>
        <v>-0.35506680731364282</v>
      </c>
    </row>
    <row r="170" spans="2:21" hidden="1" x14ac:dyDescent="0.25">
      <c r="B170" s="9"/>
      <c r="C170" s="17">
        <v>790.71</v>
      </c>
      <c r="D170" s="18">
        <v>38.408000000000001</v>
      </c>
      <c r="E170" s="18">
        <v>44.393000000000001</v>
      </c>
      <c r="F170" s="18">
        <v>43.747999999999998</v>
      </c>
      <c r="G170" s="18">
        <v>33.03</v>
      </c>
      <c r="H170" s="18">
        <f t="shared" si="4"/>
        <v>39.823625</v>
      </c>
      <c r="I170" s="5"/>
      <c r="J170" s="17">
        <v>620.99220000000003</v>
      </c>
      <c r="K170" s="18">
        <v>38.126600000000003</v>
      </c>
      <c r="L170" s="18">
        <v>44.353299999999997</v>
      </c>
      <c r="M170" s="18">
        <v>43.827800000000003</v>
      </c>
      <c r="N170" s="18">
        <v>23.360199999999999</v>
      </c>
      <c r="O170" s="18">
        <f t="shared" si="5"/>
        <v>39.617587500000006</v>
      </c>
      <c r="P170" s="7"/>
      <c r="Q170" s="10"/>
      <c r="R170" s="11"/>
      <c r="S170" s="11"/>
      <c r="T170" s="26"/>
      <c r="U170" s="28">
        <f t="shared" si="3"/>
        <v>-0.29275809869815322</v>
      </c>
    </row>
    <row r="171" spans="2:21" hidden="1" x14ac:dyDescent="0.25">
      <c r="B171" s="9"/>
      <c r="C171" s="17">
        <v>522.42999999999995</v>
      </c>
      <c r="D171" s="18">
        <v>36.664000000000001</v>
      </c>
      <c r="E171" s="18">
        <v>43.134</v>
      </c>
      <c r="F171" s="18">
        <v>42.439</v>
      </c>
      <c r="G171" s="18">
        <v>36.85</v>
      </c>
      <c r="H171" s="18">
        <f t="shared" si="4"/>
        <v>38.194625000000002</v>
      </c>
      <c r="I171" s="5"/>
      <c r="J171" s="17">
        <v>413.41649999999998</v>
      </c>
      <c r="K171" s="18">
        <v>36.822400000000002</v>
      </c>
      <c r="L171" s="18">
        <v>43.414700000000003</v>
      </c>
      <c r="M171" s="18">
        <v>42.881399999999999</v>
      </c>
      <c r="N171" s="18">
        <v>28.464700000000001</v>
      </c>
      <c r="O171" s="18">
        <f t="shared" si="5"/>
        <v>38.403812500000001</v>
      </c>
      <c r="P171" s="7"/>
      <c r="Q171" s="10"/>
      <c r="R171" s="11"/>
      <c r="S171" s="11"/>
      <c r="T171" s="26"/>
      <c r="U171" s="28">
        <f t="shared" si="3"/>
        <v>-0.22755223880597017</v>
      </c>
    </row>
    <row r="172" spans="2:21" ht="16.5" hidden="1" thickBot="1" x14ac:dyDescent="0.3">
      <c r="B172" s="12"/>
      <c r="C172" s="19">
        <v>256.83</v>
      </c>
      <c r="D172" s="20">
        <v>33.326000000000001</v>
      </c>
      <c r="E172" s="20">
        <v>40.954000000000001</v>
      </c>
      <c r="F172" s="20">
        <v>40.176000000000002</v>
      </c>
      <c r="G172" s="20">
        <v>44.4</v>
      </c>
      <c r="H172" s="20">
        <f t="shared" si="4"/>
        <v>35.135750000000002</v>
      </c>
      <c r="I172" s="5"/>
      <c r="J172" s="19">
        <v>206.88650000000001</v>
      </c>
      <c r="K172" s="20">
        <v>34.422400000000003</v>
      </c>
      <c r="L172" s="20">
        <v>41.671500000000002</v>
      </c>
      <c r="M172" s="20">
        <v>41.146000000000001</v>
      </c>
      <c r="N172" s="20">
        <v>40.210700000000003</v>
      </c>
      <c r="O172" s="20">
        <f t="shared" si="5"/>
        <v>36.1689875</v>
      </c>
      <c r="P172" s="7"/>
      <c r="Q172" s="13"/>
      <c r="R172" s="14"/>
      <c r="S172" s="14"/>
      <c r="T172" s="27"/>
      <c r="U172" s="28">
        <f t="shared" si="3"/>
        <v>-9.4353603603603509E-2</v>
      </c>
    </row>
    <row r="173" spans="2:21" hidden="1" x14ac:dyDescent="0.25">
      <c r="B173" s="6" t="s">
        <v>125</v>
      </c>
      <c r="C173" s="15">
        <v>1283.6600000000001</v>
      </c>
      <c r="D173" s="16">
        <v>43.963000000000001</v>
      </c>
      <c r="E173" s="16">
        <v>48.707000000000001</v>
      </c>
      <c r="F173" s="16">
        <v>47.776000000000003</v>
      </c>
      <c r="G173" s="16">
        <v>29.69</v>
      </c>
      <c r="H173" s="16">
        <f t="shared" si="4"/>
        <v>45.032625000000003</v>
      </c>
      <c r="I173" s="5"/>
      <c r="J173" s="15">
        <v>1027.836</v>
      </c>
      <c r="K173" s="16">
        <v>43.526000000000003</v>
      </c>
      <c r="L173" s="16">
        <v>48.0107</v>
      </c>
      <c r="M173" s="16">
        <v>47.206299999999999</v>
      </c>
      <c r="N173" s="16">
        <v>19.9879</v>
      </c>
      <c r="O173" s="16">
        <f t="shared" si="5"/>
        <v>44.546624999999999</v>
      </c>
      <c r="P173" s="7"/>
      <c r="Q173" s="8">
        <f>bdrate(C173:C176,D173:D176,J173:J176,K173:K176)</f>
        <v>-0.24128572736277765</v>
      </c>
      <c r="R173" s="8">
        <f>bdrate(C173:C176,E173:E176,J173:J176,L173:L176)</f>
        <v>-0.1536374132295153</v>
      </c>
      <c r="S173" s="8">
        <f>bdrate(C173:C176,F173:F176,J173:J176,M173:M176)</f>
        <v>-0.20129772137400548</v>
      </c>
      <c r="T173" s="25">
        <f>bdrate(C173:C176,H173:H176,J173:J176,O173:O176)</f>
        <v>-0.22856643321259029</v>
      </c>
      <c r="U173" s="28">
        <f t="shared" si="3"/>
        <v>-0.32678006062647358</v>
      </c>
    </row>
    <row r="174" spans="2:21" hidden="1" x14ac:dyDescent="0.25">
      <c r="B174" s="9"/>
      <c r="C174" s="17">
        <v>772.07</v>
      </c>
      <c r="D174" s="18">
        <v>41.917999999999999</v>
      </c>
      <c r="E174" s="18">
        <v>47.116999999999997</v>
      </c>
      <c r="F174" s="18">
        <v>46.08</v>
      </c>
      <c r="G174" s="18">
        <v>34.58</v>
      </c>
      <c r="H174" s="18">
        <f t="shared" si="4"/>
        <v>43.088124999999998</v>
      </c>
      <c r="I174" s="5"/>
      <c r="J174" s="17">
        <v>615.67370000000005</v>
      </c>
      <c r="K174" s="18">
        <v>41.8459</v>
      </c>
      <c r="L174" s="18">
        <v>46.675600000000003</v>
      </c>
      <c r="M174" s="18">
        <v>45.832900000000002</v>
      </c>
      <c r="N174" s="18">
        <v>25.713200000000001</v>
      </c>
      <c r="O174" s="18">
        <f t="shared" si="5"/>
        <v>42.947987499999996</v>
      </c>
      <c r="P174" s="7"/>
      <c r="Q174" s="10"/>
      <c r="R174" s="11"/>
      <c r="S174" s="11"/>
      <c r="T174" s="26"/>
      <c r="U174" s="28">
        <f t="shared" si="3"/>
        <v>-0.25641411220358584</v>
      </c>
    </row>
    <row r="175" spans="2:21" hidden="1" x14ac:dyDescent="0.25">
      <c r="B175" s="9"/>
      <c r="C175" s="17">
        <v>516.11</v>
      </c>
      <c r="D175" s="18">
        <v>40.173999999999999</v>
      </c>
      <c r="E175" s="18">
        <v>45.731000000000002</v>
      </c>
      <c r="F175" s="18">
        <v>44.625</v>
      </c>
      <c r="G175" s="18">
        <v>39.35</v>
      </c>
      <c r="H175" s="18">
        <f t="shared" si="4"/>
        <v>41.424999999999997</v>
      </c>
      <c r="I175" s="5"/>
      <c r="J175" s="17">
        <v>410.23059999999998</v>
      </c>
      <c r="K175" s="18">
        <v>40.443100000000001</v>
      </c>
      <c r="L175" s="18">
        <v>45.572600000000001</v>
      </c>
      <c r="M175" s="18">
        <v>44.684899999999999</v>
      </c>
      <c r="N175" s="18">
        <v>31.550899999999999</v>
      </c>
      <c r="O175" s="18">
        <f t="shared" si="5"/>
        <v>41.614512500000004</v>
      </c>
      <c r="P175" s="7"/>
      <c r="Q175" s="10"/>
      <c r="R175" s="11"/>
      <c r="S175" s="11"/>
      <c r="T175" s="26"/>
      <c r="U175" s="28">
        <f t="shared" si="3"/>
        <v>-0.19819822109275737</v>
      </c>
    </row>
    <row r="176" spans="2:21" ht="16.5" hidden="1" thickBot="1" x14ac:dyDescent="0.3">
      <c r="B176" s="12"/>
      <c r="C176" s="19">
        <v>260.44</v>
      </c>
      <c r="D176" s="20">
        <v>36.616</v>
      </c>
      <c r="E176" s="20">
        <v>43.128999999999998</v>
      </c>
      <c r="F176" s="20">
        <v>41.953000000000003</v>
      </c>
      <c r="G176" s="20">
        <v>49.39</v>
      </c>
      <c r="H176" s="20">
        <f t="shared" si="4"/>
        <v>38.097250000000003</v>
      </c>
      <c r="I176" s="5"/>
      <c r="J176" s="19">
        <v>203.92420000000001</v>
      </c>
      <c r="K176" s="20">
        <v>37.636499999999998</v>
      </c>
      <c r="L176" s="20">
        <v>43.453400000000002</v>
      </c>
      <c r="M176" s="20">
        <v>42.465600000000002</v>
      </c>
      <c r="N176" s="20">
        <v>44.651000000000003</v>
      </c>
      <c r="O176" s="20">
        <f t="shared" si="5"/>
        <v>38.96725</v>
      </c>
      <c r="P176" s="7"/>
      <c r="Q176" s="13"/>
      <c r="R176" s="14"/>
      <c r="S176" s="14"/>
      <c r="T176" s="27"/>
      <c r="U176" s="28">
        <f t="shared" si="3"/>
        <v>-9.5950597286900127E-2</v>
      </c>
    </row>
    <row r="177" spans="2:21" hidden="1" x14ac:dyDescent="0.25">
      <c r="B177" s="6" t="s">
        <v>126</v>
      </c>
      <c r="C177" s="15">
        <v>2046.78</v>
      </c>
      <c r="D177" s="16">
        <v>37.689</v>
      </c>
      <c r="E177" s="16">
        <v>44.091000000000001</v>
      </c>
      <c r="F177" s="16">
        <v>44.860999999999997</v>
      </c>
      <c r="G177" s="16">
        <v>10.46</v>
      </c>
      <c r="H177" s="16">
        <f t="shared" si="4"/>
        <v>39.385750000000002</v>
      </c>
      <c r="I177" s="5"/>
      <c r="J177" s="15">
        <v>1543.2324000000001</v>
      </c>
      <c r="K177" s="16">
        <v>37.467500000000001</v>
      </c>
      <c r="L177" s="16">
        <v>43.352200000000003</v>
      </c>
      <c r="M177" s="16">
        <v>44.031100000000002</v>
      </c>
      <c r="N177" s="16">
        <v>8.6323000000000008</v>
      </c>
      <c r="O177" s="16">
        <f t="shared" si="5"/>
        <v>39.023537499999996</v>
      </c>
      <c r="P177" s="7"/>
      <c r="Q177" s="8">
        <f>bdrate(C177:C180,D177:D180,J177:J180,K177:K180)</f>
        <v>-0.34256174880123047</v>
      </c>
      <c r="R177" s="8">
        <f>bdrate(C177:C180,E177:E180,J177:J180,L177:L180)</f>
        <v>-0.16789661972390035</v>
      </c>
      <c r="S177" s="8">
        <f>bdrate(C177:C180,F177:F180,J177:J180,M177:M180)</f>
        <v>-0.16694161975879218</v>
      </c>
      <c r="T177" s="25">
        <f>bdrate(C177:C180,H177:H180,J177:J180,O177:O180)</f>
        <v>-0.31798670955406083</v>
      </c>
      <c r="U177" s="28">
        <f t="shared" si="3"/>
        <v>-0.17473231357552582</v>
      </c>
    </row>
    <row r="178" spans="2:21" hidden="1" x14ac:dyDescent="0.25">
      <c r="B178" s="9"/>
      <c r="C178" s="17">
        <v>1363.37</v>
      </c>
      <c r="D178" s="18">
        <v>35.664999999999999</v>
      </c>
      <c r="E178" s="18">
        <v>42.807000000000002</v>
      </c>
      <c r="F178" s="18">
        <v>43.58</v>
      </c>
      <c r="G178" s="18">
        <v>11.78</v>
      </c>
      <c r="H178" s="18">
        <f t="shared" si="4"/>
        <v>37.547125000000001</v>
      </c>
      <c r="I178" s="5"/>
      <c r="J178" s="17">
        <v>1027.4645</v>
      </c>
      <c r="K178" s="18">
        <v>35.852200000000003</v>
      </c>
      <c r="L178" s="18">
        <v>42.307000000000002</v>
      </c>
      <c r="M178" s="18">
        <v>43.022799999999997</v>
      </c>
      <c r="N178" s="18">
        <v>10.556699999999999</v>
      </c>
      <c r="O178" s="18">
        <f t="shared" si="5"/>
        <v>37.555375000000005</v>
      </c>
      <c r="P178" s="7"/>
      <c r="Q178" s="10"/>
      <c r="R178" s="11"/>
      <c r="S178" s="11"/>
      <c r="T178" s="26"/>
      <c r="U178" s="28">
        <f t="shared" si="3"/>
        <v>-0.10384550084889645</v>
      </c>
    </row>
    <row r="179" spans="2:21" hidden="1" x14ac:dyDescent="0.25">
      <c r="B179" s="9"/>
      <c r="C179" s="17">
        <v>817.6</v>
      </c>
      <c r="D179" s="18">
        <v>32.994</v>
      </c>
      <c r="E179" s="18">
        <v>41.332999999999998</v>
      </c>
      <c r="F179" s="18">
        <v>42.082000000000001</v>
      </c>
      <c r="G179" s="18">
        <v>13.88</v>
      </c>
      <c r="H179" s="18">
        <f t="shared" si="4"/>
        <v>35.172375000000002</v>
      </c>
      <c r="I179" s="5"/>
      <c r="J179" s="17">
        <v>615.69899999999996</v>
      </c>
      <c r="K179" s="18">
        <v>33.812199999999997</v>
      </c>
      <c r="L179" s="18">
        <v>41.084099999999999</v>
      </c>
      <c r="M179" s="18">
        <v>41.849499999999999</v>
      </c>
      <c r="N179" s="18">
        <v>13.2593</v>
      </c>
      <c r="O179" s="18">
        <f t="shared" si="5"/>
        <v>35.725850000000001</v>
      </c>
      <c r="P179" s="7"/>
      <c r="Q179" s="10"/>
      <c r="R179" s="11"/>
      <c r="S179" s="11"/>
      <c r="T179" s="26"/>
      <c r="U179" s="28">
        <f t="shared" si="3"/>
        <v>-4.4719020172910739E-2</v>
      </c>
    </row>
    <row r="180" spans="2:21" ht="16.5" hidden="1" thickBot="1" x14ac:dyDescent="0.3">
      <c r="B180" s="12"/>
      <c r="C180" s="19">
        <v>410.53</v>
      </c>
      <c r="D180" s="20">
        <v>28.696000000000002</v>
      </c>
      <c r="E180" s="20">
        <v>39.317</v>
      </c>
      <c r="F180" s="20">
        <v>40.052999999999997</v>
      </c>
      <c r="G180" s="20">
        <v>17.440000000000001</v>
      </c>
      <c r="H180" s="20">
        <f t="shared" si="4"/>
        <v>31.443250000000003</v>
      </c>
      <c r="I180" s="5"/>
      <c r="J180" s="19">
        <v>307.67039999999997</v>
      </c>
      <c r="K180" s="20">
        <v>31.0534</v>
      </c>
      <c r="L180" s="20">
        <v>39.563400000000001</v>
      </c>
      <c r="M180" s="20">
        <v>40.386499999999998</v>
      </c>
      <c r="N180" s="20">
        <v>18.351299999999998</v>
      </c>
      <c r="O180" s="20">
        <f t="shared" si="5"/>
        <v>33.283787500000003</v>
      </c>
      <c r="P180" s="7"/>
      <c r="Q180" s="13"/>
      <c r="R180" s="14"/>
      <c r="S180" s="14"/>
      <c r="T180" s="27"/>
      <c r="U180" s="28">
        <f t="shared" si="3"/>
        <v>5.2253440366972305E-2</v>
      </c>
    </row>
    <row r="181" spans="2:21" hidden="1" x14ac:dyDescent="0.25">
      <c r="B181" s="6" t="s">
        <v>127</v>
      </c>
      <c r="C181" s="15">
        <v>2185.73</v>
      </c>
      <c r="D181" s="16">
        <v>36.033000000000001</v>
      </c>
      <c r="E181" s="16">
        <v>41.603999999999999</v>
      </c>
      <c r="F181" s="16">
        <v>39.860999999999997</v>
      </c>
      <c r="G181" s="16">
        <v>11.7</v>
      </c>
      <c r="H181" s="16">
        <f t="shared" si="4"/>
        <v>37.207875000000001</v>
      </c>
      <c r="I181" s="5"/>
      <c r="J181" s="15">
        <v>1543.3393000000001</v>
      </c>
      <c r="K181" s="16">
        <v>34.967300000000002</v>
      </c>
      <c r="L181" s="16">
        <v>40.232399999999998</v>
      </c>
      <c r="M181" s="16">
        <v>38.3688</v>
      </c>
      <c r="N181" s="16">
        <v>8.2363</v>
      </c>
      <c r="O181" s="16">
        <f t="shared" si="5"/>
        <v>36.050625000000004</v>
      </c>
      <c r="P181" s="7"/>
      <c r="Q181" s="8">
        <f>bdrate(C181:C184,D181:D184,J181:J184,K181:K184)</f>
        <v>-0.28462979173894476</v>
      </c>
      <c r="R181" s="8">
        <f>bdrate(C181:C184,E181:E184,J181:J184,L181:L184)</f>
        <v>-1.7341451480688885E-2</v>
      </c>
      <c r="S181" s="8">
        <f>bdrate(C181:C184,F181:F184,J181:J184,M181:M184)</f>
        <v>-2.9643736710300295E-2</v>
      </c>
      <c r="T181" s="25">
        <f>bdrate(C181:C184,H181:H184,J181:J184,O181:O184)</f>
        <v>-0.24233696083787037</v>
      </c>
      <c r="U181" s="28">
        <f t="shared" si="3"/>
        <v>-0.29604273504273498</v>
      </c>
    </row>
    <row r="182" spans="2:21" hidden="1" x14ac:dyDescent="0.25">
      <c r="B182" s="9"/>
      <c r="C182" s="17">
        <v>1453.9</v>
      </c>
      <c r="D182" s="18">
        <v>33.840000000000003</v>
      </c>
      <c r="E182" s="18">
        <v>40.295000000000002</v>
      </c>
      <c r="F182" s="18">
        <v>38.433</v>
      </c>
      <c r="G182" s="18">
        <v>13.1</v>
      </c>
      <c r="H182" s="18">
        <f t="shared" si="4"/>
        <v>35.221000000000004</v>
      </c>
      <c r="I182" s="5"/>
      <c r="J182" s="17">
        <v>1027.8963000000001</v>
      </c>
      <c r="K182" s="18">
        <v>33.227499999999999</v>
      </c>
      <c r="L182" s="18">
        <v>38.992100000000001</v>
      </c>
      <c r="M182" s="18">
        <v>36.957900000000002</v>
      </c>
      <c r="N182" s="18">
        <v>9.8649000000000004</v>
      </c>
      <c r="O182" s="18">
        <f t="shared" si="5"/>
        <v>34.414375</v>
      </c>
      <c r="P182" s="7"/>
      <c r="Q182" s="10"/>
      <c r="R182" s="11"/>
      <c r="S182" s="11"/>
      <c r="T182" s="26"/>
      <c r="U182" s="28">
        <f t="shared" si="3"/>
        <v>-0.2469541984732824</v>
      </c>
    </row>
    <row r="183" spans="2:21" hidden="1" x14ac:dyDescent="0.25">
      <c r="B183" s="9"/>
      <c r="C183" s="17">
        <v>871.1</v>
      </c>
      <c r="D183" s="18">
        <v>31.161999999999999</v>
      </c>
      <c r="E183" s="18">
        <v>38.628</v>
      </c>
      <c r="F183" s="18">
        <v>36.548999999999999</v>
      </c>
      <c r="G183" s="18">
        <v>15.07</v>
      </c>
      <c r="H183" s="18">
        <f t="shared" si="4"/>
        <v>32.768624999999993</v>
      </c>
      <c r="I183" s="5"/>
      <c r="J183" s="17">
        <v>616.04579999999999</v>
      </c>
      <c r="K183" s="18">
        <v>31.255700000000001</v>
      </c>
      <c r="L183" s="18">
        <v>37.557699999999997</v>
      </c>
      <c r="M183" s="18">
        <v>35.289200000000001</v>
      </c>
      <c r="N183" s="18">
        <v>12.6008</v>
      </c>
      <c r="O183" s="18">
        <f t="shared" si="5"/>
        <v>32.5476375</v>
      </c>
      <c r="P183" s="7"/>
      <c r="Q183" s="10"/>
      <c r="R183" s="11"/>
      <c r="S183" s="11"/>
      <c r="T183" s="26"/>
      <c r="U183" s="28">
        <f t="shared" si="3"/>
        <v>-0.16384870603848711</v>
      </c>
    </row>
    <row r="184" spans="2:21" ht="16.5" hidden="1" thickBot="1" x14ac:dyDescent="0.3">
      <c r="B184" s="12"/>
      <c r="C184" s="19">
        <v>436.77</v>
      </c>
      <c r="D184" s="20">
        <v>27.56</v>
      </c>
      <c r="E184" s="20">
        <v>36.142000000000003</v>
      </c>
      <c r="F184" s="20">
        <v>33.459000000000003</v>
      </c>
      <c r="G184" s="20">
        <v>18.73</v>
      </c>
      <c r="H184" s="20">
        <f t="shared" si="4"/>
        <v>29.370124999999998</v>
      </c>
      <c r="I184" s="5"/>
      <c r="J184" s="19">
        <v>307.51620000000003</v>
      </c>
      <c r="K184" s="20">
        <v>28.963799999999999</v>
      </c>
      <c r="L184" s="20">
        <v>35.886899999999997</v>
      </c>
      <c r="M184" s="20">
        <v>33.2605</v>
      </c>
      <c r="N184" s="20">
        <v>17.797000000000001</v>
      </c>
      <c r="O184" s="20">
        <f t="shared" si="5"/>
        <v>30.366275000000002</v>
      </c>
      <c r="P184" s="7"/>
      <c r="Q184" s="13"/>
      <c r="R184" s="14"/>
      <c r="S184" s="14"/>
      <c r="T184" s="27"/>
      <c r="U184" s="28">
        <f t="shared" si="3"/>
        <v>-4.9813134009610238E-2</v>
      </c>
    </row>
    <row r="185" spans="2:21" hidden="1" x14ac:dyDescent="0.25">
      <c r="B185" s="6" t="s">
        <v>128</v>
      </c>
      <c r="C185" s="15">
        <v>2142.2399999999998</v>
      </c>
      <c r="D185" s="16">
        <v>40.064</v>
      </c>
      <c r="E185" s="16">
        <v>46.701999999999998</v>
      </c>
      <c r="F185" s="16">
        <v>46.579000000000001</v>
      </c>
      <c r="G185" s="16">
        <v>10.130000000000001</v>
      </c>
      <c r="H185" s="16">
        <f t="shared" si="4"/>
        <v>41.708125000000003</v>
      </c>
      <c r="I185" s="5"/>
      <c r="J185" s="15">
        <v>1543.8479</v>
      </c>
      <c r="K185" s="16">
        <v>39.639800000000001</v>
      </c>
      <c r="L185" s="16">
        <v>46.3187</v>
      </c>
      <c r="M185" s="16">
        <v>46.135199999999998</v>
      </c>
      <c r="N185" s="16">
        <v>7.6688000000000001</v>
      </c>
      <c r="O185" s="16">
        <f t="shared" si="5"/>
        <v>41.286587499999996</v>
      </c>
      <c r="P185" s="7"/>
      <c r="Q185" s="8">
        <f>bdrate(C185:C188,D185:D188,J185:J188,K185:K188)</f>
        <v>-0.34722598183788633</v>
      </c>
      <c r="R185" s="8">
        <f>bdrate(C185:C188,E185:E188,J185:J188,L185:L188)</f>
        <v>-0.35083440522737264</v>
      </c>
      <c r="S185" s="8">
        <f>bdrate(C185:C188,F185:F188,J185:J188,M185:M188)</f>
        <v>-0.33135607734274986</v>
      </c>
      <c r="T185" s="25">
        <f>bdrate(C185:C188,H185:H188,J185:J188,O185:O188)</f>
        <v>-0.34602198484571345</v>
      </c>
      <c r="U185" s="28">
        <f t="shared" si="3"/>
        <v>-0.24296150049358348</v>
      </c>
    </row>
    <row r="186" spans="2:21" hidden="1" x14ac:dyDescent="0.25">
      <c r="B186" s="9"/>
      <c r="C186" s="17">
        <v>1430.21</v>
      </c>
      <c r="D186" s="18">
        <v>38.600999999999999</v>
      </c>
      <c r="E186" s="18">
        <v>45.417000000000002</v>
      </c>
      <c r="F186" s="18">
        <v>45.247</v>
      </c>
      <c r="G186" s="18">
        <v>11.5</v>
      </c>
      <c r="H186" s="18">
        <f t="shared" si="4"/>
        <v>40.283750000000005</v>
      </c>
      <c r="I186" s="5"/>
      <c r="J186" s="17">
        <v>1027.0537999999999</v>
      </c>
      <c r="K186" s="18">
        <v>38.472200000000001</v>
      </c>
      <c r="L186" s="18">
        <v>45.368499999999997</v>
      </c>
      <c r="M186" s="18">
        <v>45.118200000000002</v>
      </c>
      <c r="N186" s="18">
        <v>9.3489000000000004</v>
      </c>
      <c r="O186" s="18">
        <f t="shared" si="5"/>
        <v>40.164987500000002</v>
      </c>
      <c r="P186" s="7"/>
      <c r="Q186" s="10"/>
      <c r="R186" s="11"/>
      <c r="S186" s="11"/>
      <c r="T186" s="26"/>
      <c r="U186" s="28">
        <f t="shared" si="3"/>
        <v>-0.18705217391304343</v>
      </c>
    </row>
    <row r="187" spans="2:21" hidden="1" x14ac:dyDescent="0.25">
      <c r="B187" s="9"/>
      <c r="C187" s="17">
        <v>862.98</v>
      </c>
      <c r="D187" s="18">
        <v>36.4</v>
      </c>
      <c r="E187" s="18">
        <v>43.62</v>
      </c>
      <c r="F187" s="18">
        <v>43.369</v>
      </c>
      <c r="G187" s="18">
        <v>13.65</v>
      </c>
      <c r="H187" s="18">
        <f t="shared" si="4"/>
        <v>38.173625000000001</v>
      </c>
      <c r="I187" s="5"/>
      <c r="J187" s="17">
        <v>615.12639999999999</v>
      </c>
      <c r="K187" s="18">
        <v>36.8626</v>
      </c>
      <c r="L187" s="18">
        <v>44.036900000000003</v>
      </c>
      <c r="M187" s="18">
        <v>43.692799999999998</v>
      </c>
      <c r="N187" s="18">
        <v>12.317299999999999</v>
      </c>
      <c r="O187" s="18">
        <f t="shared" si="5"/>
        <v>38.613162499999994</v>
      </c>
      <c r="P187" s="7"/>
      <c r="Q187" s="10"/>
      <c r="R187" s="11"/>
      <c r="S187" s="11"/>
      <c r="T187" s="26"/>
      <c r="U187" s="28">
        <f t="shared" si="3"/>
        <v>-9.7633699633699694E-2</v>
      </c>
    </row>
    <row r="188" spans="2:21" ht="16.5" hidden="1" thickBot="1" x14ac:dyDescent="0.3">
      <c r="B188" s="12"/>
      <c r="C188" s="19">
        <v>433.71</v>
      </c>
      <c r="D188" s="20">
        <v>32.320999999999998</v>
      </c>
      <c r="E188" s="20">
        <v>40.905000000000001</v>
      </c>
      <c r="F188" s="20">
        <v>40.612000000000002</v>
      </c>
      <c r="G188" s="20">
        <v>16.95</v>
      </c>
      <c r="H188" s="20">
        <f t="shared" si="4"/>
        <v>34.430374999999998</v>
      </c>
      <c r="I188" s="5"/>
      <c r="J188" s="19">
        <v>306.19049999999999</v>
      </c>
      <c r="K188" s="20">
        <v>34.400700000000001</v>
      </c>
      <c r="L188" s="20">
        <v>42.142299999999999</v>
      </c>
      <c r="M188" s="20">
        <v>41.641399999999997</v>
      </c>
      <c r="N188" s="20">
        <v>17.591899999999999</v>
      </c>
      <c r="O188" s="20">
        <f t="shared" si="5"/>
        <v>36.273487500000002</v>
      </c>
      <c r="P188" s="7"/>
      <c r="Q188" s="13"/>
      <c r="R188" s="14"/>
      <c r="S188" s="14"/>
      <c r="T188" s="27"/>
      <c r="U188" s="28">
        <f t="shared" si="3"/>
        <v>3.7870206489675498E-2</v>
      </c>
    </row>
    <row r="189" spans="2:21" hidden="1" x14ac:dyDescent="0.25">
      <c r="B189" s="6" t="s">
        <v>129</v>
      </c>
      <c r="C189" s="29">
        <v>2095.8200000000002</v>
      </c>
      <c r="D189" s="30">
        <v>46.701999999999998</v>
      </c>
      <c r="E189" s="30">
        <v>51.645000000000003</v>
      </c>
      <c r="F189" s="30">
        <v>51.484000000000002</v>
      </c>
      <c r="G189" s="16">
        <v>11.98</v>
      </c>
      <c r="H189" s="16">
        <f t="shared" si="4"/>
        <v>47.917624999999994</v>
      </c>
      <c r="I189" s="5"/>
      <c r="J189" s="29">
        <v>1538.2013999999999</v>
      </c>
      <c r="K189" s="30">
        <v>46.582999999999998</v>
      </c>
      <c r="L189" s="30">
        <v>51.334899999999998</v>
      </c>
      <c r="M189" s="30">
        <v>51.1462</v>
      </c>
      <c r="N189" s="16">
        <v>10.229799999999999</v>
      </c>
      <c r="O189" s="16">
        <f t="shared" si="5"/>
        <v>47.747387500000002</v>
      </c>
      <c r="P189" s="7"/>
      <c r="Q189" s="8">
        <f>bdrate(C189:C192,D189:D192,J189:J192,K189:K192)</f>
        <v>-0.36865385220045599</v>
      </c>
      <c r="R189" s="8">
        <f>bdrate(C189:C192,E189:E192,J189:J192,L189:L192)</f>
        <v>-0.38097502574635589</v>
      </c>
      <c r="S189" s="8">
        <f>bdrate(C189:C192,F189:F192,J189:J192,M189:M192)</f>
        <v>-0.35501101752274655</v>
      </c>
      <c r="T189" s="25">
        <f>bdrate(C189:C192,H189:H192,J189:J192,O189:O192)</f>
        <v>-0.36894953283516263</v>
      </c>
      <c r="U189" s="28">
        <f t="shared" si="3"/>
        <v>-0.14609348914858108</v>
      </c>
    </row>
    <row r="190" spans="2:21" hidden="1" x14ac:dyDescent="0.25">
      <c r="B190" s="9"/>
      <c r="C190" s="31">
        <v>1400.78</v>
      </c>
      <c r="D190" s="32">
        <v>45.857999999999997</v>
      </c>
      <c r="E190" s="32">
        <v>50.847999999999999</v>
      </c>
      <c r="F190" s="32">
        <v>50.731000000000002</v>
      </c>
      <c r="G190" s="18">
        <v>13.86</v>
      </c>
      <c r="H190" s="18">
        <f t="shared" si="4"/>
        <v>47.090874999999997</v>
      </c>
      <c r="I190" s="5"/>
      <c r="J190" s="31">
        <v>1023.4727</v>
      </c>
      <c r="K190" s="32">
        <v>45.924500000000002</v>
      </c>
      <c r="L190" s="32">
        <v>50.788800000000002</v>
      </c>
      <c r="M190" s="32">
        <v>50.640900000000002</v>
      </c>
      <c r="N190" s="18">
        <v>12.8193</v>
      </c>
      <c r="O190" s="18">
        <f t="shared" si="5"/>
        <v>47.122087499999999</v>
      </c>
      <c r="P190" s="7"/>
      <c r="Q190" s="10"/>
      <c r="R190" s="11"/>
      <c r="S190" s="11"/>
      <c r="T190" s="26"/>
      <c r="U190" s="28">
        <f t="shared" si="3"/>
        <v>-7.5086580086580035E-2</v>
      </c>
    </row>
    <row r="191" spans="2:21" hidden="1" x14ac:dyDescent="0.25">
      <c r="B191" s="9"/>
      <c r="C191" s="31">
        <v>844.42</v>
      </c>
      <c r="D191" s="32">
        <v>44.667999999999999</v>
      </c>
      <c r="E191" s="32">
        <v>49.694000000000003</v>
      </c>
      <c r="F191" s="32">
        <v>49.804000000000002</v>
      </c>
      <c r="G191" s="18">
        <v>16.61</v>
      </c>
      <c r="H191" s="18">
        <f t="shared" si="4"/>
        <v>45.938249999999996</v>
      </c>
      <c r="I191" s="5"/>
      <c r="J191" s="31">
        <v>611.42259999999999</v>
      </c>
      <c r="K191" s="32">
        <v>45.0319</v>
      </c>
      <c r="L191" s="32">
        <v>50.136099999999999</v>
      </c>
      <c r="M191" s="32">
        <v>50.091700000000003</v>
      </c>
      <c r="N191" s="18">
        <v>17.117899999999999</v>
      </c>
      <c r="O191" s="18">
        <f t="shared" si="5"/>
        <v>46.302399999999999</v>
      </c>
      <c r="P191" s="7"/>
      <c r="Q191" s="10"/>
      <c r="R191" s="11"/>
      <c r="S191" s="11"/>
      <c r="T191" s="26"/>
      <c r="U191" s="28">
        <f t="shared" si="3"/>
        <v>3.05779650812763E-2</v>
      </c>
    </row>
    <row r="192" spans="2:21" ht="16.5" hidden="1" thickBot="1" x14ac:dyDescent="0.3">
      <c r="B192" s="12"/>
      <c r="C192" s="33">
        <v>424.64</v>
      </c>
      <c r="D192" s="34">
        <v>42.329000000000001</v>
      </c>
      <c r="E192" s="34">
        <v>47.463000000000001</v>
      </c>
      <c r="F192" s="34">
        <v>48.164000000000001</v>
      </c>
      <c r="G192" s="20">
        <v>21.67</v>
      </c>
      <c r="H192" s="20">
        <f t="shared" si="4"/>
        <v>43.700125</v>
      </c>
      <c r="I192" s="5"/>
      <c r="J192" s="33">
        <v>299.46879999999999</v>
      </c>
      <c r="K192" s="34">
        <v>43.509300000000003</v>
      </c>
      <c r="L192" s="34">
        <v>48.957599999999999</v>
      </c>
      <c r="M192" s="34">
        <v>49.152500000000003</v>
      </c>
      <c r="N192" s="20">
        <v>26.4237</v>
      </c>
      <c r="O192" s="20">
        <f t="shared" si="5"/>
        <v>44.89573750000001</v>
      </c>
      <c r="P192" s="7"/>
      <c r="Q192" s="13"/>
      <c r="R192" s="14"/>
      <c r="S192" s="14"/>
      <c r="T192" s="27"/>
      <c r="U192" s="28">
        <f t="shared" si="3"/>
        <v>0.21936778957083516</v>
      </c>
    </row>
    <row r="193" spans="1:21" hidden="1" x14ac:dyDescent="0.25">
      <c r="A193" s="6" t="s">
        <v>100</v>
      </c>
      <c r="B193" s="6" t="s">
        <v>77</v>
      </c>
      <c r="C193" s="15">
        <v>979.71</v>
      </c>
      <c r="D193" s="16">
        <v>41.308999999999997</v>
      </c>
      <c r="E193" s="16">
        <v>45.47</v>
      </c>
      <c r="F193" s="16">
        <v>46.042999999999999</v>
      </c>
      <c r="G193" s="16">
        <v>43.54</v>
      </c>
      <c r="H193" s="16">
        <f t="shared" si="4"/>
        <v>42.420874999999995</v>
      </c>
      <c r="I193" s="5"/>
      <c r="J193" s="15">
        <v>840.97500000000002</v>
      </c>
      <c r="K193" s="16">
        <v>41.228000000000002</v>
      </c>
      <c r="L193" s="16">
        <v>45.611400000000003</v>
      </c>
      <c r="M193" s="16">
        <v>46.134300000000003</v>
      </c>
      <c r="N193" s="16">
        <v>22.414000000000001</v>
      </c>
      <c r="O193" s="16">
        <f t="shared" si="5"/>
        <v>42.389212499999999</v>
      </c>
      <c r="P193" s="7"/>
      <c r="Q193" s="8">
        <f>bdrate(C193:C196,D193:D196,J193:J196,K193:K196)</f>
        <v>-0.19678450140036574</v>
      </c>
      <c r="R193" s="8">
        <f>bdrate(C193:C196,E193:E196,J193:J196,L193:L196)</f>
        <v>-0.1819124868953137</v>
      </c>
      <c r="S193" s="8">
        <f>bdrate(C193:C196,F193:F196,J193:J196,M193:M196)</f>
        <v>-0.17715870872919526</v>
      </c>
      <c r="T193" s="25">
        <f>bdrate(C193:C196,H193:H196,J193:J196,O193:O196)</f>
        <v>-0.19395547062681162</v>
      </c>
      <c r="U193" s="28">
        <f t="shared" si="3"/>
        <v>-0.48520900321543403</v>
      </c>
    </row>
    <row r="194" spans="1:21" hidden="1" x14ac:dyDescent="0.25">
      <c r="A194" s="9"/>
      <c r="B194" s="9"/>
      <c r="C194" s="17">
        <v>613.89</v>
      </c>
      <c r="D194" s="18">
        <v>39.290999999999997</v>
      </c>
      <c r="E194" s="18">
        <v>43.837000000000003</v>
      </c>
      <c r="F194" s="18">
        <v>44.378</v>
      </c>
      <c r="G194" s="18">
        <v>49.12</v>
      </c>
      <c r="H194" s="18">
        <f t="shared" si="4"/>
        <v>40.495124999999994</v>
      </c>
      <c r="I194" s="5"/>
      <c r="J194" s="17">
        <v>525.00239999999997</v>
      </c>
      <c r="K194" s="18">
        <v>39.362099999999998</v>
      </c>
      <c r="L194" s="18">
        <v>44.002699999999997</v>
      </c>
      <c r="M194" s="18">
        <v>44.532499999999999</v>
      </c>
      <c r="N194" s="18">
        <v>28.145199999999999</v>
      </c>
      <c r="O194" s="18">
        <f t="shared" si="5"/>
        <v>40.588475000000003</v>
      </c>
      <c r="P194" s="7"/>
      <c r="Q194" s="10"/>
      <c r="R194" s="11"/>
      <c r="S194" s="11"/>
      <c r="T194" s="26"/>
      <c r="U194" s="28">
        <f t="shared" si="3"/>
        <v>-0.42701140065146581</v>
      </c>
    </row>
    <row r="195" spans="1:21" hidden="1" x14ac:dyDescent="0.25">
      <c r="B195" s="9"/>
      <c r="C195" s="17">
        <v>367.98</v>
      </c>
      <c r="D195" s="18">
        <v>36.927999999999997</v>
      </c>
      <c r="E195" s="18">
        <v>42.140999999999998</v>
      </c>
      <c r="F195" s="18">
        <v>42.619</v>
      </c>
      <c r="G195" s="18">
        <v>57.11</v>
      </c>
      <c r="H195" s="18">
        <f t="shared" si="4"/>
        <v>38.290999999999997</v>
      </c>
      <c r="I195" s="5"/>
      <c r="J195" s="17">
        <v>311.14139999999998</v>
      </c>
      <c r="K195" s="18">
        <v>37.186199999999999</v>
      </c>
      <c r="L195" s="18">
        <v>42.239899999999999</v>
      </c>
      <c r="M195" s="18">
        <v>42.729799999999997</v>
      </c>
      <c r="N195" s="18">
        <v>36.166400000000003</v>
      </c>
      <c r="O195" s="18">
        <f t="shared" si="5"/>
        <v>38.510862500000002</v>
      </c>
      <c r="P195" s="7"/>
      <c r="Q195" s="10"/>
      <c r="R195" s="11"/>
      <c r="S195" s="11"/>
      <c r="T195" s="26"/>
      <c r="U195" s="28">
        <f t="shared" si="3"/>
        <v>-0.36672386622307823</v>
      </c>
    </row>
    <row r="196" spans="1:21" ht="16.5" hidden="1" thickBot="1" x14ac:dyDescent="0.3">
      <c r="B196" s="12"/>
      <c r="C196" s="19">
        <v>184.77</v>
      </c>
      <c r="D196" s="20">
        <v>33.293999999999997</v>
      </c>
      <c r="E196" s="20">
        <v>39.887999999999998</v>
      </c>
      <c r="F196" s="20">
        <v>40.277000000000001</v>
      </c>
      <c r="G196" s="20">
        <v>72.44</v>
      </c>
      <c r="H196" s="20">
        <f t="shared" si="4"/>
        <v>34.991124999999997</v>
      </c>
      <c r="I196" s="5"/>
      <c r="J196" s="19">
        <v>153.29820000000001</v>
      </c>
      <c r="K196" s="20">
        <v>34.177199999999999</v>
      </c>
      <c r="L196" s="20">
        <v>39.947800000000001</v>
      </c>
      <c r="M196" s="20">
        <v>40.252299999999998</v>
      </c>
      <c r="N196" s="20">
        <v>50.377800000000001</v>
      </c>
      <c r="O196" s="20">
        <f t="shared" si="5"/>
        <v>35.657912500000002</v>
      </c>
      <c r="P196" s="7"/>
      <c r="Q196" s="13"/>
      <c r="R196" s="14"/>
      <c r="S196" s="14"/>
      <c r="T196" s="27"/>
      <c r="U196" s="28">
        <f t="shared" si="3"/>
        <v>-0.30455825510767531</v>
      </c>
    </row>
    <row r="197" spans="1:21" hidden="1" x14ac:dyDescent="0.25">
      <c r="B197" s="6" t="s">
        <v>78</v>
      </c>
      <c r="C197" s="15">
        <v>1018.29</v>
      </c>
      <c r="D197" s="16">
        <v>43.225999999999999</v>
      </c>
      <c r="E197" s="16">
        <v>47.47</v>
      </c>
      <c r="F197" s="16">
        <v>48.054000000000002</v>
      </c>
      <c r="G197" s="16">
        <v>64.099999999999994</v>
      </c>
      <c r="H197" s="16">
        <f t="shared" si="4"/>
        <v>44.36</v>
      </c>
      <c r="I197" s="5"/>
      <c r="J197" s="15">
        <v>848.99220000000003</v>
      </c>
      <c r="K197" s="16">
        <v>43.2836</v>
      </c>
      <c r="L197" s="16">
        <v>48.085599999999999</v>
      </c>
      <c r="M197" s="16">
        <v>48.663699999999999</v>
      </c>
      <c r="N197" s="16">
        <v>31.424299999999999</v>
      </c>
      <c r="O197" s="16">
        <f t="shared" si="5"/>
        <v>44.556362499999999</v>
      </c>
      <c r="P197" s="7"/>
      <c r="Q197" s="8">
        <f>bdrate(C197:C200,D197:D200,J197:J200,K197:K200)</f>
        <v>-0.23970493153183992</v>
      </c>
      <c r="R197" s="8">
        <f>bdrate(C197:C200,E197:E200,J197:J200,L197:L200)</f>
        <v>-0.36625521228050806</v>
      </c>
      <c r="S197" s="8">
        <f>bdrate(C197:C200,F197:F200,J197:J200,M197:M200)</f>
        <v>-0.36397721433757713</v>
      </c>
      <c r="T197" s="25">
        <f>bdrate(C197:C200,H197:H200,J197:J200,O197:O200)</f>
        <v>-0.26989210775627637</v>
      </c>
      <c r="U197" s="28">
        <f t="shared" si="3"/>
        <v>-0.50976131045241801</v>
      </c>
    </row>
    <row r="198" spans="1:21" hidden="1" x14ac:dyDescent="0.25">
      <c r="B198" s="9"/>
      <c r="C198" s="17">
        <v>633.57000000000005</v>
      </c>
      <c r="D198" s="18">
        <v>41.795000000000002</v>
      </c>
      <c r="E198" s="18">
        <v>46.136000000000003</v>
      </c>
      <c r="F198" s="18">
        <v>46.838000000000001</v>
      </c>
      <c r="G198" s="18">
        <v>74.540000000000006</v>
      </c>
      <c r="H198" s="18">
        <f t="shared" si="4"/>
        <v>42.968000000000004</v>
      </c>
      <c r="I198" s="5"/>
      <c r="J198" s="17">
        <v>529.13340000000005</v>
      </c>
      <c r="K198" s="18">
        <v>41.996400000000001</v>
      </c>
      <c r="L198" s="18">
        <v>46.954599999999999</v>
      </c>
      <c r="M198" s="18">
        <v>47.656999999999996</v>
      </c>
      <c r="N198" s="18">
        <v>40.958399999999997</v>
      </c>
      <c r="O198" s="18">
        <f t="shared" si="5"/>
        <v>43.323749999999997</v>
      </c>
      <c r="P198" s="7"/>
      <c r="Q198" s="10"/>
      <c r="R198" s="11"/>
      <c r="S198" s="11"/>
      <c r="T198" s="26"/>
      <c r="U198" s="28">
        <f t="shared" si="3"/>
        <v>-0.45051784276898316</v>
      </c>
    </row>
    <row r="199" spans="1:21" hidden="1" x14ac:dyDescent="0.25">
      <c r="B199" s="9"/>
      <c r="C199" s="17">
        <v>376.75</v>
      </c>
      <c r="D199" s="18">
        <v>39.968000000000004</v>
      </c>
      <c r="E199" s="18">
        <v>44.484000000000002</v>
      </c>
      <c r="F199" s="18">
        <v>45.37</v>
      </c>
      <c r="G199" s="18">
        <v>88.13</v>
      </c>
      <c r="H199" s="18">
        <f t="shared" si="4"/>
        <v>41.207750000000004</v>
      </c>
      <c r="I199" s="5"/>
      <c r="J199" s="17">
        <v>314.59559999999999</v>
      </c>
      <c r="K199" s="18">
        <v>40.349699999999999</v>
      </c>
      <c r="L199" s="18">
        <v>45.441200000000002</v>
      </c>
      <c r="M199" s="18">
        <v>46.194600000000001</v>
      </c>
      <c r="N199" s="18">
        <v>53.304900000000004</v>
      </c>
      <c r="O199" s="18">
        <f t="shared" si="5"/>
        <v>41.716749999999998</v>
      </c>
      <c r="P199" s="7"/>
      <c r="Q199" s="10"/>
      <c r="R199" s="11"/>
      <c r="S199" s="11"/>
      <c r="T199" s="26"/>
      <c r="U199" s="28">
        <f t="shared" si="3"/>
        <v>-0.3951560195166231</v>
      </c>
    </row>
    <row r="200" spans="1:21" ht="16.5" hidden="1" thickBot="1" x14ac:dyDescent="0.3">
      <c r="B200" s="12"/>
      <c r="C200" s="19">
        <v>185.64</v>
      </c>
      <c r="D200" s="20">
        <v>36.954000000000001</v>
      </c>
      <c r="E200" s="20">
        <v>42.15</v>
      </c>
      <c r="F200" s="20">
        <v>43.203000000000003</v>
      </c>
      <c r="G200" s="20">
        <v>107.3</v>
      </c>
      <c r="H200" s="20">
        <f t="shared" si="4"/>
        <v>38.384625</v>
      </c>
      <c r="I200" s="5"/>
      <c r="J200" s="19">
        <v>153.9186</v>
      </c>
      <c r="K200" s="20">
        <v>37.548400000000001</v>
      </c>
      <c r="L200" s="20">
        <v>42.809699999999999</v>
      </c>
      <c r="M200" s="20">
        <v>43.792099999999998</v>
      </c>
      <c r="N200" s="20">
        <v>76.321299999999994</v>
      </c>
      <c r="O200" s="20">
        <f t="shared" si="5"/>
        <v>38.986525</v>
      </c>
      <c r="P200" s="7"/>
      <c r="Q200" s="13"/>
      <c r="R200" s="14"/>
      <c r="S200" s="14"/>
      <c r="T200" s="27"/>
      <c r="U200" s="28">
        <f t="shared" si="3"/>
        <v>-0.28871109040074561</v>
      </c>
    </row>
    <row r="201" spans="1:21" hidden="1" x14ac:dyDescent="0.25">
      <c r="B201" s="6" t="s">
        <v>79</v>
      </c>
      <c r="C201" s="15">
        <v>1288.1099999999999</v>
      </c>
      <c r="D201" s="16">
        <v>41.378</v>
      </c>
      <c r="E201" s="16">
        <v>47.573</v>
      </c>
      <c r="F201" s="16">
        <v>47.293999999999997</v>
      </c>
      <c r="G201" s="16">
        <v>44.98</v>
      </c>
      <c r="H201" s="16">
        <f t="shared" si="4"/>
        <v>42.891874999999999</v>
      </c>
      <c r="I201" s="5"/>
      <c r="J201" s="15">
        <v>1030.0645999999999</v>
      </c>
      <c r="K201" s="16">
        <v>41.5139</v>
      </c>
      <c r="L201" s="16">
        <v>47.917200000000001</v>
      </c>
      <c r="M201" s="16">
        <v>47.494700000000002</v>
      </c>
      <c r="N201" s="16">
        <v>21.6751</v>
      </c>
      <c r="O201" s="16">
        <f t="shared" si="5"/>
        <v>43.061912499999998</v>
      </c>
      <c r="P201" s="7"/>
      <c r="Q201" s="8">
        <f>bdrate(C201:C204,D201:D204,J201:J204,K201:K204)</f>
        <v>-0.30682994007244591</v>
      </c>
      <c r="R201" s="8">
        <f>bdrate(C201:C204,E201:E204,J201:J204,L201:L204)</f>
        <v>-0.28123755388704841</v>
      </c>
      <c r="S201" s="8">
        <f>bdrate(C201:C204,F201:F204,J201:J204,M201:M204)</f>
        <v>-0.19559153989379274</v>
      </c>
      <c r="T201" s="25">
        <f>bdrate(C201:C204,H201:H204,J201:J204,O201:O204)</f>
        <v>-0.29822677466282654</v>
      </c>
      <c r="U201" s="28">
        <f t="shared" si="3"/>
        <v>-0.51811694086260551</v>
      </c>
    </row>
    <row r="202" spans="1:21" hidden="1" x14ac:dyDescent="0.25">
      <c r="B202" s="9"/>
      <c r="C202" s="17">
        <v>771.79</v>
      </c>
      <c r="D202" s="18">
        <v>40.401000000000003</v>
      </c>
      <c r="E202" s="18">
        <v>47.104999999999997</v>
      </c>
      <c r="F202" s="18">
        <v>46.933</v>
      </c>
      <c r="G202" s="18">
        <v>52.91</v>
      </c>
      <c r="H202" s="18">
        <f t="shared" si="4"/>
        <v>42.055500000000002</v>
      </c>
      <c r="I202" s="5"/>
      <c r="J202" s="17">
        <v>611.2011</v>
      </c>
      <c r="K202" s="18">
        <v>40.676200000000001</v>
      </c>
      <c r="L202" s="18">
        <v>47.360900000000001</v>
      </c>
      <c r="M202" s="18">
        <v>47.032200000000003</v>
      </c>
      <c r="N202" s="18">
        <v>29.2591</v>
      </c>
      <c r="O202" s="18">
        <f t="shared" si="5"/>
        <v>42.306287500000003</v>
      </c>
      <c r="P202" s="7"/>
      <c r="Q202" s="10"/>
      <c r="R202" s="11"/>
      <c r="S202" s="11"/>
      <c r="T202" s="26"/>
      <c r="U202" s="28">
        <f t="shared" si="3"/>
        <v>-0.44700245700245694</v>
      </c>
    </row>
    <row r="203" spans="1:21" hidden="1" x14ac:dyDescent="0.25">
      <c r="B203" s="9"/>
      <c r="C203" s="17">
        <v>513.52</v>
      </c>
      <c r="D203" s="18">
        <v>39.530999999999999</v>
      </c>
      <c r="E203" s="18">
        <v>46.661000000000001</v>
      </c>
      <c r="F203" s="18">
        <v>46.594000000000001</v>
      </c>
      <c r="G203" s="18">
        <v>59.08</v>
      </c>
      <c r="H203" s="18">
        <f t="shared" si="4"/>
        <v>41.305124999999997</v>
      </c>
      <c r="I203" s="5"/>
      <c r="J203" s="17">
        <v>406.0061</v>
      </c>
      <c r="K203" s="18">
        <v>39.857300000000002</v>
      </c>
      <c r="L203" s="18">
        <v>46.819600000000001</v>
      </c>
      <c r="M203" s="18">
        <v>46.563600000000001</v>
      </c>
      <c r="N203" s="18">
        <v>37.747700000000002</v>
      </c>
      <c r="O203" s="18">
        <f t="shared" si="5"/>
        <v>41.565874999999998</v>
      </c>
      <c r="P203" s="7"/>
      <c r="Q203" s="10"/>
      <c r="R203" s="11"/>
      <c r="S203" s="11"/>
      <c r="T203" s="26"/>
      <c r="U203" s="28">
        <f t="shared" si="3"/>
        <v>-0.36107481381178058</v>
      </c>
    </row>
    <row r="204" spans="1:21" ht="16.5" hidden="1" thickBot="1" x14ac:dyDescent="0.3">
      <c r="B204" s="12"/>
      <c r="C204" s="19">
        <v>255.27</v>
      </c>
      <c r="D204" s="20">
        <v>37.442999999999998</v>
      </c>
      <c r="E204" s="20">
        <v>45.475999999999999</v>
      </c>
      <c r="F204" s="20">
        <v>45.566000000000003</v>
      </c>
      <c r="G204" s="20">
        <v>71.28</v>
      </c>
      <c r="H204" s="20">
        <f t="shared" si="4"/>
        <v>39.462500000000006</v>
      </c>
      <c r="I204" s="5"/>
      <c r="J204" s="19">
        <v>202.7938</v>
      </c>
      <c r="K204" s="20">
        <v>37.8874</v>
      </c>
      <c r="L204" s="20">
        <v>45.296799999999998</v>
      </c>
      <c r="M204" s="20">
        <v>45.279000000000003</v>
      </c>
      <c r="N204" s="20">
        <v>55.671100000000003</v>
      </c>
      <c r="O204" s="20">
        <f t="shared" si="5"/>
        <v>39.737524999999998</v>
      </c>
      <c r="P204" s="7"/>
      <c r="Q204" s="13"/>
      <c r="R204" s="14"/>
      <c r="S204" s="14"/>
      <c r="T204" s="27"/>
      <c r="U204" s="28">
        <f t="shared" si="3"/>
        <v>-0.21898007856341187</v>
      </c>
    </row>
    <row r="205" spans="1:21" hidden="1" x14ac:dyDescent="0.25">
      <c r="B205" s="6" t="s">
        <v>80</v>
      </c>
      <c r="C205" s="15">
        <v>1301.8800000000001</v>
      </c>
      <c r="D205" s="16">
        <v>40.152000000000001</v>
      </c>
      <c r="E205" s="16">
        <v>46.829000000000001</v>
      </c>
      <c r="F205" s="16">
        <v>46.649000000000001</v>
      </c>
      <c r="G205" s="16">
        <v>26.01</v>
      </c>
      <c r="H205" s="16">
        <f t="shared" si="4"/>
        <v>41.798749999999998</v>
      </c>
      <c r="I205" s="5"/>
      <c r="J205" s="15">
        <v>1032.7538</v>
      </c>
      <c r="K205" s="16">
        <v>40.134</v>
      </c>
      <c r="L205" s="16">
        <v>46.519100000000002</v>
      </c>
      <c r="M205" s="16">
        <v>46.350900000000003</v>
      </c>
      <c r="N205" s="16">
        <v>12.616</v>
      </c>
      <c r="O205" s="16">
        <f t="shared" si="5"/>
        <v>41.709250000000004</v>
      </c>
      <c r="P205" s="7"/>
      <c r="Q205" s="8">
        <f>bdrate(C205:C208,D205:D208,J205:J208,K205:K208)</f>
        <v>-0.288840769394904</v>
      </c>
      <c r="R205" s="8">
        <f>bdrate(C205:C208,E205:E208,J205:J208,L205:L208)</f>
        <v>-0.18569255701110821</v>
      </c>
      <c r="S205" s="8">
        <f>bdrate(C205:C208,F205:F208,J205:J208,M205:M208)</f>
        <v>-0.19380662708337337</v>
      </c>
      <c r="T205" s="25">
        <f>bdrate(C205:C208,H205:H208,J205:J208,O205:O208)</f>
        <v>-0.27255455768036174</v>
      </c>
      <c r="U205" s="28">
        <f t="shared" si="3"/>
        <v>-0.51495578623606308</v>
      </c>
    </row>
    <row r="206" spans="1:21" hidden="1" x14ac:dyDescent="0.25">
      <c r="B206" s="9"/>
      <c r="C206" s="17">
        <v>776.84</v>
      </c>
      <c r="D206" s="18">
        <v>38.375</v>
      </c>
      <c r="E206" s="18">
        <v>45.771999999999998</v>
      </c>
      <c r="F206" s="18">
        <v>45.624000000000002</v>
      </c>
      <c r="G206" s="18">
        <v>30.02</v>
      </c>
      <c r="H206" s="18">
        <f t="shared" si="4"/>
        <v>40.205750000000002</v>
      </c>
      <c r="I206" s="5"/>
      <c r="J206" s="17">
        <v>616.51179999999999</v>
      </c>
      <c r="K206" s="18">
        <v>38.589100000000002</v>
      </c>
      <c r="L206" s="18">
        <v>45.556100000000001</v>
      </c>
      <c r="M206" s="18">
        <v>45.4452</v>
      </c>
      <c r="N206" s="18">
        <v>17.127600000000001</v>
      </c>
      <c r="O206" s="18">
        <f t="shared" si="5"/>
        <v>40.316987500000003</v>
      </c>
      <c r="P206" s="7"/>
      <c r="Q206" s="10"/>
      <c r="R206" s="11"/>
      <c r="S206" s="11"/>
      <c r="T206" s="26"/>
      <c r="U206" s="28">
        <f t="shared" si="3"/>
        <v>-0.42946035976015984</v>
      </c>
    </row>
    <row r="207" spans="1:21" hidden="1" x14ac:dyDescent="0.25">
      <c r="B207" s="9"/>
      <c r="C207" s="17">
        <v>514.58000000000004</v>
      </c>
      <c r="D207" s="18">
        <v>36.81</v>
      </c>
      <c r="E207" s="18">
        <v>44.773000000000003</v>
      </c>
      <c r="F207" s="18">
        <v>44.649000000000001</v>
      </c>
      <c r="G207" s="18">
        <v>33.67</v>
      </c>
      <c r="H207" s="18">
        <f t="shared" si="4"/>
        <v>38.785250000000005</v>
      </c>
      <c r="I207" s="5"/>
      <c r="J207" s="17">
        <v>408.55160000000001</v>
      </c>
      <c r="K207" s="18">
        <v>37.258499999999998</v>
      </c>
      <c r="L207" s="18">
        <v>44.695399999999999</v>
      </c>
      <c r="M207" s="18">
        <v>44.612099999999998</v>
      </c>
      <c r="N207" s="18">
        <v>21.061699999999998</v>
      </c>
      <c r="O207" s="18">
        <f t="shared" si="5"/>
        <v>39.107312499999999</v>
      </c>
      <c r="P207" s="7"/>
      <c r="Q207" s="10"/>
      <c r="R207" s="11"/>
      <c r="S207" s="11"/>
      <c r="T207" s="26"/>
      <c r="U207" s="28">
        <f t="shared" si="3"/>
        <v>-0.37446688446688453</v>
      </c>
    </row>
    <row r="208" spans="1:21" ht="16.5" hidden="1" thickBot="1" x14ac:dyDescent="0.3">
      <c r="B208" s="12"/>
      <c r="C208" s="19">
        <v>254.44</v>
      </c>
      <c r="D208" s="20">
        <v>33.668999999999997</v>
      </c>
      <c r="E208" s="20">
        <v>42.645000000000003</v>
      </c>
      <c r="F208" s="20">
        <v>42.656999999999996</v>
      </c>
      <c r="G208" s="20">
        <v>41.42</v>
      </c>
      <c r="H208" s="20">
        <f t="shared" si="4"/>
        <v>35.914499999999997</v>
      </c>
      <c r="I208" s="5"/>
      <c r="J208" s="19">
        <v>202.8116</v>
      </c>
      <c r="K208" s="20">
        <v>34.8598</v>
      </c>
      <c r="L208" s="20">
        <v>43.289400000000001</v>
      </c>
      <c r="M208" s="20">
        <v>43.189399999999999</v>
      </c>
      <c r="N208" s="20">
        <v>29.9237</v>
      </c>
      <c r="O208" s="20">
        <f t="shared" si="5"/>
        <v>36.954699999999995</v>
      </c>
      <c r="P208" s="7"/>
      <c r="Q208" s="13"/>
      <c r="R208" s="14"/>
      <c r="S208" s="14"/>
      <c r="T208" s="27"/>
      <c r="U208" s="28">
        <f t="shared" si="3"/>
        <v>-0.27755432158377596</v>
      </c>
    </row>
    <row r="209" spans="2:21" hidden="1" x14ac:dyDescent="0.25">
      <c r="B209" s="6" t="s">
        <v>81</v>
      </c>
      <c r="C209" s="15">
        <v>1467.31</v>
      </c>
      <c r="D209" s="16">
        <v>43.545000000000002</v>
      </c>
      <c r="E209" s="16">
        <v>44.720999999999997</v>
      </c>
      <c r="F209" s="16">
        <v>45.121000000000002</v>
      </c>
      <c r="G209" s="16">
        <v>30.35</v>
      </c>
      <c r="H209" s="16">
        <f t="shared" si="4"/>
        <v>43.888999999999996</v>
      </c>
      <c r="I209" s="5"/>
      <c r="J209" s="15">
        <v>1070.2131999999999</v>
      </c>
      <c r="K209" s="16">
        <v>42.532499999999999</v>
      </c>
      <c r="L209" s="16">
        <v>44.272500000000001</v>
      </c>
      <c r="M209" s="16">
        <v>44.674100000000003</v>
      </c>
      <c r="N209" s="16">
        <v>15.9383</v>
      </c>
      <c r="O209" s="16">
        <f t="shared" si="5"/>
        <v>43.017699999999998</v>
      </c>
      <c r="P209" s="7"/>
      <c r="Q209" s="8">
        <f>bdrate(C209:C212,D209:D212,J209:J212,K209:K212)</f>
        <v>-0.19655768274957841</v>
      </c>
      <c r="R209" s="8">
        <f>bdrate(C209:C212,E209:E212,J209:J212,L209:L212)</f>
        <v>-0.23797011554196035</v>
      </c>
      <c r="S209" s="8">
        <f>bdrate(C209:C212,F209:F212,J209:J212,M209:M212)</f>
        <v>-0.24964956285586337</v>
      </c>
      <c r="T209" s="25">
        <f>bdrate(C209:C212,H209:H212,J209:J212,O209:O212)</f>
        <v>-0.20541465068594256</v>
      </c>
      <c r="U209" s="28">
        <f t="shared" si="3"/>
        <v>-0.4748500823723229</v>
      </c>
    </row>
    <row r="210" spans="2:21" hidden="1" x14ac:dyDescent="0.25">
      <c r="B210" s="9"/>
      <c r="C210" s="17">
        <v>880.97</v>
      </c>
      <c r="D210" s="18">
        <v>41.116999999999997</v>
      </c>
      <c r="E210" s="18">
        <v>42.985999999999997</v>
      </c>
      <c r="F210" s="18">
        <v>43.335000000000001</v>
      </c>
      <c r="G210" s="18">
        <v>34.65</v>
      </c>
      <c r="H210" s="18">
        <f t="shared" si="4"/>
        <v>41.627874999999996</v>
      </c>
      <c r="I210" s="5"/>
      <c r="J210" s="17">
        <v>640.44839999999999</v>
      </c>
      <c r="K210" s="18">
        <v>40.353999999999999</v>
      </c>
      <c r="L210" s="18">
        <v>42.774700000000003</v>
      </c>
      <c r="M210" s="18">
        <v>43.143500000000003</v>
      </c>
      <c r="N210" s="18">
        <v>19.8704</v>
      </c>
      <c r="O210" s="18">
        <f t="shared" si="5"/>
        <v>41.005275000000005</v>
      </c>
      <c r="P210" s="7"/>
      <c r="Q210" s="10"/>
      <c r="R210" s="11"/>
      <c r="S210" s="11"/>
      <c r="T210" s="26"/>
      <c r="U210" s="28">
        <f t="shared" si="3"/>
        <v>-0.4265396825396825</v>
      </c>
    </row>
    <row r="211" spans="2:21" hidden="1" x14ac:dyDescent="0.25">
      <c r="B211" s="9"/>
      <c r="C211" s="17">
        <v>586.63</v>
      </c>
      <c r="D211" s="18">
        <v>39.061</v>
      </c>
      <c r="E211" s="18">
        <v>41.66</v>
      </c>
      <c r="F211" s="18">
        <v>41.930999999999997</v>
      </c>
      <c r="G211" s="18">
        <v>38.43</v>
      </c>
      <c r="H211" s="18">
        <f t="shared" si="4"/>
        <v>39.744624999999992</v>
      </c>
      <c r="I211" s="5"/>
      <c r="J211" s="17">
        <v>426.83640000000003</v>
      </c>
      <c r="K211" s="18">
        <v>38.566099999999999</v>
      </c>
      <c r="L211" s="18">
        <v>41.552399999999999</v>
      </c>
      <c r="M211" s="18">
        <v>41.872300000000003</v>
      </c>
      <c r="N211" s="18">
        <v>24.134799999999998</v>
      </c>
      <c r="O211" s="18">
        <f t="shared" si="5"/>
        <v>39.352662499999994</v>
      </c>
      <c r="P211" s="7"/>
      <c r="Q211" s="10"/>
      <c r="R211" s="11"/>
      <c r="S211" s="11"/>
      <c r="T211" s="26"/>
      <c r="U211" s="28">
        <f t="shared" si="3"/>
        <v>-0.37198022378350248</v>
      </c>
    </row>
    <row r="212" spans="2:21" ht="16.5" hidden="1" thickBot="1" x14ac:dyDescent="0.3">
      <c r="B212" s="12"/>
      <c r="C212" s="19">
        <v>291.02</v>
      </c>
      <c r="D212" s="20">
        <v>35.100999999999999</v>
      </c>
      <c r="E212" s="20">
        <v>39.39</v>
      </c>
      <c r="F212" s="20">
        <v>39.51</v>
      </c>
      <c r="G212" s="20">
        <v>46.52</v>
      </c>
      <c r="H212" s="20">
        <f t="shared" si="4"/>
        <v>36.188249999999996</v>
      </c>
      <c r="I212" s="5"/>
      <c r="J212" s="19">
        <v>209.69399999999999</v>
      </c>
      <c r="K212" s="20">
        <v>35.313299999999998</v>
      </c>
      <c r="L212" s="20">
        <v>39.376100000000001</v>
      </c>
      <c r="M212" s="20">
        <v>39.5974</v>
      </c>
      <c r="N212" s="20">
        <v>33.351100000000002</v>
      </c>
      <c r="O212" s="20">
        <f t="shared" si="5"/>
        <v>36.356662499999999</v>
      </c>
      <c r="P212" s="7"/>
      <c r="Q212" s="13"/>
      <c r="R212" s="14"/>
      <c r="S212" s="14"/>
      <c r="T212" s="27"/>
      <c r="U212" s="28">
        <f t="shared" si="3"/>
        <v>-0.28308039552880482</v>
      </c>
    </row>
    <row r="213" spans="2:21" hidden="1" x14ac:dyDescent="0.25">
      <c r="B213" s="6" t="s">
        <v>82</v>
      </c>
      <c r="C213" s="29">
        <v>1257.6500000000001</v>
      </c>
      <c r="D213" s="30">
        <v>40.948999999999998</v>
      </c>
      <c r="E213" s="30">
        <v>43.92</v>
      </c>
      <c r="F213" s="30">
        <v>44.887999999999998</v>
      </c>
      <c r="G213" s="16">
        <v>45.33</v>
      </c>
      <c r="H213" s="16">
        <f t="shared" si="4"/>
        <v>41.812749999999994</v>
      </c>
      <c r="I213" s="5"/>
      <c r="J213" s="29">
        <v>1056.4748</v>
      </c>
      <c r="K213" s="30">
        <v>41.011200000000002</v>
      </c>
      <c r="L213" s="30">
        <v>44.205199999999998</v>
      </c>
      <c r="M213" s="30">
        <v>45.4206</v>
      </c>
      <c r="N213" s="16">
        <v>22.763500000000001</v>
      </c>
      <c r="O213" s="16">
        <f t="shared" si="5"/>
        <v>41.961624999999998</v>
      </c>
      <c r="P213" s="7"/>
      <c r="Q213" s="8">
        <f>bdrate(C213:C216,D213:D216,J213:J216,K213:K216)</f>
        <v>-0.18508711663086697</v>
      </c>
      <c r="R213" s="8">
        <f>bdrate(C213:C216,E213:E216,J213:J216,L213:L216)</f>
        <v>-0.25050199612263979</v>
      </c>
      <c r="S213" s="8">
        <f>bdrate(C213:C216,F213:F216,J213:J216,M213:M216)</f>
        <v>-0.31814482270924671</v>
      </c>
      <c r="T213" s="25">
        <f>bdrate(C213:C216,H213:H216,J213:J216,O213:O216)</f>
        <v>-0.20598385651617857</v>
      </c>
      <c r="U213" s="28">
        <f t="shared" si="3"/>
        <v>-0.49782704610633133</v>
      </c>
    </row>
    <row r="214" spans="2:21" hidden="1" x14ac:dyDescent="0.25">
      <c r="B214" s="9"/>
      <c r="C214" s="31">
        <v>758.35</v>
      </c>
      <c r="D214" s="32">
        <v>39.814</v>
      </c>
      <c r="E214" s="32">
        <v>43.225000000000001</v>
      </c>
      <c r="F214" s="32">
        <v>44.064</v>
      </c>
      <c r="G214" s="18">
        <v>52.37</v>
      </c>
      <c r="H214" s="18">
        <f t="shared" si="4"/>
        <v>40.771625000000007</v>
      </c>
      <c r="I214" s="5"/>
      <c r="J214" s="31">
        <v>626.0444</v>
      </c>
      <c r="K214" s="32">
        <v>39.833100000000002</v>
      </c>
      <c r="L214" s="32">
        <v>43.459099999999999</v>
      </c>
      <c r="M214" s="32">
        <v>44.553400000000003</v>
      </c>
      <c r="N214" s="18">
        <v>30.380400000000002</v>
      </c>
      <c r="O214" s="18">
        <f t="shared" si="5"/>
        <v>40.8763875</v>
      </c>
      <c r="P214" s="7"/>
      <c r="Q214" s="10"/>
      <c r="R214" s="11"/>
      <c r="S214" s="11"/>
      <c r="T214" s="26"/>
      <c r="U214" s="28">
        <f t="shared" si="3"/>
        <v>-0.41988924957036466</v>
      </c>
    </row>
    <row r="215" spans="2:21" hidden="1" x14ac:dyDescent="0.25">
      <c r="B215" s="9"/>
      <c r="C215" s="31">
        <v>510.3</v>
      </c>
      <c r="D215" s="32">
        <v>38.786000000000001</v>
      </c>
      <c r="E215" s="32">
        <v>42.582999999999998</v>
      </c>
      <c r="F215" s="32">
        <v>43.314</v>
      </c>
      <c r="G215" s="18">
        <v>58.17</v>
      </c>
      <c r="H215" s="18">
        <f t="shared" si="4"/>
        <v>39.826625</v>
      </c>
      <c r="I215" s="5"/>
      <c r="J215" s="31">
        <v>414.63040000000001</v>
      </c>
      <c r="K215" s="32">
        <v>38.750799999999998</v>
      </c>
      <c r="L215" s="32">
        <v>42.724600000000002</v>
      </c>
      <c r="M215" s="32">
        <v>43.697000000000003</v>
      </c>
      <c r="N215" s="18">
        <v>37.619399999999999</v>
      </c>
      <c r="O215" s="18">
        <f t="shared" si="5"/>
        <v>39.8658</v>
      </c>
      <c r="P215" s="7"/>
      <c r="Q215" s="10"/>
      <c r="R215" s="11"/>
      <c r="S215" s="11"/>
      <c r="T215" s="26"/>
      <c r="U215" s="28">
        <f t="shared" si="3"/>
        <v>-0.35328519855595669</v>
      </c>
    </row>
    <row r="216" spans="2:21" ht="16.5" hidden="1" thickBot="1" x14ac:dyDescent="0.3">
      <c r="B216" s="12"/>
      <c r="C216" s="33">
        <v>257.5</v>
      </c>
      <c r="D216" s="34">
        <v>36.401000000000003</v>
      </c>
      <c r="E216" s="34">
        <v>41.140999999999998</v>
      </c>
      <c r="F216" s="34">
        <v>41.737000000000002</v>
      </c>
      <c r="G216" s="20">
        <v>69.98</v>
      </c>
      <c r="H216" s="20">
        <f t="shared" si="4"/>
        <v>37.660500000000006</v>
      </c>
      <c r="I216" s="5"/>
      <c r="J216" s="33">
        <v>204.07400000000001</v>
      </c>
      <c r="K216" s="34">
        <v>36.401899999999998</v>
      </c>
      <c r="L216" s="34">
        <v>41.115000000000002</v>
      </c>
      <c r="M216" s="34">
        <v>41.843200000000003</v>
      </c>
      <c r="N216" s="20">
        <v>54.884700000000002</v>
      </c>
      <c r="O216" s="20">
        <f t="shared" si="5"/>
        <v>37.671199999999999</v>
      </c>
      <c r="P216" s="7"/>
      <c r="Q216" s="13"/>
      <c r="R216" s="14"/>
      <c r="S216" s="14"/>
      <c r="T216" s="27"/>
      <c r="U216" s="28">
        <f t="shared" si="3"/>
        <v>-0.21570877393541013</v>
      </c>
    </row>
    <row r="217" spans="2:21" hidden="1" x14ac:dyDescent="0.25">
      <c r="B217" s="6" t="s">
        <v>83</v>
      </c>
      <c r="C217" s="15">
        <v>1436.52</v>
      </c>
      <c r="D217" s="16">
        <v>43.402999999999999</v>
      </c>
      <c r="E217" s="16">
        <v>45.765999999999998</v>
      </c>
      <c r="F217" s="16">
        <v>45.808999999999997</v>
      </c>
      <c r="G217" s="16">
        <v>20.54</v>
      </c>
      <c r="H217" s="16">
        <f t="shared" si="4"/>
        <v>43.999125000000006</v>
      </c>
      <c r="I217" s="5"/>
      <c r="J217" s="15">
        <v>1187.0947000000001</v>
      </c>
      <c r="K217" s="16">
        <v>43.494799999999998</v>
      </c>
      <c r="L217" s="16">
        <v>45.793399999999998</v>
      </c>
      <c r="M217" s="16">
        <v>45.7639</v>
      </c>
      <c r="N217" s="16">
        <v>10.3346</v>
      </c>
      <c r="O217" s="16">
        <f t="shared" si="5"/>
        <v>44.065762499999998</v>
      </c>
      <c r="P217" s="7"/>
      <c r="Q217" s="8">
        <f>bdrate(C217:C220,D217:D220,J217:J220,K217:K220)</f>
        <v>-0.29167547958545792</v>
      </c>
      <c r="R217" s="8">
        <f>bdrate(C217:C220,E217:E220,J217:J220,L217:L220)</f>
        <v>-0.30483647716263873</v>
      </c>
      <c r="S217" s="8">
        <f>bdrate(C217:C220,F217:F220,J217:J220,M217:M220)</f>
        <v>-0.2854227587100443</v>
      </c>
      <c r="T217" s="25">
        <f>bdrate(C217:C220,H217:H220,J217:J220,O217:O220)</f>
        <v>-0.29214280331792386</v>
      </c>
      <c r="U217" s="28">
        <f t="shared" si="3"/>
        <v>-0.49685491723466407</v>
      </c>
    </row>
    <row r="218" spans="2:21" hidden="1" x14ac:dyDescent="0.25">
      <c r="B218" s="9"/>
      <c r="C218" s="17">
        <v>964.63</v>
      </c>
      <c r="D218" s="18">
        <v>41.633000000000003</v>
      </c>
      <c r="E218" s="18">
        <v>44.704000000000001</v>
      </c>
      <c r="F218" s="18">
        <v>44.767000000000003</v>
      </c>
      <c r="G218" s="18">
        <v>23.14</v>
      </c>
      <c r="H218" s="18">
        <f t="shared" si="4"/>
        <v>42.408625000000001</v>
      </c>
      <c r="I218" s="5"/>
      <c r="J218" s="17">
        <v>788.97329999999999</v>
      </c>
      <c r="K218" s="18">
        <v>42.004800000000003</v>
      </c>
      <c r="L218" s="18">
        <v>44.967500000000001</v>
      </c>
      <c r="M218" s="18">
        <v>44.958199999999998</v>
      </c>
      <c r="N218" s="18">
        <v>12.5395</v>
      </c>
      <c r="O218" s="18">
        <f t="shared" si="5"/>
        <v>42.744312499999999</v>
      </c>
      <c r="P218" s="7"/>
      <c r="Q218" s="10"/>
      <c r="R218" s="11"/>
      <c r="S218" s="11"/>
      <c r="T218" s="26"/>
      <c r="U218" s="28">
        <f t="shared" si="3"/>
        <v>-0.45810285220397579</v>
      </c>
    </row>
    <row r="219" spans="2:21" hidden="1" x14ac:dyDescent="0.25">
      <c r="B219" s="9"/>
      <c r="C219" s="17">
        <v>609.13</v>
      </c>
      <c r="D219" s="18">
        <v>39.341999999999999</v>
      </c>
      <c r="E219" s="18">
        <v>43.402999999999999</v>
      </c>
      <c r="F219" s="18">
        <v>43.506</v>
      </c>
      <c r="G219" s="18">
        <v>26.39</v>
      </c>
      <c r="H219" s="18">
        <f t="shared" si="4"/>
        <v>40.370125000000002</v>
      </c>
      <c r="I219" s="5"/>
      <c r="J219" s="17">
        <v>491.01920000000001</v>
      </c>
      <c r="K219" s="18">
        <v>40.142699999999998</v>
      </c>
      <c r="L219" s="18">
        <v>43.931800000000003</v>
      </c>
      <c r="M219" s="18">
        <v>43.9465</v>
      </c>
      <c r="N219" s="18">
        <v>15.7576</v>
      </c>
      <c r="O219" s="18">
        <f t="shared" si="5"/>
        <v>41.091812500000003</v>
      </c>
      <c r="P219" s="7"/>
      <c r="Q219" s="10"/>
      <c r="R219" s="11"/>
      <c r="S219" s="11"/>
      <c r="T219" s="26"/>
      <c r="U219" s="28">
        <f t="shared" si="3"/>
        <v>-0.40289503599848431</v>
      </c>
    </row>
    <row r="220" spans="2:21" ht="16.5" hidden="1" thickBot="1" x14ac:dyDescent="0.3">
      <c r="B220" s="12"/>
      <c r="C220" s="19">
        <v>370.71</v>
      </c>
      <c r="D220" s="20">
        <v>36.521999999999998</v>
      </c>
      <c r="E220" s="20">
        <v>41.939</v>
      </c>
      <c r="F220" s="20">
        <v>42.033000000000001</v>
      </c>
      <c r="G220" s="20">
        <v>30.82</v>
      </c>
      <c r="H220" s="20">
        <f t="shared" si="4"/>
        <v>37.888000000000005</v>
      </c>
      <c r="I220" s="5"/>
      <c r="J220" s="19">
        <v>295.07810000000001</v>
      </c>
      <c r="K220" s="20">
        <v>38.010800000000003</v>
      </c>
      <c r="L220" s="20">
        <v>42.725999999999999</v>
      </c>
      <c r="M220" s="20">
        <v>42.746699999999997</v>
      </c>
      <c r="N220" s="20">
        <v>20.1494</v>
      </c>
      <c r="O220" s="20">
        <f t="shared" si="5"/>
        <v>39.192187499999996</v>
      </c>
      <c r="P220" s="7"/>
      <c r="Q220" s="13"/>
      <c r="R220" s="14"/>
      <c r="S220" s="14"/>
      <c r="T220" s="27"/>
      <c r="U220" s="28">
        <f t="shared" si="3"/>
        <v>-0.34622323166774821</v>
      </c>
    </row>
    <row r="221" spans="2:21" hidden="1" x14ac:dyDescent="0.25">
      <c r="B221" s="6" t="s">
        <v>84</v>
      </c>
      <c r="C221" s="15">
        <v>2207.3000000000002</v>
      </c>
      <c r="D221" s="16">
        <v>51.057000000000002</v>
      </c>
      <c r="E221" s="16">
        <v>52.872999999999998</v>
      </c>
      <c r="F221" s="16">
        <v>53.012</v>
      </c>
      <c r="G221" s="16">
        <v>21.06</v>
      </c>
      <c r="H221" s="16">
        <f t="shared" si="4"/>
        <v>51.528374999999997</v>
      </c>
      <c r="I221" s="5"/>
      <c r="J221" s="15">
        <v>1650.8071</v>
      </c>
      <c r="K221" s="16">
        <v>48.923499999999997</v>
      </c>
      <c r="L221" s="16">
        <v>50.867400000000004</v>
      </c>
      <c r="M221" s="16">
        <v>51.031199999999998</v>
      </c>
      <c r="N221" s="16">
        <v>13.2698</v>
      </c>
      <c r="O221" s="16">
        <f t="shared" si="5"/>
        <v>49.429950000000005</v>
      </c>
      <c r="P221" s="7"/>
      <c r="Q221" s="8">
        <f>bdrate(C221:C224,D221:D224,J221:J224,K221:K224)</f>
        <v>-3.6874470645940738E-2</v>
      </c>
      <c r="R221" s="8">
        <f>bdrate(C221:C224,E221:E224,J221:J224,L221:L224)</f>
        <v>-7.1199217597250897E-4</v>
      </c>
      <c r="S221" s="8">
        <f>bdrate(C221:C224,F221:F224,J221:J224,M221:M224)</f>
        <v>1.1113073058823808E-3</v>
      </c>
      <c r="T221" s="25">
        <f>bdrate(C221:C224,H221:H224,J221:J224,O221:O224)</f>
        <v>-2.8651901730712082E-2</v>
      </c>
      <c r="U221" s="28">
        <f t="shared" si="3"/>
        <v>-0.36990503323836654</v>
      </c>
    </row>
    <row r="222" spans="2:21" hidden="1" x14ac:dyDescent="0.25">
      <c r="B222" s="9"/>
      <c r="C222" s="17">
        <v>1482.18</v>
      </c>
      <c r="D222" s="18">
        <v>48.591000000000001</v>
      </c>
      <c r="E222" s="18">
        <v>50.713000000000001</v>
      </c>
      <c r="F222" s="18">
        <v>50.905999999999999</v>
      </c>
      <c r="G222" s="18">
        <v>23.73</v>
      </c>
      <c r="H222" s="18">
        <f t="shared" si="4"/>
        <v>49.145625000000003</v>
      </c>
      <c r="I222" s="5"/>
      <c r="J222" s="17">
        <v>1077.5413000000001</v>
      </c>
      <c r="K222" s="18">
        <v>46.834299999999999</v>
      </c>
      <c r="L222" s="18">
        <v>48.9512</v>
      </c>
      <c r="M222" s="18">
        <v>49.141800000000003</v>
      </c>
      <c r="N222" s="18">
        <v>15.9291</v>
      </c>
      <c r="O222" s="18">
        <f t="shared" si="5"/>
        <v>47.387349999999998</v>
      </c>
      <c r="P222" s="7"/>
      <c r="Q222" s="10"/>
      <c r="R222" s="11"/>
      <c r="S222" s="11"/>
      <c r="T222" s="26"/>
      <c r="U222" s="28">
        <f t="shared" si="3"/>
        <v>-0.32873577749683947</v>
      </c>
    </row>
    <row r="223" spans="2:21" hidden="1" x14ac:dyDescent="0.25">
      <c r="B223" s="9"/>
      <c r="C223" s="17">
        <v>892.29</v>
      </c>
      <c r="D223" s="18">
        <v>45.737000000000002</v>
      </c>
      <c r="E223" s="18">
        <v>48.189</v>
      </c>
      <c r="F223" s="18">
        <v>48.402000000000001</v>
      </c>
      <c r="G223" s="18">
        <v>27.7</v>
      </c>
      <c r="H223" s="18">
        <f t="shared" si="4"/>
        <v>46.376625000000004</v>
      </c>
      <c r="I223" s="5"/>
      <c r="J223" s="17">
        <v>642.97810000000004</v>
      </c>
      <c r="K223" s="18">
        <v>44.192799999999998</v>
      </c>
      <c r="L223" s="18">
        <v>46.648800000000001</v>
      </c>
      <c r="M223" s="18">
        <v>46.893599999999999</v>
      </c>
      <c r="N223" s="18">
        <v>20.046900000000001</v>
      </c>
      <c r="O223" s="18">
        <f t="shared" si="5"/>
        <v>44.837399999999995</v>
      </c>
      <c r="P223" s="7"/>
      <c r="Q223" s="10"/>
      <c r="R223" s="11"/>
      <c r="S223" s="11"/>
      <c r="T223" s="26"/>
      <c r="U223" s="28">
        <f t="shared" si="3"/>
        <v>-0.27628519855595662</v>
      </c>
    </row>
    <row r="224" spans="2:21" ht="16.5" hidden="1" thickBot="1" x14ac:dyDescent="0.3">
      <c r="B224" s="12"/>
      <c r="C224" s="19">
        <v>446.31</v>
      </c>
      <c r="D224" s="20">
        <v>41.694000000000003</v>
      </c>
      <c r="E224" s="20">
        <v>44.585000000000001</v>
      </c>
      <c r="F224" s="20">
        <v>44.893999999999998</v>
      </c>
      <c r="G224" s="20">
        <v>34.11</v>
      </c>
      <c r="H224" s="20">
        <f t="shared" si="4"/>
        <v>42.455375000000004</v>
      </c>
      <c r="I224" s="5"/>
      <c r="J224" s="19">
        <v>324.18770000000001</v>
      </c>
      <c r="K224" s="20">
        <v>40.664099999999998</v>
      </c>
      <c r="L224" s="20">
        <v>43.563099999999999</v>
      </c>
      <c r="M224" s="20">
        <v>43.933100000000003</v>
      </c>
      <c r="N224" s="20">
        <v>27.361000000000001</v>
      </c>
      <c r="O224" s="20">
        <f t="shared" si="5"/>
        <v>41.435100000000006</v>
      </c>
      <c r="P224" s="7"/>
      <c r="Q224" s="13"/>
      <c r="R224" s="14"/>
      <c r="S224" s="14"/>
      <c r="T224" s="27"/>
      <c r="U224" s="28">
        <f t="shared" si="3"/>
        <v>-0.19785986514218701</v>
      </c>
    </row>
    <row r="225" spans="2:21" hidden="1" x14ac:dyDescent="0.25">
      <c r="B225" s="6" t="s">
        <v>85</v>
      </c>
      <c r="C225" s="15">
        <v>1990.66</v>
      </c>
      <c r="D225" s="16">
        <v>49.991</v>
      </c>
      <c r="E225" s="16">
        <v>51.301000000000002</v>
      </c>
      <c r="F225" s="16">
        <v>51.703000000000003</v>
      </c>
      <c r="G225" s="16">
        <v>22.95</v>
      </c>
      <c r="H225" s="16">
        <f t="shared" si="4"/>
        <v>50.368750000000006</v>
      </c>
      <c r="I225" s="5"/>
      <c r="J225" s="15">
        <v>1581.9402</v>
      </c>
      <c r="K225" s="16">
        <v>48.340600000000002</v>
      </c>
      <c r="L225" s="16">
        <v>49.905999999999999</v>
      </c>
      <c r="M225" s="16">
        <v>50.2288</v>
      </c>
      <c r="N225" s="16">
        <v>14.168699999999999</v>
      </c>
      <c r="O225" s="16">
        <f t="shared" si="5"/>
        <v>48.772300000000001</v>
      </c>
      <c r="P225" s="7"/>
      <c r="Q225" s="8">
        <f>bdrate(C225:C228,D225:D228,J225:J228,K225:K228)</f>
        <v>-4.1106837965925958E-2</v>
      </c>
      <c r="R225" s="8">
        <f>bdrate(C225:C228,E225:E228,J225:J228,L225:L228)</f>
        <v>-9.6165096604139411E-3</v>
      </c>
      <c r="S225" s="8">
        <f>bdrate(C225:C228,F225:F228,J225:J228,M225:M228)</f>
        <v>-1.2737593898815569E-2</v>
      </c>
      <c r="T225" s="25">
        <f>bdrate(C225:C228,H225:H228,J225:J228,O225:O228)</f>
        <v>-3.4347173196933589E-2</v>
      </c>
      <c r="U225" s="28">
        <f t="shared" si="3"/>
        <v>-0.38262745098039214</v>
      </c>
    </row>
    <row r="226" spans="2:21" hidden="1" x14ac:dyDescent="0.25">
      <c r="B226" s="9"/>
      <c r="C226" s="17">
        <v>1312.69</v>
      </c>
      <c r="D226" s="18">
        <v>47.505000000000003</v>
      </c>
      <c r="E226" s="18">
        <v>49.146000000000001</v>
      </c>
      <c r="F226" s="18">
        <v>49.466000000000001</v>
      </c>
      <c r="G226" s="18">
        <v>25.5</v>
      </c>
      <c r="H226" s="18">
        <f t="shared" si="4"/>
        <v>47.955250000000007</v>
      </c>
      <c r="I226" s="5"/>
      <c r="J226" s="17">
        <v>1057.8348000000001</v>
      </c>
      <c r="K226" s="18">
        <v>46.435699999999997</v>
      </c>
      <c r="L226" s="18">
        <v>48.1389</v>
      </c>
      <c r="M226" s="18">
        <v>48.406300000000002</v>
      </c>
      <c r="N226" s="18">
        <v>16.026199999999999</v>
      </c>
      <c r="O226" s="18">
        <f t="shared" si="5"/>
        <v>46.894924999999994</v>
      </c>
      <c r="P226" s="7"/>
      <c r="Q226" s="10"/>
      <c r="R226" s="11"/>
      <c r="S226" s="11"/>
      <c r="T226" s="26"/>
      <c r="U226" s="28">
        <f t="shared" si="3"/>
        <v>-0.371521568627451</v>
      </c>
    </row>
    <row r="227" spans="2:21" hidden="1" x14ac:dyDescent="0.25">
      <c r="B227" s="9"/>
      <c r="C227" s="17">
        <v>781.33</v>
      </c>
      <c r="D227" s="18">
        <v>44.759</v>
      </c>
      <c r="E227" s="18">
        <v>46.798000000000002</v>
      </c>
      <c r="F227" s="18">
        <v>47.011000000000003</v>
      </c>
      <c r="G227" s="18">
        <v>29.44</v>
      </c>
      <c r="H227" s="18">
        <f t="shared" si="4"/>
        <v>45.295375</v>
      </c>
      <c r="I227" s="5"/>
      <c r="J227" s="17">
        <v>636.63229999999999</v>
      </c>
      <c r="K227" s="18">
        <v>43.969200000000001</v>
      </c>
      <c r="L227" s="18">
        <v>45.970500000000001</v>
      </c>
      <c r="M227" s="18">
        <v>46.150199999999998</v>
      </c>
      <c r="N227" s="18">
        <v>19.370999999999999</v>
      </c>
      <c r="O227" s="18">
        <f t="shared" si="5"/>
        <v>44.4919875</v>
      </c>
      <c r="P227" s="7"/>
      <c r="Q227" s="10"/>
      <c r="R227" s="11"/>
      <c r="S227" s="11"/>
      <c r="T227" s="26"/>
      <c r="U227" s="28">
        <f t="shared" si="3"/>
        <v>-0.34201766304347836</v>
      </c>
    </row>
    <row r="228" spans="2:21" ht="16.5" hidden="1" thickBot="1" x14ac:dyDescent="0.3">
      <c r="B228" s="12"/>
      <c r="C228" s="19">
        <v>385.54</v>
      </c>
      <c r="D228" s="20">
        <v>41.113</v>
      </c>
      <c r="E228" s="20">
        <v>43.79</v>
      </c>
      <c r="F228" s="20">
        <v>43.783000000000001</v>
      </c>
      <c r="G228" s="20">
        <v>35.909999999999997</v>
      </c>
      <c r="H228" s="20">
        <f t="shared" si="4"/>
        <v>41.781375000000004</v>
      </c>
      <c r="I228" s="5"/>
      <c r="J228" s="19">
        <v>318.65030000000002</v>
      </c>
      <c r="K228" s="20">
        <v>40.7333</v>
      </c>
      <c r="L228" s="20">
        <v>43.268500000000003</v>
      </c>
      <c r="M228" s="20">
        <v>43.298099999999998</v>
      </c>
      <c r="N228" s="20">
        <v>27.005400000000002</v>
      </c>
      <c r="O228" s="20">
        <f t="shared" si="5"/>
        <v>41.370799999999996</v>
      </c>
      <c r="P228" s="7"/>
      <c r="Q228" s="13"/>
      <c r="R228" s="14"/>
      <c r="S228" s="14"/>
      <c r="T228" s="27"/>
      <c r="U228" s="28">
        <f t="shared" si="3"/>
        <v>-0.24796992481202995</v>
      </c>
    </row>
    <row r="229" spans="2:21" hidden="1" x14ac:dyDescent="0.25">
      <c r="B229" s="6" t="s">
        <v>86</v>
      </c>
      <c r="C229" s="15">
        <v>2059.1</v>
      </c>
      <c r="D229" s="16">
        <v>41.698</v>
      </c>
      <c r="E229" s="16">
        <v>44.64</v>
      </c>
      <c r="F229" s="16">
        <v>43.292999999999999</v>
      </c>
      <c r="G229" s="16">
        <v>19.03</v>
      </c>
      <c r="H229" s="16">
        <f t="shared" si="4"/>
        <v>42.265124999999998</v>
      </c>
      <c r="I229" s="5"/>
      <c r="J229" s="15">
        <v>1575.1206999999999</v>
      </c>
      <c r="K229" s="16">
        <v>39.968499999999999</v>
      </c>
      <c r="L229" s="16">
        <v>42.6875</v>
      </c>
      <c r="M229" s="16">
        <v>41.508200000000002</v>
      </c>
      <c r="N229" s="16">
        <v>9.9022000000000006</v>
      </c>
      <c r="O229" s="16">
        <f t="shared" si="5"/>
        <v>40.500837499999996</v>
      </c>
      <c r="P229" s="7"/>
      <c r="Q229" s="8">
        <f>bdrate(C229:C232,D229:D232,J229:J232,K229:K232)</f>
        <v>-0.16732177595980013</v>
      </c>
      <c r="R229" s="8">
        <f>bdrate(C229:C232,E229:E232,J229:J232,L229:L232)</f>
        <v>2.6118554851910503E-2</v>
      </c>
      <c r="S229" s="8">
        <f>bdrate(C229:C232,F229:F232,J229:J232,M229:M232)</f>
        <v>-2.7635844524382502E-2</v>
      </c>
      <c r="T229" s="25">
        <f>bdrate(C229:C232,H229:H232,J229:J232,O229:O232)</f>
        <v>-0.13843403209695193</v>
      </c>
      <c r="U229" s="28">
        <f t="shared" si="3"/>
        <v>-0.47965317919075146</v>
      </c>
    </row>
    <row r="230" spans="2:21" hidden="1" x14ac:dyDescent="0.25">
      <c r="B230" s="9"/>
      <c r="C230" s="17">
        <v>1373.4</v>
      </c>
      <c r="D230" s="18">
        <v>38.859000000000002</v>
      </c>
      <c r="E230" s="18">
        <v>42.298999999999999</v>
      </c>
      <c r="F230" s="18">
        <v>40.829000000000001</v>
      </c>
      <c r="G230" s="18">
        <v>20.54</v>
      </c>
      <c r="H230" s="18">
        <f t="shared" si="4"/>
        <v>39.535249999999998</v>
      </c>
      <c r="I230" s="5"/>
      <c r="J230" s="17">
        <v>1050.6522</v>
      </c>
      <c r="K230" s="18">
        <v>37.886899999999997</v>
      </c>
      <c r="L230" s="18">
        <v>40.959899999999998</v>
      </c>
      <c r="M230" s="18">
        <v>39.693600000000004</v>
      </c>
      <c r="N230" s="18">
        <v>11.704599999999999</v>
      </c>
      <c r="O230" s="18">
        <f t="shared" si="5"/>
        <v>38.496862499999999</v>
      </c>
      <c r="P230" s="7"/>
      <c r="Q230" s="10"/>
      <c r="R230" s="11"/>
      <c r="S230" s="11"/>
      <c r="T230" s="26"/>
      <c r="U230" s="28">
        <f t="shared" si="3"/>
        <v>-0.43015579357351513</v>
      </c>
    </row>
    <row r="231" spans="2:21" hidden="1" x14ac:dyDescent="0.25">
      <c r="B231" s="9"/>
      <c r="C231" s="17">
        <v>823.92</v>
      </c>
      <c r="D231" s="18">
        <v>35.74</v>
      </c>
      <c r="E231" s="18">
        <v>39.979999999999997</v>
      </c>
      <c r="F231" s="18">
        <v>38.457999999999998</v>
      </c>
      <c r="G231" s="18">
        <v>23.12</v>
      </c>
      <c r="H231" s="18">
        <f t="shared" si="4"/>
        <v>36.609749999999998</v>
      </c>
      <c r="I231" s="5"/>
      <c r="J231" s="17">
        <v>631.14269999999999</v>
      </c>
      <c r="K231" s="18">
        <v>35.371000000000002</v>
      </c>
      <c r="L231" s="18">
        <v>38.835299999999997</v>
      </c>
      <c r="M231" s="18">
        <v>37.508800000000001</v>
      </c>
      <c r="N231" s="18">
        <v>14.0839</v>
      </c>
      <c r="O231" s="18">
        <f t="shared" si="5"/>
        <v>36.071262499999996</v>
      </c>
      <c r="P231" s="7"/>
      <c r="Q231" s="10"/>
      <c r="R231" s="11"/>
      <c r="S231" s="11"/>
      <c r="T231" s="26"/>
      <c r="U231" s="28">
        <f t="shared" si="3"/>
        <v>-0.39083477508650522</v>
      </c>
    </row>
    <row r="232" spans="2:21" ht="16.5" hidden="1" thickBot="1" x14ac:dyDescent="0.3">
      <c r="B232" s="12"/>
      <c r="C232" s="19">
        <v>413.64</v>
      </c>
      <c r="D232" s="20">
        <v>31.657</v>
      </c>
      <c r="E232" s="20">
        <v>37.372</v>
      </c>
      <c r="F232" s="20">
        <v>35.79</v>
      </c>
      <c r="G232" s="20">
        <v>28.3</v>
      </c>
      <c r="H232" s="20">
        <f t="shared" si="4"/>
        <v>32.888000000000005</v>
      </c>
      <c r="I232" s="5"/>
      <c r="J232" s="19">
        <v>315.68049999999999</v>
      </c>
      <c r="K232" s="20">
        <v>32.043799999999997</v>
      </c>
      <c r="L232" s="20">
        <v>36.135800000000003</v>
      </c>
      <c r="M232" s="20">
        <v>34.808799999999998</v>
      </c>
      <c r="N232" s="20">
        <v>18.4876</v>
      </c>
      <c r="O232" s="20">
        <f t="shared" si="5"/>
        <v>32.900925000000001</v>
      </c>
      <c r="P232" s="7"/>
      <c r="Q232" s="13"/>
      <c r="R232" s="14"/>
      <c r="S232" s="14"/>
      <c r="T232" s="27"/>
      <c r="U232" s="28">
        <f t="shared" si="3"/>
        <v>-0.34672791519434631</v>
      </c>
    </row>
    <row r="233" spans="2:21" hidden="1" x14ac:dyDescent="0.25">
      <c r="B233" s="6" t="s">
        <v>87</v>
      </c>
      <c r="C233" s="15">
        <v>2088.6999999999998</v>
      </c>
      <c r="D233" s="16">
        <v>37.831000000000003</v>
      </c>
      <c r="E233" s="16">
        <v>42.439</v>
      </c>
      <c r="F233" s="16">
        <v>42.578000000000003</v>
      </c>
      <c r="G233" s="16">
        <v>15.46</v>
      </c>
      <c r="H233" s="16">
        <f t="shared" si="4"/>
        <v>39.000375000000005</v>
      </c>
      <c r="I233" s="5"/>
      <c r="J233" s="15">
        <v>1577.3152</v>
      </c>
      <c r="K233" s="16">
        <v>37.965000000000003</v>
      </c>
      <c r="L233" s="16">
        <v>43.590800000000002</v>
      </c>
      <c r="M233" s="16">
        <v>43.610900000000001</v>
      </c>
      <c r="N233" s="16">
        <v>12.820499999999999</v>
      </c>
      <c r="O233" s="16">
        <f t="shared" si="5"/>
        <v>39.373962500000005</v>
      </c>
      <c r="P233" s="7"/>
      <c r="Q233" s="8">
        <f>bdrate(C233:C236,D233:D236,J233:J236,K233:K236)</f>
        <v>-0.36486679899039343</v>
      </c>
      <c r="R233" s="8">
        <f>bdrate(C233:C236,E233:E236,J233:J236,L233:L236)</f>
        <v>-0.52938591841455684</v>
      </c>
      <c r="S233" s="8">
        <f>bdrate(C233:C236,F233:F236,J233:J236,M233:M236)</f>
        <v>-0.50074931128868672</v>
      </c>
      <c r="T233" s="25">
        <f>bdrate(C233:C236,H233:H236,J233:J236,O233:O236)</f>
        <v>-0.40218006441364429</v>
      </c>
      <c r="U233" s="28">
        <f t="shared" ref="U233:U260" si="6">(N233-G233)/G233</f>
        <v>-0.17073091849935326</v>
      </c>
    </row>
    <row r="234" spans="2:21" hidden="1" x14ac:dyDescent="0.25">
      <c r="B234" s="9"/>
      <c r="C234" s="17">
        <v>1389.14</v>
      </c>
      <c r="D234" s="18">
        <v>36.493000000000002</v>
      </c>
      <c r="E234" s="18">
        <v>41.320999999999998</v>
      </c>
      <c r="F234" s="18">
        <v>41.615000000000002</v>
      </c>
      <c r="G234" s="18">
        <v>17.16</v>
      </c>
      <c r="H234" s="18">
        <f t="shared" si="4"/>
        <v>37.736750000000001</v>
      </c>
      <c r="I234" s="5"/>
      <c r="J234" s="17">
        <v>1045.8055999999999</v>
      </c>
      <c r="K234" s="18">
        <v>36.828699999999998</v>
      </c>
      <c r="L234" s="18">
        <v>42.5931</v>
      </c>
      <c r="M234" s="18">
        <v>42.655200000000001</v>
      </c>
      <c r="N234" s="18">
        <v>15.814399999999999</v>
      </c>
      <c r="O234" s="18">
        <f t="shared" si="5"/>
        <v>38.277562499999995</v>
      </c>
      <c r="P234" s="7"/>
      <c r="Q234" s="10"/>
      <c r="R234" s="11"/>
      <c r="S234" s="11"/>
      <c r="T234" s="26"/>
      <c r="U234" s="28">
        <f t="shared" si="6"/>
        <v>-7.8414918414918475E-2</v>
      </c>
    </row>
    <row r="235" spans="2:21" hidden="1" x14ac:dyDescent="0.25">
      <c r="B235" s="9"/>
      <c r="C235" s="17">
        <v>830.97</v>
      </c>
      <c r="D235" s="18">
        <v>34.884</v>
      </c>
      <c r="E235" s="18">
        <v>40.125</v>
      </c>
      <c r="F235" s="18">
        <v>40.57</v>
      </c>
      <c r="G235" s="18">
        <v>19.440000000000001</v>
      </c>
      <c r="H235" s="18">
        <f t="shared" si="4"/>
        <v>36.249875000000003</v>
      </c>
      <c r="I235" s="5"/>
      <c r="J235" s="17">
        <v>615.78639999999996</v>
      </c>
      <c r="K235" s="18">
        <v>35.406100000000002</v>
      </c>
      <c r="L235" s="18">
        <v>41.231999999999999</v>
      </c>
      <c r="M235" s="18">
        <v>41.398000000000003</v>
      </c>
      <c r="N235" s="18">
        <v>20.0107</v>
      </c>
      <c r="O235" s="18">
        <f t="shared" si="5"/>
        <v>36.883324999999999</v>
      </c>
      <c r="P235" s="7"/>
      <c r="Q235" s="10"/>
      <c r="R235" s="11"/>
      <c r="S235" s="11"/>
      <c r="T235" s="26"/>
      <c r="U235" s="28">
        <f t="shared" si="6"/>
        <v>2.9356995884773592E-2</v>
      </c>
    </row>
    <row r="236" spans="2:21" ht="16.5" hidden="1" thickBot="1" x14ac:dyDescent="0.3">
      <c r="B236" s="12"/>
      <c r="C236" s="19">
        <v>412.41</v>
      </c>
      <c r="D236" s="20">
        <v>32.628999999999998</v>
      </c>
      <c r="E236" s="20">
        <v>38.423999999999999</v>
      </c>
      <c r="F236" s="20">
        <v>39.110999999999997</v>
      </c>
      <c r="G236" s="20">
        <v>23.51</v>
      </c>
      <c r="H236" s="20">
        <f t="shared" si="4"/>
        <v>34.163625000000003</v>
      </c>
      <c r="I236" s="5"/>
      <c r="J236" s="19">
        <v>303.55360000000002</v>
      </c>
      <c r="K236" s="20">
        <v>33.5565</v>
      </c>
      <c r="L236" s="20">
        <v>39.4101</v>
      </c>
      <c r="M236" s="20">
        <v>39.821100000000001</v>
      </c>
      <c r="N236" s="20">
        <v>27.1616</v>
      </c>
      <c r="O236" s="20">
        <f t="shared" si="5"/>
        <v>35.071275</v>
      </c>
      <c r="P236" s="7"/>
      <c r="Q236" s="13"/>
      <c r="R236" s="14"/>
      <c r="S236" s="14"/>
      <c r="T236" s="27"/>
      <c r="U236" s="28">
        <f t="shared" si="6"/>
        <v>0.1553211399404508</v>
      </c>
    </row>
    <row r="237" spans="2:21" hidden="1" x14ac:dyDescent="0.25">
      <c r="B237" s="6" t="s">
        <v>88</v>
      </c>
      <c r="C237" s="15">
        <v>2183.08</v>
      </c>
      <c r="D237" s="16">
        <v>34.442999999999998</v>
      </c>
      <c r="E237" s="16">
        <v>38.768000000000001</v>
      </c>
      <c r="F237" s="16">
        <v>41.28</v>
      </c>
      <c r="G237" s="16">
        <v>16.66</v>
      </c>
      <c r="H237" s="16">
        <f t="shared" si="4"/>
        <v>35.838250000000002</v>
      </c>
      <c r="I237" s="5"/>
      <c r="J237" s="15">
        <v>1543.3016</v>
      </c>
      <c r="K237" s="16">
        <v>34.818899999999999</v>
      </c>
      <c r="L237" s="16">
        <v>39.961500000000001</v>
      </c>
      <c r="M237" s="16">
        <v>42.304200000000002</v>
      </c>
      <c r="N237" s="16">
        <v>15.023999999999999</v>
      </c>
      <c r="O237" s="16">
        <f t="shared" si="5"/>
        <v>36.397387500000001</v>
      </c>
      <c r="P237" s="7"/>
      <c r="Q237" s="8">
        <f>bdrate(C237:C240,D237:D240,J237:J240,K237:K240)</f>
        <v>-0.45352720743174046</v>
      </c>
      <c r="R237" s="8">
        <f>bdrate(C237:C240,E237:E240,J237:J240,L237:L240)</f>
        <v>-0.53216146866178482</v>
      </c>
      <c r="S237" s="8">
        <f>bdrate(C237:C240,F237:F240,J237:J240,M237:M240)</f>
        <v>-0.52681218349941339</v>
      </c>
      <c r="T237" s="25">
        <f>bdrate(C237:C240,H237:H240,J237:J240,O237:O240)</f>
        <v>-0.46842160654831777</v>
      </c>
      <c r="U237" s="28">
        <f t="shared" si="6"/>
        <v>-9.8199279711884815E-2</v>
      </c>
    </row>
    <row r="238" spans="2:21" hidden="1" x14ac:dyDescent="0.25">
      <c r="B238" s="9"/>
      <c r="C238" s="17">
        <v>1455.02</v>
      </c>
      <c r="D238" s="18">
        <v>33.234000000000002</v>
      </c>
      <c r="E238" s="18">
        <v>38.091000000000001</v>
      </c>
      <c r="F238" s="18">
        <v>40.673000000000002</v>
      </c>
      <c r="G238" s="18">
        <v>18.46</v>
      </c>
      <c r="H238" s="18">
        <f t="shared" si="4"/>
        <v>34.771000000000001</v>
      </c>
      <c r="I238" s="5"/>
      <c r="J238" s="17">
        <v>1028.1288</v>
      </c>
      <c r="K238" s="18">
        <v>33.768599999999999</v>
      </c>
      <c r="L238" s="18">
        <v>38.994799999999998</v>
      </c>
      <c r="M238" s="18">
        <v>41.401800000000001</v>
      </c>
      <c r="N238" s="18">
        <v>19.201799999999999</v>
      </c>
      <c r="O238" s="18">
        <f t="shared" si="5"/>
        <v>35.376024999999998</v>
      </c>
      <c r="P238" s="7"/>
      <c r="Q238" s="10"/>
      <c r="R238" s="11"/>
      <c r="S238" s="11"/>
      <c r="T238" s="26"/>
      <c r="U238" s="28">
        <f t="shared" si="6"/>
        <v>4.018418201516781E-2</v>
      </c>
    </row>
    <row r="239" spans="2:21" hidden="1" x14ac:dyDescent="0.25">
      <c r="B239" s="9"/>
      <c r="C239" s="17">
        <v>880.26</v>
      </c>
      <c r="D239" s="18">
        <v>31.582999999999998</v>
      </c>
      <c r="E239" s="18">
        <v>37.261000000000003</v>
      </c>
      <c r="F239" s="18">
        <v>39.999000000000002</v>
      </c>
      <c r="G239" s="18">
        <v>20.8</v>
      </c>
      <c r="H239" s="18">
        <f t="shared" si="4"/>
        <v>33.344749999999998</v>
      </c>
      <c r="I239" s="5"/>
      <c r="J239" s="17">
        <v>607.34159999999997</v>
      </c>
      <c r="K239" s="18">
        <v>32.351100000000002</v>
      </c>
      <c r="L239" s="18">
        <v>37.929099999999998</v>
      </c>
      <c r="M239" s="18">
        <v>40.516300000000001</v>
      </c>
      <c r="N239" s="18">
        <v>25.744399999999999</v>
      </c>
      <c r="O239" s="18">
        <f t="shared" si="5"/>
        <v>34.069000000000003</v>
      </c>
      <c r="P239" s="7"/>
      <c r="Q239" s="10"/>
      <c r="R239" s="11"/>
      <c r="S239" s="11"/>
      <c r="T239" s="26"/>
      <c r="U239" s="28">
        <f t="shared" si="6"/>
        <v>0.23771153846153836</v>
      </c>
    </row>
    <row r="240" spans="2:21" ht="16.5" hidden="1" thickBot="1" x14ac:dyDescent="0.3">
      <c r="B240" s="12"/>
      <c r="C240" s="19">
        <v>450.54</v>
      </c>
      <c r="D240" s="20">
        <v>28.986999999999998</v>
      </c>
      <c r="E240" s="20">
        <v>36.268000000000001</v>
      </c>
      <c r="F240" s="20">
        <v>38.944000000000003</v>
      </c>
      <c r="G240" s="20">
        <v>25.11</v>
      </c>
      <c r="H240" s="20">
        <f t="shared" si="4"/>
        <v>31.141750000000002</v>
      </c>
      <c r="I240" s="5"/>
      <c r="J240" s="19">
        <v>294.54880000000003</v>
      </c>
      <c r="K240" s="20">
        <v>30.295999999999999</v>
      </c>
      <c r="L240" s="20">
        <v>36.607599999999998</v>
      </c>
      <c r="M240" s="20">
        <v>39.437399999999997</v>
      </c>
      <c r="N240" s="20">
        <v>38.194699999999997</v>
      </c>
      <c r="O240" s="20">
        <f t="shared" si="5"/>
        <v>32.227625000000003</v>
      </c>
      <c r="P240" s="7"/>
      <c r="Q240" s="13"/>
      <c r="R240" s="14"/>
      <c r="S240" s="14"/>
      <c r="T240" s="27"/>
      <c r="U240" s="28">
        <f t="shared" si="6"/>
        <v>0.52109518120270804</v>
      </c>
    </row>
    <row r="241" spans="2:21" hidden="1" x14ac:dyDescent="0.25">
      <c r="B241" s="6" t="s">
        <v>89</v>
      </c>
      <c r="C241" s="15">
        <v>2243.39</v>
      </c>
      <c r="D241" s="16">
        <v>36.783999999999999</v>
      </c>
      <c r="E241" s="16">
        <v>42.225999999999999</v>
      </c>
      <c r="F241" s="16">
        <v>42.026000000000003</v>
      </c>
      <c r="G241" s="16">
        <v>13.57</v>
      </c>
      <c r="H241" s="16">
        <f t="shared" ref="H241:H260" si="7">(6*D241+E241+F241)/8</f>
        <v>38.119500000000002</v>
      </c>
      <c r="I241" s="5"/>
      <c r="J241" s="15">
        <v>1540.3792000000001</v>
      </c>
      <c r="K241" s="16">
        <v>36.947899999999997</v>
      </c>
      <c r="L241" s="16">
        <v>42.299799999999998</v>
      </c>
      <c r="M241" s="16">
        <v>42.189900000000002</v>
      </c>
      <c r="N241" s="16">
        <v>11.9</v>
      </c>
      <c r="O241" s="16">
        <f t="shared" ref="O241:O260" si="8">(6*K241+L241+M241)/8</f>
        <v>38.272137499999999</v>
      </c>
      <c r="P241" s="7"/>
      <c r="Q241" s="8">
        <f>bdrate(C241:C244,D241:D244,J241:J244,K241:K244)</f>
        <v>-0.46921846455467797</v>
      </c>
      <c r="R241" s="8">
        <f>bdrate(C241:C244,E241:E244,J241:J244,L241:L244)</f>
        <v>-0.42462594268178666</v>
      </c>
      <c r="S241" s="8">
        <f>bdrate(C241:C244,F241:F244,J241:J244,M241:M244)</f>
        <v>-0.38664623295002032</v>
      </c>
      <c r="T241" s="25">
        <f>bdrate(C241:C244,H241:H244,J241:J244,O241:O244)</f>
        <v>-0.45832094602023643</v>
      </c>
      <c r="U241" s="28">
        <f t="shared" si="6"/>
        <v>-0.12306558585114222</v>
      </c>
    </row>
    <row r="242" spans="2:21" hidden="1" x14ac:dyDescent="0.25">
      <c r="B242" s="9"/>
      <c r="C242" s="17">
        <v>1518.24</v>
      </c>
      <c r="D242" s="18">
        <v>35.381999999999998</v>
      </c>
      <c r="E242" s="18">
        <v>41.368000000000002</v>
      </c>
      <c r="F242" s="18">
        <v>40.890999999999998</v>
      </c>
      <c r="G242" s="18">
        <v>15.45</v>
      </c>
      <c r="H242" s="18">
        <f t="shared" si="7"/>
        <v>36.818874999999998</v>
      </c>
      <c r="I242" s="5"/>
      <c r="J242" s="17">
        <v>1024.0655999999999</v>
      </c>
      <c r="K242" s="18">
        <v>35.842100000000002</v>
      </c>
      <c r="L242" s="18">
        <v>41.600200000000001</v>
      </c>
      <c r="M242" s="18">
        <v>41.099299999999999</v>
      </c>
      <c r="N242" s="18">
        <v>14.9481</v>
      </c>
      <c r="O242" s="18">
        <f t="shared" si="8"/>
        <v>37.219012500000005</v>
      </c>
      <c r="P242" s="7"/>
      <c r="Q242" s="10"/>
      <c r="R242" s="11"/>
      <c r="S242" s="11"/>
      <c r="T242" s="26"/>
      <c r="U242" s="28">
        <f t="shared" si="6"/>
        <v>-3.248543689320383E-2</v>
      </c>
    </row>
    <row r="243" spans="2:21" hidden="1" x14ac:dyDescent="0.25">
      <c r="B243" s="9"/>
      <c r="C243" s="17">
        <v>919.25</v>
      </c>
      <c r="D243" s="18">
        <v>33.366999999999997</v>
      </c>
      <c r="E243" s="18">
        <v>40.253</v>
      </c>
      <c r="F243" s="18">
        <v>39.377000000000002</v>
      </c>
      <c r="G243" s="18">
        <v>18.489999999999998</v>
      </c>
      <c r="H243" s="18">
        <f t="shared" si="7"/>
        <v>34.978999999999999</v>
      </c>
      <c r="I243" s="5"/>
      <c r="J243" s="17">
        <v>609.78399999999999</v>
      </c>
      <c r="K243" s="18">
        <v>34.323999999999998</v>
      </c>
      <c r="L243" s="18">
        <v>40.606099999999998</v>
      </c>
      <c r="M243" s="18">
        <v>39.630299999999998</v>
      </c>
      <c r="N243" s="18">
        <v>19.523599999999998</v>
      </c>
      <c r="O243" s="18">
        <f t="shared" si="8"/>
        <v>35.772549999999995</v>
      </c>
      <c r="P243" s="7"/>
      <c r="Q243" s="10"/>
      <c r="R243" s="11"/>
      <c r="S243" s="11"/>
      <c r="T243" s="26"/>
      <c r="U243" s="28">
        <f t="shared" si="6"/>
        <v>5.5900486749594372E-2</v>
      </c>
    </row>
    <row r="244" spans="2:21" ht="16.5" hidden="1" thickBot="1" x14ac:dyDescent="0.3">
      <c r="B244" s="12"/>
      <c r="C244" s="19">
        <v>461.61</v>
      </c>
      <c r="D244" s="20">
        <v>30.361999999999998</v>
      </c>
      <c r="E244" s="20">
        <v>38.637</v>
      </c>
      <c r="F244" s="20">
        <v>37.408999999999999</v>
      </c>
      <c r="G244" s="20">
        <v>23.82</v>
      </c>
      <c r="H244" s="20">
        <f t="shared" si="7"/>
        <v>32.277250000000002</v>
      </c>
      <c r="I244" s="5"/>
      <c r="J244" s="19">
        <v>302.83679999999998</v>
      </c>
      <c r="K244" s="20">
        <v>32.278100000000002</v>
      </c>
      <c r="L244" s="20">
        <v>39.137099999999997</v>
      </c>
      <c r="M244" s="20">
        <v>37.707000000000001</v>
      </c>
      <c r="N244" s="20">
        <v>29.137499999999999</v>
      </c>
      <c r="O244" s="20">
        <f t="shared" si="8"/>
        <v>33.814087500000007</v>
      </c>
      <c r="P244" s="7"/>
      <c r="Q244" s="13"/>
      <c r="R244" s="14"/>
      <c r="S244" s="14"/>
      <c r="T244" s="27"/>
      <c r="U244" s="28">
        <f t="shared" si="6"/>
        <v>0.22323677581863977</v>
      </c>
    </row>
    <row r="245" spans="2:21" hidden="1" x14ac:dyDescent="0.25">
      <c r="B245" s="6" t="s">
        <v>90</v>
      </c>
      <c r="C245" s="29">
        <v>2157.27</v>
      </c>
      <c r="D245" s="30">
        <v>48.512</v>
      </c>
      <c r="E245" s="30">
        <v>53.32</v>
      </c>
      <c r="F245" s="30">
        <v>53.533000000000001</v>
      </c>
      <c r="G245" s="16">
        <v>15.44</v>
      </c>
      <c r="H245" s="16">
        <f t="shared" si="7"/>
        <v>49.740625000000001</v>
      </c>
      <c r="I245" s="5"/>
      <c r="J245" s="29">
        <v>1539.1208999999999</v>
      </c>
      <c r="K245" s="30">
        <v>47.58</v>
      </c>
      <c r="L245" s="30">
        <v>52.309399999999997</v>
      </c>
      <c r="M245" s="30">
        <v>52.500999999999998</v>
      </c>
      <c r="N245" s="16">
        <v>10.4588</v>
      </c>
      <c r="O245" s="16">
        <f t="shared" si="8"/>
        <v>48.786299999999997</v>
      </c>
      <c r="P245" s="7"/>
      <c r="Q245" s="8">
        <f>bdrate(C245:C248,D245:D248,J245:J248,K245:K248)</f>
        <v>-0.3280406159427236</v>
      </c>
      <c r="R245" s="8">
        <f>bdrate(C245:C248,E245:E248,J245:J248,L245:L248)</f>
        <v>-0.32361446675532468</v>
      </c>
      <c r="S245" s="8">
        <f>bdrate(C245:C248,F245:F248,J245:J248,M245:M248)</f>
        <v>-0.35533453482294064</v>
      </c>
      <c r="T245" s="25">
        <f>bdrate(C245:C248,H245:H248,J245:J248,O245:O248)</f>
        <v>-0.33034234029060705</v>
      </c>
      <c r="U245" s="28">
        <f t="shared" si="6"/>
        <v>-0.32261658031088081</v>
      </c>
    </row>
    <row r="246" spans="2:21" hidden="1" x14ac:dyDescent="0.25">
      <c r="B246" s="9"/>
      <c r="C246" s="31">
        <v>1439.2</v>
      </c>
      <c r="D246" s="32">
        <v>46.762999999999998</v>
      </c>
      <c r="E246" s="32">
        <v>51.963999999999999</v>
      </c>
      <c r="F246" s="32">
        <v>51.99</v>
      </c>
      <c r="G246" s="18">
        <v>17.72</v>
      </c>
      <c r="H246" s="18">
        <f t="shared" si="7"/>
        <v>48.066499999999998</v>
      </c>
      <c r="I246" s="5"/>
      <c r="J246" s="31">
        <v>1027.2843</v>
      </c>
      <c r="K246" s="32">
        <v>46.523800000000001</v>
      </c>
      <c r="L246" s="32">
        <v>51.650700000000001</v>
      </c>
      <c r="M246" s="32">
        <v>51.789700000000003</v>
      </c>
      <c r="N246" s="18">
        <v>13.1547</v>
      </c>
      <c r="O246" s="18">
        <f t="shared" si="8"/>
        <v>47.822899999999997</v>
      </c>
      <c r="P246" s="7"/>
      <c r="Q246" s="10"/>
      <c r="R246" s="11"/>
      <c r="S246" s="11"/>
      <c r="T246" s="26"/>
      <c r="U246" s="28">
        <f t="shared" si="6"/>
        <v>-0.25763544018058687</v>
      </c>
    </row>
    <row r="247" spans="2:21" hidden="1" x14ac:dyDescent="0.25">
      <c r="B247" s="9"/>
      <c r="C247" s="31">
        <v>856.2</v>
      </c>
      <c r="D247" s="32">
        <v>44.603999999999999</v>
      </c>
      <c r="E247" s="32">
        <v>50.427999999999997</v>
      </c>
      <c r="F247" s="32">
        <v>50.292999999999999</v>
      </c>
      <c r="G247" s="18">
        <v>20.91</v>
      </c>
      <c r="H247" s="18">
        <f t="shared" si="7"/>
        <v>46.043125000000003</v>
      </c>
      <c r="I247" s="5"/>
      <c r="J247" s="31">
        <v>618.64689999999996</v>
      </c>
      <c r="K247" s="32">
        <v>45.006100000000004</v>
      </c>
      <c r="L247" s="32">
        <v>50.684100000000001</v>
      </c>
      <c r="M247" s="32">
        <v>50.7532</v>
      </c>
      <c r="N247" s="18">
        <v>17.584499999999998</v>
      </c>
      <c r="O247" s="18">
        <f t="shared" si="8"/>
        <v>46.434237500000002</v>
      </c>
      <c r="P247" s="7"/>
      <c r="Q247" s="10"/>
      <c r="R247" s="11"/>
      <c r="S247" s="11"/>
      <c r="T247" s="26"/>
      <c r="U247" s="28">
        <f t="shared" si="6"/>
        <v>-0.15903873744619806</v>
      </c>
    </row>
    <row r="248" spans="2:21" ht="16.5" hidden="1" thickBot="1" x14ac:dyDescent="0.3">
      <c r="B248" s="12"/>
      <c r="C248" s="33">
        <v>418.59</v>
      </c>
      <c r="D248" s="34">
        <v>41.295999999999999</v>
      </c>
      <c r="E248" s="34">
        <v>47.906999999999996</v>
      </c>
      <c r="F248" s="34">
        <v>47.69</v>
      </c>
      <c r="G248" s="20">
        <v>26.35</v>
      </c>
      <c r="H248" s="20">
        <f t="shared" si="7"/>
        <v>42.921624999999999</v>
      </c>
      <c r="I248" s="5"/>
      <c r="J248" s="33">
        <v>300.8039</v>
      </c>
      <c r="K248" s="34">
        <v>42.425699999999999</v>
      </c>
      <c r="L248" s="34">
        <v>48.996499999999997</v>
      </c>
      <c r="M248" s="34">
        <v>48.877200000000002</v>
      </c>
      <c r="N248" s="20">
        <v>25.918199999999999</v>
      </c>
      <c r="O248" s="20">
        <f t="shared" si="8"/>
        <v>44.053487500000003</v>
      </c>
      <c r="P248" s="7"/>
      <c r="Q248" s="13"/>
      <c r="R248" s="14"/>
      <c r="S248" s="14"/>
      <c r="T248" s="27"/>
      <c r="U248" s="28">
        <f t="shared" si="6"/>
        <v>-1.6387096774193647E-2</v>
      </c>
    </row>
    <row r="249" spans="2:21" hidden="1" x14ac:dyDescent="0.25">
      <c r="B249" s="6" t="s">
        <v>91</v>
      </c>
      <c r="C249" s="15">
        <v>3980.05</v>
      </c>
      <c r="D249" s="16">
        <v>45.301000000000002</v>
      </c>
      <c r="E249" s="16">
        <v>49.31</v>
      </c>
      <c r="F249" s="16">
        <v>51.234999999999999</v>
      </c>
      <c r="G249" s="16">
        <v>5.5</v>
      </c>
      <c r="H249" s="16">
        <f t="shared" si="7"/>
        <v>46.543875000000007</v>
      </c>
      <c r="I249" s="5"/>
      <c r="J249" s="15">
        <v>2415.8123999999998</v>
      </c>
      <c r="K249" s="16">
        <v>43.995199999999997</v>
      </c>
      <c r="L249" s="16">
        <v>47.779899999999998</v>
      </c>
      <c r="M249" s="16">
        <v>49.895600000000002</v>
      </c>
      <c r="N249" s="16">
        <v>4.4623999999999997</v>
      </c>
      <c r="O249" s="16">
        <f t="shared" si="8"/>
        <v>45.205837499999994</v>
      </c>
      <c r="P249" s="7"/>
      <c r="Q249" s="8">
        <f>bdrate(C249:C252,D249:D252,J249:J252,K249:K252)</f>
        <v>-0.35959610773313311</v>
      </c>
      <c r="R249" s="8">
        <f>bdrate(C249:C252,E249:E252,J249:J252,L249:L252)</f>
        <v>-0.37676434457995256</v>
      </c>
      <c r="S249" s="8">
        <f>bdrate(C249:C252,F249:F252,J249:J252,M249:M252)</f>
        <v>-0.4112028740514847</v>
      </c>
      <c r="T249" s="25">
        <f>bdrate(C249:C252,H249:H252,J249:J252,O249:O252)</f>
        <v>-0.3678656278774638</v>
      </c>
      <c r="U249" s="28">
        <f t="shared" si="6"/>
        <v>-0.18865454545454552</v>
      </c>
    </row>
    <row r="250" spans="2:21" hidden="1" x14ac:dyDescent="0.25">
      <c r="B250" s="9"/>
      <c r="C250" s="17">
        <v>2682.41</v>
      </c>
      <c r="D250" s="18">
        <v>43.295999999999999</v>
      </c>
      <c r="E250" s="18">
        <v>47.595999999999997</v>
      </c>
      <c r="F250" s="18">
        <v>49.584000000000003</v>
      </c>
      <c r="G250" s="18">
        <v>6.27</v>
      </c>
      <c r="H250" s="18">
        <f t="shared" si="7"/>
        <v>44.619500000000002</v>
      </c>
      <c r="I250" s="5"/>
      <c r="J250" s="17">
        <v>1612.0496000000001</v>
      </c>
      <c r="K250" s="18">
        <v>42.505000000000003</v>
      </c>
      <c r="L250" s="18">
        <v>46.736400000000003</v>
      </c>
      <c r="M250" s="18">
        <v>48.927999999999997</v>
      </c>
      <c r="N250" s="18">
        <v>5.4882</v>
      </c>
      <c r="O250" s="18">
        <f t="shared" si="8"/>
        <v>43.836800000000004</v>
      </c>
      <c r="P250" s="7"/>
      <c r="Q250" s="10"/>
      <c r="R250" s="11"/>
      <c r="S250" s="11"/>
      <c r="T250" s="26"/>
      <c r="U250" s="28">
        <f t="shared" si="6"/>
        <v>-0.12468899521531095</v>
      </c>
    </row>
    <row r="251" spans="2:21" hidden="1" x14ac:dyDescent="0.25">
      <c r="B251" s="9"/>
      <c r="C251" s="17">
        <v>1694.82</v>
      </c>
      <c r="D251" s="18">
        <v>40.887999999999998</v>
      </c>
      <c r="E251" s="18">
        <v>45.481000000000002</v>
      </c>
      <c r="F251" s="18">
        <v>47.156999999999996</v>
      </c>
      <c r="G251" s="18">
        <v>7.3</v>
      </c>
      <c r="H251" s="18">
        <f t="shared" si="7"/>
        <v>42.245749999999994</v>
      </c>
      <c r="I251" s="5"/>
      <c r="J251" s="17">
        <v>1003.7184</v>
      </c>
      <c r="K251" s="18">
        <v>40.739899999999999</v>
      </c>
      <c r="L251" s="18">
        <v>45.6432</v>
      </c>
      <c r="M251" s="18">
        <v>47.617199999999997</v>
      </c>
      <c r="N251" s="18">
        <v>6.9067999999999996</v>
      </c>
      <c r="O251" s="18">
        <f t="shared" si="8"/>
        <v>42.212474999999998</v>
      </c>
      <c r="P251" s="7"/>
      <c r="Q251" s="10"/>
      <c r="R251" s="11"/>
      <c r="S251" s="11"/>
      <c r="T251" s="26"/>
      <c r="U251" s="28">
        <f t="shared" si="6"/>
        <v>-5.3863013698630169E-2</v>
      </c>
    </row>
    <row r="252" spans="2:21" ht="16.5" hidden="1" thickBot="1" x14ac:dyDescent="0.3">
      <c r="B252" s="12"/>
      <c r="C252" s="19">
        <v>1027.81</v>
      </c>
      <c r="D252" s="20">
        <v>38.151000000000003</v>
      </c>
      <c r="E252" s="20">
        <v>43.133000000000003</v>
      </c>
      <c r="F252" s="20">
        <v>44.46</v>
      </c>
      <c r="G252" s="20">
        <v>8.59</v>
      </c>
      <c r="H252" s="20">
        <f t="shared" si="7"/>
        <v>39.562374999999996</v>
      </c>
      <c r="I252" s="5"/>
      <c r="J252" s="19">
        <v>598.30539999999996</v>
      </c>
      <c r="K252" s="20">
        <v>38.7607</v>
      </c>
      <c r="L252" s="20">
        <v>44.176699999999997</v>
      </c>
      <c r="M252" s="20">
        <v>46.2027</v>
      </c>
      <c r="N252" s="20">
        <v>8.9067000000000007</v>
      </c>
      <c r="O252" s="20">
        <f t="shared" si="8"/>
        <v>40.36795</v>
      </c>
      <c r="P252" s="7"/>
      <c r="Q252" s="13"/>
      <c r="R252" s="14"/>
      <c r="S252" s="14"/>
      <c r="T252" s="27"/>
      <c r="U252" s="28">
        <f t="shared" si="6"/>
        <v>3.6868451688009417E-2</v>
      </c>
    </row>
    <row r="253" spans="2:21" hidden="1" x14ac:dyDescent="0.25">
      <c r="B253" s="6" t="s">
        <v>92</v>
      </c>
      <c r="C253" s="15">
        <v>3430.54</v>
      </c>
      <c r="D253" s="16">
        <v>39.743000000000002</v>
      </c>
      <c r="E253" s="16">
        <v>41.857999999999997</v>
      </c>
      <c r="F253" s="16">
        <v>43.414999999999999</v>
      </c>
      <c r="G253" s="16">
        <v>5.74</v>
      </c>
      <c r="H253" s="16">
        <f t="shared" si="7"/>
        <v>40.466375000000006</v>
      </c>
      <c r="I253" s="5"/>
      <c r="J253" s="15">
        <v>2467.5634</v>
      </c>
      <c r="K253" s="16">
        <v>39.977800000000002</v>
      </c>
      <c r="L253" s="16">
        <v>41.985199999999999</v>
      </c>
      <c r="M253" s="16">
        <v>43.5824</v>
      </c>
      <c r="N253" s="16">
        <v>4.4664000000000001</v>
      </c>
      <c r="O253" s="16">
        <f t="shared" si="8"/>
        <v>40.679300000000005</v>
      </c>
      <c r="P253" s="7"/>
      <c r="Q253" s="8">
        <f>bdrate(C253:C256,D253:D256,J253:J256,K253:K256)</f>
        <v>-0.53120121329349668</v>
      </c>
      <c r="R253" s="8">
        <f>bdrate(C253:C256,E253:E256,J253:J256,L253:L256)</f>
        <v>-0.52253052146045742</v>
      </c>
      <c r="S253" s="8">
        <f>bdrate(C253:C256,F253:F256,J253:J256,M253:M256)</f>
        <v>-0.54778583375739309</v>
      </c>
      <c r="T253" s="25">
        <f>bdrate(C253:C256,H253:H256,J253:J256,O253:O256)</f>
        <v>-0.53183888603856078</v>
      </c>
      <c r="U253" s="28">
        <f t="shared" si="6"/>
        <v>-0.2218815331010453</v>
      </c>
    </row>
    <row r="254" spans="2:21" hidden="1" x14ac:dyDescent="0.25">
      <c r="B254" s="9"/>
      <c r="C254" s="17">
        <v>2280.42</v>
      </c>
      <c r="D254" s="18">
        <v>38.942999999999998</v>
      </c>
      <c r="E254" s="18">
        <v>41.451000000000001</v>
      </c>
      <c r="F254" s="18">
        <v>43.01</v>
      </c>
      <c r="G254" s="18">
        <v>6.54</v>
      </c>
      <c r="H254" s="18">
        <f t="shared" si="7"/>
        <v>39.764874999999996</v>
      </c>
      <c r="I254" s="5"/>
      <c r="J254" s="17">
        <v>1624.8131000000001</v>
      </c>
      <c r="K254" s="18">
        <v>39.460099999999997</v>
      </c>
      <c r="L254" s="18">
        <v>41.710299999999997</v>
      </c>
      <c r="M254" s="18">
        <v>43.312100000000001</v>
      </c>
      <c r="N254" s="18">
        <v>6.0671999999999997</v>
      </c>
      <c r="O254" s="18">
        <f t="shared" si="8"/>
        <v>40.222874999999995</v>
      </c>
      <c r="P254" s="7"/>
      <c r="Q254" s="10"/>
      <c r="R254" s="11"/>
      <c r="S254" s="11"/>
      <c r="T254" s="26"/>
      <c r="U254" s="28">
        <f t="shared" si="6"/>
        <v>-7.2293577981651425E-2</v>
      </c>
    </row>
    <row r="255" spans="2:21" hidden="1" x14ac:dyDescent="0.25">
      <c r="B255" s="9"/>
      <c r="C255" s="17">
        <v>1426.84</v>
      </c>
      <c r="D255" s="18">
        <v>37.896000000000001</v>
      </c>
      <c r="E255" s="18">
        <v>40.975999999999999</v>
      </c>
      <c r="F255" s="18">
        <v>42.502000000000002</v>
      </c>
      <c r="G255" s="18">
        <v>7.51</v>
      </c>
      <c r="H255" s="18">
        <f t="shared" si="7"/>
        <v>38.856749999999998</v>
      </c>
      <c r="I255" s="5"/>
      <c r="J255" s="17">
        <v>969.26679999999999</v>
      </c>
      <c r="K255" s="18">
        <v>38.793700000000001</v>
      </c>
      <c r="L255" s="18">
        <v>41.366799999999998</v>
      </c>
      <c r="M255" s="18">
        <v>42.963200000000001</v>
      </c>
      <c r="N255" s="18">
        <v>7.9584000000000001</v>
      </c>
      <c r="O255" s="18">
        <f t="shared" si="8"/>
        <v>39.636525000000006</v>
      </c>
      <c r="P255" s="7"/>
      <c r="Q255" s="10"/>
      <c r="R255" s="11"/>
      <c r="S255" s="11"/>
      <c r="T255" s="26"/>
      <c r="U255" s="28">
        <f t="shared" si="6"/>
        <v>5.9707057256990728E-2</v>
      </c>
    </row>
    <row r="256" spans="2:21" ht="16.5" hidden="1" thickBot="1" x14ac:dyDescent="0.3">
      <c r="B256" s="12"/>
      <c r="C256" s="19">
        <v>864.42</v>
      </c>
      <c r="D256" s="20">
        <v>36.326000000000001</v>
      </c>
      <c r="E256" s="20">
        <v>40.341000000000001</v>
      </c>
      <c r="F256" s="20">
        <v>41.765999999999998</v>
      </c>
      <c r="G256" s="20">
        <v>8.68</v>
      </c>
      <c r="H256" s="20">
        <f t="shared" si="7"/>
        <v>37.507875000000006</v>
      </c>
      <c r="I256" s="5"/>
      <c r="J256" s="19">
        <v>556.5127</v>
      </c>
      <c r="K256" s="20">
        <v>37.933300000000003</v>
      </c>
      <c r="L256" s="20">
        <v>40.944000000000003</v>
      </c>
      <c r="M256" s="20">
        <v>42.535200000000003</v>
      </c>
      <c r="N256" s="20">
        <v>10.518700000000001</v>
      </c>
      <c r="O256" s="20">
        <f t="shared" si="8"/>
        <v>38.884875000000008</v>
      </c>
      <c r="P256" s="7"/>
      <c r="Q256" s="13"/>
      <c r="R256" s="14"/>
      <c r="S256" s="14"/>
      <c r="T256" s="27"/>
      <c r="U256" s="28">
        <f t="shared" si="6"/>
        <v>0.21183179723502318</v>
      </c>
    </row>
    <row r="257" spans="1:21" hidden="1" x14ac:dyDescent="0.25">
      <c r="B257" s="6" t="s">
        <v>93</v>
      </c>
      <c r="C257" s="15">
        <v>3424.18</v>
      </c>
      <c r="D257" s="16">
        <v>36.412999999999997</v>
      </c>
      <c r="E257" s="16">
        <v>40.524000000000001</v>
      </c>
      <c r="F257" s="16">
        <v>41.951000000000001</v>
      </c>
      <c r="G257" s="16">
        <v>7.78</v>
      </c>
      <c r="H257" s="16">
        <f t="shared" si="7"/>
        <v>37.619124999999997</v>
      </c>
      <c r="I257" s="5"/>
      <c r="J257" s="15">
        <v>2452.3521999999998</v>
      </c>
      <c r="K257" s="16">
        <v>36.397399999999998</v>
      </c>
      <c r="L257" s="16">
        <v>40.795299999999997</v>
      </c>
      <c r="M257" s="16">
        <v>41.969700000000003</v>
      </c>
      <c r="N257" s="16">
        <v>5.5475000000000003</v>
      </c>
      <c r="O257" s="16">
        <f t="shared" si="8"/>
        <v>37.643674999999995</v>
      </c>
      <c r="P257" s="7"/>
      <c r="Q257" s="8">
        <f>bdrate(C257:C260,D257:D260,J257:J260,K257:K260)</f>
        <v>-0.39885723749231461</v>
      </c>
      <c r="R257" s="8">
        <f>bdrate(C257:C260,E257:E260,J257:J260,L257:L260)</f>
        <v>-0.39066940211429979</v>
      </c>
      <c r="S257" s="8">
        <f>bdrate(C257:C260,F257:F260,J257:J260,M257:M260)</f>
        <v>-0.33992365683914971</v>
      </c>
      <c r="T257" s="25">
        <f>bdrate(C257:C260,H257:H260,J257:J260,O257:O260)</f>
        <v>-0.39430783797328817</v>
      </c>
      <c r="U257" s="28">
        <f t="shared" si="6"/>
        <v>-0.28695372750642673</v>
      </c>
    </row>
    <row r="258" spans="1:21" hidden="1" x14ac:dyDescent="0.25">
      <c r="B258" s="9"/>
      <c r="C258" s="17">
        <v>2287.9</v>
      </c>
      <c r="D258" s="18">
        <v>34.46</v>
      </c>
      <c r="E258" s="18">
        <v>39.366999999999997</v>
      </c>
      <c r="F258" s="18">
        <v>40.859000000000002</v>
      </c>
      <c r="G258" s="18">
        <v>8.43</v>
      </c>
      <c r="H258" s="18">
        <f t="shared" si="7"/>
        <v>35.873249999999999</v>
      </c>
      <c r="I258" s="5"/>
      <c r="J258" s="17">
        <v>1641.9087</v>
      </c>
      <c r="K258" s="18">
        <v>34.953299999999999</v>
      </c>
      <c r="L258" s="18">
        <v>39.765799999999999</v>
      </c>
      <c r="M258" s="18">
        <v>41.008099999999999</v>
      </c>
      <c r="N258" s="18">
        <v>6.8019999999999996</v>
      </c>
      <c r="O258" s="18">
        <f t="shared" si="8"/>
        <v>36.311712499999999</v>
      </c>
      <c r="P258" s="7"/>
      <c r="Q258" s="10"/>
      <c r="R258" s="11"/>
      <c r="S258" s="11"/>
      <c r="T258" s="26"/>
      <c r="U258" s="28">
        <f t="shared" si="6"/>
        <v>-0.19311981020166075</v>
      </c>
    </row>
    <row r="259" spans="1:21" hidden="1" x14ac:dyDescent="0.25">
      <c r="B259" s="9"/>
      <c r="C259" s="17">
        <v>1431.87</v>
      </c>
      <c r="D259" s="18">
        <v>32.359000000000002</v>
      </c>
      <c r="E259" s="18">
        <v>38.201000000000001</v>
      </c>
      <c r="F259" s="18">
        <v>39.704999999999998</v>
      </c>
      <c r="G259" s="18">
        <v>9.14</v>
      </c>
      <c r="H259" s="18">
        <f t="shared" si="7"/>
        <v>34.0075</v>
      </c>
      <c r="I259" s="5"/>
      <c r="J259" s="17">
        <v>1025.2175</v>
      </c>
      <c r="K259" s="18">
        <v>33.360300000000002</v>
      </c>
      <c r="L259" s="18">
        <v>38.621899999999997</v>
      </c>
      <c r="M259" s="18">
        <v>39.947899999999997</v>
      </c>
      <c r="N259" s="18">
        <v>8.4978999999999996</v>
      </c>
      <c r="O259" s="18">
        <f t="shared" si="8"/>
        <v>34.841450000000002</v>
      </c>
      <c r="P259" s="7"/>
      <c r="Q259" s="10"/>
      <c r="R259" s="11"/>
      <c r="S259" s="11"/>
      <c r="T259" s="26"/>
      <c r="U259" s="28">
        <f t="shared" si="6"/>
        <v>-7.0251641137855689E-2</v>
      </c>
    </row>
    <row r="260" spans="1:21" ht="16.5" hidden="1" thickBot="1" x14ac:dyDescent="0.3">
      <c r="B260" s="12"/>
      <c r="C260" s="19">
        <v>857.72</v>
      </c>
      <c r="D260" s="20">
        <v>30.173999999999999</v>
      </c>
      <c r="E260" s="20">
        <v>37.100999999999999</v>
      </c>
      <c r="F260" s="20">
        <v>38.587000000000003</v>
      </c>
      <c r="G260" s="20">
        <v>10.15</v>
      </c>
      <c r="H260" s="20">
        <f t="shared" si="7"/>
        <v>32.091499999999996</v>
      </c>
      <c r="I260" s="5"/>
      <c r="J260" s="19">
        <v>612.30029999999999</v>
      </c>
      <c r="K260" s="20">
        <v>31.71</v>
      </c>
      <c r="L260" s="20">
        <v>37.478099999999998</v>
      </c>
      <c r="M260" s="20">
        <v>38.902799999999999</v>
      </c>
      <c r="N260" s="20">
        <v>10.849399999999999</v>
      </c>
      <c r="O260" s="20">
        <f t="shared" si="8"/>
        <v>33.330112499999998</v>
      </c>
      <c r="P260" s="7"/>
      <c r="Q260" s="13"/>
      <c r="R260" s="14"/>
      <c r="S260" s="14"/>
      <c r="T260" s="27"/>
      <c r="U260" s="28">
        <f t="shared" si="6"/>
        <v>6.8906403940886596E-2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 t="shared" ref="Q261:T261" si="9">AVERAGE(Q9:Q80)</f>
        <v>-0.37145205921916402</v>
      </c>
      <c r="R261" s="21">
        <f t="shared" si="9"/>
        <v>-0.43879690926699383</v>
      </c>
      <c r="S261" s="21">
        <f t="shared" si="9"/>
        <v>-0.43746102082188937</v>
      </c>
      <c r="T261" s="21">
        <f t="shared" si="9"/>
        <v>-0.38683904001384539</v>
      </c>
      <c r="U261" s="21">
        <f>AVERAGE(U9:U80)</f>
        <v>-0.10719250164348569</v>
      </c>
    </row>
    <row r="263" spans="1:21" s="35" customFormat="1" ht="15.75" customHeight="1" x14ac:dyDescent="0.25">
      <c r="B263" s="68" t="s">
        <v>29</v>
      </c>
      <c r="C263" s="73" t="s">
        <v>170</v>
      </c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5"/>
    </row>
    <row r="264" spans="1:21" s="35" customFormat="1" x14ac:dyDescent="0.25">
      <c r="B264" s="69"/>
      <c r="C264" s="76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8"/>
    </row>
    <row r="265" spans="1:21" ht="16.5" customHeight="1" thickBot="1" x14ac:dyDescent="0.3">
      <c r="C265" s="70" t="s">
        <v>132</v>
      </c>
      <c r="D265" s="71"/>
      <c r="E265" s="71"/>
      <c r="F265" s="71"/>
      <c r="G265" s="71"/>
      <c r="H265" s="71"/>
      <c r="I265" s="5"/>
      <c r="J265" s="70" t="s">
        <v>139</v>
      </c>
      <c r="K265" s="71"/>
      <c r="L265" s="71"/>
      <c r="M265" s="71"/>
      <c r="N265" s="71"/>
      <c r="O265" s="71"/>
      <c r="Q265" s="70" t="s">
        <v>7</v>
      </c>
      <c r="R265" s="71"/>
      <c r="S265" s="72"/>
      <c r="T265" s="36"/>
      <c r="U265" s="79" t="s">
        <v>45</v>
      </c>
    </row>
    <row r="266" spans="1:21" ht="16.5" thickBot="1" x14ac:dyDescent="0.3">
      <c r="C266" s="2" t="s">
        <v>64</v>
      </c>
      <c r="D266" s="3" t="s">
        <v>30</v>
      </c>
      <c r="E266" s="3" t="s">
        <v>31</v>
      </c>
      <c r="F266" s="3" t="s">
        <v>32</v>
      </c>
      <c r="G266" s="3" t="s">
        <v>33</v>
      </c>
      <c r="H266" s="3" t="s">
        <v>34</v>
      </c>
      <c r="I266" s="1"/>
      <c r="J266" s="2" t="s">
        <v>64</v>
      </c>
      <c r="K266" s="3" t="s">
        <v>30</v>
      </c>
      <c r="L266" s="3" t="s">
        <v>31</v>
      </c>
      <c r="M266" s="3" t="s">
        <v>32</v>
      </c>
      <c r="N266" s="3" t="s">
        <v>33</v>
      </c>
      <c r="O266" s="3" t="s">
        <v>34</v>
      </c>
      <c r="Q266" s="2" t="s">
        <v>4</v>
      </c>
      <c r="R266" s="3" t="s">
        <v>5</v>
      </c>
      <c r="S266" s="4" t="s">
        <v>6</v>
      </c>
      <c r="T266" s="24" t="s">
        <v>21</v>
      </c>
      <c r="U266" s="79"/>
    </row>
    <row r="267" spans="1:21" x14ac:dyDescent="0.25">
      <c r="A267" s="6" t="s">
        <v>35</v>
      </c>
      <c r="B267" s="6" t="s">
        <v>46</v>
      </c>
      <c r="C267" s="15">
        <v>5814.4</v>
      </c>
      <c r="D267" s="16">
        <v>37.981999999999999</v>
      </c>
      <c r="E267" s="16">
        <v>39.220999999999997</v>
      </c>
      <c r="F267" s="16">
        <v>41.649000000000001</v>
      </c>
      <c r="G267" s="16">
        <v>11.83</v>
      </c>
      <c r="H267" s="16">
        <f t="shared" ref="H267:H338" si="10">(6*D267+E267+F267)/8</f>
        <v>38.59525</v>
      </c>
      <c r="I267" s="5"/>
      <c r="J267" s="15">
        <v>4063.9712</v>
      </c>
      <c r="K267" s="16">
        <v>38.593699999999998</v>
      </c>
      <c r="L267" s="16">
        <v>39.944299999999998</v>
      </c>
      <c r="M267" s="16">
        <v>42.575600000000001</v>
      </c>
      <c r="N267" s="16">
        <v>10.7143</v>
      </c>
      <c r="O267" s="16">
        <f t="shared" ref="O267:O338" si="11">(6*K267+L267+M267)/8</f>
        <v>39.260262499999996</v>
      </c>
      <c r="P267" s="7"/>
      <c r="Q267" s="8">
        <f>bdrate(C267:C270,D267:D270,J267:J270,K267:K270)</f>
        <v>-0.45009766113708705</v>
      </c>
      <c r="R267" s="8">
        <f>bdrate(C267:C270,E267:E270,J267:J270,L267:L270)</f>
        <v>-0.50539617878632326</v>
      </c>
      <c r="S267" s="8">
        <f>bdrate(C267:C270,F267:F270,J267:J270,M267:M270)</f>
        <v>-0.48300175143865243</v>
      </c>
      <c r="T267" s="25">
        <f>bdrate(C267:C270,H267:H270,J267:J270,O267:O270)</f>
        <v>-0.45851061360168388</v>
      </c>
      <c r="U267" s="28">
        <f t="shared" ref="U267:U330" si="12">(N267-G267)/G267</f>
        <v>-9.4311073541842802E-2</v>
      </c>
    </row>
    <row r="268" spans="1:21" x14ac:dyDescent="0.25">
      <c r="A268" s="9" t="s">
        <v>36</v>
      </c>
      <c r="B268" s="9"/>
      <c r="C268" s="17">
        <v>4291.3</v>
      </c>
      <c r="D268" s="18">
        <v>37.018000000000001</v>
      </c>
      <c r="E268" s="18">
        <v>38.741999999999997</v>
      </c>
      <c r="F268" s="18">
        <v>41.134999999999998</v>
      </c>
      <c r="G268" s="18">
        <v>12.89</v>
      </c>
      <c r="H268" s="18">
        <f t="shared" si="10"/>
        <v>37.748125000000002</v>
      </c>
      <c r="I268" s="5"/>
      <c r="J268" s="17">
        <v>2926.96</v>
      </c>
      <c r="K268" s="18">
        <v>37.5916</v>
      </c>
      <c r="L268" s="18">
        <v>39.388399999999997</v>
      </c>
      <c r="M268" s="18">
        <v>41.8566</v>
      </c>
      <c r="N268" s="18">
        <v>13.466200000000001</v>
      </c>
      <c r="O268" s="18">
        <f t="shared" si="11"/>
        <v>38.349325</v>
      </c>
      <c r="P268" s="7"/>
      <c r="Q268" s="10"/>
      <c r="R268" s="11"/>
      <c r="S268" s="11"/>
      <c r="T268" s="26"/>
      <c r="U268" s="28">
        <f t="shared" si="12"/>
        <v>4.4701318851823123E-2</v>
      </c>
    </row>
    <row r="269" spans="1:21" x14ac:dyDescent="0.25">
      <c r="B269" s="9"/>
      <c r="C269" s="17">
        <v>2817.53</v>
      </c>
      <c r="D269" s="18">
        <v>35.475000000000001</v>
      </c>
      <c r="E269" s="18">
        <v>38.042000000000002</v>
      </c>
      <c r="F269" s="18">
        <v>40.386000000000003</v>
      </c>
      <c r="G269" s="18">
        <v>13.8</v>
      </c>
      <c r="H269" s="18">
        <f t="shared" si="10"/>
        <v>36.409750000000003</v>
      </c>
      <c r="I269" s="5"/>
      <c r="J269" s="17">
        <v>1912.5648000000001</v>
      </c>
      <c r="K269" s="18">
        <v>36.218000000000004</v>
      </c>
      <c r="L269" s="18">
        <v>38.666200000000003</v>
      </c>
      <c r="M269" s="18">
        <v>40.992600000000003</v>
      </c>
      <c r="N269" s="18">
        <v>15.9727</v>
      </c>
      <c r="O269" s="18">
        <f t="shared" si="11"/>
        <v>37.120850000000004</v>
      </c>
      <c r="P269" s="7"/>
      <c r="Q269" s="10"/>
      <c r="R269" s="11"/>
      <c r="S269" s="11"/>
      <c r="T269" s="26"/>
      <c r="U269" s="28">
        <f t="shared" si="12"/>
        <v>0.15744202898550716</v>
      </c>
    </row>
    <row r="270" spans="1:21" ht="16.5" thickBot="1" x14ac:dyDescent="0.3">
      <c r="B270" s="12"/>
      <c r="C270" s="19">
        <v>1397.86</v>
      </c>
      <c r="D270" s="20">
        <v>32.298000000000002</v>
      </c>
      <c r="E270" s="20">
        <v>36.923999999999999</v>
      </c>
      <c r="F270" s="20">
        <v>39.241999999999997</v>
      </c>
      <c r="G270" s="20">
        <v>14.91</v>
      </c>
      <c r="H270" s="20">
        <f t="shared" si="10"/>
        <v>33.744250000000001</v>
      </c>
      <c r="I270" s="5"/>
      <c r="J270" s="19">
        <v>919.38080000000002</v>
      </c>
      <c r="K270" s="20">
        <v>33.4861</v>
      </c>
      <c r="L270" s="20">
        <v>37.1265</v>
      </c>
      <c r="M270" s="20">
        <v>39.324599999999997</v>
      </c>
      <c r="N270" s="20">
        <v>22.255199999999999</v>
      </c>
      <c r="O270" s="20">
        <f t="shared" si="11"/>
        <v>34.670962500000002</v>
      </c>
      <c r="P270" s="7"/>
      <c r="Q270" s="13"/>
      <c r="R270" s="14"/>
      <c r="S270" s="14"/>
      <c r="T270" s="27"/>
      <c r="U270" s="28">
        <f t="shared" si="12"/>
        <v>0.49263581488933589</v>
      </c>
    </row>
    <row r="271" spans="1:21" x14ac:dyDescent="0.25">
      <c r="B271" s="6" t="s">
        <v>47</v>
      </c>
      <c r="C271" s="15">
        <v>6839.46</v>
      </c>
      <c r="D271" s="16">
        <v>30.146999999999998</v>
      </c>
      <c r="E271" s="16">
        <v>39.950000000000003</v>
      </c>
      <c r="F271" s="16">
        <v>40.662999999999997</v>
      </c>
      <c r="G271" s="16">
        <v>9.09</v>
      </c>
      <c r="H271" s="16">
        <f t="shared" si="10"/>
        <v>32.686875000000001</v>
      </c>
      <c r="I271" s="5"/>
      <c r="J271" s="15">
        <v>4173.576</v>
      </c>
      <c r="K271" s="16">
        <v>30.033200000000001</v>
      </c>
      <c r="L271" s="16">
        <v>40.123899999999999</v>
      </c>
      <c r="M271" s="16">
        <v>40.991500000000002</v>
      </c>
      <c r="N271" s="16">
        <v>7.6308999999999996</v>
      </c>
      <c r="O271" s="16">
        <f t="shared" si="11"/>
        <v>32.664325000000005</v>
      </c>
      <c r="P271" s="7"/>
      <c r="Q271" s="8">
        <f>bdrate(C271:C274,D271:D274,J271:J274,K271:K274)</f>
        <v>-0.41672124716327108</v>
      </c>
      <c r="R271" s="8">
        <f>bdrate(C271:C274,E271:E274,J271:J274,L271:L274)</f>
        <v>-0.30600077332195053</v>
      </c>
      <c r="S271" s="8">
        <f>bdrate(C271:C274,F271:F274,J271:J274,M271:M274)</f>
        <v>-0.39564268870992136</v>
      </c>
      <c r="T271" s="25">
        <f>bdrate(C271:C274,H271:H274,J271:J274,O271:O274)</f>
        <v>-0.41352402176625358</v>
      </c>
      <c r="U271" s="28">
        <f t="shared" si="12"/>
        <v>-0.16051705170517055</v>
      </c>
    </row>
    <row r="272" spans="1:21" x14ac:dyDescent="0.25">
      <c r="B272" s="9"/>
      <c r="C272" s="17">
        <v>5144.6400000000003</v>
      </c>
      <c r="D272" s="18">
        <v>28.654</v>
      </c>
      <c r="E272" s="18">
        <v>39.453000000000003</v>
      </c>
      <c r="F272" s="18">
        <v>40.198</v>
      </c>
      <c r="G272" s="18">
        <v>10.11</v>
      </c>
      <c r="H272" s="18">
        <f t="shared" si="10"/>
        <v>31.446875000000002</v>
      </c>
      <c r="I272" s="5"/>
      <c r="J272" s="17">
        <v>3111.3984</v>
      </c>
      <c r="K272" s="18">
        <v>28.690999999999999</v>
      </c>
      <c r="L272" s="18">
        <v>39.497700000000002</v>
      </c>
      <c r="M272" s="18">
        <v>40.476999999999997</v>
      </c>
      <c r="N272" s="18">
        <v>9.2012999999999998</v>
      </c>
      <c r="O272" s="18">
        <f t="shared" si="11"/>
        <v>31.5150875</v>
      </c>
      <c r="P272" s="7"/>
      <c r="Q272" s="10"/>
      <c r="R272" s="11"/>
      <c r="S272" s="11"/>
      <c r="T272" s="26"/>
      <c r="U272" s="28">
        <f t="shared" si="12"/>
        <v>-8.9881305637982162E-2</v>
      </c>
    </row>
    <row r="273" spans="1:21" x14ac:dyDescent="0.25">
      <c r="B273" s="9"/>
      <c r="C273" s="17">
        <v>3429</v>
      </c>
      <c r="D273" s="18">
        <v>26.683</v>
      </c>
      <c r="E273" s="18">
        <v>38.826999999999998</v>
      </c>
      <c r="F273" s="18">
        <v>39.573999999999998</v>
      </c>
      <c r="G273" s="18">
        <v>10.74</v>
      </c>
      <c r="H273" s="18">
        <f t="shared" si="10"/>
        <v>29.812375000000003</v>
      </c>
      <c r="I273" s="5"/>
      <c r="J273" s="17">
        <v>2093.5855999999999</v>
      </c>
      <c r="K273" s="18">
        <v>26.9421</v>
      </c>
      <c r="L273" s="18">
        <v>38.5471</v>
      </c>
      <c r="M273" s="18">
        <v>39.636600000000001</v>
      </c>
      <c r="N273" s="18">
        <v>11.250299999999999</v>
      </c>
      <c r="O273" s="18">
        <f t="shared" si="11"/>
        <v>29.979537499999999</v>
      </c>
      <c r="P273" s="7"/>
      <c r="Q273" s="10"/>
      <c r="R273" s="11"/>
      <c r="S273" s="11"/>
      <c r="T273" s="26"/>
      <c r="U273" s="28">
        <f t="shared" si="12"/>
        <v>4.751396648044684E-2</v>
      </c>
    </row>
    <row r="274" spans="1:21" ht="16.5" thickBot="1" x14ac:dyDescent="0.3">
      <c r="B274" s="12"/>
      <c r="C274" s="19">
        <v>1654.94</v>
      </c>
      <c r="D274" s="20">
        <v>23.427</v>
      </c>
      <c r="E274" s="20">
        <v>37.423000000000002</v>
      </c>
      <c r="F274" s="20">
        <v>38.295999999999999</v>
      </c>
      <c r="G274" s="20">
        <v>11.99</v>
      </c>
      <c r="H274" s="20">
        <f t="shared" si="10"/>
        <v>27.035125000000001</v>
      </c>
      <c r="I274" s="5"/>
      <c r="J274" s="19">
        <v>1366.0416</v>
      </c>
      <c r="K274" s="20">
        <v>25.489799999999999</v>
      </c>
      <c r="L274" s="20">
        <v>37.2669</v>
      </c>
      <c r="M274" s="20">
        <v>38.422699999999999</v>
      </c>
      <c r="N274" s="20">
        <v>13.081</v>
      </c>
      <c r="O274" s="20">
        <f t="shared" si="11"/>
        <v>28.578549999999996</v>
      </c>
      <c r="P274" s="7"/>
      <c r="Q274" s="13"/>
      <c r="R274" s="14"/>
      <c r="S274" s="14"/>
      <c r="T274" s="27"/>
      <c r="U274" s="28">
        <f t="shared" si="12"/>
        <v>9.0992493744787267E-2</v>
      </c>
    </row>
    <row r="275" spans="1:21" x14ac:dyDescent="0.25">
      <c r="A275" s="6" t="s">
        <v>37</v>
      </c>
      <c r="B275" s="6" t="s">
        <v>48</v>
      </c>
      <c r="C275" s="15">
        <v>3037.23</v>
      </c>
      <c r="D275" s="16">
        <v>39.088000000000001</v>
      </c>
      <c r="E275" s="16">
        <v>41.853999999999999</v>
      </c>
      <c r="F275" s="16">
        <v>42.98</v>
      </c>
      <c r="G275" s="16">
        <v>18.399999999999999</v>
      </c>
      <c r="H275" s="16">
        <f t="shared" si="10"/>
        <v>39.920250000000003</v>
      </c>
      <c r="I275" s="5"/>
      <c r="J275" s="15">
        <v>2439.9416000000001</v>
      </c>
      <c r="K275" s="16">
        <v>39.471699999999998</v>
      </c>
      <c r="L275" s="16">
        <v>42.1111</v>
      </c>
      <c r="M275" s="16">
        <v>43.602699999999999</v>
      </c>
      <c r="N275" s="16">
        <v>16.469899999999999</v>
      </c>
      <c r="O275" s="16">
        <f t="shared" si="11"/>
        <v>40.317999999999998</v>
      </c>
      <c r="P275" s="7"/>
      <c r="Q275" s="8">
        <f>bdrate(C275:C278,D275:D278,J275:J278,K275:K278)</f>
        <v>-0.37818847852280757</v>
      </c>
      <c r="R275" s="8">
        <f>bdrate(C275:C278,E275:E278,J275:J278,L275:L278)</f>
        <v>-0.3552184724089934</v>
      </c>
      <c r="S275" s="8">
        <f>bdrate(C275:C278,F275:F278,J275:J278,M275:M278)</f>
        <v>-0.45298046278210202</v>
      </c>
      <c r="T275" s="25">
        <f>bdrate(C275:C278,H275:H278,J275:J278,O275:O278)</f>
        <v>-0.38278373652760156</v>
      </c>
      <c r="U275" s="28">
        <f t="shared" si="12"/>
        <v>-0.10489673913043476</v>
      </c>
    </row>
    <row r="276" spans="1:21" x14ac:dyDescent="0.25">
      <c r="A276" s="9" t="s">
        <v>38</v>
      </c>
      <c r="B276" s="9"/>
      <c r="C276" s="17">
        <v>1995.7</v>
      </c>
      <c r="D276" s="18">
        <v>37.64</v>
      </c>
      <c r="E276" s="18">
        <v>41.094999999999999</v>
      </c>
      <c r="F276" s="18">
        <v>42.12</v>
      </c>
      <c r="G276" s="18">
        <v>21.13</v>
      </c>
      <c r="H276" s="18">
        <f t="shared" si="10"/>
        <v>38.631875000000001</v>
      </c>
      <c r="I276" s="5"/>
      <c r="J276" s="17">
        <v>1615.2496000000001</v>
      </c>
      <c r="K276" s="18">
        <v>38.323599999999999</v>
      </c>
      <c r="L276" s="18">
        <v>41.458199999999998</v>
      </c>
      <c r="M276" s="18">
        <v>42.806199999999997</v>
      </c>
      <c r="N276" s="18">
        <v>20.401199999999999</v>
      </c>
      <c r="O276" s="18">
        <f t="shared" si="11"/>
        <v>39.275749999999995</v>
      </c>
      <c r="P276" s="7"/>
      <c r="Q276" s="10"/>
      <c r="R276" s="11"/>
      <c r="S276" s="11"/>
      <c r="T276" s="26"/>
      <c r="U276" s="28">
        <f t="shared" si="12"/>
        <v>-3.4491244675816359E-2</v>
      </c>
    </row>
    <row r="277" spans="1:21" x14ac:dyDescent="0.25">
      <c r="B277" s="9"/>
      <c r="C277" s="17">
        <v>1233.77</v>
      </c>
      <c r="D277" s="18">
        <v>35.718000000000004</v>
      </c>
      <c r="E277" s="18">
        <v>40.301000000000002</v>
      </c>
      <c r="F277" s="18">
        <v>41.212000000000003</v>
      </c>
      <c r="G277" s="18">
        <v>24.04</v>
      </c>
      <c r="H277" s="18">
        <f t="shared" si="10"/>
        <v>36.977625000000003</v>
      </c>
      <c r="I277" s="5"/>
      <c r="J277" s="17">
        <v>988.2672</v>
      </c>
      <c r="K277" s="18">
        <v>36.8033</v>
      </c>
      <c r="L277" s="18">
        <v>40.6646</v>
      </c>
      <c r="M277" s="18">
        <v>41.924999999999997</v>
      </c>
      <c r="N277" s="18">
        <v>25.212700000000002</v>
      </c>
      <c r="O277" s="18">
        <f t="shared" si="11"/>
        <v>37.926175000000001</v>
      </c>
      <c r="P277" s="7"/>
      <c r="Q277" s="10"/>
      <c r="R277" s="11"/>
      <c r="S277" s="11"/>
      <c r="T277" s="26"/>
      <c r="U277" s="28">
        <f t="shared" si="12"/>
        <v>4.8781198003327891E-2</v>
      </c>
    </row>
    <row r="278" spans="1:21" ht="16.5" thickBot="1" x14ac:dyDescent="0.3">
      <c r="B278" s="12"/>
      <c r="C278" s="19">
        <v>736.2</v>
      </c>
      <c r="D278" s="20">
        <v>33.401000000000003</v>
      </c>
      <c r="E278" s="20">
        <v>39.384999999999998</v>
      </c>
      <c r="F278" s="20">
        <v>40.356000000000002</v>
      </c>
      <c r="G278" s="20">
        <v>26.62</v>
      </c>
      <c r="H278" s="20">
        <f t="shared" si="10"/>
        <v>35.018374999999999</v>
      </c>
      <c r="I278" s="5"/>
      <c r="J278" s="19">
        <v>575.65920000000006</v>
      </c>
      <c r="K278" s="20">
        <v>35.0169</v>
      </c>
      <c r="L278" s="20">
        <v>39.832000000000001</v>
      </c>
      <c r="M278" s="20">
        <v>41.089100000000002</v>
      </c>
      <c r="N278" s="20">
        <v>31.0639</v>
      </c>
      <c r="O278" s="20">
        <f t="shared" si="11"/>
        <v>36.377812500000005</v>
      </c>
      <c r="P278" s="7"/>
      <c r="Q278" s="13"/>
      <c r="R278" s="14"/>
      <c r="S278" s="14"/>
      <c r="T278" s="27"/>
      <c r="U278" s="28">
        <f t="shared" si="12"/>
        <v>0.16693839218632603</v>
      </c>
    </row>
    <row r="279" spans="1:21" x14ac:dyDescent="0.25">
      <c r="B279" s="6" t="s">
        <v>49</v>
      </c>
      <c r="C279" s="15">
        <v>3436.03</v>
      </c>
      <c r="D279" s="16">
        <v>36.549999999999997</v>
      </c>
      <c r="E279" s="16">
        <v>39.44</v>
      </c>
      <c r="F279" s="16">
        <v>40.624000000000002</v>
      </c>
      <c r="G279" s="16">
        <v>20.65</v>
      </c>
      <c r="H279" s="16">
        <f t="shared" si="10"/>
        <v>37.420500000000004</v>
      </c>
      <c r="I279" s="5"/>
      <c r="J279" s="15">
        <v>2528.3184000000001</v>
      </c>
      <c r="K279" s="16">
        <v>36.708199999999998</v>
      </c>
      <c r="L279" s="16">
        <v>40.320799999999998</v>
      </c>
      <c r="M279" s="16">
        <v>41.547400000000003</v>
      </c>
      <c r="N279" s="16">
        <v>16.6309</v>
      </c>
      <c r="O279" s="16">
        <f t="shared" si="11"/>
        <v>37.764674999999997</v>
      </c>
      <c r="P279" s="7"/>
      <c r="Q279" s="8">
        <f>bdrate(C279:C282,D279:D282,J279:J282,K279:K282)</f>
        <v>-0.33850269135896716</v>
      </c>
      <c r="R279" s="8">
        <f>bdrate(C279:C282,E279:E282,J279:J282,L279:L282)</f>
        <v>-0.47173468462673074</v>
      </c>
      <c r="S279" s="8">
        <f>bdrate(C279:C282,F279:F282,J279:J282,M279:M282)</f>
        <v>-0.45703840935502793</v>
      </c>
      <c r="T279" s="25">
        <f>bdrate(C279:C282,H279:H282,J279:J282,O279:O282)</f>
        <v>-0.36208326331683116</v>
      </c>
      <c r="U279" s="28">
        <f t="shared" si="12"/>
        <v>-0.19462953995157378</v>
      </c>
    </row>
    <row r="280" spans="1:21" x14ac:dyDescent="0.25">
      <c r="B280" s="9"/>
      <c r="C280" s="17">
        <v>2263.19</v>
      </c>
      <c r="D280" s="18">
        <v>35.164999999999999</v>
      </c>
      <c r="E280" s="18">
        <v>38.698</v>
      </c>
      <c r="F280" s="18">
        <v>39.985999999999997</v>
      </c>
      <c r="G280" s="18">
        <v>22.79</v>
      </c>
      <c r="H280" s="18">
        <f t="shared" si="10"/>
        <v>36.209250000000004</v>
      </c>
      <c r="I280" s="5"/>
      <c r="J280" s="17">
        <v>1684.8768</v>
      </c>
      <c r="K280" s="18">
        <v>35.440600000000003</v>
      </c>
      <c r="L280" s="18">
        <v>39.509</v>
      </c>
      <c r="M280" s="18">
        <v>40.735399999999998</v>
      </c>
      <c r="N280" s="18">
        <v>20.927800000000001</v>
      </c>
      <c r="O280" s="18">
        <f t="shared" si="11"/>
        <v>36.611000000000004</v>
      </c>
      <c r="P280" s="7"/>
      <c r="Q280" s="10"/>
      <c r="R280" s="11"/>
      <c r="S280" s="11"/>
      <c r="T280" s="26"/>
      <c r="U280" s="28">
        <f t="shared" si="12"/>
        <v>-8.1711276875822636E-2</v>
      </c>
    </row>
    <row r="281" spans="1:21" x14ac:dyDescent="0.25">
      <c r="B281" s="9"/>
      <c r="C281" s="17">
        <v>1408.27</v>
      </c>
      <c r="D281" s="18">
        <v>33.475000000000001</v>
      </c>
      <c r="E281" s="18">
        <v>37.924999999999997</v>
      </c>
      <c r="F281" s="18">
        <v>39.350999999999999</v>
      </c>
      <c r="G281" s="18">
        <v>25.18</v>
      </c>
      <c r="H281" s="18">
        <f t="shared" si="10"/>
        <v>34.765750000000004</v>
      </c>
      <c r="I281" s="5"/>
      <c r="J281" s="17">
        <v>1044.0952</v>
      </c>
      <c r="K281" s="18">
        <v>33.927799999999998</v>
      </c>
      <c r="L281" s="18">
        <v>38.506399999999999</v>
      </c>
      <c r="M281" s="18">
        <v>39.774999999999999</v>
      </c>
      <c r="N281" s="18">
        <v>25.943100000000001</v>
      </c>
      <c r="O281" s="18">
        <f t="shared" si="11"/>
        <v>35.231024999999995</v>
      </c>
      <c r="P281" s="7"/>
      <c r="Q281" s="10"/>
      <c r="R281" s="11"/>
      <c r="S281" s="11"/>
      <c r="T281" s="26"/>
      <c r="U281" s="28">
        <f t="shared" si="12"/>
        <v>3.0305798252581471E-2</v>
      </c>
    </row>
    <row r="282" spans="1:21" ht="16.5" thickBot="1" x14ac:dyDescent="0.3">
      <c r="B282" s="12"/>
      <c r="C282" s="19">
        <v>839.46</v>
      </c>
      <c r="D282" s="20">
        <v>31.591999999999999</v>
      </c>
      <c r="E282" s="20">
        <v>37.174999999999997</v>
      </c>
      <c r="F282" s="20">
        <v>38.746000000000002</v>
      </c>
      <c r="G282" s="20">
        <v>27.67</v>
      </c>
      <c r="H282" s="20">
        <f t="shared" si="10"/>
        <v>33.184124999999995</v>
      </c>
      <c r="I282" s="5"/>
      <c r="J282" s="19">
        <v>614.62159999999994</v>
      </c>
      <c r="K282" s="20">
        <v>32.261499999999998</v>
      </c>
      <c r="L282" s="20">
        <v>37.405900000000003</v>
      </c>
      <c r="M282" s="20">
        <v>38.8658</v>
      </c>
      <c r="N282" s="20">
        <v>32.591000000000001</v>
      </c>
      <c r="O282" s="20">
        <f t="shared" si="11"/>
        <v>33.730087499999996</v>
      </c>
      <c r="P282" s="7"/>
      <c r="Q282" s="13"/>
      <c r="R282" s="14"/>
      <c r="S282" s="14"/>
      <c r="T282" s="27"/>
      <c r="U282" s="28">
        <f t="shared" si="12"/>
        <v>0.17784604264546436</v>
      </c>
    </row>
    <row r="283" spans="1:21" x14ac:dyDescent="0.25">
      <c r="B283" s="6" t="s">
        <v>50</v>
      </c>
      <c r="C283" s="15">
        <v>3527.68</v>
      </c>
      <c r="D283" s="16">
        <v>34.64</v>
      </c>
      <c r="E283" s="16">
        <v>38.149000000000001</v>
      </c>
      <c r="F283" s="16">
        <v>39.862000000000002</v>
      </c>
      <c r="G283" s="16">
        <v>24.39</v>
      </c>
      <c r="H283" s="16">
        <f t="shared" si="10"/>
        <v>35.731375</v>
      </c>
      <c r="I283" s="5"/>
      <c r="J283" s="15">
        <v>2473.3879999999999</v>
      </c>
      <c r="K283" s="16">
        <v>34.957700000000003</v>
      </c>
      <c r="L283" s="16">
        <v>38.369</v>
      </c>
      <c r="M283" s="16">
        <v>40.622500000000002</v>
      </c>
      <c r="N283" s="16">
        <v>21.835999999999999</v>
      </c>
      <c r="O283" s="16">
        <f t="shared" si="11"/>
        <v>36.092212500000002</v>
      </c>
      <c r="P283" s="7"/>
      <c r="Q283" s="8">
        <f>bdrate(C283:C286,D283:D286,J283:J286,K283:K286)</f>
        <v>-0.44507689208395762</v>
      </c>
      <c r="R283" s="8">
        <f>bdrate(C283:C286,E283:E286,J283:J286,L283:L286)</f>
        <v>-0.44011364175680701</v>
      </c>
      <c r="S283" s="8">
        <f>bdrate(C283:C286,F283:F286,J283:J286,M283:M286)</f>
        <v>-0.47179838740896407</v>
      </c>
      <c r="T283" s="25">
        <f>bdrate(C283:C286,H283:H286,J283:J286,O283:O286)</f>
        <v>-0.44873394742323303</v>
      </c>
      <c r="U283" s="28">
        <f t="shared" si="12"/>
        <v>-0.10471504715047159</v>
      </c>
    </row>
    <row r="284" spans="1:21" x14ac:dyDescent="0.25">
      <c r="B284" s="9"/>
      <c r="C284" s="17">
        <v>2352.4699999999998</v>
      </c>
      <c r="D284" s="18">
        <v>33.226999999999997</v>
      </c>
      <c r="E284" s="18">
        <v>37.581000000000003</v>
      </c>
      <c r="F284" s="18">
        <v>38.969000000000001</v>
      </c>
      <c r="G284" s="18">
        <v>27.46</v>
      </c>
      <c r="H284" s="18">
        <f t="shared" si="10"/>
        <v>34.488999999999997</v>
      </c>
      <c r="I284" s="5"/>
      <c r="J284" s="17">
        <v>1645.1487999999999</v>
      </c>
      <c r="K284" s="18">
        <v>33.859900000000003</v>
      </c>
      <c r="L284" s="18">
        <v>37.918700000000001</v>
      </c>
      <c r="M284" s="18">
        <v>39.681600000000003</v>
      </c>
      <c r="N284" s="18">
        <v>27.110600000000002</v>
      </c>
      <c r="O284" s="18">
        <f t="shared" si="11"/>
        <v>35.094962500000001</v>
      </c>
      <c r="P284" s="7"/>
      <c r="Q284" s="10"/>
      <c r="R284" s="11"/>
      <c r="S284" s="11"/>
      <c r="T284" s="26"/>
      <c r="U284" s="28">
        <f t="shared" si="12"/>
        <v>-1.2723962126729762E-2</v>
      </c>
    </row>
    <row r="285" spans="1:21" x14ac:dyDescent="0.25">
      <c r="B285" s="9"/>
      <c r="C285" s="17">
        <v>1463.87</v>
      </c>
      <c r="D285" s="18">
        <v>31.395</v>
      </c>
      <c r="E285" s="18">
        <v>36.923000000000002</v>
      </c>
      <c r="F285" s="18">
        <v>37.832999999999998</v>
      </c>
      <c r="G285" s="18">
        <v>29.78</v>
      </c>
      <c r="H285" s="18">
        <f t="shared" si="10"/>
        <v>32.890749999999997</v>
      </c>
      <c r="I285" s="5"/>
      <c r="J285" s="17">
        <v>1024.3496</v>
      </c>
      <c r="K285" s="18">
        <v>32.346899999999998</v>
      </c>
      <c r="L285" s="18">
        <v>37.250799999999998</v>
      </c>
      <c r="M285" s="18">
        <v>38.489100000000001</v>
      </c>
      <c r="N285" s="18">
        <v>33.413499999999999</v>
      </c>
      <c r="O285" s="18">
        <f t="shared" si="11"/>
        <v>33.727662499999994</v>
      </c>
      <c r="P285" s="7"/>
      <c r="Q285" s="10"/>
      <c r="R285" s="11"/>
      <c r="S285" s="11"/>
      <c r="T285" s="26"/>
      <c r="U285" s="28">
        <f t="shared" si="12"/>
        <v>0.1220114170584284</v>
      </c>
    </row>
    <row r="286" spans="1:21" ht="16.5" thickBot="1" x14ac:dyDescent="0.3">
      <c r="B286" s="12"/>
      <c r="C286" s="19">
        <v>882.69</v>
      </c>
      <c r="D286" s="20">
        <v>29.251000000000001</v>
      </c>
      <c r="E286" s="20">
        <v>36.220999999999997</v>
      </c>
      <c r="F286" s="20">
        <v>36.76</v>
      </c>
      <c r="G286" s="20">
        <v>30.47</v>
      </c>
      <c r="H286" s="20">
        <f t="shared" si="10"/>
        <v>31.060874999999999</v>
      </c>
      <c r="I286" s="5"/>
      <c r="J286" s="19">
        <v>604.12239999999997</v>
      </c>
      <c r="K286" s="20">
        <v>30.6069</v>
      </c>
      <c r="L286" s="20">
        <v>36.407600000000002</v>
      </c>
      <c r="M286" s="20">
        <v>37.208199999999998</v>
      </c>
      <c r="N286" s="20">
        <v>44.318399999999997</v>
      </c>
      <c r="O286" s="20">
        <f t="shared" si="11"/>
        <v>32.157150000000001</v>
      </c>
      <c r="P286" s="7"/>
      <c r="Q286" s="13"/>
      <c r="R286" s="14"/>
      <c r="S286" s="14"/>
      <c r="T286" s="27"/>
      <c r="U286" s="28">
        <f t="shared" si="12"/>
        <v>0.4544929438792254</v>
      </c>
    </row>
    <row r="287" spans="1:21" x14ac:dyDescent="0.25">
      <c r="B287" s="6" t="s">
        <v>51</v>
      </c>
      <c r="C287" s="29">
        <v>3575.71</v>
      </c>
      <c r="D287" s="30">
        <v>34.281999999999996</v>
      </c>
      <c r="E287" s="30">
        <v>39.92</v>
      </c>
      <c r="F287" s="30">
        <v>39.619999999999997</v>
      </c>
      <c r="G287" s="16">
        <v>21.73</v>
      </c>
      <c r="H287" s="16">
        <f t="shared" si="10"/>
        <v>35.653999999999996</v>
      </c>
      <c r="I287" s="5"/>
      <c r="J287" s="29">
        <v>2478.9479999999999</v>
      </c>
      <c r="K287" s="30">
        <v>34.709099999999999</v>
      </c>
      <c r="L287" s="30">
        <v>40.5229</v>
      </c>
      <c r="M287" s="30">
        <v>39.992600000000003</v>
      </c>
      <c r="N287" s="16">
        <v>18.9739</v>
      </c>
      <c r="O287" s="16">
        <f t="shared" si="11"/>
        <v>36.096262499999995</v>
      </c>
      <c r="P287" s="7"/>
      <c r="Q287" s="8">
        <f>bdrate(C287:C290,D287:D290,J287:J290,K287:K290)</f>
        <v>-0.47712992077361149</v>
      </c>
      <c r="R287" s="8">
        <f>bdrate(C287:C290,E287:E290,J287:J290,L287:L290)</f>
        <v>-0.49861389450420335</v>
      </c>
      <c r="S287" s="8">
        <f>bdrate(C287:C290,F287:F290,J287:J290,M287:M290)</f>
        <v>-0.38194240466581553</v>
      </c>
      <c r="T287" s="25">
        <f>bdrate(C287:C290,H287:H290,J287:J290,O287:O290)</f>
        <v>-0.47155967324170023</v>
      </c>
      <c r="U287" s="28">
        <f t="shared" si="12"/>
        <v>-0.12683387022549469</v>
      </c>
    </row>
    <row r="288" spans="1:21" x14ac:dyDescent="0.25">
      <c r="B288" s="9"/>
      <c r="C288" s="31">
        <v>2378.0500000000002</v>
      </c>
      <c r="D288" s="32">
        <v>32.619999999999997</v>
      </c>
      <c r="E288" s="32">
        <v>39.075000000000003</v>
      </c>
      <c r="F288" s="32">
        <v>38.512999999999998</v>
      </c>
      <c r="G288" s="18">
        <v>25.02</v>
      </c>
      <c r="H288" s="18">
        <f t="shared" si="10"/>
        <v>34.163499999999992</v>
      </c>
      <c r="I288" s="5"/>
      <c r="J288" s="31">
        <v>1653.4728</v>
      </c>
      <c r="K288" s="32">
        <v>33.434699999999999</v>
      </c>
      <c r="L288" s="32">
        <v>39.732700000000001</v>
      </c>
      <c r="M288" s="32">
        <v>38.835000000000001</v>
      </c>
      <c r="N288" s="18">
        <v>23.412600000000001</v>
      </c>
      <c r="O288" s="18">
        <f t="shared" si="11"/>
        <v>34.896987500000002</v>
      </c>
      <c r="P288" s="7"/>
      <c r="Q288" s="10"/>
      <c r="R288" s="11"/>
      <c r="S288" s="11"/>
      <c r="T288" s="26"/>
      <c r="U288" s="28">
        <f t="shared" si="12"/>
        <v>-6.4244604316546702E-2</v>
      </c>
    </row>
    <row r="289" spans="1:21" x14ac:dyDescent="0.25">
      <c r="B289" s="9"/>
      <c r="C289" s="31">
        <v>1473.32</v>
      </c>
      <c r="D289" s="32">
        <v>30.318999999999999</v>
      </c>
      <c r="E289" s="32">
        <v>38.033999999999999</v>
      </c>
      <c r="F289" s="32">
        <v>37.125999999999998</v>
      </c>
      <c r="G289" s="18">
        <v>26.98</v>
      </c>
      <c r="H289" s="18">
        <f t="shared" si="10"/>
        <v>32.134249999999994</v>
      </c>
      <c r="I289" s="5"/>
      <c r="J289" s="31">
        <v>1035.3616</v>
      </c>
      <c r="K289" s="32">
        <v>31.863199999999999</v>
      </c>
      <c r="L289" s="32">
        <v>38.8063</v>
      </c>
      <c r="M289" s="32">
        <v>37.472999999999999</v>
      </c>
      <c r="N289" s="18">
        <v>28.7422</v>
      </c>
      <c r="O289" s="18">
        <f t="shared" si="11"/>
        <v>33.432312499999995</v>
      </c>
      <c r="P289" s="7"/>
      <c r="Q289" s="10"/>
      <c r="R289" s="11"/>
      <c r="S289" s="11"/>
      <c r="T289" s="26"/>
      <c r="U289" s="28">
        <f t="shared" si="12"/>
        <v>6.5315048183839874E-2</v>
      </c>
    </row>
    <row r="290" spans="1:21" ht="16.5" thickBot="1" x14ac:dyDescent="0.3">
      <c r="B290" s="12"/>
      <c r="C290" s="33">
        <v>882.97</v>
      </c>
      <c r="D290" s="34">
        <v>27.428000000000001</v>
      </c>
      <c r="E290" s="34">
        <v>36.886000000000003</v>
      </c>
      <c r="F290" s="34">
        <v>35.284999999999997</v>
      </c>
      <c r="G290" s="20">
        <v>28.19</v>
      </c>
      <c r="H290" s="20">
        <f t="shared" si="10"/>
        <v>29.592375000000001</v>
      </c>
      <c r="I290" s="5"/>
      <c r="J290" s="33">
        <v>621.02560000000005</v>
      </c>
      <c r="K290" s="34">
        <v>30.0855</v>
      </c>
      <c r="L290" s="34">
        <v>37.5717</v>
      </c>
      <c r="M290" s="34">
        <v>35.954999999999998</v>
      </c>
      <c r="N290" s="20">
        <v>38.883299999999998</v>
      </c>
      <c r="O290" s="20">
        <f t="shared" si="11"/>
        <v>31.754962499999998</v>
      </c>
      <c r="P290" s="7"/>
      <c r="Q290" s="13"/>
      <c r="R290" s="14"/>
      <c r="S290" s="14"/>
      <c r="T290" s="27"/>
      <c r="U290" s="28">
        <f t="shared" si="12"/>
        <v>0.37932954948563308</v>
      </c>
    </row>
    <row r="291" spans="1:21" x14ac:dyDescent="0.25">
      <c r="B291" s="6" t="s">
        <v>52</v>
      </c>
      <c r="C291" s="15">
        <v>3604.69</v>
      </c>
      <c r="D291" s="16">
        <v>33.375999999999998</v>
      </c>
      <c r="E291" s="16">
        <v>39.079000000000001</v>
      </c>
      <c r="F291" s="16">
        <v>41.796999999999997</v>
      </c>
      <c r="G291" s="16">
        <v>26.62</v>
      </c>
      <c r="H291" s="16">
        <f t="shared" si="10"/>
        <v>35.141499999999994</v>
      </c>
      <c r="I291" s="5"/>
      <c r="J291" s="15">
        <v>2459.1224000000002</v>
      </c>
      <c r="K291" s="16">
        <v>34.000599999999999</v>
      </c>
      <c r="L291" s="16">
        <v>39.987299999999998</v>
      </c>
      <c r="M291" s="16">
        <v>42.468200000000003</v>
      </c>
      <c r="N291" s="16">
        <v>28.105699999999999</v>
      </c>
      <c r="O291" s="16">
        <f t="shared" si="11"/>
        <v>35.807387500000004</v>
      </c>
      <c r="P291" s="7"/>
      <c r="Q291" s="8">
        <f>bdrate(C291:C294,D291:D294,J291:J294,K291:K294)</f>
        <v>-0.58133271453935298</v>
      </c>
      <c r="R291" s="8">
        <f>bdrate(C291:C294,E291:E294,J291:J294,L291:L294)</f>
        <v>-0.61645270419324705</v>
      </c>
      <c r="S291" s="8">
        <f>bdrate(C291:C294,F291:F294,J291:J294,M291:M294)</f>
        <v>-0.55712219570392496</v>
      </c>
      <c r="T291" s="25">
        <f>bdrate(C291:C294,H291:H294,J291:J294,O291:O294)</f>
        <v>-0.58377440014034887</v>
      </c>
      <c r="U291" s="28">
        <f t="shared" si="12"/>
        <v>5.5811419984973618E-2</v>
      </c>
    </row>
    <row r="292" spans="1:21" x14ac:dyDescent="0.25">
      <c r="B292" s="9"/>
      <c r="C292" s="17">
        <v>2376.98</v>
      </c>
      <c r="D292" s="18">
        <v>32.459000000000003</v>
      </c>
      <c r="E292" s="18">
        <v>38.597999999999999</v>
      </c>
      <c r="F292" s="18">
        <v>41.276000000000003</v>
      </c>
      <c r="G292" s="18">
        <v>29.36</v>
      </c>
      <c r="H292" s="18">
        <f t="shared" si="10"/>
        <v>34.328500000000005</v>
      </c>
      <c r="I292" s="5"/>
      <c r="J292" s="17">
        <v>1607.1088</v>
      </c>
      <c r="K292" s="18">
        <v>33.375900000000001</v>
      </c>
      <c r="L292" s="18">
        <v>39.472499999999997</v>
      </c>
      <c r="M292" s="18">
        <v>41.999699999999997</v>
      </c>
      <c r="N292" s="18">
        <v>35.271299999999997</v>
      </c>
      <c r="O292" s="18">
        <f t="shared" si="11"/>
        <v>35.215949999999999</v>
      </c>
      <c r="P292" s="7"/>
      <c r="Q292" s="10"/>
      <c r="R292" s="11"/>
      <c r="S292" s="11"/>
      <c r="T292" s="26"/>
      <c r="U292" s="28">
        <f t="shared" si="12"/>
        <v>0.20133855585831054</v>
      </c>
    </row>
    <row r="293" spans="1:21" x14ac:dyDescent="0.25">
      <c r="B293" s="9"/>
      <c r="C293" s="17">
        <v>1466.57</v>
      </c>
      <c r="D293" s="18">
        <v>31.047000000000001</v>
      </c>
      <c r="E293" s="18">
        <v>38.087000000000003</v>
      </c>
      <c r="F293" s="18">
        <v>40.877000000000002</v>
      </c>
      <c r="G293" s="18">
        <v>30.65</v>
      </c>
      <c r="H293" s="18">
        <f t="shared" si="10"/>
        <v>33.155750000000005</v>
      </c>
      <c r="I293" s="5"/>
      <c r="J293" s="17">
        <v>991.18079999999998</v>
      </c>
      <c r="K293" s="18">
        <v>32.419800000000002</v>
      </c>
      <c r="L293" s="18">
        <v>38.731299999999997</v>
      </c>
      <c r="M293" s="18">
        <v>41.258499999999998</v>
      </c>
      <c r="N293" s="18">
        <v>44.3033</v>
      </c>
      <c r="O293" s="18">
        <f t="shared" si="11"/>
        <v>34.313575</v>
      </c>
      <c r="P293" s="7"/>
      <c r="Q293" s="10"/>
      <c r="R293" s="11"/>
      <c r="S293" s="11"/>
      <c r="T293" s="26"/>
      <c r="U293" s="28">
        <f t="shared" si="12"/>
        <v>0.44545840130505715</v>
      </c>
    </row>
    <row r="294" spans="1:21" ht="16.5" thickBot="1" x14ac:dyDescent="0.3">
      <c r="B294" s="12"/>
      <c r="C294" s="19">
        <v>862.06</v>
      </c>
      <c r="D294" s="20">
        <v>29.076000000000001</v>
      </c>
      <c r="E294" s="20">
        <v>37.462000000000003</v>
      </c>
      <c r="F294" s="20">
        <v>39.981000000000002</v>
      </c>
      <c r="G294" s="20">
        <v>31.47</v>
      </c>
      <c r="H294" s="20">
        <f t="shared" si="10"/>
        <v>31.487375</v>
      </c>
      <c r="I294" s="5"/>
      <c r="J294" s="19">
        <v>585.39919999999995</v>
      </c>
      <c r="K294" s="20">
        <v>31.058</v>
      </c>
      <c r="L294" s="20">
        <v>38.023000000000003</v>
      </c>
      <c r="M294" s="20">
        <v>40.5974</v>
      </c>
      <c r="N294" s="20">
        <v>55.886699999999998</v>
      </c>
      <c r="O294" s="20">
        <f t="shared" si="11"/>
        <v>33.121050000000004</v>
      </c>
      <c r="P294" s="7"/>
      <c r="Q294" s="13"/>
      <c r="R294" s="14"/>
      <c r="S294" s="14"/>
      <c r="T294" s="27"/>
      <c r="U294" s="28">
        <f t="shared" si="12"/>
        <v>0.77587225929456627</v>
      </c>
    </row>
    <row r="295" spans="1:21" x14ac:dyDescent="0.25">
      <c r="A295" s="6" t="s">
        <v>39</v>
      </c>
      <c r="B295" s="6" t="s">
        <v>53</v>
      </c>
      <c r="C295" s="15">
        <v>1557.08</v>
      </c>
      <c r="D295" s="16">
        <v>35.381999999999998</v>
      </c>
      <c r="E295" s="16">
        <v>38.765999999999998</v>
      </c>
      <c r="F295" s="16">
        <v>38.716999999999999</v>
      </c>
      <c r="G295" s="16">
        <v>100.79</v>
      </c>
      <c r="H295" s="16">
        <f t="shared" si="10"/>
        <v>36.221874999999997</v>
      </c>
      <c r="I295" s="5"/>
      <c r="J295" s="15">
        <v>1268.664</v>
      </c>
      <c r="K295" s="16">
        <v>36.768099999999997</v>
      </c>
      <c r="L295" s="16">
        <v>40.303899999999999</v>
      </c>
      <c r="M295" s="16">
        <v>40.281300000000002</v>
      </c>
      <c r="N295" s="16">
        <v>54.878700000000002</v>
      </c>
      <c r="O295" s="16">
        <f t="shared" si="11"/>
        <v>37.649224999999994</v>
      </c>
      <c r="P295" s="7"/>
      <c r="Q295" s="8">
        <f>bdrate(C295:C298,D295:D298,J295:J298,K295:K298)</f>
        <v>-0.40274199504295982</v>
      </c>
      <c r="R295" s="8">
        <f>bdrate(C295:C298,E295:E298,J295:J298,L295:L298)</f>
        <v>-0.46841397741603519</v>
      </c>
      <c r="S295" s="8">
        <f>bdrate(C295:C298,F295:F298,J295:J298,M295:M298)</f>
        <v>-0.42570305811027886</v>
      </c>
      <c r="T295" s="25">
        <f>bdrate(C295:C298,H295:H298,J295:J298,O295:O298)</f>
        <v>-0.4120117995917798</v>
      </c>
      <c r="U295" s="28">
        <f t="shared" si="12"/>
        <v>-0.45551443595594804</v>
      </c>
    </row>
    <row r="296" spans="1:21" x14ac:dyDescent="0.25">
      <c r="A296" s="9" t="s">
        <v>40</v>
      </c>
      <c r="B296" s="9"/>
      <c r="C296" s="17">
        <v>1036.6600000000001</v>
      </c>
      <c r="D296" s="18">
        <v>33.789000000000001</v>
      </c>
      <c r="E296" s="18">
        <v>37.5</v>
      </c>
      <c r="F296" s="18">
        <v>37.332000000000001</v>
      </c>
      <c r="G296" s="18">
        <v>116.55</v>
      </c>
      <c r="H296" s="18">
        <f t="shared" si="10"/>
        <v>34.695750000000004</v>
      </c>
      <c r="I296" s="5"/>
      <c r="J296" s="17">
        <v>842.70640000000003</v>
      </c>
      <c r="K296" s="18">
        <v>34.994599999999998</v>
      </c>
      <c r="L296" s="18">
        <v>38.867199999999997</v>
      </c>
      <c r="M296" s="18">
        <v>38.621600000000001</v>
      </c>
      <c r="N296" s="18">
        <v>65.146600000000007</v>
      </c>
      <c r="O296" s="18">
        <f t="shared" si="11"/>
        <v>35.932050000000004</v>
      </c>
      <c r="P296" s="7"/>
      <c r="Q296" s="10"/>
      <c r="R296" s="11"/>
      <c r="S296" s="11"/>
      <c r="T296" s="26"/>
      <c r="U296" s="28">
        <f t="shared" si="12"/>
        <v>-0.44104161304161299</v>
      </c>
    </row>
    <row r="297" spans="1:21" x14ac:dyDescent="0.25">
      <c r="B297" s="9"/>
      <c r="C297" s="17">
        <v>645.12</v>
      </c>
      <c r="D297" s="18">
        <v>31.861999999999998</v>
      </c>
      <c r="E297" s="18">
        <v>36.212000000000003</v>
      </c>
      <c r="F297" s="18">
        <v>35.890999999999998</v>
      </c>
      <c r="G297" s="18">
        <v>134.12</v>
      </c>
      <c r="H297" s="18">
        <f t="shared" si="10"/>
        <v>32.909375000000004</v>
      </c>
      <c r="I297" s="5"/>
      <c r="J297" s="17">
        <v>526.42079999999999</v>
      </c>
      <c r="K297" s="18">
        <v>33.108199999999997</v>
      </c>
      <c r="L297" s="18">
        <v>37.375900000000001</v>
      </c>
      <c r="M297" s="18">
        <v>36.951300000000003</v>
      </c>
      <c r="N297" s="18">
        <v>77.5916</v>
      </c>
      <c r="O297" s="18">
        <f t="shared" si="11"/>
        <v>34.122050000000002</v>
      </c>
      <c r="P297" s="7"/>
      <c r="Q297" s="10"/>
      <c r="R297" s="11"/>
      <c r="S297" s="11"/>
      <c r="T297" s="26"/>
      <c r="U297" s="28">
        <f t="shared" si="12"/>
        <v>-0.42147628988965108</v>
      </c>
    </row>
    <row r="298" spans="1:21" ht="16.5" thickBot="1" x14ac:dyDescent="0.3">
      <c r="B298" s="12"/>
      <c r="C298" s="19">
        <v>386.09</v>
      </c>
      <c r="D298" s="20">
        <v>29.614000000000001</v>
      </c>
      <c r="E298" s="20">
        <v>34.96</v>
      </c>
      <c r="F298" s="20">
        <v>34.423000000000002</v>
      </c>
      <c r="G298" s="20">
        <v>158.68</v>
      </c>
      <c r="H298" s="20">
        <f t="shared" si="10"/>
        <v>30.883375000000001</v>
      </c>
      <c r="I298" s="5"/>
      <c r="J298" s="19">
        <v>314.95119999999997</v>
      </c>
      <c r="K298" s="20">
        <v>31.148800000000001</v>
      </c>
      <c r="L298" s="20">
        <v>35.939700000000002</v>
      </c>
      <c r="M298" s="20">
        <v>35.2941</v>
      </c>
      <c r="N298" s="20">
        <v>96.246399999999994</v>
      </c>
      <c r="O298" s="20">
        <f t="shared" si="11"/>
        <v>32.265825000000007</v>
      </c>
      <c r="P298" s="7"/>
      <c r="Q298" s="13"/>
      <c r="R298" s="14"/>
      <c r="S298" s="14"/>
      <c r="T298" s="27"/>
      <c r="U298" s="28">
        <f t="shared" si="12"/>
        <v>-0.39345601209982362</v>
      </c>
    </row>
    <row r="299" spans="1:21" x14ac:dyDescent="0.25">
      <c r="B299" s="6" t="s">
        <v>54</v>
      </c>
      <c r="C299" s="15">
        <v>1569.88</v>
      </c>
      <c r="D299" s="16">
        <v>35.707999999999998</v>
      </c>
      <c r="E299" s="16">
        <v>40.116</v>
      </c>
      <c r="F299" s="16">
        <v>40.933999999999997</v>
      </c>
      <c r="G299" s="16">
        <v>112.13</v>
      </c>
      <c r="H299" s="16">
        <f t="shared" si="10"/>
        <v>36.91225</v>
      </c>
      <c r="I299" s="5"/>
      <c r="J299" s="15">
        <v>1283.1376</v>
      </c>
      <c r="K299" s="16">
        <v>36.325099999999999</v>
      </c>
      <c r="L299" s="16">
        <v>41.148299999999999</v>
      </c>
      <c r="M299" s="16">
        <v>42.017200000000003</v>
      </c>
      <c r="N299" s="16">
        <v>67.468800000000002</v>
      </c>
      <c r="O299" s="16">
        <f t="shared" si="11"/>
        <v>37.639512500000002</v>
      </c>
      <c r="P299" s="7"/>
      <c r="Q299" s="8">
        <f>bdrate(C299:C302,D299:D302,J299:J302,K299:K302)</f>
        <v>-0.35778548230832408</v>
      </c>
      <c r="R299" s="8">
        <f>bdrate(C299:C302,E299:E302,J299:J302,L299:L302)</f>
        <v>-0.39145128755063607</v>
      </c>
      <c r="S299" s="8">
        <f>bdrate(C299:C302,F299:F302,J299:J302,M299:M302)</f>
        <v>-0.3686701527998012</v>
      </c>
      <c r="T299" s="25">
        <f>bdrate(C299:C302,H299:H302,J299:J302,O299:O302)</f>
        <v>-0.3640412376855835</v>
      </c>
      <c r="U299" s="28">
        <f t="shared" si="12"/>
        <v>-0.39829840363863367</v>
      </c>
    </row>
    <row r="300" spans="1:21" x14ac:dyDescent="0.25">
      <c r="B300" s="9"/>
      <c r="C300" s="17">
        <v>1047.6400000000001</v>
      </c>
      <c r="D300" s="18">
        <v>33.935000000000002</v>
      </c>
      <c r="E300" s="18">
        <v>39.186</v>
      </c>
      <c r="F300" s="18">
        <v>39.908000000000001</v>
      </c>
      <c r="G300" s="18">
        <v>129.51</v>
      </c>
      <c r="H300" s="18">
        <f t="shared" si="10"/>
        <v>35.338000000000001</v>
      </c>
      <c r="I300" s="5"/>
      <c r="J300" s="17">
        <v>854.96960000000001</v>
      </c>
      <c r="K300" s="18">
        <v>34.790500000000002</v>
      </c>
      <c r="L300" s="18">
        <v>40.064300000000003</v>
      </c>
      <c r="M300" s="18">
        <v>40.796100000000003</v>
      </c>
      <c r="N300" s="18">
        <v>80.299800000000005</v>
      </c>
      <c r="O300" s="18">
        <f t="shared" si="11"/>
        <v>36.200425000000003</v>
      </c>
      <c r="P300" s="7"/>
      <c r="Q300" s="10"/>
      <c r="R300" s="11"/>
      <c r="S300" s="11"/>
      <c r="T300" s="26"/>
      <c r="U300" s="28">
        <f t="shared" si="12"/>
        <v>-0.37997220291869344</v>
      </c>
    </row>
    <row r="301" spans="1:21" x14ac:dyDescent="0.25">
      <c r="B301" s="9"/>
      <c r="C301" s="17">
        <v>654.32000000000005</v>
      </c>
      <c r="D301" s="18">
        <v>31.731999999999999</v>
      </c>
      <c r="E301" s="18">
        <v>38.225999999999999</v>
      </c>
      <c r="F301" s="18">
        <v>38.857999999999997</v>
      </c>
      <c r="G301" s="18">
        <v>144.06</v>
      </c>
      <c r="H301" s="18">
        <f t="shared" si="10"/>
        <v>33.4345</v>
      </c>
      <c r="I301" s="5"/>
      <c r="J301" s="17">
        <v>532.56479999999999</v>
      </c>
      <c r="K301" s="18">
        <v>32.893500000000003</v>
      </c>
      <c r="L301" s="18">
        <v>38.830800000000004</v>
      </c>
      <c r="M301" s="18">
        <v>39.419800000000002</v>
      </c>
      <c r="N301" s="18">
        <v>99.651200000000003</v>
      </c>
      <c r="O301" s="18">
        <f t="shared" si="11"/>
        <v>34.451450000000001</v>
      </c>
      <c r="P301" s="7"/>
      <c r="Q301" s="10"/>
      <c r="R301" s="11"/>
      <c r="S301" s="11"/>
      <c r="T301" s="26"/>
      <c r="U301" s="28">
        <f t="shared" si="12"/>
        <v>-0.3082660002776621</v>
      </c>
    </row>
    <row r="302" spans="1:21" ht="16.5" thickBot="1" x14ac:dyDescent="0.3">
      <c r="B302" s="12"/>
      <c r="C302" s="19">
        <v>395.02</v>
      </c>
      <c r="D302" s="20">
        <v>29.265999999999998</v>
      </c>
      <c r="E302" s="20">
        <v>37.189</v>
      </c>
      <c r="F302" s="20">
        <v>37.695999999999998</v>
      </c>
      <c r="G302" s="20">
        <v>155.72</v>
      </c>
      <c r="H302" s="20">
        <f t="shared" si="10"/>
        <v>31.310124999999999</v>
      </c>
      <c r="I302" s="5"/>
      <c r="J302" s="19">
        <v>319.44720000000001</v>
      </c>
      <c r="K302" s="20">
        <v>30.825199999999999</v>
      </c>
      <c r="L302" s="20">
        <v>37.527999999999999</v>
      </c>
      <c r="M302" s="20">
        <v>37.996000000000002</v>
      </c>
      <c r="N302" s="20">
        <v>124.06950000000001</v>
      </c>
      <c r="O302" s="20">
        <f t="shared" si="11"/>
        <v>32.559399999999997</v>
      </c>
      <c r="P302" s="7"/>
      <c r="Q302" s="13"/>
      <c r="R302" s="14"/>
      <c r="S302" s="14"/>
      <c r="T302" s="27"/>
      <c r="U302" s="28">
        <f t="shared" si="12"/>
        <v>-0.20325263293090157</v>
      </c>
    </row>
    <row r="303" spans="1:21" x14ac:dyDescent="0.25">
      <c r="B303" s="6" t="s">
        <v>55</v>
      </c>
      <c r="C303" s="15">
        <v>1432.28</v>
      </c>
      <c r="D303" s="16">
        <v>30.16</v>
      </c>
      <c r="E303" s="16">
        <v>35.828000000000003</v>
      </c>
      <c r="F303" s="16">
        <v>36.548999999999999</v>
      </c>
      <c r="G303" s="16">
        <v>104.01</v>
      </c>
      <c r="H303" s="16">
        <f t="shared" si="10"/>
        <v>31.667125000000002</v>
      </c>
      <c r="I303" s="5"/>
      <c r="J303" s="15">
        <v>1261.4856</v>
      </c>
      <c r="K303" s="16">
        <v>31.278500000000001</v>
      </c>
      <c r="L303" s="16">
        <v>37.0807</v>
      </c>
      <c r="M303" s="16">
        <v>37.870100000000001</v>
      </c>
      <c r="N303" s="16">
        <v>69.978999999999999</v>
      </c>
      <c r="O303" s="16">
        <f t="shared" si="11"/>
        <v>32.827725000000001</v>
      </c>
      <c r="P303" s="7"/>
      <c r="Q303" s="8">
        <f>bdrate(C303:C306,D303:D306,J303:J306,K303:K306)</f>
        <v>-0.39760618922204061</v>
      </c>
      <c r="R303" s="8">
        <f>bdrate(C303:C306,E303:E306,J303:J306,L303:L306)</f>
        <v>-0.39449970621216968</v>
      </c>
      <c r="S303" s="8">
        <f>bdrate(C303:C306,F303:F306,J303:J306,M303:M306)</f>
        <v>-0.38859034376667501</v>
      </c>
      <c r="T303" s="25">
        <f>bdrate(C303:C306,H303:H306,J303:J306,O303:O306)</f>
        <v>-0.40075588595820055</v>
      </c>
      <c r="U303" s="28">
        <f t="shared" si="12"/>
        <v>-0.32718969329872133</v>
      </c>
    </row>
    <row r="304" spans="1:21" x14ac:dyDescent="0.25">
      <c r="B304" s="9"/>
      <c r="C304" s="17">
        <v>955.36</v>
      </c>
      <c r="D304" s="18">
        <v>28.684999999999999</v>
      </c>
      <c r="E304" s="18">
        <v>35.201000000000001</v>
      </c>
      <c r="F304" s="18">
        <v>35.912999999999997</v>
      </c>
      <c r="G304" s="18">
        <v>114.08</v>
      </c>
      <c r="H304" s="18">
        <f t="shared" si="10"/>
        <v>30.402999999999999</v>
      </c>
      <c r="I304" s="5"/>
      <c r="J304" s="17">
        <v>842.84159999999997</v>
      </c>
      <c r="K304" s="18">
        <v>29.922499999999999</v>
      </c>
      <c r="L304" s="18">
        <v>36.103999999999999</v>
      </c>
      <c r="M304" s="18">
        <v>36.8675</v>
      </c>
      <c r="N304" s="18">
        <v>83.906700000000001</v>
      </c>
      <c r="O304" s="18">
        <f t="shared" si="11"/>
        <v>31.563312500000002</v>
      </c>
      <c r="P304" s="7"/>
      <c r="Q304" s="10"/>
      <c r="R304" s="11"/>
      <c r="S304" s="11"/>
      <c r="T304" s="26"/>
      <c r="U304" s="28">
        <f t="shared" si="12"/>
        <v>-0.26449246143057503</v>
      </c>
    </row>
    <row r="305" spans="1:21" x14ac:dyDescent="0.25">
      <c r="B305" s="9"/>
      <c r="C305" s="17">
        <v>599.53</v>
      </c>
      <c r="D305" s="18">
        <v>27.123000000000001</v>
      </c>
      <c r="E305" s="18">
        <v>34.595999999999997</v>
      </c>
      <c r="F305" s="18">
        <v>35.319000000000003</v>
      </c>
      <c r="G305" s="18">
        <v>126.68</v>
      </c>
      <c r="H305" s="18">
        <f t="shared" si="10"/>
        <v>29.081625000000003</v>
      </c>
      <c r="I305" s="5"/>
      <c r="J305" s="17">
        <v>525.452</v>
      </c>
      <c r="K305" s="18">
        <v>28.384599999999999</v>
      </c>
      <c r="L305" s="18">
        <v>35.137500000000003</v>
      </c>
      <c r="M305" s="18">
        <v>35.8399</v>
      </c>
      <c r="N305" s="18">
        <v>104.03660000000001</v>
      </c>
      <c r="O305" s="18">
        <f t="shared" si="11"/>
        <v>30.160624999999996</v>
      </c>
      <c r="P305" s="7"/>
      <c r="Q305" s="10"/>
      <c r="R305" s="11"/>
      <c r="S305" s="11"/>
      <c r="T305" s="26"/>
      <c r="U305" s="28">
        <f t="shared" si="12"/>
        <v>-0.17874486896116198</v>
      </c>
    </row>
    <row r="306" spans="1:21" ht="16.5" thickBot="1" x14ac:dyDescent="0.3">
      <c r="B306" s="12"/>
      <c r="C306" s="19">
        <v>361.22</v>
      </c>
      <c r="D306" s="20">
        <v>25.521999999999998</v>
      </c>
      <c r="E306" s="20">
        <v>34.015000000000001</v>
      </c>
      <c r="F306" s="20">
        <v>34.704000000000001</v>
      </c>
      <c r="G306" s="20">
        <v>142.44999999999999</v>
      </c>
      <c r="H306" s="20">
        <f t="shared" si="10"/>
        <v>27.731375</v>
      </c>
      <c r="I306" s="5"/>
      <c r="J306" s="19">
        <v>313.94479999999999</v>
      </c>
      <c r="K306" s="20">
        <v>26.801200000000001</v>
      </c>
      <c r="L306" s="20">
        <v>34.162700000000001</v>
      </c>
      <c r="M306" s="20">
        <v>34.849499999999999</v>
      </c>
      <c r="N306" s="20">
        <v>130.82159999999999</v>
      </c>
      <c r="O306" s="20">
        <f t="shared" si="11"/>
        <v>28.727425000000004</v>
      </c>
      <c r="P306" s="7"/>
      <c r="Q306" s="13"/>
      <c r="R306" s="14"/>
      <c r="S306" s="14"/>
      <c r="T306" s="27"/>
      <c r="U306" s="28">
        <f t="shared" si="12"/>
        <v>-8.1631449631449637E-2</v>
      </c>
    </row>
    <row r="307" spans="1:21" x14ac:dyDescent="0.25">
      <c r="B307" s="6" t="s">
        <v>56</v>
      </c>
      <c r="C307" s="15">
        <v>1434.47</v>
      </c>
      <c r="D307" s="16">
        <v>33.375</v>
      </c>
      <c r="E307" s="16">
        <v>36.954999999999998</v>
      </c>
      <c r="F307" s="16">
        <v>38.655999999999999</v>
      </c>
      <c r="G307" s="16">
        <v>75.41</v>
      </c>
      <c r="H307" s="16">
        <f t="shared" si="10"/>
        <v>34.482624999999999</v>
      </c>
      <c r="I307" s="5"/>
      <c r="J307" s="15">
        <v>1264.9728</v>
      </c>
      <c r="K307" s="16">
        <v>33.417499999999997</v>
      </c>
      <c r="L307" s="16">
        <v>37.452800000000003</v>
      </c>
      <c r="M307" s="16">
        <v>38.999099999999999</v>
      </c>
      <c r="N307" s="16">
        <v>41.533999999999999</v>
      </c>
      <c r="O307" s="16">
        <f t="shared" si="11"/>
        <v>34.619612500000002</v>
      </c>
      <c r="P307" s="7"/>
      <c r="Q307" s="8">
        <f>bdrate(C307:C310,D307:D310,J307:J310,K307:K310)</f>
        <v>-0.19282064448691971</v>
      </c>
      <c r="R307" s="8">
        <f>bdrate(C307:C310,E307:E310,J307:J310,L307:L310)</f>
        <v>-0.21211461913391783</v>
      </c>
      <c r="S307" s="8">
        <f>bdrate(C307:C310,F307:F310,J307:J310,M307:M310)</f>
        <v>-0.18076153150220997</v>
      </c>
      <c r="T307" s="25">
        <f>bdrate(C307:C310,H307:H310,J307:J310,O307:O310)</f>
        <v>-0.19503707487732658</v>
      </c>
      <c r="U307" s="28">
        <f t="shared" si="12"/>
        <v>-0.44922424081686779</v>
      </c>
    </row>
    <row r="308" spans="1:21" x14ac:dyDescent="0.25">
      <c r="B308" s="9"/>
      <c r="C308" s="17">
        <v>968.8</v>
      </c>
      <c r="D308" s="18">
        <v>31.762</v>
      </c>
      <c r="E308" s="18">
        <v>36.139000000000003</v>
      </c>
      <c r="F308" s="18">
        <v>37.82</v>
      </c>
      <c r="G308" s="18">
        <v>84.32</v>
      </c>
      <c r="H308" s="18">
        <f t="shared" si="10"/>
        <v>33.066375000000001</v>
      </c>
      <c r="I308" s="5"/>
      <c r="J308" s="17">
        <v>842.93920000000003</v>
      </c>
      <c r="K308" s="18">
        <v>31.910399999999999</v>
      </c>
      <c r="L308" s="18">
        <v>36.417499999999997</v>
      </c>
      <c r="M308" s="18">
        <v>37.973599999999998</v>
      </c>
      <c r="N308" s="18">
        <v>49.059699999999999</v>
      </c>
      <c r="O308" s="18">
        <f t="shared" si="11"/>
        <v>33.2316875</v>
      </c>
      <c r="P308" s="7"/>
      <c r="Q308" s="10"/>
      <c r="R308" s="11"/>
      <c r="S308" s="11"/>
      <c r="T308" s="26"/>
      <c r="U308" s="28">
        <f t="shared" si="12"/>
        <v>-0.41817243833017076</v>
      </c>
    </row>
    <row r="309" spans="1:21" x14ac:dyDescent="0.25">
      <c r="B309" s="9"/>
      <c r="C309" s="17">
        <v>612.36</v>
      </c>
      <c r="D309" s="18">
        <v>29.907</v>
      </c>
      <c r="E309" s="18">
        <v>35.246000000000002</v>
      </c>
      <c r="F309" s="18">
        <v>36.822000000000003</v>
      </c>
      <c r="G309" s="18">
        <v>94.76</v>
      </c>
      <c r="H309" s="18">
        <f t="shared" si="10"/>
        <v>31.438750000000002</v>
      </c>
      <c r="I309" s="5"/>
      <c r="J309" s="17">
        <v>523.91120000000001</v>
      </c>
      <c r="K309" s="18">
        <v>30.220700000000001</v>
      </c>
      <c r="L309" s="18">
        <v>35.358400000000003</v>
      </c>
      <c r="M309" s="18">
        <v>36.868400000000001</v>
      </c>
      <c r="N309" s="18">
        <v>59.701500000000003</v>
      </c>
      <c r="O309" s="18">
        <f t="shared" si="11"/>
        <v>31.693875000000006</v>
      </c>
      <c r="P309" s="7"/>
      <c r="Q309" s="10"/>
      <c r="R309" s="11"/>
      <c r="S309" s="11"/>
      <c r="T309" s="26"/>
      <c r="U309" s="28">
        <f t="shared" si="12"/>
        <v>-0.36997150696496411</v>
      </c>
    </row>
    <row r="310" spans="1:21" ht="16.5" thickBot="1" x14ac:dyDescent="0.3">
      <c r="B310" s="12"/>
      <c r="C310" s="19">
        <v>371.96</v>
      </c>
      <c r="D310" s="20">
        <v>27.939</v>
      </c>
      <c r="E310" s="20">
        <v>34.218000000000004</v>
      </c>
      <c r="F310" s="20">
        <v>35.61</v>
      </c>
      <c r="G310" s="20">
        <v>108.66</v>
      </c>
      <c r="H310" s="20">
        <f t="shared" si="10"/>
        <v>29.682750000000006</v>
      </c>
      <c r="I310" s="5"/>
      <c r="J310" s="19">
        <v>313.73840000000001</v>
      </c>
      <c r="K310" s="20">
        <v>28.547799999999999</v>
      </c>
      <c r="L310" s="20">
        <v>34.301099999999998</v>
      </c>
      <c r="M310" s="20">
        <v>35.727200000000003</v>
      </c>
      <c r="N310" s="20">
        <v>74.813000000000002</v>
      </c>
      <c r="O310" s="20">
        <f t="shared" si="11"/>
        <v>30.1643875</v>
      </c>
      <c r="P310" s="7"/>
      <c r="Q310" s="13"/>
      <c r="R310" s="14"/>
      <c r="S310" s="14"/>
      <c r="T310" s="27"/>
      <c r="U310" s="28">
        <f t="shared" si="12"/>
        <v>-0.31149457021903182</v>
      </c>
    </row>
    <row r="311" spans="1:21" x14ac:dyDescent="0.25">
      <c r="A311" s="6" t="s">
        <v>41</v>
      </c>
      <c r="B311" s="6" t="s">
        <v>57</v>
      </c>
      <c r="C311" s="15">
        <v>827.5</v>
      </c>
      <c r="D311" s="16">
        <v>35.979999999999997</v>
      </c>
      <c r="E311" s="16">
        <v>39.863</v>
      </c>
      <c r="F311" s="16">
        <v>38.643999999999998</v>
      </c>
      <c r="G311" s="16">
        <v>323.83</v>
      </c>
      <c r="H311" s="16">
        <f t="shared" si="10"/>
        <v>36.798375</v>
      </c>
      <c r="I311" s="5"/>
      <c r="J311" s="15">
        <v>633.57759999999996</v>
      </c>
      <c r="K311" s="16">
        <v>35.543300000000002</v>
      </c>
      <c r="L311" s="16">
        <v>40.425400000000003</v>
      </c>
      <c r="M311" s="16">
        <v>38.858899999999998</v>
      </c>
      <c r="N311" s="16">
        <v>118.2313</v>
      </c>
      <c r="O311" s="16">
        <f t="shared" si="11"/>
        <v>36.568012500000002</v>
      </c>
      <c r="P311" s="7"/>
      <c r="Q311" s="8">
        <f>bdrate(C311:C314,D311:D314,J311:J314,K311:K314)</f>
        <v>-0.20856670459812221</v>
      </c>
      <c r="R311" s="8">
        <f>bdrate(C311:C314,E311:E314,J311:J314,L311:L314)</f>
        <v>-0.30956883870050289</v>
      </c>
      <c r="S311" s="8">
        <f>bdrate(C311:C314,F311:F314,J311:J314,M311:M314)</f>
        <v>-0.21221562541303396</v>
      </c>
      <c r="T311" s="25">
        <f>bdrate(C311:C314,H311:H314,J311:J314,O311:O314)</f>
        <v>-0.216991962885005</v>
      </c>
      <c r="U311" s="28">
        <f t="shared" si="12"/>
        <v>-0.63489701386529962</v>
      </c>
    </row>
    <row r="312" spans="1:21" x14ac:dyDescent="0.25">
      <c r="A312" s="9" t="s">
        <v>42</v>
      </c>
      <c r="B312" s="9"/>
      <c r="C312" s="17">
        <v>552.49</v>
      </c>
      <c r="D312" s="18">
        <v>33.99</v>
      </c>
      <c r="E312" s="18">
        <v>38.704999999999998</v>
      </c>
      <c r="F312" s="18">
        <v>37.295999999999999</v>
      </c>
      <c r="G312" s="18">
        <v>364.17</v>
      </c>
      <c r="H312" s="18">
        <f t="shared" si="10"/>
        <v>34.992624999999997</v>
      </c>
      <c r="I312" s="5"/>
      <c r="J312" s="17">
        <v>421.20400000000001</v>
      </c>
      <c r="K312" s="18">
        <v>33.651899999999998</v>
      </c>
      <c r="L312" s="18">
        <v>39.162500000000001</v>
      </c>
      <c r="M312" s="18">
        <v>37.377299999999998</v>
      </c>
      <c r="N312" s="18">
        <v>137.4759</v>
      </c>
      <c r="O312" s="18">
        <f t="shared" si="11"/>
        <v>34.806399999999996</v>
      </c>
      <c r="P312" s="7"/>
      <c r="Q312" s="10"/>
      <c r="R312" s="11"/>
      <c r="S312" s="11"/>
      <c r="T312" s="26"/>
      <c r="U312" s="28">
        <f t="shared" si="12"/>
        <v>-0.62249526320125215</v>
      </c>
    </row>
    <row r="313" spans="1:21" x14ac:dyDescent="0.25">
      <c r="B313" s="9"/>
      <c r="C313" s="17">
        <v>347.68</v>
      </c>
      <c r="D313" s="18">
        <v>31.81</v>
      </c>
      <c r="E313" s="18">
        <v>37.624000000000002</v>
      </c>
      <c r="F313" s="18">
        <v>35.939</v>
      </c>
      <c r="G313" s="18">
        <v>405.84</v>
      </c>
      <c r="H313" s="18">
        <f t="shared" si="10"/>
        <v>33.052875</v>
      </c>
      <c r="I313" s="5"/>
      <c r="J313" s="17">
        <v>263.26799999999997</v>
      </c>
      <c r="K313" s="18">
        <v>31.6173</v>
      </c>
      <c r="L313" s="18">
        <v>37.847299999999997</v>
      </c>
      <c r="M313" s="18">
        <v>35.768799999999999</v>
      </c>
      <c r="N313" s="18">
        <v>167.7852</v>
      </c>
      <c r="O313" s="18">
        <f t="shared" si="11"/>
        <v>32.914987499999995</v>
      </c>
      <c r="P313" s="7"/>
      <c r="Q313" s="10"/>
      <c r="R313" s="11"/>
      <c r="S313" s="11"/>
      <c r="T313" s="26"/>
      <c r="U313" s="28">
        <f t="shared" si="12"/>
        <v>-0.58657303370786518</v>
      </c>
    </row>
    <row r="314" spans="1:21" ht="16.5" thickBot="1" x14ac:dyDescent="0.3">
      <c r="B314" s="12"/>
      <c r="C314" s="19">
        <v>168.53</v>
      </c>
      <c r="D314" s="20">
        <v>28.594999999999999</v>
      </c>
      <c r="E314" s="20">
        <v>36.1</v>
      </c>
      <c r="F314" s="20">
        <v>34.052999999999997</v>
      </c>
      <c r="G314" s="20">
        <v>501</v>
      </c>
      <c r="H314" s="20">
        <f t="shared" si="10"/>
        <v>30.215374999999998</v>
      </c>
      <c r="I314" s="5"/>
      <c r="J314" s="19">
        <v>126.08320000000001</v>
      </c>
      <c r="K314" s="20">
        <v>28.723600000000001</v>
      </c>
      <c r="L314" s="20">
        <v>35.933500000000002</v>
      </c>
      <c r="M314" s="20">
        <v>33.509</v>
      </c>
      <c r="N314" s="20">
        <v>233.97290000000001</v>
      </c>
      <c r="O314" s="20">
        <f t="shared" si="11"/>
        <v>30.223012500000003</v>
      </c>
      <c r="P314" s="7"/>
      <c r="Q314" s="13"/>
      <c r="R314" s="14"/>
      <c r="S314" s="14"/>
      <c r="T314" s="27"/>
      <c r="U314" s="28">
        <f t="shared" si="12"/>
        <v>-0.53298822355289421</v>
      </c>
    </row>
    <row r="315" spans="1:21" x14ac:dyDescent="0.25">
      <c r="B315" s="6" t="s">
        <v>58</v>
      </c>
      <c r="C315" s="15">
        <v>721.86</v>
      </c>
      <c r="D315" s="16">
        <v>32.905999999999999</v>
      </c>
      <c r="E315" s="16">
        <v>39.709000000000003</v>
      </c>
      <c r="F315" s="16">
        <v>40.448999999999998</v>
      </c>
      <c r="G315" s="16">
        <v>427.35</v>
      </c>
      <c r="H315" s="16">
        <f t="shared" si="10"/>
        <v>34.699249999999999</v>
      </c>
      <c r="I315" s="5"/>
      <c r="J315" s="15">
        <v>629.49519999999995</v>
      </c>
      <c r="K315" s="16">
        <v>34.523499999999999</v>
      </c>
      <c r="L315" s="16">
        <v>41.700699999999998</v>
      </c>
      <c r="M315" s="16">
        <v>42.594099999999997</v>
      </c>
      <c r="N315" s="16">
        <v>199.26929999999999</v>
      </c>
      <c r="O315" s="16">
        <f t="shared" si="11"/>
        <v>36.429474999999996</v>
      </c>
      <c r="P315" s="7"/>
      <c r="Q315" s="8">
        <f>bdrate(C315:C318,D315:D318,J315:J318,K315:K318)</f>
        <v>-0.48477279436382115</v>
      </c>
      <c r="R315" s="8">
        <f>bdrate(C315:C318,E315:E318,J315:J318,L315:L318)</f>
        <v>-0.50060184336160207</v>
      </c>
      <c r="S315" s="8">
        <f>bdrate(C315:C318,F315:F318,J315:J318,M315:M318)</f>
        <v>-0.57464652808516847</v>
      </c>
      <c r="T315" s="25">
        <f>bdrate(C315:C318,H315:H318,J315:J318,O315:O318)</f>
        <v>-0.49686171603473062</v>
      </c>
      <c r="U315" s="28">
        <f t="shared" si="12"/>
        <v>-0.53370937170937172</v>
      </c>
    </row>
    <row r="316" spans="1:21" x14ac:dyDescent="0.25">
      <c r="B316" s="9"/>
      <c r="C316" s="17">
        <v>474.46</v>
      </c>
      <c r="D316" s="18">
        <v>31.396999999999998</v>
      </c>
      <c r="E316" s="18">
        <v>39.225999999999999</v>
      </c>
      <c r="F316" s="18">
        <v>39.79</v>
      </c>
      <c r="G316" s="18">
        <v>480.77</v>
      </c>
      <c r="H316" s="18">
        <f t="shared" si="10"/>
        <v>33.424750000000003</v>
      </c>
      <c r="I316" s="5"/>
      <c r="J316" s="17">
        <v>417.29199999999997</v>
      </c>
      <c r="K316" s="18">
        <v>33.190399999999997</v>
      </c>
      <c r="L316" s="18">
        <v>40.713200000000001</v>
      </c>
      <c r="M316" s="18">
        <v>41.522100000000002</v>
      </c>
      <c r="N316" s="18">
        <v>244.99799999999999</v>
      </c>
      <c r="O316" s="18">
        <f t="shared" si="11"/>
        <v>35.172212500000001</v>
      </c>
      <c r="P316" s="7"/>
      <c r="Q316" s="10"/>
      <c r="R316" s="11"/>
      <c r="S316" s="11"/>
      <c r="T316" s="26"/>
      <c r="U316" s="28">
        <f t="shared" si="12"/>
        <v>-0.49040497535203942</v>
      </c>
    </row>
    <row r="317" spans="1:21" x14ac:dyDescent="0.25">
      <c r="B317" s="9"/>
      <c r="C317" s="17">
        <v>293.91000000000003</v>
      </c>
      <c r="D317" s="18">
        <v>29.677</v>
      </c>
      <c r="E317" s="18">
        <v>38.701000000000001</v>
      </c>
      <c r="F317" s="18">
        <v>39.036000000000001</v>
      </c>
      <c r="G317" s="18">
        <v>519.92999999999995</v>
      </c>
      <c r="H317" s="18">
        <f t="shared" si="10"/>
        <v>31.974875000000001</v>
      </c>
      <c r="I317" s="5"/>
      <c r="J317" s="17">
        <v>259.82240000000002</v>
      </c>
      <c r="K317" s="18">
        <v>31.5974</v>
      </c>
      <c r="L317" s="18">
        <v>39.629300000000001</v>
      </c>
      <c r="M317" s="18">
        <v>40.380000000000003</v>
      </c>
      <c r="N317" s="18">
        <v>317.79660000000001</v>
      </c>
      <c r="O317" s="18">
        <f t="shared" si="11"/>
        <v>33.699212500000002</v>
      </c>
      <c r="P317" s="7"/>
      <c r="Q317" s="10"/>
      <c r="R317" s="11"/>
      <c r="S317" s="11"/>
      <c r="T317" s="26"/>
      <c r="U317" s="28">
        <f t="shared" si="12"/>
        <v>-0.38877041140153473</v>
      </c>
    </row>
    <row r="318" spans="1:21" ht="16.5" thickBot="1" x14ac:dyDescent="0.3">
      <c r="B318" s="12"/>
      <c r="C318" s="19">
        <v>140.13999999999999</v>
      </c>
      <c r="D318" s="20">
        <v>26.940999999999999</v>
      </c>
      <c r="E318" s="20">
        <v>38.069000000000003</v>
      </c>
      <c r="F318" s="20">
        <v>38.210999999999999</v>
      </c>
      <c r="G318" s="20">
        <v>591.72</v>
      </c>
      <c r="H318" s="20">
        <f t="shared" si="10"/>
        <v>29.740749999999998</v>
      </c>
      <c r="I318" s="5"/>
      <c r="J318" s="19">
        <v>123.38</v>
      </c>
      <c r="K318" s="20">
        <v>28.998999999999999</v>
      </c>
      <c r="L318" s="20">
        <v>38.2333</v>
      </c>
      <c r="M318" s="20">
        <v>38.830399999999997</v>
      </c>
      <c r="N318" s="20">
        <v>487.01299999999998</v>
      </c>
      <c r="O318" s="20">
        <f t="shared" si="11"/>
        <v>31.382212500000001</v>
      </c>
      <c r="P318" s="7"/>
      <c r="Q318" s="13"/>
      <c r="R318" s="14"/>
      <c r="S318" s="14"/>
      <c r="T318" s="27"/>
      <c r="U318" s="28">
        <f t="shared" si="12"/>
        <v>-0.1769536267153384</v>
      </c>
    </row>
    <row r="319" spans="1:21" x14ac:dyDescent="0.25">
      <c r="B319" s="6" t="s">
        <v>59</v>
      </c>
      <c r="C319" s="29">
        <v>807.5</v>
      </c>
      <c r="D319" s="30">
        <v>33.957000000000001</v>
      </c>
      <c r="E319" s="30">
        <v>37.415999999999997</v>
      </c>
      <c r="F319" s="30">
        <v>37.901000000000003</v>
      </c>
      <c r="G319" s="16">
        <v>368.46</v>
      </c>
      <c r="H319" s="16">
        <f t="shared" si="10"/>
        <v>34.882375000000003</v>
      </c>
      <c r="I319" s="5"/>
      <c r="J319" s="29">
        <v>653.57759999999996</v>
      </c>
      <c r="K319" s="30">
        <v>34.113900000000001</v>
      </c>
      <c r="L319" s="30">
        <v>38.574100000000001</v>
      </c>
      <c r="M319" s="30">
        <v>39.445799999999998</v>
      </c>
      <c r="N319" s="16">
        <v>165.18</v>
      </c>
      <c r="O319" s="16">
        <f t="shared" si="11"/>
        <v>35.337912500000002</v>
      </c>
      <c r="P319" s="7"/>
      <c r="Q319" s="8">
        <f>bdrate(C319:C322,D319:D322,J319:J322,K319:K322)</f>
        <v>-0.2666424985659348</v>
      </c>
      <c r="R319" s="8">
        <f>bdrate(C319:C322,E319:E322,J319:J322,L319:L322)</f>
        <v>-0.40256459985101267</v>
      </c>
      <c r="S319" s="8">
        <f>bdrate(C319:C322,F319:F322,J319:J322,M319:M322)</f>
        <v>-0.4717750678993482</v>
      </c>
      <c r="T319" s="25">
        <f>bdrate(C319:C322,H319:H322,J319:J322,O319:O322)</f>
        <v>-0.30127652813711203</v>
      </c>
      <c r="U319" s="28">
        <f t="shared" si="12"/>
        <v>-0.55170167725126196</v>
      </c>
    </row>
    <row r="320" spans="1:21" x14ac:dyDescent="0.25">
      <c r="B320" s="9"/>
      <c r="C320" s="31">
        <v>537.34</v>
      </c>
      <c r="D320" s="32">
        <v>32.264000000000003</v>
      </c>
      <c r="E320" s="32">
        <v>36.368000000000002</v>
      </c>
      <c r="F320" s="32">
        <v>36.832000000000001</v>
      </c>
      <c r="G320" s="18">
        <v>395.57</v>
      </c>
      <c r="H320" s="18">
        <f t="shared" si="10"/>
        <v>33.347999999999999</v>
      </c>
      <c r="I320" s="5"/>
      <c r="J320" s="31">
        <v>432.07040000000001</v>
      </c>
      <c r="K320" s="32">
        <v>32.505099999999999</v>
      </c>
      <c r="L320" s="32">
        <v>37.369199999999999</v>
      </c>
      <c r="M320" s="32">
        <v>38.143599999999999</v>
      </c>
      <c r="N320" s="18">
        <v>195.46520000000001</v>
      </c>
      <c r="O320" s="18">
        <f t="shared" si="11"/>
        <v>33.817925000000002</v>
      </c>
      <c r="P320" s="7"/>
      <c r="Q320" s="10"/>
      <c r="R320" s="11"/>
      <c r="S320" s="11"/>
      <c r="T320" s="26"/>
      <c r="U320" s="28">
        <f t="shared" si="12"/>
        <v>-0.50586444877012915</v>
      </c>
    </row>
    <row r="321" spans="1:21" x14ac:dyDescent="0.25">
      <c r="B321" s="9"/>
      <c r="C321" s="31">
        <v>333.87</v>
      </c>
      <c r="D321" s="32">
        <v>30.391999999999999</v>
      </c>
      <c r="E321" s="32">
        <v>35.459000000000003</v>
      </c>
      <c r="F321" s="32">
        <v>35.932000000000002</v>
      </c>
      <c r="G321" s="18">
        <v>439.37</v>
      </c>
      <c r="H321" s="18">
        <f t="shared" si="10"/>
        <v>31.717874999999999</v>
      </c>
      <c r="I321" s="5"/>
      <c r="J321" s="31">
        <v>269.73599999999999</v>
      </c>
      <c r="K321" s="32">
        <v>30.806699999999999</v>
      </c>
      <c r="L321" s="32">
        <v>36.106000000000002</v>
      </c>
      <c r="M321" s="32">
        <v>36.882599999999996</v>
      </c>
      <c r="N321" s="18">
        <v>239.23439999999999</v>
      </c>
      <c r="O321" s="18">
        <f t="shared" si="11"/>
        <v>32.2286</v>
      </c>
      <c r="P321" s="7"/>
      <c r="Q321" s="10"/>
      <c r="R321" s="11"/>
      <c r="S321" s="11"/>
      <c r="T321" s="26"/>
      <c r="U321" s="28">
        <f t="shared" si="12"/>
        <v>-0.45550583790427207</v>
      </c>
    </row>
    <row r="322" spans="1:21" ht="16.5" thickBot="1" x14ac:dyDescent="0.3">
      <c r="B322" s="12"/>
      <c r="C322" s="33">
        <v>157.62</v>
      </c>
      <c r="D322" s="34">
        <v>27.716000000000001</v>
      </c>
      <c r="E322" s="34">
        <v>34.183999999999997</v>
      </c>
      <c r="F322" s="34">
        <v>34.753999999999998</v>
      </c>
      <c r="G322" s="20">
        <v>508.65</v>
      </c>
      <c r="H322" s="20">
        <f t="shared" si="10"/>
        <v>29.404249999999998</v>
      </c>
      <c r="I322" s="5"/>
      <c r="J322" s="33">
        <v>127.184</v>
      </c>
      <c r="K322" s="34">
        <v>28.203199999999999</v>
      </c>
      <c r="L322" s="34">
        <v>34.372900000000001</v>
      </c>
      <c r="M322" s="34">
        <v>35.061900000000001</v>
      </c>
      <c r="N322" s="20">
        <v>333.77839999999998</v>
      </c>
      <c r="O322" s="20">
        <f t="shared" si="11"/>
        <v>29.831750000000003</v>
      </c>
      <c r="P322" s="7"/>
      <c r="Q322" s="13"/>
      <c r="R322" s="14"/>
      <c r="S322" s="14"/>
      <c r="T322" s="27"/>
      <c r="U322" s="28">
        <f t="shared" si="12"/>
        <v>-0.34379553720633049</v>
      </c>
    </row>
    <row r="323" spans="1:21" x14ac:dyDescent="0.25">
      <c r="B323" s="6" t="s">
        <v>60</v>
      </c>
      <c r="C323" s="15">
        <v>742.42</v>
      </c>
      <c r="D323" s="16">
        <v>35.695</v>
      </c>
      <c r="E323" s="16">
        <v>37.857999999999997</v>
      </c>
      <c r="F323" s="16">
        <v>39.029000000000003</v>
      </c>
      <c r="G323" s="16">
        <v>246.51</v>
      </c>
      <c r="H323" s="16">
        <f t="shared" si="10"/>
        <v>36.382125000000002</v>
      </c>
      <c r="I323" s="5"/>
      <c r="J323" s="15">
        <v>638.57439999999997</v>
      </c>
      <c r="K323" s="16">
        <v>35.341299999999997</v>
      </c>
      <c r="L323" s="16">
        <v>38.716799999999999</v>
      </c>
      <c r="M323" s="16">
        <v>39.804600000000001</v>
      </c>
      <c r="N323" s="16">
        <v>95.693799999999996</v>
      </c>
      <c r="O323" s="16">
        <f t="shared" si="11"/>
        <v>36.321150000000003</v>
      </c>
      <c r="P323" s="7"/>
      <c r="Q323" s="8">
        <f>bdrate(C323:C326,D323:D326,J323:J326,K323:K326)</f>
        <v>-0.11649396881112262</v>
      </c>
      <c r="R323" s="8">
        <f>bdrate(C323:C326,E323:E326,J323:J326,L323:L326)</f>
        <v>-0.28320606705683293</v>
      </c>
      <c r="S323" s="8">
        <f>bdrate(C323:C326,F323:F326,J323:J326,M323:M326)</f>
        <v>-0.27152708138742654</v>
      </c>
      <c r="T323" s="25">
        <f>bdrate(C323:C326,H323:H326,J323:J326,O323:O326)</f>
        <v>-0.14653747847243392</v>
      </c>
      <c r="U323" s="28">
        <f t="shared" si="12"/>
        <v>-0.6118056062634375</v>
      </c>
    </row>
    <row r="324" spans="1:21" x14ac:dyDescent="0.25">
      <c r="B324" s="9"/>
      <c r="C324" s="17">
        <v>496.88</v>
      </c>
      <c r="D324" s="18">
        <v>33.688000000000002</v>
      </c>
      <c r="E324" s="18">
        <v>36.695999999999998</v>
      </c>
      <c r="F324" s="18">
        <v>37.856000000000002</v>
      </c>
      <c r="G324" s="18">
        <v>271</v>
      </c>
      <c r="H324" s="18">
        <f t="shared" si="10"/>
        <v>34.585000000000001</v>
      </c>
      <c r="I324" s="5"/>
      <c r="J324" s="17">
        <v>425.51280000000003</v>
      </c>
      <c r="K324" s="18">
        <v>33.4086</v>
      </c>
      <c r="L324" s="18">
        <v>37.383299999999998</v>
      </c>
      <c r="M324" s="18">
        <v>38.4985</v>
      </c>
      <c r="N324" s="18">
        <v>111.1523</v>
      </c>
      <c r="O324" s="18">
        <f t="shared" si="11"/>
        <v>34.541674999999998</v>
      </c>
      <c r="P324" s="7"/>
      <c r="Q324" s="10"/>
      <c r="R324" s="11"/>
      <c r="S324" s="11"/>
      <c r="T324" s="26"/>
      <c r="U324" s="28">
        <f t="shared" si="12"/>
        <v>-0.58984391143911441</v>
      </c>
    </row>
    <row r="325" spans="1:21" x14ac:dyDescent="0.25">
      <c r="B325" s="9"/>
      <c r="C325" s="17">
        <v>313.27999999999997</v>
      </c>
      <c r="D325" s="18">
        <v>31.552</v>
      </c>
      <c r="E325" s="18">
        <v>35.555999999999997</v>
      </c>
      <c r="F325" s="18">
        <v>36.695</v>
      </c>
      <c r="G325" s="18">
        <v>287.08</v>
      </c>
      <c r="H325" s="18">
        <f t="shared" si="10"/>
        <v>32.695374999999999</v>
      </c>
      <c r="I325" s="5"/>
      <c r="J325" s="17">
        <v>265.05200000000002</v>
      </c>
      <c r="K325" s="18">
        <v>31.365500000000001</v>
      </c>
      <c r="L325" s="18">
        <v>35.965200000000003</v>
      </c>
      <c r="M325" s="18">
        <v>37.0749</v>
      </c>
      <c r="N325" s="18">
        <v>136.36359999999999</v>
      </c>
      <c r="O325" s="18">
        <f t="shared" si="11"/>
        <v>32.654137500000004</v>
      </c>
      <c r="P325" s="7"/>
      <c r="Q325" s="10"/>
      <c r="R325" s="11"/>
      <c r="S325" s="11"/>
      <c r="T325" s="26"/>
      <c r="U325" s="28">
        <f t="shared" si="12"/>
        <v>-0.52499790999024665</v>
      </c>
    </row>
    <row r="326" spans="1:21" ht="16.5" thickBot="1" x14ac:dyDescent="0.3">
      <c r="B326" s="12"/>
      <c r="C326" s="19">
        <v>150.15</v>
      </c>
      <c r="D326" s="20">
        <v>28.521999999999998</v>
      </c>
      <c r="E326" s="20">
        <v>34.029000000000003</v>
      </c>
      <c r="F326" s="20">
        <v>35.020000000000003</v>
      </c>
      <c r="G326" s="20">
        <v>369.91</v>
      </c>
      <c r="H326" s="20">
        <f t="shared" si="10"/>
        <v>30.022625000000001</v>
      </c>
      <c r="I326" s="5"/>
      <c r="J326" s="19">
        <v>124.9712</v>
      </c>
      <c r="K326" s="20">
        <v>28.5915</v>
      </c>
      <c r="L326" s="20">
        <v>34.090899999999998</v>
      </c>
      <c r="M326" s="20">
        <v>35.0837</v>
      </c>
      <c r="N326" s="20">
        <v>190.11410000000001</v>
      </c>
      <c r="O326" s="20">
        <f t="shared" si="11"/>
        <v>30.090450000000001</v>
      </c>
      <c r="P326" s="7"/>
      <c r="Q326" s="13"/>
      <c r="R326" s="14"/>
      <c r="S326" s="14"/>
      <c r="T326" s="27"/>
      <c r="U326" s="28">
        <f t="shared" si="12"/>
        <v>-0.48605309399583685</v>
      </c>
    </row>
    <row r="327" spans="1:21" x14ac:dyDescent="0.25">
      <c r="A327" s="6" t="s">
        <v>43</v>
      </c>
      <c r="B327" s="6" t="s">
        <v>61</v>
      </c>
      <c r="C327" s="15">
        <v>1918.21</v>
      </c>
      <c r="D327" s="16">
        <v>41.551000000000002</v>
      </c>
      <c r="E327" s="16">
        <v>45.18</v>
      </c>
      <c r="F327" s="16">
        <v>46.383000000000003</v>
      </c>
      <c r="G327" s="16">
        <v>73.260000000000005</v>
      </c>
      <c r="H327" s="16">
        <f t="shared" si="10"/>
        <v>42.608624999999996</v>
      </c>
      <c r="I327" s="5"/>
      <c r="J327" s="15">
        <v>1530.3456000000001</v>
      </c>
      <c r="K327" s="16">
        <v>41.9285</v>
      </c>
      <c r="L327" s="16">
        <v>46.035299999999999</v>
      </c>
      <c r="M327" s="16">
        <v>47.209499999999998</v>
      </c>
      <c r="N327" s="16">
        <v>54.1614</v>
      </c>
      <c r="O327" s="16">
        <f t="shared" si="11"/>
        <v>43.101974999999996</v>
      </c>
      <c r="P327" s="7"/>
      <c r="Q327" s="8">
        <f>bdrate(C327:C330,D327:D330,J327:J330,K327:K330)</f>
        <v>-0.32277955848751194</v>
      </c>
      <c r="R327" s="8">
        <f>bdrate(C327:C330,E327:E330,J327:J330,L327:L330)</f>
        <v>-0.42221623510212747</v>
      </c>
      <c r="S327" s="8">
        <f>bdrate(C327:C330,F327:F330,J327:J330,M327:M330)</f>
        <v>-0.43400785389242269</v>
      </c>
      <c r="T327" s="25">
        <f>bdrate(C327:C330,H327:H330,J327:J330,O327:O330)</f>
        <v>-0.34573849513924015</v>
      </c>
      <c r="U327" s="28">
        <f t="shared" si="12"/>
        <v>-0.26069615069615076</v>
      </c>
    </row>
    <row r="328" spans="1:21" x14ac:dyDescent="0.25">
      <c r="A328" s="9" t="s">
        <v>44</v>
      </c>
      <c r="B328" s="9"/>
      <c r="C328" s="17">
        <v>1247.21</v>
      </c>
      <c r="D328" s="18">
        <v>40.399000000000001</v>
      </c>
      <c r="E328" s="18">
        <v>43.988999999999997</v>
      </c>
      <c r="F328" s="18">
        <v>45.113999999999997</v>
      </c>
      <c r="G328" s="18">
        <v>77.08</v>
      </c>
      <c r="H328" s="18">
        <f t="shared" si="10"/>
        <v>41.437124999999995</v>
      </c>
      <c r="I328" s="5"/>
      <c r="J328" s="17">
        <v>1009.8824</v>
      </c>
      <c r="K328" s="18">
        <v>40.8917</v>
      </c>
      <c r="L328" s="18">
        <v>45.051000000000002</v>
      </c>
      <c r="M328" s="18">
        <v>46.185899999999997</v>
      </c>
      <c r="N328" s="18">
        <v>67.590400000000002</v>
      </c>
      <c r="O328" s="18">
        <f t="shared" si="11"/>
        <v>42.073387500000003</v>
      </c>
      <c r="P328" s="7"/>
      <c r="Q328" s="10"/>
      <c r="R328" s="11"/>
      <c r="S328" s="11"/>
      <c r="T328" s="26"/>
      <c r="U328" s="28">
        <f t="shared" si="12"/>
        <v>-0.12311364815775812</v>
      </c>
    </row>
    <row r="329" spans="1:21" x14ac:dyDescent="0.25">
      <c r="B329" s="9"/>
      <c r="C329" s="17">
        <v>730.05</v>
      </c>
      <c r="D329" s="18">
        <v>38.284999999999997</v>
      </c>
      <c r="E329" s="18">
        <v>42.426000000000002</v>
      </c>
      <c r="F329" s="18">
        <v>43.368000000000002</v>
      </c>
      <c r="G329" s="18">
        <v>78.81</v>
      </c>
      <c r="H329" s="18">
        <f t="shared" si="10"/>
        <v>39.437999999999995</v>
      </c>
      <c r="I329" s="5"/>
      <c r="J329" s="17">
        <v>591.37440000000004</v>
      </c>
      <c r="K329" s="18">
        <v>39.008000000000003</v>
      </c>
      <c r="L329" s="18">
        <v>43.413499999999999</v>
      </c>
      <c r="M329" s="18">
        <v>44.564500000000002</v>
      </c>
      <c r="N329" s="18">
        <v>85.263599999999997</v>
      </c>
      <c r="O329" s="18">
        <f t="shared" si="11"/>
        <v>40.253250000000001</v>
      </c>
      <c r="P329" s="7"/>
      <c r="Q329" s="10"/>
      <c r="R329" s="11"/>
      <c r="S329" s="11"/>
      <c r="T329" s="26"/>
      <c r="U329" s="28">
        <f t="shared" si="12"/>
        <v>8.1888085268366884E-2</v>
      </c>
    </row>
    <row r="330" spans="1:21" ht="16.5" thickBot="1" x14ac:dyDescent="0.3">
      <c r="B330" s="12"/>
      <c r="C330" s="19">
        <v>355.94</v>
      </c>
      <c r="D330" s="20">
        <v>34.384</v>
      </c>
      <c r="E330" s="20">
        <v>40.411000000000001</v>
      </c>
      <c r="F330" s="20">
        <v>41.348999999999997</v>
      </c>
      <c r="G330" s="20">
        <v>80.81</v>
      </c>
      <c r="H330" s="20">
        <f t="shared" si="10"/>
        <v>36.008000000000003</v>
      </c>
      <c r="I330" s="5"/>
      <c r="J330" s="19">
        <v>291.80959999999999</v>
      </c>
      <c r="K330" s="20">
        <v>35.7864</v>
      </c>
      <c r="L330" s="20">
        <v>41.240900000000003</v>
      </c>
      <c r="M330" s="20">
        <v>42.191600000000001</v>
      </c>
      <c r="N330" s="20">
        <v>115.8078</v>
      </c>
      <c r="O330" s="20">
        <f t="shared" si="11"/>
        <v>37.268862500000004</v>
      </c>
      <c r="P330" s="7"/>
      <c r="Q330" s="13"/>
      <c r="R330" s="14"/>
      <c r="S330" s="14"/>
      <c r="T330" s="27"/>
      <c r="U330" s="28">
        <f t="shared" si="12"/>
        <v>0.43308748917213213</v>
      </c>
    </row>
    <row r="331" spans="1:21" x14ac:dyDescent="0.25">
      <c r="B331" s="6" t="s">
        <v>62</v>
      </c>
      <c r="C331" s="15">
        <v>1971.13</v>
      </c>
      <c r="D331" s="16">
        <v>42.453000000000003</v>
      </c>
      <c r="E331" s="16">
        <v>46.963999999999999</v>
      </c>
      <c r="F331" s="16">
        <v>47.430999999999997</v>
      </c>
      <c r="G331" s="16">
        <v>71.09</v>
      </c>
      <c r="H331" s="16">
        <f t="shared" si="10"/>
        <v>43.639125</v>
      </c>
      <c r="I331" s="5"/>
      <c r="J331" s="15">
        <v>1516.9503999999999</v>
      </c>
      <c r="K331" s="16">
        <v>42.947099999999999</v>
      </c>
      <c r="L331" s="16">
        <v>48.1601</v>
      </c>
      <c r="M331" s="16">
        <v>48.810400000000001</v>
      </c>
      <c r="N331" s="16">
        <v>62.305300000000003</v>
      </c>
      <c r="O331" s="16">
        <f t="shared" si="11"/>
        <v>44.331637499999999</v>
      </c>
      <c r="P331" s="7"/>
      <c r="Q331" s="8">
        <f>bdrate(C331:C334,D331:D334,J331:J334,K331:K334)</f>
        <v>-0.48906492975289284</v>
      </c>
      <c r="R331" s="8">
        <f>bdrate(C331:C334,E331:E334,J331:J334,L331:L334)</f>
        <v>-0.62631403202334368</v>
      </c>
      <c r="S331" s="8">
        <f>bdrate(C331:C334,F331:F334,J331:J334,M331:M334)</f>
        <v>-0.66573677390398722</v>
      </c>
      <c r="T331" s="25">
        <f>bdrate(C331:C334,H331:H334,J331:J334,O331:O334)</f>
        <v>-0.53678433832224459</v>
      </c>
      <c r="U331" s="28">
        <f t="shared" ref="U331:U490" si="13">(N331-G331)/G331</f>
        <v>-0.12357152904768604</v>
      </c>
    </row>
    <row r="332" spans="1:21" x14ac:dyDescent="0.25">
      <c r="B332" s="9"/>
      <c r="C332" s="17">
        <v>1296</v>
      </c>
      <c r="D332" s="18">
        <v>41.817</v>
      </c>
      <c r="E332" s="18">
        <v>46.097000000000001</v>
      </c>
      <c r="F332" s="18">
        <v>46.375</v>
      </c>
      <c r="G332" s="18">
        <v>73.819999999999993</v>
      </c>
      <c r="H332" s="18">
        <f t="shared" si="10"/>
        <v>42.921749999999996</v>
      </c>
      <c r="I332" s="5"/>
      <c r="J332" s="17">
        <v>1000.2744</v>
      </c>
      <c r="K332" s="18">
        <v>42.433199999999999</v>
      </c>
      <c r="L332" s="18">
        <v>47.569200000000002</v>
      </c>
      <c r="M332" s="18">
        <v>48.201500000000003</v>
      </c>
      <c r="N332" s="18">
        <v>80.461299999999994</v>
      </c>
      <c r="O332" s="18">
        <f t="shared" si="11"/>
        <v>43.796237500000004</v>
      </c>
      <c r="P332" s="7"/>
      <c r="Q332" s="10"/>
      <c r="R332" s="11"/>
      <c r="S332" s="11"/>
      <c r="T332" s="26"/>
      <c r="U332" s="28">
        <f t="shared" si="13"/>
        <v>8.9966133839068027E-2</v>
      </c>
    </row>
    <row r="333" spans="1:21" x14ac:dyDescent="0.25">
      <c r="B333" s="9"/>
      <c r="C333" s="17">
        <v>749.46</v>
      </c>
      <c r="D333" s="18">
        <v>40.634</v>
      </c>
      <c r="E333" s="18">
        <v>44.774000000000001</v>
      </c>
      <c r="F333" s="18">
        <v>45.164999999999999</v>
      </c>
      <c r="G333" s="18">
        <v>75.260000000000005</v>
      </c>
      <c r="H333" s="18">
        <f t="shared" si="10"/>
        <v>41.717874999999999</v>
      </c>
      <c r="I333" s="5"/>
      <c r="J333" s="17">
        <v>588.7056</v>
      </c>
      <c r="K333" s="18">
        <v>41.591999999999999</v>
      </c>
      <c r="L333" s="18">
        <v>46.582799999999999</v>
      </c>
      <c r="M333" s="18">
        <v>47.169699999999999</v>
      </c>
      <c r="N333" s="18">
        <v>107.1046</v>
      </c>
      <c r="O333" s="18">
        <f t="shared" si="11"/>
        <v>42.913062499999995</v>
      </c>
      <c r="P333" s="7"/>
      <c r="Q333" s="10"/>
      <c r="R333" s="11"/>
      <c r="S333" s="11"/>
      <c r="T333" s="26"/>
      <c r="U333" s="28">
        <f t="shared" si="13"/>
        <v>0.4231278235450438</v>
      </c>
    </row>
    <row r="334" spans="1:21" ht="16.5" thickBot="1" x14ac:dyDescent="0.3">
      <c r="B334" s="12"/>
      <c r="C334" s="19">
        <v>351.38</v>
      </c>
      <c r="D334" s="20">
        <v>37.978999999999999</v>
      </c>
      <c r="E334" s="20">
        <v>42.415999999999997</v>
      </c>
      <c r="F334" s="20">
        <v>43.392000000000003</v>
      </c>
      <c r="G334" s="20">
        <v>76.319999999999993</v>
      </c>
      <c r="H334" s="20">
        <f t="shared" si="10"/>
        <v>39.210249999999995</v>
      </c>
      <c r="I334" s="5"/>
      <c r="J334" s="19">
        <v>285.03120000000001</v>
      </c>
      <c r="K334" s="20">
        <v>39.751399999999997</v>
      </c>
      <c r="L334" s="20">
        <v>44.634999999999998</v>
      </c>
      <c r="M334" s="20">
        <v>45.247999999999998</v>
      </c>
      <c r="N334" s="20">
        <v>152.63290000000001</v>
      </c>
      <c r="O334" s="20">
        <f t="shared" si="11"/>
        <v>41.048924999999997</v>
      </c>
      <c r="P334" s="7"/>
      <c r="Q334" s="13"/>
      <c r="R334" s="14"/>
      <c r="S334" s="14"/>
      <c r="T334" s="27"/>
      <c r="U334" s="28">
        <f t="shared" si="13"/>
        <v>0.99990697064989542</v>
      </c>
    </row>
    <row r="335" spans="1:21" x14ac:dyDescent="0.25">
      <c r="B335" s="6" t="s">
        <v>63</v>
      </c>
      <c r="C335" s="15">
        <v>2052.06</v>
      </c>
      <c r="D335" s="16">
        <v>42.545000000000002</v>
      </c>
      <c r="E335" s="16">
        <v>46.331000000000003</v>
      </c>
      <c r="F335" s="16">
        <v>46.933999999999997</v>
      </c>
      <c r="G335" s="16">
        <v>68.81</v>
      </c>
      <c r="H335" s="16">
        <f t="shared" si="10"/>
        <v>43.566874999999996</v>
      </c>
      <c r="I335" s="5"/>
      <c r="J335" s="15">
        <v>1556.3824</v>
      </c>
      <c r="K335" s="16">
        <v>42.827599999999997</v>
      </c>
      <c r="L335" s="16">
        <v>47.189300000000003</v>
      </c>
      <c r="M335" s="16">
        <v>48.048999999999999</v>
      </c>
      <c r="N335" s="16">
        <v>58.2637</v>
      </c>
      <c r="O335" s="16">
        <f t="shared" si="11"/>
        <v>44.025487499999997</v>
      </c>
      <c r="P335" s="7"/>
      <c r="Q335" s="8">
        <f>bdrate(C335:C338,D335:D338,J335:J338,K335:K338)</f>
        <v>-0.39242489830594962</v>
      </c>
      <c r="R335" s="8">
        <f>bdrate(C335:C338,E335:E338,J335:J338,L335:L338)</f>
        <v>-0.54768707396201921</v>
      </c>
      <c r="S335" s="8">
        <f>bdrate(C335:C338,F335:F338,J335:J338,M335:M338)</f>
        <v>-0.55722249951268399</v>
      </c>
      <c r="T335" s="25">
        <f>bdrate(C335:C338,H335:H338,J335:J338,O335:O338)</f>
        <v>-0.43593908208712329</v>
      </c>
      <c r="U335" s="28">
        <f t="shared" si="13"/>
        <v>-0.15326696701060896</v>
      </c>
    </row>
    <row r="336" spans="1:21" x14ac:dyDescent="0.25">
      <c r="B336" s="9"/>
      <c r="C336" s="17">
        <v>1353.78</v>
      </c>
      <c r="D336" s="18">
        <v>41.692</v>
      </c>
      <c r="E336" s="18">
        <v>45.226999999999997</v>
      </c>
      <c r="F336" s="18">
        <v>45.95</v>
      </c>
      <c r="G336" s="18">
        <v>71.099999999999994</v>
      </c>
      <c r="H336" s="18">
        <f t="shared" si="10"/>
        <v>42.666124999999994</v>
      </c>
      <c r="I336" s="5"/>
      <c r="J336" s="17">
        <v>1033.7592</v>
      </c>
      <c r="K336" s="18">
        <v>42.0717</v>
      </c>
      <c r="L336" s="18">
        <v>46.422600000000003</v>
      </c>
      <c r="M336" s="18">
        <v>47.2577</v>
      </c>
      <c r="N336" s="18">
        <v>72.983800000000002</v>
      </c>
      <c r="O336" s="18">
        <f t="shared" si="11"/>
        <v>43.2638125</v>
      </c>
      <c r="P336" s="7"/>
      <c r="Q336" s="10"/>
      <c r="R336" s="11"/>
      <c r="S336" s="11"/>
      <c r="T336" s="26"/>
      <c r="U336" s="28">
        <f t="shared" si="13"/>
        <v>2.6495077355836963E-2</v>
      </c>
    </row>
    <row r="337" spans="1:21" x14ac:dyDescent="0.25">
      <c r="B337" s="9"/>
      <c r="C337" s="17">
        <v>794.48</v>
      </c>
      <c r="D337" s="18">
        <v>40.076999999999998</v>
      </c>
      <c r="E337" s="18">
        <v>43.496000000000002</v>
      </c>
      <c r="F337" s="18">
        <v>44.231000000000002</v>
      </c>
      <c r="G337" s="18">
        <v>73.13</v>
      </c>
      <c r="H337" s="18">
        <f t="shared" si="10"/>
        <v>41.023624999999996</v>
      </c>
      <c r="I337" s="5"/>
      <c r="J337" s="17">
        <v>598.49040000000002</v>
      </c>
      <c r="K337" s="18">
        <v>40.762500000000003</v>
      </c>
      <c r="L337" s="18">
        <v>45.084600000000002</v>
      </c>
      <c r="M337" s="18">
        <v>45.850200000000001</v>
      </c>
      <c r="N337" s="18">
        <v>94.265500000000003</v>
      </c>
      <c r="O337" s="18">
        <f t="shared" si="11"/>
        <v>41.938725000000005</v>
      </c>
      <c r="P337" s="7"/>
      <c r="Q337" s="10"/>
      <c r="R337" s="11"/>
      <c r="S337" s="11"/>
      <c r="T337" s="26"/>
      <c r="U337" s="28">
        <f t="shared" si="13"/>
        <v>0.2890127170791742</v>
      </c>
    </row>
    <row r="338" spans="1:21" ht="16.5" thickBot="1" x14ac:dyDescent="0.3">
      <c r="B338" s="12"/>
      <c r="C338" s="19">
        <v>383.81</v>
      </c>
      <c r="D338" s="20">
        <v>36.624000000000002</v>
      </c>
      <c r="E338" s="20">
        <v>41.164999999999999</v>
      </c>
      <c r="F338" s="20">
        <v>41.771000000000001</v>
      </c>
      <c r="G338" s="20">
        <v>74.97</v>
      </c>
      <c r="H338" s="20">
        <f t="shared" si="10"/>
        <v>37.835000000000008</v>
      </c>
      <c r="I338" s="5"/>
      <c r="J338" s="19">
        <v>293.19279999999998</v>
      </c>
      <c r="K338" s="20">
        <v>38.241500000000002</v>
      </c>
      <c r="L338" s="20">
        <v>43.028300000000002</v>
      </c>
      <c r="M338" s="20">
        <v>43.796799999999998</v>
      </c>
      <c r="N338" s="20">
        <v>137.36259999999999</v>
      </c>
      <c r="O338" s="20">
        <f t="shared" si="11"/>
        <v>39.534262500000004</v>
      </c>
      <c r="P338" s="7"/>
      <c r="Q338" s="13"/>
      <c r="R338" s="14"/>
      <c r="S338" s="14"/>
      <c r="T338" s="27"/>
      <c r="U338" s="28">
        <f t="shared" si="13"/>
        <v>0.83223422702414285</v>
      </c>
    </row>
    <row r="339" spans="1:21" hidden="1" x14ac:dyDescent="0.25">
      <c r="A339" s="6" t="s">
        <v>71</v>
      </c>
      <c r="B339" s="6" t="s">
        <v>73</v>
      </c>
      <c r="C339" s="15">
        <v>1595.63</v>
      </c>
      <c r="D339" s="16">
        <v>35.203000000000003</v>
      </c>
      <c r="E339" s="16">
        <v>38.045999999999999</v>
      </c>
      <c r="F339" s="16">
        <v>38.088999999999999</v>
      </c>
      <c r="G339" s="16">
        <v>107.55</v>
      </c>
      <c r="H339" s="16">
        <f t="shared" ref="H339:H498" si="14">(6*D339+E339+F339)/8</f>
        <v>35.919125000000001</v>
      </c>
      <c r="I339" s="5"/>
      <c r="J339" s="15">
        <v>1271.636</v>
      </c>
      <c r="K339" s="16">
        <v>36.557000000000002</v>
      </c>
      <c r="L339" s="16">
        <v>39.7928</v>
      </c>
      <c r="M339" s="16">
        <v>39.7714</v>
      </c>
      <c r="N339" s="16">
        <v>56.331699999999998</v>
      </c>
      <c r="O339" s="16">
        <f t="shared" ref="O339:O498" si="15">(6*K339+L339+M339)/8</f>
        <v>37.363275000000002</v>
      </c>
      <c r="P339" s="7"/>
      <c r="Q339" s="8">
        <f>bdrate(C339:C342,D339:D342,J339:J342,K339:K342)</f>
        <v>-0.41305932117131239</v>
      </c>
      <c r="R339" s="8">
        <f>bdrate(C339:C342,E339:E342,J339:J342,L339:L342)</f>
        <v>-0.47877339259693108</v>
      </c>
      <c r="S339" s="8">
        <f>bdrate(C339:C342,F339:F342,J339:J342,M339:M342)</f>
        <v>-0.44461286126581745</v>
      </c>
      <c r="T339" s="25">
        <f>bdrate(C339:C342,H339:H342,J339:J342,O339:O342)</f>
        <v>-0.42391027566222694</v>
      </c>
      <c r="U339" s="28">
        <f t="shared" si="13"/>
        <v>-0.47622780102278012</v>
      </c>
    </row>
    <row r="340" spans="1:21" hidden="1" x14ac:dyDescent="0.25">
      <c r="A340" s="9" t="s">
        <v>72</v>
      </c>
      <c r="B340" s="9"/>
      <c r="C340" s="17">
        <v>1064.3800000000001</v>
      </c>
      <c r="D340" s="18">
        <v>33.463999999999999</v>
      </c>
      <c r="E340" s="18">
        <v>36.658999999999999</v>
      </c>
      <c r="F340" s="18">
        <v>36.606999999999999</v>
      </c>
      <c r="G340" s="18">
        <v>123.76</v>
      </c>
      <c r="H340" s="18">
        <f t="shared" si="14"/>
        <v>34.256249999999994</v>
      </c>
      <c r="I340" s="5"/>
      <c r="J340" s="17">
        <v>843.91039999999998</v>
      </c>
      <c r="K340" s="18">
        <v>34.6873</v>
      </c>
      <c r="L340" s="18">
        <v>38.193199999999997</v>
      </c>
      <c r="M340" s="18">
        <v>38.016399999999997</v>
      </c>
      <c r="N340" s="18">
        <v>66.365799999999993</v>
      </c>
      <c r="O340" s="18">
        <f t="shared" si="15"/>
        <v>35.541674999999998</v>
      </c>
      <c r="P340" s="7"/>
      <c r="Q340" s="10"/>
      <c r="R340" s="11"/>
      <c r="S340" s="11"/>
      <c r="T340" s="26"/>
      <c r="U340" s="28">
        <f t="shared" si="13"/>
        <v>-0.46375404007756954</v>
      </c>
    </row>
    <row r="341" spans="1:21" hidden="1" x14ac:dyDescent="0.25">
      <c r="B341" s="9"/>
      <c r="C341" s="17">
        <v>662.12</v>
      </c>
      <c r="D341" s="18">
        <v>31.369</v>
      </c>
      <c r="E341" s="18">
        <v>35.161999999999999</v>
      </c>
      <c r="F341" s="18">
        <v>34.994999999999997</v>
      </c>
      <c r="G341" s="18">
        <v>140.57</v>
      </c>
      <c r="H341" s="18">
        <f t="shared" si="14"/>
        <v>32.296374999999998</v>
      </c>
      <c r="I341" s="5"/>
      <c r="J341" s="17">
        <v>524.49440000000004</v>
      </c>
      <c r="K341" s="18">
        <v>32.683500000000002</v>
      </c>
      <c r="L341" s="18">
        <v>36.473500000000001</v>
      </c>
      <c r="M341" s="18">
        <v>36.190100000000001</v>
      </c>
      <c r="N341" s="18">
        <v>78.566900000000004</v>
      </c>
      <c r="O341" s="18">
        <f t="shared" si="15"/>
        <v>33.595574999999997</v>
      </c>
      <c r="P341" s="7"/>
      <c r="Q341" s="10"/>
      <c r="R341" s="11"/>
      <c r="S341" s="11"/>
      <c r="T341" s="26"/>
      <c r="U341" s="28">
        <f t="shared" si="13"/>
        <v>-0.44108344596997934</v>
      </c>
    </row>
    <row r="342" spans="1:21" ht="16.5" hidden="1" thickBot="1" x14ac:dyDescent="0.3">
      <c r="B342" s="12"/>
      <c r="C342" s="19">
        <v>395.75</v>
      </c>
      <c r="D342" s="20">
        <v>28.969000000000001</v>
      </c>
      <c r="E342" s="20">
        <v>33.770000000000003</v>
      </c>
      <c r="F342" s="20">
        <v>33.453000000000003</v>
      </c>
      <c r="G342" s="20">
        <v>162.71</v>
      </c>
      <c r="H342" s="20">
        <f t="shared" si="14"/>
        <v>30.129625000000004</v>
      </c>
      <c r="I342" s="5"/>
      <c r="J342" s="19">
        <v>315.81040000000002</v>
      </c>
      <c r="K342" s="20">
        <v>30.631900000000002</v>
      </c>
      <c r="L342" s="20">
        <v>34.823</v>
      </c>
      <c r="M342" s="20">
        <v>34.394399999999997</v>
      </c>
      <c r="N342" s="20">
        <v>95.914100000000005</v>
      </c>
      <c r="O342" s="20">
        <f t="shared" si="15"/>
        <v>31.626100000000001</v>
      </c>
      <c r="P342" s="7"/>
      <c r="Q342" s="13"/>
      <c r="R342" s="14"/>
      <c r="S342" s="14"/>
      <c r="T342" s="27"/>
      <c r="U342" s="28">
        <f t="shared" si="13"/>
        <v>-0.41052117263843646</v>
      </c>
    </row>
    <row r="343" spans="1:21" hidden="1" x14ac:dyDescent="0.25">
      <c r="B343" s="6" t="s">
        <v>74</v>
      </c>
      <c r="C343" s="15">
        <v>1474.05</v>
      </c>
      <c r="D343" s="16">
        <v>34.6</v>
      </c>
      <c r="E343" s="16">
        <v>40.590000000000003</v>
      </c>
      <c r="F343" s="16">
        <v>40.164000000000001</v>
      </c>
      <c r="G343" s="16">
        <v>57.86</v>
      </c>
      <c r="H343" s="16">
        <f t="shared" si="14"/>
        <v>36.044250000000005</v>
      </c>
      <c r="I343" s="5"/>
      <c r="J343" s="15">
        <v>1247.0059000000001</v>
      </c>
      <c r="K343" s="16">
        <v>34.338900000000002</v>
      </c>
      <c r="L343" s="16">
        <v>41.236400000000003</v>
      </c>
      <c r="M343" s="16">
        <v>40.6203</v>
      </c>
      <c r="N343" s="16">
        <v>37.9651</v>
      </c>
      <c r="O343" s="16">
        <f t="shared" si="15"/>
        <v>35.986262500000002</v>
      </c>
      <c r="P343" s="7"/>
      <c r="Q343" s="8">
        <f>bdrate(C343:C346,D343:D346,J343:J346,K343:K346)</f>
        <v>-0.20548096011412453</v>
      </c>
      <c r="R343" s="8">
        <f>bdrate(C343:C346,E343:E346,J343:J346,L343:L346)</f>
        <v>-0.29117660038212589</v>
      </c>
      <c r="S343" s="8">
        <f>bdrate(C343:C346,F343:F346,J343:J346,M343:M346)</f>
        <v>-0.22405706795860603</v>
      </c>
      <c r="T343" s="25">
        <f>bdrate(C343:C346,H343:H346,J343:J346,O343:O346)</f>
        <v>-0.21598554031709638</v>
      </c>
      <c r="U343" s="28">
        <f t="shared" si="13"/>
        <v>-0.34384548911164881</v>
      </c>
    </row>
    <row r="344" spans="1:21" hidden="1" x14ac:dyDescent="0.25">
      <c r="B344" s="9"/>
      <c r="C344" s="17">
        <v>977.64</v>
      </c>
      <c r="D344" s="18">
        <v>32.744999999999997</v>
      </c>
      <c r="E344" s="18">
        <v>39.517000000000003</v>
      </c>
      <c r="F344" s="18">
        <v>38.936999999999998</v>
      </c>
      <c r="G344" s="18">
        <v>65.680000000000007</v>
      </c>
      <c r="H344" s="18">
        <f t="shared" si="14"/>
        <v>34.365499999999997</v>
      </c>
      <c r="I344" s="5"/>
      <c r="J344" s="17">
        <v>827.36059999999998</v>
      </c>
      <c r="K344" s="18">
        <v>32.795699999999997</v>
      </c>
      <c r="L344" s="18">
        <v>40.079799999999999</v>
      </c>
      <c r="M344" s="18">
        <v>39.320799999999998</v>
      </c>
      <c r="N344" s="18">
        <v>45.905299999999997</v>
      </c>
      <c r="O344" s="18">
        <f t="shared" si="15"/>
        <v>34.521850000000001</v>
      </c>
      <c r="P344" s="7"/>
      <c r="Q344" s="10"/>
      <c r="R344" s="11"/>
      <c r="S344" s="11"/>
      <c r="T344" s="26"/>
      <c r="U344" s="28">
        <f t="shared" si="13"/>
        <v>-0.30107643118148614</v>
      </c>
    </row>
    <row r="345" spans="1:21" hidden="1" x14ac:dyDescent="0.25">
      <c r="B345" s="9"/>
      <c r="C345" s="17">
        <v>611.20000000000005</v>
      </c>
      <c r="D345" s="18">
        <v>30.783000000000001</v>
      </c>
      <c r="E345" s="18">
        <v>38.484999999999999</v>
      </c>
      <c r="F345" s="18">
        <v>37.683999999999997</v>
      </c>
      <c r="G345" s="18">
        <v>73.510000000000005</v>
      </c>
      <c r="H345" s="18">
        <f t="shared" si="14"/>
        <v>32.608374999999995</v>
      </c>
      <c r="I345" s="5"/>
      <c r="J345" s="17">
        <v>515.03279999999995</v>
      </c>
      <c r="K345" s="18">
        <v>31.180399999999999</v>
      </c>
      <c r="L345" s="18">
        <v>38.845500000000001</v>
      </c>
      <c r="M345" s="18">
        <v>37.850900000000003</v>
      </c>
      <c r="N345" s="18">
        <v>57.025500000000001</v>
      </c>
      <c r="O345" s="18">
        <f t="shared" si="15"/>
        <v>32.972350000000006</v>
      </c>
      <c r="P345" s="7"/>
      <c r="Q345" s="10"/>
      <c r="R345" s="11"/>
      <c r="S345" s="11"/>
      <c r="T345" s="26"/>
      <c r="U345" s="28">
        <f t="shared" si="13"/>
        <v>-0.22424840157801665</v>
      </c>
    </row>
    <row r="346" spans="1:21" ht="16.5" hidden="1" thickBot="1" x14ac:dyDescent="0.3">
      <c r="B346" s="12"/>
      <c r="C346" s="19">
        <v>366.93</v>
      </c>
      <c r="D346" s="20">
        <v>28.731999999999999</v>
      </c>
      <c r="E346" s="20">
        <v>37.374000000000002</v>
      </c>
      <c r="F346" s="20">
        <v>36.369999999999997</v>
      </c>
      <c r="G346" s="20">
        <v>78.17</v>
      </c>
      <c r="H346" s="20">
        <f t="shared" si="14"/>
        <v>30.766999999999999</v>
      </c>
      <c r="I346" s="5"/>
      <c r="J346" s="19">
        <v>310.53410000000002</v>
      </c>
      <c r="K346" s="20">
        <v>29.574300000000001</v>
      </c>
      <c r="L346" s="20">
        <v>37.572699999999998</v>
      </c>
      <c r="M346" s="20">
        <v>36.3964</v>
      </c>
      <c r="N346" s="20">
        <v>70.264200000000002</v>
      </c>
      <c r="O346" s="20">
        <f t="shared" si="15"/>
        <v>31.426862500000002</v>
      </c>
      <c r="P346" s="7"/>
      <c r="Q346" s="13"/>
      <c r="R346" s="14"/>
      <c r="S346" s="14"/>
      <c r="T346" s="27"/>
      <c r="U346" s="28">
        <f t="shared" si="13"/>
        <v>-0.10113598567225277</v>
      </c>
    </row>
    <row r="347" spans="1:21" hidden="1" x14ac:dyDescent="0.25">
      <c r="B347" s="6" t="s">
        <v>75</v>
      </c>
      <c r="C347" s="15">
        <v>1277.31</v>
      </c>
      <c r="D347" s="16">
        <v>51.67</v>
      </c>
      <c r="E347" s="16">
        <v>51.195</v>
      </c>
      <c r="F347" s="16">
        <v>50.991</v>
      </c>
      <c r="G347" s="16">
        <v>114.42</v>
      </c>
      <c r="H347" s="16">
        <f t="shared" si="14"/>
        <v>51.525749999999995</v>
      </c>
      <c r="I347" s="5"/>
      <c r="J347" s="15">
        <v>838.73839999999996</v>
      </c>
      <c r="K347" s="16">
        <v>50.0274</v>
      </c>
      <c r="L347" s="16">
        <v>49.619599999999998</v>
      </c>
      <c r="M347" s="16">
        <v>49.525799999999997</v>
      </c>
      <c r="N347" s="16">
        <v>51.822400000000002</v>
      </c>
      <c r="O347" s="16">
        <f t="shared" si="15"/>
        <v>49.913724999999999</v>
      </c>
      <c r="P347" s="7"/>
      <c r="Q347" s="8">
        <f>bdrate(C347:C350,D347:D350,J347:J350,K347:K350)</f>
        <v>-0.14899266841781655</v>
      </c>
      <c r="R347" s="8">
        <f>bdrate(C347:C350,E347:E350,J347:J350,L347:L350)</f>
        <v>-0.15603454285468743</v>
      </c>
      <c r="S347" s="8">
        <f>bdrate(C347:C350,F347:F350,J347:J350,M347:M350)</f>
        <v>-0.15377301554007827</v>
      </c>
      <c r="T347" s="25">
        <f>bdrate(C347:C350,H347:H350,J347:J350,O347:O350)</f>
        <v>-0.1504605890377898</v>
      </c>
      <c r="U347" s="28">
        <f t="shared" si="13"/>
        <v>-0.54708617374584867</v>
      </c>
    </row>
    <row r="348" spans="1:21" hidden="1" x14ac:dyDescent="0.25">
      <c r="B348" s="9"/>
      <c r="C348" s="17">
        <v>819.73</v>
      </c>
      <c r="D348" s="18">
        <v>47.515000000000001</v>
      </c>
      <c r="E348" s="18">
        <v>47.472000000000001</v>
      </c>
      <c r="F348" s="18">
        <v>47.302999999999997</v>
      </c>
      <c r="G348" s="18">
        <v>129.09</v>
      </c>
      <c r="H348" s="18">
        <f t="shared" si="14"/>
        <v>47.483125000000001</v>
      </c>
      <c r="I348" s="5"/>
      <c r="J348" s="17">
        <v>715.8768</v>
      </c>
      <c r="K348" s="18">
        <v>48.510899999999999</v>
      </c>
      <c r="L348" s="18">
        <v>48.313299999999998</v>
      </c>
      <c r="M348" s="18">
        <v>48.146099999999997</v>
      </c>
      <c r="N348" s="18">
        <v>74.202299999999994</v>
      </c>
      <c r="O348" s="18">
        <f t="shared" si="15"/>
        <v>48.440599999999996</v>
      </c>
      <c r="P348" s="7"/>
      <c r="Q348" s="10"/>
      <c r="R348" s="11"/>
      <c r="S348" s="11"/>
      <c r="T348" s="26"/>
      <c r="U348" s="28">
        <f t="shared" si="13"/>
        <v>-0.4251894027422729</v>
      </c>
    </row>
    <row r="349" spans="1:21" hidden="1" x14ac:dyDescent="0.25">
      <c r="B349" s="9"/>
      <c r="C349" s="17">
        <v>533.41</v>
      </c>
      <c r="D349" s="18">
        <v>42.555</v>
      </c>
      <c r="E349" s="18">
        <v>43.384</v>
      </c>
      <c r="F349" s="18">
        <v>43.302</v>
      </c>
      <c r="G349" s="18">
        <v>140.38</v>
      </c>
      <c r="H349" s="18">
        <f t="shared" si="14"/>
        <v>42.752000000000002</v>
      </c>
      <c r="I349" s="5"/>
      <c r="J349" s="17">
        <v>543.56880000000001</v>
      </c>
      <c r="K349" s="18">
        <v>44.624899999999997</v>
      </c>
      <c r="L349" s="18">
        <v>45.183</v>
      </c>
      <c r="M349" s="18">
        <v>45.045400000000001</v>
      </c>
      <c r="N349" s="18">
        <v>114.4601</v>
      </c>
      <c r="O349" s="18">
        <f t="shared" si="15"/>
        <v>44.747225</v>
      </c>
      <c r="P349" s="7"/>
      <c r="Q349" s="10"/>
      <c r="R349" s="11"/>
      <c r="S349" s="11"/>
      <c r="T349" s="26"/>
      <c r="U349" s="28">
        <f t="shared" si="13"/>
        <v>-0.18464097449779171</v>
      </c>
    </row>
    <row r="350" spans="1:21" ht="16.5" hidden="1" thickBot="1" x14ac:dyDescent="0.3">
      <c r="B350" s="12"/>
      <c r="C350" s="19">
        <v>291.45999999999998</v>
      </c>
      <c r="D350" s="20">
        <v>34.875999999999998</v>
      </c>
      <c r="E350" s="20">
        <v>38.826999999999998</v>
      </c>
      <c r="F350" s="20">
        <v>38.491</v>
      </c>
      <c r="G350" s="20">
        <v>157.65</v>
      </c>
      <c r="H350" s="20">
        <f t="shared" si="14"/>
        <v>35.821749999999994</v>
      </c>
      <c r="I350" s="5"/>
      <c r="J350" s="19">
        <v>317.42320000000001</v>
      </c>
      <c r="K350" s="20">
        <v>37.560400000000001</v>
      </c>
      <c r="L350" s="20">
        <v>39.959099999999999</v>
      </c>
      <c r="M350" s="20">
        <v>39.719799999999999</v>
      </c>
      <c r="N350" s="20">
        <v>137.36259999999999</v>
      </c>
      <c r="O350" s="20">
        <f t="shared" si="15"/>
        <v>38.130162500000004</v>
      </c>
      <c r="P350" s="7"/>
      <c r="Q350" s="13"/>
      <c r="R350" s="14"/>
      <c r="S350" s="14"/>
      <c r="T350" s="27"/>
      <c r="U350" s="28">
        <f t="shared" si="13"/>
        <v>-0.12868633047890909</v>
      </c>
    </row>
    <row r="351" spans="1:21" hidden="1" x14ac:dyDescent="0.25">
      <c r="B351" s="6" t="s">
        <v>76</v>
      </c>
      <c r="C351" s="15">
        <v>1768.41</v>
      </c>
      <c r="D351" s="16">
        <v>56.136000000000003</v>
      </c>
      <c r="E351" s="16">
        <v>58.878</v>
      </c>
      <c r="F351" s="16">
        <v>59.466000000000001</v>
      </c>
      <c r="G351" s="16">
        <v>83.68</v>
      </c>
      <c r="H351" s="16">
        <f t="shared" si="14"/>
        <v>56.895000000000003</v>
      </c>
      <c r="I351" s="5"/>
      <c r="J351" s="15">
        <v>1113.049</v>
      </c>
      <c r="K351" s="16">
        <v>53.146000000000001</v>
      </c>
      <c r="L351" s="16">
        <v>55.991300000000003</v>
      </c>
      <c r="M351" s="16">
        <v>56.874200000000002</v>
      </c>
      <c r="N351" s="16">
        <v>52.197499999999998</v>
      </c>
      <c r="O351" s="16">
        <f t="shared" si="15"/>
        <v>53.967687499999997</v>
      </c>
      <c r="P351" s="7"/>
      <c r="Q351" s="8">
        <f>bdrate(C351:C354,D351:D354,J351:J354,K351:K354)</f>
        <v>-0.18582785750363773</v>
      </c>
      <c r="R351" s="8">
        <f>bdrate(C351:C354,E351:E354,J351:J354,L351:L354)</f>
        <v>-0.27545330113782707</v>
      </c>
      <c r="S351" s="8">
        <f>bdrate(C351:C354,F351:F354,J351:J354,M351:M354)</f>
        <v>-0.24884493972977006</v>
      </c>
      <c r="T351" s="25">
        <f>bdrate(C351:C354,H351:H354,J351:J354,O351:O354)</f>
        <v>-0.20379592222372223</v>
      </c>
      <c r="U351" s="28">
        <f t="shared" si="13"/>
        <v>-0.37622490439770562</v>
      </c>
    </row>
    <row r="352" spans="1:21" hidden="1" x14ac:dyDescent="0.25">
      <c r="B352" s="9"/>
      <c r="C352" s="17">
        <v>1186.05</v>
      </c>
      <c r="D352" s="18">
        <v>52.390999999999998</v>
      </c>
      <c r="E352" s="18">
        <v>55.454000000000001</v>
      </c>
      <c r="F352" s="18">
        <v>56.252000000000002</v>
      </c>
      <c r="G352" s="18">
        <v>92.1</v>
      </c>
      <c r="H352" s="18">
        <f t="shared" si="14"/>
        <v>53.256500000000003</v>
      </c>
      <c r="I352" s="5"/>
      <c r="J352" s="17">
        <v>772.71709999999996</v>
      </c>
      <c r="K352" s="18">
        <v>50.374200000000002</v>
      </c>
      <c r="L352" s="18">
        <v>53.7134</v>
      </c>
      <c r="M352" s="18">
        <v>54.7</v>
      </c>
      <c r="N352" s="18">
        <v>58.493200000000002</v>
      </c>
      <c r="O352" s="18">
        <f t="shared" si="15"/>
        <v>51.332324999999997</v>
      </c>
      <c r="P352" s="7"/>
      <c r="Q352" s="10"/>
      <c r="R352" s="11"/>
      <c r="S352" s="11"/>
      <c r="T352" s="26"/>
      <c r="U352" s="28">
        <f t="shared" si="13"/>
        <v>-0.36489467969598255</v>
      </c>
    </row>
    <row r="353" spans="1:21" hidden="1" x14ac:dyDescent="0.25">
      <c r="B353" s="9"/>
      <c r="C353" s="17">
        <v>718.1</v>
      </c>
      <c r="D353" s="18">
        <v>48.326999999999998</v>
      </c>
      <c r="E353" s="18">
        <v>51.082000000000001</v>
      </c>
      <c r="F353" s="18">
        <v>52.613</v>
      </c>
      <c r="G353" s="18">
        <v>98.91</v>
      </c>
      <c r="H353" s="18">
        <f t="shared" si="14"/>
        <v>49.207124999999998</v>
      </c>
      <c r="I353" s="5"/>
      <c r="J353" s="17">
        <v>474.84</v>
      </c>
      <c r="K353" s="18">
        <v>46.802599999999998</v>
      </c>
      <c r="L353" s="18">
        <v>50.689399999999999</v>
      </c>
      <c r="M353" s="18">
        <v>51.789900000000003</v>
      </c>
      <c r="N353" s="18">
        <v>71.063100000000006</v>
      </c>
      <c r="O353" s="18">
        <f t="shared" si="15"/>
        <v>47.911862499999998</v>
      </c>
      <c r="P353" s="7"/>
      <c r="Q353" s="10"/>
      <c r="R353" s="11"/>
      <c r="S353" s="11"/>
      <c r="T353" s="26"/>
      <c r="U353" s="28">
        <f t="shared" si="13"/>
        <v>-0.28153776160145577</v>
      </c>
    </row>
    <row r="354" spans="1:21" ht="16.5" hidden="1" thickBot="1" x14ac:dyDescent="0.3">
      <c r="B354" s="12"/>
      <c r="C354" s="19">
        <v>364.38</v>
      </c>
      <c r="D354" s="20">
        <v>42.732999999999997</v>
      </c>
      <c r="E354" s="20">
        <v>45.83</v>
      </c>
      <c r="F354" s="20">
        <v>47.308</v>
      </c>
      <c r="G354" s="20">
        <v>105.42</v>
      </c>
      <c r="H354" s="20">
        <f t="shared" si="14"/>
        <v>43.691999999999993</v>
      </c>
      <c r="I354" s="5"/>
      <c r="J354" s="19">
        <v>252.8595</v>
      </c>
      <c r="K354" s="20">
        <v>41.448999999999998</v>
      </c>
      <c r="L354" s="20">
        <v>46.3414</v>
      </c>
      <c r="M354" s="20">
        <v>47.6676</v>
      </c>
      <c r="N354" s="20">
        <v>87.811700000000002</v>
      </c>
      <c r="O354" s="20">
        <f t="shared" si="15"/>
        <v>42.837874999999997</v>
      </c>
      <c r="P354" s="7"/>
      <c r="Q354" s="13"/>
      <c r="R354" s="14"/>
      <c r="S354" s="14"/>
      <c r="T354" s="27"/>
      <c r="U354" s="28">
        <f t="shared" si="13"/>
        <v>-0.16702997533674824</v>
      </c>
    </row>
    <row r="355" spans="1:21" hidden="1" x14ac:dyDescent="0.25">
      <c r="A355" s="6" t="s">
        <v>104</v>
      </c>
      <c r="B355" s="6" t="s">
        <v>105</v>
      </c>
      <c r="C355" s="15">
        <v>1300.2</v>
      </c>
      <c r="D355" s="16">
        <v>42.264000000000003</v>
      </c>
      <c r="E355" s="16">
        <v>48.744999999999997</v>
      </c>
      <c r="F355" s="16">
        <v>48.679000000000002</v>
      </c>
      <c r="G355" s="16">
        <v>69.41</v>
      </c>
      <c r="H355" s="16">
        <f t="shared" si="14"/>
        <v>43.876000000000005</v>
      </c>
      <c r="I355" s="5"/>
      <c r="J355" s="15">
        <v>1035.1353999999999</v>
      </c>
      <c r="K355" s="16">
        <v>41.901000000000003</v>
      </c>
      <c r="L355" s="16">
        <v>48.072600000000001</v>
      </c>
      <c r="M355" s="16">
        <v>48.007899999999999</v>
      </c>
      <c r="N355" s="16">
        <v>31.127500000000001</v>
      </c>
      <c r="O355" s="16">
        <f t="shared" si="15"/>
        <v>43.435812500000004</v>
      </c>
      <c r="P355" s="7"/>
      <c r="Q355" s="8">
        <f>bdrate(C355:C358,D355:D358,J355:J358,K355:K358)</f>
        <v>-0.18048242080353671</v>
      </c>
      <c r="R355" s="8">
        <f>bdrate(C355:C358,E355:E358,J355:J358,L355:L358)</f>
        <v>-9.1180722798200331E-2</v>
      </c>
      <c r="S355" s="8">
        <f>bdrate(C355:C358,F355:F358,J355:J358,M355:M358)</f>
        <v>-0.11484007502656901</v>
      </c>
      <c r="T355" s="25">
        <f>bdrate(C355:C358,H355:H358,J355:J358,O355:O358)</f>
        <v>-0.16672185218595481</v>
      </c>
      <c r="U355" s="28">
        <f t="shared" si="13"/>
        <v>-0.55154156461604953</v>
      </c>
    </row>
    <row r="356" spans="1:21" hidden="1" x14ac:dyDescent="0.25">
      <c r="A356" s="9"/>
      <c r="B356" s="9"/>
      <c r="C356" s="17">
        <v>773.36</v>
      </c>
      <c r="D356" s="18">
        <v>39.744999999999997</v>
      </c>
      <c r="E356" s="18">
        <v>46.9</v>
      </c>
      <c r="F356" s="18">
        <v>46.670999999999999</v>
      </c>
      <c r="G356" s="18">
        <v>77.78</v>
      </c>
      <c r="H356" s="18">
        <f t="shared" si="14"/>
        <v>41.505124999999992</v>
      </c>
      <c r="I356" s="5"/>
      <c r="J356" s="17">
        <v>616.87559999999996</v>
      </c>
      <c r="K356" s="18">
        <v>39.5154</v>
      </c>
      <c r="L356" s="18">
        <v>46.382300000000001</v>
      </c>
      <c r="M356" s="18">
        <v>46.202100000000002</v>
      </c>
      <c r="N356" s="18">
        <v>38.348599999999998</v>
      </c>
      <c r="O356" s="18">
        <f t="shared" si="15"/>
        <v>41.209599999999995</v>
      </c>
      <c r="P356" s="7"/>
      <c r="Q356" s="10"/>
      <c r="R356" s="11"/>
      <c r="S356" s="11"/>
      <c r="T356" s="26"/>
      <c r="U356" s="28">
        <f t="shared" si="13"/>
        <v>-0.50696065826690673</v>
      </c>
    </row>
    <row r="357" spans="1:21" hidden="1" x14ac:dyDescent="0.25">
      <c r="B357" s="9"/>
      <c r="C357" s="17">
        <v>511.08</v>
      </c>
      <c r="D357" s="18">
        <v>37.686</v>
      </c>
      <c r="E357" s="18">
        <v>45.488</v>
      </c>
      <c r="F357" s="18">
        <v>45.14</v>
      </c>
      <c r="G357" s="18">
        <v>86.82</v>
      </c>
      <c r="H357" s="18">
        <f t="shared" si="14"/>
        <v>39.592999999999996</v>
      </c>
      <c r="I357" s="5"/>
      <c r="J357" s="17">
        <v>408.69040000000001</v>
      </c>
      <c r="K357" s="18">
        <v>37.561799999999998</v>
      </c>
      <c r="L357" s="18">
        <v>45.099600000000002</v>
      </c>
      <c r="M357" s="18">
        <v>44.830100000000002</v>
      </c>
      <c r="N357" s="18">
        <v>45.546599999999998</v>
      </c>
      <c r="O357" s="18">
        <f t="shared" si="15"/>
        <v>39.4125625</v>
      </c>
      <c r="P357" s="7"/>
      <c r="Q357" s="10"/>
      <c r="R357" s="11"/>
      <c r="S357" s="11"/>
      <c r="T357" s="26"/>
      <c r="U357" s="28">
        <f t="shared" si="13"/>
        <v>-0.47539046302695231</v>
      </c>
    </row>
    <row r="358" spans="1:21" ht="16.5" hidden="1" thickBot="1" x14ac:dyDescent="0.3">
      <c r="B358" s="12"/>
      <c r="C358" s="19">
        <v>253.61</v>
      </c>
      <c r="D358" s="20">
        <v>34.101999999999997</v>
      </c>
      <c r="E358" s="20">
        <v>43.198</v>
      </c>
      <c r="F358" s="20">
        <v>42.691000000000003</v>
      </c>
      <c r="G358" s="20">
        <v>102.2</v>
      </c>
      <c r="H358" s="20">
        <f t="shared" si="14"/>
        <v>36.312624999999997</v>
      </c>
      <c r="I358" s="5"/>
      <c r="J358" s="19">
        <v>204.01929999999999</v>
      </c>
      <c r="K358" s="20">
        <v>34.368000000000002</v>
      </c>
      <c r="L358" s="20">
        <v>43.021799999999999</v>
      </c>
      <c r="M358" s="20">
        <v>42.570999999999998</v>
      </c>
      <c r="N358" s="20">
        <v>60.655999999999999</v>
      </c>
      <c r="O358" s="20">
        <f t="shared" si="15"/>
        <v>36.475099999999998</v>
      </c>
      <c r="P358" s="7"/>
      <c r="Q358" s="13"/>
      <c r="R358" s="14"/>
      <c r="S358" s="14"/>
      <c r="T358" s="27"/>
      <c r="U358" s="28">
        <f t="shared" si="13"/>
        <v>-0.40649706457925638</v>
      </c>
    </row>
    <row r="359" spans="1:21" hidden="1" x14ac:dyDescent="0.25">
      <c r="B359" s="6" t="s">
        <v>106</v>
      </c>
      <c r="C359" s="15">
        <v>1281.73</v>
      </c>
      <c r="D359" s="16">
        <v>41.445999999999998</v>
      </c>
      <c r="E359" s="16">
        <v>50.731000000000002</v>
      </c>
      <c r="F359" s="16">
        <v>48.558</v>
      </c>
      <c r="G359" s="16">
        <v>77.73</v>
      </c>
      <c r="H359" s="16">
        <f t="shared" si="14"/>
        <v>43.495624999999997</v>
      </c>
      <c r="I359" s="5"/>
      <c r="J359" s="15">
        <v>1028.0525</v>
      </c>
      <c r="K359" s="16">
        <v>40.749400000000001</v>
      </c>
      <c r="L359" s="16">
        <v>49.993600000000001</v>
      </c>
      <c r="M359" s="16">
        <v>47.936900000000001</v>
      </c>
      <c r="N359" s="16">
        <v>36.928600000000003</v>
      </c>
      <c r="O359" s="16">
        <f t="shared" si="15"/>
        <v>42.803362499999999</v>
      </c>
      <c r="P359" s="7"/>
      <c r="Q359" s="8">
        <f>bdrate(C359:C362,D359:D362,J359:J362,K359:K362)</f>
        <v>-0.12088700125338292</v>
      </c>
      <c r="R359" s="8">
        <f>bdrate(C359:C362,E359:E362,J359:J362,L359:L362)</f>
        <v>-0.19922990664409956</v>
      </c>
      <c r="S359" s="8">
        <f>bdrate(C359:C362,F359:F362,J359:J362,M359:M362)</f>
        <v>-0.21254048491661348</v>
      </c>
      <c r="T359" s="25">
        <f>bdrate(C359:C362,H359:H362,J359:J362,O359:O362)</f>
        <v>-0.13733069571828627</v>
      </c>
      <c r="U359" s="28">
        <f t="shared" si="13"/>
        <v>-0.52491187443715426</v>
      </c>
    </row>
    <row r="360" spans="1:21" hidden="1" x14ac:dyDescent="0.25">
      <c r="B360" s="9"/>
      <c r="C360" s="17">
        <v>765.99</v>
      </c>
      <c r="D360" s="18">
        <v>39.040999999999997</v>
      </c>
      <c r="E360" s="18">
        <v>48.994</v>
      </c>
      <c r="F360" s="18">
        <v>46.524999999999999</v>
      </c>
      <c r="G360" s="18">
        <v>88.87</v>
      </c>
      <c r="H360" s="18">
        <f t="shared" si="14"/>
        <v>41.220624999999998</v>
      </c>
      <c r="I360" s="5"/>
      <c r="J360" s="17">
        <v>616.15099999999995</v>
      </c>
      <c r="K360" s="18">
        <v>38.503300000000003</v>
      </c>
      <c r="L360" s="18">
        <v>48.772500000000001</v>
      </c>
      <c r="M360" s="18">
        <v>46.388800000000003</v>
      </c>
      <c r="N360" s="18">
        <v>45.438000000000002</v>
      </c>
      <c r="O360" s="18">
        <f t="shared" si="15"/>
        <v>40.772637500000002</v>
      </c>
      <c r="P360" s="7"/>
      <c r="Q360" s="10"/>
      <c r="R360" s="11"/>
      <c r="S360" s="11"/>
      <c r="T360" s="26"/>
      <c r="U360" s="28">
        <f t="shared" si="13"/>
        <v>-0.48871385169348486</v>
      </c>
    </row>
    <row r="361" spans="1:21" hidden="1" x14ac:dyDescent="0.25">
      <c r="B361" s="9"/>
      <c r="C361" s="17">
        <v>509.39</v>
      </c>
      <c r="D361" s="18">
        <v>37.185000000000002</v>
      </c>
      <c r="E361" s="18">
        <v>47.682000000000002</v>
      </c>
      <c r="F361" s="18">
        <v>45.081000000000003</v>
      </c>
      <c r="G361" s="18">
        <v>95.31</v>
      </c>
      <c r="H361" s="18">
        <f t="shared" si="14"/>
        <v>39.484125000000006</v>
      </c>
      <c r="I361" s="5"/>
      <c r="J361" s="17">
        <v>410.4966</v>
      </c>
      <c r="K361" s="18">
        <v>36.811999999999998</v>
      </c>
      <c r="L361" s="18">
        <v>47.847299999999997</v>
      </c>
      <c r="M361" s="18">
        <v>45.303400000000003</v>
      </c>
      <c r="N361" s="18">
        <v>54.353999999999999</v>
      </c>
      <c r="O361" s="18">
        <f t="shared" si="15"/>
        <v>39.252837499999998</v>
      </c>
      <c r="P361" s="7"/>
      <c r="Q361" s="10"/>
      <c r="R361" s="11"/>
      <c r="S361" s="11"/>
      <c r="T361" s="26"/>
      <c r="U361" s="28">
        <f t="shared" si="13"/>
        <v>-0.42971356625747564</v>
      </c>
    </row>
    <row r="362" spans="1:21" ht="16.5" hidden="1" thickBot="1" x14ac:dyDescent="0.3">
      <c r="B362" s="12"/>
      <c r="C362" s="19">
        <v>254.7</v>
      </c>
      <c r="D362" s="20">
        <v>34.107999999999997</v>
      </c>
      <c r="E362" s="20">
        <v>45.773000000000003</v>
      </c>
      <c r="F362" s="20">
        <v>42.853999999999999</v>
      </c>
      <c r="G362" s="20">
        <v>117.58</v>
      </c>
      <c r="H362" s="20">
        <f t="shared" si="14"/>
        <v>36.659374999999997</v>
      </c>
      <c r="I362" s="5"/>
      <c r="J362" s="19">
        <v>205.2242</v>
      </c>
      <c r="K362" s="20">
        <v>34.136000000000003</v>
      </c>
      <c r="L362" s="20">
        <v>46.198999999999998</v>
      </c>
      <c r="M362" s="20">
        <v>43.317999999999998</v>
      </c>
      <c r="N362" s="20">
        <v>72.917299999999997</v>
      </c>
      <c r="O362" s="20">
        <f t="shared" si="15"/>
        <v>36.791625000000003</v>
      </c>
      <c r="P362" s="7"/>
      <c r="Q362" s="13"/>
      <c r="R362" s="14"/>
      <c r="S362" s="14"/>
      <c r="T362" s="27"/>
      <c r="U362" s="28">
        <f t="shared" si="13"/>
        <v>-0.37984946419459092</v>
      </c>
    </row>
    <row r="363" spans="1:21" hidden="1" x14ac:dyDescent="0.25">
      <c r="B363" s="6" t="s">
        <v>107</v>
      </c>
      <c r="C363" s="15">
        <v>1334.38</v>
      </c>
      <c r="D363" s="16">
        <v>44.765000000000001</v>
      </c>
      <c r="E363" s="16">
        <v>48.44</v>
      </c>
      <c r="F363" s="16">
        <v>48.792000000000002</v>
      </c>
      <c r="G363" s="16">
        <v>70.349999999999994</v>
      </c>
      <c r="H363" s="16">
        <f t="shared" si="14"/>
        <v>45.72775</v>
      </c>
      <c r="I363" s="5"/>
      <c r="J363" s="15">
        <v>1031.8035</v>
      </c>
      <c r="K363" s="16">
        <v>44.227800000000002</v>
      </c>
      <c r="L363" s="16">
        <v>48.011200000000002</v>
      </c>
      <c r="M363" s="16">
        <v>48.328200000000002</v>
      </c>
      <c r="N363" s="16">
        <v>34.367699999999999</v>
      </c>
      <c r="O363" s="16">
        <f t="shared" si="15"/>
        <v>45.213275000000003</v>
      </c>
      <c r="P363" s="7"/>
      <c r="Q363" s="8">
        <f>bdrate(C363:C366,D363:D366,J363:J366,K363:K366)</f>
        <v>-0.17870436330432893</v>
      </c>
      <c r="R363" s="8">
        <f>bdrate(C363:C366,E363:E366,J363:J366,L363:L366)</f>
        <v>-0.18145017380992134</v>
      </c>
      <c r="S363" s="8">
        <f>bdrate(C363:C366,F363:F366,J363:J366,M363:M366)</f>
        <v>-0.15641215591364155</v>
      </c>
      <c r="T363" s="25">
        <f>bdrate(C363:C366,H363:H366,J363:J366,O363:O366)</f>
        <v>-0.17720577971377061</v>
      </c>
      <c r="U363" s="28">
        <f t="shared" si="13"/>
        <v>-0.51147547974413643</v>
      </c>
    </row>
    <row r="364" spans="1:21" hidden="1" x14ac:dyDescent="0.25">
      <c r="B364" s="9"/>
      <c r="C364" s="17">
        <v>792.74</v>
      </c>
      <c r="D364" s="18">
        <v>42.578000000000003</v>
      </c>
      <c r="E364" s="18">
        <v>46.841000000000001</v>
      </c>
      <c r="F364" s="18">
        <v>47.301000000000002</v>
      </c>
      <c r="G364" s="18">
        <v>80.540000000000006</v>
      </c>
      <c r="H364" s="18">
        <f t="shared" si="14"/>
        <v>43.701250000000002</v>
      </c>
      <c r="I364" s="5"/>
      <c r="J364" s="17">
        <v>617.03269999999998</v>
      </c>
      <c r="K364" s="18">
        <v>42.207500000000003</v>
      </c>
      <c r="L364" s="18">
        <v>46.622</v>
      </c>
      <c r="M364" s="18">
        <v>46.998399999999997</v>
      </c>
      <c r="N364" s="18">
        <v>42.189</v>
      </c>
      <c r="O364" s="18">
        <f t="shared" si="15"/>
        <v>43.358175000000003</v>
      </c>
      <c r="P364" s="7"/>
      <c r="Q364" s="10"/>
      <c r="R364" s="11"/>
      <c r="S364" s="11"/>
      <c r="T364" s="26"/>
      <c r="U364" s="28">
        <f t="shared" si="13"/>
        <v>-0.47617333002234918</v>
      </c>
    </row>
    <row r="365" spans="1:21" hidden="1" x14ac:dyDescent="0.25">
      <c r="B365" s="9"/>
      <c r="C365" s="17">
        <v>525.41999999999996</v>
      </c>
      <c r="D365" s="18">
        <v>40.765999999999998</v>
      </c>
      <c r="E365" s="18">
        <v>45.616999999999997</v>
      </c>
      <c r="F365" s="18">
        <v>46.15</v>
      </c>
      <c r="G365" s="18">
        <v>89.61</v>
      </c>
      <c r="H365" s="18">
        <f t="shared" si="14"/>
        <v>42.045375</v>
      </c>
      <c r="I365" s="5"/>
      <c r="J365" s="17">
        <v>410.73099999999999</v>
      </c>
      <c r="K365" s="18">
        <v>40.551400000000001</v>
      </c>
      <c r="L365" s="18">
        <v>45.540700000000001</v>
      </c>
      <c r="M365" s="18">
        <v>45.974499999999999</v>
      </c>
      <c r="N365" s="18">
        <v>50.6355</v>
      </c>
      <c r="O365" s="18">
        <f t="shared" si="15"/>
        <v>41.85295</v>
      </c>
      <c r="P365" s="7"/>
      <c r="Q365" s="10"/>
      <c r="R365" s="11"/>
      <c r="S365" s="11"/>
      <c r="T365" s="26"/>
      <c r="U365" s="28">
        <f t="shared" si="13"/>
        <v>-0.43493471710746567</v>
      </c>
    </row>
    <row r="366" spans="1:21" ht="16.5" hidden="1" thickBot="1" x14ac:dyDescent="0.3">
      <c r="B366" s="12"/>
      <c r="C366" s="19">
        <v>259.98</v>
      </c>
      <c r="D366" s="20">
        <v>37.323</v>
      </c>
      <c r="E366" s="20">
        <v>43.643000000000001</v>
      </c>
      <c r="F366" s="20">
        <v>44.164000000000001</v>
      </c>
      <c r="G366" s="20">
        <v>105.1</v>
      </c>
      <c r="H366" s="20">
        <f t="shared" si="14"/>
        <v>38.968125000000001</v>
      </c>
      <c r="I366" s="5"/>
      <c r="J366" s="19">
        <v>204.00579999999999</v>
      </c>
      <c r="K366" s="20">
        <v>37.538600000000002</v>
      </c>
      <c r="L366" s="20">
        <v>43.655299999999997</v>
      </c>
      <c r="M366" s="20">
        <v>44.140700000000002</v>
      </c>
      <c r="N366" s="20">
        <v>68.319800000000001</v>
      </c>
      <c r="O366" s="20">
        <f t="shared" si="15"/>
        <v>39.128450000000001</v>
      </c>
      <c r="P366" s="7"/>
      <c r="Q366" s="13"/>
      <c r="R366" s="14"/>
      <c r="S366" s="14"/>
      <c r="T366" s="27"/>
      <c r="U366" s="28">
        <f t="shared" si="13"/>
        <v>-0.34995432921027586</v>
      </c>
    </row>
    <row r="367" spans="1:21" hidden="1" x14ac:dyDescent="0.25">
      <c r="B367" s="6" t="s">
        <v>108</v>
      </c>
      <c r="C367" s="29">
        <v>1271.02</v>
      </c>
      <c r="D367" s="30">
        <v>41.363999999999997</v>
      </c>
      <c r="E367" s="30">
        <v>47.81</v>
      </c>
      <c r="F367" s="30">
        <v>47.670999999999999</v>
      </c>
      <c r="G367" s="16">
        <v>77.790000000000006</v>
      </c>
      <c r="H367" s="16">
        <f t="shared" si="14"/>
        <v>42.958124999999995</v>
      </c>
      <c r="I367" s="5"/>
      <c r="J367" s="29">
        <v>1035.5912000000001</v>
      </c>
      <c r="K367" s="30">
        <v>40.329099999999997</v>
      </c>
      <c r="L367" s="30">
        <v>46.861400000000003</v>
      </c>
      <c r="M367" s="30">
        <v>46.725299999999997</v>
      </c>
      <c r="N367" s="16">
        <v>39.372999999999998</v>
      </c>
      <c r="O367" s="16">
        <f t="shared" si="15"/>
        <v>41.945162500000002</v>
      </c>
      <c r="P367" s="7"/>
      <c r="Q367" s="8">
        <f>bdrate(C367:C370,D367:D370,J367:J370,K367:K370)</f>
        <v>-0.10423654764455215</v>
      </c>
      <c r="R367" s="8">
        <f>bdrate(C367:C370,E367:E370,J367:J370,L367:L370)</f>
        <v>5.7908125027884783E-2</v>
      </c>
      <c r="S367" s="8">
        <f>bdrate(C367:C370,F367:F370,J367:J370,M367:M370)</f>
        <v>2.6234691960804302E-2</v>
      </c>
      <c r="T367" s="25">
        <f>bdrate(C367:C370,H367:H370,J367:J370,O367:O370)</f>
        <v>-8.3183462802654429E-2</v>
      </c>
      <c r="U367" s="28">
        <f t="shared" si="13"/>
        <v>-0.49385525131765018</v>
      </c>
    </row>
    <row r="368" spans="1:21" hidden="1" x14ac:dyDescent="0.25">
      <c r="B368" s="9"/>
      <c r="C368" s="31">
        <v>759.53</v>
      </c>
      <c r="D368" s="32">
        <v>38.67</v>
      </c>
      <c r="E368" s="32">
        <v>46.295999999999999</v>
      </c>
      <c r="F368" s="32">
        <v>46.115000000000002</v>
      </c>
      <c r="G368" s="18">
        <v>90.51</v>
      </c>
      <c r="H368" s="18">
        <f t="shared" si="14"/>
        <v>40.553875000000005</v>
      </c>
      <c r="I368" s="5"/>
      <c r="J368" s="31">
        <v>620.63239999999996</v>
      </c>
      <c r="K368" s="32">
        <v>38.016800000000003</v>
      </c>
      <c r="L368" s="32">
        <v>45.579099999999997</v>
      </c>
      <c r="M368" s="32">
        <v>45.4176</v>
      </c>
      <c r="N368" s="18">
        <v>47.468200000000003</v>
      </c>
      <c r="O368" s="18">
        <f t="shared" si="15"/>
        <v>39.887187500000003</v>
      </c>
      <c r="P368" s="7"/>
      <c r="Q368" s="10"/>
      <c r="R368" s="11"/>
      <c r="S368" s="11"/>
      <c r="T368" s="26"/>
      <c r="U368" s="28">
        <f t="shared" si="13"/>
        <v>-0.47554745332007514</v>
      </c>
    </row>
    <row r="369" spans="2:21" hidden="1" x14ac:dyDescent="0.25">
      <c r="B369" s="9"/>
      <c r="C369" s="31">
        <v>504.92</v>
      </c>
      <c r="D369" s="32">
        <v>36.700000000000003</v>
      </c>
      <c r="E369" s="32">
        <v>45.201999999999998</v>
      </c>
      <c r="F369" s="32">
        <v>44.978000000000002</v>
      </c>
      <c r="G369" s="18">
        <v>97.83</v>
      </c>
      <c r="H369" s="18">
        <f t="shared" si="14"/>
        <v>38.797500000000007</v>
      </c>
      <c r="I369" s="5"/>
      <c r="J369" s="31">
        <v>412.1053</v>
      </c>
      <c r="K369" s="32">
        <v>36.322899999999997</v>
      </c>
      <c r="L369" s="32">
        <v>44.561399999999999</v>
      </c>
      <c r="M369" s="32">
        <v>44.409300000000002</v>
      </c>
      <c r="N369" s="18">
        <v>55.375100000000003</v>
      </c>
      <c r="O369" s="18">
        <f t="shared" si="15"/>
        <v>38.363512499999999</v>
      </c>
      <c r="P369" s="7"/>
      <c r="Q369" s="10"/>
      <c r="R369" s="11"/>
      <c r="S369" s="11"/>
      <c r="T369" s="26"/>
      <c r="U369" s="28">
        <f t="shared" si="13"/>
        <v>-0.43396606357967898</v>
      </c>
    </row>
    <row r="370" spans="2:21" ht="16.5" hidden="1" thickBot="1" x14ac:dyDescent="0.3">
      <c r="B370" s="12"/>
      <c r="C370" s="33">
        <v>251.46</v>
      </c>
      <c r="D370" s="34">
        <v>33.332999999999998</v>
      </c>
      <c r="E370" s="34">
        <v>43.381</v>
      </c>
      <c r="F370" s="34">
        <v>43.043999999999997</v>
      </c>
      <c r="G370" s="20">
        <v>115.23</v>
      </c>
      <c r="H370" s="20">
        <f t="shared" si="14"/>
        <v>35.802875</v>
      </c>
      <c r="I370" s="5"/>
      <c r="J370" s="33">
        <v>205.5498</v>
      </c>
      <c r="K370" s="34">
        <v>33.452500000000001</v>
      </c>
      <c r="L370" s="34">
        <v>42.8125</v>
      </c>
      <c r="M370" s="34">
        <v>42.588200000000001</v>
      </c>
      <c r="N370" s="20">
        <v>73.459699999999998</v>
      </c>
      <c r="O370" s="20">
        <f t="shared" si="15"/>
        <v>35.7644625</v>
      </c>
      <c r="P370" s="7"/>
      <c r="Q370" s="13"/>
      <c r="R370" s="14"/>
      <c r="S370" s="14"/>
      <c r="T370" s="27"/>
      <c r="U370" s="28">
        <f t="shared" si="13"/>
        <v>-0.36249500998003997</v>
      </c>
    </row>
    <row r="371" spans="2:21" hidden="1" x14ac:dyDescent="0.25">
      <c r="B371" s="6" t="s">
        <v>109</v>
      </c>
      <c r="C371" s="15">
        <v>1301.3399999999999</v>
      </c>
      <c r="D371" s="16">
        <v>40.161999999999999</v>
      </c>
      <c r="E371" s="16">
        <v>48.113</v>
      </c>
      <c r="F371" s="16">
        <v>46.686</v>
      </c>
      <c r="G371" s="16">
        <v>85.32</v>
      </c>
      <c r="H371" s="16">
        <f t="shared" si="14"/>
        <v>41.971374999999995</v>
      </c>
      <c r="I371" s="5"/>
      <c r="J371" s="15">
        <v>1027.9954</v>
      </c>
      <c r="K371" s="16">
        <v>39.514800000000001</v>
      </c>
      <c r="L371" s="16">
        <v>47.653700000000001</v>
      </c>
      <c r="M371" s="16">
        <v>46.369500000000002</v>
      </c>
      <c r="N371" s="16">
        <v>39.156999999999996</v>
      </c>
      <c r="O371" s="16">
        <f t="shared" si="15"/>
        <v>41.389000000000003</v>
      </c>
      <c r="P371" s="7"/>
      <c r="Q371" s="8">
        <f>bdrate(C371:C374,D371:D374,J371:J374,K371:K374)</f>
        <v>-0.10386620544349146</v>
      </c>
      <c r="R371" s="8">
        <f>bdrate(C371:C374,E371:E374,J371:J374,L371:L374)</f>
        <v>-0.12755825792937714</v>
      </c>
      <c r="S371" s="8">
        <f>bdrate(C371:C374,F371:F374,J371:J374,M371:M374)</f>
        <v>-0.20684445175728716</v>
      </c>
      <c r="T371" s="25">
        <f>bdrate(C371:C374,H371:H374,J371:J374,O371:O374)</f>
        <v>-0.11759862529907084</v>
      </c>
      <c r="U371" s="28">
        <f t="shared" si="13"/>
        <v>-0.54105719643694328</v>
      </c>
    </row>
    <row r="372" spans="2:21" hidden="1" x14ac:dyDescent="0.25">
      <c r="B372" s="9"/>
      <c r="C372" s="17">
        <v>780.58</v>
      </c>
      <c r="D372" s="18">
        <v>38.540999999999997</v>
      </c>
      <c r="E372" s="18">
        <v>47.085999999999999</v>
      </c>
      <c r="F372" s="18">
        <v>45.506</v>
      </c>
      <c r="G372" s="18">
        <v>98.42</v>
      </c>
      <c r="H372" s="18">
        <f t="shared" si="14"/>
        <v>40.479749999999996</v>
      </c>
      <c r="I372" s="5"/>
      <c r="J372" s="17">
        <v>617.43719999999996</v>
      </c>
      <c r="K372" s="18">
        <v>38.090899999999998</v>
      </c>
      <c r="L372" s="18">
        <v>46.823999999999998</v>
      </c>
      <c r="M372" s="18">
        <v>45.418300000000002</v>
      </c>
      <c r="N372" s="18">
        <v>47.489899999999999</v>
      </c>
      <c r="O372" s="18">
        <f t="shared" si="15"/>
        <v>40.098462499999997</v>
      </c>
      <c r="P372" s="7"/>
      <c r="Q372" s="10"/>
      <c r="R372" s="11"/>
      <c r="S372" s="11"/>
      <c r="T372" s="26"/>
      <c r="U372" s="28">
        <f t="shared" si="13"/>
        <v>-0.51747713879292834</v>
      </c>
    </row>
    <row r="373" spans="2:21" hidden="1" x14ac:dyDescent="0.25">
      <c r="B373" s="9"/>
      <c r="C373" s="17">
        <v>521.19000000000005</v>
      </c>
      <c r="D373" s="18">
        <v>37.424999999999997</v>
      </c>
      <c r="E373" s="18">
        <v>46.271999999999998</v>
      </c>
      <c r="F373" s="18">
        <v>44.585999999999999</v>
      </c>
      <c r="G373" s="18">
        <v>108.21</v>
      </c>
      <c r="H373" s="18">
        <f t="shared" si="14"/>
        <v>39.426000000000002</v>
      </c>
      <c r="I373" s="5"/>
      <c r="J373" s="17">
        <v>411.15539999999999</v>
      </c>
      <c r="K373" s="18">
        <v>37.108199999999997</v>
      </c>
      <c r="L373" s="18">
        <v>46.148000000000003</v>
      </c>
      <c r="M373" s="18">
        <v>44.6511</v>
      </c>
      <c r="N373" s="18">
        <v>55.648099999999999</v>
      </c>
      <c r="O373" s="18">
        <f t="shared" si="15"/>
        <v>39.181037499999995</v>
      </c>
      <c r="P373" s="7"/>
      <c r="Q373" s="10"/>
      <c r="R373" s="11"/>
      <c r="S373" s="11"/>
      <c r="T373" s="26"/>
      <c r="U373" s="28">
        <f t="shared" si="13"/>
        <v>-0.48573976527123186</v>
      </c>
    </row>
    <row r="374" spans="2:21" ht="16.5" hidden="1" thickBot="1" x14ac:dyDescent="0.3">
      <c r="B374" s="12"/>
      <c r="C374" s="19">
        <v>260.01</v>
      </c>
      <c r="D374" s="20">
        <v>35.496000000000002</v>
      </c>
      <c r="E374" s="20">
        <v>44.904000000000003</v>
      </c>
      <c r="F374" s="20">
        <v>43.075000000000003</v>
      </c>
      <c r="G374" s="20">
        <v>127.9</v>
      </c>
      <c r="H374" s="20">
        <f t="shared" si="14"/>
        <v>37.619374999999998</v>
      </c>
      <c r="I374" s="5"/>
      <c r="J374" s="19">
        <v>204.8374</v>
      </c>
      <c r="K374" s="20">
        <v>35.414900000000003</v>
      </c>
      <c r="L374" s="20">
        <v>44.755600000000001</v>
      </c>
      <c r="M374" s="20">
        <v>43.151499999999999</v>
      </c>
      <c r="N374" s="20">
        <v>76.379199999999997</v>
      </c>
      <c r="O374" s="20">
        <f t="shared" si="15"/>
        <v>37.5495625</v>
      </c>
      <c r="P374" s="7"/>
      <c r="Q374" s="13"/>
      <c r="R374" s="14"/>
      <c r="S374" s="14"/>
      <c r="T374" s="27"/>
      <c r="U374" s="28">
        <f t="shared" si="13"/>
        <v>-0.40282095387021116</v>
      </c>
    </row>
    <row r="375" spans="2:21" hidden="1" x14ac:dyDescent="0.25">
      <c r="B375" s="6" t="s">
        <v>110</v>
      </c>
      <c r="C375" s="15">
        <v>2102.94</v>
      </c>
      <c r="D375" s="16">
        <v>39.884999999999998</v>
      </c>
      <c r="E375" s="16">
        <v>45.71</v>
      </c>
      <c r="F375" s="16">
        <v>45.198</v>
      </c>
      <c r="G375" s="16">
        <v>29.6</v>
      </c>
      <c r="H375" s="16">
        <f t="shared" si="14"/>
        <v>41.277249999999995</v>
      </c>
      <c r="I375" s="5"/>
      <c r="J375" s="15">
        <v>1533.8067000000001</v>
      </c>
      <c r="K375" s="16">
        <v>39.315399999999997</v>
      </c>
      <c r="L375" s="16">
        <v>45.1633</v>
      </c>
      <c r="M375" s="16">
        <v>44.569699999999997</v>
      </c>
      <c r="N375" s="16">
        <v>20.696899999999999</v>
      </c>
      <c r="O375" s="16">
        <f t="shared" si="15"/>
        <v>40.703175000000002</v>
      </c>
      <c r="P375" s="7"/>
      <c r="Q375" s="8">
        <f>bdrate(C375:C378,D375:D378,J375:J378,K375:K378)</f>
        <v>-0.32764718166252982</v>
      </c>
      <c r="R375" s="8">
        <f>bdrate(C375:C378,E375:E378,J375:J378,L375:L378)</f>
        <v>-0.24120390960656601</v>
      </c>
      <c r="S375" s="8">
        <f>bdrate(C375:C378,F375:F378,J375:J378,M375:M378)</f>
        <v>-0.21510415759673263</v>
      </c>
      <c r="T375" s="25">
        <f>bdrate(C375:C378,H375:H378,J375:J378,O375:O378)</f>
        <v>-0.31193074607847859</v>
      </c>
      <c r="U375" s="28">
        <f t="shared" si="13"/>
        <v>-0.30078040540540546</v>
      </c>
    </row>
    <row r="376" spans="2:21" hidden="1" x14ac:dyDescent="0.25">
      <c r="B376" s="9"/>
      <c r="C376" s="17">
        <v>1397.91</v>
      </c>
      <c r="D376" s="18">
        <v>37.648000000000003</v>
      </c>
      <c r="E376" s="18">
        <v>44.320999999999998</v>
      </c>
      <c r="F376" s="18">
        <v>43.7</v>
      </c>
      <c r="G376" s="18">
        <v>32.979999999999997</v>
      </c>
      <c r="H376" s="18">
        <f t="shared" si="14"/>
        <v>39.238625000000006</v>
      </c>
      <c r="I376" s="5"/>
      <c r="J376" s="17">
        <v>1021.6033</v>
      </c>
      <c r="K376" s="18">
        <v>37.614600000000003</v>
      </c>
      <c r="L376" s="18">
        <v>44.024299999999997</v>
      </c>
      <c r="M376" s="18">
        <v>43.300699999999999</v>
      </c>
      <c r="N376" s="18">
        <v>24.524899999999999</v>
      </c>
      <c r="O376" s="18">
        <f t="shared" si="15"/>
        <v>39.126575000000003</v>
      </c>
      <c r="P376" s="7"/>
      <c r="Q376" s="10"/>
      <c r="R376" s="11"/>
      <c r="S376" s="11"/>
      <c r="T376" s="26"/>
      <c r="U376" s="28">
        <f t="shared" si="13"/>
        <v>-0.25637052759248025</v>
      </c>
    </row>
    <row r="377" spans="2:21" hidden="1" x14ac:dyDescent="0.25">
      <c r="B377" s="9"/>
      <c r="C377" s="17">
        <v>835.98</v>
      </c>
      <c r="D377" s="18">
        <v>34.790999999999997</v>
      </c>
      <c r="E377" s="18">
        <v>42.652000000000001</v>
      </c>
      <c r="F377" s="18">
        <v>41.862000000000002</v>
      </c>
      <c r="G377" s="18">
        <v>37.07</v>
      </c>
      <c r="H377" s="18">
        <f t="shared" si="14"/>
        <v>36.657499999999999</v>
      </c>
      <c r="I377" s="5"/>
      <c r="J377" s="17">
        <v>608.06370000000004</v>
      </c>
      <c r="K377" s="18">
        <v>35.358699999999999</v>
      </c>
      <c r="L377" s="18">
        <v>42.5974</v>
      </c>
      <c r="M377" s="18">
        <v>41.639600000000002</v>
      </c>
      <c r="N377" s="18">
        <v>30.503599999999999</v>
      </c>
      <c r="O377" s="18">
        <f t="shared" si="15"/>
        <v>37.048649999999995</v>
      </c>
      <c r="P377" s="7"/>
      <c r="Q377" s="10"/>
      <c r="R377" s="11"/>
      <c r="S377" s="11"/>
      <c r="T377" s="26"/>
      <c r="U377" s="28">
        <f t="shared" si="13"/>
        <v>-0.17713514971675212</v>
      </c>
    </row>
    <row r="378" spans="2:21" ht="16.5" hidden="1" thickBot="1" x14ac:dyDescent="0.3">
      <c r="B378" s="12"/>
      <c r="C378" s="19">
        <v>416.85</v>
      </c>
      <c r="D378" s="20">
        <v>30.928999999999998</v>
      </c>
      <c r="E378" s="20">
        <v>40.598999999999997</v>
      </c>
      <c r="F378" s="20">
        <v>39.484000000000002</v>
      </c>
      <c r="G378" s="20">
        <v>43.53</v>
      </c>
      <c r="H378" s="20">
        <f t="shared" si="14"/>
        <v>33.207124999999998</v>
      </c>
      <c r="I378" s="5"/>
      <c r="J378" s="19">
        <v>304.58170000000001</v>
      </c>
      <c r="K378" s="20">
        <v>32.4634</v>
      </c>
      <c r="L378" s="20">
        <v>40.7577</v>
      </c>
      <c r="M378" s="20">
        <v>39.546799999999998</v>
      </c>
      <c r="N378" s="20">
        <v>43.275700000000001</v>
      </c>
      <c r="O378" s="20">
        <f t="shared" si="15"/>
        <v>34.385612500000001</v>
      </c>
      <c r="P378" s="7"/>
      <c r="Q378" s="13"/>
      <c r="R378" s="14"/>
      <c r="S378" s="14"/>
      <c r="T378" s="27"/>
      <c r="U378" s="28">
        <f t="shared" si="13"/>
        <v>-5.8419480817826931E-3</v>
      </c>
    </row>
    <row r="379" spans="2:21" hidden="1" x14ac:dyDescent="0.25">
      <c r="B379" s="6" t="s">
        <v>111</v>
      </c>
      <c r="C379" s="15">
        <v>1332.36</v>
      </c>
      <c r="D379" s="16">
        <v>41.868000000000002</v>
      </c>
      <c r="E379" s="16">
        <v>46.774999999999999</v>
      </c>
      <c r="F379" s="16">
        <v>46.287999999999997</v>
      </c>
      <c r="G379" s="16">
        <v>72.03</v>
      </c>
      <c r="H379" s="16">
        <f t="shared" si="14"/>
        <v>43.033875000000002</v>
      </c>
      <c r="I379" s="5"/>
      <c r="J379" s="15">
        <v>1038.0437999999999</v>
      </c>
      <c r="K379" s="16">
        <v>40.938499999999998</v>
      </c>
      <c r="L379" s="16">
        <v>46.0184</v>
      </c>
      <c r="M379" s="16">
        <v>45.555500000000002</v>
      </c>
      <c r="N379" s="16">
        <v>37.161700000000003</v>
      </c>
      <c r="O379" s="16">
        <f t="shared" si="15"/>
        <v>42.150612499999994</v>
      </c>
      <c r="P379" s="7"/>
      <c r="Q379" s="8">
        <f>bdrate(C379:C382,D379:D382,J379:J382,K379:K382)</f>
        <v>-0.14417224589815314</v>
      </c>
      <c r="R379" s="8">
        <f>bdrate(C379:C382,E379:E382,J379:J382,L379:L382)</f>
        <v>-0.14145971890084552</v>
      </c>
      <c r="S379" s="8">
        <f>bdrate(C379:C382,F379:F382,J379:J382,M379:M382)</f>
        <v>-0.17906150650874197</v>
      </c>
      <c r="T379" s="25">
        <f>bdrate(C379:C382,H379:H382,J379:J382,O379:O382)</f>
        <v>-0.14731499257472191</v>
      </c>
      <c r="U379" s="28">
        <f t="shared" si="13"/>
        <v>-0.48408024434263497</v>
      </c>
    </row>
    <row r="380" spans="2:21" hidden="1" x14ac:dyDescent="0.25">
      <c r="B380" s="9"/>
      <c r="C380" s="17">
        <v>790.48</v>
      </c>
      <c r="D380" s="18">
        <v>39.527999999999999</v>
      </c>
      <c r="E380" s="18">
        <v>45.143000000000001</v>
      </c>
      <c r="F380" s="18">
        <v>44.564</v>
      </c>
      <c r="G380" s="18">
        <v>82.38</v>
      </c>
      <c r="H380" s="18">
        <f t="shared" si="14"/>
        <v>40.859375000000007</v>
      </c>
      <c r="I380" s="5"/>
      <c r="J380" s="17">
        <v>621.03719999999998</v>
      </c>
      <c r="K380" s="18">
        <v>38.972200000000001</v>
      </c>
      <c r="L380" s="18">
        <v>44.707599999999999</v>
      </c>
      <c r="M380" s="18">
        <v>44.225000000000001</v>
      </c>
      <c r="N380" s="18">
        <v>44.92</v>
      </c>
      <c r="O380" s="18">
        <f t="shared" si="15"/>
        <v>40.345725000000002</v>
      </c>
      <c r="P380" s="7"/>
      <c r="Q380" s="10"/>
      <c r="R380" s="11"/>
      <c r="S380" s="11"/>
      <c r="T380" s="26"/>
      <c r="U380" s="28">
        <f t="shared" si="13"/>
        <v>-0.45472201990774452</v>
      </c>
    </row>
    <row r="381" spans="2:21" hidden="1" x14ac:dyDescent="0.25">
      <c r="B381" s="9"/>
      <c r="C381" s="17">
        <v>522.61</v>
      </c>
      <c r="D381" s="18">
        <v>37.774000000000001</v>
      </c>
      <c r="E381" s="18">
        <v>43.887</v>
      </c>
      <c r="F381" s="18">
        <v>43.216000000000001</v>
      </c>
      <c r="G381" s="18">
        <v>90.36</v>
      </c>
      <c r="H381" s="18">
        <f t="shared" si="14"/>
        <v>39.218375000000002</v>
      </c>
      <c r="I381" s="5"/>
      <c r="J381" s="17">
        <v>412.8252</v>
      </c>
      <c r="K381" s="18">
        <v>37.4861</v>
      </c>
      <c r="L381" s="18">
        <v>43.717100000000002</v>
      </c>
      <c r="M381" s="18">
        <v>43.204500000000003</v>
      </c>
      <c r="N381" s="18">
        <v>53.707900000000002</v>
      </c>
      <c r="O381" s="18">
        <f t="shared" si="15"/>
        <v>38.979775000000004</v>
      </c>
      <c r="P381" s="7"/>
      <c r="Q381" s="10"/>
      <c r="R381" s="11"/>
      <c r="S381" s="11"/>
      <c r="T381" s="26"/>
      <c r="U381" s="28">
        <f t="shared" si="13"/>
        <v>-0.40562306330234615</v>
      </c>
    </row>
    <row r="382" spans="2:21" ht="16.5" hidden="1" thickBot="1" x14ac:dyDescent="0.3">
      <c r="B382" s="12"/>
      <c r="C382" s="19">
        <v>257.38</v>
      </c>
      <c r="D382" s="20">
        <v>34.648000000000003</v>
      </c>
      <c r="E382" s="20">
        <v>41.743000000000002</v>
      </c>
      <c r="F382" s="20">
        <v>41.027999999999999</v>
      </c>
      <c r="G382" s="20">
        <v>106.58</v>
      </c>
      <c r="H382" s="20">
        <f t="shared" si="14"/>
        <v>36.332375000000006</v>
      </c>
      <c r="I382" s="5"/>
      <c r="J382" s="19">
        <v>206.31540000000001</v>
      </c>
      <c r="K382" s="20">
        <v>34.922699999999999</v>
      </c>
      <c r="L382" s="20">
        <v>41.8932</v>
      </c>
      <c r="M382" s="20">
        <v>41.330300000000001</v>
      </c>
      <c r="N382" s="20">
        <v>73.264099999999999</v>
      </c>
      <c r="O382" s="20">
        <f t="shared" si="15"/>
        <v>36.594962500000001</v>
      </c>
      <c r="P382" s="7"/>
      <c r="Q382" s="13"/>
      <c r="R382" s="14"/>
      <c r="S382" s="14"/>
      <c r="T382" s="27"/>
      <c r="U382" s="28">
        <f t="shared" si="13"/>
        <v>-0.31259054231563144</v>
      </c>
    </row>
    <row r="383" spans="2:21" hidden="1" x14ac:dyDescent="0.25">
      <c r="B383" s="6" t="s">
        <v>112</v>
      </c>
      <c r="C383" s="15">
        <v>1281.8699999999999</v>
      </c>
      <c r="D383" s="16">
        <v>45.107999999999997</v>
      </c>
      <c r="E383" s="16">
        <v>49.247</v>
      </c>
      <c r="F383" s="16">
        <v>48.451000000000001</v>
      </c>
      <c r="G383" s="16">
        <v>72.260000000000005</v>
      </c>
      <c r="H383" s="16">
        <f t="shared" si="14"/>
        <v>46.04325</v>
      </c>
      <c r="I383" s="5"/>
      <c r="J383" s="15">
        <v>1032.6482000000001</v>
      </c>
      <c r="K383" s="16">
        <v>44.552900000000001</v>
      </c>
      <c r="L383" s="16">
        <v>48.530900000000003</v>
      </c>
      <c r="M383" s="16">
        <v>47.789400000000001</v>
      </c>
      <c r="N383" s="16">
        <v>39.529600000000002</v>
      </c>
      <c r="O383" s="16">
        <f t="shared" si="15"/>
        <v>45.454712499999999</v>
      </c>
      <c r="P383" s="7"/>
      <c r="Q383" s="8">
        <f>bdrate(C383:C386,D383:D386,J383:J386,K383:K386)</f>
        <v>-0.16695139420967242</v>
      </c>
      <c r="R383" s="8">
        <f>bdrate(C383:C386,E383:E386,J383:J386,L383:L386)</f>
        <v>-4.8899718172396356E-2</v>
      </c>
      <c r="S383" s="8">
        <f>bdrate(C383:C386,F383:F386,J383:J386,M383:M386)</f>
        <v>-0.10446439806933916</v>
      </c>
      <c r="T383" s="25">
        <f>bdrate(C383:C386,H383:H386,J383:J386,O383:O386)</f>
        <v>-0.1501253872354894</v>
      </c>
      <c r="U383" s="28">
        <f t="shared" si="13"/>
        <v>-0.45295322446720176</v>
      </c>
    </row>
    <row r="384" spans="2:21" hidden="1" x14ac:dyDescent="0.25">
      <c r="B384" s="9"/>
      <c r="C384" s="17">
        <v>770.48</v>
      </c>
      <c r="D384" s="18">
        <v>43.02</v>
      </c>
      <c r="E384" s="18">
        <v>47.722999999999999</v>
      </c>
      <c r="F384" s="18">
        <v>46.753999999999998</v>
      </c>
      <c r="G384" s="18">
        <v>85.8</v>
      </c>
      <c r="H384" s="18">
        <f t="shared" si="14"/>
        <v>44.074625000000005</v>
      </c>
      <c r="I384" s="5"/>
      <c r="J384" s="17">
        <v>618.67870000000005</v>
      </c>
      <c r="K384" s="18">
        <v>42.706400000000002</v>
      </c>
      <c r="L384" s="18">
        <v>47.094700000000003</v>
      </c>
      <c r="M384" s="18">
        <v>46.281599999999997</v>
      </c>
      <c r="N384" s="18">
        <v>48.204599999999999</v>
      </c>
      <c r="O384" s="18">
        <f t="shared" si="15"/>
        <v>43.701837499999996</v>
      </c>
      <c r="P384" s="7"/>
      <c r="Q384" s="10"/>
      <c r="R384" s="11"/>
      <c r="S384" s="11"/>
      <c r="T384" s="26"/>
      <c r="U384" s="28">
        <f t="shared" si="13"/>
        <v>-0.43817482517482514</v>
      </c>
    </row>
    <row r="385" spans="2:21" hidden="1" x14ac:dyDescent="0.25">
      <c r="B385" s="9"/>
      <c r="C385" s="17">
        <v>515.30999999999995</v>
      </c>
      <c r="D385" s="18">
        <v>41.353000000000002</v>
      </c>
      <c r="E385" s="18">
        <v>46.463999999999999</v>
      </c>
      <c r="F385" s="18">
        <v>45.424999999999997</v>
      </c>
      <c r="G385" s="18">
        <v>95.21</v>
      </c>
      <c r="H385" s="18">
        <f t="shared" si="14"/>
        <v>42.500875000000001</v>
      </c>
      <c r="I385" s="5"/>
      <c r="J385" s="17">
        <v>411.3023</v>
      </c>
      <c r="K385" s="18">
        <v>41.205399999999997</v>
      </c>
      <c r="L385" s="18">
        <v>45.907499999999999</v>
      </c>
      <c r="M385" s="18">
        <v>45.058700000000002</v>
      </c>
      <c r="N385" s="18">
        <v>57.279000000000003</v>
      </c>
      <c r="O385" s="18">
        <f t="shared" si="15"/>
        <v>42.274825</v>
      </c>
      <c r="P385" s="7"/>
      <c r="Q385" s="10"/>
      <c r="R385" s="11"/>
      <c r="S385" s="11"/>
      <c r="T385" s="26"/>
      <c r="U385" s="28">
        <f t="shared" si="13"/>
        <v>-0.39839302594265302</v>
      </c>
    </row>
    <row r="386" spans="2:21" ht="16.5" hidden="1" thickBot="1" x14ac:dyDescent="0.3">
      <c r="B386" s="12"/>
      <c r="C386" s="19">
        <v>259.82</v>
      </c>
      <c r="D386" s="20">
        <v>38.107999999999997</v>
      </c>
      <c r="E386" s="20">
        <v>44.040999999999997</v>
      </c>
      <c r="F386" s="20">
        <v>42.904000000000003</v>
      </c>
      <c r="G386" s="20">
        <v>113.24</v>
      </c>
      <c r="H386" s="20">
        <f t="shared" si="14"/>
        <v>39.449124999999995</v>
      </c>
      <c r="I386" s="5"/>
      <c r="J386" s="19">
        <v>204.6403</v>
      </c>
      <c r="K386" s="20">
        <v>38.305599999999998</v>
      </c>
      <c r="L386" s="20">
        <v>43.757899999999999</v>
      </c>
      <c r="M386" s="20">
        <v>42.781599999999997</v>
      </c>
      <c r="N386" s="20">
        <v>77.461500000000001</v>
      </c>
      <c r="O386" s="20">
        <f t="shared" si="15"/>
        <v>39.546637500000003</v>
      </c>
      <c r="P386" s="7"/>
      <c r="Q386" s="13"/>
      <c r="R386" s="14"/>
      <c r="S386" s="14"/>
      <c r="T386" s="27"/>
      <c r="U386" s="28">
        <f t="shared" si="13"/>
        <v>-0.31595284351819142</v>
      </c>
    </row>
    <row r="387" spans="2:21" hidden="1" x14ac:dyDescent="0.25">
      <c r="B387" s="6" t="s">
        <v>113</v>
      </c>
      <c r="C387" s="15">
        <v>2049.6</v>
      </c>
      <c r="D387" s="16">
        <v>38.613999999999997</v>
      </c>
      <c r="E387" s="16">
        <v>44.481000000000002</v>
      </c>
      <c r="F387" s="16">
        <v>45.226999999999997</v>
      </c>
      <c r="G387" s="16">
        <v>23.67</v>
      </c>
      <c r="H387" s="16">
        <f t="shared" si="14"/>
        <v>40.173999999999992</v>
      </c>
      <c r="I387" s="5"/>
      <c r="J387" s="15">
        <v>1546.905</v>
      </c>
      <c r="K387" s="16">
        <v>38.229199999999999</v>
      </c>
      <c r="L387" s="16">
        <v>43.679900000000004</v>
      </c>
      <c r="M387" s="16">
        <v>44.347000000000001</v>
      </c>
      <c r="N387" s="16">
        <v>16.9148</v>
      </c>
      <c r="O387" s="16">
        <f t="shared" si="15"/>
        <v>39.675262500000002</v>
      </c>
      <c r="P387" s="7"/>
      <c r="Q387" s="8">
        <f>bdrate(C387:C390,D387:D390,J387:J390,K387:K390)</f>
        <v>-0.28219862728453338</v>
      </c>
      <c r="R387" s="8">
        <f>bdrate(C387:C390,E387:E390,J387:J390,L387:L390)</f>
        <v>-7.8940074245917868E-2</v>
      </c>
      <c r="S387" s="8">
        <f>bdrate(C387:C390,F387:F390,J387:J390,M387:M390)</f>
        <v>-7.9990493929972595E-2</v>
      </c>
      <c r="T387" s="25">
        <f>bdrate(C387:C390,H387:H390,J387:J390,O387:O390)</f>
        <v>-0.255090613240467</v>
      </c>
      <c r="U387" s="28">
        <f t="shared" si="13"/>
        <v>-0.28539079002957335</v>
      </c>
    </row>
    <row r="388" spans="2:21" hidden="1" x14ac:dyDescent="0.25">
      <c r="B388" s="9"/>
      <c r="C388" s="17">
        <v>1365.4</v>
      </c>
      <c r="D388" s="18">
        <v>36.607999999999997</v>
      </c>
      <c r="E388" s="18">
        <v>43.24</v>
      </c>
      <c r="F388" s="18">
        <v>44.003999999999998</v>
      </c>
      <c r="G388" s="18">
        <v>25.68</v>
      </c>
      <c r="H388" s="18">
        <f t="shared" si="14"/>
        <v>38.361499999999999</v>
      </c>
      <c r="I388" s="5"/>
      <c r="J388" s="17">
        <v>1029.7175999999999</v>
      </c>
      <c r="K388" s="18">
        <v>36.494199999999999</v>
      </c>
      <c r="L388" s="18">
        <v>42.578899999999997</v>
      </c>
      <c r="M388" s="18">
        <v>43.293300000000002</v>
      </c>
      <c r="N388" s="18">
        <v>21.0871</v>
      </c>
      <c r="O388" s="18">
        <f t="shared" si="15"/>
        <v>38.104674999999993</v>
      </c>
      <c r="P388" s="7"/>
      <c r="Q388" s="10"/>
      <c r="R388" s="11"/>
      <c r="S388" s="11"/>
      <c r="T388" s="26"/>
      <c r="U388" s="28">
        <f t="shared" si="13"/>
        <v>-0.17885124610591902</v>
      </c>
    </row>
    <row r="389" spans="2:21" hidden="1" x14ac:dyDescent="0.25">
      <c r="B389" s="9"/>
      <c r="C389" s="17">
        <v>818.32</v>
      </c>
      <c r="D389" s="18">
        <v>34.024000000000001</v>
      </c>
      <c r="E389" s="18">
        <v>41.756</v>
      </c>
      <c r="F389" s="18">
        <v>42.512999999999998</v>
      </c>
      <c r="G389" s="18">
        <v>30.05</v>
      </c>
      <c r="H389" s="18">
        <f t="shared" si="14"/>
        <v>36.051625000000001</v>
      </c>
      <c r="I389" s="5"/>
      <c r="J389" s="17">
        <v>615.67660000000001</v>
      </c>
      <c r="K389" s="18">
        <v>34.320599999999999</v>
      </c>
      <c r="L389" s="18">
        <v>41.244300000000003</v>
      </c>
      <c r="M389" s="18">
        <v>42.014000000000003</v>
      </c>
      <c r="N389" s="18">
        <v>26.055099999999999</v>
      </c>
      <c r="O389" s="18">
        <f t="shared" si="15"/>
        <v>36.147737499999998</v>
      </c>
      <c r="P389" s="7"/>
      <c r="Q389" s="10"/>
      <c r="R389" s="11"/>
      <c r="S389" s="11"/>
      <c r="T389" s="26"/>
      <c r="U389" s="28">
        <f t="shared" si="13"/>
        <v>-0.13294176372712149</v>
      </c>
    </row>
    <row r="390" spans="2:21" ht="16.5" hidden="1" thickBot="1" x14ac:dyDescent="0.3">
      <c r="B390" s="12"/>
      <c r="C390" s="19">
        <v>408.77</v>
      </c>
      <c r="D390" s="20">
        <v>30.218</v>
      </c>
      <c r="E390" s="20">
        <v>39.927</v>
      </c>
      <c r="F390" s="20">
        <v>40.659999999999997</v>
      </c>
      <c r="G390" s="20">
        <v>36.6</v>
      </c>
      <c r="H390" s="20">
        <f t="shared" si="14"/>
        <v>32.736874999999998</v>
      </c>
      <c r="I390" s="5"/>
      <c r="J390" s="19">
        <v>306.63900000000001</v>
      </c>
      <c r="K390" s="20">
        <v>31.4346</v>
      </c>
      <c r="L390" s="20">
        <v>39.616300000000003</v>
      </c>
      <c r="M390" s="20">
        <v>40.460700000000003</v>
      </c>
      <c r="N390" s="20">
        <v>36.496099999999998</v>
      </c>
      <c r="O390" s="20">
        <f t="shared" si="15"/>
        <v>33.585574999999999</v>
      </c>
      <c r="P390" s="7"/>
      <c r="Q390" s="13"/>
      <c r="R390" s="14"/>
      <c r="S390" s="14"/>
      <c r="T390" s="27"/>
      <c r="U390" s="28">
        <f t="shared" si="13"/>
        <v>-2.8387978142077317E-3</v>
      </c>
    </row>
    <row r="391" spans="2:21" hidden="1" x14ac:dyDescent="0.25">
      <c r="B391" s="6" t="s">
        <v>114</v>
      </c>
      <c r="C391" s="15">
        <v>2178.41</v>
      </c>
      <c r="D391" s="16">
        <v>37.594000000000001</v>
      </c>
      <c r="E391" s="16">
        <v>42.533999999999999</v>
      </c>
      <c r="F391" s="16">
        <v>40.869</v>
      </c>
      <c r="G391" s="16">
        <v>27.82</v>
      </c>
      <c r="H391" s="16">
        <f t="shared" si="14"/>
        <v>38.620874999999998</v>
      </c>
      <c r="I391" s="5"/>
      <c r="J391" s="15">
        <v>1549.3468</v>
      </c>
      <c r="K391" s="16">
        <v>36.2059</v>
      </c>
      <c r="L391" s="16">
        <v>41.106699999999996</v>
      </c>
      <c r="M391" s="16">
        <v>39.362699999999997</v>
      </c>
      <c r="N391" s="16">
        <v>16.663</v>
      </c>
      <c r="O391" s="16">
        <f t="shared" si="15"/>
        <v>37.213100000000004</v>
      </c>
      <c r="P391" s="7"/>
      <c r="Q391" s="8">
        <f>bdrate(C391:C394,D391:D394,J391:J394,K391:K394)</f>
        <v>-0.19770682484818192</v>
      </c>
      <c r="R391" s="8">
        <f>bdrate(C391:C394,E391:E394,J391:J394,L391:L394)</f>
        <v>8.9697667992790775E-2</v>
      </c>
      <c r="S391" s="8">
        <f>bdrate(C391:C394,F391:F394,J391:J394,M391:M394)</f>
        <v>8.4093492213719312E-2</v>
      </c>
      <c r="T391" s="25">
        <f>bdrate(C391:C394,H391:H394,J391:J394,O391:O394)</f>
        <v>-0.15343335087487431</v>
      </c>
      <c r="U391" s="28">
        <f t="shared" si="13"/>
        <v>-0.40104241552839681</v>
      </c>
    </row>
    <row r="392" spans="2:21" hidden="1" x14ac:dyDescent="0.25">
      <c r="B392" s="9"/>
      <c r="C392" s="17">
        <v>1453.24</v>
      </c>
      <c r="D392" s="18">
        <v>35.347000000000001</v>
      </c>
      <c r="E392" s="18">
        <v>41.112000000000002</v>
      </c>
      <c r="F392" s="18">
        <v>39.335999999999999</v>
      </c>
      <c r="G392" s="18">
        <v>30.32</v>
      </c>
      <c r="H392" s="18">
        <f t="shared" si="14"/>
        <v>36.566249999999997</v>
      </c>
      <c r="I392" s="5"/>
      <c r="J392" s="17">
        <v>1032.8783000000001</v>
      </c>
      <c r="K392" s="18">
        <v>34.254600000000003</v>
      </c>
      <c r="L392" s="18">
        <v>39.648899999999998</v>
      </c>
      <c r="M392" s="18">
        <v>37.690899999999999</v>
      </c>
      <c r="N392" s="18">
        <v>20.075099999999999</v>
      </c>
      <c r="O392" s="18">
        <f t="shared" si="15"/>
        <v>35.358424999999997</v>
      </c>
      <c r="P392" s="7"/>
      <c r="Q392" s="10"/>
      <c r="R392" s="11"/>
      <c r="S392" s="11"/>
      <c r="T392" s="26"/>
      <c r="U392" s="28">
        <f t="shared" si="13"/>
        <v>-0.33789248021108181</v>
      </c>
    </row>
    <row r="393" spans="2:21" hidden="1" x14ac:dyDescent="0.25">
      <c r="B393" s="9"/>
      <c r="C393" s="17">
        <v>871.06</v>
      </c>
      <c r="D393" s="18">
        <v>32.591999999999999</v>
      </c>
      <c r="E393" s="18">
        <v>39.432000000000002</v>
      </c>
      <c r="F393" s="18">
        <v>37.479999999999997</v>
      </c>
      <c r="G393" s="18">
        <v>35.119999999999997</v>
      </c>
      <c r="H393" s="18">
        <f t="shared" si="14"/>
        <v>34.058</v>
      </c>
      <c r="I393" s="5"/>
      <c r="J393" s="17">
        <v>617.27949999999998</v>
      </c>
      <c r="K393" s="18">
        <v>32.034999999999997</v>
      </c>
      <c r="L393" s="18">
        <v>37.938699999999997</v>
      </c>
      <c r="M393" s="18">
        <v>35.736499999999999</v>
      </c>
      <c r="N393" s="18">
        <v>25.5641</v>
      </c>
      <c r="O393" s="18">
        <f t="shared" si="15"/>
        <v>33.235649999999993</v>
      </c>
      <c r="P393" s="7"/>
      <c r="Q393" s="10"/>
      <c r="R393" s="11"/>
      <c r="S393" s="11"/>
      <c r="T393" s="26"/>
      <c r="U393" s="28">
        <f t="shared" si="13"/>
        <v>-0.27209282460136669</v>
      </c>
    </row>
    <row r="394" spans="2:21" ht="16.5" hidden="1" thickBot="1" x14ac:dyDescent="0.3">
      <c r="B394" s="12"/>
      <c r="C394" s="19">
        <v>433.69</v>
      </c>
      <c r="D394" s="20">
        <v>28.957999999999998</v>
      </c>
      <c r="E394" s="20">
        <v>36.968000000000004</v>
      </c>
      <c r="F394" s="20">
        <v>34.457999999999998</v>
      </c>
      <c r="G394" s="20">
        <v>40.65</v>
      </c>
      <c r="H394" s="20">
        <f t="shared" si="14"/>
        <v>30.646750000000001</v>
      </c>
      <c r="I394" s="5"/>
      <c r="J394" s="19">
        <v>307.73509999999999</v>
      </c>
      <c r="K394" s="20">
        <v>29.449000000000002</v>
      </c>
      <c r="L394" s="20">
        <v>36.078200000000002</v>
      </c>
      <c r="M394" s="20">
        <v>33.4846</v>
      </c>
      <c r="N394" s="20">
        <v>35.775100000000002</v>
      </c>
      <c r="O394" s="20">
        <f t="shared" si="15"/>
        <v>30.782100000000003</v>
      </c>
      <c r="P394" s="7"/>
      <c r="Q394" s="13"/>
      <c r="R394" s="14"/>
      <c r="S394" s="14"/>
      <c r="T394" s="27"/>
      <c r="U394" s="28">
        <f t="shared" si="13"/>
        <v>-0.1199237392373923</v>
      </c>
    </row>
    <row r="395" spans="2:21" hidden="1" x14ac:dyDescent="0.25">
      <c r="B395" s="6" t="s">
        <v>115</v>
      </c>
      <c r="C395" s="15">
        <v>2145.98</v>
      </c>
      <c r="D395" s="16">
        <v>41.557000000000002</v>
      </c>
      <c r="E395" s="16">
        <v>47.878999999999998</v>
      </c>
      <c r="F395" s="16">
        <v>47.798999999999999</v>
      </c>
      <c r="G395" s="16">
        <v>24.95</v>
      </c>
      <c r="H395" s="16">
        <f t="shared" si="14"/>
        <v>43.127499999999998</v>
      </c>
      <c r="I395" s="5"/>
      <c r="J395" s="15">
        <v>1547.7257</v>
      </c>
      <c r="K395" s="16">
        <v>40.811599999999999</v>
      </c>
      <c r="L395" s="16">
        <v>47.018700000000003</v>
      </c>
      <c r="M395" s="16">
        <v>46.913400000000003</v>
      </c>
      <c r="N395" s="16">
        <v>15.879200000000001</v>
      </c>
      <c r="O395" s="16">
        <f t="shared" si="15"/>
        <v>42.350212500000005</v>
      </c>
      <c r="P395" s="7"/>
      <c r="Q395" s="8">
        <f>bdrate(C395:C398,D395:D398,J395:J398,K395:K398)</f>
        <v>-0.24710967793880201</v>
      </c>
      <c r="R395" s="8">
        <f>bdrate(C395:C398,E395:E398,J395:J398,L395:L398)</f>
        <v>-0.21794659948516815</v>
      </c>
      <c r="S395" s="8">
        <f>bdrate(C395:C398,F395:F398,J395:J398,M395:M398)</f>
        <v>-0.20988659401719922</v>
      </c>
      <c r="T395" s="25">
        <f>bdrate(C395:C398,H395:H398,J395:J398,O395:O398)</f>
        <v>-0.24012278285367972</v>
      </c>
      <c r="U395" s="28">
        <f t="shared" si="13"/>
        <v>-0.36355911823647291</v>
      </c>
    </row>
    <row r="396" spans="2:21" hidden="1" x14ac:dyDescent="0.25">
      <c r="B396" s="9"/>
      <c r="C396" s="17">
        <v>1435.41</v>
      </c>
      <c r="D396" s="18">
        <v>40.042999999999999</v>
      </c>
      <c r="E396" s="18">
        <v>46.633000000000003</v>
      </c>
      <c r="F396" s="18">
        <v>46.502000000000002</v>
      </c>
      <c r="G396" s="18">
        <v>27.8</v>
      </c>
      <c r="H396" s="18">
        <f t="shared" si="14"/>
        <v>41.674124999999997</v>
      </c>
      <c r="I396" s="5"/>
      <c r="J396" s="17">
        <v>1028.3095000000001</v>
      </c>
      <c r="K396" s="18">
        <v>39.512700000000002</v>
      </c>
      <c r="L396" s="18">
        <v>46.0107</v>
      </c>
      <c r="M396" s="18">
        <v>45.8459</v>
      </c>
      <c r="N396" s="18">
        <v>19.454799999999999</v>
      </c>
      <c r="O396" s="18">
        <f t="shared" si="15"/>
        <v>41.116600000000005</v>
      </c>
      <c r="P396" s="7"/>
      <c r="Q396" s="10"/>
      <c r="R396" s="11"/>
      <c r="S396" s="11"/>
      <c r="T396" s="26"/>
      <c r="U396" s="28">
        <f t="shared" si="13"/>
        <v>-0.30018705035971227</v>
      </c>
    </row>
    <row r="397" spans="2:21" hidden="1" x14ac:dyDescent="0.25">
      <c r="B397" s="9"/>
      <c r="C397" s="17">
        <v>862.01</v>
      </c>
      <c r="D397" s="18">
        <v>37.97</v>
      </c>
      <c r="E397" s="18">
        <v>44.850999999999999</v>
      </c>
      <c r="F397" s="18">
        <v>44.64</v>
      </c>
      <c r="G397" s="18">
        <v>32.69</v>
      </c>
      <c r="H397" s="18">
        <f t="shared" si="14"/>
        <v>39.663874999999997</v>
      </c>
      <c r="I397" s="5"/>
      <c r="J397" s="17">
        <v>614.08429999999998</v>
      </c>
      <c r="K397" s="18">
        <v>37.747199999999999</v>
      </c>
      <c r="L397" s="18">
        <v>44.586799999999997</v>
      </c>
      <c r="M397" s="18">
        <v>44.325499999999998</v>
      </c>
      <c r="N397" s="18">
        <v>24.525600000000001</v>
      </c>
      <c r="O397" s="18">
        <f t="shared" si="15"/>
        <v>39.424437499999996</v>
      </c>
      <c r="P397" s="7"/>
      <c r="Q397" s="10"/>
      <c r="R397" s="11"/>
      <c r="S397" s="11"/>
      <c r="T397" s="26"/>
      <c r="U397" s="28">
        <f t="shared" si="13"/>
        <v>-0.24975221780360959</v>
      </c>
    </row>
    <row r="398" spans="2:21" ht="16.5" hidden="1" thickBot="1" x14ac:dyDescent="0.3">
      <c r="B398" s="12"/>
      <c r="C398" s="19">
        <v>434.37</v>
      </c>
      <c r="D398" s="20">
        <v>34.497</v>
      </c>
      <c r="E398" s="20">
        <v>42.258000000000003</v>
      </c>
      <c r="F398" s="20">
        <v>41.956000000000003</v>
      </c>
      <c r="G398" s="20">
        <v>39.28</v>
      </c>
      <c r="H398" s="20">
        <f t="shared" si="14"/>
        <v>36.399500000000003</v>
      </c>
      <c r="I398" s="5"/>
      <c r="J398" s="19">
        <v>306.26609999999999</v>
      </c>
      <c r="K398" s="20">
        <v>35.133899999999997</v>
      </c>
      <c r="L398" s="20">
        <v>42.517800000000001</v>
      </c>
      <c r="M398" s="20">
        <v>42.0944</v>
      </c>
      <c r="N398" s="20">
        <v>34.6357</v>
      </c>
      <c r="O398" s="20">
        <f t="shared" si="15"/>
        <v>36.926949999999998</v>
      </c>
      <c r="P398" s="7"/>
      <c r="Q398" s="13"/>
      <c r="R398" s="14"/>
      <c r="S398" s="14"/>
      <c r="T398" s="27"/>
      <c r="U398" s="28">
        <f t="shared" si="13"/>
        <v>-0.11823574338085542</v>
      </c>
    </row>
    <row r="399" spans="2:21" hidden="1" x14ac:dyDescent="0.25">
      <c r="B399" s="6" t="s">
        <v>116</v>
      </c>
      <c r="C399" s="29">
        <v>2095.7600000000002</v>
      </c>
      <c r="D399" s="30">
        <v>47.682000000000002</v>
      </c>
      <c r="E399" s="30">
        <v>52.534999999999997</v>
      </c>
      <c r="F399" s="30">
        <v>52.465000000000003</v>
      </c>
      <c r="G399" s="16">
        <v>29.95</v>
      </c>
      <c r="H399" s="16">
        <f t="shared" si="14"/>
        <v>48.886499999999998</v>
      </c>
      <c r="I399" s="5"/>
      <c r="J399" s="29">
        <v>1555.3933</v>
      </c>
      <c r="K399" s="30">
        <v>47.391199999999998</v>
      </c>
      <c r="L399" s="30">
        <v>51.8596</v>
      </c>
      <c r="M399" s="30">
        <v>51.714100000000002</v>
      </c>
      <c r="N399" s="16">
        <v>22.489599999999999</v>
      </c>
      <c r="O399" s="16">
        <f t="shared" si="15"/>
        <v>48.490112499999995</v>
      </c>
      <c r="P399" s="7"/>
      <c r="Q399" s="8">
        <f>bdrate(C399:C402,D399:D402,J399:J402,K399:K402)</f>
        <v>-0.26272150029111874</v>
      </c>
      <c r="R399" s="8">
        <f>bdrate(C399:C402,E399:E402,J399:J402,L399:L402)</f>
        <v>-0.15805013772839482</v>
      </c>
      <c r="S399" s="8">
        <f>bdrate(C399:C402,F399:F402,J399:J402,M399:M402)</f>
        <v>-0.12829055474021345</v>
      </c>
      <c r="T399" s="25">
        <f>bdrate(C399:C402,H399:H402,J399:J402,O399:O402)</f>
        <v>-0.23815987329475075</v>
      </c>
      <c r="U399" s="28">
        <f t="shared" si="13"/>
        <v>-0.24909515859766276</v>
      </c>
    </row>
    <row r="400" spans="2:21" hidden="1" x14ac:dyDescent="0.25">
      <c r="B400" s="9"/>
      <c r="C400" s="31">
        <v>1396.86</v>
      </c>
      <c r="D400" s="32">
        <v>46.78</v>
      </c>
      <c r="E400" s="32">
        <v>51.8</v>
      </c>
      <c r="F400" s="32">
        <v>51.692</v>
      </c>
      <c r="G400" s="18">
        <v>33.82</v>
      </c>
      <c r="H400" s="18">
        <f t="shared" si="14"/>
        <v>48.021500000000003</v>
      </c>
      <c r="I400" s="5"/>
      <c r="J400" s="31">
        <v>1028.8003000000001</v>
      </c>
      <c r="K400" s="32">
        <v>46.614699999999999</v>
      </c>
      <c r="L400" s="32">
        <v>51.184399999999997</v>
      </c>
      <c r="M400" s="32">
        <v>51.061900000000001</v>
      </c>
      <c r="N400" s="18">
        <v>27.517099999999999</v>
      </c>
      <c r="O400" s="18">
        <f t="shared" si="15"/>
        <v>47.741812499999995</v>
      </c>
      <c r="P400" s="7"/>
      <c r="Q400" s="10"/>
      <c r="R400" s="11"/>
      <c r="S400" s="11"/>
      <c r="T400" s="26"/>
      <c r="U400" s="28">
        <f t="shared" si="13"/>
        <v>-0.18636605558840927</v>
      </c>
    </row>
    <row r="401" spans="1:21" hidden="1" x14ac:dyDescent="0.25">
      <c r="B401" s="9"/>
      <c r="C401" s="31">
        <v>840.17</v>
      </c>
      <c r="D401" s="32">
        <v>45.609000000000002</v>
      </c>
      <c r="E401" s="32">
        <v>50.692</v>
      </c>
      <c r="F401" s="32">
        <v>50.658000000000001</v>
      </c>
      <c r="G401" s="18">
        <v>39.86</v>
      </c>
      <c r="H401" s="18">
        <f t="shared" si="14"/>
        <v>46.875500000000002</v>
      </c>
      <c r="I401" s="5"/>
      <c r="J401" s="31">
        <v>611.56330000000003</v>
      </c>
      <c r="K401" s="32">
        <v>45.591000000000001</v>
      </c>
      <c r="L401" s="32">
        <v>50.396700000000003</v>
      </c>
      <c r="M401" s="32">
        <v>50.352800000000002</v>
      </c>
      <c r="N401" s="18">
        <v>35.927300000000002</v>
      </c>
      <c r="O401" s="18">
        <f t="shared" si="15"/>
        <v>46.786937500000001</v>
      </c>
      <c r="P401" s="7"/>
      <c r="Q401" s="10"/>
      <c r="R401" s="11"/>
      <c r="S401" s="11"/>
      <c r="T401" s="26"/>
      <c r="U401" s="28">
        <f t="shared" si="13"/>
        <v>-9.8662819869543325E-2</v>
      </c>
    </row>
    <row r="402" spans="1:21" ht="16.5" hidden="1" thickBot="1" x14ac:dyDescent="0.3">
      <c r="B402" s="12"/>
      <c r="C402" s="33">
        <v>422.9</v>
      </c>
      <c r="D402" s="34">
        <v>43.625999999999998</v>
      </c>
      <c r="E402" s="34">
        <v>48.716000000000001</v>
      </c>
      <c r="F402" s="34">
        <v>49.091000000000001</v>
      </c>
      <c r="G402" s="20">
        <v>47.8</v>
      </c>
      <c r="H402" s="20">
        <f t="shared" si="14"/>
        <v>44.945374999999999</v>
      </c>
      <c r="I402" s="5"/>
      <c r="J402" s="33">
        <v>303.30040000000002</v>
      </c>
      <c r="K402" s="34">
        <v>43.9985</v>
      </c>
      <c r="L402" s="34">
        <v>49.230800000000002</v>
      </c>
      <c r="M402" s="34">
        <v>49.397599999999997</v>
      </c>
      <c r="N402" s="20">
        <v>51.192799999999998</v>
      </c>
      <c r="O402" s="20">
        <f t="shared" si="15"/>
        <v>45.327424999999998</v>
      </c>
      <c r="P402" s="7"/>
      <c r="Q402" s="13"/>
      <c r="R402" s="14"/>
      <c r="S402" s="14"/>
      <c r="T402" s="27"/>
      <c r="U402" s="28">
        <f t="shared" si="13"/>
        <v>7.0979079497907979E-2</v>
      </c>
    </row>
    <row r="403" spans="1:21" hidden="1" x14ac:dyDescent="0.25">
      <c r="A403" s="6" t="s">
        <v>117</v>
      </c>
      <c r="B403" s="6" t="s">
        <v>118</v>
      </c>
      <c r="C403" s="15">
        <v>1289.68</v>
      </c>
      <c r="D403" s="16">
        <v>40.347999999999999</v>
      </c>
      <c r="E403" s="16">
        <v>47.472999999999999</v>
      </c>
      <c r="F403" s="16">
        <v>47.241999999999997</v>
      </c>
      <c r="G403" s="16">
        <v>95.67</v>
      </c>
      <c r="H403" s="16">
        <f t="shared" si="14"/>
        <v>42.100375</v>
      </c>
      <c r="I403" s="5"/>
      <c r="J403" s="15">
        <v>1028.3806</v>
      </c>
      <c r="K403" s="16">
        <v>40.161200000000001</v>
      </c>
      <c r="L403" s="16">
        <v>47.2697</v>
      </c>
      <c r="M403" s="16">
        <v>47.113399999999999</v>
      </c>
      <c r="N403" s="16">
        <v>51.66</v>
      </c>
      <c r="O403" s="16">
        <f t="shared" si="15"/>
        <v>41.918787500000001</v>
      </c>
      <c r="P403" s="7"/>
      <c r="Q403" s="8">
        <f>bdrate(C403:C406,D403:D406,J403:J406,K403:K406)</f>
        <v>-0.24015598657841863</v>
      </c>
      <c r="R403" s="8">
        <f>bdrate(C403:C406,E403:E406,J403:J406,L403:L406)</f>
        <v>-0.20025937507806946</v>
      </c>
      <c r="S403" s="8">
        <f>bdrate(C403:C406,F403:F406,J403:J406,M403:M406)</f>
        <v>-0.24084686804354494</v>
      </c>
      <c r="T403" s="25">
        <f>bdrate(C403:C406,H403:H406,J403:J406,O403:O406)</f>
        <v>-0.2370604068817399</v>
      </c>
      <c r="U403" s="28">
        <f t="shared" si="13"/>
        <v>-0.46001881467544692</v>
      </c>
    </row>
    <row r="404" spans="1:21" hidden="1" x14ac:dyDescent="0.25">
      <c r="A404" s="9"/>
      <c r="B404" s="9"/>
      <c r="C404" s="17">
        <v>763.09</v>
      </c>
      <c r="D404" s="18">
        <v>37.953000000000003</v>
      </c>
      <c r="E404" s="18">
        <v>45.802999999999997</v>
      </c>
      <c r="F404" s="18">
        <v>45.466000000000001</v>
      </c>
      <c r="G404" s="18">
        <v>109.33</v>
      </c>
      <c r="H404" s="18">
        <f t="shared" si="14"/>
        <v>39.873375000000003</v>
      </c>
      <c r="I404" s="5"/>
      <c r="J404" s="17">
        <v>614.85140000000001</v>
      </c>
      <c r="K404" s="18">
        <v>38.021799999999999</v>
      </c>
      <c r="L404" s="18">
        <v>45.770800000000001</v>
      </c>
      <c r="M404" s="18">
        <v>45.546399999999998</v>
      </c>
      <c r="N404" s="18">
        <v>62.855800000000002</v>
      </c>
      <c r="O404" s="18">
        <f t="shared" si="15"/>
        <v>39.930999999999997</v>
      </c>
      <c r="P404" s="7"/>
      <c r="Q404" s="10"/>
      <c r="R404" s="11"/>
      <c r="S404" s="11"/>
      <c r="T404" s="26"/>
      <c r="U404" s="28">
        <f t="shared" si="13"/>
        <v>-0.42508186225189787</v>
      </c>
    </row>
    <row r="405" spans="1:21" hidden="1" x14ac:dyDescent="0.25">
      <c r="B405" s="9"/>
      <c r="C405" s="17">
        <v>504.98</v>
      </c>
      <c r="D405" s="18">
        <v>35.963000000000001</v>
      </c>
      <c r="E405" s="18">
        <v>44.491999999999997</v>
      </c>
      <c r="F405" s="18">
        <v>43.985999999999997</v>
      </c>
      <c r="G405" s="18">
        <v>121.28</v>
      </c>
      <c r="H405" s="18">
        <f t="shared" si="14"/>
        <v>38.032000000000004</v>
      </c>
      <c r="I405" s="5"/>
      <c r="J405" s="17">
        <v>408.66879999999998</v>
      </c>
      <c r="K405" s="18">
        <v>36.293700000000001</v>
      </c>
      <c r="L405" s="18">
        <v>44.564399999999999</v>
      </c>
      <c r="M405" s="18">
        <v>44.283200000000001</v>
      </c>
      <c r="N405" s="18">
        <v>73.9178</v>
      </c>
      <c r="O405" s="18">
        <f t="shared" si="15"/>
        <v>38.326225000000001</v>
      </c>
      <c r="P405" s="7"/>
      <c r="Q405" s="10"/>
      <c r="R405" s="11"/>
      <c r="S405" s="11"/>
      <c r="T405" s="26"/>
      <c r="U405" s="28">
        <f t="shared" si="13"/>
        <v>-0.39051945910290237</v>
      </c>
    </row>
    <row r="406" spans="1:21" ht="16.5" hidden="1" thickBot="1" x14ac:dyDescent="0.3">
      <c r="B406" s="12"/>
      <c r="C406" s="19">
        <v>250.33</v>
      </c>
      <c r="D406" s="20">
        <v>32.28</v>
      </c>
      <c r="E406" s="20">
        <v>42.398000000000003</v>
      </c>
      <c r="F406" s="20">
        <v>41.670999999999999</v>
      </c>
      <c r="G406" s="20">
        <v>143.21</v>
      </c>
      <c r="H406" s="20">
        <f t="shared" si="14"/>
        <v>34.718625000000003</v>
      </c>
      <c r="I406" s="5"/>
      <c r="J406" s="19">
        <v>203.01230000000001</v>
      </c>
      <c r="K406" s="20">
        <v>33.3322</v>
      </c>
      <c r="L406" s="20">
        <v>42.575499999999998</v>
      </c>
      <c r="M406" s="20">
        <v>42.1006</v>
      </c>
      <c r="N406" s="20">
        <v>98.6053</v>
      </c>
      <c r="O406" s="20">
        <f t="shared" si="15"/>
        <v>35.583662500000003</v>
      </c>
      <c r="P406" s="7"/>
      <c r="Q406" s="13"/>
      <c r="R406" s="14"/>
      <c r="S406" s="14"/>
      <c r="T406" s="27"/>
      <c r="U406" s="28">
        <f t="shared" si="13"/>
        <v>-0.31146358494518545</v>
      </c>
    </row>
    <row r="407" spans="1:21" hidden="1" x14ac:dyDescent="0.25">
      <c r="B407" s="6" t="s">
        <v>119</v>
      </c>
      <c r="C407" s="15">
        <v>1274.83</v>
      </c>
      <c r="D407" s="16">
        <v>39.402000000000001</v>
      </c>
      <c r="E407" s="16">
        <v>49.444000000000003</v>
      </c>
      <c r="F407" s="16">
        <v>46.83</v>
      </c>
      <c r="G407" s="16">
        <v>106.98</v>
      </c>
      <c r="H407" s="16">
        <f t="shared" si="14"/>
        <v>41.585749999999997</v>
      </c>
      <c r="I407" s="5"/>
      <c r="J407" s="15">
        <v>1025.2684999999999</v>
      </c>
      <c r="K407" s="16">
        <v>38.903199999999998</v>
      </c>
      <c r="L407" s="16">
        <v>49.390500000000003</v>
      </c>
      <c r="M407" s="16">
        <v>47.012300000000003</v>
      </c>
      <c r="N407" s="16">
        <v>59.112000000000002</v>
      </c>
      <c r="O407" s="16">
        <f t="shared" si="15"/>
        <v>41.22775</v>
      </c>
      <c r="P407" s="7"/>
      <c r="Q407" s="8">
        <f>bdrate(C407:C410,D407:D410,J407:J410,K407:K410)</f>
        <v>-0.18568670073548865</v>
      </c>
      <c r="R407" s="8">
        <f>bdrate(C407:C410,E407:E410,J407:J410,L407:L410)</f>
        <v>-0.31786974270078305</v>
      </c>
      <c r="S407" s="8">
        <f>bdrate(C407:C410,F407:F410,J407:J410,M407:M410)</f>
        <v>-0.35858483704310018</v>
      </c>
      <c r="T407" s="25">
        <f>bdrate(C407:C410,H407:H410,J407:J410,O407:O410)</f>
        <v>-0.2162038259834852</v>
      </c>
      <c r="U407" s="28">
        <f t="shared" si="13"/>
        <v>-0.44744812114413912</v>
      </c>
    </row>
    <row r="408" spans="1:21" hidden="1" x14ac:dyDescent="0.25">
      <c r="B408" s="9"/>
      <c r="C408" s="17">
        <v>762.75</v>
      </c>
      <c r="D408" s="18">
        <v>37.256999999999998</v>
      </c>
      <c r="E408" s="18">
        <v>47.908000000000001</v>
      </c>
      <c r="F408" s="18">
        <v>45.2</v>
      </c>
      <c r="G408" s="18">
        <v>121.83</v>
      </c>
      <c r="H408" s="18">
        <f t="shared" si="14"/>
        <v>39.581249999999997</v>
      </c>
      <c r="I408" s="5"/>
      <c r="J408" s="17">
        <v>614.70529999999997</v>
      </c>
      <c r="K408" s="18">
        <v>37.008699999999997</v>
      </c>
      <c r="L408" s="18">
        <v>48.34</v>
      </c>
      <c r="M408" s="18">
        <v>45.726100000000002</v>
      </c>
      <c r="N408" s="18">
        <v>76.703100000000006</v>
      </c>
      <c r="O408" s="18">
        <f t="shared" si="15"/>
        <v>39.514787499999997</v>
      </c>
      <c r="P408" s="7"/>
      <c r="Q408" s="10"/>
      <c r="R408" s="11"/>
      <c r="S408" s="11"/>
      <c r="T408" s="26"/>
      <c r="U408" s="28">
        <f t="shared" si="13"/>
        <v>-0.37040876631371578</v>
      </c>
    </row>
    <row r="409" spans="1:21" hidden="1" x14ac:dyDescent="0.25">
      <c r="B409" s="9"/>
      <c r="C409" s="17">
        <v>508.87</v>
      </c>
      <c r="D409" s="18">
        <v>35.585999999999999</v>
      </c>
      <c r="E409" s="18">
        <v>47.072000000000003</v>
      </c>
      <c r="F409" s="18">
        <v>43.932000000000002</v>
      </c>
      <c r="G409" s="18">
        <v>136.80000000000001</v>
      </c>
      <c r="H409" s="18">
        <f t="shared" si="14"/>
        <v>38.064999999999998</v>
      </c>
      <c r="I409" s="5"/>
      <c r="J409" s="17">
        <v>409.56830000000002</v>
      </c>
      <c r="K409" s="18">
        <v>35.585900000000002</v>
      </c>
      <c r="L409" s="18">
        <v>47.439599999999999</v>
      </c>
      <c r="M409" s="18">
        <v>44.698999999999998</v>
      </c>
      <c r="N409" s="18">
        <v>89.690100000000001</v>
      </c>
      <c r="O409" s="18">
        <f t="shared" si="15"/>
        <v>38.20675</v>
      </c>
      <c r="P409" s="7"/>
      <c r="Q409" s="10"/>
      <c r="R409" s="11"/>
      <c r="S409" s="11"/>
      <c r="T409" s="26"/>
      <c r="U409" s="28">
        <f t="shared" si="13"/>
        <v>-0.34437061403508779</v>
      </c>
    </row>
    <row r="410" spans="1:21" ht="16.5" hidden="1" thickBot="1" x14ac:dyDescent="0.3">
      <c r="B410" s="12"/>
      <c r="C410" s="19">
        <v>255.65</v>
      </c>
      <c r="D410" s="20">
        <v>32.670999999999999</v>
      </c>
      <c r="E410" s="20">
        <v>44.831000000000003</v>
      </c>
      <c r="F410" s="20">
        <v>42.08</v>
      </c>
      <c r="G410" s="20">
        <v>161.05000000000001</v>
      </c>
      <c r="H410" s="20">
        <f t="shared" si="14"/>
        <v>35.367125000000001</v>
      </c>
      <c r="I410" s="5"/>
      <c r="J410" s="19">
        <v>204.9034</v>
      </c>
      <c r="K410" s="20">
        <v>33.250399999999999</v>
      </c>
      <c r="L410" s="20">
        <v>45.922699999999999</v>
      </c>
      <c r="M410" s="20">
        <v>42.979900000000001</v>
      </c>
      <c r="N410" s="20">
        <v>123.0094</v>
      </c>
      <c r="O410" s="20">
        <f t="shared" si="15"/>
        <v>36.050624999999997</v>
      </c>
      <c r="P410" s="7"/>
      <c r="Q410" s="13"/>
      <c r="R410" s="14"/>
      <c r="S410" s="14"/>
      <c r="T410" s="27"/>
      <c r="U410" s="28">
        <f t="shared" si="13"/>
        <v>-0.23620366345855331</v>
      </c>
    </row>
    <row r="411" spans="1:21" hidden="1" x14ac:dyDescent="0.25">
      <c r="B411" s="6" t="s">
        <v>120</v>
      </c>
      <c r="C411" s="15">
        <v>1328.11</v>
      </c>
      <c r="D411" s="16">
        <v>43.167999999999999</v>
      </c>
      <c r="E411" s="16">
        <v>47.204999999999998</v>
      </c>
      <c r="F411" s="16">
        <v>47.685000000000002</v>
      </c>
      <c r="G411" s="16">
        <v>93.72</v>
      </c>
      <c r="H411" s="16">
        <f t="shared" si="14"/>
        <v>44.237249999999996</v>
      </c>
      <c r="I411" s="5"/>
      <c r="J411" s="15">
        <v>1029.2031999999999</v>
      </c>
      <c r="K411" s="16">
        <v>42.869100000000003</v>
      </c>
      <c r="L411" s="16">
        <v>47.238300000000002</v>
      </c>
      <c r="M411" s="16">
        <v>47.625100000000003</v>
      </c>
      <c r="N411" s="16">
        <v>55.203000000000003</v>
      </c>
      <c r="O411" s="16">
        <f t="shared" si="15"/>
        <v>44.009749999999997</v>
      </c>
      <c r="P411" s="7"/>
      <c r="Q411" s="8">
        <f>bdrate(C411:C414,D411:D414,J411:J414,K411:K414)</f>
        <v>-0.23454133813084743</v>
      </c>
      <c r="R411" s="8">
        <f>bdrate(C411:C414,E411:E414,J411:J414,L411:L414)</f>
        <v>-0.29011633416125271</v>
      </c>
      <c r="S411" s="8">
        <f>bdrate(C411:C414,F411:F414,J411:J414,M411:M414)</f>
        <v>-0.26064317951198712</v>
      </c>
      <c r="T411" s="25">
        <f>bdrate(C411:C414,H411:H414,J411:J414,O411:O414)</f>
        <v>-0.24170580514447371</v>
      </c>
      <c r="U411" s="28">
        <f t="shared" si="13"/>
        <v>-0.41097951344430211</v>
      </c>
    </row>
    <row r="412" spans="1:21" hidden="1" x14ac:dyDescent="0.25">
      <c r="B412" s="9"/>
      <c r="C412" s="17">
        <v>792.29</v>
      </c>
      <c r="D412" s="18">
        <v>41.213000000000001</v>
      </c>
      <c r="E412" s="18">
        <v>45.865000000000002</v>
      </c>
      <c r="F412" s="18">
        <v>46.435000000000002</v>
      </c>
      <c r="G412" s="18">
        <v>109.67</v>
      </c>
      <c r="H412" s="18">
        <f t="shared" si="14"/>
        <v>42.447250000000004</v>
      </c>
      <c r="I412" s="5"/>
      <c r="J412" s="17">
        <v>616.3184</v>
      </c>
      <c r="K412" s="18">
        <v>41.099899999999998</v>
      </c>
      <c r="L412" s="18">
        <v>46.079599999999999</v>
      </c>
      <c r="M412" s="18">
        <v>46.503</v>
      </c>
      <c r="N412" s="18">
        <v>69.410300000000007</v>
      </c>
      <c r="O412" s="18">
        <f t="shared" si="15"/>
        <v>42.397749999999995</v>
      </c>
      <c r="P412" s="7"/>
      <c r="Q412" s="10"/>
      <c r="R412" s="11"/>
      <c r="S412" s="11"/>
      <c r="T412" s="26"/>
      <c r="U412" s="28">
        <f t="shared" si="13"/>
        <v>-0.36709856843257038</v>
      </c>
    </row>
    <row r="413" spans="1:21" hidden="1" x14ac:dyDescent="0.25">
      <c r="B413" s="9"/>
      <c r="C413" s="17">
        <v>524.24</v>
      </c>
      <c r="D413" s="18">
        <v>39.515000000000001</v>
      </c>
      <c r="E413" s="18">
        <v>44.84</v>
      </c>
      <c r="F413" s="18">
        <v>45.418999999999997</v>
      </c>
      <c r="G413" s="18">
        <v>122.57</v>
      </c>
      <c r="H413" s="18">
        <f t="shared" si="14"/>
        <v>40.918624999999999</v>
      </c>
      <c r="I413" s="5"/>
      <c r="J413" s="17">
        <v>410.69720000000001</v>
      </c>
      <c r="K413" s="18">
        <v>39.621899999999997</v>
      </c>
      <c r="L413" s="18">
        <v>45.1265</v>
      </c>
      <c r="M413" s="18">
        <v>45.582500000000003</v>
      </c>
      <c r="N413" s="18">
        <v>78.508099999999999</v>
      </c>
      <c r="O413" s="18">
        <f t="shared" si="15"/>
        <v>41.055049999999994</v>
      </c>
      <c r="P413" s="7"/>
      <c r="Q413" s="10"/>
      <c r="R413" s="11"/>
      <c r="S413" s="11"/>
      <c r="T413" s="26"/>
      <c r="U413" s="28">
        <f t="shared" si="13"/>
        <v>-0.359483560414457</v>
      </c>
    </row>
    <row r="414" spans="1:21" ht="16.5" hidden="1" thickBot="1" x14ac:dyDescent="0.3">
      <c r="B414" s="12"/>
      <c r="C414" s="19">
        <v>258.58</v>
      </c>
      <c r="D414" s="20">
        <v>35.979999999999997</v>
      </c>
      <c r="E414" s="20">
        <v>42.95</v>
      </c>
      <c r="F414" s="20">
        <v>43.418999999999997</v>
      </c>
      <c r="G414" s="20">
        <v>146.08000000000001</v>
      </c>
      <c r="H414" s="20">
        <f t="shared" si="14"/>
        <v>37.781124999999996</v>
      </c>
      <c r="I414" s="5"/>
      <c r="J414" s="19">
        <v>204.3023</v>
      </c>
      <c r="K414" s="20">
        <v>36.782600000000002</v>
      </c>
      <c r="L414" s="20">
        <v>43.2928</v>
      </c>
      <c r="M414" s="20">
        <v>43.805100000000003</v>
      </c>
      <c r="N414" s="20">
        <v>116.795</v>
      </c>
      <c r="O414" s="20">
        <f t="shared" si="15"/>
        <v>38.474187499999999</v>
      </c>
      <c r="P414" s="7"/>
      <c r="Q414" s="13"/>
      <c r="R414" s="14"/>
      <c r="S414" s="14"/>
      <c r="T414" s="27"/>
      <c r="U414" s="28">
        <f t="shared" si="13"/>
        <v>-0.20047234392113916</v>
      </c>
    </row>
    <row r="415" spans="1:21" hidden="1" x14ac:dyDescent="0.25">
      <c r="B415" s="6" t="s">
        <v>121</v>
      </c>
      <c r="C415" s="29">
        <v>1267.31</v>
      </c>
      <c r="D415" s="30">
        <v>39.53</v>
      </c>
      <c r="E415" s="30">
        <v>47.067999999999998</v>
      </c>
      <c r="F415" s="30">
        <v>46.923999999999999</v>
      </c>
      <c r="G415" s="16">
        <v>106.81</v>
      </c>
      <c r="H415" s="16">
        <f t="shared" si="14"/>
        <v>41.396499999999996</v>
      </c>
      <c r="I415" s="5"/>
      <c r="J415" s="29">
        <v>1025.6161999999999</v>
      </c>
      <c r="K415" s="30">
        <v>38.671199999999999</v>
      </c>
      <c r="L415" s="30">
        <v>46.328499999999998</v>
      </c>
      <c r="M415" s="30">
        <v>46.180500000000002</v>
      </c>
      <c r="N415" s="16">
        <v>63.322600000000001</v>
      </c>
      <c r="O415" s="16">
        <f t="shared" si="15"/>
        <v>40.567025000000001</v>
      </c>
      <c r="P415" s="7"/>
      <c r="Q415" s="8">
        <f>bdrate(C415:C418,D415:D418,J415:J418,K415:K418)</f>
        <v>-0.172418287840161</v>
      </c>
      <c r="R415" s="8">
        <f>bdrate(C415:C418,E415:E418,J415:J418,L415:L418)</f>
        <v>-5.2463604806562203E-2</v>
      </c>
      <c r="S415" s="8">
        <f>bdrate(C415:C418,F415:F418,J415:J418,M415:M418)</f>
        <v>-7.1823145297409741E-2</v>
      </c>
      <c r="T415" s="25">
        <f>bdrate(C415:C418,H415:H418,J415:J418,O415:O418)</f>
        <v>-0.15630457125403796</v>
      </c>
      <c r="U415" s="28">
        <f t="shared" si="13"/>
        <v>-0.40714727085478886</v>
      </c>
    </row>
    <row r="416" spans="1:21" hidden="1" x14ac:dyDescent="0.25">
      <c r="B416" s="9"/>
      <c r="C416" s="31">
        <v>757.28</v>
      </c>
      <c r="D416" s="32">
        <v>37.137</v>
      </c>
      <c r="E416" s="32">
        <v>45.639000000000003</v>
      </c>
      <c r="F416" s="32">
        <v>45.476999999999997</v>
      </c>
      <c r="G416" s="18">
        <v>124.76</v>
      </c>
      <c r="H416" s="18">
        <f t="shared" si="14"/>
        <v>39.242249999999999</v>
      </c>
      <c r="I416" s="5"/>
      <c r="J416" s="31">
        <v>613.08299999999997</v>
      </c>
      <c r="K416" s="32">
        <v>36.753999999999998</v>
      </c>
      <c r="L416" s="32">
        <v>45.155200000000001</v>
      </c>
      <c r="M416" s="32">
        <v>44.994</v>
      </c>
      <c r="N416" s="18">
        <v>77.782200000000003</v>
      </c>
      <c r="O416" s="18">
        <f t="shared" si="15"/>
        <v>38.834149999999994</v>
      </c>
      <c r="P416" s="7"/>
      <c r="Q416" s="10"/>
      <c r="R416" s="11"/>
      <c r="S416" s="11"/>
      <c r="T416" s="26"/>
      <c r="U416" s="28">
        <f t="shared" si="13"/>
        <v>-0.37654536710484132</v>
      </c>
    </row>
    <row r="417" spans="2:21" hidden="1" x14ac:dyDescent="0.25">
      <c r="B417" s="9"/>
      <c r="C417" s="31">
        <v>503.84</v>
      </c>
      <c r="D417" s="32">
        <v>35.29</v>
      </c>
      <c r="E417" s="32">
        <v>44.585000000000001</v>
      </c>
      <c r="F417" s="32">
        <v>44.372999999999998</v>
      </c>
      <c r="G417" s="18">
        <v>136.9</v>
      </c>
      <c r="H417" s="18">
        <f t="shared" si="14"/>
        <v>37.587249999999997</v>
      </c>
      <c r="I417" s="5"/>
      <c r="J417" s="31">
        <v>408.0915</v>
      </c>
      <c r="K417" s="32">
        <v>35.278300000000002</v>
      </c>
      <c r="L417" s="32">
        <v>44.234099999999998</v>
      </c>
      <c r="M417" s="32">
        <v>44.063899999999997</v>
      </c>
      <c r="N417" s="18">
        <v>92.242500000000007</v>
      </c>
      <c r="O417" s="18">
        <f t="shared" si="15"/>
        <v>37.495975000000001</v>
      </c>
      <c r="P417" s="7"/>
      <c r="Q417" s="10"/>
      <c r="R417" s="11"/>
      <c r="S417" s="11"/>
      <c r="T417" s="26"/>
      <c r="U417" s="28">
        <f t="shared" si="13"/>
        <v>-0.32620525931336741</v>
      </c>
    </row>
    <row r="418" spans="2:21" ht="16.5" hidden="1" thickBot="1" x14ac:dyDescent="0.3">
      <c r="B418" s="12"/>
      <c r="C418" s="33">
        <v>251.35</v>
      </c>
      <c r="D418" s="34">
        <v>31.852</v>
      </c>
      <c r="E418" s="34">
        <v>42.713999999999999</v>
      </c>
      <c r="F418" s="34">
        <v>42.402999999999999</v>
      </c>
      <c r="G418" s="20">
        <v>155.09</v>
      </c>
      <c r="H418" s="20">
        <f t="shared" si="14"/>
        <v>34.528624999999998</v>
      </c>
      <c r="I418" s="5"/>
      <c r="J418" s="33">
        <v>204.05019999999999</v>
      </c>
      <c r="K418" s="34">
        <v>32.601399999999998</v>
      </c>
      <c r="L418" s="34">
        <v>42.482199999999999</v>
      </c>
      <c r="M418" s="34">
        <v>42.285299999999999</v>
      </c>
      <c r="N418" s="20">
        <v>127.0234</v>
      </c>
      <c r="O418" s="20">
        <f t="shared" si="15"/>
        <v>35.0469875</v>
      </c>
      <c r="P418" s="7"/>
      <c r="Q418" s="13"/>
      <c r="R418" s="14"/>
      <c r="S418" s="14"/>
      <c r="T418" s="27"/>
      <c r="U418" s="28">
        <f t="shared" si="13"/>
        <v>-0.18096975949448713</v>
      </c>
    </row>
    <row r="419" spans="2:21" hidden="1" x14ac:dyDescent="0.25">
      <c r="B419" s="6" t="s">
        <v>122</v>
      </c>
      <c r="C419" s="15">
        <v>1301.07</v>
      </c>
      <c r="D419" s="16">
        <v>38.57</v>
      </c>
      <c r="E419" s="16">
        <v>47.171999999999997</v>
      </c>
      <c r="F419" s="16">
        <v>45.584000000000003</v>
      </c>
      <c r="G419" s="16">
        <v>114.09</v>
      </c>
      <c r="H419" s="16">
        <f t="shared" si="14"/>
        <v>40.521999999999998</v>
      </c>
      <c r="I419" s="5"/>
      <c r="J419" s="15">
        <v>1025.5972999999999</v>
      </c>
      <c r="K419" s="16">
        <v>38.130200000000002</v>
      </c>
      <c r="L419" s="16">
        <v>47.170200000000001</v>
      </c>
      <c r="M419" s="16">
        <v>45.785899999999998</v>
      </c>
      <c r="N419" s="16">
        <v>62.893500000000003</v>
      </c>
      <c r="O419" s="16">
        <f t="shared" si="15"/>
        <v>40.217162500000001</v>
      </c>
      <c r="P419" s="7"/>
      <c r="Q419" s="8">
        <f>bdrate(C419:C422,D419:D422,J419:J422,K419:K422)</f>
        <v>-0.18926129416048065</v>
      </c>
      <c r="R419" s="8">
        <f>bdrate(C419:C422,E419:E422,J419:J422,L419:L422)</f>
        <v>-0.30485841658075774</v>
      </c>
      <c r="S419" s="8">
        <f>bdrate(C419:C422,F419:F422,J419:J422,M419:M422)</f>
        <v>-0.38447880275588819</v>
      </c>
      <c r="T419" s="25">
        <f>bdrate(C419:C422,H419:H422,J419:J422,O419:O422)</f>
        <v>-0.22432235277133517</v>
      </c>
      <c r="U419" s="28">
        <f t="shared" si="13"/>
        <v>-0.44873783854851435</v>
      </c>
    </row>
    <row r="420" spans="2:21" hidden="1" x14ac:dyDescent="0.25">
      <c r="B420" s="9"/>
      <c r="C420" s="17">
        <v>779.58</v>
      </c>
      <c r="D420" s="18">
        <v>37.326999999999998</v>
      </c>
      <c r="E420" s="18">
        <v>46.252000000000002</v>
      </c>
      <c r="F420" s="18">
        <v>44.531999999999996</v>
      </c>
      <c r="G420" s="18">
        <v>130.81</v>
      </c>
      <c r="H420" s="18">
        <f t="shared" si="14"/>
        <v>39.343249999999998</v>
      </c>
      <c r="I420" s="5"/>
      <c r="J420" s="17">
        <v>615.0942</v>
      </c>
      <c r="K420" s="18">
        <v>37.097000000000001</v>
      </c>
      <c r="L420" s="18">
        <v>46.446399999999997</v>
      </c>
      <c r="M420" s="18">
        <v>44.960799999999999</v>
      </c>
      <c r="N420" s="18">
        <v>78.304500000000004</v>
      </c>
      <c r="O420" s="18">
        <f t="shared" si="15"/>
        <v>39.248649999999998</v>
      </c>
      <c r="P420" s="7"/>
      <c r="Q420" s="10"/>
      <c r="R420" s="11"/>
      <c r="S420" s="11"/>
      <c r="T420" s="26"/>
      <c r="U420" s="28">
        <f t="shared" si="13"/>
        <v>-0.4013875086002599</v>
      </c>
    </row>
    <row r="421" spans="2:21" hidden="1" x14ac:dyDescent="0.25">
      <c r="B421" s="9"/>
      <c r="C421" s="17">
        <v>519.05999999999995</v>
      </c>
      <c r="D421" s="18">
        <v>36.345999999999997</v>
      </c>
      <c r="E421" s="18">
        <v>45.503</v>
      </c>
      <c r="F421" s="18">
        <v>43.698</v>
      </c>
      <c r="G421" s="18">
        <v>142.94999999999999</v>
      </c>
      <c r="H421" s="18">
        <f t="shared" si="14"/>
        <v>38.409624999999991</v>
      </c>
      <c r="I421" s="5"/>
      <c r="J421" s="17">
        <v>408.97390000000001</v>
      </c>
      <c r="K421" s="18">
        <v>36.301600000000001</v>
      </c>
      <c r="L421" s="18">
        <v>45.7806</v>
      </c>
      <c r="M421" s="18">
        <v>44.242100000000001</v>
      </c>
      <c r="N421" s="18">
        <v>92.121399999999994</v>
      </c>
      <c r="O421" s="18">
        <f t="shared" si="15"/>
        <v>38.479037499999997</v>
      </c>
      <c r="P421" s="7"/>
      <c r="Q421" s="10"/>
      <c r="R421" s="11"/>
      <c r="S421" s="11"/>
      <c r="T421" s="26"/>
      <c r="U421" s="28">
        <f t="shared" si="13"/>
        <v>-0.35556908009793631</v>
      </c>
    </row>
    <row r="422" spans="2:21" ht="16.5" hidden="1" thickBot="1" x14ac:dyDescent="0.3">
      <c r="B422" s="12"/>
      <c r="C422" s="19">
        <v>257.99</v>
      </c>
      <c r="D422" s="20">
        <v>34.281999999999996</v>
      </c>
      <c r="E422" s="20">
        <v>44.058999999999997</v>
      </c>
      <c r="F422" s="20">
        <v>42.17</v>
      </c>
      <c r="G422" s="20">
        <v>168.6</v>
      </c>
      <c r="H422" s="20">
        <f t="shared" si="14"/>
        <v>36.490124999999999</v>
      </c>
      <c r="I422" s="5"/>
      <c r="J422" s="19">
        <v>203.71209999999999</v>
      </c>
      <c r="K422" s="20">
        <v>34.734000000000002</v>
      </c>
      <c r="L422" s="20">
        <v>44.404400000000003</v>
      </c>
      <c r="M422" s="20">
        <v>42.828200000000002</v>
      </c>
      <c r="N422" s="20">
        <v>130.7801</v>
      </c>
      <c r="O422" s="20">
        <f t="shared" si="15"/>
        <v>36.954574999999998</v>
      </c>
      <c r="P422" s="7"/>
      <c r="Q422" s="13"/>
      <c r="R422" s="14"/>
      <c r="S422" s="14"/>
      <c r="T422" s="27"/>
      <c r="U422" s="28">
        <f t="shared" si="13"/>
        <v>-0.22431731909845784</v>
      </c>
    </row>
    <row r="423" spans="2:21" hidden="1" x14ac:dyDescent="0.25">
      <c r="B423" s="6" t="s">
        <v>123</v>
      </c>
      <c r="C423" s="15">
        <v>2101.15</v>
      </c>
      <c r="D423" s="16">
        <v>38.9</v>
      </c>
      <c r="E423" s="16">
        <v>45.033999999999999</v>
      </c>
      <c r="F423" s="16">
        <v>44.432000000000002</v>
      </c>
      <c r="G423" s="16">
        <v>41.89</v>
      </c>
      <c r="H423" s="16">
        <f t="shared" si="14"/>
        <v>40.358249999999998</v>
      </c>
      <c r="I423" s="5"/>
      <c r="J423" s="15">
        <v>1538.6424</v>
      </c>
      <c r="K423" s="16">
        <v>38.592300000000002</v>
      </c>
      <c r="L423" s="16">
        <v>44.6402</v>
      </c>
      <c r="M423" s="16">
        <v>43.965200000000003</v>
      </c>
      <c r="N423" s="16">
        <v>35.0837</v>
      </c>
      <c r="O423" s="16">
        <f t="shared" si="15"/>
        <v>40.0199</v>
      </c>
      <c r="P423" s="7"/>
      <c r="Q423" s="8">
        <f>bdrate(C423:C426,D423:D426,J423:J426,K423:K426)</f>
        <v>-0.35020029331511515</v>
      </c>
      <c r="R423" s="8">
        <f>bdrate(C423:C426,E423:E426,J423:J426,L423:L426)</f>
        <v>-0.26236400784986613</v>
      </c>
      <c r="S423" s="8">
        <f>bdrate(C423:C426,F423:F426,J423:J426,M423:M426)</f>
        <v>-0.23839162465023422</v>
      </c>
      <c r="T423" s="25">
        <f>bdrate(C423:C426,H423:H426,J423:J426,O423:O426)</f>
        <v>-0.33468347131556675</v>
      </c>
      <c r="U423" s="28">
        <f t="shared" si="13"/>
        <v>-0.16248030556218668</v>
      </c>
    </row>
    <row r="424" spans="2:21" hidden="1" x14ac:dyDescent="0.25">
      <c r="B424" s="9"/>
      <c r="C424" s="17">
        <v>1397.79</v>
      </c>
      <c r="D424" s="18">
        <v>36.765999999999998</v>
      </c>
      <c r="E424" s="18">
        <v>43.762</v>
      </c>
      <c r="F424" s="18">
        <v>43.042999999999999</v>
      </c>
      <c r="G424" s="18">
        <v>45.81</v>
      </c>
      <c r="H424" s="18">
        <f t="shared" si="14"/>
        <v>38.425125000000001</v>
      </c>
      <c r="I424" s="5"/>
      <c r="J424" s="17">
        <v>1023.5252</v>
      </c>
      <c r="K424" s="18">
        <v>36.922899999999998</v>
      </c>
      <c r="L424" s="18">
        <v>43.572400000000002</v>
      </c>
      <c r="M424" s="18">
        <v>42.766300000000001</v>
      </c>
      <c r="N424" s="18">
        <v>41.48</v>
      </c>
      <c r="O424" s="18">
        <f t="shared" si="15"/>
        <v>38.484512500000001</v>
      </c>
      <c r="P424" s="7"/>
      <c r="Q424" s="10"/>
      <c r="R424" s="11"/>
      <c r="S424" s="11"/>
      <c r="T424" s="26"/>
      <c r="U424" s="28">
        <f t="shared" si="13"/>
        <v>-9.4520846976642772E-2</v>
      </c>
    </row>
    <row r="425" spans="2:21" hidden="1" x14ac:dyDescent="0.25">
      <c r="B425" s="9"/>
      <c r="C425" s="17">
        <v>838.95</v>
      </c>
      <c r="D425" s="18">
        <v>34.023000000000003</v>
      </c>
      <c r="E425" s="18">
        <v>42.21</v>
      </c>
      <c r="F425" s="18">
        <v>41.378999999999998</v>
      </c>
      <c r="G425" s="18">
        <v>51.86</v>
      </c>
      <c r="H425" s="18">
        <f t="shared" si="14"/>
        <v>35.965875000000004</v>
      </c>
      <c r="I425" s="5"/>
      <c r="J425" s="17">
        <v>612.24940000000004</v>
      </c>
      <c r="K425" s="18">
        <v>34.764800000000001</v>
      </c>
      <c r="L425" s="18">
        <v>42.221800000000002</v>
      </c>
      <c r="M425" s="18">
        <v>41.25</v>
      </c>
      <c r="N425" s="18">
        <v>52.674700000000001</v>
      </c>
      <c r="O425" s="18">
        <f t="shared" si="15"/>
        <v>36.507575000000003</v>
      </c>
      <c r="P425" s="7"/>
      <c r="Q425" s="10"/>
      <c r="R425" s="11"/>
      <c r="S425" s="11"/>
      <c r="T425" s="26"/>
      <c r="U425" s="28">
        <f t="shared" si="13"/>
        <v>1.5709602776706556E-2</v>
      </c>
    </row>
    <row r="426" spans="2:21" ht="16.5" hidden="1" thickBot="1" x14ac:dyDescent="0.3">
      <c r="B426" s="12"/>
      <c r="C426" s="19">
        <v>420.58</v>
      </c>
      <c r="D426" s="20">
        <v>30.135000000000002</v>
      </c>
      <c r="E426" s="20">
        <v>40.170999999999999</v>
      </c>
      <c r="F426" s="20">
        <v>39.024999999999999</v>
      </c>
      <c r="G426" s="20">
        <v>57.81</v>
      </c>
      <c r="H426" s="20">
        <f t="shared" si="14"/>
        <v>32.500749999999996</v>
      </c>
      <c r="I426" s="5"/>
      <c r="J426" s="19">
        <v>306.69330000000002</v>
      </c>
      <c r="K426" s="20">
        <v>31.9178</v>
      </c>
      <c r="L426" s="20">
        <v>40.512900000000002</v>
      </c>
      <c r="M426" s="20">
        <v>39.314</v>
      </c>
      <c r="N426" s="20">
        <v>72.316299999999998</v>
      </c>
      <c r="O426" s="20">
        <f t="shared" si="15"/>
        <v>33.916712500000003</v>
      </c>
      <c r="P426" s="7"/>
      <c r="Q426" s="13"/>
      <c r="R426" s="14"/>
      <c r="S426" s="14"/>
      <c r="T426" s="27"/>
      <c r="U426" s="28">
        <f t="shared" si="13"/>
        <v>0.25093063483826322</v>
      </c>
    </row>
    <row r="427" spans="2:21" hidden="1" x14ac:dyDescent="0.25">
      <c r="B427" s="6" t="s">
        <v>124</v>
      </c>
      <c r="C427" s="15">
        <v>1328.6</v>
      </c>
      <c r="D427" s="16">
        <v>40.597999999999999</v>
      </c>
      <c r="E427" s="16">
        <v>46.091999999999999</v>
      </c>
      <c r="F427" s="16">
        <v>45.523000000000003</v>
      </c>
      <c r="G427" s="16">
        <v>98.49</v>
      </c>
      <c r="H427" s="16">
        <f t="shared" si="14"/>
        <v>41.900375000000004</v>
      </c>
      <c r="I427" s="5"/>
      <c r="J427" s="15">
        <v>1035.8987999999999</v>
      </c>
      <c r="K427" s="16">
        <v>39.778599999999997</v>
      </c>
      <c r="L427" s="16">
        <v>45.4771</v>
      </c>
      <c r="M427" s="16">
        <v>44.975299999999997</v>
      </c>
      <c r="N427" s="16">
        <v>59.782200000000003</v>
      </c>
      <c r="O427" s="16">
        <f t="shared" si="15"/>
        <v>41.140499999999996</v>
      </c>
      <c r="P427" s="7"/>
      <c r="Q427" s="8">
        <f>bdrate(C427:C430,D427:D430,J427:J430,K427:K430)</f>
        <v>-0.21174511703134868</v>
      </c>
      <c r="R427" s="8">
        <f>bdrate(C427:C430,E427:E430,J427:J430,L427:L430)</f>
        <v>-0.24690414582820608</v>
      </c>
      <c r="S427" s="8">
        <f>bdrate(C427:C430,F427:F430,J427:J430,M427:M430)</f>
        <v>-0.27938918924528389</v>
      </c>
      <c r="T427" s="25">
        <f>bdrate(C427:C430,H427:H430,J427:J430,O427:O430)</f>
        <v>-0.2220730825326267</v>
      </c>
      <c r="U427" s="28">
        <f t="shared" si="13"/>
        <v>-0.39301248857752052</v>
      </c>
    </row>
    <row r="428" spans="2:21" hidden="1" x14ac:dyDescent="0.25">
      <c r="B428" s="9"/>
      <c r="C428" s="17">
        <v>790.49</v>
      </c>
      <c r="D428" s="18">
        <v>38.392000000000003</v>
      </c>
      <c r="E428" s="18">
        <v>44.384999999999998</v>
      </c>
      <c r="F428" s="18">
        <v>43.734999999999999</v>
      </c>
      <c r="G428" s="18">
        <v>109.44</v>
      </c>
      <c r="H428" s="18">
        <f t="shared" si="14"/>
        <v>39.809000000000005</v>
      </c>
      <c r="I428" s="5"/>
      <c r="J428" s="17">
        <v>621.87199999999996</v>
      </c>
      <c r="K428" s="18">
        <v>38.078299999999999</v>
      </c>
      <c r="L428" s="18">
        <v>44.304900000000004</v>
      </c>
      <c r="M428" s="18">
        <v>43.7776</v>
      </c>
      <c r="N428" s="18">
        <v>74.336799999999997</v>
      </c>
      <c r="O428" s="18">
        <f t="shared" si="15"/>
        <v>39.5690375</v>
      </c>
      <c r="P428" s="7"/>
      <c r="Q428" s="10"/>
      <c r="R428" s="11"/>
      <c r="S428" s="11"/>
      <c r="T428" s="26"/>
      <c r="U428" s="28">
        <f t="shared" si="13"/>
        <v>-0.32075292397660821</v>
      </c>
    </row>
    <row r="429" spans="2:21" hidden="1" x14ac:dyDescent="0.25">
      <c r="B429" s="9"/>
      <c r="C429" s="17">
        <v>522.11</v>
      </c>
      <c r="D429" s="18">
        <v>36.637999999999998</v>
      </c>
      <c r="E429" s="18">
        <v>43.113</v>
      </c>
      <c r="F429" s="18">
        <v>42.414999999999999</v>
      </c>
      <c r="G429" s="18">
        <v>126.34</v>
      </c>
      <c r="H429" s="18">
        <f t="shared" si="14"/>
        <v>38.169499999999999</v>
      </c>
      <c r="I429" s="5"/>
      <c r="J429" s="17">
        <v>414.06779999999998</v>
      </c>
      <c r="K429" s="18">
        <v>36.753900000000002</v>
      </c>
      <c r="L429" s="18">
        <v>43.376199999999997</v>
      </c>
      <c r="M429" s="18">
        <v>42.839300000000001</v>
      </c>
      <c r="N429" s="18">
        <v>88.842200000000005</v>
      </c>
      <c r="O429" s="18">
        <f t="shared" si="15"/>
        <v>38.3423625</v>
      </c>
      <c r="P429" s="7"/>
      <c r="Q429" s="10"/>
      <c r="R429" s="11"/>
      <c r="S429" s="11"/>
      <c r="T429" s="26"/>
      <c r="U429" s="28">
        <f t="shared" si="13"/>
        <v>-0.29680069653316443</v>
      </c>
    </row>
    <row r="430" spans="2:21" ht="16.5" hidden="1" thickBot="1" x14ac:dyDescent="0.3">
      <c r="B430" s="12"/>
      <c r="C430" s="19">
        <v>256.49</v>
      </c>
      <c r="D430" s="20">
        <v>33.274999999999999</v>
      </c>
      <c r="E430" s="20">
        <v>40.912999999999997</v>
      </c>
      <c r="F430" s="20">
        <v>40.154000000000003</v>
      </c>
      <c r="G430" s="20">
        <v>146.82</v>
      </c>
      <c r="H430" s="20">
        <f t="shared" si="14"/>
        <v>35.089624999999998</v>
      </c>
      <c r="I430" s="5"/>
      <c r="J430" s="19">
        <v>206.8954</v>
      </c>
      <c r="K430" s="20">
        <v>34.292099999999998</v>
      </c>
      <c r="L430" s="20">
        <v>41.605499999999999</v>
      </c>
      <c r="M430" s="20">
        <v>41.031300000000002</v>
      </c>
      <c r="N430" s="20">
        <v>125.50620000000001</v>
      </c>
      <c r="O430" s="20">
        <f t="shared" si="15"/>
        <v>36.048674999999996</v>
      </c>
      <c r="P430" s="7"/>
      <c r="Q430" s="13"/>
      <c r="R430" s="14"/>
      <c r="S430" s="14"/>
      <c r="T430" s="27"/>
      <c r="U430" s="28">
        <f t="shared" si="13"/>
        <v>-0.14516959542296681</v>
      </c>
    </row>
    <row r="431" spans="2:21" hidden="1" x14ac:dyDescent="0.25">
      <c r="B431" s="6" t="s">
        <v>125</v>
      </c>
      <c r="C431" s="15">
        <v>1283.26</v>
      </c>
      <c r="D431" s="16">
        <v>43.957000000000001</v>
      </c>
      <c r="E431" s="16">
        <v>48.704000000000001</v>
      </c>
      <c r="F431" s="16">
        <v>47.77</v>
      </c>
      <c r="G431" s="16">
        <v>102.01</v>
      </c>
      <c r="H431" s="16">
        <f t="shared" si="14"/>
        <v>45.027000000000001</v>
      </c>
      <c r="I431" s="5"/>
      <c r="J431" s="15">
        <v>1028.1883</v>
      </c>
      <c r="K431" s="16">
        <v>43.499200000000002</v>
      </c>
      <c r="L431" s="16">
        <v>47.981200000000001</v>
      </c>
      <c r="M431" s="16">
        <v>47.180900000000001</v>
      </c>
      <c r="N431" s="16">
        <v>63.629300000000001</v>
      </c>
      <c r="O431" s="16">
        <f t="shared" si="15"/>
        <v>44.519662500000003</v>
      </c>
      <c r="P431" s="7"/>
      <c r="Q431" s="8">
        <f>bdrate(C431:C434,D431:D434,J431:J434,K431:K434)</f>
        <v>-0.23235059720522822</v>
      </c>
      <c r="R431" s="8">
        <f>bdrate(C431:C434,E431:E434,J431:J434,L431:L434)</f>
        <v>-0.14312012227575566</v>
      </c>
      <c r="S431" s="8">
        <f>bdrate(C431:C434,F431:F434,J431:J434,M431:M434)</f>
        <v>-0.19099676509009722</v>
      </c>
      <c r="T431" s="25">
        <f>bdrate(C431:C434,H431:H434,J431:J434,O431:O434)</f>
        <v>-0.21936861586441048</v>
      </c>
      <c r="U431" s="28">
        <f t="shared" si="13"/>
        <v>-0.37624448583472209</v>
      </c>
    </row>
    <row r="432" spans="2:21" hidden="1" x14ac:dyDescent="0.25">
      <c r="B432" s="9"/>
      <c r="C432" s="17">
        <v>771.87</v>
      </c>
      <c r="D432" s="18">
        <v>41.905000000000001</v>
      </c>
      <c r="E432" s="18">
        <v>47.097999999999999</v>
      </c>
      <c r="F432" s="18">
        <v>46.064</v>
      </c>
      <c r="G432" s="18">
        <v>118.29</v>
      </c>
      <c r="H432" s="18">
        <f t="shared" si="14"/>
        <v>43.074000000000005</v>
      </c>
      <c r="I432" s="5"/>
      <c r="J432" s="17">
        <v>615.59360000000004</v>
      </c>
      <c r="K432" s="18">
        <v>41.806399999999996</v>
      </c>
      <c r="L432" s="18">
        <v>46.628500000000003</v>
      </c>
      <c r="M432" s="18">
        <v>45.788600000000002</v>
      </c>
      <c r="N432" s="18">
        <v>76.010599999999997</v>
      </c>
      <c r="O432" s="18">
        <f t="shared" si="15"/>
        <v>42.906937499999998</v>
      </c>
      <c r="P432" s="7"/>
      <c r="Q432" s="10"/>
      <c r="R432" s="11"/>
      <c r="S432" s="11"/>
      <c r="T432" s="26"/>
      <c r="U432" s="28">
        <f t="shared" si="13"/>
        <v>-0.35742159100515686</v>
      </c>
    </row>
    <row r="433" spans="2:21" hidden="1" x14ac:dyDescent="0.25">
      <c r="B433" s="9"/>
      <c r="C433" s="17">
        <v>515.78</v>
      </c>
      <c r="D433" s="18">
        <v>40.155000000000001</v>
      </c>
      <c r="E433" s="18">
        <v>45.707999999999998</v>
      </c>
      <c r="F433" s="18">
        <v>44.61</v>
      </c>
      <c r="G433" s="18">
        <v>132.25</v>
      </c>
      <c r="H433" s="18">
        <f t="shared" si="14"/>
        <v>41.406000000000006</v>
      </c>
      <c r="I433" s="5"/>
      <c r="J433" s="17">
        <v>410.17090000000002</v>
      </c>
      <c r="K433" s="18">
        <v>40.369599999999998</v>
      </c>
      <c r="L433" s="18">
        <v>45.507599999999996</v>
      </c>
      <c r="M433" s="18">
        <v>44.622</v>
      </c>
      <c r="N433" s="18">
        <v>93.956400000000002</v>
      </c>
      <c r="O433" s="18">
        <f t="shared" si="15"/>
        <v>41.543399999999998</v>
      </c>
      <c r="P433" s="7"/>
      <c r="Q433" s="10"/>
      <c r="R433" s="11"/>
      <c r="S433" s="11"/>
      <c r="T433" s="26"/>
      <c r="U433" s="28">
        <f t="shared" si="13"/>
        <v>-0.28955463137996218</v>
      </c>
    </row>
    <row r="434" spans="2:21" ht="16.5" hidden="1" thickBot="1" x14ac:dyDescent="0.3">
      <c r="B434" s="12"/>
      <c r="C434" s="19">
        <v>260.22000000000003</v>
      </c>
      <c r="D434" s="20">
        <v>36.582999999999998</v>
      </c>
      <c r="E434" s="20">
        <v>43.106999999999999</v>
      </c>
      <c r="F434" s="20">
        <v>41.930999999999997</v>
      </c>
      <c r="G434" s="20">
        <v>159.02000000000001</v>
      </c>
      <c r="H434" s="20">
        <f t="shared" si="14"/>
        <v>38.067</v>
      </c>
      <c r="I434" s="5"/>
      <c r="J434" s="19">
        <v>204.1233</v>
      </c>
      <c r="K434" s="20">
        <v>37.492199999999997</v>
      </c>
      <c r="L434" s="20">
        <v>43.335000000000001</v>
      </c>
      <c r="M434" s="20">
        <v>42.355499999999999</v>
      </c>
      <c r="N434" s="20">
        <v>131.7903</v>
      </c>
      <c r="O434" s="20">
        <f t="shared" si="15"/>
        <v>38.830462499999996</v>
      </c>
      <c r="P434" s="7"/>
      <c r="Q434" s="13"/>
      <c r="R434" s="14"/>
      <c r="S434" s="14"/>
      <c r="T434" s="27"/>
      <c r="U434" s="28">
        <f t="shared" si="13"/>
        <v>-0.17123443592001011</v>
      </c>
    </row>
    <row r="435" spans="2:21" hidden="1" x14ac:dyDescent="0.25">
      <c r="B435" s="6" t="s">
        <v>126</v>
      </c>
      <c r="C435" s="15">
        <v>2042.6</v>
      </c>
      <c r="D435" s="16">
        <v>37.627000000000002</v>
      </c>
      <c r="E435" s="16">
        <v>44.061</v>
      </c>
      <c r="F435" s="16">
        <v>44.83</v>
      </c>
      <c r="G435" s="16">
        <v>34.729999999999997</v>
      </c>
      <c r="H435" s="16">
        <f t="shared" si="14"/>
        <v>39.331624999999995</v>
      </c>
      <c r="I435" s="5"/>
      <c r="J435" s="15">
        <v>1543.6476</v>
      </c>
      <c r="K435" s="16">
        <v>37.405200000000001</v>
      </c>
      <c r="L435" s="16">
        <v>43.316499999999998</v>
      </c>
      <c r="M435" s="16">
        <v>44.0002</v>
      </c>
      <c r="N435" s="16">
        <v>28.3323</v>
      </c>
      <c r="O435" s="16">
        <f t="shared" si="15"/>
        <v>38.968487500000002</v>
      </c>
      <c r="P435" s="7"/>
      <c r="Q435" s="8">
        <f>bdrate(C435:C438,D435:D438,J435:J438,K435:K438)</f>
        <v>-0.33905723416299804</v>
      </c>
      <c r="R435" s="8">
        <f>bdrate(C435:C438,E435:E438,J435:J438,L435:L438)</f>
        <v>-0.16342017058837399</v>
      </c>
      <c r="S435" s="8">
        <f>bdrate(C435:C438,F435:F438,J435:J438,M435:M438)</f>
        <v>-0.16517315850955372</v>
      </c>
      <c r="T435" s="25">
        <f>bdrate(C435:C438,H435:H438,J435:J438,O435:O438)</f>
        <v>-0.31458484662410791</v>
      </c>
      <c r="U435" s="28">
        <f t="shared" si="13"/>
        <v>-0.18421249640080614</v>
      </c>
    </row>
    <row r="436" spans="2:21" hidden="1" x14ac:dyDescent="0.25">
      <c r="B436" s="9"/>
      <c r="C436" s="17">
        <v>1360.23</v>
      </c>
      <c r="D436" s="18">
        <v>35.581000000000003</v>
      </c>
      <c r="E436" s="18">
        <v>42.765000000000001</v>
      </c>
      <c r="F436" s="18">
        <v>43.530999999999999</v>
      </c>
      <c r="G436" s="18">
        <v>39.01</v>
      </c>
      <c r="H436" s="18">
        <f t="shared" si="14"/>
        <v>37.472750000000005</v>
      </c>
      <c r="I436" s="5"/>
      <c r="J436" s="17">
        <v>1027.9232999999999</v>
      </c>
      <c r="K436" s="18">
        <v>35.775300000000001</v>
      </c>
      <c r="L436" s="18">
        <v>42.265500000000003</v>
      </c>
      <c r="M436" s="18">
        <v>42.986499999999999</v>
      </c>
      <c r="N436" s="18">
        <v>34.499299999999998</v>
      </c>
      <c r="O436" s="18">
        <f t="shared" si="15"/>
        <v>37.487974999999999</v>
      </c>
      <c r="P436" s="7"/>
      <c r="Q436" s="10"/>
      <c r="R436" s="11"/>
      <c r="S436" s="11"/>
      <c r="T436" s="26"/>
      <c r="U436" s="28">
        <f t="shared" si="13"/>
        <v>-0.11562932581389387</v>
      </c>
    </row>
    <row r="437" spans="2:21" hidden="1" x14ac:dyDescent="0.25">
      <c r="B437" s="9"/>
      <c r="C437" s="17">
        <v>815.04</v>
      </c>
      <c r="D437" s="18">
        <v>32.875999999999998</v>
      </c>
      <c r="E437" s="18">
        <v>41.287999999999997</v>
      </c>
      <c r="F437" s="18">
        <v>42.017000000000003</v>
      </c>
      <c r="G437" s="18">
        <v>44.94</v>
      </c>
      <c r="H437" s="18">
        <f t="shared" si="14"/>
        <v>35.070124999999997</v>
      </c>
      <c r="I437" s="5"/>
      <c r="J437" s="17">
        <v>616.10569999999996</v>
      </c>
      <c r="K437" s="18">
        <v>33.687199999999997</v>
      </c>
      <c r="L437" s="18">
        <v>41.021599999999999</v>
      </c>
      <c r="M437" s="18">
        <v>41.780799999999999</v>
      </c>
      <c r="N437" s="18">
        <v>42.859499999999997</v>
      </c>
      <c r="O437" s="18">
        <f t="shared" si="15"/>
        <v>35.615700000000004</v>
      </c>
      <c r="P437" s="7"/>
      <c r="Q437" s="10"/>
      <c r="R437" s="11"/>
      <c r="S437" s="11"/>
      <c r="T437" s="26"/>
      <c r="U437" s="28">
        <f t="shared" si="13"/>
        <v>-4.629506008010683E-2</v>
      </c>
    </row>
    <row r="438" spans="2:21" ht="16.5" hidden="1" thickBot="1" x14ac:dyDescent="0.3">
      <c r="B438" s="12"/>
      <c r="C438" s="19">
        <v>409.21</v>
      </c>
      <c r="D438" s="20">
        <v>28.516999999999999</v>
      </c>
      <c r="E438" s="20">
        <v>39.216999999999999</v>
      </c>
      <c r="F438" s="20">
        <v>39.978000000000002</v>
      </c>
      <c r="G438" s="20">
        <v>55.25</v>
      </c>
      <c r="H438" s="20">
        <f t="shared" si="14"/>
        <v>31.287125000000003</v>
      </c>
      <c r="I438" s="5"/>
      <c r="J438" s="19">
        <v>307.70890000000003</v>
      </c>
      <c r="K438" s="20">
        <v>30.8294</v>
      </c>
      <c r="L438" s="20">
        <v>39.451000000000001</v>
      </c>
      <c r="M438" s="20">
        <v>40.286000000000001</v>
      </c>
      <c r="N438" s="20">
        <v>58.677900000000001</v>
      </c>
      <c r="O438" s="20">
        <f t="shared" si="15"/>
        <v>33.089174999999997</v>
      </c>
      <c r="P438" s="7"/>
      <c r="Q438" s="13"/>
      <c r="R438" s="14"/>
      <c r="S438" s="14"/>
      <c r="T438" s="27"/>
      <c r="U438" s="28">
        <f t="shared" si="13"/>
        <v>6.2043438914027166E-2</v>
      </c>
    </row>
    <row r="439" spans="2:21" hidden="1" x14ac:dyDescent="0.25">
      <c r="B439" s="6" t="s">
        <v>127</v>
      </c>
      <c r="C439" s="15">
        <v>2185.23</v>
      </c>
      <c r="D439" s="16">
        <v>36.005000000000003</v>
      </c>
      <c r="E439" s="16">
        <v>41.588000000000001</v>
      </c>
      <c r="F439" s="16">
        <v>39.844999999999999</v>
      </c>
      <c r="G439" s="16">
        <v>37.26</v>
      </c>
      <c r="H439" s="16">
        <f t="shared" si="14"/>
        <v>37.18287500000001</v>
      </c>
      <c r="I439" s="5"/>
      <c r="J439" s="15">
        <v>1543.6578999999999</v>
      </c>
      <c r="K439" s="16">
        <v>34.9129</v>
      </c>
      <c r="L439" s="16">
        <v>40.178400000000003</v>
      </c>
      <c r="M439" s="16">
        <v>38.299300000000002</v>
      </c>
      <c r="N439" s="16">
        <v>26.548500000000001</v>
      </c>
      <c r="O439" s="16">
        <f t="shared" si="15"/>
        <v>35.994387500000002</v>
      </c>
      <c r="P439" s="7"/>
      <c r="Q439" s="8">
        <f>bdrate(C439:C442,D439:D442,J439:J442,K439:K442)</f>
        <v>-0.2772580653563983</v>
      </c>
      <c r="R439" s="8">
        <f>bdrate(C439:C442,E439:E442,J439:J442,L439:L442)</f>
        <v>9.6131808624924098E-3</v>
      </c>
      <c r="S439" s="8">
        <f>bdrate(C439:C442,F439:F442,J439:J442,M439:M442)</f>
        <v>-1.4370767283564678E-3</v>
      </c>
      <c r="T439" s="25">
        <f>bdrate(C439:C442,H439:H442,J439:J442,O439:O442)</f>
        <v>-0.2326693255418838</v>
      </c>
      <c r="U439" s="28">
        <f t="shared" si="13"/>
        <v>-0.28747987117552332</v>
      </c>
    </row>
    <row r="440" spans="2:21" hidden="1" x14ac:dyDescent="0.25">
      <c r="B440" s="9"/>
      <c r="C440" s="17">
        <v>1452.9</v>
      </c>
      <c r="D440" s="18">
        <v>33.801000000000002</v>
      </c>
      <c r="E440" s="18">
        <v>40.262</v>
      </c>
      <c r="F440" s="18">
        <v>38.417999999999999</v>
      </c>
      <c r="G440" s="18">
        <v>43.27</v>
      </c>
      <c r="H440" s="18">
        <f t="shared" si="14"/>
        <v>35.185749999999999</v>
      </c>
      <c r="I440" s="5"/>
      <c r="J440" s="17">
        <v>1028.3298</v>
      </c>
      <c r="K440" s="18">
        <v>33.155700000000003</v>
      </c>
      <c r="L440" s="18">
        <v>38.9178</v>
      </c>
      <c r="M440" s="18">
        <v>36.869399999999999</v>
      </c>
      <c r="N440" s="18">
        <v>31.6615</v>
      </c>
      <c r="O440" s="18">
        <f t="shared" si="15"/>
        <v>34.340175000000002</v>
      </c>
      <c r="P440" s="7"/>
      <c r="Q440" s="10"/>
      <c r="R440" s="11"/>
      <c r="S440" s="11"/>
      <c r="T440" s="26"/>
      <c r="U440" s="28">
        <f t="shared" si="13"/>
        <v>-0.26828056390108623</v>
      </c>
    </row>
    <row r="441" spans="2:21" hidden="1" x14ac:dyDescent="0.25">
      <c r="B441" s="9"/>
      <c r="C441" s="17">
        <v>870.69</v>
      </c>
      <c r="D441" s="18">
        <v>31.120999999999999</v>
      </c>
      <c r="E441" s="18">
        <v>38.598999999999997</v>
      </c>
      <c r="F441" s="18">
        <v>36.518000000000001</v>
      </c>
      <c r="G441" s="18">
        <v>49.34</v>
      </c>
      <c r="H441" s="18">
        <f t="shared" si="14"/>
        <v>32.730374999999995</v>
      </c>
      <c r="I441" s="5"/>
      <c r="J441" s="17">
        <v>616.4153</v>
      </c>
      <c r="K441" s="18">
        <v>31.158300000000001</v>
      </c>
      <c r="L441" s="18">
        <v>37.444800000000001</v>
      </c>
      <c r="M441" s="18">
        <v>35.155799999999999</v>
      </c>
      <c r="N441" s="18">
        <v>41.102800000000002</v>
      </c>
      <c r="O441" s="18">
        <f t="shared" si="15"/>
        <v>32.443800000000003</v>
      </c>
      <c r="P441" s="7"/>
      <c r="Q441" s="10"/>
      <c r="R441" s="11"/>
      <c r="S441" s="11"/>
      <c r="T441" s="26"/>
      <c r="U441" s="28">
        <f t="shared" si="13"/>
        <v>-0.16694770976895015</v>
      </c>
    </row>
    <row r="442" spans="2:21" ht="16.5" hidden="1" thickBot="1" x14ac:dyDescent="0.3">
      <c r="B442" s="12"/>
      <c r="C442" s="19">
        <v>436</v>
      </c>
      <c r="D442" s="20">
        <v>27.51</v>
      </c>
      <c r="E442" s="20">
        <v>36.122999999999998</v>
      </c>
      <c r="F442" s="20">
        <v>33.424999999999997</v>
      </c>
      <c r="G442" s="20">
        <v>58.78</v>
      </c>
      <c r="H442" s="20">
        <f t="shared" si="14"/>
        <v>29.326000000000001</v>
      </c>
      <c r="I442" s="5"/>
      <c r="J442" s="19">
        <v>307.72680000000003</v>
      </c>
      <c r="K442" s="20">
        <v>28.7928</v>
      </c>
      <c r="L442" s="20">
        <v>35.729700000000001</v>
      </c>
      <c r="M442" s="20">
        <v>33.059699999999999</v>
      </c>
      <c r="N442" s="20">
        <v>57.863500000000002</v>
      </c>
      <c r="O442" s="20">
        <f t="shared" si="15"/>
        <v>30.193275</v>
      </c>
      <c r="P442" s="7"/>
      <c r="Q442" s="13"/>
      <c r="R442" s="14"/>
      <c r="S442" s="14"/>
      <c r="T442" s="27"/>
      <c r="U442" s="28">
        <f t="shared" si="13"/>
        <v>-1.5592038108200054E-2</v>
      </c>
    </row>
    <row r="443" spans="2:21" hidden="1" x14ac:dyDescent="0.25">
      <c r="B443" s="6" t="s">
        <v>128</v>
      </c>
      <c r="C443" s="15">
        <v>2140.38</v>
      </c>
      <c r="D443" s="16">
        <v>40.051000000000002</v>
      </c>
      <c r="E443" s="16">
        <v>46.683</v>
      </c>
      <c r="F443" s="16">
        <v>46.561999999999998</v>
      </c>
      <c r="G443" s="16">
        <v>33.340000000000003</v>
      </c>
      <c r="H443" s="16">
        <f t="shared" si="14"/>
        <v>41.693875000000006</v>
      </c>
      <c r="I443" s="5"/>
      <c r="J443" s="15">
        <v>1543.8945000000001</v>
      </c>
      <c r="K443" s="16">
        <v>39.602899999999998</v>
      </c>
      <c r="L443" s="16">
        <v>46.302</v>
      </c>
      <c r="M443" s="16">
        <v>46.116</v>
      </c>
      <c r="N443" s="16">
        <v>26.5169</v>
      </c>
      <c r="O443" s="16">
        <f t="shared" si="15"/>
        <v>41.254424999999998</v>
      </c>
      <c r="P443" s="7"/>
      <c r="Q443" s="8">
        <f>bdrate(C443:C446,D443:D446,J443:J446,K443:K446)</f>
        <v>-0.33553721354753951</v>
      </c>
      <c r="R443" s="8">
        <f>bdrate(C443:C446,E443:E446,J443:J446,L443:L446)</f>
        <v>-0.34020890658602487</v>
      </c>
      <c r="S443" s="8">
        <f>bdrate(C443:C446,F443:F446,J443:J446,M443:M446)</f>
        <v>-0.31827398938146367</v>
      </c>
      <c r="T443" s="25">
        <f>bdrate(C443:C446,H443:H446,J443:J446,O443:O446)</f>
        <v>-0.33431874063559219</v>
      </c>
      <c r="U443" s="28">
        <f t="shared" si="13"/>
        <v>-0.20465206958608287</v>
      </c>
    </row>
    <row r="444" spans="2:21" hidden="1" x14ac:dyDescent="0.25">
      <c r="B444" s="9"/>
      <c r="C444" s="17">
        <v>1429.28</v>
      </c>
      <c r="D444" s="18">
        <v>38.585000000000001</v>
      </c>
      <c r="E444" s="18">
        <v>45.402999999999999</v>
      </c>
      <c r="F444" s="18">
        <v>45.238</v>
      </c>
      <c r="G444" s="18">
        <v>38.35</v>
      </c>
      <c r="H444" s="18">
        <f t="shared" si="14"/>
        <v>40.268875000000001</v>
      </c>
      <c r="I444" s="5"/>
      <c r="J444" s="17">
        <v>1027.1412</v>
      </c>
      <c r="K444" s="18">
        <v>38.411200000000001</v>
      </c>
      <c r="L444" s="18">
        <v>45.325499999999998</v>
      </c>
      <c r="M444" s="18">
        <v>45.063699999999997</v>
      </c>
      <c r="N444" s="18">
        <v>32.495699999999999</v>
      </c>
      <c r="O444" s="18">
        <f t="shared" si="15"/>
        <v>40.107049999999994</v>
      </c>
      <c r="P444" s="7"/>
      <c r="Q444" s="10"/>
      <c r="R444" s="11"/>
      <c r="S444" s="11"/>
      <c r="T444" s="26"/>
      <c r="U444" s="28">
        <f t="shared" si="13"/>
        <v>-0.1526544980443286</v>
      </c>
    </row>
    <row r="445" spans="2:21" hidden="1" x14ac:dyDescent="0.25">
      <c r="B445" s="9"/>
      <c r="C445" s="17">
        <v>862.52</v>
      </c>
      <c r="D445" s="18">
        <v>36.374000000000002</v>
      </c>
      <c r="E445" s="18">
        <v>43.607999999999997</v>
      </c>
      <c r="F445" s="18">
        <v>43.353000000000002</v>
      </c>
      <c r="G445" s="18">
        <v>44.15</v>
      </c>
      <c r="H445" s="18">
        <f t="shared" si="14"/>
        <v>38.150625000000005</v>
      </c>
      <c r="I445" s="5"/>
      <c r="J445" s="17">
        <v>615.25409999999999</v>
      </c>
      <c r="K445" s="18">
        <v>36.751100000000001</v>
      </c>
      <c r="L445" s="18">
        <v>43.965200000000003</v>
      </c>
      <c r="M445" s="18">
        <v>43.601799999999997</v>
      </c>
      <c r="N445" s="18">
        <v>41.233899999999998</v>
      </c>
      <c r="O445" s="18">
        <f t="shared" si="15"/>
        <v>38.509199999999993</v>
      </c>
      <c r="P445" s="7"/>
      <c r="Q445" s="10"/>
      <c r="R445" s="11"/>
      <c r="S445" s="11"/>
      <c r="T445" s="26"/>
      <c r="U445" s="28">
        <f t="shared" si="13"/>
        <v>-6.6049830124575312E-2</v>
      </c>
    </row>
    <row r="446" spans="2:21" ht="16.5" hidden="1" thickBot="1" x14ac:dyDescent="0.3">
      <c r="B446" s="12"/>
      <c r="C446" s="19">
        <v>433.34</v>
      </c>
      <c r="D446" s="20">
        <v>32.276000000000003</v>
      </c>
      <c r="E446" s="20">
        <v>40.875</v>
      </c>
      <c r="F446" s="20">
        <v>40.564999999999998</v>
      </c>
      <c r="G446" s="20">
        <v>52.38</v>
      </c>
      <c r="H446" s="20">
        <f t="shared" si="14"/>
        <v>34.387</v>
      </c>
      <c r="I446" s="5"/>
      <c r="J446" s="19">
        <v>306.4468</v>
      </c>
      <c r="K446" s="20">
        <v>34.188000000000002</v>
      </c>
      <c r="L446" s="20">
        <v>41.973399999999998</v>
      </c>
      <c r="M446" s="20">
        <v>41.490699999999997</v>
      </c>
      <c r="N446" s="20">
        <v>58.348199999999999</v>
      </c>
      <c r="O446" s="20">
        <f t="shared" si="15"/>
        <v>36.074012500000002</v>
      </c>
      <c r="P446" s="7"/>
      <c r="Q446" s="13"/>
      <c r="R446" s="14"/>
      <c r="S446" s="14"/>
      <c r="T446" s="27"/>
      <c r="U446" s="28">
        <f t="shared" si="13"/>
        <v>0.11394043528064138</v>
      </c>
    </row>
    <row r="447" spans="2:21" hidden="1" x14ac:dyDescent="0.25">
      <c r="B447" s="6" t="s">
        <v>129</v>
      </c>
      <c r="C447" s="29">
        <v>2095.62</v>
      </c>
      <c r="D447" s="30">
        <v>46.698999999999998</v>
      </c>
      <c r="E447" s="30">
        <v>51.646000000000001</v>
      </c>
      <c r="F447" s="30">
        <v>51.475000000000001</v>
      </c>
      <c r="G447" s="16">
        <v>40.81</v>
      </c>
      <c r="H447" s="16">
        <f t="shared" si="14"/>
        <v>47.914375</v>
      </c>
      <c r="I447" s="5"/>
      <c r="J447" s="29">
        <v>1539.1110000000001</v>
      </c>
      <c r="K447" s="30">
        <v>46.573399999999999</v>
      </c>
      <c r="L447" s="30">
        <v>51.315800000000003</v>
      </c>
      <c r="M447" s="30">
        <v>51.133499999999998</v>
      </c>
      <c r="N447" s="16">
        <v>34.868499999999997</v>
      </c>
      <c r="O447" s="16">
        <f t="shared" si="15"/>
        <v>47.736212500000008</v>
      </c>
      <c r="P447" s="7"/>
      <c r="Q447" s="8">
        <f>bdrate(C447:C450,D447:D450,J447:J450,K447:K450)</f>
        <v>-0.36111183599274632</v>
      </c>
      <c r="R447" s="8">
        <f>bdrate(C447:C450,E447:E450,J447:J450,L447:L450)</f>
        <v>-0.37705586220683418</v>
      </c>
      <c r="S447" s="8">
        <f>bdrate(C447:C450,F447:F450,J447:J450,M447:M450)</f>
        <v>-0.3540244539418308</v>
      </c>
      <c r="T447" s="25">
        <f>bdrate(C447:C450,H447:H450,J447:J450,O447:O450)</f>
        <v>-0.36241334505498723</v>
      </c>
      <c r="U447" s="28">
        <f t="shared" si="13"/>
        <v>-0.14558931634403344</v>
      </c>
    </row>
    <row r="448" spans="2:21" hidden="1" x14ac:dyDescent="0.25">
      <c r="B448" s="9"/>
      <c r="C448" s="31">
        <v>1400.57</v>
      </c>
      <c r="D448" s="32">
        <v>45.851999999999997</v>
      </c>
      <c r="E448" s="32">
        <v>50.845999999999997</v>
      </c>
      <c r="F448" s="32">
        <v>50.728000000000002</v>
      </c>
      <c r="G448" s="18">
        <v>46.85</v>
      </c>
      <c r="H448" s="18">
        <f t="shared" si="14"/>
        <v>47.085749999999997</v>
      </c>
      <c r="I448" s="5"/>
      <c r="J448" s="31">
        <v>1022.6479</v>
      </c>
      <c r="K448" s="32">
        <v>45.905799999999999</v>
      </c>
      <c r="L448" s="32">
        <v>50.784199999999998</v>
      </c>
      <c r="M448" s="32">
        <v>50.634900000000002</v>
      </c>
      <c r="N448" s="18">
        <v>43.486800000000002</v>
      </c>
      <c r="O448" s="18">
        <f t="shared" si="15"/>
        <v>47.106737500000001</v>
      </c>
      <c r="P448" s="7"/>
      <c r="Q448" s="10"/>
      <c r="R448" s="11"/>
      <c r="S448" s="11"/>
      <c r="T448" s="26"/>
      <c r="U448" s="28">
        <f t="shared" si="13"/>
        <v>-7.1786552828175004E-2</v>
      </c>
    </row>
    <row r="449" spans="1:21" hidden="1" x14ac:dyDescent="0.25">
      <c r="B449" s="9"/>
      <c r="C449" s="31">
        <v>844</v>
      </c>
      <c r="D449" s="32">
        <v>44.658000000000001</v>
      </c>
      <c r="E449" s="32">
        <v>49.682000000000002</v>
      </c>
      <c r="F449" s="32">
        <v>49.79</v>
      </c>
      <c r="G449" s="18">
        <v>54.48</v>
      </c>
      <c r="H449" s="18">
        <f t="shared" si="14"/>
        <v>45.927500000000002</v>
      </c>
      <c r="I449" s="5"/>
      <c r="J449" s="31">
        <v>611.30970000000002</v>
      </c>
      <c r="K449" s="32">
        <v>44.993400000000001</v>
      </c>
      <c r="L449" s="32">
        <v>50.107300000000002</v>
      </c>
      <c r="M449" s="32">
        <v>50.0777</v>
      </c>
      <c r="N449" s="18">
        <v>56.318199999999997</v>
      </c>
      <c r="O449" s="18">
        <f t="shared" si="15"/>
        <v>46.268174999999999</v>
      </c>
      <c r="P449" s="7"/>
      <c r="Q449" s="10"/>
      <c r="R449" s="11"/>
      <c r="S449" s="11"/>
      <c r="T449" s="26"/>
      <c r="U449" s="28">
        <f t="shared" si="13"/>
        <v>3.3740822320117485E-2</v>
      </c>
    </row>
    <row r="450" spans="1:21" ht="16.5" hidden="1" thickBot="1" x14ac:dyDescent="0.3">
      <c r="B450" s="12"/>
      <c r="C450" s="33">
        <v>424.59</v>
      </c>
      <c r="D450" s="34">
        <v>42.325000000000003</v>
      </c>
      <c r="E450" s="34">
        <v>47.475999999999999</v>
      </c>
      <c r="F450" s="34">
        <v>48.16</v>
      </c>
      <c r="G450" s="20">
        <v>62.41</v>
      </c>
      <c r="H450" s="20">
        <f t="shared" si="14"/>
        <v>43.698250000000002</v>
      </c>
      <c r="I450" s="5"/>
      <c r="J450" s="33">
        <v>300.74650000000003</v>
      </c>
      <c r="K450" s="34">
        <v>43.433599999999998</v>
      </c>
      <c r="L450" s="34">
        <v>48.898000000000003</v>
      </c>
      <c r="M450" s="34">
        <v>49.123699999999999</v>
      </c>
      <c r="N450" s="20">
        <v>84.732799999999997</v>
      </c>
      <c r="O450" s="20">
        <f t="shared" si="15"/>
        <v>44.827912499999996</v>
      </c>
      <c r="P450" s="7"/>
      <c r="Q450" s="13"/>
      <c r="R450" s="14"/>
      <c r="S450" s="14"/>
      <c r="T450" s="27"/>
      <c r="U450" s="28">
        <f t="shared" si="13"/>
        <v>0.35767985899695565</v>
      </c>
    </row>
    <row r="451" spans="1:21" hidden="1" x14ac:dyDescent="0.25">
      <c r="A451" s="6" t="s">
        <v>100</v>
      </c>
      <c r="B451" s="6" t="s">
        <v>77</v>
      </c>
      <c r="C451" s="15">
        <v>974.72</v>
      </c>
      <c r="D451" s="16">
        <v>41.277000000000001</v>
      </c>
      <c r="E451" s="16">
        <v>45.465000000000003</v>
      </c>
      <c r="F451" s="16">
        <v>46.015000000000001</v>
      </c>
      <c r="G451" s="16">
        <v>146.52000000000001</v>
      </c>
      <c r="H451" s="16">
        <f t="shared" si="14"/>
        <v>42.392749999999999</v>
      </c>
      <c r="I451" s="5"/>
      <c r="J451" s="15">
        <v>838.88699999999994</v>
      </c>
      <c r="K451" s="16">
        <v>41.170999999999999</v>
      </c>
      <c r="L451" s="16">
        <v>45.537399999999998</v>
      </c>
      <c r="M451" s="16">
        <v>46.082799999999999</v>
      </c>
      <c r="N451" s="16">
        <v>65.380799999999994</v>
      </c>
      <c r="O451" s="16">
        <f t="shared" si="15"/>
        <v>42.330775000000003</v>
      </c>
      <c r="P451" s="7"/>
      <c r="Q451" s="8">
        <f>bdrate(C451:C454,D451:D454,J451:J454,K451:K454)</f>
        <v>-0.1872350393919272</v>
      </c>
      <c r="R451" s="8">
        <f>bdrate(C451:C454,E451:E454,J451:J454,L451:L454)</f>
        <v>-0.17609550605058233</v>
      </c>
      <c r="S451" s="8">
        <f>bdrate(C451:C454,F451:F454,J451:J454,M451:M454)</f>
        <v>-0.16206807489852171</v>
      </c>
      <c r="T451" s="25">
        <f>bdrate(C451:C454,H451:H454,J451:J454,O451:O454)</f>
        <v>-0.18440319657261961</v>
      </c>
      <c r="U451" s="28">
        <f t="shared" si="13"/>
        <v>-0.55377559377559382</v>
      </c>
    </row>
    <row r="452" spans="1:21" hidden="1" x14ac:dyDescent="0.25">
      <c r="A452" s="9"/>
      <c r="B452" s="9"/>
      <c r="C452" s="17">
        <v>610.55999999999995</v>
      </c>
      <c r="D452" s="18">
        <v>39.252000000000002</v>
      </c>
      <c r="E452" s="18">
        <v>43.777999999999999</v>
      </c>
      <c r="F452" s="18">
        <v>44.311999999999998</v>
      </c>
      <c r="G452" s="18">
        <v>163.33000000000001</v>
      </c>
      <c r="H452" s="18">
        <f t="shared" si="14"/>
        <v>40.450250000000004</v>
      </c>
      <c r="I452" s="5"/>
      <c r="J452" s="17">
        <v>524.78219999999999</v>
      </c>
      <c r="K452" s="18">
        <v>39.292000000000002</v>
      </c>
      <c r="L452" s="18">
        <v>43.973500000000001</v>
      </c>
      <c r="M452" s="18">
        <v>44.503100000000003</v>
      </c>
      <c r="N452" s="18">
        <v>79.129599999999996</v>
      </c>
      <c r="O452" s="18">
        <f t="shared" si="15"/>
        <v>40.528575000000004</v>
      </c>
      <c r="P452" s="7"/>
      <c r="Q452" s="10"/>
      <c r="R452" s="11"/>
      <c r="S452" s="11"/>
      <c r="T452" s="26"/>
      <c r="U452" s="28">
        <f t="shared" si="13"/>
        <v>-0.51552317394232539</v>
      </c>
    </row>
    <row r="453" spans="1:21" hidden="1" x14ac:dyDescent="0.25">
      <c r="B453" s="9"/>
      <c r="C453" s="17">
        <v>366.44</v>
      </c>
      <c r="D453" s="18">
        <v>36.893999999999998</v>
      </c>
      <c r="E453" s="18">
        <v>42.085999999999999</v>
      </c>
      <c r="F453" s="18">
        <v>42.588000000000001</v>
      </c>
      <c r="G453" s="18">
        <v>187.18</v>
      </c>
      <c r="H453" s="18">
        <f t="shared" si="14"/>
        <v>38.254750000000001</v>
      </c>
      <c r="I453" s="5"/>
      <c r="J453" s="17">
        <v>310.15260000000001</v>
      </c>
      <c r="K453" s="18">
        <v>37.101799999999997</v>
      </c>
      <c r="L453" s="18">
        <v>42.1768</v>
      </c>
      <c r="M453" s="18">
        <v>42.596400000000003</v>
      </c>
      <c r="N453" s="18">
        <v>98.619299999999996</v>
      </c>
      <c r="O453" s="18">
        <f t="shared" si="15"/>
        <v>38.423000000000002</v>
      </c>
      <c r="P453" s="7"/>
      <c r="Q453" s="10"/>
      <c r="R453" s="11"/>
      <c r="S453" s="11"/>
      <c r="T453" s="26"/>
      <c r="U453" s="28">
        <f t="shared" si="13"/>
        <v>-0.47313121059942304</v>
      </c>
    </row>
    <row r="454" spans="1:21" ht="16.5" hidden="1" thickBot="1" x14ac:dyDescent="0.3">
      <c r="B454" s="12"/>
      <c r="C454" s="19">
        <v>183.51</v>
      </c>
      <c r="D454" s="20">
        <v>33.195</v>
      </c>
      <c r="E454" s="20">
        <v>39.853000000000002</v>
      </c>
      <c r="F454" s="20">
        <v>40.271000000000001</v>
      </c>
      <c r="G454" s="20">
        <v>228.83</v>
      </c>
      <c r="H454" s="20">
        <f t="shared" si="14"/>
        <v>34.911750000000005</v>
      </c>
      <c r="I454" s="5"/>
      <c r="J454" s="19">
        <v>153.28739999999999</v>
      </c>
      <c r="K454" s="20">
        <v>34.049900000000001</v>
      </c>
      <c r="L454" s="20">
        <v>39.8459</v>
      </c>
      <c r="M454" s="20">
        <v>40.149299999999997</v>
      </c>
      <c r="N454" s="20">
        <v>132.84620000000001</v>
      </c>
      <c r="O454" s="20">
        <f t="shared" si="15"/>
        <v>35.536825</v>
      </c>
      <c r="P454" s="7"/>
      <c r="Q454" s="13"/>
      <c r="R454" s="14"/>
      <c r="S454" s="14"/>
      <c r="T454" s="27"/>
      <c r="U454" s="28">
        <f t="shared" si="13"/>
        <v>-0.41945461696455882</v>
      </c>
    </row>
    <row r="455" spans="1:21" hidden="1" x14ac:dyDescent="0.25">
      <c r="B455" s="6" t="s">
        <v>78</v>
      </c>
      <c r="C455" s="15">
        <v>1017.73</v>
      </c>
      <c r="D455" s="16">
        <v>43.22</v>
      </c>
      <c r="E455" s="16">
        <v>47.451999999999998</v>
      </c>
      <c r="F455" s="16">
        <v>48.052</v>
      </c>
      <c r="G455" s="16">
        <v>205.13</v>
      </c>
      <c r="H455" s="16">
        <f t="shared" si="14"/>
        <v>44.353000000000002</v>
      </c>
      <c r="I455" s="5"/>
      <c r="J455" s="15">
        <v>849.77279999999996</v>
      </c>
      <c r="K455" s="16">
        <v>43.2789</v>
      </c>
      <c r="L455" s="16">
        <v>48.072899999999997</v>
      </c>
      <c r="M455" s="16">
        <v>48.606200000000001</v>
      </c>
      <c r="N455" s="16">
        <v>76.775400000000005</v>
      </c>
      <c r="O455" s="16">
        <f t="shared" si="15"/>
        <v>44.544062500000003</v>
      </c>
      <c r="P455" s="7"/>
      <c r="Q455" s="8">
        <f>bdrate(C455:C458,D455:D458,J455:J458,K455:K458)</f>
        <v>-0.23289915667462724</v>
      </c>
      <c r="R455" s="8">
        <f>bdrate(C455:C458,E455:E458,J455:J458,L455:L458)</f>
        <v>-0.36108192114518334</v>
      </c>
      <c r="S455" s="8">
        <f>bdrate(C455:C458,F455:F458,J455:J458,M455:M458)</f>
        <v>-0.35468681754852505</v>
      </c>
      <c r="T455" s="25">
        <f>bdrate(C455:C458,H455:H458,J455:J458,O455:O458)</f>
        <v>-0.26254195952351544</v>
      </c>
      <c r="U455" s="28">
        <f t="shared" si="13"/>
        <v>-0.62572319992200076</v>
      </c>
    </row>
    <row r="456" spans="1:21" hidden="1" x14ac:dyDescent="0.25">
      <c r="B456" s="9"/>
      <c r="C456" s="17">
        <v>633.62</v>
      </c>
      <c r="D456" s="18">
        <v>41.781999999999996</v>
      </c>
      <c r="E456" s="18">
        <v>46.104999999999997</v>
      </c>
      <c r="F456" s="18">
        <v>46.850999999999999</v>
      </c>
      <c r="G456" s="18">
        <v>241.98</v>
      </c>
      <c r="H456" s="18">
        <f t="shared" si="14"/>
        <v>42.955999999999996</v>
      </c>
      <c r="I456" s="5"/>
      <c r="J456" s="17">
        <v>530.9778</v>
      </c>
      <c r="K456" s="18">
        <v>41.994599999999998</v>
      </c>
      <c r="L456" s="18">
        <v>46.894300000000001</v>
      </c>
      <c r="M456" s="18">
        <v>47.580500000000001</v>
      </c>
      <c r="N456" s="18">
        <v>99.750600000000006</v>
      </c>
      <c r="O456" s="18">
        <f t="shared" si="15"/>
        <v>43.305300000000003</v>
      </c>
      <c r="P456" s="7"/>
      <c r="Q456" s="10"/>
      <c r="R456" s="11"/>
      <c r="S456" s="11"/>
      <c r="T456" s="26"/>
      <c r="U456" s="28">
        <f t="shared" si="13"/>
        <v>-0.58777336969997518</v>
      </c>
    </row>
    <row r="457" spans="1:21" hidden="1" x14ac:dyDescent="0.25">
      <c r="B457" s="9"/>
      <c r="C457" s="17">
        <v>377.1</v>
      </c>
      <c r="D457" s="18">
        <v>39.951000000000001</v>
      </c>
      <c r="E457" s="18">
        <v>44.451999999999998</v>
      </c>
      <c r="F457" s="18">
        <v>45.362000000000002</v>
      </c>
      <c r="G457" s="18">
        <v>272.85000000000002</v>
      </c>
      <c r="H457" s="18">
        <f t="shared" si="14"/>
        <v>41.190000000000005</v>
      </c>
      <c r="I457" s="5"/>
      <c r="J457" s="17">
        <v>316.32900000000001</v>
      </c>
      <c r="K457" s="18">
        <v>40.303899999999999</v>
      </c>
      <c r="L457" s="18">
        <v>45.390599999999999</v>
      </c>
      <c r="M457" s="18">
        <v>46.1629</v>
      </c>
      <c r="N457" s="18">
        <v>125.7071</v>
      </c>
      <c r="O457" s="18">
        <f t="shared" si="15"/>
        <v>41.672112499999997</v>
      </c>
      <c r="P457" s="7"/>
      <c r="Q457" s="10"/>
      <c r="R457" s="11"/>
      <c r="S457" s="11"/>
      <c r="T457" s="26"/>
      <c r="U457" s="28">
        <f t="shared" si="13"/>
        <v>-0.53928129008612791</v>
      </c>
    </row>
    <row r="458" spans="1:21" ht="16.5" hidden="1" thickBot="1" x14ac:dyDescent="0.3">
      <c r="B458" s="12"/>
      <c r="C458" s="19">
        <v>186.33</v>
      </c>
      <c r="D458" s="20">
        <v>36.944000000000003</v>
      </c>
      <c r="E458" s="20">
        <v>42.154000000000003</v>
      </c>
      <c r="F458" s="20">
        <v>43.121000000000002</v>
      </c>
      <c r="G458" s="20">
        <v>320.51</v>
      </c>
      <c r="H458" s="20">
        <f t="shared" si="14"/>
        <v>38.367375000000003</v>
      </c>
      <c r="I458" s="5"/>
      <c r="J458" s="19">
        <v>154.00559999999999</v>
      </c>
      <c r="K458" s="20">
        <v>37.466299999999997</v>
      </c>
      <c r="L458" s="20">
        <v>42.810499999999998</v>
      </c>
      <c r="M458" s="20">
        <v>43.7789</v>
      </c>
      <c r="N458" s="20">
        <v>175.5926</v>
      </c>
      <c r="O458" s="20">
        <f t="shared" si="15"/>
        <v>38.923400000000001</v>
      </c>
      <c r="P458" s="7"/>
      <c r="Q458" s="13"/>
      <c r="R458" s="14"/>
      <c r="S458" s="14"/>
      <c r="T458" s="27"/>
      <c r="U458" s="28">
        <f t="shared" si="13"/>
        <v>-0.4521462668871486</v>
      </c>
    </row>
    <row r="459" spans="1:21" hidden="1" x14ac:dyDescent="0.25">
      <c r="B459" s="6" t="s">
        <v>79</v>
      </c>
      <c r="C459" s="15">
        <v>1287.69</v>
      </c>
      <c r="D459" s="16">
        <v>41.38</v>
      </c>
      <c r="E459" s="16">
        <v>47.567999999999998</v>
      </c>
      <c r="F459" s="16">
        <v>47.283999999999999</v>
      </c>
      <c r="G459" s="16">
        <v>147.13</v>
      </c>
      <c r="H459" s="16">
        <f t="shared" si="14"/>
        <v>42.891500000000001</v>
      </c>
      <c r="I459" s="5"/>
      <c r="J459" s="15">
        <v>1030.7103999999999</v>
      </c>
      <c r="K459" s="16">
        <v>41.506</v>
      </c>
      <c r="L459" s="16">
        <v>47.914900000000003</v>
      </c>
      <c r="M459" s="16">
        <v>47.500999999999998</v>
      </c>
      <c r="N459" s="16">
        <v>67.313699999999997</v>
      </c>
      <c r="O459" s="16">
        <f t="shared" si="15"/>
        <v>43.056487499999996</v>
      </c>
      <c r="P459" s="7"/>
      <c r="Q459" s="8">
        <f>bdrate(C459:C462,D459:D462,J459:J462,K459:K462)</f>
        <v>-0.28681085540393025</v>
      </c>
      <c r="R459" s="8">
        <f>bdrate(C459:C462,E459:E462,J459:J462,L459:L462)</f>
        <v>-0.23673383449556851</v>
      </c>
      <c r="S459" s="8">
        <f>bdrate(C459:C462,F459:F462,J459:J462,M459:M462)</f>
        <v>-0.17799946687885637</v>
      </c>
      <c r="T459" s="25">
        <f>bdrate(C459:C462,H459:H462,J459:J462,O459:O462)</f>
        <v>-0.27565460739520109</v>
      </c>
      <c r="U459" s="28">
        <f t="shared" si="13"/>
        <v>-0.54248827567457347</v>
      </c>
    </row>
    <row r="460" spans="1:21" hidden="1" x14ac:dyDescent="0.25">
      <c r="B460" s="9"/>
      <c r="C460" s="17">
        <v>771.53</v>
      </c>
      <c r="D460" s="18">
        <v>40.405000000000001</v>
      </c>
      <c r="E460" s="18">
        <v>47.12</v>
      </c>
      <c r="F460" s="18">
        <v>46.932000000000002</v>
      </c>
      <c r="G460" s="18">
        <v>173.1</v>
      </c>
      <c r="H460" s="18">
        <f t="shared" si="14"/>
        <v>42.060250000000003</v>
      </c>
      <c r="I460" s="5"/>
      <c r="J460" s="17">
        <v>612.65729999999996</v>
      </c>
      <c r="K460" s="18">
        <v>40.659700000000001</v>
      </c>
      <c r="L460" s="18">
        <v>47.349800000000002</v>
      </c>
      <c r="M460" s="18">
        <v>47.037599999999998</v>
      </c>
      <c r="N460" s="18">
        <v>86.063699999999997</v>
      </c>
      <c r="O460" s="18">
        <f t="shared" si="15"/>
        <v>42.293199999999999</v>
      </c>
      <c r="P460" s="7"/>
      <c r="Q460" s="10"/>
      <c r="R460" s="11"/>
      <c r="S460" s="11"/>
      <c r="T460" s="26"/>
      <c r="U460" s="28">
        <f t="shared" si="13"/>
        <v>-0.50280935875216637</v>
      </c>
    </row>
    <row r="461" spans="1:21" hidden="1" x14ac:dyDescent="0.25">
      <c r="B461" s="9"/>
      <c r="C461" s="17">
        <v>513.24</v>
      </c>
      <c r="D461" s="18">
        <v>39.533000000000001</v>
      </c>
      <c r="E461" s="18">
        <v>46.667999999999999</v>
      </c>
      <c r="F461" s="18">
        <v>46.597000000000001</v>
      </c>
      <c r="G461" s="18">
        <v>193.57</v>
      </c>
      <c r="H461" s="18">
        <f t="shared" si="14"/>
        <v>41.307874999999996</v>
      </c>
      <c r="I461" s="5"/>
      <c r="J461" s="17">
        <v>406.3546</v>
      </c>
      <c r="K461" s="18">
        <v>39.804600000000001</v>
      </c>
      <c r="L461" s="18">
        <v>46.720599999999997</v>
      </c>
      <c r="M461" s="18">
        <v>46.534399999999998</v>
      </c>
      <c r="N461" s="18">
        <v>104.0026</v>
      </c>
      <c r="O461" s="18">
        <f t="shared" si="15"/>
        <v>41.510325000000002</v>
      </c>
      <c r="P461" s="7"/>
      <c r="Q461" s="10"/>
      <c r="R461" s="11"/>
      <c r="S461" s="11"/>
      <c r="T461" s="26"/>
      <c r="U461" s="28">
        <f t="shared" si="13"/>
        <v>-0.46271323035594358</v>
      </c>
    </row>
    <row r="462" spans="1:21" ht="16.5" hidden="1" thickBot="1" x14ac:dyDescent="0.3">
      <c r="B462" s="12"/>
      <c r="C462" s="19">
        <v>255.13</v>
      </c>
      <c r="D462" s="20">
        <v>37.441000000000003</v>
      </c>
      <c r="E462" s="20">
        <v>45.481999999999999</v>
      </c>
      <c r="F462" s="20">
        <v>45.567</v>
      </c>
      <c r="G462" s="20">
        <v>223.1</v>
      </c>
      <c r="H462" s="20">
        <f t="shared" si="14"/>
        <v>39.461875000000006</v>
      </c>
      <c r="I462" s="5"/>
      <c r="J462" s="19">
        <v>203.33250000000001</v>
      </c>
      <c r="K462" s="20">
        <v>37.7256</v>
      </c>
      <c r="L462" s="20">
        <v>45.1633</v>
      </c>
      <c r="M462" s="20">
        <v>45.2196</v>
      </c>
      <c r="N462" s="20">
        <v>142.3509</v>
      </c>
      <c r="O462" s="20">
        <f t="shared" si="15"/>
        <v>39.592062500000004</v>
      </c>
      <c r="P462" s="7"/>
      <c r="Q462" s="13"/>
      <c r="R462" s="14"/>
      <c r="S462" s="14"/>
      <c r="T462" s="27"/>
      <c r="U462" s="28">
        <f t="shared" si="13"/>
        <v>-0.36194128193635139</v>
      </c>
    </row>
    <row r="463" spans="1:21" hidden="1" x14ac:dyDescent="0.25">
      <c r="B463" s="6" t="s">
        <v>80</v>
      </c>
      <c r="C463" s="15">
        <v>1300.04</v>
      </c>
      <c r="D463" s="16">
        <v>40.097999999999999</v>
      </c>
      <c r="E463" s="16">
        <v>46.795000000000002</v>
      </c>
      <c r="F463" s="16">
        <v>46.615000000000002</v>
      </c>
      <c r="G463" s="16">
        <v>87.01</v>
      </c>
      <c r="H463" s="16">
        <f t="shared" si="14"/>
        <v>41.749749999999999</v>
      </c>
      <c r="I463" s="5"/>
      <c r="J463" s="15">
        <v>1032.8384000000001</v>
      </c>
      <c r="K463" s="16">
        <v>40.110599999999998</v>
      </c>
      <c r="L463" s="16">
        <v>46.502099999999999</v>
      </c>
      <c r="M463" s="16">
        <v>46.327599999999997</v>
      </c>
      <c r="N463" s="16">
        <v>42.785299999999999</v>
      </c>
      <c r="O463" s="16">
        <f t="shared" si="15"/>
        <v>41.686662499999997</v>
      </c>
      <c r="P463" s="7"/>
      <c r="Q463" s="8">
        <f>bdrate(C463:C466,D463:D466,J463:J466,K463:K466)</f>
        <v>-0.293153690428817</v>
      </c>
      <c r="R463" s="8">
        <f>bdrate(C463:C466,E463:E466,J463:J466,L463:L466)</f>
        <v>-0.19800605270018423</v>
      </c>
      <c r="S463" s="8">
        <f>bdrate(C463:C466,F463:F466,J463:J466,M463:M466)</f>
        <v>-0.20324524870053728</v>
      </c>
      <c r="T463" s="25">
        <f>bdrate(C463:C466,H463:H466,J463:J466,O463:O466)</f>
        <v>-0.27779974348358549</v>
      </c>
      <c r="U463" s="28">
        <f t="shared" si="13"/>
        <v>-0.50827146305022419</v>
      </c>
    </row>
    <row r="464" spans="1:21" hidden="1" x14ac:dyDescent="0.25">
      <c r="B464" s="9"/>
      <c r="C464" s="17">
        <v>774.07</v>
      </c>
      <c r="D464" s="18">
        <v>38.284999999999997</v>
      </c>
      <c r="E464" s="18">
        <v>45.731999999999999</v>
      </c>
      <c r="F464" s="18">
        <v>45.570999999999998</v>
      </c>
      <c r="G464" s="18">
        <v>100.09</v>
      </c>
      <c r="H464" s="18">
        <f t="shared" si="14"/>
        <v>40.126625000000004</v>
      </c>
      <c r="I464" s="5"/>
      <c r="J464" s="17">
        <v>615.78390000000002</v>
      </c>
      <c r="K464" s="18">
        <v>38.532699999999998</v>
      </c>
      <c r="L464" s="18">
        <v>45.508600000000001</v>
      </c>
      <c r="M464" s="18">
        <v>45.411000000000001</v>
      </c>
      <c r="N464" s="18">
        <v>54.307600000000001</v>
      </c>
      <c r="O464" s="18">
        <f t="shared" si="15"/>
        <v>40.264474999999997</v>
      </c>
      <c r="P464" s="7"/>
      <c r="Q464" s="10"/>
      <c r="R464" s="11"/>
      <c r="S464" s="11"/>
      <c r="T464" s="26"/>
      <c r="U464" s="28">
        <f t="shared" si="13"/>
        <v>-0.45741232890398642</v>
      </c>
    </row>
    <row r="465" spans="2:21" hidden="1" x14ac:dyDescent="0.25">
      <c r="B465" s="9"/>
      <c r="C465" s="17">
        <v>512.36</v>
      </c>
      <c r="D465" s="18">
        <v>36.691000000000003</v>
      </c>
      <c r="E465" s="18">
        <v>44.667000000000002</v>
      </c>
      <c r="F465" s="18">
        <v>44.573999999999998</v>
      </c>
      <c r="G465" s="18">
        <v>111.1</v>
      </c>
      <c r="H465" s="18">
        <f t="shared" si="14"/>
        <v>38.673375</v>
      </c>
      <c r="I465" s="5"/>
      <c r="J465" s="17">
        <v>408.51609999999999</v>
      </c>
      <c r="K465" s="18">
        <v>37.186199999999999</v>
      </c>
      <c r="L465" s="18">
        <v>44.669199999999996</v>
      </c>
      <c r="M465" s="18">
        <v>44.572600000000001</v>
      </c>
      <c r="N465" s="18">
        <v>65.841399999999993</v>
      </c>
      <c r="O465" s="18">
        <f t="shared" si="15"/>
        <v>39.044875000000005</v>
      </c>
      <c r="P465" s="7"/>
      <c r="Q465" s="10"/>
      <c r="R465" s="11"/>
      <c r="S465" s="11"/>
      <c r="T465" s="26"/>
      <c r="U465" s="28">
        <f t="shared" si="13"/>
        <v>-0.40736813681368139</v>
      </c>
    </row>
    <row r="466" spans="2:21" ht="16.5" hidden="1" thickBot="1" x14ac:dyDescent="0.3">
      <c r="B466" s="12"/>
      <c r="C466" s="19">
        <v>254.22</v>
      </c>
      <c r="D466" s="20">
        <v>33.503</v>
      </c>
      <c r="E466" s="20">
        <v>42.55</v>
      </c>
      <c r="F466" s="20">
        <v>42.527999999999999</v>
      </c>
      <c r="G466" s="20">
        <v>133.38999999999999</v>
      </c>
      <c r="H466" s="20">
        <f t="shared" si="14"/>
        <v>35.762</v>
      </c>
      <c r="I466" s="5"/>
      <c r="J466" s="19">
        <v>202.5487</v>
      </c>
      <c r="K466" s="20">
        <v>34.740099999999998</v>
      </c>
      <c r="L466" s="20">
        <v>43.266100000000002</v>
      </c>
      <c r="M466" s="20">
        <v>43.201700000000002</v>
      </c>
      <c r="N466" s="20">
        <v>88.673500000000004</v>
      </c>
      <c r="O466" s="20">
        <f t="shared" si="15"/>
        <v>36.863549999999996</v>
      </c>
      <c r="P466" s="7"/>
      <c r="Q466" s="13"/>
      <c r="R466" s="14"/>
      <c r="S466" s="14"/>
      <c r="T466" s="27"/>
      <c r="U466" s="28">
        <f t="shared" si="13"/>
        <v>-0.33523127670739927</v>
      </c>
    </row>
    <row r="467" spans="2:21" hidden="1" x14ac:dyDescent="0.25">
      <c r="B467" s="6" t="s">
        <v>81</v>
      </c>
      <c r="C467" s="15">
        <v>1474.55</v>
      </c>
      <c r="D467" s="16">
        <v>43.383000000000003</v>
      </c>
      <c r="E467" s="16">
        <v>44.603999999999999</v>
      </c>
      <c r="F467" s="16">
        <v>45.015999999999998</v>
      </c>
      <c r="G467" s="16">
        <v>101.75</v>
      </c>
      <c r="H467" s="16">
        <f t="shared" si="14"/>
        <v>43.739750000000001</v>
      </c>
      <c r="I467" s="5"/>
      <c r="J467" s="15">
        <v>1067.5224000000001</v>
      </c>
      <c r="K467" s="16">
        <v>42.442700000000002</v>
      </c>
      <c r="L467" s="16">
        <v>44.202399999999997</v>
      </c>
      <c r="M467" s="16">
        <v>44.600499999999997</v>
      </c>
      <c r="N467" s="16">
        <v>49.5246</v>
      </c>
      <c r="O467" s="16">
        <f t="shared" si="15"/>
        <v>42.932387500000004</v>
      </c>
      <c r="P467" s="7"/>
      <c r="Q467" s="8">
        <f>bdrate(C467:C470,D467:D470,J467:J470,K467:K470)</f>
        <v>-0.22485755734934099</v>
      </c>
      <c r="R467" s="8">
        <f>bdrate(C467:C470,E467:E470,J467:J470,L467:L470)</f>
        <v>-0.25786202579356055</v>
      </c>
      <c r="S467" s="8">
        <f>bdrate(C467:C470,F467:F470,J467:J470,M467:M470)</f>
        <v>-0.27104906395372075</v>
      </c>
      <c r="T467" s="25">
        <f>bdrate(C467:C470,H467:H470,J467:J470,O467:O470)</f>
        <v>-0.2323036115346917</v>
      </c>
      <c r="U467" s="28">
        <f t="shared" si="13"/>
        <v>-0.51327174447174451</v>
      </c>
    </row>
    <row r="468" spans="2:21" hidden="1" x14ac:dyDescent="0.25">
      <c r="B468" s="9"/>
      <c r="C468" s="17">
        <v>888.6</v>
      </c>
      <c r="D468" s="18">
        <v>40.917000000000002</v>
      </c>
      <c r="E468" s="18">
        <v>42.856000000000002</v>
      </c>
      <c r="F468" s="18">
        <v>43.207999999999998</v>
      </c>
      <c r="G468" s="18">
        <v>116.55</v>
      </c>
      <c r="H468" s="18">
        <f t="shared" si="14"/>
        <v>41.445750000000004</v>
      </c>
      <c r="I468" s="5"/>
      <c r="J468" s="17">
        <v>647.38440000000003</v>
      </c>
      <c r="K468" s="18">
        <v>40.280099999999997</v>
      </c>
      <c r="L468" s="18">
        <v>42.702800000000003</v>
      </c>
      <c r="M468" s="18">
        <v>43.09</v>
      </c>
      <c r="N468" s="18">
        <v>59.894599999999997</v>
      </c>
      <c r="O468" s="18">
        <f t="shared" si="15"/>
        <v>40.934174999999996</v>
      </c>
      <c r="P468" s="7"/>
      <c r="Q468" s="10"/>
      <c r="R468" s="11"/>
      <c r="S468" s="11"/>
      <c r="T468" s="26"/>
      <c r="U468" s="28">
        <f t="shared" si="13"/>
        <v>-0.48610381810381814</v>
      </c>
    </row>
    <row r="469" spans="2:21" hidden="1" x14ac:dyDescent="0.25">
      <c r="B469" s="9"/>
      <c r="C469" s="17">
        <v>587.92999999999995</v>
      </c>
      <c r="D469" s="18">
        <v>38.779000000000003</v>
      </c>
      <c r="E469" s="18">
        <v>41.491999999999997</v>
      </c>
      <c r="F469" s="18">
        <v>41.752000000000002</v>
      </c>
      <c r="G469" s="18">
        <v>129.19999999999999</v>
      </c>
      <c r="H469" s="18">
        <f t="shared" si="14"/>
        <v>39.489750000000008</v>
      </c>
      <c r="I469" s="5"/>
      <c r="J469" s="17">
        <v>424.91079999999999</v>
      </c>
      <c r="K469" s="18">
        <v>38.450299999999999</v>
      </c>
      <c r="L469" s="18">
        <v>41.469099999999997</v>
      </c>
      <c r="M469" s="18">
        <v>41.7928</v>
      </c>
      <c r="N469" s="18">
        <v>69.832400000000007</v>
      </c>
      <c r="O469" s="18">
        <f t="shared" si="15"/>
        <v>39.245462499999995</v>
      </c>
      <c r="P469" s="7"/>
      <c r="Q469" s="10"/>
      <c r="R469" s="11"/>
      <c r="S469" s="11"/>
      <c r="T469" s="26"/>
      <c r="U469" s="28">
        <f t="shared" si="13"/>
        <v>-0.459501547987616</v>
      </c>
    </row>
    <row r="470" spans="2:21" ht="16.5" hidden="1" thickBot="1" x14ac:dyDescent="0.3">
      <c r="B470" s="12"/>
      <c r="C470" s="19">
        <v>291.52999999999997</v>
      </c>
      <c r="D470" s="20">
        <v>34.689</v>
      </c>
      <c r="E470" s="20">
        <v>39.206000000000003</v>
      </c>
      <c r="F470" s="20">
        <v>39.353999999999999</v>
      </c>
      <c r="G470" s="20">
        <v>154.08000000000001</v>
      </c>
      <c r="H470" s="20">
        <f t="shared" si="14"/>
        <v>35.836750000000002</v>
      </c>
      <c r="I470" s="5"/>
      <c r="J470" s="19">
        <v>209.88040000000001</v>
      </c>
      <c r="K470" s="20">
        <v>35.196100000000001</v>
      </c>
      <c r="L470" s="20">
        <v>39.2776</v>
      </c>
      <c r="M470" s="20">
        <v>39.550899999999999</v>
      </c>
      <c r="N470" s="20">
        <v>95.383399999999995</v>
      </c>
      <c r="O470" s="20">
        <f t="shared" si="15"/>
        <v>36.250637500000003</v>
      </c>
      <c r="P470" s="7"/>
      <c r="Q470" s="13"/>
      <c r="R470" s="14"/>
      <c r="S470" s="14"/>
      <c r="T470" s="27"/>
      <c r="U470" s="28">
        <f t="shared" si="13"/>
        <v>-0.38094885773624099</v>
      </c>
    </row>
    <row r="471" spans="2:21" hidden="1" x14ac:dyDescent="0.25">
      <c r="B471" s="6" t="s">
        <v>82</v>
      </c>
      <c r="C471" s="29">
        <v>1261.8399999999999</v>
      </c>
      <c r="D471" s="30">
        <v>40.951000000000001</v>
      </c>
      <c r="E471" s="30">
        <v>43.933</v>
      </c>
      <c r="F471" s="30">
        <v>44.899000000000001</v>
      </c>
      <c r="G471" s="16">
        <v>148.32</v>
      </c>
      <c r="H471" s="16">
        <f t="shared" si="14"/>
        <v>41.817250000000001</v>
      </c>
      <c r="I471" s="5"/>
      <c r="J471" s="29">
        <v>1044.7056</v>
      </c>
      <c r="K471" s="30">
        <v>40.959299999999999</v>
      </c>
      <c r="L471" s="30">
        <v>44.177100000000003</v>
      </c>
      <c r="M471" s="30">
        <v>45.3977</v>
      </c>
      <c r="N471" s="16">
        <v>69.959400000000002</v>
      </c>
      <c r="O471" s="16">
        <f t="shared" si="15"/>
        <v>41.916325000000001</v>
      </c>
      <c r="P471" s="7"/>
      <c r="Q471" s="8">
        <f>bdrate(C471:C474,D471:D474,J471:J474,K471:K474)</f>
        <v>-0.18160819469847289</v>
      </c>
      <c r="R471" s="8">
        <f>bdrate(C471:C474,E471:E474,J471:J474,L471:L474)</f>
        <v>-0.24541830203919279</v>
      </c>
      <c r="S471" s="8">
        <f>bdrate(C471:C474,F471:F474,J471:J474,M471:M474)</f>
        <v>-0.30015062327958331</v>
      </c>
      <c r="T471" s="25">
        <f>bdrate(C471:C474,H471:H474,J471:J474,O471:O474)</f>
        <v>-0.20088565148331561</v>
      </c>
      <c r="U471" s="28">
        <f t="shared" si="13"/>
        <v>-0.52832119741100325</v>
      </c>
    </row>
    <row r="472" spans="2:21" hidden="1" x14ac:dyDescent="0.25">
      <c r="B472" s="9"/>
      <c r="C472" s="31">
        <v>762.16</v>
      </c>
      <c r="D472" s="32">
        <v>39.811999999999998</v>
      </c>
      <c r="E472" s="32">
        <v>43.241999999999997</v>
      </c>
      <c r="F472" s="32">
        <v>44.082999999999998</v>
      </c>
      <c r="G472" s="18">
        <v>169.61</v>
      </c>
      <c r="H472" s="18">
        <f t="shared" si="14"/>
        <v>40.774625</v>
      </c>
      <c r="I472" s="5"/>
      <c r="J472" s="31">
        <v>617.38639999999998</v>
      </c>
      <c r="K472" s="32">
        <v>39.750599999999999</v>
      </c>
      <c r="L472" s="32">
        <v>43.418399999999998</v>
      </c>
      <c r="M472" s="32">
        <v>44.480699999999999</v>
      </c>
      <c r="N472" s="18">
        <v>91.575100000000006</v>
      </c>
      <c r="O472" s="18">
        <f t="shared" si="15"/>
        <v>40.800337500000005</v>
      </c>
      <c r="P472" s="7"/>
      <c r="Q472" s="10"/>
      <c r="R472" s="11"/>
      <c r="S472" s="11"/>
      <c r="T472" s="26"/>
      <c r="U472" s="28">
        <f t="shared" si="13"/>
        <v>-0.4600843110665645</v>
      </c>
    </row>
    <row r="473" spans="2:21" hidden="1" x14ac:dyDescent="0.25">
      <c r="B473" s="9"/>
      <c r="C473" s="31">
        <v>513.91999999999996</v>
      </c>
      <c r="D473" s="32">
        <v>38.771999999999998</v>
      </c>
      <c r="E473" s="32">
        <v>42.582000000000001</v>
      </c>
      <c r="F473" s="32">
        <v>43.332000000000001</v>
      </c>
      <c r="G473" s="18">
        <v>187.41</v>
      </c>
      <c r="H473" s="18">
        <f t="shared" si="14"/>
        <v>39.818249999999999</v>
      </c>
      <c r="I473" s="5"/>
      <c r="J473" s="31">
        <v>410.0548</v>
      </c>
      <c r="K473" s="32">
        <v>38.668199999999999</v>
      </c>
      <c r="L473" s="32">
        <v>42.675199999999997</v>
      </c>
      <c r="M473" s="32">
        <v>43.611600000000003</v>
      </c>
      <c r="N473" s="18">
        <v>108.6484</v>
      </c>
      <c r="O473" s="18">
        <f t="shared" si="15"/>
        <v>39.786999999999999</v>
      </c>
      <c r="P473" s="7"/>
      <c r="Q473" s="10"/>
      <c r="R473" s="11"/>
      <c r="S473" s="11"/>
      <c r="T473" s="26"/>
      <c r="U473" s="28">
        <f t="shared" si="13"/>
        <v>-0.42026359319139855</v>
      </c>
    </row>
    <row r="474" spans="2:21" ht="16.5" hidden="1" thickBot="1" x14ac:dyDescent="0.3">
      <c r="B474" s="12"/>
      <c r="C474" s="33">
        <v>260.49</v>
      </c>
      <c r="D474" s="34">
        <v>36.378999999999998</v>
      </c>
      <c r="E474" s="34">
        <v>41.164999999999999</v>
      </c>
      <c r="F474" s="34">
        <v>41.731000000000002</v>
      </c>
      <c r="G474" s="20">
        <v>218.05</v>
      </c>
      <c r="H474" s="20">
        <f t="shared" si="14"/>
        <v>37.646250000000002</v>
      </c>
      <c r="I474" s="5"/>
      <c r="J474" s="33">
        <v>202.87559999999999</v>
      </c>
      <c r="K474" s="34">
        <v>36.358800000000002</v>
      </c>
      <c r="L474" s="34">
        <v>41.1066</v>
      </c>
      <c r="M474" s="34">
        <v>41.7712</v>
      </c>
      <c r="N474" s="20">
        <v>153.3742</v>
      </c>
      <c r="O474" s="20">
        <f t="shared" si="15"/>
        <v>37.628825000000006</v>
      </c>
      <c r="P474" s="7"/>
      <c r="Q474" s="13"/>
      <c r="R474" s="14"/>
      <c r="S474" s="14"/>
      <c r="T474" s="27"/>
      <c r="U474" s="28">
        <f t="shared" si="13"/>
        <v>-0.29660995184590694</v>
      </c>
    </row>
    <row r="475" spans="2:21" hidden="1" x14ac:dyDescent="0.25">
      <c r="B475" s="6" t="s">
        <v>83</v>
      </c>
      <c r="C475" s="15">
        <v>1437.39</v>
      </c>
      <c r="D475" s="16">
        <v>43.35</v>
      </c>
      <c r="E475" s="16">
        <v>45.749000000000002</v>
      </c>
      <c r="F475" s="16">
        <v>45.780999999999999</v>
      </c>
      <c r="G475" s="16">
        <v>70.790000000000006</v>
      </c>
      <c r="H475" s="16">
        <f t="shared" si="14"/>
        <v>43.953750000000007</v>
      </c>
      <c r="I475" s="5"/>
      <c r="J475" s="15">
        <v>1187.2861</v>
      </c>
      <c r="K475" s="16">
        <v>43.462200000000003</v>
      </c>
      <c r="L475" s="16">
        <v>45.784300000000002</v>
      </c>
      <c r="M475" s="16">
        <v>45.751300000000001</v>
      </c>
      <c r="N475" s="16">
        <v>33.995100000000001</v>
      </c>
      <c r="O475" s="16">
        <f t="shared" si="15"/>
        <v>44.038600000000002</v>
      </c>
      <c r="P475" s="7"/>
      <c r="Q475" s="8">
        <f>bdrate(C475:C478,D475:D478,J475:J478,K475:K478)</f>
        <v>-0.29335609768242543</v>
      </c>
      <c r="R475" s="8">
        <f>bdrate(C475:C478,E475:E478,J475:J478,L475:L478)</f>
        <v>-0.30920083310106183</v>
      </c>
      <c r="S475" s="8">
        <f>bdrate(C475:C478,F475:F478,J475:J478,M475:M478)</f>
        <v>-0.28518454572625318</v>
      </c>
      <c r="T475" s="25">
        <f>bdrate(C475:C478,H475:H478,J475:J478,O475:O478)</f>
        <v>-0.29395160811498666</v>
      </c>
      <c r="U475" s="28">
        <f t="shared" si="13"/>
        <v>-0.5197753920045205</v>
      </c>
    </row>
    <row r="476" spans="2:21" hidden="1" x14ac:dyDescent="0.25">
      <c r="B476" s="9"/>
      <c r="C476" s="17">
        <v>964.79</v>
      </c>
      <c r="D476" s="18">
        <v>41.56</v>
      </c>
      <c r="E476" s="18">
        <v>44.66</v>
      </c>
      <c r="F476" s="18">
        <v>44.741</v>
      </c>
      <c r="G476" s="18">
        <v>78.81</v>
      </c>
      <c r="H476" s="18">
        <f t="shared" si="14"/>
        <v>42.345124999999996</v>
      </c>
      <c r="I476" s="5"/>
      <c r="J476" s="17">
        <v>787.34690000000001</v>
      </c>
      <c r="K476" s="18">
        <v>41.949399999999997</v>
      </c>
      <c r="L476" s="18">
        <v>44.937399999999997</v>
      </c>
      <c r="M476" s="18">
        <v>44.938800000000001</v>
      </c>
      <c r="N476" s="18">
        <v>40.950000000000003</v>
      </c>
      <c r="O476" s="18">
        <f t="shared" si="15"/>
        <v>42.696574999999996</v>
      </c>
      <c r="P476" s="7"/>
      <c r="Q476" s="10"/>
      <c r="R476" s="11"/>
      <c r="S476" s="11"/>
      <c r="T476" s="26"/>
      <c r="U476" s="28">
        <f t="shared" si="13"/>
        <v>-0.48039588884659307</v>
      </c>
    </row>
    <row r="477" spans="2:21" hidden="1" x14ac:dyDescent="0.25">
      <c r="B477" s="9"/>
      <c r="C477" s="17">
        <v>609.39</v>
      </c>
      <c r="D477" s="18">
        <v>39.247</v>
      </c>
      <c r="E477" s="18">
        <v>43.323999999999998</v>
      </c>
      <c r="F477" s="18">
        <v>43.448</v>
      </c>
      <c r="G477" s="18">
        <v>88.21</v>
      </c>
      <c r="H477" s="18">
        <f t="shared" si="14"/>
        <v>40.281749999999995</v>
      </c>
      <c r="I477" s="5"/>
      <c r="J477" s="17">
        <v>491.25650000000002</v>
      </c>
      <c r="K477" s="18">
        <v>40.062899999999999</v>
      </c>
      <c r="L477" s="18">
        <v>43.892000000000003</v>
      </c>
      <c r="M477" s="18">
        <v>43.889699999999998</v>
      </c>
      <c r="N477" s="18">
        <v>50.549300000000002</v>
      </c>
      <c r="O477" s="18">
        <f t="shared" si="15"/>
        <v>41.019887500000003</v>
      </c>
      <c r="P477" s="7"/>
      <c r="Q477" s="10"/>
      <c r="R477" s="11"/>
      <c r="S477" s="11"/>
      <c r="T477" s="26"/>
      <c r="U477" s="28">
        <f t="shared" si="13"/>
        <v>-0.42694365718172533</v>
      </c>
    </row>
    <row r="478" spans="2:21" ht="16.5" hidden="1" thickBot="1" x14ac:dyDescent="0.3">
      <c r="B478" s="12"/>
      <c r="C478" s="19">
        <v>371.1</v>
      </c>
      <c r="D478" s="20">
        <v>36.389000000000003</v>
      </c>
      <c r="E478" s="20">
        <v>41.878999999999998</v>
      </c>
      <c r="F478" s="20">
        <v>42.006999999999998</v>
      </c>
      <c r="G478" s="20">
        <v>100.79</v>
      </c>
      <c r="H478" s="20">
        <f t="shared" si="14"/>
        <v>37.777500000000003</v>
      </c>
      <c r="I478" s="5"/>
      <c r="J478" s="19">
        <v>296.10449999999997</v>
      </c>
      <c r="K478" s="20">
        <v>37.872999999999998</v>
      </c>
      <c r="L478" s="20">
        <v>42.642000000000003</v>
      </c>
      <c r="M478" s="20">
        <v>42.690600000000003</v>
      </c>
      <c r="N478" s="20">
        <v>63.403500000000001</v>
      </c>
      <c r="O478" s="20">
        <f t="shared" si="15"/>
        <v>39.071325000000002</v>
      </c>
      <c r="P478" s="7"/>
      <c r="Q478" s="13"/>
      <c r="R478" s="14"/>
      <c r="S478" s="14"/>
      <c r="T478" s="27"/>
      <c r="U478" s="28">
        <f t="shared" si="13"/>
        <v>-0.37093461652941762</v>
      </c>
    </row>
    <row r="479" spans="2:21" hidden="1" x14ac:dyDescent="0.25">
      <c r="B479" s="6" t="s">
        <v>84</v>
      </c>
      <c r="C479" s="15">
        <v>2175.5100000000002</v>
      </c>
      <c r="D479" s="16">
        <v>50.844000000000001</v>
      </c>
      <c r="E479" s="16">
        <v>52.686999999999998</v>
      </c>
      <c r="F479" s="16">
        <v>52.814999999999998</v>
      </c>
      <c r="G479" s="16">
        <v>38.119999999999997</v>
      </c>
      <c r="H479" s="16">
        <f t="shared" si="14"/>
        <v>51.320750000000004</v>
      </c>
      <c r="I479" s="5"/>
      <c r="J479" s="15">
        <v>1647.2239</v>
      </c>
      <c r="K479" s="16">
        <v>48.869599999999998</v>
      </c>
      <c r="L479" s="16">
        <v>50.802700000000002</v>
      </c>
      <c r="M479" s="16">
        <v>50.965600000000002</v>
      </c>
      <c r="N479" s="16">
        <v>38.301200000000001</v>
      </c>
      <c r="O479" s="16">
        <f t="shared" si="15"/>
        <v>49.373237500000002</v>
      </c>
      <c r="P479" s="7"/>
      <c r="Q479" s="8">
        <f>bdrate(C479:C482,D479:D482,J479:J482,K479:K482)</f>
        <v>-5.4707319284889699E-2</v>
      </c>
      <c r="R479" s="8">
        <f>bdrate(C479:C482,E479:E482,J479:J482,L479:L482)</f>
        <v>-1.9722557620945547E-2</v>
      </c>
      <c r="S479" s="8">
        <f>bdrate(C479:C482,F479:F482,J479:J482,M479:M482)</f>
        <v>-1.6940851655131484E-2</v>
      </c>
      <c r="T479" s="25">
        <f>bdrate(C479:C482,H479:H482,J479:J482,O479:O482)</f>
        <v>-4.6631490866257064E-2</v>
      </c>
      <c r="U479" s="28">
        <f t="shared" si="13"/>
        <v>4.753410283315951E-3</v>
      </c>
    </row>
    <row r="480" spans="2:21" hidden="1" x14ac:dyDescent="0.25">
      <c r="B480" s="9"/>
      <c r="C480" s="17">
        <v>1463.63</v>
      </c>
      <c r="D480" s="18">
        <v>48.366</v>
      </c>
      <c r="E480" s="18">
        <v>50.508000000000003</v>
      </c>
      <c r="F480" s="18">
        <v>50.686</v>
      </c>
      <c r="G480" s="18">
        <v>65.14</v>
      </c>
      <c r="H480" s="18">
        <f t="shared" si="14"/>
        <v>48.923749999999998</v>
      </c>
      <c r="I480" s="5"/>
      <c r="J480" s="17">
        <v>1085.5735</v>
      </c>
      <c r="K480" s="18">
        <v>46.884900000000002</v>
      </c>
      <c r="L480" s="18">
        <v>48.981200000000001</v>
      </c>
      <c r="M480" s="18">
        <v>49.183500000000002</v>
      </c>
      <c r="N480" s="18">
        <v>44.765300000000003</v>
      </c>
      <c r="O480" s="18">
        <f t="shared" si="15"/>
        <v>47.434262499999996</v>
      </c>
      <c r="P480" s="7"/>
      <c r="Q480" s="10"/>
      <c r="R480" s="11"/>
      <c r="S480" s="11"/>
      <c r="T480" s="26"/>
      <c r="U480" s="28">
        <f t="shared" si="13"/>
        <v>-0.31278323610684672</v>
      </c>
    </row>
    <row r="481" spans="2:21" hidden="1" x14ac:dyDescent="0.25">
      <c r="B481" s="9"/>
      <c r="C481" s="17">
        <v>881.73</v>
      </c>
      <c r="D481" s="18">
        <v>45.484999999999999</v>
      </c>
      <c r="E481" s="18">
        <v>47.951999999999998</v>
      </c>
      <c r="F481" s="18">
        <v>48.195</v>
      </c>
      <c r="G481" s="18">
        <v>74.63</v>
      </c>
      <c r="H481" s="18">
        <f t="shared" si="14"/>
        <v>46.132124999999995</v>
      </c>
      <c r="I481" s="5"/>
      <c r="J481" s="17">
        <v>649.12</v>
      </c>
      <c r="K481" s="18">
        <v>44.091200000000001</v>
      </c>
      <c r="L481" s="18">
        <v>46.5152</v>
      </c>
      <c r="M481" s="18">
        <v>46.785699999999999</v>
      </c>
      <c r="N481" s="18">
        <v>54.806600000000003</v>
      </c>
      <c r="O481" s="18">
        <f t="shared" si="15"/>
        <v>44.731012499999999</v>
      </c>
      <c r="P481" s="7"/>
      <c r="Q481" s="10"/>
      <c r="R481" s="11"/>
      <c r="S481" s="11"/>
      <c r="T481" s="26"/>
      <c r="U481" s="28">
        <f t="shared" si="13"/>
        <v>-0.26562240385903785</v>
      </c>
    </row>
    <row r="482" spans="2:21" ht="16.5" hidden="1" thickBot="1" x14ac:dyDescent="0.3">
      <c r="B482" s="12"/>
      <c r="C482" s="19">
        <v>441.79</v>
      </c>
      <c r="D482" s="20">
        <v>41.396000000000001</v>
      </c>
      <c r="E482" s="20">
        <v>44.255000000000003</v>
      </c>
      <c r="F482" s="20">
        <v>44.615000000000002</v>
      </c>
      <c r="G482" s="20">
        <v>88.32</v>
      </c>
      <c r="H482" s="20">
        <f t="shared" si="14"/>
        <v>42.155750000000005</v>
      </c>
      <c r="I482" s="5"/>
      <c r="J482" s="19">
        <v>328.02519999999998</v>
      </c>
      <c r="K482" s="20">
        <v>40.492100000000001</v>
      </c>
      <c r="L482" s="20">
        <v>43.403300000000002</v>
      </c>
      <c r="M482" s="20">
        <v>43.792299999999997</v>
      </c>
      <c r="N482" s="20">
        <v>72.218999999999994</v>
      </c>
      <c r="O482" s="20">
        <f t="shared" si="15"/>
        <v>41.268525000000004</v>
      </c>
      <c r="P482" s="7"/>
      <c r="Q482" s="13"/>
      <c r="R482" s="14"/>
      <c r="S482" s="14"/>
      <c r="T482" s="27"/>
      <c r="U482" s="28">
        <f t="shared" si="13"/>
        <v>-0.18230298913043477</v>
      </c>
    </row>
    <row r="483" spans="2:21" hidden="1" x14ac:dyDescent="0.25">
      <c r="B483" s="6" t="s">
        <v>85</v>
      </c>
      <c r="C483" s="15">
        <v>1974.76</v>
      </c>
      <c r="D483" s="16">
        <v>49.863999999999997</v>
      </c>
      <c r="E483" s="16">
        <v>51.174999999999997</v>
      </c>
      <c r="F483" s="16">
        <v>51.578000000000003</v>
      </c>
      <c r="G483" s="16">
        <v>44.57</v>
      </c>
      <c r="H483" s="16">
        <f t="shared" si="14"/>
        <v>50.242125000000001</v>
      </c>
      <c r="I483" s="5"/>
      <c r="J483" s="15">
        <v>1581.8271</v>
      </c>
      <c r="K483" s="16">
        <v>48.330300000000001</v>
      </c>
      <c r="L483" s="16">
        <v>49.881399999999999</v>
      </c>
      <c r="M483" s="16">
        <v>50.215299999999999</v>
      </c>
      <c r="N483" s="16">
        <v>43.493499999999997</v>
      </c>
      <c r="O483" s="16">
        <f t="shared" si="15"/>
        <v>48.759812500000002</v>
      </c>
      <c r="P483" s="7"/>
      <c r="Q483" s="8">
        <f>bdrate(C483:C486,D483:D486,J483:J486,K483:K486)</f>
        <v>-4.1923925437769349E-2</v>
      </c>
      <c r="R483" s="8">
        <f>bdrate(C483:C486,E483:E486,J483:J486,L483:L486)</f>
        <v>-8.0038337352128508E-3</v>
      </c>
      <c r="S483" s="8">
        <f>bdrate(C483:C486,F483:F486,J483:J486,M483:M486)</f>
        <v>-1.3606573932564592E-2</v>
      </c>
      <c r="T483" s="25">
        <f>bdrate(C483:C486,H483:H486,J483:J486,O483:O486)</f>
        <v>-3.4948368269960839E-2</v>
      </c>
      <c r="U483" s="28">
        <f t="shared" si="13"/>
        <v>-2.4153017724927145E-2</v>
      </c>
    </row>
    <row r="484" spans="2:21" hidden="1" x14ac:dyDescent="0.25">
      <c r="B484" s="9"/>
      <c r="C484" s="17">
        <v>1304.55</v>
      </c>
      <c r="D484" s="18">
        <v>47.430999999999997</v>
      </c>
      <c r="E484" s="18">
        <v>49.084000000000003</v>
      </c>
      <c r="F484" s="18">
        <v>49.396000000000001</v>
      </c>
      <c r="G484" s="18">
        <v>67.73</v>
      </c>
      <c r="H484" s="18">
        <f t="shared" si="14"/>
        <v>47.883250000000004</v>
      </c>
      <c r="I484" s="5"/>
      <c r="J484" s="17">
        <v>1040.7139999999999</v>
      </c>
      <c r="K484" s="18">
        <v>46.358899999999998</v>
      </c>
      <c r="L484" s="18">
        <v>48.083199999999998</v>
      </c>
      <c r="M484" s="18">
        <v>48.353000000000002</v>
      </c>
      <c r="N484" s="18">
        <v>52.035200000000003</v>
      </c>
      <c r="O484" s="18">
        <f t="shared" si="15"/>
        <v>46.823699999999995</v>
      </c>
      <c r="P484" s="7"/>
      <c r="Q484" s="10"/>
      <c r="R484" s="11"/>
      <c r="S484" s="11"/>
      <c r="T484" s="26"/>
      <c r="U484" s="28">
        <f t="shared" si="13"/>
        <v>-0.23172597076627788</v>
      </c>
    </row>
    <row r="485" spans="2:21" hidden="1" x14ac:dyDescent="0.25">
      <c r="B485" s="9"/>
      <c r="C485" s="17">
        <v>776.95</v>
      </c>
      <c r="D485" s="18">
        <v>44.686</v>
      </c>
      <c r="E485" s="18">
        <v>46.756</v>
      </c>
      <c r="F485" s="18">
        <v>46.973999999999997</v>
      </c>
      <c r="G485" s="18">
        <v>79.489999999999995</v>
      </c>
      <c r="H485" s="18">
        <f t="shared" si="14"/>
        <v>45.230749999999993</v>
      </c>
      <c r="I485" s="5"/>
      <c r="J485" s="17">
        <v>637.2989</v>
      </c>
      <c r="K485" s="18">
        <v>43.934800000000003</v>
      </c>
      <c r="L485" s="18">
        <v>45.930100000000003</v>
      </c>
      <c r="M485" s="18">
        <v>46.124299999999998</v>
      </c>
      <c r="N485" s="18">
        <v>61.305199999999999</v>
      </c>
      <c r="O485" s="18">
        <f t="shared" si="15"/>
        <v>44.457900000000002</v>
      </c>
      <c r="P485" s="7"/>
      <c r="Q485" s="10"/>
      <c r="R485" s="11"/>
      <c r="S485" s="11"/>
      <c r="T485" s="26"/>
      <c r="U485" s="28">
        <f t="shared" si="13"/>
        <v>-0.22876839854069692</v>
      </c>
    </row>
    <row r="486" spans="2:21" ht="16.5" hidden="1" thickBot="1" x14ac:dyDescent="0.3">
      <c r="B486" s="12"/>
      <c r="C486" s="19">
        <v>384.14</v>
      </c>
      <c r="D486" s="20">
        <v>41.05</v>
      </c>
      <c r="E486" s="20">
        <v>43.762</v>
      </c>
      <c r="F486" s="20">
        <v>43.762999999999998</v>
      </c>
      <c r="G486" s="20">
        <v>99.79</v>
      </c>
      <c r="H486" s="20">
        <f t="shared" si="14"/>
        <v>41.728124999999999</v>
      </c>
      <c r="I486" s="5"/>
      <c r="J486" s="19">
        <v>312.24990000000003</v>
      </c>
      <c r="K486" s="20">
        <v>40.49</v>
      </c>
      <c r="L486" s="20">
        <v>43.109200000000001</v>
      </c>
      <c r="M486" s="20">
        <v>43.189399999999999</v>
      </c>
      <c r="N486" s="20">
        <v>76.923100000000005</v>
      </c>
      <c r="O486" s="20">
        <f t="shared" si="15"/>
        <v>41.154824999999995</v>
      </c>
      <c r="P486" s="7"/>
      <c r="Q486" s="13"/>
      <c r="R486" s="14"/>
      <c r="S486" s="14"/>
      <c r="T486" s="27"/>
      <c r="U486" s="28">
        <f t="shared" si="13"/>
        <v>-0.22915021545245015</v>
      </c>
    </row>
    <row r="487" spans="2:21" hidden="1" x14ac:dyDescent="0.25">
      <c r="B487" s="6" t="s">
        <v>86</v>
      </c>
      <c r="C487" s="15">
        <v>2061.34</v>
      </c>
      <c r="D487" s="16">
        <v>41.707000000000001</v>
      </c>
      <c r="E487" s="16">
        <v>44.621000000000002</v>
      </c>
      <c r="F487" s="16">
        <v>43.298999999999999</v>
      </c>
      <c r="G487" s="16">
        <v>58.13</v>
      </c>
      <c r="H487" s="16">
        <f t="shared" si="14"/>
        <v>42.270249999999997</v>
      </c>
      <c r="I487" s="5"/>
      <c r="J487" s="15">
        <v>1578.9682</v>
      </c>
      <c r="K487" s="16">
        <v>39.936300000000003</v>
      </c>
      <c r="L487" s="16">
        <v>42.650799999999997</v>
      </c>
      <c r="M487" s="16">
        <v>41.484400000000001</v>
      </c>
      <c r="N487" s="16">
        <v>28.5791</v>
      </c>
      <c r="O487" s="16">
        <f t="shared" si="15"/>
        <v>40.469124999999998</v>
      </c>
      <c r="P487" s="7"/>
      <c r="Q487" s="8">
        <f>bdrate(C487:C490,D487:D490,J487:J490,K487:K490)</f>
        <v>-0.15469188496213082</v>
      </c>
      <c r="R487" s="8">
        <f>bdrate(C487:C490,E487:E490,J487:J490,L487:L490)</f>
        <v>4.7394941063218621E-2</v>
      </c>
      <c r="S487" s="8">
        <f>bdrate(C487:C490,F487:F490,J487:J490,M487:M490)</f>
        <v>-1.2832609786565419E-2</v>
      </c>
      <c r="T487" s="25">
        <f>bdrate(C487:C490,H487:H490,J487:J490,O487:O490)</f>
        <v>-0.12359427197325135</v>
      </c>
      <c r="U487" s="28">
        <f t="shared" si="13"/>
        <v>-0.50835885085153965</v>
      </c>
    </row>
    <row r="488" spans="2:21" hidden="1" x14ac:dyDescent="0.25">
      <c r="B488" s="9"/>
      <c r="C488" s="17">
        <v>1374.4</v>
      </c>
      <c r="D488" s="18">
        <v>38.889000000000003</v>
      </c>
      <c r="E488" s="18">
        <v>42.308999999999997</v>
      </c>
      <c r="F488" s="18">
        <v>40.83</v>
      </c>
      <c r="G488" s="18">
        <v>63.89</v>
      </c>
      <c r="H488" s="18">
        <f t="shared" si="14"/>
        <v>39.559125000000002</v>
      </c>
      <c r="I488" s="5"/>
      <c r="J488" s="17">
        <v>1054.4155000000001</v>
      </c>
      <c r="K488" s="18">
        <v>37.810499999999998</v>
      </c>
      <c r="L488" s="18">
        <v>40.897399999999998</v>
      </c>
      <c r="M488" s="18">
        <v>39.624099999999999</v>
      </c>
      <c r="N488" s="18">
        <v>33.953899999999997</v>
      </c>
      <c r="O488" s="18">
        <f t="shared" si="15"/>
        <v>38.4230625</v>
      </c>
      <c r="P488" s="7"/>
      <c r="Q488" s="10"/>
      <c r="R488" s="11"/>
      <c r="S488" s="11"/>
      <c r="T488" s="26"/>
      <c r="U488" s="28">
        <f t="shared" si="13"/>
        <v>-0.46855689466270156</v>
      </c>
    </row>
    <row r="489" spans="2:21" hidden="1" x14ac:dyDescent="0.25">
      <c r="B489" s="9"/>
      <c r="C489" s="17">
        <v>824.31</v>
      </c>
      <c r="D489" s="18">
        <v>35.744</v>
      </c>
      <c r="E489" s="18">
        <v>39.978999999999999</v>
      </c>
      <c r="F489" s="18">
        <v>38.445999999999998</v>
      </c>
      <c r="G489" s="18">
        <v>71.92</v>
      </c>
      <c r="H489" s="18">
        <f t="shared" si="14"/>
        <v>36.611125000000001</v>
      </c>
      <c r="I489" s="5"/>
      <c r="J489" s="17">
        <v>632.58119999999997</v>
      </c>
      <c r="K489" s="18">
        <v>35.304499999999997</v>
      </c>
      <c r="L489" s="18">
        <v>38.740699999999997</v>
      </c>
      <c r="M489" s="18">
        <v>37.429699999999997</v>
      </c>
      <c r="N489" s="18">
        <v>40.024900000000002</v>
      </c>
      <c r="O489" s="18">
        <f t="shared" si="15"/>
        <v>35.999674999999996</v>
      </c>
      <c r="P489" s="7"/>
      <c r="Q489" s="10"/>
      <c r="R489" s="11"/>
      <c r="S489" s="11"/>
      <c r="T489" s="26"/>
      <c r="U489" s="28">
        <f t="shared" si="13"/>
        <v>-0.44348025583982198</v>
      </c>
    </row>
    <row r="490" spans="2:21" ht="16.5" hidden="1" thickBot="1" x14ac:dyDescent="0.3">
      <c r="B490" s="12"/>
      <c r="C490" s="19">
        <v>413.61</v>
      </c>
      <c r="D490" s="20">
        <v>31.613</v>
      </c>
      <c r="E490" s="20">
        <v>37.353999999999999</v>
      </c>
      <c r="F490" s="20">
        <v>35.731000000000002</v>
      </c>
      <c r="G490" s="20">
        <v>85.37</v>
      </c>
      <c r="H490" s="20">
        <f t="shared" si="14"/>
        <v>32.845374999999997</v>
      </c>
      <c r="I490" s="5"/>
      <c r="J490" s="19">
        <v>316.31299999999999</v>
      </c>
      <c r="K490" s="20">
        <v>31.9163</v>
      </c>
      <c r="L490" s="20">
        <v>35.9559</v>
      </c>
      <c r="M490" s="20">
        <v>34.668500000000002</v>
      </c>
      <c r="N490" s="20">
        <v>51.541400000000003</v>
      </c>
      <c r="O490" s="20">
        <f t="shared" si="15"/>
        <v>32.765274999999995</v>
      </c>
      <c r="P490" s="7"/>
      <c r="Q490" s="13"/>
      <c r="R490" s="14"/>
      <c r="S490" s="14"/>
      <c r="T490" s="27"/>
      <c r="U490" s="28">
        <f t="shared" si="13"/>
        <v>-0.39625863886611223</v>
      </c>
    </row>
    <row r="491" spans="2:21" hidden="1" x14ac:dyDescent="0.25">
      <c r="B491" s="6" t="s">
        <v>87</v>
      </c>
      <c r="C491" s="15">
        <v>2081.63</v>
      </c>
      <c r="D491" s="16">
        <v>37.796999999999997</v>
      </c>
      <c r="E491" s="16">
        <v>42.401000000000003</v>
      </c>
      <c r="F491" s="16">
        <v>42.56</v>
      </c>
      <c r="G491" s="16">
        <v>49.69</v>
      </c>
      <c r="H491" s="16">
        <f t="shared" si="14"/>
        <v>38.967874999999999</v>
      </c>
      <c r="I491" s="5"/>
      <c r="J491" s="15">
        <v>1569.8879999999999</v>
      </c>
      <c r="K491" s="16">
        <v>37.923000000000002</v>
      </c>
      <c r="L491" s="16">
        <v>43.542700000000004</v>
      </c>
      <c r="M491" s="16">
        <v>43.557099999999998</v>
      </c>
      <c r="N491" s="16">
        <v>39.978700000000003</v>
      </c>
      <c r="O491" s="16">
        <f t="shared" si="15"/>
        <v>39.329725000000003</v>
      </c>
      <c r="P491" s="7"/>
      <c r="Q491" s="8">
        <f>bdrate(C491:C494,D491:D494,J491:J494,K491:K494)</f>
        <v>-0.36041224032360175</v>
      </c>
      <c r="R491" s="8">
        <f>bdrate(C491:C494,E491:E494,J491:J494,L491:L494)</f>
        <v>-0.52727720818676682</v>
      </c>
      <c r="S491" s="8">
        <f>bdrate(C491:C494,F491:F494,J491:J494,M491:M494)</f>
        <v>-0.50012233344468804</v>
      </c>
      <c r="T491" s="25">
        <f>bdrate(C491:C494,H491:H494,J491:J494,O491:O494)</f>
        <v>-0.39843429564693322</v>
      </c>
      <c r="U491" s="28">
        <f t="shared" ref="U491:U518" si="16">(N491-G491)/G491</f>
        <v>-0.19543771382571937</v>
      </c>
    </row>
    <row r="492" spans="2:21" hidden="1" x14ac:dyDescent="0.25">
      <c r="B492" s="9"/>
      <c r="C492" s="17">
        <v>1385.06</v>
      </c>
      <c r="D492" s="18">
        <v>36.466999999999999</v>
      </c>
      <c r="E492" s="18">
        <v>41.29</v>
      </c>
      <c r="F492" s="18">
        <v>41.591000000000001</v>
      </c>
      <c r="G492" s="18">
        <v>55.9</v>
      </c>
      <c r="H492" s="18">
        <f t="shared" si="14"/>
        <v>37.710374999999999</v>
      </c>
      <c r="I492" s="5"/>
      <c r="J492" s="17">
        <v>1037.2711999999999</v>
      </c>
      <c r="K492" s="18">
        <v>36.780500000000004</v>
      </c>
      <c r="L492" s="18">
        <v>42.543799999999997</v>
      </c>
      <c r="M492" s="18">
        <v>42.614199999999997</v>
      </c>
      <c r="N492" s="18">
        <v>48.379300000000001</v>
      </c>
      <c r="O492" s="18">
        <f t="shared" si="15"/>
        <v>38.230125000000001</v>
      </c>
      <c r="P492" s="7"/>
      <c r="Q492" s="10"/>
      <c r="R492" s="11"/>
      <c r="S492" s="11"/>
      <c r="T492" s="26"/>
      <c r="U492" s="28">
        <f t="shared" si="16"/>
        <v>-0.1345384615384615</v>
      </c>
    </row>
    <row r="493" spans="2:21" hidden="1" x14ac:dyDescent="0.25">
      <c r="B493" s="9"/>
      <c r="C493" s="17">
        <v>827.88</v>
      </c>
      <c r="D493" s="18">
        <v>34.857999999999997</v>
      </c>
      <c r="E493" s="18">
        <v>40.078000000000003</v>
      </c>
      <c r="F493" s="18">
        <v>40.548000000000002</v>
      </c>
      <c r="G493" s="18">
        <v>61.05</v>
      </c>
      <c r="H493" s="18">
        <f t="shared" si="14"/>
        <v>36.22175</v>
      </c>
      <c r="I493" s="5"/>
      <c r="J493" s="17">
        <v>618.61440000000005</v>
      </c>
      <c r="K493" s="18">
        <v>35.382800000000003</v>
      </c>
      <c r="L493" s="18">
        <v>41.232700000000001</v>
      </c>
      <c r="M493" s="18">
        <v>41.424300000000002</v>
      </c>
      <c r="N493" s="18">
        <v>61.817399999999999</v>
      </c>
      <c r="O493" s="18">
        <f t="shared" si="15"/>
        <v>36.869225</v>
      </c>
      <c r="P493" s="7"/>
      <c r="Q493" s="10"/>
      <c r="R493" s="11"/>
      <c r="S493" s="11"/>
      <c r="T493" s="26"/>
      <c r="U493" s="28">
        <f t="shared" si="16"/>
        <v>1.2570024570024605E-2</v>
      </c>
    </row>
    <row r="494" spans="2:21" ht="16.5" hidden="1" thickBot="1" x14ac:dyDescent="0.3">
      <c r="B494" s="12"/>
      <c r="C494" s="19">
        <v>410.84</v>
      </c>
      <c r="D494" s="20">
        <v>32.615000000000002</v>
      </c>
      <c r="E494" s="20">
        <v>38.406999999999996</v>
      </c>
      <c r="F494" s="20">
        <v>39.094999999999999</v>
      </c>
      <c r="G494" s="20">
        <v>71.23</v>
      </c>
      <c r="H494" s="20">
        <f t="shared" si="14"/>
        <v>34.149000000000001</v>
      </c>
      <c r="I494" s="5"/>
      <c r="J494" s="19">
        <v>301.69920000000002</v>
      </c>
      <c r="K494" s="20">
        <v>33.438800000000001</v>
      </c>
      <c r="L494" s="20">
        <v>39.278300000000002</v>
      </c>
      <c r="M494" s="20">
        <v>39.717399999999998</v>
      </c>
      <c r="N494" s="20">
        <v>81.477500000000006</v>
      </c>
      <c r="O494" s="20">
        <f t="shared" si="15"/>
        <v>34.953562500000004</v>
      </c>
      <c r="P494" s="7"/>
      <c r="Q494" s="13"/>
      <c r="R494" s="14"/>
      <c r="S494" s="14"/>
      <c r="T494" s="27"/>
      <c r="U494" s="28">
        <f t="shared" si="16"/>
        <v>0.14386494454583745</v>
      </c>
    </row>
    <row r="495" spans="2:21" hidden="1" x14ac:dyDescent="0.25">
      <c r="B495" s="6" t="s">
        <v>88</v>
      </c>
      <c r="C495" s="15">
        <v>2183.29</v>
      </c>
      <c r="D495" s="16">
        <v>34.436999999999998</v>
      </c>
      <c r="E495" s="16">
        <v>38.767000000000003</v>
      </c>
      <c r="F495" s="16">
        <v>41.255000000000003</v>
      </c>
      <c r="G495" s="16">
        <v>54.95</v>
      </c>
      <c r="H495" s="16">
        <f t="shared" si="14"/>
        <v>35.830500000000001</v>
      </c>
      <c r="I495" s="5"/>
      <c r="J495" s="15">
        <v>1548.1264000000001</v>
      </c>
      <c r="K495" s="16">
        <v>34.773499999999999</v>
      </c>
      <c r="L495" s="16">
        <v>39.875900000000001</v>
      </c>
      <c r="M495" s="16">
        <v>42.234099999999998</v>
      </c>
      <c r="N495" s="16">
        <v>45.826000000000001</v>
      </c>
      <c r="O495" s="16">
        <f t="shared" si="15"/>
        <v>36.343874999999997</v>
      </c>
      <c r="P495" s="7"/>
      <c r="Q495" s="8">
        <f>bdrate(C495:C498,D495:D498,J495:J498,K495:K498)</f>
        <v>-0.43604915580777348</v>
      </c>
      <c r="R495" s="8">
        <f>bdrate(C495:C498,E495:E498,J495:J498,L495:L498)</f>
        <v>-0.50834394007698158</v>
      </c>
      <c r="S495" s="8">
        <f>bdrate(C495:C498,F495:F498,J495:J498,M495:M498)</f>
        <v>-0.49645585361457545</v>
      </c>
      <c r="T495" s="25">
        <f>bdrate(C495:C498,H495:H498,J495:J498,O495:O498)</f>
        <v>-0.448845625519664</v>
      </c>
      <c r="U495" s="28">
        <f t="shared" si="16"/>
        <v>-0.16604185623293907</v>
      </c>
    </row>
    <row r="496" spans="2:21" hidden="1" x14ac:dyDescent="0.25">
      <c r="B496" s="9"/>
      <c r="C496" s="17">
        <v>1455.35</v>
      </c>
      <c r="D496" s="18">
        <v>33.225000000000001</v>
      </c>
      <c r="E496" s="18">
        <v>38.072000000000003</v>
      </c>
      <c r="F496" s="18">
        <v>40.713999999999999</v>
      </c>
      <c r="G496" s="18">
        <v>61.63</v>
      </c>
      <c r="H496" s="18">
        <f t="shared" si="14"/>
        <v>34.767000000000003</v>
      </c>
      <c r="I496" s="5"/>
      <c r="J496" s="17">
        <v>1029.3792000000001</v>
      </c>
      <c r="K496" s="18">
        <v>33.719700000000003</v>
      </c>
      <c r="L496" s="18">
        <v>38.9129</v>
      </c>
      <c r="M496" s="18">
        <v>41.381799999999998</v>
      </c>
      <c r="N496" s="18">
        <v>59.429499999999997</v>
      </c>
      <c r="O496" s="18">
        <f t="shared" si="15"/>
        <v>35.326612500000003</v>
      </c>
      <c r="P496" s="7"/>
      <c r="Q496" s="10"/>
      <c r="R496" s="11"/>
      <c r="S496" s="11"/>
      <c r="T496" s="26"/>
      <c r="U496" s="28">
        <f t="shared" si="16"/>
        <v>-3.5705013791984506E-2</v>
      </c>
    </row>
    <row r="497" spans="2:21" hidden="1" x14ac:dyDescent="0.25">
      <c r="B497" s="9"/>
      <c r="C497" s="17">
        <v>880.68</v>
      </c>
      <c r="D497" s="18">
        <v>31.58</v>
      </c>
      <c r="E497" s="18">
        <v>37.271999999999998</v>
      </c>
      <c r="F497" s="18">
        <v>39.965000000000003</v>
      </c>
      <c r="G497" s="18">
        <v>67.36</v>
      </c>
      <c r="H497" s="18">
        <f t="shared" si="14"/>
        <v>33.339624999999998</v>
      </c>
      <c r="I497" s="5"/>
      <c r="J497" s="17">
        <v>609.82320000000004</v>
      </c>
      <c r="K497" s="18">
        <v>32.249099999999999</v>
      </c>
      <c r="L497" s="18">
        <v>37.817700000000002</v>
      </c>
      <c r="M497" s="18">
        <v>40.392400000000002</v>
      </c>
      <c r="N497" s="18">
        <v>77.851299999999995</v>
      </c>
      <c r="O497" s="18">
        <f t="shared" si="15"/>
        <v>33.9630875</v>
      </c>
      <c r="P497" s="7"/>
      <c r="Q497" s="10"/>
      <c r="R497" s="11"/>
      <c r="S497" s="11"/>
      <c r="T497" s="26"/>
      <c r="U497" s="28">
        <f t="shared" si="16"/>
        <v>0.15574970308788591</v>
      </c>
    </row>
    <row r="498" spans="2:21" ht="16.5" hidden="1" thickBot="1" x14ac:dyDescent="0.3">
      <c r="B498" s="12"/>
      <c r="C498" s="19">
        <v>452.61</v>
      </c>
      <c r="D498" s="20">
        <v>29.015000000000001</v>
      </c>
      <c r="E498" s="20">
        <v>36.292999999999999</v>
      </c>
      <c r="F498" s="20">
        <v>39.002000000000002</v>
      </c>
      <c r="G498" s="20">
        <v>71.349999999999994</v>
      </c>
      <c r="H498" s="20">
        <f t="shared" si="14"/>
        <v>31.173125000000002</v>
      </c>
      <c r="I498" s="5"/>
      <c r="J498" s="19">
        <v>292.37040000000002</v>
      </c>
      <c r="K498" s="20">
        <v>30.056000000000001</v>
      </c>
      <c r="L498" s="20">
        <v>36.573</v>
      </c>
      <c r="M498" s="20">
        <v>39.379199999999997</v>
      </c>
      <c r="N498" s="20">
        <v>118.6709</v>
      </c>
      <c r="O498" s="20">
        <f t="shared" si="15"/>
        <v>32.036025000000002</v>
      </c>
      <c r="P498" s="7"/>
      <c r="Q498" s="13"/>
      <c r="R498" s="14"/>
      <c r="S498" s="14"/>
      <c r="T498" s="27"/>
      <c r="U498" s="28">
        <f t="shared" si="16"/>
        <v>0.6632221443587949</v>
      </c>
    </row>
    <row r="499" spans="2:21" hidden="1" x14ac:dyDescent="0.25">
      <c r="B499" s="6" t="s">
        <v>89</v>
      </c>
      <c r="C499" s="15">
        <v>2244.35</v>
      </c>
      <c r="D499" s="16">
        <v>36.774000000000001</v>
      </c>
      <c r="E499" s="16">
        <v>42.237000000000002</v>
      </c>
      <c r="F499" s="16">
        <v>42.01</v>
      </c>
      <c r="G499" s="16">
        <v>42.45</v>
      </c>
      <c r="H499" s="16">
        <f t="shared" ref="H499:H518" si="17">(6*D499+E499+F499)/8</f>
        <v>38.111375000000002</v>
      </c>
      <c r="I499" s="5"/>
      <c r="J499" s="15">
        <v>1541.0527999999999</v>
      </c>
      <c r="K499" s="16">
        <v>36.8872</v>
      </c>
      <c r="L499" s="16">
        <v>42.278500000000001</v>
      </c>
      <c r="M499" s="16">
        <v>42.130099999999999</v>
      </c>
      <c r="N499" s="16">
        <v>40.730400000000003</v>
      </c>
      <c r="O499" s="16">
        <f t="shared" ref="O499:O518" si="18">(6*K499+L499+M499)/8</f>
        <v>38.216475000000003</v>
      </c>
      <c r="P499" s="7"/>
      <c r="Q499" s="8">
        <f>bdrate(C499:C502,D499:D502,J499:J502,K499:K502)</f>
        <v>-0.45005330007696986</v>
      </c>
      <c r="R499" s="8">
        <f>bdrate(C499:C502,E499:E502,J499:J502,L499:L502)</f>
        <v>-0.39703854692245066</v>
      </c>
      <c r="S499" s="8">
        <f>bdrate(C499:C502,F499:F502,J499:J502,M499:M502)</f>
        <v>-0.35862974293671823</v>
      </c>
      <c r="T499" s="25">
        <f>bdrate(C499:C502,H499:H502,J499:J502,O499:O502)</f>
        <v>-0.43808958624244976</v>
      </c>
      <c r="U499" s="28">
        <f t="shared" si="16"/>
        <v>-4.0508833922261477E-2</v>
      </c>
    </row>
    <row r="500" spans="2:21" hidden="1" x14ac:dyDescent="0.25">
      <c r="B500" s="9"/>
      <c r="C500" s="17">
        <v>1518.03</v>
      </c>
      <c r="D500" s="18">
        <v>35.371000000000002</v>
      </c>
      <c r="E500" s="18">
        <v>41.381</v>
      </c>
      <c r="F500" s="18">
        <v>40.869</v>
      </c>
      <c r="G500" s="18">
        <v>48.69</v>
      </c>
      <c r="H500" s="18">
        <f t="shared" si="17"/>
        <v>36.8095</v>
      </c>
      <c r="I500" s="5"/>
      <c r="J500" s="17">
        <v>1026.9983999999999</v>
      </c>
      <c r="K500" s="18">
        <v>35.745800000000003</v>
      </c>
      <c r="L500" s="18">
        <v>41.546500000000002</v>
      </c>
      <c r="M500" s="18">
        <v>40.9863</v>
      </c>
      <c r="N500" s="18">
        <v>49.693600000000004</v>
      </c>
      <c r="O500" s="18">
        <f t="shared" si="18"/>
        <v>37.125950000000003</v>
      </c>
      <c r="P500" s="7"/>
      <c r="Q500" s="10"/>
      <c r="R500" s="11"/>
      <c r="S500" s="11"/>
      <c r="T500" s="26"/>
      <c r="U500" s="28">
        <f t="shared" si="16"/>
        <v>2.0612035325528976E-2</v>
      </c>
    </row>
    <row r="501" spans="2:21" hidden="1" x14ac:dyDescent="0.25">
      <c r="B501" s="9"/>
      <c r="C501" s="17">
        <v>917.81</v>
      </c>
      <c r="D501" s="18">
        <v>33.338999999999999</v>
      </c>
      <c r="E501" s="18">
        <v>40.244999999999997</v>
      </c>
      <c r="F501" s="18">
        <v>39.369999999999997</v>
      </c>
      <c r="G501" s="18">
        <v>52.91</v>
      </c>
      <c r="H501" s="18">
        <f t="shared" si="17"/>
        <v>34.956125</v>
      </c>
      <c r="I501" s="5"/>
      <c r="J501" s="17">
        <v>608.65039999999999</v>
      </c>
      <c r="K501" s="18">
        <v>34.1631</v>
      </c>
      <c r="L501" s="18">
        <v>40.514699999999998</v>
      </c>
      <c r="M501" s="18">
        <v>39.517000000000003</v>
      </c>
      <c r="N501" s="18">
        <v>66.986699999999999</v>
      </c>
      <c r="O501" s="18">
        <f t="shared" si="18"/>
        <v>35.626287500000004</v>
      </c>
      <c r="P501" s="7"/>
      <c r="Q501" s="10"/>
      <c r="R501" s="11"/>
      <c r="S501" s="11"/>
      <c r="T501" s="26"/>
      <c r="U501" s="28">
        <f t="shared" si="16"/>
        <v>0.2660498960498961</v>
      </c>
    </row>
    <row r="502" spans="2:21" ht="16.5" hidden="1" thickBot="1" x14ac:dyDescent="0.3">
      <c r="B502" s="12"/>
      <c r="C502" s="19">
        <v>460.57</v>
      </c>
      <c r="D502" s="20">
        <v>30.323</v>
      </c>
      <c r="E502" s="20">
        <v>38.640999999999998</v>
      </c>
      <c r="F502" s="20">
        <v>37.369999999999997</v>
      </c>
      <c r="G502" s="20">
        <v>60</v>
      </c>
      <c r="H502" s="20">
        <f t="shared" si="17"/>
        <v>32.243624999999994</v>
      </c>
      <c r="I502" s="5"/>
      <c r="J502" s="19">
        <v>301.64479999999998</v>
      </c>
      <c r="K502" s="20">
        <v>31.986599999999999</v>
      </c>
      <c r="L502" s="20">
        <v>38.897599999999997</v>
      </c>
      <c r="M502" s="20">
        <v>37.387799999999999</v>
      </c>
      <c r="N502" s="20">
        <v>93.764700000000005</v>
      </c>
      <c r="O502" s="20">
        <f t="shared" si="18"/>
        <v>33.525625000000005</v>
      </c>
      <c r="P502" s="7"/>
      <c r="Q502" s="13"/>
      <c r="R502" s="14"/>
      <c r="S502" s="14"/>
      <c r="T502" s="27"/>
      <c r="U502" s="28">
        <f t="shared" si="16"/>
        <v>0.56274500000000005</v>
      </c>
    </row>
    <row r="503" spans="2:21" hidden="1" x14ac:dyDescent="0.25">
      <c r="B503" s="6" t="s">
        <v>90</v>
      </c>
      <c r="C503" s="29">
        <v>2162.75</v>
      </c>
      <c r="D503" s="30">
        <v>48.511000000000003</v>
      </c>
      <c r="E503" s="30">
        <v>53.325000000000003</v>
      </c>
      <c r="F503" s="30">
        <v>53.534999999999997</v>
      </c>
      <c r="G503" s="16">
        <v>52.6</v>
      </c>
      <c r="H503" s="16">
        <f t="shared" si="17"/>
        <v>49.740750000000006</v>
      </c>
      <c r="I503" s="5"/>
      <c r="J503" s="29">
        <v>1540.3815</v>
      </c>
      <c r="K503" s="30">
        <v>47.559699999999999</v>
      </c>
      <c r="L503" s="30">
        <v>52.296799999999998</v>
      </c>
      <c r="M503" s="30">
        <v>52.482399999999998</v>
      </c>
      <c r="N503" s="16">
        <v>34.940100000000001</v>
      </c>
      <c r="O503" s="16">
        <f t="shared" si="18"/>
        <v>48.767175000000002</v>
      </c>
      <c r="P503" s="7"/>
      <c r="Q503" s="8">
        <f>bdrate(C503:C506,D503:D506,J503:J506,K503:K506)</f>
        <v>-0.32264516445269986</v>
      </c>
      <c r="R503" s="8">
        <f>bdrate(C503:C506,E503:E506,J503:J506,L503:L506)</f>
        <v>-0.3197274520655794</v>
      </c>
      <c r="S503" s="8">
        <f>bdrate(C503:C506,F503:F506,J503:J506,M503:M506)</f>
        <v>-0.35514529422289631</v>
      </c>
      <c r="T503" s="25">
        <f>bdrate(C503:C506,H503:H506,J503:J506,O503:O506)</f>
        <v>-0.32562908708938887</v>
      </c>
      <c r="U503" s="28">
        <f t="shared" si="16"/>
        <v>-0.33573954372623571</v>
      </c>
    </row>
    <row r="504" spans="2:21" hidden="1" x14ac:dyDescent="0.25">
      <c r="B504" s="9"/>
      <c r="C504" s="31">
        <v>1443.71</v>
      </c>
      <c r="D504" s="32">
        <v>46.755000000000003</v>
      </c>
      <c r="E504" s="32">
        <v>51.95</v>
      </c>
      <c r="F504" s="32">
        <v>51.97</v>
      </c>
      <c r="G504" s="18">
        <v>59.94</v>
      </c>
      <c r="H504" s="18">
        <f t="shared" si="17"/>
        <v>48.056250000000006</v>
      </c>
      <c r="I504" s="5"/>
      <c r="J504" s="31">
        <v>1027.4743000000001</v>
      </c>
      <c r="K504" s="32">
        <v>46.497900000000001</v>
      </c>
      <c r="L504" s="32">
        <v>51.622799999999998</v>
      </c>
      <c r="M504" s="32">
        <v>51.750999999999998</v>
      </c>
      <c r="N504" s="18">
        <v>42.932899999999997</v>
      </c>
      <c r="O504" s="18">
        <f t="shared" si="18"/>
        <v>47.795149999999992</v>
      </c>
      <c r="P504" s="7"/>
      <c r="Q504" s="10"/>
      <c r="R504" s="11"/>
      <c r="S504" s="11"/>
      <c r="T504" s="26"/>
      <c r="U504" s="28">
        <f t="shared" si="16"/>
        <v>-0.28373540206873543</v>
      </c>
    </row>
    <row r="505" spans="2:21" hidden="1" x14ac:dyDescent="0.25">
      <c r="B505" s="9"/>
      <c r="C505" s="31">
        <v>858.68</v>
      </c>
      <c r="D505" s="32">
        <v>44.588999999999999</v>
      </c>
      <c r="E505" s="32">
        <v>50.42</v>
      </c>
      <c r="F505" s="32">
        <v>50.247999999999998</v>
      </c>
      <c r="G505" s="18">
        <v>68.17</v>
      </c>
      <c r="H505" s="18">
        <f t="shared" si="17"/>
        <v>46.02525</v>
      </c>
      <c r="I505" s="5"/>
      <c r="J505" s="31">
        <v>620.53710000000001</v>
      </c>
      <c r="K505" s="32">
        <v>44.958500000000001</v>
      </c>
      <c r="L505" s="32">
        <v>50.662199999999999</v>
      </c>
      <c r="M505" s="32">
        <v>50.720700000000001</v>
      </c>
      <c r="N505" s="18">
        <v>56.1312</v>
      </c>
      <c r="O505" s="18">
        <f t="shared" si="18"/>
        <v>46.391737499999998</v>
      </c>
      <c r="P505" s="7"/>
      <c r="Q505" s="10"/>
      <c r="R505" s="11"/>
      <c r="S505" s="11"/>
      <c r="T505" s="26"/>
      <c r="U505" s="28">
        <f t="shared" si="16"/>
        <v>-0.17659967727739478</v>
      </c>
    </row>
    <row r="506" spans="2:21" ht="16.5" hidden="1" thickBot="1" x14ac:dyDescent="0.3">
      <c r="B506" s="12"/>
      <c r="C506" s="33">
        <v>419.5</v>
      </c>
      <c r="D506" s="34">
        <v>41.274000000000001</v>
      </c>
      <c r="E506" s="34">
        <v>47.902000000000001</v>
      </c>
      <c r="F506" s="34">
        <v>47.64</v>
      </c>
      <c r="G506" s="20">
        <v>76.599999999999994</v>
      </c>
      <c r="H506" s="20">
        <f t="shared" si="17"/>
        <v>42.898249999999997</v>
      </c>
      <c r="I506" s="5"/>
      <c r="J506" s="33">
        <v>302.15179999999998</v>
      </c>
      <c r="K506" s="34">
        <v>42.299100000000003</v>
      </c>
      <c r="L506" s="34">
        <v>48.871000000000002</v>
      </c>
      <c r="M506" s="34">
        <v>48.796199999999999</v>
      </c>
      <c r="N506" s="20">
        <v>80.091200000000001</v>
      </c>
      <c r="O506" s="20">
        <f t="shared" si="18"/>
        <v>43.932724999999998</v>
      </c>
      <c r="P506" s="7"/>
      <c r="Q506" s="13"/>
      <c r="R506" s="14"/>
      <c r="S506" s="14"/>
      <c r="T506" s="27"/>
      <c r="U506" s="28">
        <f t="shared" si="16"/>
        <v>4.5577023498694601E-2</v>
      </c>
    </row>
    <row r="507" spans="2:21" hidden="1" x14ac:dyDescent="0.25">
      <c r="B507" s="6" t="s">
        <v>91</v>
      </c>
      <c r="C507" s="15">
        <v>3987.98</v>
      </c>
      <c r="D507" s="16">
        <v>45.173000000000002</v>
      </c>
      <c r="E507" s="16">
        <v>49.195999999999998</v>
      </c>
      <c r="F507" s="16">
        <v>51.173000000000002</v>
      </c>
      <c r="G507" s="16">
        <v>17.62</v>
      </c>
      <c r="H507" s="16">
        <f t="shared" si="17"/>
        <v>46.425875000000005</v>
      </c>
      <c r="I507" s="5"/>
      <c r="J507" s="15">
        <v>2438.0145000000002</v>
      </c>
      <c r="K507" s="16">
        <v>43.9587</v>
      </c>
      <c r="L507" s="16">
        <v>47.912399999999998</v>
      </c>
      <c r="M507" s="16">
        <v>49.861699999999999</v>
      </c>
      <c r="N507" s="16">
        <v>15.4755</v>
      </c>
      <c r="O507" s="16">
        <f t="shared" si="18"/>
        <v>45.190787499999999</v>
      </c>
      <c r="P507" s="7"/>
      <c r="Q507" s="8">
        <f>bdrate(C507:C510,D507:D510,J507:J510,K507:K510)</f>
        <v>-0.36070399220017457</v>
      </c>
      <c r="R507" s="8">
        <f>bdrate(C507:C510,E507:E510,J507:J510,L507:L510)</f>
        <v>-0.36669944437388879</v>
      </c>
      <c r="S507" s="8">
        <f>bdrate(C507:C510,F507:F510,J507:J510,M507:M510)</f>
        <v>-0.41226891710269153</v>
      </c>
      <c r="T507" s="25">
        <f>bdrate(C507:C510,H507:H510,J507:J510,O507:O510)</f>
        <v>-0.36817428591544832</v>
      </c>
      <c r="U507" s="28">
        <f t="shared" si="16"/>
        <v>-0.12170828603859254</v>
      </c>
    </row>
    <row r="508" spans="2:21" hidden="1" x14ac:dyDescent="0.25">
      <c r="B508" s="9"/>
      <c r="C508" s="17">
        <v>2687.47</v>
      </c>
      <c r="D508" s="18">
        <v>43.128999999999998</v>
      </c>
      <c r="E508" s="18">
        <v>47.561</v>
      </c>
      <c r="F508" s="18">
        <v>49.49</v>
      </c>
      <c r="G508" s="18">
        <v>19.899999999999999</v>
      </c>
      <c r="H508" s="18">
        <f t="shared" si="17"/>
        <v>44.478124999999999</v>
      </c>
      <c r="I508" s="5"/>
      <c r="J508" s="17">
        <v>1610.6945000000001</v>
      </c>
      <c r="K508" s="18">
        <v>42.4146</v>
      </c>
      <c r="L508" s="18">
        <v>46.627200000000002</v>
      </c>
      <c r="M508" s="18">
        <v>48.8337</v>
      </c>
      <c r="N508" s="18">
        <v>18.928100000000001</v>
      </c>
      <c r="O508" s="18">
        <f t="shared" si="18"/>
        <v>43.743562500000003</v>
      </c>
      <c r="P508" s="7"/>
      <c r="Q508" s="10"/>
      <c r="R508" s="11"/>
      <c r="S508" s="11"/>
      <c r="T508" s="26"/>
      <c r="U508" s="28">
        <f t="shared" si="16"/>
        <v>-4.88391959798994E-2</v>
      </c>
    </row>
    <row r="509" spans="2:21" hidden="1" x14ac:dyDescent="0.25">
      <c r="B509" s="9"/>
      <c r="C509" s="17">
        <v>1698.9</v>
      </c>
      <c r="D509" s="18">
        <v>40.796999999999997</v>
      </c>
      <c r="E509" s="18">
        <v>45.436</v>
      </c>
      <c r="F509" s="18">
        <v>47.104999999999997</v>
      </c>
      <c r="G509" s="18">
        <v>21.84</v>
      </c>
      <c r="H509" s="18">
        <f t="shared" si="17"/>
        <v>42.165374999999997</v>
      </c>
      <c r="I509" s="5"/>
      <c r="J509" s="17">
        <v>1000.0679</v>
      </c>
      <c r="K509" s="18">
        <v>40.602200000000003</v>
      </c>
      <c r="L509" s="18">
        <v>45.571199999999997</v>
      </c>
      <c r="M509" s="18">
        <v>47.567100000000003</v>
      </c>
      <c r="N509" s="18">
        <v>23.279900000000001</v>
      </c>
      <c r="O509" s="18">
        <f t="shared" si="18"/>
        <v>42.093937499999996</v>
      </c>
      <c r="P509" s="7"/>
      <c r="Q509" s="10"/>
      <c r="R509" s="11"/>
      <c r="S509" s="11"/>
      <c r="T509" s="26"/>
      <c r="U509" s="28">
        <f t="shared" si="16"/>
        <v>6.5929487179487253E-2</v>
      </c>
    </row>
    <row r="510" spans="2:21" ht="16.5" hidden="1" thickBot="1" x14ac:dyDescent="0.3">
      <c r="B510" s="12"/>
      <c r="C510" s="19">
        <v>1031.3599999999999</v>
      </c>
      <c r="D510" s="20">
        <v>38.115000000000002</v>
      </c>
      <c r="E510" s="20">
        <v>43.073999999999998</v>
      </c>
      <c r="F510" s="20">
        <v>44.405999999999999</v>
      </c>
      <c r="G510" s="20">
        <v>24.17</v>
      </c>
      <c r="H510" s="20">
        <f t="shared" si="17"/>
        <v>39.521250000000002</v>
      </c>
      <c r="I510" s="5"/>
      <c r="J510" s="19">
        <v>597.51149999999996</v>
      </c>
      <c r="K510" s="20">
        <v>38.592300000000002</v>
      </c>
      <c r="L510" s="20">
        <v>44.054900000000004</v>
      </c>
      <c r="M510" s="20">
        <v>46.1267</v>
      </c>
      <c r="N510" s="20">
        <v>29.648399999999999</v>
      </c>
      <c r="O510" s="20">
        <f t="shared" si="18"/>
        <v>40.216925000000003</v>
      </c>
      <c r="P510" s="7"/>
      <c r="Q510" s="13"/>
      <c r="R510" s="14"/>
      <c r="S510" s="14"/>
      <c r="T510" s="27"/>
      <c r="U510" s="28">
        <f t="shared" si="16"/>
        <v>0.22666115018618108</v>
      </c>
    </row>
    <row r="511" spans="2:21" hidden="1" x14ac:dyDescent="0.25">
      <c r="B511" s="6" t="s">
        <v>92</v>
      </c>
      <c r="C511" s="15">
        <v>3434.99</v>
      </c>
      <c r="D511" s="16">
        <v>39.685000000000002</v>
      </c>
      <c r="E511" s="16">
        <v>41.832000000000001</v>
      </c>
      <c r="F511" s="16">
        <v>43.390999999999998</v>
      </c>
      <c r="G511" s="16">
        <v>17.96</v>
      </c>
      <c r="H511" s="16">
        <f t="shared" si="17"/>
        <v>40.416625000000003</v>
      </c>
      <c r="I511" s="5"/>
      <c r="J511" s="15">
        <v>2471.1163999999999</v>
      </c>
      <c r="K511" s="16">
        <v>39.957500000000003</v>
      </c>
      <c r="L511" s="16">
        <v>41.974200000000003</v>
      </c>
      <c r="M511" s="16">
        <v>43.564900000000002</v>
      </c>
      <c r="N511" s="16">
        <v>16.708100000000002</v>
      </c>
      <c r="O511" s="16">
        <f t="shared" si="18"/>
        <v>40.660512500000003</v>
      </c>
      <c r="P511" s="7"/>
      <c r="Q511" s="8">
        <f>bdrate(C511:C514,D511:D514,J511:J514,K511:K514)</f>
        <v>-0.54658742407782301</v>
      </c>
      <c r="R511" s="8">
        <f>bdrate(C511:C514,E511:E514,J511:J514,L511:L514)</f>
        <v>-0.5364484884556997</v>
      </c>
      <c r="S511" s="8">
        <f>bdrate(C511:C514,F511:F514,J511:J514,M511:M514)</f>
        <v>-0.5674008801303545</v>
      </c>
      <c r="T511" s="25">
        <f>bdrate(C511:C514,H511:H514,J511:J514,O511:O514)</f>
        <v>-0.5474287163628917</v>
      </c>
      <c r="U511" s="28">
        <f t="shared" si="16"/>
        <v>-6.9704899777282794E-2</v>
      </c>
    </row>
    <row r="512" spans="2:21" hidden="1" x14ac:dyDescent="0.25">
      <c r="B512" s="9"/>
      <c r="C512" s="17">
        <v>2283.5300000000002</v>
      </c>
      <c r="D512" s="18">
        <v>38.863</v>
      </c>
      <c r="E512" s="18">
        <v>41.42</v>
      </c>
      <c r="F512" s="18">
        <v>42.975999999999999</v>
      </c>
      <c r="G512" s="18">
        <v>20.63</v>
      </c>
      <c r="H512" s="18">
        <f t="shared" si="17"/>
        <v>39.696750000000002</v>
      </c>
      <c r="I512" s="5"/>
      <c r="J512" s="17">
        <v>1621.1582000000001</v>
      </c>
      <c r="K512" s="18">
        <v>39.442100000000003</v>
      </c>
      <c r="L512" s="18">
        <v>41.706899999999997</v>
      </c>
      <c r="M512" s="18">
        <v>43.310499999999998</v>
      </c>
      <c r="N512" s="18">
        <v>20.9238</v>
      </c>
      <c r="O512" s="18">
        <f t="shared" si="18"/>
        <v>40.208750000000002</v>
      </c>
      <c r="P512" s="7"/>
      <c r="Q512" s="10"/>
      <c r="R512" s="11"/>
      <c r="S512" s="11"/>
      <c r="T512" s="26"/>
      <c r="U512" s="28">
        <f t="shared" si="16"/>
        <v>1.4241396025206058E-2</v>
      </c>
    </row>
    <row r="513" spans="2:21" hidden="1" x14ac:dyDescent="0.25">
      <c r="B513" s="9"/>
      <c r="C513" s="17">
        <v>1426.99</v>
      </c>
      <c r="D513" s="18">
        <v>37.768000000000001</v>
      </c>
      <c r="E513" s="18">
        <v>40.929000000000002</v>
      </c>
      <c r="F513" s="18">
        <v>42.445</v>
      </c>
      <c r="G513" s="18">
        <v>22.39</v>
      </c>
      <c r="H513" s="18">
        <f t="shared" si="17"/>
        <v>38.747750000000003</v>
      </c>
      <c r="I513" s="5"/>
      <c r="J513" s="17">
        <v>970.59370000000001</v>
      </c>
      <c r="K513" s="18">
        <v>38.763599999999997</v>
      </c>
      <c r="L513" s="18">
        <v>41.354799999999997</v>
      </c>
      <c r="M513" s="18">
        <v>42.968299999999999</v>
      </c>
      <c r="N513" s="18">
        <v>25.585599999999999</v>
      </c>
      <c r="O513" s="18">
        <f t="shared" si="18"/>
        <v>39.613087499999999</v>
      </c>
      <c r="P513" s="7"/>
      <c r="Q513" s="10"/>
      <c r="R513" s="11"/>
      <c r="S513" s="11"/>
      <c r="T513" s="26"/>
      <c r="U513" s="28">
        <f t="shared" si="16"/>
        <v>0.14272443054935233</v>
      </c>
    </row>
    <row r="514" spans="2:21" ht="16.5" hidden="1" thickBot="1" x14ac:dyDescent="0.3">
      <c r="B514" s="12"/>
      <c r="C514" s="19">
        <v>864.12</v>
      </c>
      <c r="D514" s="20">
        <v>36.164000000000001</v>
      </c>
      <c r="E514" s="20">
        <v>40.311999999999998</v>
      </c>
      <c r="F514" s="20">
        <v>41.698999999999998</v>
      </c>
      <c r="G514" s="20">
        <v>24.54</v>
      </c>
      <c r="H514" s="20">
        <f t="shared" si="17"/>
        <v>37.374375000000001</v>
      </c>
      <c r="I514" s="5"/>
      <c r="J514" s="19">
        <v>556.52650000000006</v>
      </c>
      <c r="K514" s="20">
        <v>37.878</v>
      </c>
      <c r="L514" s="20">
        <v>40.9176</v>
      </c>
      <c r="M514" s="20">
        <v>42.5154</v>
      </c>
      <c r="N514" s="20">
        <v>35.561399999999999</v>
      </c>
      <c r="O514" s="20">
        <f t="shared" si="18"/>
        <v>38.837625000000003</v>
      </c>
      <c r="P514" s="7"/>
      <c r="Q514" s="13"/>
      <c r="R514" s="14"/>
      <c r="S514" s="14"/>
      <c r="T514" s="27"/>
      <c r="U514" s="28">
        <f t="shared" si="16"/>
        <v>0.44911980440097798</v>
      </c>
    </row>
    <row r="515" spans="2:21" hidden="1" x14ac:dyDescent="0.25">
      <c r="B515" s="6" t="s">
        <v>93</v>
      </c>
      <c r="C515" s="15">
        <v>3426.72</v>
      </c>
      <c r="D515" s="16">
        <v>36.375999999999998</v>
      </c>
      <c r="E515" s="16">
        <v>40.512</v>
      </c>
      <c r="F515" s="16">
        <v>41.933</v>
      </c>
      <c r="G515" s="16">
        <v>23.45</v>
      </c>
      <c r="H515" s="16">
        <f t="shared" si="17"/>
        <v>37.587624999999996</v>
      </c>
      <c r="I515" s="5"/>
      <c r="J515" s="15">
        <v>2455.2336</v>
      </c>
      <c r="K515" s="16">
        <v>36.370899999999999</v>
      </c>
      <c r="L515" s="16">
        <v>40.775100000000002</v>
      </c>
      <c r="M515" s="16">
        <v>41.952100000000002</v>
      </c>
      <c r="N515" s="16">
        <v>17.8691</v>
      </c>
      <c r="O515" s="16">
        <f t="shared" si="18"/>
        <v>37.619074999999995</v>
      </c>
      <c r="P515" s="7"/>
      <c r="Q515" s="8">
        <f>bdrate(C515:C518,D515:D518,J515:J518,K515:K518)</f>
        <v>-0.40052941249534613</v>
      </c>
      <c r="R515" s="8">
        <f>bdrate(C515:C518,E515:E518,J515:J518,L515:L518)</f>
        <v>-0.38256987816807853</v>
      </c>
      <c r="S515" s="8">
        <f>bdrate(C515:C518,F515:F518,J515:J518,M515:M518)</f>
        <v>-0.33360175082821641</v>
      </c>
      <c r="T515" s="25">
        <f>bdrate(C515:C518,H515:H518,J515:J518,O515:O518)</f>
        <v>-0.39488691515118879</v>
      </c>
      <c r="U515" s="28">
        <f t="shared" si="16"/>
        <v>-0.2379914712153518</v>
      </c>
    </row>
    <row r="516" spans="2:21" hidden="1" x14ac:dyDescent="0.25">
      <c r="B516" s="9"/>
      <c r="C516" s="17">
        <v>2289.61</v>
      </c>
      <c r="D516" s="18">
        <v>34.408000000000001</v>
      </c>
      <c r="E516" s="18">
        <v>39.348999999999997</v>
      </c>
      <c r="F516" s="18">
        <v>40.835000000000001</v>
      </c>
      <c r="G516" s="18">
        <v>25.59</v>
      </c>
      <c r="H516" s="18">
        <f t="shared" si="17"/>
        <v>35.829000000000001</v>
      </c>
      <c r="I516" s="5"/>
      <c r="J516" s="17">
        <v>1637.3288</v>
      </c>
      <c r="K516" s="18">
        <v>34.931100000000001</v>
      </c>
      <c r="L516" s="18">
        <v>39.737699999999997</v>
      </c>
      <c r="M516" s="18">
        <v>40.985500000000002</v>
      </c>
      <c r="N516" s="18">
        <v>21.097200000000001</v>
      </c>
      <c r="O516" s="18">
        <f t="shared" si="18"/>
        <v>36.288724999999999</v>
      </c>
      <c r="P516" s="7"/>
      <c r="Q516" s="10"/>
      <c r="R516" s="11"/>
      <c r="S516" s="11"/>
      <c r="T516" s="26"/>
      <c r="U516" s="28">
        <f t="shared" si="16"/>
        <v>-0.17556858147713947</v>
      </c>
    </row>
    <row r="517" spans="2:21" hidden="1" x14ac:dyDescent="0.25">
      <c r="B517" s="9"/>
      <c r="C517" s="17">
        <v>1433.13</v>
      </c>
      <c r="D517" s="18">
        <v>32.304000000000002</v>
      </c>
      <c r="E517" s="18">
        <v>38.174999999999997</v>
      </c>
      <c r="F517" s="18">
        <v>39.686999999999998</v>
      </c>
      <c r="G517" s="18">
        <v>27.18</v>
      </c>
      <c r="H517" s="18">
        <f t="shared" si="17"/>
        <v>33.960750000000004</v>
      </c>
      <c r="I517" s="5"/>
      <c r="J517" s="17">
        <v>1024.2039</v>
      </c>
      <c r="K517" s="18">
        <v>33.295200000000001</v>
      </c>
      <c r="L517" s="18">
        <v>38.550699999999999</v>
      </c>
      <c r="M517" s="18">
        <v>39.884799999999998</v>
      </c>
      <c r="N517" s="18">
        <v>25.992100000000001</v>
      </c>
      <c r="O517" s="18">
        <f t="shared" si="18"/>
        <v>34.775837500000002</v>
      </c>
      <c r="P517" s="7"/>
      <c r="Q517" s="10"/>
      <c r="R517" s="11"/>
      <c r="S517" s="11"/>
      <c r="T517" s="26"/>
      <c r="U517" s="28">
        <f t="shared" si="16"/>
        <v>-4.370493009565854E-2</v>
      </c>
    </row>
    <row r="518" spans="2:21" ht="16.5" hidden="1" thickBot="1" x14ac:dyDescent="0.3">
      <c r="B518" s="12"/>
      <c r="C518" s="19">
        <v>857.59</v>
      </c>
      <c r="D518" s="20">
        <v>30.119</v>
      </c>
      <c r="E518" s="20">
        <v>37.076999999999998</v>
      </c>
      <c r="F518" s="20">
        <v>38.566000000000003</v>
      </c>
      <c r="G518" s="20">
        <v>29.26</v>
      </c>
      <c r="H518" s="20">
        <f t="shared" si="17"/>
        <v>32.044624999999996</v>
      </c>
      <c r="I518" s="5"/>
      <c r="J518" s="19">
        <v>613.09699999999998</v>
      </c>
      <c r="K518" s="20">
        <v>31.61</v>
      </c>
      <c r="L518" s="20">
        <v>37.377899999999997</v>
      </c>
      <c r="M518" s="20">
        <v>38.807699999999997</v>
      </c>
      <c r="N518" s="20">
        <v>33.335599999999999</v>
      </c>
      <c r="O518" s="20">
        <f t="shared" si="18"/>
        <v>33.230699999999999</v>
      </c>
      <c r="P518" s="7"/>
      <c r="Q518" s="13"/>
      <c r="R518" s="14"/>
      <c r="S518" s="14"/>
      <c r="T518" s="27"/>
      <c r="U518" s="28">
        <f t="shared" si="16"/>
        <v>0.1392891319207108</v>
      </c>
    </row>
    <row r="519" spans="2:21" ht="16.5" thickBot="1" x14ac:dyDescent="0.3">
      <c r="B519" s="22" t="s">
        <v>22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1">
        <f t="shared" ref="Q519:T519" si="19">AVERAGE(Q267:Q338)</f>
        <v>-0.37326384830692527</v>
      </c>
      <c r="R519" s="21">
        <f t="shared" si="19"/>
        <v>-0.43067603499824753</v>
      </c>
      <c r="S519" s="21">
        <f t="shared" si="19"/>
        <v>-0.43057682312985807</v>
      </c>
      <c r="T519" s="21">
        <f t="shared" si="19"/>
        <v>-0.38738584751157962</v>
      </c>
      <c r="U519" s="21">
        <f>AVERAGE(U267:U338)</f>
        <v>-0.11438413333276233</v>
      </c>
    </row>
  </sheetData>
  <mergeCells count="12">
    <mergeCell ref="B5:B6"/>
    <mergeCell ref="C5:U6"/>
    <mergeCell ref="C7:H7"/>
    <mergeCell ref="J7:O7"/>
    <mergeCell ref="Q7:S7"/>
    <mergeCell ref="U7:U8"/>
    <mergeCell ref="B263:B264"/>
    <mergeCell ref="C263:U264"/>
    <mergeCell ref="C265:H265"/>
    <mergeCell ref="J265:O265"/>
    <mergeCell ref="Q265:S265"/>
    <mergeCell ref="U265:U266"/>
  </mergeCells>
  <phoneticPr fontId="5" type="noConversion"/>
  <conditionalFormatting sqref="Q29:T32 Q37:T44 Q9:T20">
    <cfRule type="cellIs" dxfId="773" priority="289" operator="greaterThan">
      <formula>0.03</formula>
    </cfRule>
    <cfRule type="cellIs" dxfId="772" priority="290" stopIfTrue="1" operator="lessThan">
      <formula>-0.03</formula>
    </cfRule>
  </conditionalFormatting>
  <conditionalFormatting sqref="Q33:T36">
    <cfRule type="cellIs" dxfId="771" priority="287" operator="greaterThan">
      <formula>0.03</formula>
    </cfRule>
    <cfRule type="cellIs" dxfId="770" priority="288" stopIfTrue="1" operator="lessThan">
      <formula>-0.03</formula>
    </cfRule>
  </conditionalFormatting>
  <conditionalFormatting sqref="Q46:T48 Q62:T64">
    <cfRule type="cellIs" dxfId="769" priority="285" operator="greaterThan">
      <formula>0.03</formula>
    </cfRule>
    <cfRule type="cellIs" dxfId="768" priority="286" stopIfTrue="1" operator="lessThan">
      <formula>-0.03</formula>
    </cfRule>
  </conditionalFormatting>
  <conditionalFormatting sqref="Q50:T52 Q54:T56 Q58:T60">
    <cfRule type="cellIs" dxfId="767" priority="283" operator="greaterThan">
      <formula>0.03</formula>
    </cfRule>
    <cfRule type="cellIs" dxfId="766" priority="284" stopIfTrue="1" operator="lessThan">
      <formula>-0.03</formula>
    </cfRule>
  </conditionalFormatting>
  <conditionalFormatting sqref="Q70:T72 Q74:T76">
    <cfRule type="cellIs" dxfId="765" priority="281" operator="greaterThan">
      <formula>0.03</formula>
    </cfRule>
    <cfRule type="cellIs" dxfId="764" priority="282" stopIfTrue="1" operator="lessThan">
      <formula>-0.03</formula>
    </cfRule>
  </conditionalFormatting>
  <conditionalFormatting sqref="Q66:T68">
    <cfRule type="cellIs" dxfId="763" priority="279" operator="greaterThan">
      <formula>0.03</formula>
    </cfRule>
    <cfRule type="cellIs" dxfId="762" priority="280" stopIfTrue="1" operator="lessThan">
      <formula>-0.03</formula>
    </cfRule>
  </conditionalFormatting>
  <conditionalFormatting sqref="Q78:T80">
    <cfRule type="cellIs" dxfId="761" priority="277" operator="greaterThan">
      <formula>0.03</formula>
    </cfRule>
    <cfRule type="cellIs" dxfId="760" priority="278" stopIfTrue="1" operator="lessThan">
      <formula>-0.03</formula>
    </cfRule>
  </conditionalFormatting>
  <conditionalFormatting sqref="Q21:T28">
    <cfRule type="cellIs" dxfId="759" priority="259" operator="greaterThan">
      <formula>0.03</formula>
    </cfRule>
    <cfRule type="cellIs" dxfId="758" priority="260" stopIfTrue="1" operator="lessThan">
      <formula>-0.03</formula>
    </cfRule>
  </conditionalFormatting>
  <conditionalFormatting sqref="Q287:T290 Q295:T302 Q267:T278">
    <cfRule type="cellIs" dxfId="757" priority="255" operator="greaterThan">
      <formula>0.03</formula>
    </cfRule>
    <cfRule type="cellIs" dxfId="756" priority="256" stopIfTrue="1" operator="lessThan">
      <formula>-0.03</formula>
    </cfRule>
  </conditionalFormatting>
  <conditionalFormatting sqref="Q291:T294">
    <cfRule type="cellIs" dxfId="755" priority="253" operator="greaterThan">
      <formula>0.03</formula>
    </cfRule>
    <cfRule type="cellIs" dxfId="754" priority="254" stopIfTrue="1" operator="lessThan">
      <formula>-0.03</formula>
    </cfRule>
  </conditionalFormatting>
  <conditionalFormatting sqref="Q303:T306 Q319:T322">
    <cfRule type="cellIs" dxfId="753" priority="251" operator="greaterThan">
      <formula>0.03</formula>
    </cfRule>
    <cfRule type="cellIs" dxfId="752" priority="252" stopIfTrue="1" operator="lessThan">
      <formula>-0.03</formula>
    </cfRule>
  </conditionalFormatting>
  <conditionalFormatting sqref="Q307:T318">
    <cfRule type="cellIs" dxfId="751" priority="249" operator="greaterThan">
      <formula>0.03</formula>
    </cfRule>
    <cfRule type="cellIs" dxfId="750" priority="250" stopIfTrue="1" operator="lessThan">
      <formula>-0.03</formula>
    </cfRule>
  </conditionalFormatting>
  <conditionalFormatting sqref="Q327:T334">
    <cfRule type="cellIs" dxfId="749" priority="247" operator="greaterThan">
      <formula>0.03</formula>
    </cfRule>
    <cfRule type="cellIs" dxfId="748" priority="248" stopIfTrue="1" operator="lessThan">
      <formula>-0.03</formula>
    </cfRule>
  </conditionalFormatting>
  <conditionalFormatting sqref="Q323:T326">
    <cfRule type="cellIs" dxfId="747" priority="245" operator="greaterThan">
      <formula>0.03</formula>
    </cfRule>
    <cfRule type="cellIs" dxfId="746" priority="246" stopIfTrue="1" operator="lessThan">
      <formula>-0.03</formula>
    </cfRule>
  </conditionalFormatting>
  <conditionalFormatting sqref="Q335:T338">
    <cfRule type="cellIs" dxfId="745" priority="243" operator="greaterThan">
      <formula>0.03</formula>
    </cfRule>
    <cfRule type="cellIs" dxfId="744" priority="244" stopIfTrue="1" operator="lessThan">
      <formula>-0.03</formula>
    </cfRule>
  </conditionalFormatting>
  <conditionalFormatting sqref="Q279:T286">
    <cfRule type="cellIs" dxfId="743" priority="241" operator="greaterThan">
      <formula>0.03</formula>
    </cfRule>
    <cfRule type="cellIs" dxfId="742" priority="242" stopIfTrue="1" operator="lessThan">
      <formula>-0.03</formula>
    </cfRule>
  </conditionalFormatting>
  <conditionalFormatting sqref="Q45:T45">
    <cfRule type="cellIs" dxfId="741" priority="239" operator="greaterThan">
      <formula>0.03</formula>
    </cfRule>
    <cfRule type="cellIs" dxfId="740" priority="240" stopIfTrue="1" operator="lessThan">
      <formula>-0.03</formula>
    </cfRule>
  </conditionalFormatting>
  <conditionalFormatting sqref="Q49:T49">
    <cfRule type="cellIs" dxfId="739" priority="237" operator="greaterThan">
      <formula>0.03</formula>
    </cfRule>
    <cfRule type="cellIs" dxfId="738" priority="238" stopIfTrue="1" operator="lessThan">
      <formula>-0.03</formula>
    </cfRule>
  </conditionalFormatting>
  <conditionalFormatting sqref="Q53:T53">
    <cfRule type="cellIs" dxfId="737" priority="235" operator="greaterThan">
      <formula>0.03</formula>
    </cfRule>
    <cfRule type="cellIs" dxfId="736" priority="236" stopIfTrue="1" operator="lessThan">
      <formula>-0.03</formula>
    </cfRule>
  </conditionalFormatting>
  <conditionalFormatting sqref="Q57:T57">
    <cfRule type="cellIs" dxfId="735" priority="233" operator="greaterThan">
      <formula>0.03</formula>
    </cfRule>
    <cfRule type="cellIs" dxfId="734" priority="234" stopIfTrue="1" operator="lessThan">
      <formula>-0.03</formula>
    </cfRule>
  </conditionalFormatting>
  <conditionalFormatting sqref="Q61:T61">
    <cfRule type="cellIs" dxfId="733" priority="231" operator="greaterThan">
      <formula>0.03</formula>
    </cfRule>
    <cfRule type="cellIs" dxfId="732" priority="232" stopIfTrue="1" operator="lessThan">
      <formula>-0.03</formula>
    </cfRule>
  </conditionalFormatting>
  <conditionalFormatting sqref="Q65:T65">
    <cfRule type="cellIs" dxfId="731" priority="229" operator="greaterThan">
      <formula>0.03</formula>
    </cfRule>
    <cfRule type="cellIs" dxfId="730" priority="230" stopIfTrue="1" operator="lessThan">
      <formula>-0.03</formula>
    </cfRule>
  </conditionalFormatting>
  <conditionalFormatting sqref="Q69:T69">
    <cfRule type="cellIs" dxfId="729" priority="227" operator="greaterThan">
      <formula>0.03</formula>
    </cfRule>
    <cfRule type="cellIs" dxfId="728" priority="228" stopIfTrue="1" operator="lessThan">
      <formula>-0.03</formula>
    </cfRule>
  </conditionalFormatting>
  <conditionalFormatting sqref="Q73:T73">
    <cfRule type="cellIs" dxfId="727" priority="225" operator="greaterThan">
      <formula>0.03</formula>
    </cfRule>
    <cfRule type="cellIs" dxfId="726" priority="226" stopIfTrue="1" operator="lessThan">
      <formula>-0.03</formula>
    </cfRule>
  </conditionalFormatting>
  <conditionalFormatting sqref="Q77:T77">
    <cfRule type="cellIs" dxfId="725" priority="223" operator="greaterThan">
      <formula>0.03</formula>
    </cfRule>
    <cfRule type="cellIs" dxfId="724" priority="224" stopIfTrue="1" operator="lessThan">
      <formula>-0.03</formula>
    </cfRule>
  </conditionalFormatting>
  <conditionalFormatting sqref="Q93:T96">
    <cfRule type="cellIs" dxfId="723" priority="221" operator="greaterThan">
      <formula>0.03</formula>
    </cfRule>
    <cfRule type="cellIs" dxfId="722" priority="222" stopIfTrue="1" operator="lessThan">
      <formula>-0.03</formula>
    </cfRule>
  </conditionalFormatting>
  <conditionalFormatting sqref="Q81:T92">
    <cfRule type="cellIs" dxfId="721" priority="219" operator="greaterThan">
      <formula>0.03</formula>
    </cfRule>
    <cfRule type="cellIs" dxfId="720" priority="220" stopIfTrue="1" operator="lessThan">
      <formula>-0.03</formula>
    </cfRule>
  </conditionalFormatting>
  <conditionalFormatting sqref="Q351:T354">
    <cfRule type="cellIs" dxfId="719" priority="213" operator="greaterThan">
      <formula>0.03</formula>
    </cfRule>
    <cfRule type="cellIs" dxfId="718" priority="214" stopIfTrue="1" operator="lessThan">
      <formula>-0.03</formula>
    </cfRule>
  </conditionalFormatting>
  <conditionalFormatting sqref="Q339:T350">
    <cfRule type="cellIs" dxfId="717" priority="211" operator="greaterThan">
      <formula>0.03</formula>
    </cfRule>
    <cfRule type="cellIs" dxfId="716" priority="212" stopIfTrue="1" operator="lessThan">
      <formula>-0.03</formula>
    </cfRule>
  </conditionalFormatting>
  <conditionalFormatting sqref="Q213:T216 Q221:T228 Q193:T204">
    <cfRule type="cellIs" dxfId="715" priority="209" operator="greaterThan">
      <formula>0.03</formula>
    </cfRule>
    <cfRule type="cellIs" dxfId="714" priority="210" stopIfTrue="1" operator="lessThan">
      <formula>-0.03</formula>
    </cfRule>
  </conditionalFormatting>
  <conditionalFormatting sqref="Q217:T220">
    <cfRule type="cellIs" dxfId="713" priority="207" operator="greaterThan">
      <formula>0.03</formula>
    </cfRule>
    <cfRule type="cellIs" dxfId="712" priority="208" stopIfTrue="1" operator="lessThan">
      <formula>-0.03</formula>
    </cfRule>
  </conditionalFormatting>
  <conditionalFormatting sqref="Q230:T232 Q246:T248">
    <cfRule type="cellIs" dxfId="711" priority="205" operator="greaterThan">
      <formula>0.03</formula>
    </cfRule>
    <cfRule type="cellIs" dxfId="710" priority="206" stopIfTrue="1" operator="lessThan">
      <formula>-0.03</formula>
    </cfRule>
  </conditionalFormatting>
  <conditionalFormatting sqref="Q234:T236 Q238:T240 Q242:T244">
    <cfRule type="cellIs" dxfId="709" priority="203" operator="greaterThan">
      <formula>0.03</formula>
    </cfRule>
    <cfRule type="cellIs" dxfId="708" priority="204" stopIfTrue="1" operator="lessThan">
      <formula>-0.03</formula>
    </cfRule>
  </conditionalFormatting>
  <conditionalFormatting sqref="Q254:T256 Q258:T260">
    <cfRule type="cellIs" dxfId="707" priority="201" operator="greaterThan">
      <formula>0.03</formula>
    </cfRule>
    <cfRule type="cellIs" dxfId="706" priority="202" stopIfTrue="1" operator="lessThan">
      <formula>-0.03</formula>
    </cfRule>
  </conditionalFormatting>
  <conditionalFormatting sqref="Q250:T252">
    <cfRule type="cellIs" dxfId="705" priority="199" operator="greaterThan">
      <formula>0.03</formula>
    </cfRule>
    <cfRule type="cellIs" dxfId="704" priority="200" stopIfTrue="1" operator="lessThan">
      <formula>-0.03</formula>
    </cfRule>
  </conditionalFormatting>
  <conditionalFormatting sqref="Q205:T212">
    <cfRule type="cellIs" dxfId="703" priority="197" operator="greaterThan">
      <formula>0.03</formula>
    </cfRule>
    <cfRule type="cellIs" dxfId="702" priority="198" stopIfTrue="1" operator="lessThan">
      <formula>-0.03</formula>
    </cfRule>
  </conditionalFormatting>
  <conditionalFormatting sqref="Q229:T229">
    <cfRule type="cellIs" dxfId="701" priority="195" operator="greaterThan">
      <formula>0.03</formula>
    </cfRule>
    <cfRule type="cellIs" dxfId="700" priority="196" stopIfTrue="1" operator="lessThan">
      <formula>-0.03</formula>
    </cfRule>
  </conditionalFormatting>
  <conditionalFormatting sqref="Q233:T233">
    <cfRule type="cellIs" dxfId="699" priority="193" operator="greaterThan">
      <formula>0.03</formula>
    </cfRule>
    <cfRule type="cellIs" dxfId="698" priority="194" stopIfTrue="1" operator="lessThan">
      <formula>-0.03</formula>
    </cfRule>
  </conditionalFormatting>
  <conditionalFormatting sqref="Q237:T237">
    <cfRule type="cellIs" dxfId="697" priority="191" operator="greaterThan">
      <formula>0.03</formula>
    </cfRule>
    <cfRule type="cellIs" dxfId="696" priority="192" stopIfTrue="1" operator="lessThan">
      <formula>-0.03</formula>
    </cfRule>
  </conditionalFormatting>
  <conditionalFormatting sqref="Q241:T241">
    <cfRule type="cellIs" dxfId="695" priority="189" operator="greaterThan">
      <formula>0.03</formula>
    </cfRule>
    <cfRule type="cellIs" dxfId="694" priority="190" stopIfTrue="1" operator="lessThan">
      <formula>-0.03</formula>
    </cfRule>
  </conditionalFormatting>
  <conditionalFormatting sqref="Q245:T245">
    <cfRule type="cellIs" dxfId="693" priority="187" operator="greaterThan">
      <formula>0.03</formula>
    </cfRule>
    <cfRule type="cellIs" dxfId="692" priority="188" stopIfTrue="1" operator="lessThan">
      <formula>-0.03</formula>
    </cfRule>
  </conditionalFormatting>
  <conditionalFormatting sqref="Q249:T249">
    <cfRule type="cellIs" dxfId="691" priority="185" operator="greaterThan">
      <formula>0.03</formula>
    </cfRule>
    <cfRule type="cellIs" dxfId="690" priority="186" stopIfTrue="1" operator="lessThan">
      <formula>-0.03</formula>
    </cfRule>
  </conditionalFormatting>
  <conditionalFormatting sqref="Q253:T253">
    <cfRule type="cellIs" dxfId="689" priority="183" operator="greaterThan">
      <formula>0.03</formula>
    </cfRule>
    <cfRule type="cellIs" dxfId="688" priority="184" stopIfTrue="1" operator="lessThan">
      <formula>-0.03</formula>
    </cfRule>
  </conditionalFormatting>
  <conditionalFormatting sqref="Q257:T257">
    <cfRule type="cellIs" dxfId="687" priority="181" operator="greaterThan">
      <formula>0.03</formula>
    </cfRule>
    <cfRule type="cellIs" dxfId="686" priority="182" stopIfTrue="1" operator="lessThan">
      <formula>-0.03</formula>
    </cfRule>
  </conditionalFormatting>
  <conditionalFormatting sqref="Q471:T474 Q479:T486 Q451:T462">
    <cfRule type="cellIs" dxfId="685" priority="149" operator="greaterThan">
      <formula>0.03</formula>
    </cfRule>
    <cfRule type="cellIs" dxfId="684" priority="150" stopIfTrue="1" operator="lessThan">
      <formula>-0.03</formula>
    </cfRule>
  </conditionalFormatting>
  <conditionalFormatting sqref="Q475:T478">
    <cfRule type="cellIs" dxfId="683" priority="147" operator="greaterThan">
      <formula>0.03</formula>
    </cfRule>
    <cfRule type="cellIs" dxfId="682" priority="148" stopIfTrue="1" operator="lessThan">
      <formula>-0.03</formula>
    </cfRule>
  </conditionalFormatting>
  <conditionalFormatting sqref="Q488:T490 Q504:T506">
    <cfRule type="cellIs" dxfId="681" priority="145" operator="greaterThan">
      <formula>0.03</formula>
    </cfRule>
    <cfRule type="cellIs" dxfId="680" priority="146" stopIfTrue="1" operator="lessThan">
      <formula>-0.03</formula>
    </cfRule>
  </conditionalFormatting>
  <conditionalFormatting sqref="Q492:T494 Q496:T498 Q500:T502">
    <cfRule type="cellIs" dxfId="679" priority="143" operator="greaterThan">
      <formula>0.03</formula>
    </cfRule>
    <cfRule type="cellIs" dxfId="678" priority="144" stopIfTrue="1" operator="lessThan">
      <formula>-0.03</formula>
    </cfRule>
  </conditionalFormatting>
  <conditionalFormatting sqref="Q512:T514 Q516:T518">
    <cfRule type="cellIs" dxfId="677" priority="141" operator="greaterThan">
      <formula>0.03</formula>
    </cfRule>
    <cfRule type="cellIs" dxfId="676" priority="142" stopIfTrue="1" operator="lessThan">
      <formula>-0.03</formula>
    </cfRule>
  </conditionalFormatting>
  <conditionalFormatting sqref="Q508:T510">
    <cfRule type="cellIs" dxfId="675" priority="139" operator="greaterThan">
      <formula>0.03</formula>
    </cfRule>
    <cfRule type="cellIs" dxfId="674" priority="140" stopIfTrue="1" operator="lessThan">
      <formula>-0.03</formula>
    </cfRule>
  </conditionalFormatting>
  <conditionalFormatting sqref="Q463:T470">
    <cfRule type="cellIs" dxfId="673" priority="137" operator="greaterThan">
      <formula>0.03</formula>
    </cfRule>
    <cfRule type="cellIs" dxfId="672" priority="138" stopIfTrue="1" operator="lessThan">
      <formula>-0.03</formula>
    </cfRule>
  </conditionalFormatting>
  <conditionalFormatting sqref="Q487:T487">
    <cfRule type="cellIs" dxfId="671" priority="135" operator="greaterThan">
      <formula>0.03</formula>
    </cfRule>
    <cfRule type="cellIs" dxfId="670" priority="136" stopIfTrue="1" operator="lessThan">
      <formula>-0.03</formula>
    </cfRule>
  </conditionalFormatting>
  <conditionalFormatting sqref="Q491:T491">
    <cfRule type="cellIs" dxfId="669" priority="133" operator="greaterThan">
      <formula>0.03</formula>
    </cfRule>
    <cfRule type="cellIs" dxfId="668" priority="134" stopIfTrue="1" operator="lessThan">
      <formula>-0.03</formula>
    </cfRule>
  </conditionalFormatting>
  <conditionalFormatting sqref="Q495:T495">
    <cfRule type="cellIs" dxfId="667" priority="131" operator="greaterThan">
      <formula>0.03</formula>
    </cfRule>
    <cfRule type="cellIs" dxfId="666" priority="132" stopIfTrue="1" operator="lessThan">
      <formula>-0.03</formula>
    </cfRule>
  </conditionalFormatting>
  <conditionalFormatting sqref="Q499:T499">
    <cfRule type="cellIs" dxfId="665" priority="129" operator="greaterThan">
      <formula>0.03</formula>
    </cfRule>
    <cfRule type="cellIs" dxfId="664" priority="130" stopIfTrue="1" operator="lessThan">
      <formula>-0.03</formula>
    </cfRule>
  </conditionalFormatting>
  <conditionalFormatting sqref="Q503:T503">
    <cfRule type="cellIs" dxfId="663" priority="127" operator="greaterThan">
      <formula>0.03</formula>
    </cfRule>
    <cfRule type="cellIs" dxfId="662" priority="128" stopIfTrue="1" operator="lessThan">
      <formula>-0.03</formula>
    </cfRule>
  </conditionalFormatting>
  <conditionalFormatting sqref="Q507:T507">
    <cfRule type="cellIs" dxfId="661" priority="125" operator="greaterThan">
      <formula>0.03</formula>
    </cfRule>
    <cfRule type="cellIs" dxfId="660" priority="126" stopIfTrue="1" operator="lessThan">
      <formula>-0.03</formula>
    </cfRule>
  </conditionalFormatting>
  <conditionalFormatting sqref="Q511:T511">
    <cfRule type="cellIs" dxfId="659" priority="123" operator="greaterThan">
      <formula>0.03</formula>
    </cfRule>
    <cfRule type="cellIs" dxfId="658" priority="124" stopIfTrue="1" operator="lessThan">
      <formula>-0.03</formula>
    </cfRule>
  </conditionalFormatting>
  <conditionalFormatting sqref="Q515:T515">
    <cfRule type="cellIs" dxfId="657" priority="121" operator="greaterThan">
      <formula>0.03</formula>
    </cfRule>
    <cfRule type="cellIs" dxfId="656" priority="122" stopIfTrue="1" operator="lessThan">
      <formula>-0.03</formula>
    </cfRule>
  </conditionalFormatting>
  <conditionalFormatting sqref="Q109:T112 Q117:T124 Q97:T100">
    <cfRule type="cellIs" dxfId="655" priority="119" operator="greaterThan">
      <formula>0.03</formula>
    </cfRule>
    <cfRule type="cellIs" dxfId="654" priority="120" stopIfTrue="1" operator="lessThan">
      <formula>-0.03</formula>
    </cfRule>
  </conditionalFormatting>
  <conditionalFormatting sqref="Q113:T116">
    <cfRule type="cellIs" dxfId="653" priority="117" operator="greaterThan">
      <formula>0.03</formula>
    </cfRule>
    <cfRule type="cellIs" dxfId="652" priority="118" stopIfTrue="1" operator="lessThan">
      <formula>-0.03</formula>
    </cfRule>
  </conditionalFormatting>
  <conditionalFormatting sqref="Q126:T128 Q142:T144">
    <cfRule type="cellIs" dxfId="651" priority="115" operator="greaterThan">
      <formula>0.03</formula>
    </cfRule>
    <cfRule type="cellIs" dxfId="650" priority="116" stopIfTrue="1" operator="lessThan">
      <formula>-0.03</formula>
    </cfRule>
  </conditionalFormatting>
  <conditionalFormatting sqref="Q130:T132 Q134:T136 Q138:T140">
    <cfRule type="cellIs" dxfId="649" priority="113" operator="greaterThan">
      <formula>0.03</formula>
    </cfRule>
    <cfRule type="cellIs" dxfId="648" priority="114" stopIfTrue="1" operator="lessThan">
      <formula>-0.03</formula>
    </cfRule>
  </conditionalFormatting>
  <conditionalFormatting sqref="Q101:T108">
    <cfRule type="cellIs" dxfId="647" priority="111" operator="greaterThan">
      <formula>0.03</formula>
    </cfRule>
    <cfRule type="cellIs" dxfId="646" priority="112" stopIfTrue="1" operator="lessThan">
      <formula>-0.03</formula>
    </cfRule>
  </conditionalFormatting>
  <conditionalFormatting sqref="Q125:T125">
    <cfRule type="cellIs" dxfId="645" priority="109" operator="greaterThan">
      <formula>0.03</formula>
    </cfRule>
    <cfRule type="cellIs" dxfId="644" priority="110" stopIfTrue="1" operator="lessThan">
      <formula>-0.03</formula>
    </cfRule>
  </conditionalFormatting>
  <conditionalFormatting sqref="Q129:T129">
    <cfRule type="cellIs" dxfId="643" priority="107" operator="greaterThan">
      <formula>0.03</formula>
    </cfRule>
    <cfRule type="cellIs" dxfId="642" priority="108" stopIfTrue="1" operator="lessThan">
      <formula>-0.03</formula>
    </cfRule>
  </conditionalFormatting>
  <conditionalFormatting sqref="Q133:T133">
    <cfRule type="cellIs" dxfId="641" priority="105" operator="greaterThan">
      <formula>0.03</formula>
    </cfRule>
    <cfRule type="cellIs" dxfId="640" priority="106" stopIfTrue="1" operator="lessThan">
      <formula>-0.03</formula>
    </cfRule>
  </conditionalFormatting>
  <conditionalFormatting sqref="Q137:T137">
    <cfRule type="cellIs" dxfId="639" priority="103" operator="greaterThan">
      <formula>0.03</formula>
    </cfRule>
    <cfRule type="cellIs" dxfId="638" priority="104" stopIfTrue="1" operator="lessThan">
      <formula>-0.03</formula>
    </cfRule>
  </conditionalFormatting>
  <conditionalFormatting sqref="Q141:T141">
    <cfRule type="cellIs" dxfId="637" priority="101" operator="greaterThan">
      <formula>0.03</formula>
    </cfRule>
    <cfRule type="cellIs" dxfId="636" priority="102" stopIfTrue="1" operator="lessThan">
      <formula>-0.03</formula>
    </cfRule>
  </conditionalFormatting>
  <conditionalFormatting sqref="Q157:T160 Q165:T172 Q145:T148">
    <cfRule type="cellIs" dxfId="635" priority="99" operator="greaterThan">
      <formula>0.03</formula>
    </cfRule>
    <cfRule type="cellIs" dxfId="634" priority="100" stopIfTrue="1" operator="lessThan">
      <formula>-0.03</formula>
    </cfRule>
  </conditionalFormatting>
  <conditionalFormatting sqref="Q161:T164">
    <cfRule type="cellIs" dxfId="633" priority="97" operator="greaterThan">
      <formula>0.03</formula>
    </cfRule>
    <cfRule type="cellIs" dxfId="632" priority="98" stopIfTrue="1" operator="lessThan">
      <formula>-0.03</formula>
    </cfRule>
  </conditionalFormatting>
  <conditionalFormatting sqref="Q174:T176 Q190:T192">
    <cfRule type="cellIs" dxfId="631" priority="95" operator="greaterThan">
      <formula>0.03</formula>
    </cfRule>
    <cfRule type="cellIs" dxfId="630" priority="96" stopIfTrue="1" operator="lessThan">
      <formula>-0.03</formula>
    </cfRule>
  </conditionalFormatting>
  <conditionalFormatting sqref="Q178:T180 Q182:T184 Q186:T188">
    <cfRule type="cellIs" dxfId="629" priority="93" operator="greaterThan">
      <formula>0.03</formula>
    </cfRule>
    <cfRule type="cellIs" dxfId="628" priority="94" stopIfTrue="1" operator="lessThan">
      <formula>-0.03</formula>
    </cfRule>
  </conditionalFormatting>
  <conditionalFormatting sqref="Q149:T156">
    <cfRule type="cellIs" dxfId="627" priority="91" operator="greaterThan">
      <formula>0.03</formula>
    </cfRule>
    <cfRule type="cellIs" dxfId="626" priority="92" stopIfTrue="1" operator="lessThan">
      <formula>-0.03</formula>
    </cfRule>
  </conditionalFormatting>
  <conditionalFormatting sqref="Q173:T173">
    <cfRule type="cellIs" dxfId="625" priority="89" operator="greaterThan">
      <formula>0.03</formula>
    </cfRule>
    <cfRule type="cellIs" dxfId="624" priority="90" stopIfTrue="1" operator="lessThan">
      <formula>-0.03</formula>
    </cfRule>
  </conditionalFormatting>
  <conditionalFormatting sqref="Q177:T177">
    <cfRule type="cellIs" dxfId="623" priority="87" operator="greaterThan">
      <formula>0.03</formula>
    </cfRule>
    <cfRule type="cellIs" dxfId="622" priority="88" stopIfTrue="1" operator="lessThan">
      <formula>-0.03</formula>
    </cfRule>
  </conditionalFormatting>
  <conditionalFormatting sqref="Q181:T181">
    <cfRule type="cellIs" dxfId="621" priority="85" operator="greaterThan">
      <formula>0.03</formula>
    </cfRule>
    <cfRule type="cellIs" dxfId="620" priority="86" stopIfTrue="1" operator="lessThan">
      <formula>-0.03</formula>
    </cfRule>
  </conditionalFormatting>
  <conditionalFormatting sqref="Q185:T185">
    <cfRule type="cellIs" dxfId="619" priority="83" operator="greaterThan">
      <formula>0.03</formula>
    </cfRule>
    <cfRule type="cellIs" dxfId="618" priority="84" stopIfTrue="1" operator="lessThan">
      <formula>-0.03</formula>
    </cfRule>
  </conditionalFormatting>
  <conditionalFormatting sqref="Q189:T189">
    <cfRule type="cellIs" dxfId="617" priority="81" operator="greaterThan">
      <formula>0.03</formula>
    </cfRule>
    <cfRule type="cellIs" dxfId="616" priority="82" stopIfTrue="1" operator="lessThan">
      <formula>-0.03</formula>
    </cfRule>
  </conditionalFormatting>
  <conditionalFormatting sqref="Q367:T370 Q375:T382 Q355:T358">
    <cfRule type="cellIs" dxfId="615" priority="39" operator="greaterThan">
      <formula>0.03</formula>
    </cfRule>
    <cfRule type="cellIs" dxfId="614" priority="40" stopIfTrue="1" operator="lessThan">
      <formula>-0.03</formula>
    </cfRule>
  </conditionalFormatting>
  <conditionalFormatting sqref="Q371:T374">
    <cfRule type="cellIs" dxfId="613" priority="37" operator="greaterThan">
      <formula>0.03</formula>
    </cfRule>
    <cfRule type="cellIs" dxfId="612" priority="38" stopIfTrue="1" operator="lessThan">
      <formula>-0.03</formula>
    </cfRule>
  </conditionalFormatting>
  <conditionalFormatting sqref="Q384:T386 Q400:T402">
    <cfRule type="cellIs" dxfId="611" priority="35" operator="greaterThan">
      <formula>0.03</formula>
    </cfRule>
    <cfRule type="cellIs" dxfId="610" priority="36" stopIfTrue="1" operator="lessThan">
      <formula>-0.03</formula>
    </cfRule>
  </conditionalFormatting>
  <conditionalFormatting sqref="Q388:T390 Q392:T394 Q396:T398">
    <cfRule type="cellIs" dxfId="609" priority="33" operator="greaterThan">
      <formula>0.03</formula>
    </cfRule>
    <cfRule type="cellIs" dxfId="608" priority="34" stopIfTrue="1" operator="lessThan">
      <formula>-0.03</formula>
    </cfRule>
  </conditionalFormatting>
  <conditionalFormatting sqref="Q359:T366">
    <cfRule type="cellIs" dxfId="607" priority="31" operator="greaterThan">
      <formula>0.03</formula>
    </cfRule>
    <cfRule type="cellIs" dxfId="606" priority="32" stopIfTrue="1" operator="lessThan">
      <formula>-0.03</formula>
    </cfRule>
  </conditionalFormatting>
  <conditionalFormatting sqref="Q383:T383">
    <cfRule type="cellIs" dxfId="605" priority="29" operator="greaterThan">
      <formula>0.03</formula>
    </cfRule>
    <cfRule type="cellIs" dxfId="604" priority="30" stopIfTrue="1" operator="lessThan">
      <formula>-0.03</formula>
    </cfRule>
  </conditionalFormatting>
  <conditionalFormatting sqref="Q387:T387">
    <cfRule type="cellIs" dxfId="603" priority="27" operator="greaterThan">
      <formula>0.03</formula>
    </cfRule>
    <cfRule type="cellIs" dxfId="602" priority="28" stopIfTrue="1" operator="lessThan">
      <formula>-0.03</formula>
    </cfRule>
  </conditionalFormatting>
  <conditionalFormatting sqref="Q391:T391">
    <cfRule type="cellIs" dxfId="601" priority="25" operator="greaterThan">
      <formula>0.03</formula>
    </cfRule>
    <cfRule type="cellIs" dxfId="600" priority="26" stopIfTrue="1" operator="lessThan">
      <formula>-0.03</formula>
    </cfRule>
  </conditionalFormatting>
  <conditionalFormatting sqref="Q395:T395">
    <cfRule type="cellIs" dxfId="599" priority="23" operator="greaterThan">
      <formula>0.03</formula>
    </cfRule>
    <cfRule type="cellIs" dxfId="598" priority="24" stopIfTrue="1" operator="lessThan">
      <formula>-0.03</formula>
    </cfRule>
  </conditionalFormatting>
  <conditionalFormatting sqref="Q399:T399">
    <cfRule type="cellIs" dxfId="597" priority="21" operator="greaterThan">
      <formula>0.03</formula>
    </cfRule>
    <cfRule type="cellIs" dxfId="596" priority="22" stopIfTrue="1" operator="lessThan">
      <formula>-0.03</formula>
    </cfRule>
  </conditionalFormatting>
  <conditionalFormatting sqref="Q415:T418 Q423:T430 Q403:T406">
    <cfRule type="cellIs" dxfId="595" priority="19" operator="greaterThan">
      <formula>0.03</formula>
    </cfRule>
    <cfRule type="cellIs" dxfId="594" priority="20" stopIfTrue="1" operator="lessThan">
      <formula>-0.03</formula>
    </cfRule>
  </conditionalFormatting>
  <conditionalFormatting sqref="Q419:T422">
    <cfRule type="cellIs" dxfId="593" priority="17" operator="greaterThan">
      <formula>0.03</formula>
    </cfRule>
    <cfRule type="cellIs" dxfId="592" priority="18" stopIfTrue="1" operator="lessThan">
      <formula>-0.03</formula>
    </cfRule>
  </conditionalFormatting>
  <conditionalFormatting sqref="Q432:T434 Q448:T450">
    <cfRule type="cellIs" dxfId="591" priority="15" operator="greaterThan">
      <formula>0.03</formula>
    </cfRule>
    <cfRule type="cellIs" dxfId="590" priority="16" stopIfTrue="1" operator="lessThan">
      <formula>-0.03</formula>
    </cfRule>
  </conditionalFormatting>
  <conditionalFormatting sqref="Q436:T438 Q440:T442 Q444:T446">
    <cfRule type="cellIs" dxfId="589" priority="13" operator="greaterThan">
      <formula>0.03</formula>
    </cfRule>
    <cfRule type="cellIs" dxfId="588" priority="14" stopIfTrue="1" operator="lessThan">
      <formula>-0.03</formula>
    </cfRule>
  </conditionalFormatting>
  <conditionalFormatting sqref="Q407:T414">
    <cfRule type="cellIs" dxfId="587" priority="11" operator="greaterThan">
      <formula>0.03</formula>
    </cfRule>
    <cfRule type="cellIs" dxfId="586" priority="12" stopIfTrue="1" operator="lessThan">
      <formula>-0.03</formula>
    </cfRule>
  </conditionalFormatting>
  <conditionalFormatting sqref="Q431:T431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Q435:T435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Q439:T439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Q443:T443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Q447:T447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61"/>
  <sheetViews>
    <sheetView workbookViewId="0">
      <selection activeCell="A4" sqref="A4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178</v>
      </c>
    </row>
    <row r="2" spans="1:21" x14ac:dyDescent="0.25">
      <c r="A2" t="s">
        <v>159</v>
      </c>
    </row>
    <row r="3" spans="1:21" x14ac:dyDescent="0.25">
      <c r="A3" t="s">
        <v>175</v>
      </c>
    </row>
    <row r="4" spans="1:21" x14ac:dyDescent="0.25">
      <c r="A4" t="s">
        <v>160</v>
      </c>
    </row>
    <row r="5" spans="1:21" s="35" customFormat="1" ht="15.75" customHeight="1" x14ac:dyDescent="0.25">
      <c r="B5" s="68" t="s">
        <v>29</v>
      </c>
      <c r="C5" s="73" t="s">
        <v>166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5"/>
    </row>
    <row r="6" spans="1:21" s="35" customFormat="1" x14ac:dyDescent="0.25">
      <c r="B6" s="69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8"/>
    </row>
    <row r="7" spans="1:21" ht="16.5" customHeight="1" thickBot="1" x14ac:dyDescent="0.3">
      <c r="C7" s="70" t="s">
        <v>135</v>
      </c>
      <c r="D7" s="71"/>
      <c r="E7" s="71"/>
      <c r="F7" s="71"/>
      <c r="G7" s="71"/>
      <c r="H7" s="71"/>
      <c r="I7" s="5"/>
      <c r="J7" s="70" t="s">
        <v>140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</row>
    <row r="9" spans="1:21" x14ac:dyDescent="0.25">
      <c r="A9" s="6" t="s">
        <v>35</v>
      </c>
      <c r="B9" s="6" t="s">
        <v>46</v>
      </c>
      <c r="C9" s="15">
        <v>5622.82</v>
      </c>
      <c r="D9" s="16">
        <v>38.622999999999998</v>
      </c>
      <c r="E9" s="16">
        <v>39.718000000000004</v>
      </c>
      <c r="F9" s="16">
        <v>42.183</v>
      </c>
      <c r="G9" s="16">
        <v>0.96</v>
      </c>
      <c r="H9" s="16">
        <f t="shared" ref="H9:H80" si="0">(6*D9+E9+F9)/8</f>
        <v>39.204875000000001</v>
      </c>
      <c r="I9" s="5"/>
      <c r="J9" s="15">
        <v>4084.1568000000002</v>
      </c>
      <c r="K9" s="16">
        <v>38.857399999999998</v>
      </c>
      <c r="L9" s="16">
        <v>40.111499999999999</v>
      </c>
      <c r="M9" s="16">
        <v>42.792999999999999</v>
      </c>
      <c r="N9" s="16">
        <v>1.2776000000000001</v>
      </c>
      <c r="O9" s="16">
        <f t="shared" ref="O9:O80" si="1">(6*K9+L9+M9)/8</f>
        <v>39.5061125</v>
      </c>
      <c r="P9" s="7"/>
      <c r="Q9" s="8">
        <f>bdrate(C9:C12,D9:D12,J9:J12,K9:K12)</f>
        <v>-0.36998359521475099</v>
      </c>
      <c r="R9" s="8">
        <f>bdrate(C9:C12,E9:E12,J9:J12,L9:L12)</f>
        <v>-0.40202940992270497</v>
      </c>
      <c r="S9" s="8">
        <f>bdrate(C9:C12,F9:F12,J9:J12,M9:M12)</f>
        <v>-0.40714636457787567</v>
      </c>
      <c r="T9" s="25">
        <f>bdrate(C9:C12,H9:H12,J9:J12,O9:O12)</f>
        <v>-0.37731712124427175</v>
      </c>
      <c r="U9" s="28">
        <f t="shared" ref="U9:U72" si="2">(N9-G9)/G9</f>
        <v>0.33083333333333348</v>
      </c>
    </row>
    <row r="10" spans="1:21" x14ac:dyDescent="0.25">
      <c r="A10" s="9" t="s">
        <v>36</v>
      </c>
      <c r="B10" s="9"/>
      <c r="C10" s="17">
        <v>4145.47</v>
      </c>
      <c r="D10" s="18">
        <v>37.618000000000002</v>
      </c>
      <c r="E10" s="18">
        <v>39.162999999999997</v>
      </c>
      <c r="F10" s="18">
        <v>41.582999999999998</v>
      </c>
      <c r="G10" s="18">
        <v>1.03</v>
      </c>
      <c r="H10" s="18">
        <f t="shared" si="0"/>
        <v>38.306750000000008</v>
      </c>
      <c r="I10" s="5"/>
      <c r="J10" s="17">
        <v>2961.5632000000001</v>
      </c>
      <c r="K10" s="18">
        <v>37.842599999999997</v>
      </c>
      <c r="L10" s="18">
        <v>39.532499999999999</v>
      </c>
      <c r="M10" s="18">
        <v>42.042499999999997</v>
      </c>
      <c r="N10" s="18">
        <v>1.4976</v>
      </c>
      <c r="O10" s="18">
        <f t="shared" si="1"/>
        <v>38.578824999999995</v>
      </c>
      <c r="P10" s="7"/>
      <c r="Q10" s="10"/>
      <c r="R10" s="11"/>
      <c r="S10" s="11"/>
      <c r="T10" s="26"/>
      <c r="U10" s="28">
        <f t="shared" si="2"/>
        <v>0.45398058252427187</v>
      </c>
    </row>
    <row r="11" spans="1:21" x14ac:dyDescent="0.25">
      <c r="B11" s="9"/>
      <c r="C11" s="17">
        <v>2710.45</v>
      </c>
      <c r="D11" s="18">
        <v>36.003999999999998</v>
      </c>
      <c r="E11" s="18">
        <v>38.366</v>
      </c>
      <c r="F11" s="18">
        <v>40.707999999999998</v>
      </c>
      <c r="G11" s="18">
        <v>1.1200000000000001</v>
      </c>
      <c r="H11" s="18">
        <f t="shared" si="0"/>
        <v>36.887249999999995</v>
      </c>
      <c r="I11" s="5"/>
      <c r="J11" s="17">
        <v>1907.4928</v>
      </c>
      <c r="K11" s="18">
        <v>36.376899999999999</v>
      </c>
      <c r="L11" s="18">
        <v>38.750700000000002</v>
      </c>
      <c r="M11" s="18">
        <v>41.1462</v>
      </c>
      <c r="N11" s="18">
        <v>1.8689</v>
      </c>
      <c r="O11" s="18">
        <f t="shared" si="1"/>
        <v>37.2697875</v>
      </c>
      <c r="P11" s="7"/>
      <c r="Q11" s="10"/>
      <c r="R11" s="11"/>
      <c r="S11" s="11"/>
      <c r="T11" s="26"/>
      <c r="U11" s="28">
        <f t="shared" si="2"/>
        <v>0.66866071428571416</v>
      </c>
    </row>
    <row r="12" spans="1:21" ht="16.5" thickBot="1" x14ac:dyDescent="0.3">
      <c r="B12" s="12"/>
      <c r="C12" s="19">
        <v>1343.83</v>
      </c>
      <c r="D12" s="20">
        <v>32.639000000000003</v>
      </c>
      <c r="E12" s="20">
        <v>37.106000000000002</v>
      </c>
      <c r="F12" s="20">
        <v>39.368000000000002</v>
      </c>
      <c r="G12" s="20">
        <v>1.32</v>
      </c>
      <c r="H12" s="20">
        <f t="shared" si="0"/>
        <v>34.038499999999999</v>
      </c>
      <c r="I12" s="5"/>
      <c r="J12" s="19">
        <v>910.64160000000004</v>
      </c>
      <c r="K12" s="20">
        <v>33.603900000000003</v>
      </c>
      <c r="L12" s="20">
        <v>37.092700000000001</v>
      </c>
      <c r="M12" s="20">
        <v>39.355600000000003</v>
      </c>
      <c r="N12" s="20">
        <v>2.6558000000000002</v>
      </c>
      <c r="O12" s="20">
        <f t="shared" si="1"/>
        <v>34.758962500000003</v>
      </c>
      <c r="P12" s="7"/>
      <c r="Q12" s="13"/>
      <c r="R12" s="14"/>
      <c r="S12" s="14"/>
      <c r="T12" s="27"/>
      <c r="U12" s="28">
        <f t="shared" si="2"/>
        <v>1.011969696969697</v>
      </c>
    </row>
    <row r="13" spans="1:21" x14ac:dyDescent="0.25">
      <c r="B13" s="6" t="s">
        <v>47</v>
      </c>
      <c r="C13" s="15">
        <v>6793.65</v>
      </c>
      <c r="D13" s="16">
        <v>30.731999999999999</v>
      </c>
      <c r="E13" s="16">
        <v>40.463000000000001</v>
      </c>
      <c r="F13" s="16">
        <v>41.128</v>
      </c>
      <c r="G13" s="16">
        <v>0.82</v>
      </c>
      <c r="H13" s="16">
        <f t="shared" si="0"/>
        <v>33.247875000000001</v>
      </c>
      <c r="I13" s="5"/>
      <c r="J13" s="15">
        <v>4159.8512000000001</v>
      </c>
      <c r="K13" s="16">
        <v>30.440200000000001</v>
      </c>
      <c r="L13" s="16">
        <v>40.368000000000002</v>
      </c>
      <c r="M13" s="16">
        <v>41.2821</v>
      </c>
      <c r="N13" s="16">
        <v>0.95420000000000005</v>
      </c>
      <c r="O13" s="16">
        <f t="shared" si="1"/>
        <v>33.036412499999997</v>
      </c>
      <c r="P13" s="7"/>
      <c r="Q13" s="8">
        <f>bdrate(C13:C16,D13:D16,J13:J16,K13:K16)</f>
        <v>-0.4064605416337923</v>
      </c>
      <c r="R13" s="8">
        <f>bdrate(C13:C16,E13:E16,J13:J16,L13:L16)</f>
        <v>-0.26431186893936376</v>
      </c>
      <c r="S13" s="8">
        <f>bdrate(C13:C16,F13:F16,J13:J16,M13:M16)</f>
        <v>-0.37301064980830356</v>
      </c>
      <c r="T13" s="25">
        <f>bdrate(C13:C16,H13:H16,J13:J16,O13:O16)</f>
        <v>-0.39912342305343684</v>
      </c>
      <c r="U13" s="28">
        <f t="shared" si="2"/>
        <v>0.16365853658536597</v>
      </c>
    </row>
    <row r="14" spans="1:21" x14ac:dyDescent="0.25">
      <c r="B14" s="9"/>
      <c r="C14" s="17">
        <v>5113.3</v>
      </c>
      <c r="D14" s="18">
        <v>29.216999999999999</v>
      </c>
      <c r="E14" s="18">
        <v>39.908999999999999</v>
      </c>
      <c r="F14" s="18">
        <v>40.615000000000002</v>
      </c>
      <c r="G14" s="18">
        <v>0.91</v>
      </c>
      <c r="H14" s="18">
        <f t="shared" si="0"/>
        <v>31.978249999999999</v>
      </c>
      <c r="I14" s="5"/>
      <c r="J14" s="17">
        <v>3111.0895999999998</v>
      </c>
      <c r="K14" s="18">
        <v>29.1126</v>
      </c>
      <c r="L14" s="18">
        <v>39.697600000000001</v>
      </c>
      <c r="M14" s="18">
        <v>40.691200000000002</v>
      </c>
      <c r="N14" s="18">
        <v>1.0837000000000001</v>
      </c>
      <c r="O14" s="18">
        <f t="shared" si="1"/>
        <v>31.883050000000001</v>
      </c>
      <c r="P14" s="7"/>
      <c r="Q14" s="10"/>
      <c r="R14" s="11"/>
      <c r="S14" s="11"/>
      <c r="T14" s="26"/>
      <c r="U14" s="28">
        <f t="shared" si="2"/>
        <v>0.19087912087912096</v>
      </c>
    </row>
    <row r="15" spans="1:21" x14ac:dyDescent="0.25">
      <c r="B15" s="9"/>
      <c r="C15" s="17">
        <v>3411.17</v>
      </c>
      <c r="D15" s="18">
        <v>27.119</v>
      </c>
      <c r="E15" s="18">
        <v>39.146000000000001</v>
      </c>
      <c r="F15" s="18">
        <v>39.886000000000003</v>
      </c>
      <c r="G15" s="18">
        <v>1.06</v>
      </c>
      <c r="H15" s="18">
        <f t="shared" si="0"/>
        <v>30.218250000000001</v>
      </c>
      <c r="I15" s="5"/>
      <c r="J15" s="17">
        <v>2071.5120000000002</v>
      </c>
      <c r="K15" s="18">
        <v>27.299600000000002</v>
      </c>
      <c r="L15" s="18">
        <v>38.710900000000002</v>
      </c>
      <c r="M15" s="18">
        <v>39.8675</v>
      </c>
      <c r="N15" s="18">
        <v>1.3012999999999999</v>
      </c>
      <c r="O15" s="18">
        <f t="shared" si="1"/>
        <v>30.297000000000004</v>
      </c>
      <c r="P15" s="7"/>
      <c r="Q15" s="10"/>
      <c r="R15" s="11"/>
      <c r="S15" s="11"/>
      <c r="T15" s="26"/>
      <c r="U15" s="28">
        <f t="shared" si="2"/>
        <v>0.22764150943396211</v>
      </c>
    </row>
    <row r="16" spans="1:21" ht="16.5" thickBot="1" x14ac:dyDescent="0.3">
      <c r="B16" s="12"/>
      <c r="C16" s="19">
        <v>1705.07</v>
      </c>
      <c r="D16" s="20">
        <v>23.632000000000001</v>
      </c>
      <c r="E16" s="20">
        <v>37.802</v>
      </c>
      <c r="F16" s="20">
        <v>38.508000000000003</v>
      </c>
      <c r="G16" s="20">
        <v>1.26</v>
      </c>
      <c r="H16" s="20">
        <f t="shared" si="0"/>
        <v>27.26275</v>
      </c>
      <c r="I16" s="5"/>
      <c r="J16" s="19">
        <v>1308.424</v>
      </c>
      <c r="K16" s="20">
        <v>25.704499999999999</v>
      </c>
      <c r="L16" s="20">
        <v>37.335799999999999</v>
      </c>
      <c r="M16" s="20">
        <v>38.587499999999999</v>
      </c>
      <c r="N16" s="20">
        <v>1.5087999999999999</v>
      </c>
      <c r="O16" s="20">
        <f t="shared" si="1"/>
        <v>28.768787500000002</v>
      </c>
      <c r="P16" s="7"/>
      <c r="Q16" s="13"/>
      <c r="R16" s="14"/>
      <c r="S16" s="14"/>
      <c r="T16" s="27"/>
      <c r="U16" s="28">
        <f t="shared" si="2"/>
        <v>0.19746031746031739</v>
      </c>
    </row>
    <row r="17" spans="1:21" x14ac:dyDescent="0.25">
      <c r="A17" s="6" t="s">
        <v>37</v>
      </c>
      <c r="B17" s="6" t="s">
        <v>48</v>
      </c>
      <c r="C17" s="15">
        <v>3004.57</v>
      </c>
      <c r="D17" s="16">
        <v>39.319000000000003</v>
      </c>
      <c r="E17" s="16">
        <v>42</v>
      </c>
      <c r="F17" s="16">
        <v>43.152000000000001</v>
      </c>
      <c r="G17" s="16">
        <v>1.24</v>
      </c>
      <c r="H17" s="16">
        <f t="shared" si="0"/>
        <v>40.133249999999997</v>
      </c>
      <c r="I17" s="5"/>
      <c r="J17" s="15">
        <v>2451.3960000000002</v>
      </c>
      <c r="K17" s="16">
        <v>39.829799999999999</v>
      </c>
      <c r="L17" s="16">
        <v>42.431399999999996</v>
      </c>
      <c r="M17" s="16">
        <v>44.059399999999997</v>
      </c>
      <c r="N17" s="16">
        <v>1.5893999999999999</v>
      </c>
      <c r="O17" s="16">
        <f t="shared" si="1"/>
        <v>40.683699999999995</v>
      </c>
      <c r="P17" s="7"/>
      <c r="Q17" s="8">
        <f>bdrate(C17:C20,D17:D20,J17:J20,K17:K20)</f>
        <v>-0.37939246815088068</v>
      </c>
      <c r="R17" s="8">
        <f>bdrate(C17:C20,E17:E20,J17:J20,L17:L20)</f>
        <v>-0.39319983686543081</v>
      </c>
      <c r="S17" s="8">
        <f>bdrate(C17:C20,F17:F20,J17:J20,M17:M20)</f>
        <v>-0.48884558679028078</v>
      </c>
      <c r="T17" s="25">
        <f>bdrate(C17:C20,H17:H20,J17:J20,O17:O20)</f>
        <v>-0.38979971647441602</v>
      </c>
      <c r="U17" s="28">
        <f t="shared" si="2"/>
        <v>0.28177419354838706</v>
      </c>
    </row>
    <row r="18" spans="1:21" x14ac:dyDescent="0.25">
      <c r="A18" s="9" t="s">
        <v>38</v>
      </c>
      <c r="B18" s="9"/>
      <c r="C18" s="17">
        <v>1973.12</v>
      </c>
      <c r="D18" s="18">
        <v>37.905000000000001</v>
      </c>
      <c r="E18" s="18">
        <v>41.256</v>
      </c>
      <c r="F18" s="18">
        <v>42.262</v>
      </c>
      <c r="G18" s="18">
        <v>1.39</v>
      </c>
      <c r="H18" s="18">
        <f t="shared" si="0"/>
        <v>38.868500000000004</v>
      </c>
      <c r="I18" s="5"/>
      <c r="J18" s="17">
        <v>1619.5824</v>
      </c>
      <c r="K18" s="18">
        <v>38.658099999999997</v>
      </c>
      <c r="L18" s="18">
        <v>41.756100000000004</v>
      </c>
      <c r="M18" s="18">
        <v>43.185099999999998</v>
      </c>
      <c r="N18" s="18">
        <v>1.9672000000000001</v>
      </c>
      <c r="O18" s="18">
        <f t="shared" si="1"/>
        <v>39.611224999999997</v>
      </c>
      <c r="P18" s="7"/>
      <c r="Q18" s="10"/>
      <c r="R18" s="11"/>
      <c r="S18" s="11"/>
      <c r="T18" s="26"/>
      <c r="U18" s="28">
        <f t="shared" si="2"/>
        <v>0.41525179856115124</v>
      </c>
    </row>
    <row r="19" spans="1:21" x14ac:dyDescent="0.25">
      <c r="B19" s="9"/>
      <c r="C19" s="17">
        <v>1222.5</v>
      </c>
      <c r="D19" s="18">
        <v>36.020000000000003</v>
      </c>
      <c r="E19" s="18">
        <v>40.414999999999999</v>
      </c>
      <c r="F19" s="18">
        <v>41.338999999999999</v>
      </c>
      <c r="G19" s="18">
        <v>1.64</v>
      </c>
      <c r="H19" s="18">
        <f t="shared" si="0"/>
        <v>37.234250000000003</v>
      </c>
      <c r="I19" s="5"/>
      <c r="J19" s="17">
        <v>988.32399999999996</v>
      </c>
      <c r="K19" s="18">
        <v>37.101500000000001</v>
      </c>
      <c r="L19" s="18">
        <v>40.909799999999997</v>
      </c>
      <c r="M19" s="18">
        <v>42.193399999999997</v>
      </c>
      <c r="N19" s="18">
        <v>2.5135999999999998</v>
      </c>
      <c r="O19" s="18">
        <f t="shared" si="1"/>
        <v>38.214024999999999</v>
      </c>
      <c r="P19" s="7"/>
      <c r="Q19" s="10"/>
      <c r="R19" s="11"/>
      <c r="S19" s="11"/>
      <c r="T19" s="26"/>
      <c r="U19" s="28">
        <f t="shared" si="2"/>
        <v>0.53268292682926832</v>
      </c>
    </row>
    <row r="20" spans="1:21" ht="16.5" thickBot="1" x14ac:dyDescent="0.3">
      <c r="B20" s="12"/>
      <c r="C20" s="19">
        <v>727.36</v>
      </c>
      <c r="D20" s="20">
        <v>33.637</v>
      </c>
      <c r="E20" s="20">
        <v>39.509</v>
      </c>
      <c r="F20" s="20">
        <v>40.515999999999998</v>
      </c>
      <c r="G20" s="20">
        <v>2.11</v>
      </c>
      <c r="H20" s="20">
        <f t="shared" si="0"/>
        <v>35.230875000000005</v>
      </c>
      <c r="I20" s="5"/>
      <c r="J20" s="19">
        <v>568.75840000000005</v>
      </c>
      <c r="K20" s="20">
        <v>35.259399999999999</v>
      </c>
      <c r="L20" s="20">
        <v>40.035400000000003</v>
      </c>
      <c r="M20" s="20">
        <v>41.318199999999997</v>
      </c>
      <c r="N20" s="20">
        <v>3.3161999999999998</v>
      </c>
      <c r="O20" s="20">
        <f t="shared" si="1"/>
        <v>36.613750000000003</v>
      </c>
      <c r="P20" s="7"/>
      <c r="Q20" s="13"/>
      <c r="R20" s="14"/>
      <c r="S20" s="14"/>
      <c r="T20" s="27"/>
      <c r="U20" s="28">
        <f t="shared" si="2"/>
        <v>0.5716587677725119</v>
      </c>
    </row>
    <row r="21" spans="1:21" x14ac:dyDescent="0.25">
      <c r="B21" s="6" t="s">
        <v>49</v>
      </c>
      <c r="C21" s="15">
        <v>3378.89</v>
      </c>
      <c r="D21" s="16">
        <v>36.969000000000001</v>
      </c>
      <c r="E21" s="16">
        <v>39.76</v>
      </c>
      <c r="F21" s="16">
        <v>40.902999999999999</v>
      </c>
      <c r="G21" s="16">
        <v>1.26</v>
      </c>
      <c r="H21" s="16">
        <f t="shared" si="0"/>
        <v>37.809625000000004</v>
      </c>
      <c r="I21" s="5"/>
      <c r="J21" s="15">
        <v>2504.3744000000002</v>
      </c>
      <c r="K21" s="16">
        <v>36.981299999999997</v>
      </c>
      <c r="L21" s="16">
        <v>40.668900000000001</v>
      </c>
      <c r="M21" s="16">
        <v>41.905500000000004</v>
      </c>
      <c r="N21" s="16">
        <v>1.8984000000000001</v>
      </c>
      <c r="O21" s="16">
        <f t="shared" si="1"/>
        <v>38.057774999999999</v>
      </c>
      <c r="P21" s="7"/>
      <c r="Q21" s="8">
        <f>bdrate(C21:C24,D21:D24,J21:J24,K21:K24)</f>
        <v>-0.30036081351025234</v>
      </c>
      <c r="R21" s="8">
        <f>bdrate(C21:C24,E21:E24,J21:J24,L21:L24)</f>
        <v>-0.47661283790116571</v>
      </c>
      <c r="S21" s="8">
        <f>bdrate(C21:C24,F21:F24,J21:J24,M21:M24)</f>
        <v>-0.4734306841041791</v>
      </c>
      <c r="T21" s="25">
        <f>bdrate(C21:C24,H21:H24,J21:J24,O21:O24)</f>
        <v>-0.3337452008417664</v>
      </c>
      <c r="U21" s="28">
        <f t="shared" si="2"/>
        <v>0.50666666666666671</v>
      </c>
    </row>
    <row r="22" spans="1:21" x14ac:dyDescent="0.25">
      <c r="B22" s="9"/>
      <c r="C22" s="17">
        <v>2231.5</v>
      </c>
      <c r="D22" s="18">
        <v>35.576000000000001</v>
      </c>
      <c r="E22" s="18">
        <v>38.917000000000002</v>
      </c>
      <c r="F22" s="18">
        <v>40.170999999999999</v>
      </c>
      <c r="G22" s="18">
        <v>1.37</v>
      </c>
      <c r="H22" s="18">
        <f t="shared" si="0"/>
        <v>36.568000000000005</v>
      </c>
      <c r="I22" s="5"/>
      <c r="J22" s="17">
        <v>1676.8288</v>
      </c>
      <c r="K22" s="18">
        <v>35.709000000000003</v>
      </c>
      <c r="L22" s="18">
        <v>39.8185</v>
      </c>
      <c r="M22" s="18">
        <v>41.011000000000003</v>
      </c>
      <c r="N22" s="18">
        <v>2.3414999999999999</v>
      </c>
      <c r="O22" s="18">
        <f t="shared" si="1"/>
        <v>36.885437500000002</v>
      </c>
      <c r="P22" s="7"/>
      <c r="Q22" s="10"/>
      <c r="R22" s="11"/>
      <c r="S22" s="11"/>
      <c r="T22" s="26"/>
      <c r="U22" s="28">
        <f t="shared" si="2"/>
        <v>0.70912408759124068</v>
      </c>
    </row>
    <row r="23" spans="1:21" x14ac:dyDescent="0.25">
      <c r="B23" s="9"/>
      <c r="C23" s="17">
        <v>1390.47</v>
      </c>
      <c r="D23" s="18">
        <v>33.869</v>
      </c>
      <c r="E23" s="18">
        <v>38.054000000000002</v>
      </c>
      <c r="F23" s="18">
        <v>39.435000000000002</v>
      </c>
      <c r="G23" s="18">
        <v>1.52</v>
      </c>
      <c r="H23" s="18">
        <f t="shared" si="0"/>
        <v>35.087874999999997</v>
      </c>
      <c r="I23" s="5"/>
      <c r="J23" s="17">
        <v>1048.2008000000001</v>
      </c>
      <c r="K23" s="18">
        <v>34.165700000000001</v>
      </c>
      <c r="L23" s="18">
        <v>38.7498</v>
      </c>
      <c r="M23" s="18">
        <v>40.002499999999998</v>
      </c>
      <c r="N23" s="18">
        <v>2.9131999999999998</v>
      </c>
      <c r="O23" s="18">
        <f t="shared" si="1"/>
        <v>35.468312499999996</v>
      </c>
      <c r="P23" s="7"/>
      <c r="Q23" s="10"/>
      <c r="R23" s="11"/>
      <c r="S23" s="11"/>
      <c r="T23" s="26"/>
      <c r="U23" s="28">
        <f t="shared" si="2"/>
        <v>0.91657894736842094</v>
      </c>
    </row>
    <row r="24" spans="1:21" ht="16.5" thickBot="1" x14ac:dyDescent="0.3">
      <c r="B24" s="12"/>
      <c r="C24" s="19">
        <v>827.22</v>
      </c>
      <c r="D24" s="20">
        <v>31.937999999999999</v>
      </c>
      <c r="E24" s="20">
        <v>37.253999999999998</v>
      </c>
      <c r="F24" s="20">
        <v>38.802</v>
      </c>
      <c r="G24" s="20">
        <v>1.77</v>
      </c>
      <c r="H24" s="20">
        <f t="shared" si="0"/>
        <v>33.460499999999996</v>
      </c>
      <c r="I24" s="5"/>
      <c r="J24" s="19">
        <v>604.0752</v>
      </c>
      <c r="K24" s="20">
        <v>32.455399999999997</v>
      </c>
      <c r="L24" s="20">
        <v>37.535299999999999</v>
      </c>
      <c r="M24" s="20">
        <v>38.996699999999997</v>
      </c>
      <c r="N24" s="20">
        <v>3.6873</v>
      </c>
      <c r="O24" s="20">
        <f t="shared" si="1"/>
        <v>33.908049999999996</v>
      </c>
      <c r="P24" s="7"/>
      <c r="Q24" s="13"/>
      <c r="R24" s="14"/>
      <c r="S24" s="14"/>
      <c r="T24" s="27"/>
      <c r="U24" s="28">
        <f t="shared" si="2"/>
        <v>1.0832203389830508</v>
      </c>
    </row>
    <row r="25" spans="1:21" x14ac:dyDescent="0.25">
      <c r="B25" s="6" t="s">
        <v>50</v>
      </c>
      <c r="C25" s="15">
        <v>3514.85</v>
      </c>
      <c r="D25" s="16">
        <v>35.061</v>
      </c>
      <c r="E25" s="16">
        <v>38.317</v>
      </c>
      <c r="F25" s="16">
        <v>40.133000000000003</v>
      </c>
      <c r="G25" s="16">
        <v>1.58</v>
      </c>
      <c r="H25" s="16">
        <f t="shared" si="0"/>
        <v>36.101999999999997</v>
      </c>
      <c r="I25" s="5"/>
      <c r="J25" s="15">
        <v>2465.8200000000002</v>
      </c>
      <c r="K25" s="16">
        <v>35.314</v>
      </c>
      <c r="L25" s="16">
        <v>38.585299999999997</v>
      </c>
      <c r="M25" s="16">
        <v>40.962499999999999</v>
      </c>
      <c r="N25" s="16">
        <v>2.5926</v>
      </c>
      <c r="O25" s="16">
        <f t="shared" si="1"/>
        <v>36.428975000000001</v>
      </c>
      <c r="P25" s="7"/>
      <c r="Q25" s="8">
        <f>bdrate(C25:C28,D25:D28,J25:J28,K25:K28)</f>
        <v>-0.42820291827215362</v>
      </c>
      <c r="R25" s="8">
        <f>bdrate(C25:C28,E25:E28,J25:J28,L25:L28)</f>
        <v>-0.44190722381038272</v>
      </c>
      <c r="S25" s="8">
        <f>bdrate(C25:C28,F25:F28,J25:J28,M25:M28)</f>
        <v>-0.4764197413137623</v>
      </c>
      <c r="T25" s="25">
        <f>bdrate(C25:C28,H25:H28,J25:J28,O25:O28)</f>
        <v>-0.43566891029647548</v>
      </c>
      <c r="U25" s="28">
        <f t="shared" si="2"/>
        <v>0.64088607594936697</v>
      </c>
    </row>
    <row r="26" spans="1:21" x14ac:dyDescent="0.25">
      <c r="B26" s="9"/>
      <c r="C26" s="17">
        <v>2336.27</v>
      </c>
      <c r="D26" s="18">
        <v>33.634999999999998</v>
      </c>
      <c r="E26" s="18">
        <v>37.726999999999997</v>
      </c>
      <c r="F26" s="18">
        <v>39.143000000000001</v>
      </c>
      <c r="G26" s="18">
        <v>1.82</v>
      </c>
      <c r="H26" s="18">
        <f t="shared" si="0"/>
        <v>34.835000000000001</v>
      </c>
      <c r="I26" s="5"/>
      <c r="J26" s="17">
        <v>1643.2136</v>
      </c>
      <c r="K26" s="18">
        <v>34.192999999999998</v>
      </c>
      <c r="L26" s="18">
        <v>38.1235</v>
      </c>
      <c r="M26" s="18">
        <v>39.996000000000002</v>
      </c>
      <c r="N26" s="18">
        <v>3.1562000000000001</v>
      </c>
      <c r="O26" s="18">
        <f t="shared" si="1"/>
        <v>35.409687499999997</v>
      </c>
      <c r="P26" s="7"/>
      <c r="Q26" s="10"/>
      <c r="R26" s="11"/>
      <c r="S26" s="11"/>
      <c r="T26" s="26"/>
      <c r="U26" s="28">
        <f t="shared" si="2"/>
        <v>0.73417582417582417</v>
      </c>
    </row>
    <row r="27" spans="1:21" x14ac:dyDescent="0.25">
      <c r="B27" s="9"/>
      <c r="C27" s="17">
        <v>1466.47</v>
      </c>
      <c r="D27" s="18">
        <v>31.771999999999998</v>
      </c>
      <c r="E27" s="18">
        <v>37.054000000000002</v>
      </c>
      <c r="F27" s="18">
        <v>38.017000000000003</v>
      </c>
      <c r="G27" s="18">
        <v>2.12</v>
      </c>
      <c r="H27" s="18">
        <f t="shared" si="0"/>
        <v>33.212875000000004</v>
      </c>
      <c r="I27" s="5"/>
      <c r="J27" s="17">
        <v>1022.2424</v>
      </c>
      <c r="K27" s="18">
        <v>32.613500000000002</v>
      </c>
      <c r="L27" s="18">
        <v>37.383899999999997</v>
      </c>
      <c r="M27" s="18">
        <v>38.694099999999999</v>
      </c>
      <c r="N27" s="18">
        <v>3.9232999999999998</v>
      </c>
      <c r="O27" s="18">
        <f t="shared" si="1"/>
        <v>33.969875000000002</v>
      </c>
      <c r="P27" s="7"/>
      <c r="Q27" s="10"/>
      <c r="R27" s="11"/>
      <c r="S27" s="11"/>
      <c r="T27" s="26"/>
      <c r="U27" s="28">
        <f t="shared" si="2"/>
        <v>0.85061320754716963</v>
      </c>
    </row>
    <row r="28" spans="1:21" ht="16.5" thickBot="1" x14ac:dyDescent="0.3">
      <c r="B28" s="12"/>
      <c r="C28" s="19">
        <v>873.55</v>
      </c>
      <c r="D28" s="20">
        <v>29.507000000000001</v>
      </c>
      <c r="E28" s="20">
        <v>36.35</v>
      </c>
      <c r="F28" s="20">
        <v>36.948999999999998</v>
      </c>
      <c r="G28" s="20">
        <v>2.71</v>
      </c>
      <c r="H28" s="20">
        <f t="shared" si="0"/>
        <v>31.292625000000001</v>
      </c>
      <c r="I28" s="5"/>
      <c r="J28" s="19">
        <v>592.88559999999995</v>
      </c>
      <c r="K28" s="20">
        <v>30.785</v>
      </c>
      <c r="L28" s="20">
        <v>36.488900000000001</v>
      </c>
      <c r="M28" s="20">
        <v>37.305300000000003</v>
      </c>
      <c r="N28" s="20">
        <v>5.2226999999999997</v>
      </c>
      <c r="O28" s="20">
        <f t="shared" si="1"/>
        <v>32.313025000000003</v>
      </c>
      <c r="P28" s="7"/>
      <c r="Q28" s="13"/>
      <c r="R28" s="14"/>
      <c r="S28" s="14"/>
      <c r="T28" s="27"/>
      <c r="U28" s="28">
        <f t="shared" si="2"/>
        <v>0.92719557195571944</v>
      </c>
    </row>
    <row r="29" spans="1:21" x14ac:dyDescent="0.25">
      <c r="B29" s="6" t="s">
        <v>51</v>
      </c>
      <c r="C29" s="29">
        <v>3574.93</v>
      </c>
      <c r="D29" s="30">
        <v>34.622999999999998</v>
      </c>
      <c r="E29" s="30">
        <v>40.091999999999999</v>
      </c>
      <c r="F29" s="30">
        <v>39.825000000000003</v>
      </c>
      <c r="G29" s="16">
        <v>1.29</v>
      </c>
      <c r="H29" s="16">
        <f t="shared" si="0"/>
        <v>35.956874999999997</v>
      </c>
      <c r="I29" s="5"/>
      <c r="J29" s="29">
        <v>2479.7991999999999</v>
      </c>
      <c r="K29" s="30">
        <v>35.060400000000001</v>
      </c>
      <c r="L29" s="30">
        <v>40.990600000000001</v>
      </c>
      <c r="M29" s="30">
        <v>40.546799999999998</v>
      </c>
      <c r="N29" s="16">
        <v>2.2347000000000001</v>
      </c>
      <c r="O29" s="16">
        <f t="shared" si="1"/>
        <v>36.487475000000003</v>
      </c>
      <c r="P29" s="7"/>
      <c r="Q29" s="8">
        <f>bdrate(C29:C32,D29:D32,J29:J32,K29:K32)</f>
        <v>-0.4822071082874434</v>
      </c>
      <c r="R29" s="8">
        <f>bdrate(C29:C32,E29:E32,J29:J32,L29:L32)</f>
        <v>-0.54674033369966435</v>
      </c>
      <c r="S29" s="8">
        <f>bdrate(C29:C32,F29:F32,J29:J32,M29:M32)</f>
        <v>-0.42464739655081962</v>
      </c>
      <c r="T29" s="25">
        <f>bdrate(C29:C32,H29:H32,J29:J32,O29:O32)</f>
        <v>-0.48433301199867917</v>
      </c>
      <c r="U29" s="28">
        <f t="shared" si="2"/>
        <v>0.73232558139534887</v>
      </c>
    </row>
    <row r="30" spans="1:21" x14ac:dyDescent="0.25">
      <c r="B30" s="9"/>
      <c r="C30" s="31">
        <v>2379.0100000000002</v>
      </c>
      <c r="D30" s="32">
        <v>32.954000000000001</v>
      </c>
      <c r="E30" s="32">
        <v>39.212000000000003</v>
      </c>
      <c r="F30" s="32">
        <v>38.728000000000002</v>
      </c>
      <c r="G30" s="18">
        <v>1.55</v>
      </c>
      <c r="H30" s="18">
        <f t="shared" si="0"/>
        <v>34.457999999999998</v>
      </c>
      <c r="I30" s="5"/>
      <c r="J30" s="31">
        <v>1649.2095999999999</v>
      </c>
      <c r="K30" s="32">
        <v>33.789900000000003</v>
      </c>
      <c r="L30" s="32">
        <v>40.142099999999999</v>
      </c>
      <c r="M30" s="32">
        <v>39.303699999999999</v>
      </c>
      <c r="N30" s="18">
        <v>2.7147000000000001</v>
      </c>
      <c r="O30" s="18">
        <f t="shared" si="1"/>
        <v>35.273150000000001</v>
      </c>
      <c r="P30" s="7"/>
      <c r="Q30" s="10"/>
      <c r="R30" s="11"/>
      <c r="S30" s="11"/>
      <c r="T30" s="26"/>
      <c r="U30" s="28">
        <f t="shared" si="2"/>
        <v>0.7514193548387097</v>
      </c>
    </row>
    <row r="31" spans="1:21" x14ac:dyDescent="0.25">
      <c r="B31" s="9"/>
      <c r="C31" s="31">
        <v>1472.17</v>
      </c>
      <c r="D31" s="32">
        <v>30.582000000000001</v>
      </c>
      <c r="E31" s="32">
        <v>38.143999999999998</v>
      </c>
      <c r="F31" s="32">
        <v>37.326999999999998</v>
      </c>
      <c r="G31" s="18">
        <v>2.14</v>
      </c>
      <c r="H31" s="18">
        <f t="shared" si="0"/>
        <v>32.370375000000003</v>
      </c>
      <c r="I31" s="5"/>
      <c r="J31" s="31">
        <v>1032.1584</v>
      </c>
      <c r="K31" s="32">
        <v>32.203400000000002</v>
      </c>
      <c r="L31" s="32">
        <v>39.1539</v>
      </c>
      <c r="M31" s="32">
        <v>37.881999999999998</v>
      </c>
      <c r="N31" s="18">
        <v>3.3376999999999999</v>
      </c>
      <c r="O31" s="18">
        <f t="shared" si="1"/>
        <v>33.782037500000001</v>
      </c>
      <c r="P31" s="7"/>
      <c r="Q31" s="10"/>
      <c r="R31" s="11"/>
      <c r="S31" s="11"/>
      <c r="T31" s="26"/>
      <c r="U31" s="28">
        <f t="shared" si="2"/>
        <v>0.55967289719626157</v>
      </c>
    </row>
    <row r="32" spans="1:21" ht="16.5" thickBot="1" x14ac:dyDescent="0.3">
      <c r="B32" s="12"/>
      <c r="C32" s="33">
        <v>877.26</v>
      </c>
      <c r="D32" s="34">
        <v>27.506</v>
      </c>
      <c r="E32" s="34">
        <v>37.002000000000002</v>
      </c>
      <c r="F32" s="34">
        <v>35.36</v>
      </c>
      <c r="G32" s="20">
        <v>3.06</v>
      </c>
      <c r="H32" s="20">
        <f t="shared" si="0"/>
        <v>29.674750000000003</v>
      </c>
      <c r="I32" s="5"/>
      <c r="J32" s="33">
        <v>616.37599999999998</v>
      </c>
      <c r="K32" s="34">
        <v>30.38</v>
      </c>
      <c r="L32" s="34">
        <v>37.842300000000002</v>
      </c>
      <c r="M32" s="34">
        <v>36.2348</v>
      </c>
      <c r="N32" s="20">
        <v>4.4359999999999999</v>
      </c>
      <c r="O32" s="20">
        <f t="shared" si="1"/>
        <v>32.0446375</v>
      </c>
      <c r="P32" s="7"/>
      <c r="Q32" s="13"/>
      <c r="R32" s="14"/>
      <c r="S32" s="14"/>
      <c r="T32" s="27"/>
      <c r="U32" s="28">
        <f t="shared" si="2"/>
        <v>0.44967320261437904</v>
      </c>
    </row>
    <row r="33" spans="1:21" x14ac:dyDescent="0.25">
      <c r="B33" s="6" t="s">
        <v>52</v>
      </c>
      <c r="C33" s="15">
        <v>3536.44</v>
      </c>
      <c r="D33" s="16">
        <v>33.85</v>
      </c>
      <c r="E33" s="16">
        <v>39.384</v>
      </c>
      <c r="F33" s="16">
        <v>42.061</v>
      </c>
      <c r="G33" s="16">
        <v>1.31</v>
      </c>
      <c r="H33" s="16">
        <f t="shared" si="0"/>
        <v>35.568125000000002</v>
      </c>
      <c r="I33" s="5"/>
      <c r="J33" s="15">
        <v>2443.2112000000002</v>
      </c>
      <c r="K33" s="16">
        <v>34.189700000000002</v>
      </c>
      <c r="L33" s="16">
        <v>40.198900000000002</v>
      </c>
      <c r="M33" s="16">
        <v>42.631900000000002</v>
      </c>
      <c r="N33" s="16">
        <v>2.8835000000000002</v>
      </c>
      <c r="O33" s="16">
        <f t="shared" si="1"/>
        <v>35.996125000000006</v>
      </c>
      <c r="P33" s="7"/>
      <c r="Q33" s="8">
        <f>bdrate(C33:C36,D33:D36,J33:J36,K33:K36)</f>
        <v>-0.47499776251113257</v>
      </c>
      <c r="R33" s="8">
        <f>bdrate(C33:C36,E33:E36,J33:J36,L33:L36)</f>
        <v>-0.5338742807621083</v>
      </c>
      <c r="S33" s="8">
        <f>bdrate(C33:C36,F33:F36,J33:J36,M33:M36)</f>
        <v>-0.49436798044890562</v>
      </c>
      <c r="T33" s="25">
        <f>bdrate(C33:C36,H33:H36,J33:J36,O33:O36)</f>
        <v>-0.48413911877615301</v>
      </c>
      <c r="U33" s="28">
        <f t="shared" si="2"/>
        <v>1.2011450381679389</v>
      </c>
    </row>
    <row r="34" spans="1:21" x14ac:dyDescent="0.25">
      <c r="B34" s="9"/>
      <c r="C34" s="17">
        <v>2320.04</v>
      </c>
      <c r="D34" s="18">
        <v>33.058</v>
      </c>
      <c r="E34" s="18">
        <v>38.942999999999998</v>
      </c>
      <c r="F34" s="18">
        <v>41.609000000000002</v>
      </c>
      <c r="G34" s="18">
        <v>1.47</v>
      </c>
      <c r="H34" s="18">
        <f t="shared" si="0"/>
        <v>34.862499999999997</v>
      </c>
      <c r="I34" s="5"/>
      <c r="J34" s="17">
        <v>1604.3871999999999</v>
      </c>
      <c r="K34" s="18">
        <v>33.546799999999998</v>
      </c>
      <c r="L34" s="18">
        <v>39.676000000000002</v>
      </c>
      <c r="M34" s="18">
        <v>42.204300000000003</v>
      </c>
      <c r="N34" s="18">
        <v>3.5554000000000001</v>
      </c>
      <c r="O34" s="18">
        <f t="shared" si="1"/>
        <v>35.395137499999997</v>
      </c>
      <c r="P34" s="7"/>
      <c r="Q34" s="10"/>
      <c r="R34" s="11"/>
      <c r="S34" s="11"/>
      <c r="T34" s="26"/>
      <c r="U34" s="28">
        <f t="shared" si="2"/>
        <v>1.418639455782313</v>
      </c>
    </row>
    <row r="35" spans="1:21" x14ac:dyDescent="0.25">
      <c r="B35" s="9"/>
      <c r="C35" s="17">
        <v>1423.44</v>
      </c>
      <c r="D35" s="18">
        <v>31.736999999999998</v>
      </c>
      <c r="E35" s="18">
        <v>38.427999999999997</v>
      </c>
      <c r="F35" s="18">
        <v>41.097000000000001</v>
      </c>
      <c r="G35" s="18">
        <v>1.79</v>
      </c>
      <c r="H35" s="18">
        <f t="shared" si="0"/>
        <v>33.743375</v>
      </c>
      <c r="I35" s="5"/>
      <c r="J35" s="17">
        <v>989.70640000000003</v>
      </c>
      <c r="K35" s="18">
        <v>32.549300000000002</v>
      </c>
      <c r="L35" s="18">
        <v>38.875999999999998</v>
      </c>
      <c r="M35" s="18">
        <v>41.460799999999999</v>
      </c>
      <c r="N35" s="18">
        <v>4.7945000000000002</v>
      </c>
      <c r="O35" s="18">
        <f t="shared" si="1"/>
        <v>34.454075000000003</v>
      </c>
      <c r="P35" s="7"/>
      <c r="Q35" s="10"/>
      <c r="R35" s="11"/>
      <c r="S35" s="11"/>
      <c r="T35" s="26"/>
      <c r="U35" s="28">
        <f t="shared" si="2"/>
        <v>1.6784916201117319</v>
      </c>
    </row>
    <row r="36" spans="1:21" ht="16.5" thickBot="1" x14ac:dyDescent="0.3">
      <c r="B36" s="12"/>
      <c r="C36" s="19">
        <v>834.23</v>
      </c>
      <c r="D36" s="20">
        <v>29.638999999999999</v>
      </c>
      <c r="E36" s="20">
        <v>37.734000000000002</v>
      </c>
      <c r="F36" s="20">
        <v>40.295999999999999</v>
      </c>
      <c r="G36" s="20">
        <v>2.2799999999999998</v>
      </c>
      <c r="H36" s="20">
        <f t="shared" si="0"/>
        <v>31.983000000000001</v>
      </c>
      <c r="I36" s="5"/>
      <c r="J36" s="19">
        <v>602.3184</v>
      </c>
      <c r="K36" s="20">
        <v>31.1052</v>
      </c>
      <c r="L36" s="20">
        <v>38.132399999999997</v>
      </c>
      <c r="M36" s="20">
        <v>40.632399999999997</v>
      </c>
      <c r="N36" s="20">
        <v>6.7271999999999998</v>
      </c>
      <c r="O36" s="20">
        <f t="shared" si="1"/>
        <v>33.174500000000002</v>
      </c>
      <c r="P36" s="7"/>
      <c r="Q36" s="13"/>
      <c r="R36" s="14"/>
      <c r="S36" s="14"/>
      <c r="T36" s="27"/>
      <c r="U36" s="28">
        <f t="shared" si="2"/>
        <v>1.9505263157894741</v>
      </c>
    </row>
    <row r="37" spans="1:21" x14ac:dyDescent="0.25">
      <c r="A37" s="6" t="s">
        <v>39</v>
      </c>
      <c r="B37" s="6" t="s">
        <v>53</v>
      </c>
      <c r="C37" s="15">
        <v>1552.54</v>
      </c>
      <c r="D37" s="16">
        <v>36.021000000000001</v>
      </c>
      <c r="E37" s="16">
        <v>39.420999999999999</v>
      </c>
      <c r="F37" s="16">
        <v>39.347000000000001</v>
      </c>
      <c r="G37" s="16">
        <v>6.78</v>
      </c>
      <c r="H37" s="16">
        <f t="shared" si="0"/>
        <v>36.861750000000001</v>
      </c>
      <c r="I37" s="5"/>
      <c r="J37" s="15">
        <v>1273.7064</v>
      </c>
      <c r="K37" s="16">
        <v>37.075099999999999</v>
      </c>
      <c r="L37" s="16">
        <v>40.7547</v>
      </c>
      <c r="M37" s="16">
        <v>40.787700000000001</v>
      </c>
      <c r="N37" s="16">
        <v>6.1296999999999997</v>
      </c>
      <c r="O37" s="16">
        <f t="shared" si="1"/>
        <v>37.999125000000006</v>
      </c>
      <c r="P37" s="7"/>
      <c r="Q37" s="8">
        <f>bdrate(C37:C40,D37:D40,J37:J40,K37:K40)</f>
        <v>-0.34705438796885557</v>
      </c>
      <c r="R37" s="8">
        <f>bdrate(C37:C40,E37:E40,J37:J40,L37:L40)</f>
        <v>-0.43790951187679417</v>
      </c>
      <c r="S37" s="8">
        <f>bdrate(C37:C40,F37:F40,J37:J40,M37:M40)</f>
        <v>-0.41286623965200253</v>
      </c>
      <c r="T37" s="25">
        <f>bdrate(C37:C40,H37:H40,J37:J40,O37:O40)</f>
        <v>-0.36468583741585092</v>
      </c>
      <c r="U37" s="28">
        <f t="shared" si="2"/>
        <v>-9.5914454277286218E-2</v>
      </c>
    </row>
    <row r="38" spans="1:21" x14ac:dyDescent="0.25">
      <c r="A38" s="9" t="s">
        <v>40</v>
      </c>
      <c r="B38" s="9"/>
      <c r="C38" s="17">
        <v>1036.72</v>
      </c>
      <c r="D38" s="18">
        <v>34.387999999999998</v>
      </c>
      <c r="E38" s="18">
        <v>37.960999999999999</v>
      </c>
      <c r="F38" s="18">
        <v>37.779000000000003</v>
      </c>
      <c r="G38" s="18">
        <v>7.69</v>
      </c>
      <c r="H38" s="18">
        <f t="shared" si="0"/>
        <v>35.258499999999998</v>
      </c>
      <c r="I38" s="5"/>
      <c r="J38" s="17">
        <v>845.79039999999998</v>
      </c>
      <c r="K38" s="18">
        <v>35.227699999999999</v>
      </c>
      <c r="L38" s="18">
        <v>39.273800000000001</v>
      </c>
      <c r="M38" s="18">
        <v>39.093800000000002</v>
      </c>
      <c r="N38" s="18">
        <v>7.2175000000000002</v>
      </c>
      <c r="O38" s="18">
        <f t="shared" si="1"/>
        <v>36.216724999999997</v>
      </c>
      <c r="P38" s="7"/>
      <c r="Q38" s="10"/>
      <c r="R38" s="11"/>
      <c r="S38" s="11"/>
      <c r="T38" s="26"/>
      <c r="U38" s="28">
        <f t="shared" si="2"/>
        <v>-6.1443433029908991E-2</v>
      </c>
    </row>
    <row r="39" spans="1:21" x14ac:dyDescent="0.25">
      <c r="B39" s="9"/>
      <c r="C39" s="17">
        <v>644.08000000000004</v>
      </c>
      <c r="D39" s="18">
        <v>32.392000000000003</v>
      </c>
      <c r="E39" s="18">
        <v>36.527000000000001</v>
      </c>
      <c r="F39" s="18">
        <v>36.218000000000004</v>
      </c>
      <c r="G39" s="18">
        <v>9.32</v>
      </c>
      <c r="H39" s="18">
        <f t="shared" si="0"/>
        <v>33.387125000000005</v>
      </c>
      <c r="I39" s="5"/>
      <c r="J39" s="17">
        <v>526.16319999999996</v>
      </c>
      <c r="K39" s="18">
        <v>33.320500000000003</v>
      </c>
      <c r="L39" s="18">
        <v>37.677900000000001</v>
      </c>
      <c r="M39" s="18">
        <v>37.303699999999999</v>
      </c>
      <c r="N39" s="18">
        <v>8.8295999999999992</v>
      </c>
      <c r="O39" s="18">
        <f t="shared" si="1"/>
        <v>34.363075000000002</v>
      </c>
      <c r="P39" s="7"/>
      <c r="Q39" s="10"/>
      <c r="R39" s="11"/>
      <c r="S39" s="11"/>
      <c r="T39" s="26"/>
      <c r="U39" s="28">
        <f t="shared" si="2"/>
        <v>-5.2618025751073071E-2</v>
      </c>
    </row>
    <row r="40" spans="1:21" ht="16.5" thickBot="1" x14ac:dyDescent="0.3">
      <c r="B40" s="12"/>
      <c r="C40" s="19">
        <v>383.21</v>
      </c>
      <c r="D40" s="20">
        <v>29.995000000000001</v>
      </c>
      <c r="E40" s="20">
        <v>35.249000000000002</v>
      </c>
      <c r="F40" s="20">
        <v>34.692</v>
      </c>
      <c r="G40" s="20">
        <v>12.43</v>
      </c>
      <c r="H40" s="20">
        <f t="shared" si="0"/>
        <v>31.238875</v>
      </c>
      <c r="I40" s="5"/>
      <c r="J40" s="19">
        <v>316.14400000000001</v>
      </c>
      <c r="K40" s="20">
        <v>31.366199999999999</v>
      </c>
      <c r="L40" s="20">
        <v>36.034799999999997</v>
      </c>
      <c r="M40" s="20">
        <v>35.526600000000002</v>
      </c>
      <c r="N40" s="20">
        <v>11.0909</v>
      </c>
      <c r="O40" s="20">
        <f t="shared" si="1"/>
        <v>32.469825</v>
      </c>
      <c r="P40" s="7"/>
      <c r="Q40" s="13"/>
      <c r="R40" s="14"/>
      <c r="S40" s="14"/>
      <c r="T40" s="27"/>
      <c r="U40" s="28">
        <f t="shared" si="2"/>
        <v>-0.10773129525341917</v>
      </c>
    </row>
    <row r="41" spans="1:21" x14ac:dyDescent="0.25">
      <c r="B41" s="6" t="s">
        <v>54</v>
      </c>
      <c r="C41" s="15">
        <v>1584.93</v>
      </c>
      <c r="D41" s="16">
        <v>36.213000000000001</v>
      </c>
      <c r="E41" s="16">
        <v>40.371000000000002</v>
      </c>
      <c r="F41" s="16">
        <v>41.237000000000002</v>
      </c>
      <c r="G41" s="16">
        <v>7.39</v>
      </c>
      <c r="H41" s="16">
        <f t="shared" si="0"/>
        <v>37.360750000000003</v>
      </c>
      <c r="I41" s="5"/>
      <c r="J41" s="15">
        <v>1282.0719999999999</v>
      </c>
      <c r="K41" s="16">
        <v>36.695599999999999</v>
      </c>
      <c r="L41" s="16">
        <v>41.543799999999997</v>
      </c>
      <c r="M41" s="16">
        <v>42.578600000000002</v>
      </c>
      <c r="N41" s="16">
        <v>7.4606000000000003</v>
      </c>
      <c r="O41" s="16">
        <f t="shared" si="1"/>
        <v>38.036999999999999</v>
      </c>
      <c r="P41" s="7"/>
      <c r="Q41" s="8">
        <f>bdrate(C41:C44,D41:D44,J41:J44,K41:K44)</f>
        <v>-0.33247640772188891</v>
      </c>
      <c r="R41" s="8">
        <f>bdrate(C41:C44,E41:E44,J41:J44,L41:L44)</f>
        <v>-0.4383089786721428</v>
      </c>
      <c r="S41" s="8">
        <f>bdrate(C41:C44,F41:F44,J41:J44,M41:M44)</f>
        <v>-0.43056794405774246</v>
      </c>
      <c r="T41" s="25">
        <f>bdrate(C41:C44,H41:H44,J41:J44,O41:O44)</f>
        <v>-0.35283994460159429</v>
      </c>
      <c r="U41" s="28">
        <f t="shared" si="2"/>
        <v>9.5534506089310772E-3</v>
      </c>
    </row>
    <row r="42" spans="1:21" x14ac:dyDescent="0.25">
      <c r="B42" s="9"/>
      <c r="C42" s="17">
        <v>1056.6199999999999</v>
      </c>
      <c r="D42" s="18">
        <v>34.462000000000003</v>
      </c>
      <c r="E42" s="18">
        <v>39.402000000000001</v>
      </c>
      <c r="F42" s="18">
        <v>40.149000000000001</v>
      </c>
      <c r="G42" s="18">
        <v>8.1999999999999993</v>
      </c>
      <c r="H42" s="18">
        <f t="shared" si="0"/>
        <v>35.790375000000004</v>
      </c>
      <c r="I42" s="5"/>
      <c r="J42" s="17">
        <v>854.2328</v>
      </c>
      <c r="K42" s="18">
        <v>35.133099999999999</v>
      </c>
      <c r="L42" s="18">
        <v>40.487499999999997</v>
      </c>
      <c r="M42" s="18">
        <v>41.332000000000001</v>
      </c>
      <c r="N42" s="18">
        <v>8.9882000000000009</v>
      </c>
      <c r="O42" s="18">
        <f t="shared" si="1"/>
        <v>36.577262499999996</v>
      </c>
      <c r="P42" s="7"/>
      <c r="Q42" s="10"/>
      <c r="R42" s="11"/>
      <c r="S42" s="11"/>
      <c r="T42" s="26"/>
      <c r="U42" s="28">
        <f t="shared" si="2"/>
        <v>9.6121951219512392E-2</v>
      </c>
    </row>
    <row r="43" spans="1:21" x14ac:dyDescent="0.25">
      <c r="B43" s="9"/>
      <c r="C43" s="17">
        <v>660</v>
      </c>
      <c r="D43" s="18">
        <v>32.274999999999999</v>
      </c>
      <c r="E43" s="18">
        <v>38.350999999999999</v>
      </c>
      <c r="F43" s="18">
        <v>39.006</v>
      </c>
      <c r="G43" s="18">
        <v>9.41</v>
      </c>
      <c r="H43" s="18">
        <f t="shared" si="0"/>
        <v>33.875874999999994</v>
      </c>
      <c r="I43" s="5"/>
      <c r="J43" s="17">
        <v>533.21680000000003</v>
      </c>
      <c r="K43" s="18">
        <v>33.215699999999998</v>
      </c>
      <c r="L43" s="18">
        <v>39.165199999999999</v>
      </c>
      <c r="M43" s="18">
        <v>39.877200000000002</v>
      </c>
      <c r="N43" s="18">
        <v>11.107200000000001</v>
      </c>
      <c r="O43" s="18">
        <f t="shared" si="1"/>
        <v>34.792074999999997</v>
      </c>
      <c r="P43" s="7"/>
      <c r="Q43" s="10"/>
      <c r="R43" s="11"/>
      <c r="S43" s="11"/>
      <c r="T43" s="26"/>
      <c r="U43" s="28">
        <f t="shared" si="2"/>
        <v>0.18036131774707762</v>
      </c>
    </row>
    <row r="44" spans="1:21" ht="16.5" thickBot="1" x14ac:dyDescent="0.3">
      <c r="B44" s="12"/>
      <c r="C44" s="19">
        <v>395.75</v>
      </c>
      <c r="D44" s="20">
        <v>29.696000000000002</v>
      </c>
      <c r="E44" s="20">
        <v>37.362000000000002</v>
      </c>
      <c r="F44" s="20">
        <v>37.871000000000002</v>
      </c>
      <c r="G44" s="20">
        <v>11.01</v>
      </c>
      <c r="H44" s="20">
        <f t="shared" si="0"/>
        <v>31.676125000000003</v>
      </c>
      <c r="I44" s="5"/>
      <c r="J44" s="19">
        <v>319.7312</v>
      </c>
      <c r="K44" s="20">
        <v>31.088799999999999</v>
      </c>
      <c r="L44" s="20">
        <v>37.849299999999999</v>
      </c>
      <c r="M44" s="20">
        <v>38.370699999999999</v>
      </c>
      <c r="N44" s="20">
        <v>14.031499999999999</v>
      </c>
      <c r="O44" s="20">
        <f t="shared" si="1"/>
        <v>32.844099999999997</v>
      </c>
      <c r="P44" s="7"/>
      <c r="Q44" s="13"/>
      <c r="R44" s="14"/>
      <c r="S44" s="14"/>
      <c r="T44" s="27"/>
      <c r="U44" s="28">
        <f t="shared" si="2"/>
        <v>0.27443233424159852</v>
      </c>
    </row>
    <row r="45" spans="1:21" x14ac:dyDescent="0.25">
      <c r="B45" s="6" t="s">
        <v>55</v>
      </c>
      <c r="C45" s="15">
        <v>1425.48</v>
      </c>
      <c r="D45" s="16">
        <v>30.654</v>
      </c>
      <c r="E45" s="16">
        <v>36.037999999999997</v>
      </c>
      <c r="F45" s="16">
        <v>36.747999999999998</v>
      </c>
      <c r="G45" s="16">
        <v>5.85</v>
      </c>
      <c r="H45" s="16">
        <f t="shared" si="0"/>
        <v>32.088749999999997</v>
      </c>
      <c r="I45" s="5"/>
      <c r="J45" s="15">
        <v>1262.4464</v>
      </c>
      <c r="K45" s="16">
        <v>31.617599999999999</v>
      </c>
      <c r="L45" s="16">
        <v>37.392800000000001</v>
      </c>
      <c r="M45" s="16">
        <v>38.226199999999999</v>
      </c>
      <c r="N45" s="16">
        <v>7.7191000000000001</v>
      </c>
      <c r="O45" s="16">
        <f t="shared" si="1"/>
        <v>33.165574999999997</v>
      </c>
      <c r="P45" s="7"/>
      <c r="Q45" s="8">
        <f>bdrate(C45:C48,D45:D48,J45:J48,K45:K48)</f>
        <v>-0.36030575348678051</v>
      </c>
      <c r="R45" s="8">
        <f>bdrate(C45:C48,E45:E48,J45:J48,L45:L48)</f>
        <v>-0.4305700305998561</v>
      </c>
      <c r="S45" s="8">
        <f>bdrate(C45:C48,F45:F48,J45:J48,M45:M48)</f>
        <v>-0.42606186905671761</v>
      </c>
      <c r="T45" s="25">
        <f>bdrate(C45:C48,H45:H48,J45:J48,O45:O48)</f>
        <v>-0.37609174198656037</v>
      </c>
      <c r="U45" s="28">
        <f t="shared" si="2"/>
        <v>0.31950427350427357</v>
      </c>
    </row>
    <row r="46" spans="1:21" x14ac:dyDescent="0.25">
      <c r="B46" s="9"/>
      <c r="C46" s="17">
        <v>951.73</v>
      </c>
      <c r="D46" s="18">
        <v>29.132000000000001</v>
      </c>
      <c r="E46" s="18">
        <v>35.32</v>
      </c>
      <c r="F46" s="18">
        <v>36.061999999999998</v>
      </c>
      <c r="G46" s="18">
        <v>6.45</v>
      </c>
      <c r="H46" s="18">
        <f t="shared" si="0"/>
        <v>30.771749999999997</v>
      </c>
      <c r="I46" s="5"/>
      <c r="J46" s="17">
        <v>841.18640000000005</v>
      </c>
      <c r="K46" s="18">
        <v>30.193300000000001</v>
      </c>
      <c r="L46" s="18">
        <v>36.430399999999999</v>
      </c>
      <c r="M46" s="18">
        <v>37.226199999999999</v>
      </c>
      <c r="N46" s="18">
        <v>9.3239999999999998</v>
      </c>
      <c r="O46" s="18">
        <f t="shared" si="1"/>
        <v>31.852050000000002</v>
      </c>
      <c r="P46" s="7"/>
      <c r="Q46" s="10"/>
      <c r="R46" s="11"/>
      <c r="S46" s="11"/>
      <c r="T46" s="26"/>
      <c r="U46" s="28">
        <f t="shared" si="2"/>
        <v>0.44558139534883717</v>
      </c>
    </row>
    <row r="47" spans="1:21" x14ac:dyDescent="0.25">
      <c r="B47" s="9"/>
      <c r="C47" s="17">
        <v>597.21</v>
      </c>
      <c r="D47" s="18">
        <v>27.486000000000001</v>
      </c>
      <c r="E47" s="18">
        <v>34.679000000000002</v>
      </c>
      <c r="F47" s="18">
        <v>35.415999999999997</v>
      </c>
      <c r="G47" s="18">
        <v>7.1</v>
      </c>
      <c r="H47" s="18">
        <f t="shared" si="0"/>
        <v>29.376374999999999</v>
      </c>
      <c r="I47" s="5"/>
      <c r="J47" s="17">
        <v>523.58159999999998</v>
      </c>
      <c r="K47" s="18">
        <v>28.618099999999998</v>
      </c>
      <c r="L47" s="18">
        <v>35.403599999999997</v>
      </c>
      <c r="M47" s="18">
        <v>36.134500000000003</v>
      </c>
      <c r="N47" s="18">
        <v>11.605</v>
      </c>
      <c r="O47" s="18">
        <f t="shared" si="1"/>
        <v>30.405837499999997</v>
      </c>
      <c r="P47" s="7"/>
      <c r="Q47" s="10"/>
      <c r="R47" s="11"/>
      <c r="S47" s="11"/>
      <c r="T47" s="26"/>
      <c r="U47" s="28">
        <f t="shared" si="2"/>
        <v>0.63450704225352128</v>
      </c>
    </row>
    <row r="48" spans="1:21" ht="16.5" thickBot="1" x14ac:dyDescent="0.3">
      <c r="B48" s="12"/>
      <c r="C48" s="19">
        <v>359.68</v>
      </c>
      <c r="D48" s="20">
        <v>25.751999999999999</v>
      </c>
      <c r="E48" s="20">
        <v>34.098999999999997</v>
      </c>
      <c r="F48" s="20">
        <v>34.831000000000003</v>
      </c>
      <c r="G48" s="20">
        <v>7.77</v>
      </c>
      <c r="H48" s="20">
        <f t="shared" si="0"/>
        <v>27.930250000000001</v>
      </c>
      <c r="I48" s="5"/>
      <c r="J48" s="19">
        <v>313.14319999999998</v>
      </c>
      <c r="K48" s="20">
        <v>26.952999999999999</v>
      </c>
      <c r="L48" s="20">
        <v>34.2545</v>
      </c>
      <c r="M48" s="20">
        <v>34.972700000000003</v>
      </c>
      <c r="N48" s="20">
        <v>14.6464</v>
      </c>
      <c r="O48" s="20">
        <f t="shared" si="1"/>
        <v>28.86815</v>
      </c>
      <c r="P48" s="7"/>
      <c r="Q48" s="13"/>
      <c r="R48" s="14"/>
      <c r="S48" s="14"/>
      <c r="T48" s="27"/>
      <c r="U48" s="28">
        <f t="shared" si="2"/>
        <v>0.88499356499356507</v>
      </c>
    </row>
    <row r="49" spans="1:21" x14ac:dyDescent="0.25">
      <c r="B49" s="6" t="s">
        <v>56</v>
      </c>
      <c r="C49" s="15">
        <v>1426.13</v>
      </c>
      <c r="D49" s="16">
        <v>33.726999999999997</v>
      </c>
      <c r="E49" s="16">
        <v>37.131</v>
      </c>
      <c r="F49" s="16">
        <v>38.896999999999998</v>
      </c>
      <c r="G49" s="16">
        <v>5.01</v>
      </c>
      <c r="H49" s="16">
        <f t="shared" si="0"/>
        <v>34.798749999999998</v>
      </c>
      <c r="I49" s="5"/>
      <c r="J49" s="15">
        <v>1261.96</v>
      </c>
      <c r="K49" s="16">
        <v>33.906799999999997</v>
      </c>
      <c r="L49" s="16">
        <v>37.958799999999997</v>
      </c>
      <c r="M49" s="16">
        <v>39.598399999999998</v>
      </c>
      <c r="N49" s="16">
        <v>4.9856999999999996</v>
      </c>
      <c r="O49" s="16">
        <f t="shared" si="1"/>
        <v>35.124749999999992</v>
      </c>
      <c r="P49" s="7"/>
      <c r="Q49" s="8">
        <f>bdrate(C49:C52,D49:D52,J49:J52,K49:K52)</f>
        <v>-0.20044642378465549</v>
      </c>
      <c r="R49" s="8">
        <f>bdrate(C49:C52,E49:E52,J49:J52,L49:L52)</f>
        <v>-0.27296394510510802</v>
      </c>
      <c r="S49" s="8">
        <f>bdrate(C49:C52,F49:F52,J49:J52,M49:M52)</f>
        <v>-0.24624904968587691</v>
      </c>
      <c r="T49" s="25">
        <f>bdrate(C49:C52,H49:H52,J49:J52,O49:O52)</f>
        <v>-0.21323779757414651</v>
      </c>
      <c r="U49" s="28">
        <f t="shared" si="2"/>
        <v>-4.8502994011976469E-3</v>
      </c>
    </row>
    <row r="50" spans="1:21" x14ac:dyDescent="0.25">
      <c r="B50" s="9"/>
      <c r="C50" s="17">
        <v>960.71</v>
      </c>
      <c r="D50" s="18">
        <v>32.142000000000003</v>
      </c>
      <c r="E50" s="18">
        <v>36.296999999999997</v>
      </c>
      <c r="F50" s="18">
        <v>38.045999999999999</v>
      </c>
      <c r="G50" s="18">
        <v>5.51</v>
      </c>
      <c r="H50" s="18">
        <f t="shared" si="0"/>
        <v>33.399375000000006</v>
      </c>
      <c r="I50" s="5"/>
      <c r="J50" s="17">
        <v>841.79759999999999</v>
      </c>
      <c r="K50" s="18">
        <v>32.3855</v>
      </c>
      <c r="L50" s="18">
        <v>36.888199999999998</v>
      </c>
      <c r="M50" s="18">
        <v>38.558799999999998</v>
      </c>
      <c r="N50" s="18">
        <v>5.8265000000000002</v>
      </c>
      <c r="O50" s="18">
        <f t="shared" si="1"/>
        <v>33.72</v>
      </c>
      <c r="P50" s="7"/>
      <c r="Q50" s="10"/>
      <c r="R50" s="11"/>
      <c r="S50" s="11"/>
      <c r="T50" s="26"/>
      <c r="U50" s="28">
        <f t="shared" si="2"/>
        <v>5.7441016333938374E-2</v>
      </c>
    </row>
    <row r="51" spans="1:21" x14ac:dyDescent="0.25">
      <c r="B51" s="9"/>
      <c r="C51" s="17">
        <v>609.12</v>
      </c>
      <c r="D51" s="18">
        <v>30.292999999999999</v>
      </c>
      <c r="E51" s="18">
        <v>35.451999999999998</v>
      </c>
      <c r="F51" s="18">
        <v>37.152999999999999</v>
      </c>
      <c r="G51" s="18">
        <v>6.22</v>
      </c>
      <c r="H51" s="18">
        <f t="shared" si="0"/>
        <v>31.795374999999996</v>
      </c>
      <c r="I51" s="5"/>
      <c r="J51" s="17">
        <v>525.01199999999994</v>
      </c>
      <c r="K51" s="18">
        <v>30.6282</v>
      </c>
      <c r="L51" s="18">
        <v>35.732900000000001</v>
      </c>
      <c r="M51" s="18">
        <v>37.362099999999998</v>
      </c>
      <c r="N51" s="18">
        <v>6.9771000000000001</v>
      </c>
      <c r="O51" s="18">
        <f t="shared" si="1"/>
        <v>32.108024999999998</v>
      </c>
      <c r="P51" s="7"/>
      <c r="Q51" s="10"/>
      <c r="R51" s="11"/>
      <c r="S51" s="11"/>
      <c r="T51" s="26"/>
      <c r="U51" s="28">
        <f t="shared" si="2"/>
        <v>0.12172025723472675</v>
      </c>
    </row>
    <row r="52" spans="1:21" ht="16.5" thickBot="1" x14ac:dyDescent="0.3">
      <c r="B52" s="12"/>
      <c r="C52" s="19">
        <v>370.06</v>
      </c>
      <c r="D52" s="20">
        <v>28.254000000000001</v>
      </c>
      <c r="E52" s="20">
        <v>34.533999999999999</v>
      </c>
      <c r="F52" s="20">
        <v>36.069000000000003</v>
      </c>
      <c r="G52" s="20">
        <v>7.37</v>
      </c>
      <c r="H52" s="20">
        <f t="shared" si="0"/>
        <v>30.015875000000001</v>
      </c>
      <c r="I52" s="5"/>
      <c r="J52" s="19">
        <v>313.32479999999998</v>
      </c>
      <c r="K52" s="20">
        <v>28.886800000000001</v>
      </c>
      <c r="L52" s="20">
        <v>34.6008</v>
      </c>
      <c r="M52" s="20">
        <v>36.151899999999998</v>
      </c>
      <c r="N52" s="20">
        <v>8.6184999999999992</v>
      </c>
      <c r="O52" s="20">
        <f t="shared" si="1"/>
        <v>30.509187500000003</v>
      </c>
      <c r="P52" s="7"/>
      <c r="Q52" s="13"/>
      <c r="R52" s="14"/>
      <c r="S52" s="14"/>
      <c r="T52" s="27"/>
      <c r="U52" s="28">
        <f t="shared" si="2"/>
        <v>0.16940298507462673</v>
      </c>
    </row>
    <row r="53" spans="1:21" x14ac:dyDescent="0.25">
      <c r="A53" s="6" t="s">
        <v>41</v>
      </c>
      <c r="B53" s="6" t="s">
        <v>57</v>
      </c>
      <c r="C53" s="15">
        <v>823.1</v>
      </c>
      <c r="D53" s="16">
        <v>36.374000000000002</v>
      </c>
      <c r="E53" s="16">
        <v>40.006999999999998</v>
      </c>
      <c r="F53" s="16">
        <v>38.881999999999998</v>
      </c>
      <c r="G53" s="16">
        <v>23.56</v>
      </c>
      <c r="H53" s="16">
        <f t="shared" si="0"/>
        <v>37.141625000000005</v>
      </c>
      <c r="I53" s="5"/>
      <c r="J53" s="15">
        <v>636.52959999999996</v>
      </c>
      <c r="K53" s="16">
        <v>36.062800000000003</v>
      </c>
      <c r="L53" s="16">
        <v>41.089500000000001</v>
      </c>
      <c r="M53" s="16">
        <v>39.518700000000003</v>
      </c>
      <c r="N53" s="16">
        <v>15.6485</v>
      </c>
      <c r="O53" s="16">
        <f t="shared" si="1"/>
        <v>37.123125000000002</v>
      </c>
      <c r="P53" s="7"/>
      <c r="Q53" s="8">
        <f>bdrate(C53:C56,D53:D56,J53:J56,K53:K56)</f>
        <v>-0.20821192356715479</v>
      </c>
      <c r="R53" s="8">
        <f>bdrate(C53:C56,E53:E56,J53:J56,L53:L56)</f>
        <v>-0.39402381010175425</v>
      </c>
      <c r="S53" s="8">
        <f>bdrate(C53:C56,F53:F56,J53:J56,M53:M56)</f>
        <v>-0.27111618740371701</v>
      </c>
      <c r="T53" s="25">
        <f>bdrate(C53:C56,H53:H56,J53:J56,O53:O56)</f>
        <v>-0.23158309358544515</v>
      </c>
      <c r="U53" s="28">
        <f t="shared" si="2"/>
        <v>-0.33580220713073</v>
      </c>
    </row>
    <row r="54" spans="1:21" x14ac:dyDescent="0.25">
      <c r="A54" s="9" t="s">
        <v>42</v>
      </c>
      <c r="B54" s="9"/>
      <c r="C54" s="17">
        <v>549.74</v>
      </c>
      <c r="D54" s="18">
        <v>34.354999999999997</v>
      </c>
      <c r="E54" s="18">
        <v>38.795999999999999</v>
      </c>
      <c r="F54" s="18">
        <v>37.485999999999997</v>
      </c>
      <c r="G54" s="18">
        <v>25.09</v>
      </c>
      <c r="H54" s="18">
        <f t="shared" si="0"/>
        <v>35.301499999999997</v>
      </c>
      <c r="I54" s="5"/>
      <c r="J54" s="17">
        <v>421.78960000000001</v>
      </c>
      <c r="K54" s="18">
        <v>34.070799999999998</v>
      </c>
      <c r="L54" s="18">
        <v>39.750100000000003</v>
      </c>
      <c r="M54" s="18">
        <v>37.946199999999997</v>
      </c>
      <c r="N54" s="18">
        <v>18.1891</v>
      </c>
      <c r="O54" s="18">
        <f t="shared" si="1"/>
        <v>35.265137500000002</v>
      </c>
      <c r="P54" s="7"/>
      <c r="Q54" s="10"/>
      <c r="R54" s="11"/>
      <c r="S54" s="11"/>
      <c r="T54" s="26"/>
      <c r="U54" s="28">
        <f t="shared" si="2"/>
        <v>-0.27504583499402152</v>
      </c>
    </row>
    <row r="55" spans="1:21" x14ac:dyDescent="0.25">
      <c r="B55" s="9"/>
      <c r="C55" s="17">
        <v>345.06</v>
      </c>
      <c r="D55" s="18">
        <v>32.158000000000001</v>
      </c>
      <c r="E55" s="18">
        <v>37.673999999999999</v>
      </c>
      <c r="F55" s="18">
        <v>36.125999999999998</v>
      </c>
      <c r="G55" s="18">
        <v>28.26</v>
      </c>
      <c r="H55" s="18">
        <f t="shared" si="0"/>
        <v>33.343499999999999</v>
      </c>
      <c r="I55" s="5"/>
      <c r="J55" s="17">
        <v>263.01600000000002</v>
      </c>
      <c r="K55" s="18">
        <v>31.962199999999999</v>
      </c>
      <c r="L55" s="18">
        <v>38.259599999999999</v>
      </c>
      <c r="M55" s="18">
        <v>36.220100000000002</v>
      </c>
      <c r="N55" s="18">
        <v>21.1265</v>
      </c>
      <c r="O55" s="18">
        <f t="shared" si="1"/>
        <v>33.281612500000001</v>
      </c>
      <c r="P55" s="7"/>
      <c r="Q55" s="10"/>
      <c r="R55" s="11"/>
      <c r="S55" s="11"/>
      <c r="T55" s="26"/>
      <c r="U55" s="28">
        <f t="shared" si="2"/>
        <v>-0.25242392073602271</v>
      </c>
    </row>
    <row r="56" spans="1:21" ht="16.5" thickBot="1" x14ac:dyDescent="0.3">
      <c r="B56" s="12"/>
      <c r="C56" s="19">
        <v>167.84</v>
      </c>
      <c r="D56" s="20">
        <v>28.876999999999999</v>
      </c>
      <c r="E56" s="20">
        <v>36.201000000000001</v>
      </c>
      <c r="F56" s="20">
        <v>34.29</v>
      </c>
      <c r="G56" s="20">
        <v>37.26</v>
      </c>
      <c r="H56" s="20">
        <f t="shared" si="0"/>
        <v>30.469124999999998</v>
      </c>
      <c r="I56" s="5"/>
      <c r="J56" s="19">
        <v>124.63039999999999</v>
      </c>
      <c r="K56" s="20">
        <v>28.963899999999999</v>
      </c>
      <c r="L56" s="20">
        <v>36.280900000000003</v>
      </c>
      <c r="M56" s="20">
        <v>33.799500000000002</v>
      </c>
      <c r="N56" s="20">
        <v>28.3962</v>
      </c>
      <c r="O56" s="20">
        <f t="shared" si="1"/>
        <v>30.482975</v>
      </c>
      <c r="P56" s="7"/>
      <c r="Q56" s="13"/>
      <c r="R56" s="14"/>
      <c r="S56" s="14"/>
      <c r="T56" s="27"/>
      <c r="U56" s="28">
        <f t="shared" si="2"/>
        <v>-0.23789049919484698</v>
      </c>
    </row>
    <row r="57" spans="1:21" x14ac:dyDescent="0.25">
      <c r="B57" s="6" t="s">
        <v>58</v>
      </c>
      <c r="C57" s="15">
        <v>723.52</v>
      </c>
      <c r="D57" s="16">
        <v>33.363</v>
      </c>
      <c r="E57" s="16">
        <v>39.906999999999996</v>
      </c>
      <c r="F57" s="16">
        <v>40.683999999999997</v>
      </c>
      <c r="G57" s="16">
        <v>23.55</v>
      </c>
      <c r="H57" s="16">
        <f t="shared" si="0"/>
        <v>35.096125000000001</v>
      </c>
      <c r="I57" s="5"/>
      <c r="J57" s="15">
        <v>628.3768</v>
      </c>
      <c r="K57" s="16">
        <v>34.929000000000002</v>
      </c>
      <c r="L57" s="16">
        <v>41.918300000000002</v>
      </c>
      <c r="M57" s="16">
        <v>42.828699999999998</v>
      </c>
      <c r="N57" s="16">
        <v>19.345500000000001</v>
      </c>
      <c r="O57" s="16">
        <f t="shared" si="1"/>
        <v>36.790125000000003</v>
      </c>
      <c r="P57" s="7"/>
      <c r="Q57" s="8">
        <f>bdrate(C57:C60,D57:D60,J57:J60,K57:K60)</f>
        <v>-0.45772103759250571</v>
      </c>
      <c r="R57" s="8">
        <f>bdrate(C57:C60,E57:E60,J57:J60,L57:L60)</f>
        <v>-0.56800147986586924</v>
      </c>
      <c r="S57" s="8">
        <f>bdrate(C57:C60,F57:F60,J57:J60,M57:M60)</f>
        <v>-0.6222528287492981</v>
      </c>
      <c r="T57" s="25">
        <f>bdrate(C57:C60,H57:H60,J57:J60,O57:O60)</f>
        <v>-0.48378298222637972</v>
      </c>
      <c r="U57" s="28">
        <f t="shared" si="2"/>
        <v>-0.17853503184713373</v>
      </c>
    </row>
    <row r="58" spans="1:21" x14ac:dyDescent="0.25">
      <c r="B58" s="9"/>
      <c r="C58" s="17">
        <v>475.86</v>
      </c>
      <c r="D58" s="18">
        <v>31.856000000000002</v>
      </c>
      <c r="E58" s="18">
        <v>39.311999999999998</v>
      </c>
      <c r="F58" s="18">
        <v>39.914999999999999</v>
      </c>
      <c r="G58" s="18">
        <v>26.36</v>
      </c>
      <c r="H58" s="18">
        <f t="shared" si="0"/>
        <v>33.795375000000007</v>
      </c>
      <c r="I58" s="5"/>
      <c r="J58" s="17">
        <v>417.65039999999999</v>
      </c>
      <c r="K58" s="18">
        <v>33.530700000000003</v>
      </c>
      <c r="L58" s="18">
        <v>41.043300000000002</v>
      </c>
      <c r="M58" s="18">
        <v>41.965000000000003</v>
      </c>
      <c r="N58" s="18">
        <v>24.622499999999999</v>
      </c>
      <c r="O58" s="18">
        <f t="shared" si="1"/>
        <v>35.524062499999999</v>
      </c>
      <c r="P58" s="7"/>
      <c r="Q58" s="10"/>
      <c r="R58" s="11"/>
      <c r="S58" s="11"/>
      <c r="T58" s="26"/>
      <c r="U58" s="28">
        <f t="shared" si="2"/>
        <v>-6.591426403641884E-2</v>
      </c>
    </row>
    <row r="59" spans="1:21" x14ac:dyDescent="0.25">
      <c r="B59" s="9"/>
      <c r="C59" s="17">
        <v>294.08</v>
      </c>
      <c r="D59" s="18">
        <v>30.094000000000001</v>
      </c>
      <c r="E59" s="18">
        <v>38.756</v>
      </c>
      <c r="F59" s="18">
        <v>39.042000000000002</v>
      </c>
      <c r="G59" s="18">
        <v>30.32</v>
      </c>
      <c r="H59" s="18">
        <f t="shared" si="0"/>
        <v>32.295250000000003</v>
      </c>
      <c r="I59" s="5"/>
      <c r="J59" s="17">
        <v>259.7568</v>
      </c>
      <c r="K59" s="18">
        <v>31.878499999999999</v>
      </c>
      <c r="L59" s="18">
        <v>39.964799999999997</v>
      </c>
      <c r="M59" s="18">
        <v>40.822800000000001</v>
      </c>
      <c r="N59" s="18">
        <v>31.9438</v>
      </c>
      <c r="O59" s="18">
        <f t="shared" si="1"/>
        <v>34.007324999999994</v>
      </c>
      <c r="P59" s="7"/>
      <c r="Q59" s="10"/>
      <c r="R59" s="11"/>
      <c r="S59" s="11"/>
      <c r="T59" s="26"/>
      <c r="U59" s="28">
        <f t="shared" si="2"/>
        <v>5.3555408970976229E-2</v>
      </c>
    </row>
    <row r="60" spans="1:21" ht="16.5" thickBot="1" x14ac:dyDescent="0.3">
      <c r="B60" s="12"/>
      <c r="C60" s="19">
        <v>139.75</v>
      </c>
      <c r="D60" s="20">
        <v>27.268999999999998</v>
      </c>
      <c r="E60" s="20">
        <v>38.106000000000002</v>
      </c>
      <c r="F60" s="20">
        <v>38.116999999999997</v>
      </c>
      <c r="G60" s="20">
        <v>38.65</v>
      </c>
      <c r="H60" s="20">
        <f t="shared" si="0"/>
        <v>29.979624999999995</v>
      </c>
      <c r="I60" s="5"/>
      <c r="J60" s="19">
        <v>123.08799999999999</v>
      </c>
      <c r="K60" s="20">
        <v>29.144100000000002</v>
      </c>
      <c r="L60" s="20">
        <v>38.421999999999997</v>
      </c>
      <c r="M60" s="20">
        <v>39.009700000000002</v>
      </c>
      <c r="N60" s="20">
        <v>48.931699999999999</v>
      </c>
      <c r="O60" s="20">
        <f t="shared" si="1"/>
        <v>31.5370375</v>
      </c>
      <c r="P60" s="7"/>
      <c r="Q60" s="13"/>
      <c r="R60" s="14"/>
      <c r="S60" s="14"/>
      <c r="T60" s="27"/>
      <c r="U60" s="28">
        <f t="shared" si="2"/>
        <v>0.26602069857697286</v>
      </c>
    </row>
    <row r="61" spans="1:21" x14ac:dyDescent="0.25">
      <c r="B61" s="6" t="s">
        <v>59</v>
      </c>
      <c r="C61" s="29">
        <v>806.04</v>
      </c>
      <c r="D61" s="30">
        <v>34.405000000000001</v>
      </c>
      <c r="E61" s="30">
        <v>37.923000000000002</v>
      </c>
      <c r="F61" s="30">
        <v>38.423000000000002</v>
      </c>
      <c r="G61" s="16">
        <v>24.65</v>
      </c>
      <c r="H61" s="16">
        <f t="shared" si="0"/>
        <v>35.347000000000001</v>
      </c>
      <c r="I61" s="5"/>
      <c r="J61" s="29">
        <v>655.45759999999996</v>
      </c>
      <c r="K61" s="30">
        <v>34.525500000000001</v>
      </c>
      <c r="L61" s="30">
        <v>39.045400000000001</v>
      </c>
      <c r="M61" s="30">
        <v>39.952399999999997</v>
      </c>
      <c r="N61" s="16">
        <v>16.409600000000001</v>
      </c>
      <c r="O61" s="16">
        <f t="shared" si="1"/>
        <v>35.76885</v>
      </c>
      <c r="P61" s="7"/>
      <c r="Q61" s="8">
        <f>bdrate(C61:C64,D61:D64,J61:J64,K61:K64)</f>
        <v>-0.24396487091594921</v>
      </c>
      <c r="R61" s="8">
        <f>bdrate(C61:C64,E61:E64,J61:J64,L61:L64)</f>
        <v>-0.4230920422262755</v>
      </c>
      <c r="S61" s="8">
        <f>bdrate(C61:C64,F61:F64,J61:J64,M61:M64)</f>
        <v>-0.50465908706181162</v>
      </c>
      <c r="T61" s="25">
        <f>bdrate(C61:C64,H61:H64,J61:J64,O61:O64)</f>
        <v>-0.28968614132365533</v>
      </c>
      <c r="U61" s="28">
        <f t="shared" si="2"/>
        <v>-0.33429614604462465</v>
      </c>
    </row>
    <row r="62" spans="1:21" x14ac:dyDescent="0.25">
      <c r="B62" s="9"/>
      <c r="C62" s="31">
        <v>536.6</v>
      </c>
      <c r="D62" s="32">
        <v>32.726999999999997</v>
      </c>
      <c r="E62" s="32">
        <v>36.728999999999999</v>
      </c>
      <c r="F62" s="32">
        <v>37.204999999999998</v>
      </c>
      <c r="G62" s="18">
        <v>26.25</v>
      </c>
      <c r="H62" s="18">
        <f t="shared" si="0"/>
        <v>33.786999999999992</v>
      </c>
      <c r="I62" s="5"/>
      <c r="J62" s="31">
        <v>433.34879999999998</v>
      </c>
      <c r="K62" s="32">
        <v>32.9041</v>
      </c>
      <c r="L62" s="32">
        <v>37.7879</v>
      </c>
      <c r="M62" s="32">
        <v>38.691299999999998</v>
      </c>
      <c r="N62" s="18">
        <v>20.132100000000001</v>
      </c>
      <c r="O62" s="18">
        <f t="shared" si="1"/>
        <v>34.237974999999999</v>
      </c>
      <c r="P62" s="7"/>
      <c r="Q62" s="10"/>
      <c r="R62" s="11"/>
      <c r="S62" s="11"/>
      <c r="T62" s="26"/>
      <c r="U62" s="28">
        <f t="shared" si="2"/>
        <v>-0.2330628571428571</v>
      </c>
    </row>
    <row r="63" spans="1:21" x14ac:dyDescent="0.25">
      <c r="B63" s="9"/>
      <c r="C63" s="31">
        <v>333.96</v>
      </c>
      <c r="D63" s="32">
        <v>30.831</v>
      </c>
      <c r="E63" s="32">
        <v>35.665999999999997</v>
      </c>
      <c r="F63" s="32">
        <v>36.152000000000001</v>
      </c>
      <c r="G63" s="18">
        <v>27.55</v>
      </c>
      <c r="H63" s="18">
        <f t="shared" si="0"/>
        <v>32.100499999999997</v>
      </c>
      <c r="I63" s="5"/>
      <c r="J63" s="31">
        <v>271.44319999999999</v>
      </c>
      <c r="K63" s="32">
        <v>31.1218</v>
      </c>
      <c r="L63" s="32">
        <v>36.518900000000002</v>
      </c>
      <c r="M63" s="32">
        <v>37.355899999999998</v>
      </c>
      <c r="N63" s="18">
        <v>24.692599999999999</v>
      </c>
      <c r="O63" s="18">
        <f t="shared" si="1"/>
        <v>32.575699999999998</v>
      </c>
      <c r="P63" s="7"/>
      <c r="Q63" s="10"/>
      <c r="R63" s="11"/>
      <c r="S63" s="11"/>
      <c r="T63" s="26"/>
      <c r="U63" s="28">
        <f t="shared" si="2"/>
        <v>-0.10371687840290388</v>
      </c>
    </row>
    <row r="64" spans="1:21" ht="16.5" thickBot="1" x14ac:dyDescent="0.3">
      <c r="B64" s="12"/>
      <c r="C64" s="33">
        <v>158.22</v>
      </c>
      <c r="D64" s="34">
        <v>28.097000000000001</v>
      </c>
      <c r="E64" s="34">
        <v>34.338000000000001</v>
      </c>
      <c r="F64" s="34">
        <v>34.875</v>
      </c>
      <c r="G64" s="20">
        <v>30.49</v>
      </c>
      <c r="H64" s="20">
        <f t="shared" si="0"/>
        <v>29.724374999999998</v>
      </c>
      <c r="I64" s="5"/>
      <c r="J64" s="33">
        <v>127.536</v>
      </c>
      <c r="K64" s="34">
        <v>28.501300000000001</v>
      </c>
      <c r="L64" s="34">
        <v>34.619999999999997</v>
      </c>
      <c r="M64" s="34">
        <v>35.459499999999998</v>
      </c>
      <c r="N64" s="20">
        <v>34.877200000000002</v>
      </c>
      <c r="O64" s="20">
        <f t="shared" si="1"/>
        <v>30.1359125</v>
      </c>
      <c r="P64" s="7"/>
      <c r="Q64" s="13"/>
      <c r="R64" s="14"/>
      <c r="S64" s="14"/>
      <c r="T64" s="27"/>
      <c r="U64" s="28">
        <f t="shared" si="2"/>
        <v>0.14388979993440484</v>
      </c>
    </row>
    <row r="65" spans="1:21" x14ac:dyDescent="0.25">
      <c r="B65" s="6" t="s">
        <v>60</v>
      </c>
      <c r="C65" s="15">
        <v>739.58</v>
      </c>
      <c r="D65" s="16">
        <v>36.064999999999998</v>
      </c>
      <c r="E65" s="16">
        <v>38.128999999999998</v>
      </c>
      <c r="F65" s="16">
        <v>39.344999999999999</v>
      </c>
      <c r="G65" s="16">
        <v>20.45</v>
      </c>
      <c r="H65" s="16">
        <f t="shared" si="0"/>
        <v>36.732999999999997</v>
      </c>
      <c r="I65" s="5"/>
      <c r="J65" s="15">
        <v>638.82240000000002</v>
      </c>
      <c r="K65" s="16">
        <v>35.936100000000003</v>
      </c>
      <c r="L65" s="16">
        <v>39.366100000000003</v>
      </c>
      <c r="M65" s="16">
        <v>40.522799999999997</v>
      </c>
      <c r="N65" s="16">
        <v>11.4587</v>
      </c>
      <c r="O65" s="16">
        <f t="shared" si="1"/>
        <v>36.938187500000005</v>
      </c>
      <c r="P65" s="7"/>
      <c r="Q65" s="8">
        <f>bdrate(C65:C68,D65:D68,J65:J68,K65:K68)</f>
        <v>-0.13031528971703765</v>
      </c>
      <c r="R65" s="8">
        <f>bdrate(C65:C68,E65:E68,J65:J68,L65:L68)</f>
        <v>-0.35859009213982007</v>
      </c>
      <c r="S65" s="8">
        <f>bdrate(C65:C68,F65:F68,J65:J68,M65:M68)</f>
        <v>-0.35054418711853808</v>
      </c>
      <c r="T65" s="25">
        <f>bdrate(C65:C68,H65:H68,J65:J68,O65:O68)</f>
        <v>-0.17434987151743386</v>
      </c>
      <c r="U65" s="28">
        <f t="shared" si="2"/>
        <v>-0.43967237163814177</v>
      </c>
    </row>
    <row r="66" spans="1:21" x14ac:dyDescent="0.25">
      <c r="B66" s="9"/>
      <c r="C66" s="17">
        <v>493.82</v>
      </c>
      <c r="D66" s="18">
        <v>34.06</v>
      </c>
      <c r="E66" s="18">
        <v>36.912999999999997</v>
      </c>
      <c r="F66" s="18">
        <v>38.136000000000003</v>
      </c>
      <c r="G66" s="18">
        <v>21.38</v>
      </c>
      <c r="H66" s="18">
        <f t="shared" si="0"/>
        <v>34.926125000000006</v>
      </c>
      <c r="I66" s="5"/>
      <c r="J66" s="17">
        <v>425.78879999999998</v>
      </c>
      <c r="K66" s="18">
        <v>33.938600000000001</v>
      </c>
      <c r="L66" s="18">
        <v>37.961599999999997</v>
      </c>
      <c r="M66" s="18">
        <v>39.1601</v>
      </c>
      <c r="N66" s="18">
        <v>13.3827</v>
      </c>
      <c r="O66" s="18">
        <f t="shared" si="1"/>
        <v>35.094162499999996</v>
      </c>
      <c r="P66" s="7"/>
      <c r="Q66" s="10"/>
      <c r="R66" s="11"/>
      <c r="S66" s="11"/>
      <c r="T66" s="26"/>
      <c r="U66" s="28">
        <f t="shared" si="2"/>
        <v>-0.37405519176800744</v>
      </c>
    </row>
    <row r="67" spans="1:21" x14ac:dyDescent="0.25">
      <c r="B67" s="9"/>
      <c r="C67" s="17">
        <v>311.77999999999997</v>
      </c>
      <c r="D67" s="18">
        <v>31.908999999999999</v>
      </c>
      <c r="E67" s="18">
        <v>35.756999999999998</v>
      </c>
      <c r="F67" s="18">
        <v>36.911999999999999</v>
      </c>
      <c r="G67" s="18">
        <v>22.2</v>
      </c>
      <c r="H67" s="18">
        <f t="shared" si="0"/>
        <v>33.015374999999999</v>
      </c>
      <c r="I67" s="5"/>
      <c r="J67" s="17">
        <v>263.19439999999997</v>
      </c>
      <c r="K67" s="18">
        <v>31.753599999999999</v>
      </c>
      <c r="L67" s="18">
        <v>36.485399999999998</v>
      </c>
      <c r="M67" s="18">
        <v>37.6661</v>
      </c>
      <c r="N67" s="18">
        <v>15.945600000000001</v>
      </c>
      <c r="O67" s="18">
        <f t="shared" si="1"/>
        <v>33.084137499999997</v>
      </c>
      <c r="P67" s="7"/>
      <c r="Q67" s="10"/>
      <c r="R67" s="11"/>
      <c r="S67" s="11"/>
      <c r="T67" s="26"/>
      <c r="U67" s="28">
        <f t="shared" si="2"/>
        <v>-0.28172972972972965</v>
      </c>
    </row>
    <row r="68" spans="1:21" ht="16.5" thickBot="1" x14ac:dyDescent="0.3">
      <c r="B68" s="12"/>
      <c r="C68" s="19">
        <v>149.41</v>
      </c>
      <c r="D68" s="20">
        <v>28.812000000000001</v>
      </c>
      <c r="E68" s="20">
        <v>34.22</v>
      </c>
      <c r="F68" s="20">
        <v>35.301000000000002</v>
      </c>
      <c r="G68" s="20">
        <v>26.23</v>
      </c>
      <c r="H68" s="20">
        <f t="shared" si="0"/>
        <v>30.299125000000004</v>
      </c>
      <c r="I68" s="5"/>
      <c r="J68" s="19">
        <v>126.27679999999999</v>
      </c>
      <c r="K68" s="20">
        <v>28.9376</v>
      </c>
      <c r="L68" s="20">
        <v>34.514899999999997</v>
      </c>
      <c r="M68" s="20">
        <v>35.545400000000001</v>
      </c>
      <c r="N68" s="20">
        <v>20.836200000000002</v>
      </c>
      <c r="O68" s="20">
        <f t="shared" si="1"/>
        <v>30.460737499999997</v>
      </c>
      <c r="P68" s="7"/>
      <c r="Q68" s="13"/>
      <c r="R68" s="14"/>
      <c r="S68" s="14"/>
      <c r="T68" s="27"/>
      <c r="U68" s="28">
        <f t="shared" si="2"/>
        <v>-0.20563476934807468</v>
      </c>
    </row>
    <row r="69" spans="1:21" x14ac:dyDescent="0.25">
      <c r="A69" s="6" t="s">
        <v>43</v>
      </c>
      <c r="B69" s="6" t="s">
        <v>61</v>
      </c>
      <c r="C69" s="15">
        <v>1887.59</v>
      </c>
      <c r="D69" s="16">
        <v>41.951999999999998</v>
      </c>
      <c r="E69" s="16">
        <v>45.7</v>
      </c>
      <c r="F69" s="16">
        <v>46.78</v>
      </c>
      <c r="G69" s="16">
        <v>4.6100000000000003</v>
      </c>
      <c r="H69" s="16">
        <f t="shared" si="0"/>
        <v>43.024000000000001</v>
      </c>
      <c r="I69" s="5"/>
      <c r="J69" s="15">
        <v>1529.5424</v>
      </c>
      <c r="K69" s="16">
        <v>42.122199999999999</v>
      </c>
      <c r="L69" s="16">
        <v>46.302900000000001</v>
      </c>
      <c r="M69" s="16">
        <v>47.561399999999999</v>
      </c>
      <c r="N69" s="16">
        <v>5.4316000000000004</v>
      </c>
      <c r="O69" s="16">
        <f t="shared" si="1"/>
        <v>43.324687500000003</v>
      </c>
      <c r="P69" s="7"/>
      <c r="Q69" s="8">
        <f>bdrate(C69:C72,D69:D72,J69:J72,K69:K72)</f>
        <v>-0.26728081419079519</v>
      </c>
      <c r="R69" s="8">
        <f>bdrate(C69:C72,E69:E72,J69:J72,L69:L72)</f>
        <v>-0.40868493354740698</v>
      </c>
      <c r="S69" s="8">
        <f>bdrate(C69:C72,F69:F72,J69:J72,M69:M72)</f>
        <v>-0.41082676692142406</v>
      </c>
      <c r="T69" s="25">
        <f>bdrate(C69:C72,H69:H72,J69:J72,O69:O72)</f>
        <v>-0.29946139640982206</v>
      </c>
      <c r="U69" s="28">
        <f t="shared" si="2"/>
        <v>0.17822125813449025</v>
      </c>
    </row>
    <row r="70" spans="1:21" x14ac:dyDescent="0.25">
      <c r="A70" s="9" t="s">
        <v>44</v>
      </c>
      <c r="B70" s="9"/>
      <c r="C70" s="17">
        <v>1224.32</v>
      </c>
      <c r="D70" s="18">
        <v>40.816000000000003</v>
      </c>
      <c r="E70" s="18">
        <v>44.472000000000001</v>
      </c>
      <c r="F70" s="18">
        <v>45.689</v>
      </c>
      <c r="G70" s="18">
        <v>5.16</v>
      </c>
      <c r="H70" s="18">
        <f t="shared" si="0"/>
        <v>41.882125000000002</v>
      </c>
      <c r="I70" s="5"/>
      <c r="J70" s="17">
        <v>1005.0288</v>
      </c>
      <c r="K70" s="18">
        <v>41.054600000000001</v>
      </c>
      <c r="L70" s="18">
        <v>45.295699999999997</v>
      </c>
      <c r="M70" s="18">
        <v>46.538200000000003</v>
      </c>
      <c r="N70" s="18">
        <v>6.8456999999999999</v>
      </c>
      <c r="O70" s="18">
        <f t="shared" si="1"/>
        <v>42.270187500000006</v>
      </c>
      <c r="P70" s="7"/>
      <c r="Q70" s="10"/>
      <c r="R70" s="11"/>
      <c r="S70" s="11"/>
      <c r="T70" s="26"/>
      <c r="U70" s="28">
        <f t="shared" si="2"/>
        <v>0.32668604651162786</v>
      </c>
    </row>
    <row r="71" spans="1:21" x14ac:dyDescent="0.25">
      <c r="B71" s="9"/>
      <c r="C71" s="17">
        <v>714.72</v>
      </c>
      <c r="D71" s="18">
        <v>38.731999999999999</v>
      </c>
      <c r="E71" s="18">
        <v>42.654000000000003</v>
      </c>
      <c r="F71" s="18">
        <v>43.838000000000001</v>
      </c>
      <c r="G71" s="18">
        <v>6.24</v>
      </c>
      <c r="H71" s="18">
        <f t="shared" si="0"/>
        <v>39.860500000000002</v>
      </c>
      <c r="I71" s="5"/>
      <c r="J71" s="17">
        <v>586.07920000000001</v>
      </c>
      <c r="K71" s="18">
        <v>39.189599999999999</v>
      </c>
      <c r="L71" s="18">
        <v>43.791400000000003</v>
      </c>
      <c r="M71" s="18">
        <v>44.984299999999998</v>
      </c>
      <c r="N71" s="18">
        <v>9.2516999999999996</v>
      </c>
      <c r="O71" s="18">
        <f t="shared" si="1"/>
        <v>40.489162499999999</v>
      </c>
      <c r="P71" s="7"/>
      <c r="Q71" s="10"/>
      <c r="R71" s="11"/>
      <c r="S71" s="11"/>
      <c r="T71" s="26"/>
      <c r="U71" s="28">
        <f t="shared" si="2"/>
        <v>0.48264423076923063</v>
      </c>
    </row>
    <row r="72" spans="1:21" ht="16.5" thickBot="1" x14ac:dyDescent="0.3">
      <c r="B72" s="12"/>
      <c r="C72" s="19">
        <v>350.29</v>
      </c>
      <c r="D72" s="20">
        <v>34.893999999999998</v>
      </c>
      <c r="E72" s="20">
        <v>40.707999999999998</v>
      </c>
      <c r="F72" s="20">
        <v>41.55</v>
      </c>
      <c r="G72" s="20">
        <v>7.64</v>
      </c>
      <c r="H72" s="20">
        <f t="shared" si="0"/>
        <v>36.452749999999995</v>
      </c>
      <c r="I72" s="5"/>
      <c r="J72" s="19">
        <v>285.85520000000002</v>
      </c>
      <c r="K72" s="20">
        <v>35.871000000000002</v>
      </c>
      <c r="L72" s="20">
        <v>41.475999999999999</v>
      </c>
      <c r="M72" s="20">
        <v>42.539200000000001</v>
      </c>
      <c r="N72" s="20">
        <v>13.308199999999999</v>
      </c>
      <c r="O72" s="20">
        <f t="shared" si="1"/>
        <v>37.405149999999999</v>
      </c>
      <c r="P72" s="7"/>
      <c r="Q72" s="13"/>
      <c r="R72" s="14"/>
      <c r="S72" s="14"/>
      <c r="T72" s="27"/>
      <c r="U72" s="28">
        <f t="shared" si="2"/>
        <v>0.74191099476439792</v>
      </c>
    </row>
    <row r="73" spans="1:21" x14ac:dyDescent="0.25">
      <c r="B73" s="6" t="s">
        <v>62</v>
      </c>
      <c r="C73" s="15">
        <v>1951.7</v>
      </c>
      <c r="D73" s="16">
        <v>42.759</v>
      </c>
      <c r="E73" s="16">
        <v>47.667000000000002</v>
      </c>
      <c r="F73" s="16">
        <v>48.173000000000002</v>
      </c>
      <c r="G73" s="16">
        <v>3.78</v>
      </c>
      <c r="H73" s="16">
        <f t="shared" si="0"/>
        <v>44.049250000000001</v>
      </c>
      <c r="I73" s="5"/>
      <c r="J73" s="15">
        <v>1523.9184</v>
      </c>
      <c r="K73" s="16">
        <v>43.043700000000001</v>
      </c>
      <c r="L73" s="16">
        <v>48.295099999999998</v>
      </c>
      <c r="M73" s="16">
        <v>49.000500000000002</v>
      </c>
      <c r="N73" s="16">
        <v>6.1394000000000002</v>
      </c>
      <c r="O73" s="16">
        <f t="shared" si="1"/>
        <v>44.444724999999998</v>
      </c>
      <c r="P73" s="7"/>
      <c r="Q73" s="8">
        <f>bdrate(C73:C76,D73:D76,J73:J76,K73:K76)</f>
        <v>-0.41907838118997698</v>
      </c>
      <c r="R73" s="8">
        <f>bdrate(C73:C76,E73:E76,J73:J76,L73:L76)</f>
        <v>-0.55030344229191508</v>
      </c>
      <c r="S73" s="8">
        <f>bdrate(C73:C76,F73:F76,J73:J76,M73:M76)</f>
        <v>-0.57496660039901415</v>
      </c>
      <c r="T73" s="25">
        <f>bdrate(C73:C76,H73:H76,J73:J76,O73:O76)</f>
        <v>-0.46228381071527802</v>
      </c>
      <c r="U73" s="28">
        <f t="shared" ref="U73:U232" si="3">(N73-G73)/G73</f>
        <v>0.62417989417989428</v>
      </c>
    </row>
    <row r="74" spans="1:21" x14ac:dyDescent="0.25">
      <c r="B74" s="9"/>
      <c r="C74" s="17">
        <v>1277</v>
      </c>
      <c r="D74" s="18">
        <v>42.146999999999998</v>
      </c>
      <c r="E74" s="18">
        <v>46.826999999999998</v>
      </c>
      <c r="F74" s="18">
        <v>47.212000000000003</v>
      </c>
      <c r="G74" s="18">
        <v>4.17</v>
      </c>
      <c r="H74" s="18">
        <f t="shared" si="0"/>
        <v>43.365124999999999</v>
      </c>
      <c r="I74" s="5"/>
      <c r="J74" s="17">
        <v>992.072</v>
      </c>
      <c r="K74" s="18">
        <v>42.572899999999997</v>
      </c>
      <c r="L74" s="18">
        <v>47.831899999999997</v>
      </c>
      <c r="M74" s="18">
        <v>48.496899999999997</v>
      </c>
      <c r="N74" s="18">
        <v>7.782</v>
      </c>
      <c r="O74" s="18">
        <f t="shared" si="1"/>
        <v>43.970774999999996</v>
      </c>
      <c r="P74" s="7"/>
      <c r="Q74" s="10"/>
      <c r="R74" s="11"/>
      <c r="S74" s="11"/>
      <c r="T74" s="26"/>
      <c r="U74" s="28">
        <f t="shared" si="3"/>
        <v>0.86618705035971222</v>
      </c>
    </row>
    <row r="75" spans="1:21" x14ac:dyDescent="0.25">
      <c r="B75" s="9"/>
      <c r="C75" s="17">
        <v>739.27</v>
      </c>
      <c r="D75" s="18">
        <v>41.088000000000001</v>
      </c>
      <c r="E75" s="18">
        <v>45.523000000000003</v>
      </c>
      <c r="F75" s="18">
        <v>46.067</v>
      </c>
      <c r="G75" s="18">
        <v>4.8</v>
      </c>
      <c r="H75" s="18">
        <f t="shared" si="0"/>
        <v>42.264750000000006</v>
      </c>
      <c r="I75" s="5"/>
      <c r="J75" s="17">
        <v>585.64400000000001</v>
      </c>
      <c r="K75" s="18">
        <v>41.735599999999998</v>
      </c>
      <c r="L75" s="18">
        <v>46.885599999999997</v>
      </c>
      <c r="M75" s="18">
        <v>47.509700000000002</v>
      </c>
      <c r="N75" s="18">
        <v>10.3963</v>
      </c>
      <c r="O75" s="18">
        <f t="shared" si="1"/>
        <v>43.101112499999999</v>
      </c>
      <c r="P75" s="7"/>
      <c r="Q75" s="10"/>
      <c r="R75" s="11"/>
      <c r="S75" s="11"/>
      <c r="T75" s="26"/>
      <c r="U75" s="28">
        <f t="shared" si="3"/>
        <v>1.1658958333333334</v>
      </c>
    </row>
    <row r="76" spans="1:21" ht="16.5" thickBot="1" x14ac:dyDescent="0.3">
      <c r="B76" s="12"/>
      <c r="C76" s="19">
        <v>345.5</v>
      </c>
      <c r="D76" s="20">
        <v>38.588000000000001</v>
      </c>
      <c r="E76" s="20">
        <v>43.039000000000001</v>
      </c>
      <c r="F76" s="20">
        <v>43.966000000000001</v>
      </c>
      <c r="G76" s="20">
        <v>6.29</v>
      </c>
      <c r="H76" s="20">
        <f t="shared" si="0"/>
        <v>39.816625000000002</v>
      </c>
      <c r="I76" s="5"/>
      <c r="J76" s="19">
        <v>281.02480000000003</v>
      </c>
      <c r="K76" s="20">
        <v>39.878</v>
      </c>
      <c r="L76" s="20">
        <v>44.954700000000003</v>
      </c>
      <c r="M76" s="20">
        <v>45.4771</v>
      </c>
      <c r="N76" s="20">
        <v>15.6715</v>
      </c>
      <c r="O76" s="20">
        <f t="shared" si="1"/>
        <v>41.212475000000005</v>
      </c>
      <c r="P76" s="7"/>
      <c r="Q76" s="13"/>
      <c r="R76" s="14"/>
      <c r="S76" s="14"/>
      <c r="T76" s="27"/>
      <c r="U76" s="28">
        <f t="shared" si="3"/>
        <v>1.4914944356120825</v>
      </c>
    </row>
    <row r="77" spans="1:21" x14ac:dyDescent="0.25">
      <c r="B77" s="6" t="s">
        <v>63</v>
      </c>
      <c r="C77" s="15">
        <v>2031.3</v>
      </c>
      <c r="D77" s="16">
        <v>42.835000000000001</v>
      </c>
      <c r="E77" s="16">
        <v>46.857999999999997</v>
      </c>
      <c r="F77" s="16">
        <v>47.567999999999998</v>
      </c>
      <c r="G77" s="16">
        <v>4.1100000000000003</v>
      </c>
      <c r="H77" s="16">
        <f t="shared" si="0"/>
        <v>43.929499999999997</v>
      </c>
      <c r="I77" s="5"/>
      <c r="J77" s="15">
        <v>1552.9703999999999</v>
      </c>
      <c r="K77" s="16">
        <v>43.010800000000003</v>
      </c>
      <c r="L77" s="16">
        <v>47.462600000000002</v>
      </c>
      <c r="M77" s="16">
        <v>48.385100000000001</v>
      </c>
      <c r="N77" s="16">
        <v>5.7596999999999996</v>
      </c>
      <c r="O77" s="16">
        <f t="shared" si="1"/>
        <v>44.239062500000003</v>
      </c>
      <c r="P77" s="7"/>
      <c r="Q77" s="8">
        <f>bdrate(C77:C80,D77:D80,J77:J80,K77:K80)</f>
        <v>-0.34950988444773823</v>
      </c>
      <c r="R77" s="8">
        <f>bdrate(C77:C80,E77:E80,J77:J80,L77:L80)</f>
        <v>-0.47835883046826033</v>
      </c>
      <c r="S77" s="8">
        <f>bdrate(C77:C80,F77:F80,J77:J80,M77:M80)</f>
        <v>-0.53103749851692938</v>
      </c>
      <c r="T77" s="25">
        <f>bdrate(C77:C80,H77:H80,J77:J80,O77:O80)</f>
        <v>-0.39233339460748229</v>
      </c>
      <c r="U77" s="28">
        <f t="shared" si="3"/>
        <v>0.40138686131386841</v>
      </c>
    </row>
    <row r="78" spans="1:21" x14ac:dyDescent="0.25">
      <c r="B78" s="9"/>
      <c r="C78" s="17">
        <v>1335.94</v>
      </c>
      <c r="D78" s="18">
        <v>41.963999999999999</v>
      </c>
      <c r="E78" s="18">
        <v>45.905000000000001</v>
      </c>
      <c r="F78" s="18">
        <v>46.459000000000003</v>
      </c>
      <c r="G78" s="18">
        <v>4.45</v>
      </c>
      <c r="H78" s="18">
        <f t="shared" si="0"/>
        <v>43.018499999999996</v>
      </c>
      <c r="I78" s="5"/>
      <c r="J78" s="17">
        <v>1030.1559999999999</v>
      </c>
      <c r="K78" s="18">
        <v>42.254600000000003</v>
      </c>
      <c r="L78" s="18">
        <v>46.699800000000003</v>
      </c>
      <c r="M78" s="18">
        <v>47.595599999999997</v>
      </c>
      <c r="N78" s="18">
        <v>7.1660000000000004</v>
      </c>
      <c r="O78" s="18">
        <f t="shared" si="1"/>
        <v>43.477874999999997</v>
      </c>
      <c r="P78" s="7"/>
      <c r="Q78" s="10"/>
      <c r="R78" s="11"/>
      <c r="S78" s="11"/>
      <c r="T78" s="26"/>
      <c r="U78" s="28">
        <f t="shared" si="3"/>
        <v>0.61033707865168541</v>
      </c>
    </row>
    <row r="79" spans="1:21" x14ac:dyDescent="0.25">
      <c r="B79" s="9"/>
      <c r="C79" s="17">
        <v>785.17</v>
      </c>
      <c r="D79" s="18">
        <v>40.363999999999997</v>
      </c>
      <c r="E79" s="18">
        <v>44.127000000000002</v>
      </c>
      <c r="F79" s="18">
        <v>44.578000000000003</v>
      </c>
      <c r="G79" s="18">
        <v>5.52</v>
      </c>
      <c r="H79" s="18">
        <f t="shared" si="0"/>
        <v>41.361125000000001</v>
      </c>
      <c r="I79" s="5"/>
      <c r="J79" s="17">
        <v>609.10080000000005</v>
      </c>
      <c r="K79" s="18">
        <v>40.890500000000003</v>
      </c>
      <c r="L79" s="18">
        <v>45.386899999999997</v>
      </c>
      <c r="M79" s="18">
        <v>46.235599999999998</v>
      </c>
      <c r="N79" s="18">
        <v>9.7167999999999992</v>
      </c>
      <c r="O79" s="18">
        <f t="shared" si="1"/>
        <v>42.120687500000003</v>
      </c>
      <c r="P79" s="7"/>
      <c r="Q79" s="10"/>
      <c r="R79" s="11"/>
      <c r="S79" s="11"/>
      <c r="T79" s="26"/>
      <c r="U79" s="28">
        <f t="shared" si="3"/>
        <v>0.76028985507246372</v>
      </c>
    </row>
    <row r="80" spans="1:21" ht="16.5" thickBot="1" x14ac:dyDescent="0.3">
      <c r="B80" s="12"/>
      <c r="C80" s="19">
        <v>380.34</v>
      </c>
      <c r="D80" s="20">
        <v>37.048000000000002</v>
      </c>
      <c r="E80" s="20">
        <v>41.615000000000002</v>
      </c>
      <c r="F80" s="20">
        <v>42.061</v>
      </c>
      <c r="G80" s="20">
        <v>7.27</v>
      </c>
      <c r="H80" s="20">
        <f t="shared" si="0"/>
        <v>38.2455</v>
      </c>
      <c r="I80" s="5"/>
      <c r="J80" s="19">
        <v>289.10000000000002</v>
      </c>
      <c r="K80" s="20">
        <v>38.3489</v>
      </c>
      <c r="L80" s="20">
        <v>43.229399999999998</v>
      </c>
      <c r="M80" s="20">
        <v>44.079700000000003</v>
      </c>
      <c r="N80" s="20">
        <v>13.8392</v>
      </c>
      <c r="O80" s="20">
        <f t="shared" si="1"/>
        <v>39.675312500000004</v>
      </c>
      <c r="P80" s="7"/>
      <c r="Q80" s="13"/>
      <c r="R80" s="14"/>
      <c r="S80" s="14"/>
      <c r="T80" s="27"/>
      <c r="U80" s="28">
        <f t="shared" si="3"/>
        <v>0.90360385144429167</v>
      </c>
    </row>
    <row r="81" spans="1:21" hidden="1" x14ac:dyDescent="0.25">
      <c r="A81" s="6" t="s">
        <v>67</v>
      </c>
      <c r="B81" s="6" t="s">
        <v>73</v>
      </c>
      <c r="C81" s="15">
        <v>1576.49</v>
      </c>
      <c r="D81" s="16">
        <v>35.988999999999997</v>
      </c>
      <c r="E81" s="16">
        <v>38.959000000000003</v>
      </c>
      <c r="F81" s="16">
        <v>38.960999999999999</v>
      </c>
      <c r="G81" s="16">
        <v>7.42</v>
      </c>
      <c r="H81" s="16">
        <f t="shared" ref="H81:H240" si="4">(6*D81+E81+F81)/8</f>
        <v>36.731749999999998</v>
      </c>
      <c r="I81" s="5"/>
      <c r="J81" s="15">
        <v>1268.0735999999999</v>
      </c>
      <c r="K81" s="16">
        <v>36.872599999999998</v>
      </c>
      <c r="L81" s="16">
        <v>40.261800000000001</v>
      </c>
      <c r="M81" s="16">
        <v>40.298900000000003</v>
      </c>
      <c r="N81" s="16">
        <v>6.1939000000000002</v>
      </c>
      <c r="O81" s="16">
        <f t="shared" ref="O81:O240" si="5">(6*K81+L81+M81)/8</f>
        <v>37.724537499999997</v>
      </c>
      <c r="P81" s="7"/>
      <c r="Q81" s="8">
        <f>bdrate(C81:C84,D81:D84,J81:J84,K81:K84)</f>
        <v>-0.33590290065898176</v>
      </c>
      <c r="R81" s="8">
        <f>bdrate(C81:C84,E81:E84,J81:J84,L81:L84)</f>
        <v>-0.40720054028217811</v>
      </c>
      <c r="S81" s="8">
        <f>bdrate(C81:C84,F81:F84,J81:J84,M81:M84)</f>
        <v>-0.38674796339956374</v>
      </c>
      <c r="T81" s="25">
        <f>bdrate(C81:C84,H81:H84,J81:J84,O81:O84)</f>
        <v>-0.35010860456186865</v>
      </c>
      <c r="U81" s="28">
        <f t="shared" si="3"/>
        <v>-0.16524258760107813</v>
      </c>
    </row>
    <row r="82" spans="1:21" hidden="1" x14ac:dyDescent="0.25">
      <c r="A82" s="9" t="s">
        <v>68</v>
      </c>
      <c r="B82" s="9"/>
      <c r="C82" s="17">
        <v>1053.6199999999999</v>
      </c>
      <c r="D82" s="18">
        <v>34.247</v>
      </c>
      <c r="E82" s="18">
        <v>37.369</v>
      </c>
      <c r="F82" s="18">
        <v>37.295999999999999</v>
      </c>
      <c r="G82" s="18">
        <v>8.32</v>
      </c>
      <c r="H82" s="18">
        <f t="shared" si="4"/>
        <v>35.018374999999999</v>
      </c>
      <c r="I82" s="5"/>
      <c r="J82" s="17">
        <v>843.58</v>
      </c>
      <c r="K82" s="18">
        <v>34.9529</v>
      </c>
      <c r="L82" s="18">
        <v>38.5304</v>
      </c>
      <c r="M82" s="18">
        <v>38.436999999999998</v>
      </c>
      <c r="N82" s="18">
        <v>7.2544000000000004</v>
      </c>
      <c r="O82" s="18">
        <f t="shared" si="5"/>
        <v>35.835599999999999</v>
      </c>
      <c r="P82" s="7"/>
      <c r="Q82" s="10"/>
      <c r="R82" s="11"/>
      <c r="S82" s="11"/>
      <c r="T82" s="26"/>
      <c r="U82" s="28">
        <f t="shared" si="3"/>
        <v>-0.12807692307692306</v>
      </c>
    </row>
    <row r="83" spans="1:21" hidden="1" x14ac:dyDescent="0.25">
      <c r="B83" s="9"/>
      <c r="C83" s="17">
        <v>655.98</v>
      </c>
      <c r="D83" s="18">
        <v>32.067999999999998</v>
      </c>
      <c r="E83" s="18">
        <v>35.68</v>
      </c>
      <c r="F83" s="18">
        <v>35.530999999999999</v>
      </c>
      <c r="G83" s="18">
        <v>10.01</v>
      </c>
      <c r="H83" s="18">
        <f t="shared" si="4"/>
        <v>32.952374999999996</v>
      </c>
      <c r="I83" s="5"/>
      <c r="J83" s="17">
        <v>526.91039999999998</v>
      </c>
      <c r="K83" s="18">
        <v>32.940399999999997</v>
      </c>
      <c r="L83" s="18">
        <v>36.7742</v>
      </c>
      <c r="M83" s="18">
        <v>36.515300000000003</v>
      </c>
      <c r="N83" s="18">
        <v>8.7841000000000005</v>
      </c>
      <c r="O83" s="18">
        <f t="shared" si="5"/>
        <v>33.866487499999998</v>
      </c>
      <c r="P83" s="7"/>
      <c r="Q83" s="10"/>
      <c r="R83" s="11"/>
      <c r="S83" s="11"/>
      <c r="T83" s="26"/>
      <c r="U83" s="28">
        <f t="shared" si="3"/>
        <v>-0.12246753246753241</v>
      </c>
    </row>
    <row r="84" spans="1:21" ht="16.5" hidden="1" thickBot="1" x14ac:dyDescent="0.3">
      <c r="B84" s="12"/>
      <c r="C84" s="19">
        <v>393.18</v>
      </c>
      <c r="D84" s="20">
        <v>29.571999999999999</v>
      </c>
      <c r="E84" s="20">
        <v>34.194000000000003</v>
      </c>
      <c r="F84" s="20">
        <v>33.896999999999998</v>
      </c>
      <c r="G84" s="20">
        <v>13.06</v>
      </c>
      <c r="H84" s="20">
        <f t="shared" si="4"/>
        <v>30.690374999999996</v>
      </c>
      <c r="I84" s="5"/>
      <c r="J84" s="19">
        <v>315.5136</v>
      </c>
      <c r="K84" s="20">
        <v>30.860299999999999</v>
      </c>
      <c r="L84" s="20">
        <v>34.923400000000001</v>
      </c>
      <c r="M84" s="20">
        <v>34.611899999999999</v>
      </c>
      <c r="N84" s="20">
        <v>11.0397</v>
      </c>
      <c r="O84" s="20">
        <f t="shared" si="5"/>
        <v>31.837137499999997</v>
      </c>
      <c r="P84" s="7"/>
      <c r="Q84" s="13"/>
      <c r="R84" s="14"/>
      <c r="S84" s="14"/>
      <c r="T84" s="27"/>
      <c r="U84" s="28">
        <f t="shared" si="3"/>
        <v>-0.15469372128637063</v>
      </c>
    </row>
    <row r="85" spans="1:21" hidden="1" x14ac:dyDescent="0.25">
      <c r="B85" s="6" t="s">
        <v>74</v>
      </c>
      <c r="C85" s="15">
        <v>1471.66</v>
      </c>
      <c r="D85" s="16">
        <v>35.256</v>
      </c>
      <c r="E85" s="16">
        <v>40.957000000000001</v>
      </c>
      <c r="F85" s="16">
        <v>40.488999999999997</v>
      </c>
      <c r="G85" s="16">
        <v>4.54</v>
      </c>
      <c r="H85" s="16">
        <f t="shared" si="4"/>
        <v>36.622749999999996</v>
      </c>
      <c r="I85" s="5"/>
      <c r="J85" s="15">
        <v>1245.2366</v>
      </c>
      <c r="K85" s="16">
        <v>35.013100000000001</v>
      </c>
      <c r="L85" s="16">
        <v>41.611400000000003</v>
      </c>
      <c r="M85" s="16">
        <v>41.036700000000003</v>
      </c>
      <c r="N85" s="16">
        <v>4.1863999999999999</v>
      </c>
      <c r="O85" s="16">
        <f t="shared" si="5"/>
        <v>36.590837499999999</v>
      </c>
      <c r="P85" s="7"/>
      <c r="Q85" s="8">
        <f>bdrate(C85:C88,D85:D88,J85:J88,K85:K88)</f>
        <v>-0.19173248405572585</v>
      </c>
      <c r="R85" s="8">
        <f>bdrate(C85:C88,E85:E88,J85:J88,L85:L88)</f>
        <v>-0.28809433975015386</v>
      </c>
      <c r="S85" s="8">
        <f>bdrate(C85:C88,F85:F88,J85:J88,M85:M88)</f>
        <v>-0.24607108479592954</v>
      </c>
      <c r="T85" s="25">
        <f>bdrate(C85:C88,H85:H88,J85:J88,O85:O88)</f>
        <v>-0.20652925704538405</v>
      </c>
      <c r="U85" s="28">
        <f t="shared" si="3"/>
        <v>-7.7885462555066107E-2</v>
      </c>
    </row>
    <row r="86" spans="1:21" hidden="1" x14ac:dyDescent="0.25">
      <c r="B86" s="9"/>
      <c r="C86" s="17">
        <v>974.41</v>
      </c>
      <c r="D86" s="18">
        <v>33.331000000000003</v>
      </c>
      <c r="E86" s="18">
        <v>39.792000000000002</v>
      </c>
      <c r="F86" s="18">
        <v>39.174999999999997</v>
      </c>
      <c r="G86" s="18">
        <v>5.26</v>
      </c>
      <c r="H86" s="18">
        <f t="shared" si="4"/>
        <v>34.869125000000004</v>
      </c>
      <c r="I86" s="5"/>
      <c r="J86" s="17">
        <v>828.92780000000005</v>
      </c>
      <c r="K86" s="18">
        <v>33.343600000000002</v>
      </c>
      <c r="L86" s="18">
        <v>40.406700000000001</v>
      </c>
      <c r="M86" s="18">
        <v>39.650700000000001</v>
      </c>
      <c r="N86" s="18">
        <v>5.0091000000000001</v>
      </c>
      <c r="O86" s="18">
        <f t="shared" si="5"/>
        <v>35.014875000000004</v>
      </c>
      <c r="P86" s="7"/>
      <c r="Q86" s="10"/>
      <c r="R86" s="11"/>
      <c r="S86" s="11"/>
      <c r="T86" s="26"/>
      <c r="U86" s="28">
        <f t="shared" si="3"/>
        <v>-4.7699619771863058E-2</v>
      </c>
    </row>
    <row r="87" spans="1:21" hidden="1" x14ac:dyDescent="0.25">
      <c r="B87" s="9"/>
      <c r="C87" s="17">
        <v>608.72</v>
      </c>
      <c r="D87" s="18">
        <v>31.265999999999998</v>
      </c>
      <c r="E87" s="18">
        <v>38.719000000000001</v>
      </c>
      <c r="F87" s="18">
        <v>37.802999999999997</v>
      </c>
      <c r="G87" s="18">
        <v>6.28</v>
      </c>
      <c r="H87" s="18">
        <f t="shared" si="4"/>
        <v>33.014749999999999</v>
      </c>
      <c r="I87" s="5"/>
      <c r="J87" s="17">
        <v>516.36</v>
      </c>
      <c r="K87" s="18">
        <v>31.612400000000001</v>
      </c>
      <c r="L87" s="18">
        <v>39.074800000000003</v>
      </c>
      <c r="M87" s="18">
        <v>38.116599999999998</v>
      </c>
      <c r="N87" s="18">
        <v>6.2366999999999999</v>
      </c>
      <c r="O87" s="18">
        <f t="shared" si="5"/>
        <v>33.358224999999997</v>
      </c>
      <c r="P87" s="7"/>
      <c r="Q87" s="10"/>
      <c r="R87" s="11"/>
      <c r="S87" s="11"/>
      <c r="T87" s="26"/>
      <c r="U87" s="28">
        <f t="shared" si="3"/>
        <v>-6.8949044585987799E-3</v>
      </c>
    </row>
    <row r="88" spans="1:21" ht="16.5" hidden="1" thickBot="1" x14ac:dyDescent="0.3">
      <c r="B88" s="12"/>
      <c r="C88" s="19">
        <v>366.74</v>
      </c>
      <c r="D88" s="20">
        <v>29.105</v>
      </c>
      <c r="E88" s="20">
        <v>37.555</v>
      </c>
      <c r="F88" s="20">
        <v>36.395000000000003</v>
      </c>
      <c r="G88" s="20">
        <v>7.61</v>
      </c>
      <c r="H88" s="20">
        <f t="shared" si="4"/>
        <v>31.072500000000002</v>
      </c>
      <c r="I88" s="5"/>
      <c r="J88" s="19">
        <v>309.32159999999999</v>
      </c>
      <c r="K88" s="20">
        <v>29.852499999999999</v>
      </c>
      <c r="L88" s="20">
        <v>37.782400000000003</v>
      </c>
      <c r="M88" s="20">
        <v>36.530099999999997</v>
      </c>
      <c r="N88" s="20">
        <v>7.9032999999999998</v>
      </c>
      <c r="O88" s="20">
        <f t="shared" si="5"/>
        <v>31.678437500000001</v>
      </c>
      <c r="P88" s="7"/>
      <c r="Q88" s="13"/>
      <c r="R88" s="14"/>
      <c r="S88" s="14"/>
      <c r="T88" s="27"/>
      <c r="U88" s="28">
        <f t="shared" si="3"/>
        <v>3.8541392904073511E-2</v>
      </c>
    </row>
    <row r="89" spans="1:21" hidden="1" x14ac:dyDescent="0.25">
      <c r="B89" s="6" t="s">
        <v>75</v>
      </c>
      <c r="C89" s="15">
        <v>1213.57</v>
      </c>
      <c r="D89" s="16">
        <v>52.912999999999997</v>
      </c>
      <c r="E89" s="16">
        <v>52.298000000000002</v>
      </c>
      <c r="F89" s="16">
        <v>52.109000000000002</v>
      </c>
      <c r="G89" s="16">
        <v>8.58</v>
      </c>
      <c r="H89" s="16">
        <f t="shared" si="4"/>
        <v>52.735624999999992</v>
      </c>
      <c r="I89" s="5"/>
      <c r="J89" s="15">
        <v>824.07039999999995</v>
      </c>
      <c r="K89" s="16">
        <v>50.619199999999999</v>
      </c>
      <c r="L89" s="16">
        <v>50.206600000000002</v>
      </c>
      <c r="M89" s="16">
        <v>50.092700000000001</v>
      </c>
      <c r="N89" s="16">
        <v>7.5286</v>
      </c>
      <c r="O89" s="16">
        <f t="shared" si="5"/>
        <v>50.501812499999993</v>
      </c>
      <c r="P89" s="7"/>
      <c r="Q89" s="8">
        <f>bdrate(C89:C92,D89:D92,J89:J92,K89:K92)</f>
        <v>-0.11498950843758504</v>
      </c>
      <c r="R89" s="8">
        <f>bdrate(C89:C92,E89:E92,J89:J92,L89:L92)</f>
        <v>-0.13601171090880859</v>
      </c>
      <c r="S89" s="8">
        <f>bdrate(C89:C92,F89:F92,J89:J92,M89:M92)</f>
        <v>-0.13575180498841455</v>
      </c>
      <c r="T89" s="25">
        <f>bdrate(C89:C92,H89:H92,J89:J92,O89:O92)</f>
        <v>-0.119555592229031</v>
      </c>
      <c r="U89" s="28">
        <f t="shared" si="3"/>
        <v>-0.12254079254079256</v>
      </c>
    </row>
    <row r="90" spans="1:21" hidden="1" x14ac:dyDescent="0.25">
      <c r="B90" s="9"/>
      <c r="C90" s="17">
        <v>766.86</v>
      </c>
      <c r="D90" s="18">
        <v>48.595999999999997</v>
      </c>
      <c r="E90" s="18">
        <v>48.308</v>
      </c>
      <c r="F90" s="18">
        <v>48.170999999999999</v>
      </c>
      <c r="G90" s="18">
        <v>8.9700000000000006</v>
      </c>
      <c r="H90" s="18">
        <f t="shared" si="4"/>
        <v>48.506874999999994</v>
      </c>
      <c r="I90" s="5"/>
      <c r="J90" s="17">
        <v>683.38319999999999</v>
      </c>
      <c r="K90" s="18">
        <v>49.145699999999998</v>
      </c>
      <c r="L90" s="18">
        <v>48.838200000000001</v>
      </c>
      <c r="M90" s="18">
        <v>48.696199999999997</v>
      </c>
      <c r="N90" s="18">
        <v>9.3987999999999996</v>
      </c>
      <c r="O90" s="18">
        <f t="shared" si="5"/>
        <v>49.051074999999997</v>
      </c>
      <c r="P90" s="7"/>
      <c r="Q90" s="10"/>
      <c r="R90" s="11"/>
      <c r="S90" s="11"/>
      <c r="T90" s="26"/>
      <c r="U90" s="28">
        <f t="shared" si="3"/>
        <v>4.7803790412485947E-2</v>
      </c>
    </row>
    <row r="91" spans="1:21" hidden="1" x14ac:dyDescent="0.25">
      <c r="B91" s="9"/>
      <c r="C91" s="17">
        <v>495.95</v>
      </c>
      <c r="D91" s="18">
        <v>43.322000000000003</v>
      </c>
      <c r="E91" s="18">
        <v>43.935000000000002</v>
      </c>
      <c r="F91" s="18">
        <v>43.843000000000004</v>
      </c>
      <c r="G91" s="18">
        <v>9.89</v>
      </c>
      <c r="H91" s="18">
        <f t="shared" si="4"/>
        <v>43.463750000000005</v>
      </c>
      <c r="I91" s="5"/>
      <c r="J91" s="17">
        <v>520.74480000000005</v>
      </c>
      <c r="K91" s="18">
        <v>45.466999999999999</v>
      </c>
      <c r="L91" s="18">
        <v>46.039700000000003</v>
      </c>
      <c r="M91" s="18">
        <v>45.932600000000001</v>
      </c>
      <c r="N91" s="18">
        <v>13.161899999999999</v>
      </c>
      <c r="O91" s="18">
        <f t="shared" si="5"/>
        <v>45.596787499999998</v>
      </c>
      <c r="P91" s="7"/>
      <c r="Q91" s="10"/>
      <c r="R91" s="11"/>
      <c r="S91" s="11"/>
      <c r="T91" s="26"/>
      <c r="U91" s="28">
        <f t="shared" si="3"/>
        <v>0.33082912032355899</v>
      </c>
    </row>
    <row r="92" spans="1:21" ht="16.5" hidden="1" thickBot="1" x14ac:dyDescent="0.3">
      <c r="B92" s="12"/>
      <c r="C92" s="19">
        <v>278.69</v>
      </c>
      <c r="D92" s="20">
        <v>35.418999999999997</v>
      </c>
      <c r="E92" s="20">
        <v>39.064</v>
      </c>
      <c r="F92" s="20">
        <v>38.718000000000004</v>
      </c>
      <c r="G92" s="20">
        <v>12.21</v>
      </c>
      <c r="H92" s="20">
        <f t="shared" si="4"/>
        <v>36.286999999999999</v>
      </c>
      <c r="I92" s="5"/>
      <c r="J92" s="19">
        <v>312.01760000000002</v>
      </c>
      <c r="K92" s="20">
        <v>38.401400000000002</v>
      </c>
      <c r="L92" s="20">
        <v>40.527900000000002</v>
      </c>
      <c r="M92" s="20">
        <v>40.337499999999999</v>
      </c>
      <c r="N92" s="20">
        <v>16.708400000000001</v>
      </c>
      <c r="O92" s="20">
        <f t="shared" si="5"/>
        <v>38.909224999999999</v>
      </c>
      <c r="P92" s="7"/>
      <c r="Q92" s="13"/>
      <c r="R92" s="14"/>
      <c r="S92" s="14"/>
      <c r="T92" s="27"/>
      <c r="U92" s="28">
        <f t="shared" si="3"/>
        <v>0.3684193284193284</v>
      </c>
    </row>
    <row r="93" spans="1:21" hidden="1" x14ac:dyDescent="0.25">
      <c r="B93" s="6" t="s">
        <v>76</v>
      </c>
      <c r="C93" s="15">
        <v>1746</v>
      </c>
      <c r="D93" s="16">
        <v>57.171999999999997</v>
      </c>
      <c r="E93" s="16">
        <v>59.860999999999997</v>
      </c>
      <c r="F93" s="16">
        <v>60.527000000000001</v>
      </c>
      <c r="G93" s="16">
        <v>6.43</v>
      </c>
      <c r="H93" s="16">
        <f t="shared" si="4"/>
        <v>57.927499999999995</v>
      </c>
      <c r="I93" s="5"/>
      <c r="J93" s="15">
        <v>1066.7850000000001</v>
      </c>
      <c r="K93" s="16">
        <v>54.042299999999997</v>
      </c>
      <c r="L93" s="16">
        <v>56.993499999999997</v>
      </c>
      <c r="M93" s="16">
        <v>57.877200000000002</v>
      </c>
      <c r="N93" s="16">
        <v>6.8319999999999999</v>
      </c>
      <c r="O93" s="16">
        <f t="shared" si="5"/>
        <v>54.890562499999994</v>
      </c>
      <c r="P93" s="7"/>
      <c r="Q93" s="8">
        <f>bdrate(C93:C96,D93:D96,J93:J96,K93:K96)</f>
        <v>-0.22221581538140034</v>
      </c>
      <c r="R93" s="8">
        <f>bdrate(C93:C96,E93:E96,J93:J96,L93:L96)</f>
        <v>-0.30451764345211851</v>
      </c>
      <c r="S93" s="8">
        <f>bdrate(C93:C96,F93:F96,J93:J96,M93:M96)</f>
        <v>-0.29420727177063855</v>
      </c>
      <c r="T93" s="25">
        <f>bdrate(C93:C96,H93:H96,J93:J96,O93:O96)</f>
        <v>-0.2415971993755246</v>
      </c>
      <c r="U93" s="28">
        <f t="shared" si="3"/>
        <v>6.251944012441682E-2</v>
      </c>
    </row>
    <row r="94" spans="1:21" hidden="1" x14ac:dyDescent="0.25">
      <c r="B94" s="9"/>
      <c r="C94" s="17">
        <v>1168.24</v>
      </c>
      <c r="D94" s="18">
        <v>53.066000000000003</v>
      </c>
      <c r="E94" s="18">
        <v>56.220999999999997</v>
      </c>
      <c r="F94" s="18">
        <v>57.051000000000002</v>
      </c>
      <c r="G94" s="18">
        <v>6.71</v>
      </c>
      <c r="H94" s="18">
        <f t="shared" si="4"/>
        <v>53.958500000000001</v>
      </c>
      <c r="I94" s="5"/>
      <c r="J94" s="17">
        <v>755.13279999999997</v>
      </c>
      <c r="K94" s="18">
        <v>51.236899999999999</v>
      </c>
      <c r="L94" s="18">
        <v>54.670400000000001</v>
      </c>
      <c r="M94" s="18">
        <v>55.66</v>
      </c>
      <c r="N94" s="18">
        <v>7.5659000000000001</v>
      </c>
      <c r="O94" s="18">
        <f t="shared" si="5"/>
        <v>52.218975</v>
      </c>
      <c r="P94" s="7"/>
      <c r="Q94" s="10"/>
      <c r="R94" s="11"/>
      <c r="S94" s="11"/>
      <c r="T94" s="26"/>
      <c r="U94" s="28">
        <f t="shared" si="3"/>
        <v>0.12755588673621462</v>
      </c>
    </row>
    <row r="95" spans="1:21" hidden="1" x14ac:dyDescent="0.25">
      <c r="B95" s="9"/>
      <c r="C95" s="17">
        <v>707.72</v>
      </c>
      <c r="D95" s="18">
        <v>48.853999999999999</v>
      </c>
      <c r="E95" s="18">
        <v>51.817999999999998</v>
      </c>
      <c r="F95" s="18">
        <v>53.064999999999998</v>
      </c>
      <c r="G95" s="18">
        <v>7.45</v>
      </c>
      <c r="H95" s="18">
        <f t="shared" si="4"/>
        <v>49.750875000000001</v>
      </c>
      <c r="I95" s="5"/>
      <c r="J95" s="17">
        <v>470.16829999999999</v>
      </c>
      <c r="K95" s="18">
        <v>47.750799999999998</v>
      </c>
      <c r="L95" s="18">
        <v>51.738399999999999</v>
      </c>
      <c r="M95" s="18">
        <v>52.841099999999997</v>
      </c>
      <c r="N95" s="18">
        <v>9.2620000000000005</v>
      </c>
      <c r="O95" s="18">
        <f t="shared" si="5"/>
        <v>48.885537499999998</v>
      </c>
      <c r="P95" s="7"/>
      <c r="Q95" s="10"/>
      <c r="R95" s="11"/>
      <c r="S95" s="11"/>
      <c r="T95" s="26"/>
      <c r="U95" s="28">
        <f t="shared" si="3"/>
        <v>0.24322147651006715</v>
      </c>
    </row>
    <row r="96" spans="1:21" ht="16.5" hidden="1" thickBot="1" x14ac:dyDescent="0.3">
      <c r="B96" s="12"/>
      <c r="C96" s="19">
        <v>359.63</v>
      </c>
      <c r="D96" s="20">
        <v>43.389000000000003</v>
      </c>
      <c r="E96" s="20">
        <v>46.325000000000003</v>
      </c>
      <c r="F96" s="20">
        <v>48.01</v>
      </c>
      <c r="G96" s="20">
        <v>8.8000000000000007</v>
      </c>
      <c r="H96" s="20">
        <f t="shared" si="4"/>
        <v>44.333624999999998</v>
      </c>
      <c r="I96" s="5"/>
      <c r="J96" s="19">
        <v>250.4752</v>
      </c>
      <c r="K96" s="20">
        <v>42.563099999999999</v>
      </c>
      <c r="L96" s="20">
        <v>47.543799999999997</v>
      </c>
      <c r="M96" s="20">
        <v>48.8035</v>
      </c>
      <c r="N96" s="20">
        <v>12.1174</v>
      </c>
      <c r="O96" s="20">
        <f t="shared" si="5"/>
        <v>43.965737499999996</v>
      </c>
      <c r="P96" s="7"/>
      <c r="Q96" s="13"/>
      <c r="R96" s="14"/>
      <c r="S96" s="14"/>
      <c r="T96" s="27"/>
      <c r="U96" s="28">
        <f t="shared" si="3"/>
        <v>0.37697727272727261</v>
      </c>
    </row>
    <row r="97" spans="1:21" hidden="1" x14ac:dyDescent="0.25">
      <c r="A97" s="6" t="s">
        <v>104</v>
      </c>
      <c r="B97" s="6" t="s">
        <v>105</v>
      </c>
      <c r="C97" s="15">
        <v>1306.55</v>
      </c>
      <c r="D97" s="16">
        <v>42.542000000000002</v>
      </c>
      <c r="E97" s="16">
        <v>48.933</v>
      </c>
      <c r="F97" s="16">
        <v>48.933</v>
      </c>
      <c r="G97" s="16">
        <v>6.35</v>
      </c>
      <c r="H97" s="16">
        <f t="shared" si="4"/>
        <v>44.139749999999999</v>
      </c>
      <c r="I97" s="5"/>
      <c r="J97" s="15">
        <v>1038.4919</v>
      </c>
      <c r="K97" s="16">
        <v>42.686599999999999</v>
      </c>
      <c r="L97" s="16">
        <v>49.167999999999999</v>
      </c>
      <c r="M97" s="16">
        <v>49.135100000000001</v>
      </c>
      <c r="N97" s="16">
        <v>3.9037000000000002</v>
      </c>
      <c r="O97" s="16">
        <f t="shared" si="5"/>
        <v>44.302837500000003</v>
      </c>
      <c r="P97" s="7"/>
      <c r="Q97" s="8">
        <f>bdrate(C97:C100,D97:D100,J97:J100,K97:K100)</f>
        <v>-0.24777712001396024</v>
      </c>
      <c r="R97" s="8">
        <f>bdrate(C97:C100,E97:E100,J97:J100,L97:L100)</f>
        <v>-0.32024802709284383</v>
      </c>
      <c r="S97" s="8">
        <f>bdrate(C97:C100,F97:F100,J97:J100,M97:M100)</f>
        <v>-0.30578192197786969</v>
      </c>
      <c r="T97" s="25">
        <f>bdrate(C97:C100,H97:H100,J97:J100,O97:O100)</f>
        <v>-0.26070334689468311</v>
      </c>
      <c r="U97" s="28">
        <f t="shared" si="3"/>
        <v>-0.38524409448818892</v>
      </c>
    </row>
    <row r="98" spans="1:21" hidden="1" x14ac:dyDescent="0.25">
      <c r="A98" s="9"/>
      <c r="B98" s="9"/>
      <c r="C98" s="17">
        <v>774.3</v>
      </c>
      <c r="D98" s="18">
        <v>40.042000000000002</v>
      </c>
      <c r="E98" s="18">
        <v>46.94</v>
      </c>
      <c r="F98" s="18">
        <v>46.79</v>
      </c>
      <c r="G98" s="18">
        <v>6.79</v>
      </c>
      <c r="H98" s="18">
        <f t="shared" si="4"/>
        <v>41.747750000000003</v>
      </c>
      <c r="I98" s="5"/>
      <c r="J98" s="17">
        <v>618.15530000000001</v>
      </c>
      <c r="K98" s="18">
        <v>40.244799999999998</v>
      </c>
      <c r="L98" s="18">
        <v>47.446800000000003</v>
      </c>
      <c r="M98" s="18">
        <v>47.255000000000003</v>
      </c>
      <c r="N98" s="18">
        <v>4.7793000000000001</v>
      </c>
      <c r="O98" s="18">
        <f t="shared" si="5"/>
        <v>42.021324999999997</v>
      </c>
      <c r="P98" s="7"/>
      <c r="Q98" s="10"/>
      <c r="R98" s="11"/>
      <c r="S98" s="11"/>
      <c r="T98" s="26"/>
      <c r="U98" s="28">
        <f t="shared" si="3"/>
        <v>-0.2961266568483063</v>
      </c>
    </row>
    <row r="99" spans="1:21" hidden="1" x14ac:dyDescent="0.25">
      <c r="B99" s="9"/>
      <c r="C99" s="17">
        <v>510.2</v>
      </c>
      <c r="D99" s="18">
        <v>37.978000000000002</v>
      </c>
      <c r="E99" s="18">
        <v>45.511000000000003</v>
      </c>
      <c r="F99" s="18">
        <v>45.27</v>
      </c>
      <c r="G99" s="18">
        <v>7.41</v>
      </c>
      <c r="H99" s="18">
        <f t="shared" si="4"/>
        <v>39.831125</v>
      </c>
      <c r="I99" s="5"/>
      <c r="J99" s="17">
        <v>409.9076</v>
      </c>
      <c r="K99" s="18">
        <v>38.3003</v>
      </c>
      <c r="L99" s="18">
        <v>46.163200000000003</v>
      </c>
      <c r="M99" s="18">
        <v>45.878599999999999</v>
      </c>
      <c r="N99" s="18">
        <v>5.6252000000000004</v>
      </c>
      <c r="O99" s="18">
        <f t="shared" si="5"/>
        <v>40.230450000000005</v>
      </c>
      <c r="P99" s="7"/>
      <c r="Q99" s="10"/>
      <c r="R99" s="11"/>
      <c r="S99" s="11"/>
      <c r="T99" s="26"/>
      <c r="U99" s="28">
        <f t="shared" si="3"/>
        <v>-0.24086369770580293</v>
      </c>
    </row>
    <row r="100" spans="1:21" ht="16.5" hidden="1" thickBot="1" x14ac:dyDescent="0.3">
      <c r="B100" s="12"/>
      <c r="C100" s="19">
        <v>254.06</v>
      </c>
      <c r="D100" s="20">
        <v>34.409999999999997</v>
      </c>
      <c r="E100" s="20">
        <v>43.317</v>
      </c>
      <c r="F100" s="20">
        <v>42.831000000000003</v>
      </c>
      <c r="G100" s="20">
        <v>8.7799999999999994</v>
      </c>
      <c r="H100" s="20">
        <f t="shared" si="4"/>
        <v>36.576000000000001</v>
      </c>
      <c r="I100" s="5"/>
      <c r="J100" s="19">
        <v>203.02250000000001</v>
      </c>
      <c r="K100" s="20">
        <v>34.978499999999997</v>
      </c>
      <c r="L100" s="20">
        <v>43.861199999999997</v>
      </c>
      <c r="M100" s="20">
        <v>43.4116</v>
      </c>
      <c r="N100" s="20">
        <v>7.5023999999999997</v>
      </c>
      <c r="O100" s="20">
        <f t="shared" si="5"/>
        <v>37.142975</v>
      </c>
      <c r="P100" s="7"/>
      <c r="Q100" s="13"/>
      <c r="R100" s="14"/>
      <c r="S100" s="14"/>
      <c r="T100" s="27"/>
      <c r="U100" s="28">
        <f t="shared" si="3"/>
        <v>-0.14551252847380408</v>
      </c>
    </row>
    <row r="101" spans="1:21" hidden="1" x14ac:dyDescent="0.25">
      <c r="B101" s="6" t="s">
        <v>106</v>
      </c>
      <c r="C101" s="15">
        <v>1280.68</v>
      </c>
      <c r="D101" s="16">
        <v>41.670999999999999</v>
      </c>
      <c r="E101" s="16">
        <v>50.819000000000003</v>
      </c>
      <c r="F101" s="16">
        <v>48.719000000000001</v>
      </c>
      <c r="G101" s="16">
        <v>6.87</v>
      </c>
      <c r="H101" s="16">
        <f t="shared" si="4"/>
        <v>43.695500000000003</v>
      </c>
      <c r="I101" s="5"/>
      <c r="J101" s="15">
        <v>1025.9439</v>
      </c>
      <c r="K101" s="16">
        <v>41.4238</v>
      </c>
      <c r="L101" s="16">
        <v>50.895699999999998</v>
      </c>
      <c r="M101" s="16">
        <v>48.8461</v>
      </c>
      <c r="N101" s="16">
        <v>4.3982000000000001</v>
      </c>
      <c r="O101" s="16">
        <f t="shared" si="5"/>
        <v>43.535574999999994</v>
      </c>
      <c r="P101" s="7"/>
      <c r="Q101" s="8">
        <f>bdrate(C101:C104,D101:D104,J101:J104,K101:K104)</f>
        <v>-0.1943455189351192</v>
      </c>
      <c r="R101" s="8">
        <f>bdrate(C101:C104,E101:E104,J101:J104,L101:L104)</f>
        <v>-0.37958596019795332</v>
      </c>
      <c r="S101" s="8">
        <f>bdrate(C101:C104,F101:F104,J101:J104,M101:M104)</f>
        <v>-0.34047895236013026</v>
      </c>
      <c r="T101" s="25">
        <f>bdrate(C101:C104,H101:H104,J101:J104,O101:O104)</f>
        <v>-0.22840099900072175</v>
      </c>
      <c r="U101" s="28">
        <f t="shared" si="3"/>
        <v>-0.35979621542940321</v>
      </c>
    </row>
    <row r="102" spans="1:21" hidden="1" x14ac:dyDescent="0.25">
      <c r="B102" s="9"/>
      <c r="C102" s="17">
        <v>765.04</v>
      </c>
      <c r="D102" s="18">
        <v>39.238</v>
      </c>
      <c r="E102" s="18">
        <v>48.917999999999999</v>
      </c>
      <c r="F102" s="18">
        <v>46.53</v>
      </c>
      <c r="G102" s="18">
        <v>7.37</v>
      </c>
      <c r="H102" s="18">
        <f t="shared" si="4"/>
        <v>41.359499999999997</v>
      </c>
      <c r="I102" s="5"/>
      <c r="J102" s="17">
        <v>615.77380000000005</v>
      </c>
      <c r="K102" s="18">
        <v>39.1267</v>
      </c>
      <c r="L102" s="18">
        <v>49.571199999999997</v>
      </c>
      <c r="M102" s="18">
        <v>47.1402</v>
      </c>
      <c r="N102" s="18">
        <v>5.4786999999999999</v>
      </c>
      <c r="O102" s="18">
        <f t="shared" si="5"/>
        <v>41.433949999999996</v>
      </c>
      <c r="P102" s="7"/>
      <c r="Q102" s="10"/>
      <c r="R102" s="11"/>
      <c r="S102" s="11"/>
      <c r="T102" s="26"/>
      <c r="U102" s="28">
        <f t="shared" si="3"/>
        <v>-0.25662143826322931</v>
      </c>
    </row>
    <row r="103" spans="1:21" hidden="1" x14ac:dyDescent="0.25">
      <c r="B103" s="9"/>
      <c r="C103" s="17">
        <v>509.29</v>
      </c>
      <c r="D103" s="18">
        <v>37.359000000000002</v>
      </c>
      <c r="E103" s="18">
        <v>47.654000000000003</v>
      </c>
      <c r="F103" s="18">
        <v>45.1</v>
      </c>
      <c r="G103" s="18">
        <v>8.2100000000000009</v>
      </c>
      <c r="H103" s="18">
        <f t="shared" si="4"/>
        <v>39.613500000000002</v>
      </c>
      <c r="I103" s="5"/>
      <c r="J103" s="17">
        <v>410.56700000000001</v>
      </c>
      <c r="K103" s="18">
        <v>37.364699999999999</v>
      </c>
      <c r="L103" s="18">
        <v>48.616900000000001</v>
      </c>
      <c r="M103" s="18">
        <v>45.921500000000002</v>
      </c>
      <c r="N103" s="18">
        <v>6.5324999999999998</v>
      </c>
      <c r="O103" s="18">
        <f t="shared" si="5"/>
        <v>39.840824999999995</v>
      </c>
      <c r="P103" s="7"/>
      <c r="Q103" s="10"/>
      <c r="R103" s="11"/>
      <c r="S103" s="11"/>
      <c r="T103" s="26"/>
      <c r="U103" s="28">
        <f t="shared" si="3"/>
        <v>-0.20432399512789293</v>
      </c>
    </row>
    <row r="104" spans="1:21" ht="16.5" hidden="1" thickBot="1" x14ac:dyDescent="0.3">
      <c r="B104" s="12"/>
      <c r="C104" s="19">
        <v>255.32</v>
      </c>
      <c r="D104" s="20">
        <v>34.25</v>
      </c>
      <c r="E104" s="20">
        <v>45.890999999999998</v>
      </c>
      <c r="F104" s="20">
        <v>42.947000000000003</v>
      </c>
      <c r="G104" s="20">
        <v>9.8000000000000007</v>
      </c>
      <c r="H104" s="20">
        <f t="shared" si="4"/>
        <v>36.792249999999996</v>
      </c>
      <c r="I104" s="5"/>
      <c r="J104" s="19">
        <v>204.8117</v>
      </c>
      <c r="K104" s="20">
        <v>34.596899999999998</v>
      </c>
      <c r="L104" s="20">
        <v>46.805999999999997</v>
      </c>
      <c r="M104" s="20">
        <v>43.825499999999998</v>
      </c>
      <c r="N104" s="20">
        <v>8.7156000000000002</v>
      </c>
      <c r="O104" s="20">
        <f t="shared" si="5"/>
        <v>37.276612499999992</v>
      </c>
      <c r="P104" s="7"/>
      <c r="Q104" s="13"/>
      <c r="R104" s="14"/>
      <c r="S104" s="14"/>
      <c r="T104" s="27"/>
      <c r="U104" s="28">
        <f t="shared" si="3"/>
        <v>-0.11065306122448984</v>
      </c>
    </row>
    <row r="105" spans="1:21" hidden="1" x14ac:dyDescent="0.25">
      <c r="B105" s="6" t="s">
        <v>107</v>
      </c>
      <c r="C105" s="15">
        <v>1332.43</v>
      </c>
      <c r="D105" s="16">
        <v>44.991</v>
      </c>
      <c r="E105" s="16">
        <v>48.685000000000002</v>
      </c>
      <c r="F105" s="16">
        <v>49.021999999999998</v>
      </c>
      <c r="G105" s="16">
        <v>6.57</v>
      </c>
      <c r="H105" s="16">
        <f t="shared" si="4"/>
        <v>45.956625000000003</v>
      </c>
      <c r="I105" s="5"/>
      <c r="J105" s="15">
        <v>1032.1025</v>
      </c>
      <c r="K105" s="16">
        <v>44.936700000000002</v>
      </c>
      <c r="L105" s="16">
        <v>48.846200000000003</v>
      </c>
      <c r="M105" s="16">
        <v>49.113500000000002</v>
      </c>
      <c r="N105" s="16">
        <v>3.6806000000000001</v>
      </c>
      <c r="O105" s="16">
        <f t="shared" si="5"/>
        <v>45.947487500000001</v>
      </c>
      <c r="P105" s="7"/>
      <c r="Q105" s="8">
        <f>bdrate(C105:C108,D105:D108,J105:J108,K105:K108)</f>
        <v>-0.26469430529482119</v>
      </c>
      <c r="R105" s="8">
        <f>bdrate(C105:C108,E105:E108,J105:J108,L105:L108)</f>
        <v>-0.3236354593782591</v>
      </c>
      <c r="S105" s="8">
        <f>bdrate(C105:C108,F105:F108,J105:J108,M105:M108)</f>
        <v>-0.30768295074304841</v>
      </c>
      <c r="T105" s="25">
        <f>bdrate(C105:C108,H105:H108,J105:J108,O105:O108)</f>
        <v>-0.27397176067780704</v>
      </c>
      <c r="U105" s="28">
        <f t="shared" si="3"/>
        <v>-0.43978691019786909</v>
      </c>
    </row>
    <row r="106" spans="1:21" hidden="1" x14ac:dyDescent="0.25">
      <c r="B106" s="9"/>
      <c r="C106" s="17">
        <v>797.04</v>
      </c>
      <c r="D106" s="18">
        <v>42.85</v>
      </c>
      <c r="E106" s="18">
        <v>47.075000000000003</v>
      </c>
      <c r="F106" s="18">
        <v>47.531999999999996</v>
      </c>
      <c r="G106" s="18">
        <v>6.96</v>
      </c>
      <c r="H106" s="18">
        <f t="shared" si="4"/>
        <v>43.963374999999999</v>
      </c>
      <c r="I106" s="5"/>
      <c r="J106" s="17">
        <v>616.61839999999995</v>
      </c>
      <c r="K106" s="18">
        <v>42.9602</v>
      </c>
      <c r="L106" s="18">
        <v>47.405200000000001</v>
      </c>
      <c r="M106" s="18">
        <v>47.762799999999999</v>
      </c>
      <c r="N106" s="18">
        <v>4.5171000000000001</v>
      </c>
      <c r="O106" s="18">
        <f t="shared" si="5"/>
        <v>44.116150000000005</v>
      </c>
      <c r="P106" s="7"/>
      <c r="Q106" s="10"/>
      <c r="R106" s="11"/>
      <c r="S106" s="11"/>
      <c r="T106" s="26"/>
      <c r="U106" s="28">
        <f t="shared" si="3"/>
        <v>-0.3509913793103448</v>
      </c>
    </row>
    <row r="107" spans="1:21" hidden="1" x14ac:dyDescent="0.25">
      <c r="B107" s="9"/>
      <c r="C107" s="17">
        <v>528.03</v>
      </c>
      <c r="D107" s="18">
        <v>41.052999999999997</v>
      </c>
      <c r="E107" s="18">
        <v>45.832000000000001</v>
      </c>
      <c r="F107" s="18">
        <v>46.362000000000002</v>
      </c>
      <c r="G107" s="18">
        <v>7.75</v>
      </c>
      <c r="H107" s="18">
        <f t="shared" si="4"/>
        <v>42.314</v>
      </c>
      <c r="I107" s="5"/>
      <c r="J107" s="17">
        <v>409.94040000000001</v>
      </c>
      <c r="K107" s="18">
        <v>41.323399999999999</v>
      </c>
      <c r="L107" s="18">
        <v>46.293500000000002</v>
      </c>
      <c r="M107" s="18">
        <v>46.731400000000001</v>
      </c>
      <c r="N107" s="18">
        <v>5.4444999999999997</v>
      </c>
      <c r="O107" s="18">
        <f t="shared" si="5"/>
        <v>42.620662500000002</v>
      </c>
      <c r="P107" s="7"/>
      <c r="Q107" s="10"/>
      <c r="R107" s="11"/>
      <c r="S107" s="11"/>
      <c r="T107" s="26"/>
      <c r="U107" s="28">
        <f t="shared" si="3"/>
        <v>-0.29748387096774198</v>
      </c>
    </row>
    <row r="108" spans="1:21" ht="16.5" hidden="1" thickBot="1" x14ac:dyDescent="0.3">
      <c r="B108" s="12"/>
      <c r="C108" s="19">
        <v>261.51</v>
      </c>
      <c r="D108" s="20">
        <v>37.667000000000002</v>
      </c>
      <c r="E108" s="20">
        <v>43.781999999999996</v>
      </c>
      <c r="F108" s="20">
        <v>44.319000000000003</v>
      </c>
      <c r="G108" s="20">
        <v>8.9499999999999993</v>
      </c>
      <c r="H108" s="20">
        <f t="shared" si="4"/>
        <v>39.262875000000001</v>
      </c>
      <c r="I108" s="5"/>
      <c r="J108" s="19">
        <v>204.14580000000001</v>
      </c>
      <c r="K108" s="20">
        <v>38.289499999999997</v>
      </c>
      <c r="L108" s="20">
        <v>44.335900000000002</v>
      </c>
      <c r="M108" s="20">
        <v>44.8474</v>
      </c>
      <c r="N108" s="20">
        <v>7.6089000000000002</v>
      </c>
      <c r="O108" s="20">
        <f t="shared" si="5"/>
        <v>39.865037499999993</v>
      </c>
      <c r="P108" s="7"/>
      <c r="Q108" s="13"/>
      <c r="R108" s="14"/>
      <c r="S108" s="14"/>
      <c r="T108" s="27"/>
      <c r="U108" s="28">
        <f t="shared" si="3"/>
        <v>-0.14984357541899432</v>
      </c>
    </row>
    <row r="109" spans="1:21" hidden="1" x14ac:dyDescent="0.25">
      <c r="B109" s="6" t="s">
        <v>108</v>
      </c>
      <c r="C109" s="29">
        <v>1271.93</v>
      </c>
      <c r="D109" s="30">
        <v>41.688000000000002</v>
      </c>
      <c r="E109" s="30">
        <v>47.969000000000001</v>
      </c>
      <c r="F109" s="30">
        <v>47.831000000000003</v>
      </c>
      <c r="G109" s="16">
        <v>7.2</v>
      </c>
      <c r="H109" s="16">
        <f t="shared" si="4"/>
        <v>43.241000000000007</v>
      </c>
      <c r="I109" s="5"/>
      <c r="J109" s="29">
        <v>1034.9221</v>
      </c>
      <c r="K109" s="30">
        <v>40.976799999999997</v>
      </c>
      <c r="L109" s="30">
        <v>47.623399999999997</v>
      </c>
      <c r="M109" s="30">
        <v>47.4711</v>
      </c>
      <c r="N109" s="16">
        <v>4.4602000000000004</v>
      </c>
      <c r="O109" s="16">
        <f t="shared" si="5"/>
        <v>42.619412499999996</v>
      </c>
      <c r="P109" s="7"/>
      <c r="Q109" s="8">
        <f>bdrate(C109:C112,D109:D112,J109:J112,K109:K112)</f>
        <v>-0.14438564504659368</v>
      </c>
      <c r="R109" s="8">
        <f>bdrate(C109:C112,E109:E112,J109:J112,L109:L112)</f>
        <v>-0.15371370787060501</v>
      </c>
      <c r="S109" s="8">
        <f>bdrate(C109:C112,F109:F112,J109:J112,M109:M112)</f>
        <v>-0.16549199953524618</v>
      </c>
      <c r="T109" s="25">
        <f>bdrate(C109:C112,H109:H112,J109:J112,O109:O112)</f>
        <v>-0.14717103181154645</v>
      </c>
      <c r="U109" s="28">
        <f t="shared" si="3"/>
        <v>-0.38052777777777774</v>
      </c>
    </row>
    <row r="110" spans="1:21" hidden="1" x14ac:dyDescent="0.25">
      <c r="B110" s="9"/>
      <c r="C110" s="31">
        <v>760.27</v>
      </c>
      <c r="D110" s="32">
        <v>38.981000000000002</v>
      </c>
      <c r="E110" s="32">
        <v>46.395000000000003</v>
      </c>
      <c r="F110" s="32">
        <v>46.237000000000002</v>
      </c>
      <c r="G110" s="18">
        <v>7.8</v>
      </c>
      <c r="H110" s="18">
        <f t="shared" si="4"/>
        <v>40.814750000000004</v>
      </c>
      <c r="I110" s="5"/>
      <c r="J110" s="31">
        <v>620.69759999999997</v>
      </c>
      <c r="K110" s="32">
        <v>38.599699999999999</v>
      </c>
      <c r="L110" s="32">
        <v>46.2836</v>
      </c>
      <c r="M110" s="32">
        <v>46.133899999999997</v>
      </c>
      <c r="N110" s="18">
        <v>5.5541</v>
      </c>
      <c r="O110" s="18">
        <f t="shared" si="5"/>
        <v>40.501962499999998</v>
      </c>
      <c r="P110" s="7"/>
      <c r="Q110" s="10"/>
      <c r="R110" s="11"/>
      <c r="S110" s="11"/>
      <c r="T110" s="26"/>
      <c r="U110" s="28">
        <f t="shared" si="3"/>
        <v>-0.28793589743589743</v>
      </c>
    </row>
    <row r="111" spans="1:21" hidden="1" x14ac:dyDescent="0.25">
      <c r="B111" s="9"/>
      <c r="C111" s="31">
        <v>505.54</v>
      </c>
      <c r="D111" s="32">
        <v>37.036999999999999</v>
      </c>
      <c r="E111" s="32">
        <v>45.264000000000003</v>
      </c>
      <c r="F111" s="32">
        <v>45.072000000000003</v>
      </c>
      <c r="G111" s="18">
        <v>8.1300000000000008</v>
      </c>
      <c r="H111" s="18">
        <f t="shared" si="4"/>
        <v>39.069749999999999</v>
      </c>
      <c r="I111" s="5"/>
      <c r="J111" s="31">
        <v>412.66300000000001</v>
      </c>
      <c r="K111" s="32">
        <v>36.862699999999997</v>
      </c>
      <c r="L111" s="32">
        <v>45.224299999999999</v>
      </c>
      <c r="M111" s="32">
        <v>45.071199999999997</v>
      </c>
      <c r="N111" s="18">
        <v>6.6479999999999997</v>
      </c>
      <c r="O111" s="18">
        <f t="shared" si="5"/>
        <v>38.933962499999993</v>
      </c>
      <c r="P111" s="7"/>
      <c r="Q111" s="10"/>
      <c r="R111" s="11"/>
      <c r="S111" s="11"/>
      <c r="T111" s="26"/>
      <c r="U111" s="28">
        <f t="shared" si="3"/>
        <v>-0.18228782287822889</v>
      </c>
    </row>
    <row r="112" spans="1:21" ht="16.5" hidden="1" thickBot="1" x14ac:dyDescent="0.3">
      <c r="B112" s="12"/>
      <c r="C112" s="33">
        <v>252.01</v>
      </c>
      <c r="D112" s="34">
        <v>33.725999999999999</v>
      </c>
      <c r="E112" s="34">
        <v>43.406999999999996</v>
      </c>
      <c r="F112" s="34">
        <v>43.118000000000002</v>
      </c>
      <c r="G112" s="20">
        <v>9.5500000000000007</v>
      </c>
      <c r="H112" s="20">
        <f t="shared" si="4"/>
        <v>36.110124999999996</v>
      </c>
      <c r="I112" s="5"/>
      <c r="J112" s="33">
        <v>205.23079999999999</v>
      </c>
      <c r="K112" s="34">
        <v>33.9482</v>
      </c>
      <c r="L112" s="34">
        <v>43.298499999999997</v>
      </c>
      <c r="M112" s="34">
        <v>43.1145</v>
      </c>
      <c r="N112" s="20">
        <v>8.9979999999999993</v>
      </c>
      <c r="O112" s="20">
        <f t="shared" si="5"/>
        <v>36.262774999999998</v>
      </c>
      <c r="P112" s="7"/>
      <c r="Q112" s="13"/>
      <c r="R112" s="14"/>
      <c r="S112" s="14"/>
      <c r="T112" s="27"/>
      <c r="U112" s="28">
        <f t="shared" si="3"/>
        <v>-5.7801047120418989E-2</v>
      </c>
    </row>
    <row r="113" spans="2:21" hidden="1" x14ac:dyDescent="0.25">
      <c r="B113" s="6" t="s">
        <v>109</v>
      </c>
      <c r="C113" s="15">
        <v>1299.28</v>
      </c>
      <c r="D113" s="16">
        <v>40.235999999999997</v>
      </c>
      <c r="E113" s="16">
        <v>48.274999999999999</v>
      </c>
      <c r="F113" s="16">
        <v>46.866999999999997</v>
      </c>
      <c r="G113" s="16">
        <v>8.39</v>
      </c>
      <c r="H113" s="16">
        <f t="shared" si="4"/>
        <v>42.069749999999999</v>
      </c>
      <c r="I113" s="5"/>
      <c r="J113" s="15">
        <v>1027.7456999999999</v>
      </c>
      <c r="K113" s="16">
        <v>39.974299999999999</v>
      </c>
      <c r="L113" s="16">
        <v>48.2209</v>
      </c>
      <c r="M113" s="16">
        <v>46.936100000000003</v>
      </c>
      <c r="N113" s="16">
        <v>4.0206</v>
      </c>
      <c r="O113" s="16">
        <f t="shared" si="5"/>
        <v>41.875349999999997</v>
      </c>
      <c r="P113" s="7"/>
      <c r="Q113" s="8">
        <f>bdrate(C113:C116,D113:D116,J113:J116,K113:K116)</f>
        <v>-0.18920792912188089</v>
      </c>
      <c r="R113" s="8">
        <f>bdrate(C113:C116,E113:E116,J113:J116,L113:L116)</f>
        <v>-0.24594334940055096</v>
      </c>
      <c r="S113" s="8">
        <f>bdrate(C113:C116,F113:F116,J113:J116,M113:M116)</f>
        <v>-0.28528073515208829</v>
      </c>
      <c r="T113" s="25">
        <f>bdrate(C113:C116,H113:H116,J113:J116,O113:O116)</f>
        <v>-0.20503312611103863</v>
      </c>
      <c r="U113" s="28">
        <f t="shared" si="3"/>
        <v>-0.52078665077473185</v>
      </c>
    </row>
    <row r="114" spans="2:21" hidden="1" x14ac:dyDescent="0.25">
      <c r="B114" s="9"/>
      <c r="C114" s="17">
        <v>782.52</v>
      </c>
      <c r="D114" s="18">
        <v>38.639000000000003</v>
      </c>
      <c r="E114" s="18">
        <v>47.292000000000002</v>
      </c>
      <c r="F114" s="18">
        <v>45.731999999999999</v>
      </c>
      <c r="G114" s="18">
        <v>9.23</v>
      </c>
      <c r="H114" s="18">
        <f t="shared" si="4"/>
        <v>40.607249999999993</v>
      </c>
      <c r="I114" s="5"/>
      <c r="J114" s="17">
        <v>617.59879999999998</v>
      </c>
      <c r="K114" s="18">
        <v>38.500900000000001</v>
      </c>
      <c r="L114" s="18">
        <v>47.365600000000001</v>
      </c>
      <c r="M114" s="18">
        <v>45.922600000000003</v>
      </c>
      <c r="N114" s="18">
        <v>4.9946999999999999</v>
      </c>
      <c r="O114" s="18">
        <f t="shared" si="5"/>
        <v>40.536699999999996</v>
      </c>
      <c r="P114" s="7"/>
      <c r="Q114" s="10"/>
      <c r="R114" s="11"/>
      <c r="S114" s="11"/>
      <c r="T114" s="26"/>
      <c r="U114" s="28">
        <f t="shared" si="3"/>
        <v>-0.45886240520043342</v>
      </c>
    </row>
    <row r="115" spans="2:21" hidden="1" x14ac:dyDescent="0.25">
      <c r="B115" s="9"/>
      <c r="C115" s="17">
        <v>521.73</v>
      </c>
      <c r="D115" s="18">
        <v>37.536999999999999</v>
      </c>
      <c r="E115" s="18">
        <v>46.548999999999999</v>
      </c>
      <c r="F115" s="18">
        <v>44.883000000000003</v>
      </c>
      <c r="G115" s="18">
        <v>9.8699999999999992</v>
      </c>
      <c r="H115" s="18">
        <f t="shared" si="4"/>
        <v>39.581749999999992</v>
      </c>
      <c r="I115" s="5"/>
      <c r="J115" s="17">
        <v>411.00970000000001</v>
      </c>
      <c r="K115" s="18">
        <v>37.486699999999999</v>
      </c>
      <c r="L115" s="18">
        <v>46.664900000000003</v>
      </c>
      <c r="M115" s="18">
        <v>45.124899999999997</v>
      </c>
      <c r="N115" s="18">
        <v>6.0002000000000004</v>
      </c>
      <c r="O115" s="18">
        <f t="shared" si="5"/>
        <v>39.588750000000005</v>
      </c>
      <c r="P115" s="7"/>
      <c r="Q115" s="10"/>
      <c r="R115" s="11"/>
      <c r="S115" s="11"/>
      <c r="T115" s="26"/>
      <c r="U115" s="28">
        <f t="shared" si="3"/>
        <v>-0.39207700101317111</v>
      </c>
    </row>
    <row r="116" spans="2:21" ht="16.5" hidden="1" thickBot="1" x14ac:dyDescent="0.3">
      <c r="B116" s="12"/>
      <c r="C116" s="19">
        <v>260.51</v>
      </c>
      <c r="D116" s="20">
        <v>35.704999999999998</v>
      </c>
      <c r="E116" s="20">
        <v>45.2</v>
      </c>
      <c r="F116" s="20">
        <v>43.37</v>
      </c>
      <c r="G116" s="20">
        <v>11.19</v>
      </c>
      <c r="H116" s="20">
        <f t="shared" si="4"/>
        <v>37.85</v>
      </c>
      <c r="I116" s="5"/>
      <c r="J116" s="19">
        <v>204.68270000000001</v>
      </c>
      <c r="K116" s="20">
        <v>35.787700000000001</v>
      </c>
      <c r="L116" s="20">
        <v>45.3</v>
      </c>
      <c r="M116" s="20">
        <v>43.610999999999997</v>
      </c>
      <c r="N116" s="20">
        <v>8.0977999999999994</v>
      </c>
      <c r="O116" s="20">
        <f t="shared" si="5"/>
        <v>37.954650000000001</v>
      </c>
      <c r="P116" s="7"/>
      <c r="Q116" s="13"/>
      <c r="R116" s="14"/>
      <c r="S116" s="14"/>
      <c r="T116" s="27"/>
      <c r="U116" s="28">
        <f t="shared" si="3"/>
        <v>-0.27633601429848081</v>
      </c>
    </row>
    <row r="117" spans="2:21" hidden="1" x14ac:dyDescent="0.25">
      <c r="B117" s="6" t="s">
        <v>110</v>
      </c>
      <c r="C117" s="15">
        <v>2101.27</v>
      </c>
      <c r="D117" s="16">
        <v>40.215000000000003</v>
      </c>
      <c r="E117" s="16">
        <v>45.835999999999999</v>
      </c>
      <c r="F117" s="16">
        <v>45.36</v>
      </c>
      <c r="G117" s="16">
        <v>2.42</v>
      </c>
      <c r="H117" s="16">
        <f t="shared" si="4"/>
        <v>41.560750000000006</v>
      </c>
      <c r="I117" s="5"/>
      <c r="J117" s="15">
        <v>1538.8916999999999</v>
      </c>
      <c r="K117" s="16">
        <v>39.876100000000001</v>
      </c>
      <c r="L117" s="16">
        <v>45.860199999999999</v>
      </c>
      <c r="M117" s="16">
        <v>45.254100000000001</v>
      </c>
      <c r="N117" s="16">
        <v>2.3553999999999999</v>
      </c>
      <c r="O117" s="16">
        <f t="shared" si="5"/>
        <v>41.296362500000001</v>
      </c>
      <c r="P117" s="7"/>
      <c r="Q117" s="8">
        <f>bdrate(C117:C120,D117:D120,J117:J120,K117:K120)</f>
        <v>-0.3569236226476612</v>
      </c>
      <c r="R117" s="8">
        <f>bdrate(C117:C120,E117:E120,J117:J120,L117:L120)</f>
        <v>-0.36017398371242892</v>
      </c>
      <c r="S117" s="8">
        <f>bdrate(C117:C120,F117:F120,J117:J120,M117:M120)</f>
        <v>-0.3146318333650564</v>
      </c>
      <c r="T117" s="25">
        <f>bdrate(C117:C120,H117:H120,J117:J120,O117:O120)</f>
        <v>-0.35374669165158423</v>
      </c>
      <c r="U117" s="28">
        <f t="shared" si="3"/>
        <v>-2.6694214876033056E-2</v>
      </c>
    </row>
    <row r="118" spans="2:21" hidden="1" x14ac:dyDescent="0.25">
      <c r="B118" s="9"/>
      <c r="C118" s="17">
        <v>1400.58</v>
      </c>
      <c r="D118" s="18">
        <v>37.966000000000001</v>
      </c>
      <c r="E118" s="18">
        <v>44.417000000000002</v>
      </c>
      <c r="F118" s="18">
        <v>43.851999999999997</v>
      </c>
      <c r="G118" s="18">
        <v>2.68</v>
      </c>
      <c r="H118" s="18">
        <f t="shared" si="4"/>
        <v>39.508124999999993</v>
      </c>
      <c r="I118" s="5"/>
      <c r="J118" s="17">
        <v>1013.3054</v>
      </c>
      <c r="K118" s="18">
        <v>38.111199999999997</v>
      </c>
      <c r="L118" s="18">
        <v>44.664400000000001</v>
      </c>
      <c r="M118" s="18">
        <v>43.912100000000002</v>
      </c>
      <c r="N118" s="18">
        <v>2.8938000000000001</v>
      </c>
      <c r="O118" s="18">
        <f t="shared" si="5"/>
        <v>39.655462499999999</v>
      </c>
      <c r="P118" s="7"/>
      <c r="Q118" s="10"/>
      <c r="R118" s="11"/>
      <c r="S118" s="11"/>
      <c r="T118" s="26"/>
      <c r="U118" s="28">
        <f t="shared" si="3"/>
        <v>7.9776119402985068E-2</v>
      </c>
    </row>
    <row r="119" spans="2:21" hidden="1" x14ac:dyDescent="0.25">
      <c r="B119" s="9"/>
      <c r="C119" s="17">
        <v>837.19</v>
      </c>
      <c r="D119" s="18">
        <v>35.101999999999997</v>
      </c>
      <c r="E119" s="18">
        <v>42.768000000000001</v>
      </c>
      <c r="F119" s="18">
        <v>42.023000000000003</v>
      </c>
      <c r="G119" s="18">
        <v>3.09</v>
      </c>
      <c r="H119" s="18">
        <f t="shared" si="4"/>
        <v>36.925374999999995</v>
      </c>
      <c r="I119" s="5"/>
      <c r="J119" s="17">
        <v>603.82079999999996</v>
      </c>
      <c r="K119" s="18">
        <v>35.889699999999998</v>
      </c>
      <c r="L119" s="18">
        <v>43.223599999999998</v>
      </c>
      <c r="M119" s="18">
        <v>42.2697</v>
      </c>
      <c r="N119" s="18">
        <v>3.6637</v>
      </c>
      <c r="O119" s="18">
        <f t="shared" si="5"/>
        <v>37.603937499999994</v>
      </c>
      <c r="P119" s="7"/>
      <c r="Q119" s="10"/>
      <c r="R119" s="11"/>
      <c r="S119" s="11"/>
      <c r="T119" s="26"/>
      <c r="U119" s="28">
        <f t="shared" si="3"/>
        <v>0.18566343042071201</v>
      </c>
    </row>
    <row r="120" spans="2:21" ht="16.5" hidden="1" thickBot="1" x14ac:dyDescent="0.3">
      <c r="B120" s="12"/>
      <c r="C120" s="19">
        <v>416.92</v>
      </c>
      <c r="D120" s="20">
        <v>31.164000000000001</v>
      </c>
      <c r="E120" s="20">
        <v>40.659999999999997</v>
      </c>
      <c r="F120" s="20">
        <v>39.725000000000001</v>
      </c>
      <c r="G120" s="20">
        <v>3.85</v>
      </c>
      <c r="H120" s="20">
        <f t="shared" si="4"/>
        <v>33.421125000000004</v>
      </c>
      <c r="I120" s="5"/>
      <c r="J120" s="19">
        <v>301.64499999999998</v>
      </c>
      <c r="K120" s="20">
        <v>32.919800000000002</v>
      </c>
      <c r="L120" s="20">
        <v>41.281500000000001</v>
      </c>
      <c r="M120" s="20">
        <v>40.107799999999997</v>
      </c>
      <c r="N120" s="20">
        <v>4.9462999999999999</v>
      </c>
      <c r="O120" s="20">
        <f t="shared" si="5"/>
        <v>34.863512499999999</v>
      </c>
      <c r="P120" s="7"/>
      <c r="Q120" s="13"/>
      <c r="R120" s="14"/>
      <c r="S120" s="14"/>
      <c r="T120" s="27"/>
      <c r="U120" s="28">
        <f t="shared" si="3"/>
        <v>0.2847532467532467</v>
      </c>
    </row>
    <row r="121" spans="2:21" hidden="1" x14ac:dyDescent="0.25">
      <c r="B121" s="6" t="s">
        <v>111</v>
      </c>
      <c r="C121" s="15">
        <v>1333.57</v>
      </c>
      <c r="D121" s="16">
        <v>42.079000000000001</v>
      </c>
      <c r="E121" s="16">
        <v>46.936999999999998</v>
      </c>
      <c r="F121" s="16">
        <v>46.454000000000001</v>
      </c>
      <c r="G121" s="16">
        <v>6.11</v>
      </c>
      <c r="H121" s="16">
        <f t="shared" si="4"/>
        <v>43.233125000000001</v>
      </c>
      <c r="I121" s="5"/>
      <c r="J121" s="15">
        <v>1038.8290999999999</v>
      </c>
      <c r="K121" s="16">
        <v>41.504899999999999</v>
      </c>
      <c r="L121" s="16">
        <v>46.683399999999999</v>
      </c>
      <c r="M121" s="16">
        <v>46.191499999999998</v>
      </c>
      <c r="N121" s="16">
        <v>4.1360000000000001</v>
      </c>
      <c r="O121" s="16">
        <f t="shared" si="5"/>
        <v>42.738037500000004</v>
      </c>
      <c r="P121" s="7"/>
      <c r="Q121" s="8">
        <f>bdrate(C121:C124,D121:D124,J121:J124,K121:K124)</f>
        <v>-0.19936776991716343</v>
      </c>
      <c r="R121" s="8">
        <f>bdrate(C121:C124,E121:E124,J121:J124,L121:L124)</f>
        <v>-0.26014829930991679</v>
      </c>
      <c r="S121" s="8">
        <f>bdrate(C121:C124,F121:F124,J121:J124,M121:M124)</f>
        <v>-0.27691499303015521</v>
      </c>
      <c r="T121" s="25">
        <f>bdrate(C121:C124,H121:H124,J121:J124,O121:O124)</f>
        <v>-0.21327795293910423</v>
      </c>
      <c r="U121" s="28">
        <f t="shared" si="3"/>
        <v>-0.32307692307692309</v>
      </c>
    </row>
    <row r="122" spans="2:21" hidden="1" x14ac:dyDescent="0.25">
      <c r="B122" s="9"/>
      <c r="C122" s="17">
        <v>791.1</v>
      </c>
      <c r="D122" s="18">
        <v>39.738</v>
      </c>
      <c r="E122" s="18">
        <v>45.308999999999997</v>
      </c>
      <c r="F122" s="18">
        <v>44.741</v>
      </c>
      <c r="G122" s="18">
        <v>6.49</v>
      </c>
      <c r="H122" s="18">
        <f t="shared" si="4"/>
        <v>41.059749999999994</v>
      </c>
      <c r="I122" s="5"/>
      <c r="J122" s="17">
        <v>620.83420000000001</v>
      </c>
      <c r="K122" s="18">
        <v>39.484299999999998</v>
      </c>
      <c r="L122" s="18">
        <v>45.363500000000002</v>
      </c>
      <c r="M122" s="18">
        <v>44.8337</v>
      </c>
      <c r="N122" s="18">
        <v>5.0029000000000003</v>
      </c>
      <c r="O122" s="18">
        <f t="shared" si="5"/>
        <v>40.887875000000001</v>
      </c>
      <c r="P122" s="7"/>
      <c r="Q122" s="10"/>
      <c r="R122" s="11"/>
      <c r="S122" s="11"/>
      <c r="T122" s="26"/>
      <c r="U122" s="28">
        <f t="shared" si="3"/>
        <v>-0.22913713405238825</v>
      </c>
    </row>
    <row r="123" spans="2:21" hidden="1" x14ac:dyDescent="0.25">
      <c r="B123" s="9"/>
      <c r="C123" s="17">
        <v>523.03</v>
      </c>
      <c r="D123" s="18">
        <v>37.997</v>
      </c>
      <c r="E123" s="18">
        <v>44.058</v>
      </c>
      <c r="F123" s="18">
        <v>43.423999999999999</v>
      </c>
      <c r="G123" s="18">
        <v>6.6</v>
      </c>
      <c r="H123" s="18">
        <f t="shared" si="4"/>
        <v>39.433</v>
      </c>
      <c r="I123" s="5"/>
      <c r="J123" s="17">
        <v>413.17779999999999</v>
      </c>
      <c r="K123" s="18">
        <v>37.995800000000003</v>
      </c>
      <c r="L123" s="18">
        <v>44.3215</v>
      </c>
      <c r="M123" s="18">
        <v>43.794600000000003</v>
      </c>
      <c r="N123" s="18">
        <v>6.0682999999999998</v>
      </c>
      <c r="O123" s="18">
        <f t="shared" si="5"/>
        <v>39.511362500000004</v>
      </c>
      <c r="P123" s="7"/>
      <c r="Q123" s="10"/>
      <c r="R123" s="11"/>
      <c r="S123" s="11"/>
      <c r="T123" s="26"/>
      <c r="U123" s="28">
        <f t="shared" si="3"/>
        <v>-8.0560606060606041E-2</v>
      </c>
    </row>
    <row r="124" spans="2:21" ht="16.5" hidden="1" thickBot="1" x14ac:dyDescent="0.3">
      <c r="B124" s="12"/>
      <c r="C124" s="19">
        <v>257.68</v>
      </c>
      <c r="D124" s="20">
        <v>34.927999999999997</v>
      </c>
      <c r="E124" s="20">
        <v>41.89</v>
      </c>
      <c r="F124" s="20">
        <v>41.18</v>
      </c>
      <c r="G124" s="20">
        <v>7.84</v>
      </c>
      <c r="H124" s="20">
        <f t="shared" si="4"/>
        <v>36.579749999999997</v>
      </c>
      <c r="I124" s="5"/>
      <c r="J124" s="19">
        <v>206.06219999999999</v>
      </c>
      <c r="K124" s="20">
        <v>35.418300000000002</v>
      </c>
      <c r="L124" s="20">
        <v>42.445500000000003</v>
      </c>
      <c r="M124" s="20">
        <v>41.877899999999997</v>
      </c>
      <c r="N124" s="20">
        <v>8.3497000000000003</v>
      </c>
      <c r="O124" s="20">
        <f t="shared" si="5"/>
        <v>37.104150000000004</v>
      </c>
      <c r="P124" s="7"/>
      <c r="Q124" s="13"/>
      <c r="R124" s="14"/>
      <c r="S124" s="14"/>
      <c r="T124" s="27"/>
      <c r="U124" s="28">
        <f t="shared" si="3"/>
        <v>6.5012755102040881E-2</v>
      </c>
    </row>
    <row r="125" spans="2:21" hidden="1" x14ac:dyDescent="0.25">
      <c r="B125" s="6" t="s">
        <v>112</v>
      </c>
      <c r="C125" s="15">
        <v>1283.56</v>
      </c>
      <c r="D125" s="16">
        <v>45.363</v>
      </c>
      <c r="E125" s="16">
        <v>49.472999999999999</v>
      </c>
      <c r="F125" s="16">
        <v>48.698</v>
      </c>
      <c r="G125" s="16">
        <v>7.14</v>
      </c>
      <c r="H125" s="16">
        <f t="shared" si="4"/>
        <v>46.293624999999999</v>
      </c>
      <c r="I125" s="5"/>
      <c r="J125" s="15">
        <v>1032.5962</v>
      </c>
      <c r="K125" s="16">
        <v>45.092300000000002</v>
      </c>
      <c r="L125" s="16">
        <v>49.334899999999998</v>
      </c>
      <c r="M125" s="16">
        <v>48.5702</v>
      </c>
      <c r="N125" s="16">
        <v>3.9413999999999998</v>
      </c>
      <c r="O125" s="16">
        <f t="shared" si="5"/>
        <v>46.057362500000004</v>
      </c>
      <c r="P125" s="7"/>
      <c r="Q125" s="8">
        <f>bdrate(C125:C128,D125:D128,J125:J128,K125:K128)</f>
        <v>-0.21333978976818235</v>
      </c>
      <c r="R125" s="8">
        <f>bdrate(C125:C128,E125:E128,J125:J128,L125:L128)</f>
        <v>-0.20584374554760287</v>
      </c>
      <c r="S125" s="8">
        <f>bdrate(C125:C128,F125:F128,J125:J128,M125:M128)</f>
        <v>-0.22784600531793242</v>
      </c>
      <c r="T125" s="25">
        <f>bdrate(C125:C128,H125:H128,J125:J128,O125:O128)</f>
        <v>-0.21411650630085677</v>
      </c>
      <c r="U125" s="28">
        <f t="shared" si="3"/>
        <v>-0.44798319327731095</v>
      </c>
    </row>
    <row r="126" spans="2:21" hidden="1" x14ac:dyDescent="0.25">
      <c r="B126" s="9"/>
      <c r="C126" s="17">
        <v>770.76</v>
      </c>
      <c r="D126" s="18">
        <v>43.261000000000003</v>
      </c>
      <c r="E126" s="18">
        <v>47.926000000000002</v>
      </c>
      <c r="F126" s="18">
        <v>46.991999999999997</v>
      </c>
      <c r="G126" s="18">
        <v>8.34</v>
      </c>
      <c r="H126" s="18">
        <f t="shared" si="4"/>
        <v>44.310500000000005</v>
      </c>
      <c r="I126" s="5"/>
      <c r="J126" s="17">
        <v>618.27919999999995</v>
      </c>
      <c r="K126" s="18">
        <v>43.213299999999997</v>
      </c>
      <c r="L126" s="18">
        <v>47.869500000000002</v>
      </c>
      <c r="M126" s="18">
        <v>47.030799999999999</v>
      </c>
      <c r="N126" s="18">
        <v>4.7891000000000004</v>
      </c>
      <c r="O126" s="18">
        <f t="shared" si="5"/>
        <v>44.272512499999998</v>
      </c>
      <c r="P126" s="7"/>
      <c r="Q126" s="10"/>
      <c r="R126" s="11"/>
      <c r="S126" s="11"/>
      <c r="T126" s="26"/>
      <c r="U126" s="28">
        <f t="shared" si="3"/>
        <v>-0.42576738609112702</v>
      </c>
    </row>
    <row r="127" spans="2:21" hidden="1" x14ac:dyDescent="0.25">
      <c r="B127" s="9"/>
      <c r="C127" s="17">
        <v>515.01</v>
      </c>
      <c r="D127" s="18">
        <v>41.622</v>
      </c>
      <c r="E127" s="18">
        <v>46.667000000000002</v>
      </c>
      <c r="F127" s="18">
        <v>45.664999999999999</v>
      </c>
      <c r="G127" s="18">
        <v>9.19</v>
      </c>
      <c r="H127" s="18">
        <f t="shared" si="4"/>
        <v>42.758000000000003</v>
      </c>
      <c r="I127" s="5"/>
      <c r="J127" s="17">
        <v>410.72890000000001</v>
      </c>
      <c r="K127" s="18">
        <v>41.718899999999998</v>
      </c>
      <c r="L127" s="18">
        <v>46.682600000000001</v>
      </c>
      <c r="M127" s="18">
        <v>45.8035</v>
      </c>
      <c r="N127" s="18">
        <v>5.7259000000000002</v>
      </c>
      <c r="O127" s="18">
        <f t="shared" si="5"/>
        <v>42.849937499999996</v>
      </c>
      <c r="P127" s="7"/>
      <c r="Q127" s="10"/>
      <c r="R127" s="11"/>
      <c r="S127" s="11"/>
      <c r="T127" s="26"/>
      <c r="U127" s="28">
        <f t="shared" si="3"/>
        <v>-0.37694232861806304</v>
      </c>
    </row>
    <row r="128" spans="2:21" ht="16.5" hidden="1" thickBot="1" x14ac:dyDescent="0.3">
      <c r="B128" s="12"/>
      <c r="C128" s="19">
        <v>259.41000000000003</v>
      </c>
      <c r="D128" s="20">
        <v>38.456000000000003</v>
      </c>
      <c r="E128" s="20">
        <v>44.237000000000002</v>
      </c>
      <c r="F128" s="20">
        <v>43.168999999999997</v>
      </c>
      <c r="G128" s="20">
        <v>10.15</v>
      </c>
      <c r="H128" s="20">
        <f t="shared" si="4"/>
        <v>39.767749999999999</v>
      </c>
      <c r="I128" s="5"/>
      <c r="J128" s="19">
        <v>204.2432</v>
      </c>
      <c r="K128" s="20">
        <v>38.840400000000002</v>
      </c>
      <c r="L128" s="20">
        <v>44.508400000000002</v>
      </c>
      <c r="M128" s="20">
        <v>43.511899999999997</v>
      </c>
      <c r="N128" s="20">
        <v>7.9135</v>
      </c>
      <c r="O128" s="20">
        <f t="shared" si="5"/>
        <v>40.132837500000008</v>
      </c>
      <c r="P128" s="7"/>
      <c r="Q128" s="13"/>
      <c r="R128" s="14"/>
      <c r="S128" s="14"/>
      <c r="T128" s="27"/>
      <c r="U128" s="28">
        <f t="shared" si="3"/>
        <v>-0.22034482758620694</v>
      </c>
    </row>
    <row r="129" spans="2:21" hidden="1" x14ac:dyDescent="0.25">
      <c r="B129" s="6" t="s">
        <v>113</v>
      </c>
      <c r="C129" s="15">
        <v>2051.3000000000002</v>
      </c>
      <c r="D129" s="16">
        <v>38.843000000000004</v>
      </c>
      <c r="E129" s="16">
        <v>44.488</v>
      </c>
      <c r="F129" s="16">
        <v>45.216000000000001</v>
      </c>
      <c r="G129" s="16">
        <v>2.17</v>
      </c>
      <c r="H129" s="16">
        <f t="shared" si="4"/>
        <v>40.345250000000007</v>
      </c>
      <c r="I129" s="5"/>
      <c r="J129" s="15">
        <v>1546.0284999999999</v>
      </c>
      <c r="K129" s="16">
        <v>38.773400000000002</v>
      </c>
      <c r="L129" s="16">
        <v>44.453499999999998</v>
      </c>
      <c r="M129" s="16">
        <v>45.1449</v>
      </c>
      <c r="N129" s="16">
        <v>1.9312</v>
      </c>
      <c r="O129" s="16">
        <f t="shared" si="5"/>
        <v>40.279850000000003</v>
      </c>
      <c r="P129" s="7"/>
      <c r="Q129" s="8">
        <f>bdrate(C129:C132,D129:D132,J129:J132,K129:K132)</f>
        <v>-0.32413662552389766</v>
      </c>
      <c r="R129" s="8">
        <f>bdrate(C129:C132,E129:E132,J129:J132,L129:L132)</f>
        <v>-0.29031068369379653</v>
      </c>
      <c r="S129" s="8">
        <f>bdrate(C129:C132,F129:F132,J129:J132,M129:M132)</f>
        <v>-0.29947181103193943</v>
      </c>
      <c r="T129" s="25">
        <f>bdrate(C129:C132,H129:H132,J129:J132,O129:O132)</f>
        <v>-0.31982626906288081</v>
      </c>
      <c r="U129" s="28">
        <f t="shared" si="3"/>
        <v>-0.11004608294930872</v>
      </c>
    </row>
    <row r="130" spans="2:21" hidden="1" x14ac:dyDescent="0.25">
      <c r="B130" s="9"/>
      <c r="C130" s="17">
        <v>1362.7</v>
      </c>
      <c r="D130" s="18">
        <v>36.807000000000002</v>
      </c>
      <c r="E130" s="18">
        <v>43.154000000000003</v>
      </c>
      <c r="F130" s="18">
        <v>43.906999999999996</v>
      </c>
      <c r="G130" s="18">
        <v>2.29</v>
      </c>
      <c r="H130" s="18">
        <f t="shared" si="4"/>
        <v>38.487875000000003</v>
      </c>
      <c r="I130" s="5"/>
      <c r="J130" s="17">
        <v>1028.5433</v>
      </c>
      <c r="K130" s="18">
        <v>37.006100000000004</v>
      </c>
      <c r="L130" s="18">
        <v>43.277900000000002</v>
      </c>
      <c r="M130" s="18">
        <v>44.021599999999999</v>
      </c>
      <c r="N130" s="18">
        <v>2.3671000000000002</v>
      </c>
      <c r="O130" s="18">
        <f t="shared" si="5"/>
        <v>38.667012499999998</v>
      </c>
      <c r="P130" s="7"/>
      <c r="Q130" s="10"/>
      <c r="R130" s="11"/>
      <c r="S130" s="11"/>
      <c r="T130" s="26"/>
      <c r="U130" s="28">
        <f t="shared" si="3"/>
        <v>3.366812227074243E-2</v>
      </c>
    </row>
    <row r="131" spans="2:21" hidden="1" x14ac:dyDescent="0.25">
      <c r="B131" s="9"/>
      <c r="C131" s="17">
        <v>815.65</v>
      </c>
      <c r="D131" s="18">
        <v>34.164000000000001</v>
      </c>
      <c r="E131" s="18">
        <v>41.64</v>
      </c>
      <c r="F131" s="18">
        <v>42.371000000000002</v>
      </c>
      <c r="G131" s="18">
        <v>2.5299999999999998</v>
      </c>
      <c r="H131" s="18">
        <f t="shared" si="4"/>
        <v>36.124375000000001</v>
      </c>
      <c r="I131" s="5"/>
      <c r="J131" s="17">
        <v>615.19820000000004</v>
      </c>
      <c r="K131" s="18">
        <v>34.793199999999999</v>
      </c>
      <c r="L131" s="18">
        <v>41.841200000000001</v>
      </c>
      <c r="M131" s="18">
        <v>42.628999999999998</v>
      </c>
      <c r="N131" s="18">
        <v>2.9876999999999998</v>
      </c>
      <c r="O131" s="18">
        <f t="shared" si="5"/>
        <v>36.653675</v>
      </c>
      <c r="P131" s="7"/>
      <c r="Q131" s="10"/>
      <c r="R131" s="11"/>
      <c r="S131" s="11"/>
      <c r="T131" s="26"/>
      <c r="U131" s="28">
        <f t="shared" si="3"/>
        <v>0.18090909090909091</v>
      </c>
    </row>
    <row r="132" spans="2:21" ht="16.5" hidden="1" thickBot="1" x14ac:dyDescent="0.3">
      <c r="B132" s="12"/>
      <c r="C132" s="19">
        <v>406.64</v>
      </c>
      <c r="D132" s="20">
        <v>30.224</v>
      </c>
      <c r="E132" s="20">
        <v>39.793999999999997</v>
      </c>
      <c r="F132" s="20">
        <v>40.542999999999999</v>
      </c>
      <c r="G132" s="20">
        <v>3.21</v>
      </c>
      <c r="H132" s="20">
        <f t="shared" si="4"/>
        <v>32.710124999999998</v>
      </c>
      <c r="I132" s="5"/>
      <c r="J132" s="19">
        <v>307.31479999999999</v>
      </c>
      <c r="K132" s="20">
        <v>31.863</v>
      </c>
      <c r="L132" s="20">
        <v>40.105200000000004</v>
      </c>
      <c r="M132" s="20">
        <v>40.955100000000002</v>
      </c>
      <c r="N132" s="20">
        <v>4.0460000000000003</v>
      </c>
      <c r="O132" s="20">
        <f t="shared" si="5"/>
        <v>34.029787499999998</v>
      </c>
      <c r="P132" s="7"/>
      <c r="Q132" s="13"/>
      <c r="R132" s="14"/>
      <c r="S132" s="14"/>
      <c r="T132" s="27"/>
      <c r="U132" s="28">
        <f t="shared" si="3"/>
        <v>0.2604361370716512</v>
      </c>
    </row>
    <row r="133" spans="2:21" hidden="1" x14ac:dyDescent="0.25">
      <c r="B133" s="6" t="s">
        <v>114</v>
      </c>
      <c r="C133" s="15">
        <v>2175.83</v>
      </c>
      <c r="D133" s="16">
        <v>37.898000000000003</v>
      </c>
      <c r="E133" s="16">
        <v>42.65</v>
      </c>
      <c r="F133" s="16">
        <v>41.03</v>
      </c>
      <c r="G133" s="16">
        <v>2.4300000000000002</v>
      </c>
      <c r="H133" s="16">
        <f t="shared" si="4"/>
        <v>38.883499999999998</v>
      </c>
      <c r="I133" s="5"/>
      <c r="J133" s="15">
        <v>1551.9804999999999</v>
      </c>
      <c r="K133" s="16">
        <v>36.733699999999999</v>
      </c>
      <c r="L133" s="16">
        <v>41.820900000000002</v>
      </c>
      <c r="M133" s="16">
        <v>39.991300000000003</v>
      </c>
      <c r="N133" s="16">
        <v>2.1503000000000001</v>
      </c>
      <c r="O133" s="16">
        <f t="shared" si="5"/>
        <v>37.776800000000001</v>
      </c>
      <c r="P133" s="7"/>
      <c r="Q133" s="8">
        <f>bdrate(C133:C136,D133:D136,J133:J136,K133:K136)</f>
        <v>-0.21015082924519746</v>
      </c>
      <c r="R133" s="8">
        <f>bdrate(C133:C136,E133:E136,J133:J136,L133:L136)</f>
        <v>-7.2377031268235914E-3</v>
      </c>
      <c r="S133" s="8">
        <f>bdrate(C133:C136,F133:F136,J133:J136,M133:M136)</f>
        <v>3.1002564489388318E-2</v>
      </c>
      <c r="T133" s="25">
        <f>bdrate(C133:C136,H133:H136,J133:J136,O133:O136)</f>
        <v>-0.17404038813196676</v>
      </c>
      <c r="U133" s="28">
        <f t="shared" si="3"/>
        <v>-0.11510288065843623</v>
      </c>
    </row>
    <row r="134" spans="2:21" hidden="1" x14ac:dyDescent="0.25">
      <c r="B134" s="9"/>
      <c r="C134" s="17">
        <v>1452.37</v>
      </c>
      <c r="D134" s="18">
        <v>35.685000000000002</v>
      </c>
      <c r="E134" s="18">
        <v>41.255000000000003</v>
      </c>
      <c r="F134" s="18">
        <v>39.526000000000003</v>
      </c>
      <c r="G134" s="18">
        <v>2.7</v>
      </c>
      <c r="H134" s="18">
        <f t="shared" si="4"/>
        <v>36.861375000000002</v>
      </c>
      <c r="I134" s="5"/>
      <c r="J134" s="17">
        <v>1032.0509</v>
      </c>
      <c r="K134" s="18">
        <v>34.719299999999997</v>
      </c>
      <c r="L134" s="18">
        <v>40.215299999999999</v>
      </c>
      <c r="M134" s="18">
        <v>38.196599999999997</v>
      </c>
      <c r="N134" s="18">
        <v>2.5171999999999999</v>
      </c>
      <c r="O134" s="18">
        <f t="shared" si="5"/>
        <v>35.840962499999996</v>
      </c>
      <c r="P134" s="7"/>
      <c r="Q134" s="10"/>
      <c r="R134" s="11"/>
      <c r="S134" s="11"/>
      <c r="T134" s="26"/>
      <c r="U134" s="28">
        <f t="shared" si="3"/>
        <v>-6.7703703703703808E-2</v>
      </c>
    </row>
    <row r="135" spans="2:21" hidden="1" x14ac:dyDescent="0.25">
      <c r="B135" s="9"/>
      <c r="C135" s="17">
        <v>869.74</v>
      </c>
      <c r="D135" s="18">
        <v>32.939</v>
      </c>
      <c r="E135" s="18">
        <v>39.637999999999998</v>
      </c>
      <c r="F135" s="18">
        <v>37.747</v>
      </c>
      <c r="G135" s="18">
        <v>3.02</v>
      </c>
      <c r="H135" s="18">
        <f t="shared" si="4"/>
        <v>34.377375000000001</v>
      </c>
      <c r="I135" s="5"/>
      <c r="J135" s="17">
        <v>617.90369999999996</v>
      </c>
      <c r="K135" s="18">
        <v>32.453800000000001</v>
      </c>
      <c r="L135" s="18">
        <v>38.396900000000002</v>
      </c>
      <c r="M135" s="18">
        <v>36.173900000000003</v>
      </c>
      <c r="N135" s="18">
        <v>3.0154000000000001</v>
      </c>
      <c r="O135" s="18">
        <f t="shared" si="5"/>
        <v>33.661700000000003</v>
      </c>
      <c r="P135" s="7"/>
      <c r="Q135" s="10"/>
      <c r="R135" s="11"/>
      <c r="S135" s="11"/>
      <c r="T135" s="26"/>
      <c r="U135" s="28">
        <f t="shared" si="3"/>
        <v>-1.523178807946999E-3</v>
      </c>
    </row>
    <row r="136" spans="2:21" ht="16.5" hidden="1" thickBot="1" x14ac:dyDescent="0.3">
      <c r="B136" s="12"/>
      <c r="C136" s="19">
        <v>432.47</v>
      </c>
      <c r="D136" s="20">
        <v>29.298999999999999</v>
      </c>
      <c r="E136" s="20">
        <v>37.314</v>
      </c>
      <c r="F136" s="20">
        <v>34.889000000000003</v>
      </c>
      <c r="G136" s="20">
        <v>3.81</v>
      </c>
      <c r="H136" s="20">
        <f t="shared" si="4"/>
        <v>30.999624999999998</v>
      </c>
      <c r="I136" s="5"/>
      <c r="J136" s="19">
        <v>307.3854</v>
      </c>
      <c r="K136" s="20">
        <v>29.8201</v>
      </c>
      <c r="L136" s="20">
        <v>36.444099999999999</v>
      </c>
      <c r="M136" s="20">
        <v>33.839599999999997</v>
      </c>
      <c r="N136" s="20">
        <v>4.0515999999999996</v>
      </c>
      <c r="O136" s="20">
        <f t="shared" si="5"/>
        <v>31.150537499999999</v>
      </c>
      <c r="P136" s="7"/>
      <c r="Q136" s="13"/>
      <c r="R136" s="14"/>
      <c r="S136" s="14"/>
      <c r="T136" s="27"/>
      <c r="U136" s="28">
        <f t="shared" si="3"/>
        <v>6.3412073490813542E-2</v>
      </c>
    </row>
    <row r="137" spans="2:21" hidden="1" x14ac:dyDescent="0.25">
      <c r="B137" s="6" t="s">
        <v>115</v>
      </c>
      <c r="C137" s="15">
        <v>2146.96</v>
      </c>
      <c r="D137" s="16">
        <v>41.747</v>
      </c>
      <c r="E137" s="16">
        <v>48.05</v>
      </c>
      <c r="F137" s="16">
        <v>47.993000000000002</v>
      </c>
      <c r="G137" s="16">
        <v>2.2000000000000002</v>
      </c>
      <c r="H137" s="16">
        <f t="shared" si="4"/>
        <v>43.315624999999997</v>
      </c>
      <c r="I137" s="5"/>
      <c r="J137" s="15">
        <v>1547.3752999999999</v>
      </c>
      <c r="K137" s="16">
        <v>41.312100000000001</v>
      </c>
      <c r="L137" s="16">
        <v>48.0319</v>
      </c>
      <c r="M137" s="16">
        <v>47.958399999999997</v>
      </c>
      <c r="N137" s="16">
        <v>1.8251999999999999</v>
      </c>
      <c r="O137" s="16">
        <f t="shared" si="5"/>
        <v>42.982862499999996</v>
      </c>
      <c r="P137" s="7"/>
      <c r="Q137" s="8">
        <f>bdrate(C137:C140,D137:D140,J137:J140,K137:K140)</f>
        <v>-0.30654940463993285</v>
      </c>
      <c r="R137" s="8">
        <f>bdrate(C137:C140,E137:E140,J137:J140,L137:L140)</f>
        <v>-0.37103783307176463</v>
      </c>
      <c r="S137" s="8">
        <f>bdrate(C137:C140,F137:F140,J137:J140,M137:M140)</f>
        <v>-0.36012915334969509</v>
      </c>
      <c r="T137" s="25">
        <f>bdrate(C137:C140,H137:H140,J137:J140,O137:O140)</f>
        <v>-0.31991465209262104</v>
      </c>
      <c r="U137" s="28">
        <f t="shared" si="3"/>
        <v>-0.17036363636363647</v>
      </c>
    </row>
    <row r="138" spans="2:21" hidden="1" x14ac:dyDescent="0.25">
      <c r="B138" s="9"/>
      <c r="C138" s="17">
        <v>1432.16</v>
      </c>
      <c r="D138" s="18">
        <v>40.216999999999999</v>
      </c>
      <c r="E138" s="18">
        <v>46.701999999999998</v>
      </c>
      <c r="F138" s="18">
        <v>46.598999999999997</v>
      </c>
      <c r="G138" s="18">
        <v>2.42</v>
      </c>
      <c r="H138" s="18">
        <f t="shared" si="4"/>
        <v>41.825375000000001</v>
      </c>
      <c r="I138" s="5"/>
      <c r="J138" s="17">
        <v>1029.1596</v>
      </c>
      <c r="K138" s="18">
        <v>40.030099999999997</v>
      </c>
      <c r="L138" s="18">
        <v>46.930100000000003</v>
      </c>
      <c r="M138" s="18">
        <v>46.807400000000001</v>
      </c>
      <c r="N138" s="18">
        <v>2.1857000000000002</v>
      </c>
      <c r="O138" s="18">
        <f t="shared" si="5"/>
        <v>41.739762499999998</v>
      </c>
      <c r="P138" s="7"/>
      <c r="Q138" s="10"/>
      <c r="R138" s="11"/>
      <c r="S138" s="11"/>
      <c r="T138" s="26"/>
      <c r="U138" s="28">
        <f t="shared" si="3"/>
        <v>-9.6818181818181706E-2</v>
      </c>
    </row>
    <row r="139" spans="2:21" hidden="1" x14ac:dyDescent="0.25">
      <c r="B139" s="9"/>
      <c r="C139" s="17">
        <v>857.66</v>
      </c>
      <c r="D139" s="18">
        <v>38.140999999999998</v>
      </c>
      <c r="E139" s="18">
        <v>44.954000000000001</v>
      </c>
      <c r="F139" s="18">
        <v>44.762999999999998</v>
      </c>
      <c r="G139" s="18">
        <v>2.77</v>
      </c>
      <c r="H139" s="18">
        <f t="shared" si="4"/>
        <v>39.820374999999999</v>
      </c>
      <c r="I139" s="5"/>
      <c r="J139" s="17">
        <v>614.38350000000003</v>
      </c>
      <c r="K139" s="18">
        <v>38.309800000000003</v>
      </c>
      <c r="L139" s="18">
        <v>45.471699999999998</v>
      </c>
      <c r="M139" s="18">
        <v>45.241199999999999</v>
      </c>
      <c r="N139" s="18">
        <v>2.7671000000000001</v>
      </c>
      <c r="O139" s="18">
        <f t="shared" si="5"/>
        <v>40.071462500000003</v>
      </c>
      <c r="P139" s="7"/>
      <c r="Q139" s="10"/>
      <c r="R139" s="11"/>
      <c r="S139" s="11"/>
      <c r="T139" s="26"/>
      <c r="U139" s="28">
        <f t="shared" si="3"/>
        <v>-1.0469314079422031E-3</v>
      </c>
    </row>
    <row r="140" spans="2:21" ht="16.5" hidden="1" thickBot="1" x14ac:dyDescent="0.3">
      <c r="B140" s="12"/>
      <c r="C140" s="19">
        <v>432.89</v>
      </c>
      <c r="D140" s="20">
        <v>34.649000000000001</v>
      </c>
      <c r="E140" s="20">
        <v>42.476999999999997</v>
      </c>
      <c r="F140" s="20">
        <v>42.183</v>
      </c>
      <c r="G140" s="20">
        <v>3.53</v>
      </c>
      <c r="H140" s="20">
        <f t="shared" si="4"/>
        <v>36.569250000000004</v>
      </c>
      <c r="I140" s="5"/>
      <c r="J140" s="19">
        <v>305.97359999999998</v>
      </c>
      <c r="K140" s="20">
        <v>35.704900000000002</v>
      </c>
      <c r="L140" s="20">
        <v>43.305900000000001</v>
      </c>
      <c r="M140" s="20">
        <v>42.895699999999998</v>
      </c>
      <c r="N140" s="20">
        <v>3.8407</v>
      </c>
      <c r="O140" s="20">
        <f t="shared" si="5"/>
        <v>37.553874999999998</v>
      </c>
      <c r="P140" s="7"/>
      <c r="Q140" s="13"/>
      <c r="R140" s="14"/>
      <c r="S140" s="14"/>
      <c r="T140" s="27"/>
      <c r="U140" s="28">
        <f t="shared" si="3"/>
        <v>8.8016997167138872E-2</v>
      </c>
    </row>
    <row r="141" spans="2:21" hidden="1" x14ac:dyDescent="0.25">
      <c r="B141" s="6" t="s">
        <v>116</v>
      </c>
      <c r="C141" s="29">
        <v>2089.7600000000002</v>
      </c>
      <c r="D141" s="30">
        <v>47.825000000000003</v>
      </c>
      <c r="E141" s="30">
        <v>52.856000000000002</v>
      </c>
      <c r="F141" s="30">
        <v>52.798000000000002</v>
      </c>
      <c r="G141" s="16">
        <v>2.92</v>
      </c>
      <c r="H141" s="16">
        <f t="shared" si="4"/>
        <v>49.075500000000005</v>
      </c>
      <c r="I141" s="5"/>
      <c r="J141" s="29">
        <v>1556.1088999999999</v>
      </c>
      <c r="K141" s="30">
        <v>47.671399999999998</v>
      </c>
      <c r="L141" s="30">
        <v>52.665199999999999</v>
      </c>
      <c r="M141" s="30">
        <v>52.520800000000001</v>
      </c>
      <c r="N141" s="16">
        <v>1.8843000000000001</v>
      </c>
      <c r="O141" s="16">
        <f t="shared" si="5"/>
        <v>48.901799999999994</v>
      </c>
      <c r="P141" s="7"/>
      <c r="Q141" s="8">
        <f>bdrate(C141:C144,D141:D144,J141:J144,K141:K144)</f>
        <v>-0.29836006638374823</v>
      </c>
      <c r="R141" s="8">
        <f>bdrate(C141:C144,E141:E144,J141:J144,L141:L144)</f>
        <v>-0.30244642187181403</v>
      </c>
      <c r="S141" s="8">
        <f>bdrate(C141:C144,F141:F144,J141:J144,M141:M144)</f>
        <v>-0.28559037273341337</v>
      </c>
      <c r="T141" s="25">
        <f>bdrate(C141:C144,H141:H144,J141:J144,O141:O144)</f>
        <v>-0.29801674435976044</v>
      </c>
      <c r="U141" s="28">
        <f t="shared" si="3"/>
        <v>-0.35469178082191777</v>
      </c>
    </row>
    <row r="142" spans="2:21" hidden="1" x14ac:dyDescent="0.25">
      <c r="B142" s="9"/>
      <c r="C142" s="31">
        <v>1398.11</v>
      </c>
      <c r="D142" s="32">
        <v>46.893000000000001</v>
      </c>
      <c r="E142" s="32">
        <v>52.061999999999998</v>
      </c>
      <c r="F142" s="32">
        <v>51.972000000000001</v>
      </c>
      <c r="G142" s="18">
        <v>3.13</v>
      </c>
      <c r="H142" s="18">
        <f t="shared" si="4"/>
        <v>48.173999999999999</v>
      </c>
      <c r="I142" s="5"/>
      <c r="J142" s="31">
        <v>1029.1123</v>
      </c>
      <c r="K142" s="32">
        <v>46.858800000000002</v>
      </c>
      <c r="L142" s="32">
        <v>51.967100000000002</v>
      </c>
      <c r="M142" s="32">
        <v>51.825800000000001</v>
      </c>
      <c r="N142" s="18">
        <v>2.2599</v>
      </c>
      <c r="O142" s="18">
        <f t="shared" si="5"/>
        <v>48.118212500000006</v>
      </c>
      <c r="P142" s="7"/>
      <c r="Q142" s="10"/>
      <c r="R142" s="11"/>
      <c r="S142" s="11"/>
      <c r="T142" s="26"/>
      <c r="U142" s="28">
        <f t="shared" si="3"/>
        <v>-0.2779872204472843</v>
      </c>
    </row>
    <row r="143" spans="2:21" hidden="1" x14ac:dyDescent="0.25">
      <c r="B143" s="9"/>
      <c r="C143" s="31">
        <v>838.86</v>
      </c>
      <c r="D143" s="32">
        <v>45.731999999999999</v>
      </c>
      <c r="E143" s="32">
        <v>50.978999999999999</v>
      </c>
      <c r="F143" s="32">
        <v>50.895000000000003</v>
      </c>
      <c r="G143" s="18">
        <v>3.41</v>
      </c>
      <c r="H143" s="18">
        <f t="shared" si="4"/>
        <v>47.033249999999995</v>
      </c>
      <c r="I143" s="5"/>
      <c r="J143" s="31">
        <v>613.16809999999998</v>
      </c>
      <c r="K143" s="32">
        <v>45.857900000000001</v>
      </c>
      <c r="L143" s="32">
        <v>51.107900000000001</v>
      </c>
      <c r="M143" s="32">
        <v>50.996400000000001</v>
      </c>
      <c r="N143" s="18">
        <v>2.9127999999999998</v>
      </c>
      <c r="O143" s="18">
        <f t="shared" si="5"/>
        <v>47.156462500000004</v>
      </c>
      <c r="P143" s="7"/>
      <c r="Q143" s="10"/>
      <c r="R143" s="11"/>
      <c r="S143" s="11"/>
      <c r="T143" s="26"/>
      <c r="U143" s="28">
        <f t="shared" si="3"/>
        <v>-0.14580645161290332</v>
      </c>
    </row>
    <row r="144" spans="2:21" ht="16.5" hidden="1" thickBot="1" x14ac:dyDescent="0.3">
      <c r="B144" s="12"/>
      <c r="C144" s="33">
        <v>421.67</v>
      </c>
      <c r="D144" s="34">
        <v>43.856999999999999</v>
      </c>
      <c r="E144" s="34">
        <v>49.174999999999997</v>
      </c>
      <c r="F144" s="34">
        <v>49.429000000000002</v>
      </c>
      <c r="G144" s="20">
        <v>3.94</v>
      </c>
      <c r="H144" s="20">
        <f t="shared" si="4"/>
        <v>45.218249999999998</v>
      </c>
      <c r="I144" s="5"/>
      <c r="J144" s="33">
        <v>303.73070000000001</v>
      </c>
      <c r="K144" s="34">
        <v>44.273600000000002</v>
      </c>
      <c r="L144" s="34">
        <v>49.909100000000002</v>
      </c>
      <c r="M144" s="34">
        <v>49.9587</v>
      </c>
      <c r="N144" s="20">
        <v>4.3076999999999996</v>
      </c>
      <c r="O144" s="20">
        <f t="shared" si="5"/>
        <v>45.688675000000011</v>
      </c>
      <c r="P144" s="7"/>
      <c r="Q144" s="13"/>
      <c r="R144" s="14"/>
      <c r="S144" s="14"/>
      <c r="T144" s="27"/>
      <c r="U144" s="28">
        <f t="shared" si="3"/>
        <v>9.3324873096446617E-2</v>
      </c>
    </row>
    <row r="145" spans="1:21" hidden="1" x14ac:dyDescent="0.25">
      <c r="A145" s="6" t="s">
        <v>117</v>
      </c>
      <c r="B145" s="6" t="s">
        <v>118</v>
      </c>
      <c r="C145" s="15">
        <v>1279.33</v>
      </c>
      <c r="D145" s="16">
        <v>40.600999999999999</v>
      </c>
      <c r="E145" s="16">
        <v>47.604999999999997</v>
      </c>
      <c r="F145" s="16">
        <v>47.404000000000003</v>
      </c>
      <c r="G145" s="16">
        <v>7.45</v>
      </c>
      <c r="H145" s="16">
        <f t="shared" si="4"/>
        <v>42.326875000000001</v>
      </c>
      <c r="I145" s="5"/>
      <c r="J145" s="15">
        <v>1027.8851999999999</v>
      </c>
      <c r="K145" s="16">
        <v>40.808999999999997</v>
      </c>
      <c r="L145" s="16">
        <v>48.322099999999999</v>
      </c>
      <c r="M145" s="16">
        <v>48.1479</v>
      </c>
      <c r="N145" s="16">
        <v>5.8867000000000003</v>
      </c>
      <c r="O145" s="16">
        <f t="shared" si="5"/>
        <v>42.665499999999994</v>
      </c>
      <c r="P145" s="7"/>
      <c r="Q145" s="8">
        <f>bdrate(C145:C148,D145:D148,J145:J148,K145:K148)</f>
        <v>-0.27922324727674441</v>
      </c>
      <c r="R145" s="8">
        <f>bdrate(C145:C148,E145:E148,J145:J148,L145:L148)</f>
        <v>-0.40393992316362393</v>
      </c>
      <c r="S145" s="8">
        <f>bdrate(C145:C148,F145:F148,J145:J148,M145:M148)</f>
        <v>-0.39679425155350312</v>
      </c>
      <c r="T145" s="25">
        <f>bdrate(C145:C148,H145:H148,J145:J148,O145:O148)</f>
        <v>-0.30405377191684879</v>
      </c>
      <c r="U145" s="28">
        <f t="shared" si="3"/>
        <v>-0.20983892617449662</v>
      </c>
    </row>
    <row r="146" spans="1:21" hidden="1" x14ac:dyDescent="0.25">
      <c r="A146" s="9"/>
      <c r="B146" s="9"/>
      <c r="C146" s="17">
        <v>759.65</v>
      </c>
      <c r="D146" s="18">
        <v>38.281999999999996</v>
      </c>
      <c r="E146" s="18">
        <v>45.896000000000001</v>
      </c>
      <c r="F146" s="18">
        <v>45.624000000000002</v>
      </c>
      <c r="G146" s="18">
        <v>8.5</v>
      </c>
      <c r="H146" s="18">
        <f t="shared" si="4"/>
        <v>40.151499999999999</v>
      </c>
      <c r="I146" s="5"/>
      <c r="J146" s="17">
        <v>614.92079999999999</v>
      </c>
      <c r="K146" s="18">
        <v>38.646700000000003</v>
      </c>
      <c r="L146" s="18">
        <v>46.826999999999998</v>
      </c>
      <c r="M146" s="18">
        <v>46.551400000000001</v>
      </c>
      <c r="N146" s="18">
        <v>7.4092000000000002</v>
      </c>
      <c r="O146" s="18">
        <f t="shared" si="5"/>
        <v>40.657325</v>
      </c>
      <c r="P146" s="7"/>
      <c r="Q146" s="10"/>
      <c r="R146" s="11"/>
      <c r="S146" s="11"/>
      <c r="T146" s="26"/>
      <c r="U146" s="28">
        <f t="shared" si="3"/>
        <v>-0.12832941176470586</v>
      </c>
    </row>
    <row r="147" spans="1:21" hidden="1" x14ac:dyDescent="0.25">
      <c r="B147" s="9"/>
      <c r="C147" s="17">
        <v>504.91</v>
      </c>
      <c r="D147" s="18">
        <v>36.33</v>
      </c>
      <c r="E147" s="18">
        <v>44.542000000000002</v>
      </c>
      <c r="F147" s="18">
        <v>44.154000000000003</v>
      </c>
      <c r="G147" s="18">
        <v>9.5</v>
      </c>
      <c r="H147" s="18">
        <f t="shared" si="4"/>
        <v>38.334499999999998</v>
      </c>
      <c r="I147" s="5"/>
      <c r="J147" s="17">
        <v>407.90559999999999</v>
      </c>
      <c r="K147" s="18">
        <v>36.868400000000001</v>
      </c>
      <c r="L147" s="18">
        <v>45.5625</v>
      </c>
      <c r="M147" s="18">
        <v>45.1922</v>
      </c>
      <c r="N147" s="18">
        <v>8.8747000000000007</v>
      </c>
      <c r="O147" s="18">
        <f t="shared" si="5"/>
        <v>38.995637500000001</v>
      </c>
      <c r="P147" s="7"/>
      <c r="Q147" s="10"/>
      <c r="R147" s="11"/>
      <c r="S147" s="11"/>
      <c r="T147" s="26"/>
      <c r="U147" s="28">
        <f t="shared" si="3"/>
        <v>-6.5821052631578877E-2</v>
      </c>
    </row>
    <row r="148" spans="1:21" ht="16.5" hidden="1" thickBot="1" x14ac:dyDescent="0.3">
      <c r="B148" s="12"/>
      <c r="C148" s="19">
        <v>251.03</v>
      </c>
      <c r="D148" s="20">
        <v>32.628</v>
      </c>
      <c r="E148" s="20">
        <v>42.569000000000003</v>
      </c>
      <c r="F148" s="20">
        <v>41.834000000000003</v>
      </c>
      <c r="G148" s="20">
        <v>11.48</v>
      </c>
      <c r="H148" s="20">
        <f t="shared" si="4"/>
        <v>35.021374999999999</v>
      </c>
      <c r="I148" s="5"/>
      <c r="J148" s="19">
        <v>203.2106</v>
      </c>
      <c r="K148" s="20">
        <v>33.844200000000001</v>
      </c>
      <c r="L148" s="20">
        <v>43.400199999999998</v>
      </c>
      <c r="M148" s="20">
        <v>42.912300000000002</v>
      </c>
      <c r="N148" s="20">
        <v>12.017300000000001</v>
      </c>
      <c r="O148" s="20">
        <f t="shared" si="5"/>
        <v>36.172212500000001</v>
      </c>
      <c r="P148" s="7"/>
      <c r="Q148" s="13"/>
      <c r="R148" s="14"/>
      <c r="S148" s="14"/>
      <c r="T148" s="27"/>
      <c r="U148" s="28">
        <f t="shared" si="3"/>
        <v>4.6803135888501747E-2</v>
      </c>
    </row>
    <row r="149" spans="1:21" hidden="1" x14ac:dyDescent="0.25">
      <c r="B149" s="6" t="s">
        <v>119</v>
      </c>
      <c r="C149" s="15">
        <v>1273.3499999999999</v>
      </c>
      <c r="D149" s="16">
        <v>39.622</v>
      </c>
      <c r="E149" s="16">
        <v>49.447000000000003</v>
      </c>
      <c r="F149" s="16">
        <v>47.02</v>
      </c>
      <c r="G149" s="16">
        <v>8.15</v>
      </c>
      <c r="H149" s="16">
        <f t="shared" si="4"/>
        <v>41.774874999999994</v>
      </c>
      <c r="I149" s="5"/>
      <c r="J149" s="15">
        <v>1025.4880000000001</v>
      </c>
      <c r="K149" s="16">
        <v>39.451799999999999</v>
      </c>
      <c r="L149" s="16">
        <v>50.189700000000002</v>
      </c>
      <c r="M149" s="16">
        <v>47.742400000000004</v>
      </c>
      <c r="N149" s="16">
        <v>6.9378000000000002</v>
      </c>
      <c r="O149" s="16">
        <f t="shared" si="5"/>
        <v>41.830362500000007</v>
      </c>
      <c r="P149" s="7"/>
      <c r="Q149" s="8">
        <f>bdrate(C149:C152,D149:D152,J149:J152,K149:K152)</f>
        <v>-0.23632935214997386</v>
      </c>
      <c r="R149" s="8">
        <f>bdrate(C149:C152,E149:E152,J149:J152,L149:L152)</f>
        <v>-0.48560595926996653</v>
      </c>
      <c r="S149" s="8">
        <f>bdrate(C149:C152,F149:F152,J149:J152,M149:M152)</f>
        <v>-0.44724985516362659</v>
      </c>
      <c r="T149" s="25">
        <f>bdrate(C149:C152,H149:H152,J149:J152,O149:O152)</f>
        <v>-0.28263249588332573</v>
      </c>
      <c r="U149" s="28">
        <f t="shared" si="3"/>
        <v>-0.14873619631901841</v>
      </c>
    </row>
    <row r="150" spans="1:21" hidden="1" x14ac:dyDescent="0.25">
      <c r="B150" s="9"/>
      <c r="C150" s="17">
        <v>765.22</v>
      </c>
      <c r="D150" s="18">
        <v>37.479999999999997</v>
      </c>
      <c r="E150" s="18">
        <v>47.906999999999996</v>
      </c>
      <c r="F150" s="18">
        <v>45.338999999999999</v>
      </c>
      <c r="G150" s="18">
        <v>9.14</v>
      </c>
      <c r="H150" s="18">
        <f t="shared" si="4"/>
        <v>39.765749999999997</v>
      </c>
      <c r="I150" s="5"/>
      <c r="J150" s="17">
        <v>614.55520000000001</v>
      </c>
      <c r="K150" s="18">
        <v>37.508600000000001</v>
      </c>
      <c r="L150" s="18">
        <v>49.085500000000003</v>
      </c>
      <c r="M150" s="18">
        <v>46.410299999999999</v>
      </c>
      <c r="N150" s="18">
        <v>8.7439999999999998</v>
      </c>
      <c r="O150" s="18">
        <f t="shared" si="5"/>
        <v>40.068425000000005</v>
      </c>
      <c r="P150" s="7"/>
      <c r="Q150" s="10"/>
      <c r="R150" s="11"/>
      <c r="S150" s="11"/>
      <c r="T150" s="26"/>
      <c r="U150" s="28">
        <f t="shared" si="3"/>
        <v>-4.3326039387308619E-2</v>
      </c>
    </row>
    <row r="151" spans="1:21" hidden="1" x14ac:dyDescent="0.25">
      <c r="B151" s="9"/>
      <c r="C151" s="17">
        <v>509.71</v>
      </c>
      <c r="D151" s="18">
        <v>35.780999999999999</v>
      </c>
      <c r="E151" s="18">
        <v>47.121000000000002</v>
      </c>
      <c r="F151" s="18">
        <v>44.122999999999998</v>
      </c>
      <c r="G151" s="18">
        <v>10.25</v>
      </c>
      <c r="H151" s="18">
        <f t="shared" si="4"/>
        <v>38.241249999999994</v>
      </c>
      <c r="I151" s="5"/>
      <c r="J151" s="17">
        <v>409.54340000000002</v>
      </c>
      <c r="K151" s="18">
        <v>36.027900000000002</v>
      </c>
      <c r="L151" s="18">
        <v>48.141100000000002</v>
      </c>
      <c r="M151" s="18">
        <v>45.249499999999998</v>
      </c>
      <c r="N151" s="18">
        <v>10.442299999999999</v>
      </c>
      <c r="O151" s="18">
        <f t="shared" si="5"/>
        <v>38.694750000000006</v>
      </c>
      <c r="P151" s="7"/>
      <c r="Q151" s="10"/>
      <c r="R151" s="11"/>
      <c r="S151" s="11"/>
      <c r="T151" s="26"/>
      <c r="U151" s="28">
        <f t="shared" si="3"/>
        <v>1.8760975609756047E-2</v>
      </c>
    </row>
    <row r="152" spans="1:21" ht="16.5" hidden="1" thickBot="1" x14ac:dyDescent="0.3">
      <c r="B152" s="12"/>
      <c r="C152" s="19">
        <v>255.67</v>
      </c>
      <c r="D152" s="20">
        <v>32.807000000000002</v>
      </c>
      <c r="E152" s="20">
        <v>44.926000000000002</v>
      </c>
      <c r="F152" s="20">
        <v>42.162999999999997</v>
      </c>
      <c r="G152" s="20">
        <v>12.18</v>
      </c>
      <c r="H152" s="20">
        <f t="shared" si="4"/>
        <v>35.491375000000005</v>
      </c>
      <c r="I152" s="5"/>
      <c r="J152" s="19">
        <v>204.68530000000001</v>
      </c>
      <c r="K152" s="20">
        <v>33.618400000000001</v>
      </c>
      <c r="L152" s="20">
        <v>46.387</v>
      </c>
      <c r="M152" s="20">
        <v>43.3705</v>
      </c>
      <c r="N152" s="20">
        <v>14.167</v>
      </c>
      <c r="O152" s="20">
        <f t="shared" si="5"/>
        <v>36.433487499999998</v>
      </c>
      <c r="P152" s="7"/>
      <c r="Q152" s="13"/>
      <c r="R152" s="14"/>
      <c r="S152" s="14"/>
      <c r="T152" s="27"/>
      <c r="U152" s="28">
        <f t="shared" si="3"/>
        <v>0.16313628899835797</v>
      </c>
    </row>
    <row r="153" spans="1:21" hidden="1" x14ac:dyDescent="0.25">
      <c r="B153" s="6" t="s">
        <v>120</v>
      </c>
      <c r="C153" s="15">
        <v>1327.22</v>
      </c>
      <c r="D153" s="16">
        <v>43.432000000000002</v>
      </c>
      <c r="E153" s="16">
        <v>47.487000000000002</v>
      </c>
      <c r="F153" s="16">
        <v>47.957999999999998</v>
      </c>
      <c r="G153" s="16">
        <v>8.06</v>
      </c>
      <c r="H153" s="16">
        <f t="shared" si="4"/>
        <v>44.504625000000004</v>
      </c>
      <c r="I153" s="5"/>
      <c r="J153" s="15">
        <v>1027.5006000000001</v>
      </c>
      <c r="K153" s="16">
        <v>43.462200000000003</v>
      </c>
      <c r="L153" s="16">
        <v>47.916899999999998</v>
      </c>
      <c r="M153" s="16">
        <v>48.287300000000002</v>
      </c>
      <c r="N153" s="16">
        <v>5.5351999999999997</v>
      </c>
      <c r="O153" s="16">
        <f t="shared" si="5"/>
        <v>44.622175000000006</v>
      </c>
      <c r="P153" s="7"/>
      <c r="Q153" s="8">
        <f>bdrate(C153:C156,D153:D156,J153:J156,K153:K156)</f>
        <v>-0.2851411876816522</v>
      </c>
      <c r="R153" s="8">
        <f>bdrate(C153:C156,E153:E156,J153:J156,L153:L156)</f>
        <v>-0.40025445176471042</v>
      </c>
      <c r="S153" s="8">
        <f>bdrate(C153:C156,F153:F156,J153:J156,M153:M156)</f>
        <v>-0.38710159445605907</v>
      </c>
      <c r="T153" s="25">
        <f>bdrate(C153:C156,H153:H156,J153:J156,O153:O156)</f>
        <v>-0.30545585689690036</v>
      </c>
      <c r="U153" s="28">
        <f t="shared" si="3"/>
        <v>-0.31325062034739465</v>
      </c>
    </row>
    <row r="154" spans="1:21" hidden="1" x14ac:dyDescent="0.25">
      <c r="B154" s="9"/>
      <c r="C154" s="17">
        <v>792.53</v>
      </c>
      <c r="D154" s="18">
        <v>41.536000000000001</v>
      </c>
      <c r="E154" s="18">
        <v>46.145000000000003</v>
      </c>
      <c r="F154" s="18">
        <v>46.713999999999999</v>
      </c>
      <c r="G154" s="18">
        <v>8.7799999999999994</v>
      </c>
      <c r="H154" s="18">
        <f t="shared" si="4"/>
        <v>42.759374999999999</v>
      </c>
      <c r="I154" s="5"/>
      <c r="J154" s="17">
        <v>616.649</v>
      </c>
      <c r="K154" s="18">
        <v>41.735799999999998</v>
      </c>
      <c r="L154" s="18">
        <v>46.7727</v>
      </c>
      <c r="M154" s="18">
        <v>47.227400000000003</v>
      </c>
      <c r="N154" s="18">
        <v>7.1352000000000002</v>
      </c>
      <c r="O154" s="18">
        <f t="shared" si="5"/>
        <v>43.051862499999999</v>
      </c>
      <c r="P154" s="7"/>
      <c r="Q154" s="10"/>
      <c r="R154" s="11"/>
      <c r="S154" s="11"/>
      <c r="T154" s="26"/>
      <c r="U154" s="28">
        <f t="shared" si="3"/>
        <v>-0.1873348519362186</v>
      </c>
    </row>
    <row r="155" spans="1:21" hidden="1" x14ac:dyDescent="0.25">
      <c r="B155" s="9"/>
      <c r="C155" s="17">
        <v>524.38</v>
      </c>
      <c r="D155" s="18">
        <v>39.892000000000003</v>
      </c>
      <c r="E155" s="18">
        <v>45.093000000000004</v>
      </c>
      <c r="F155" s="18">
        <v>45.656999999999996</v>
      </c>
      <c r="G155" s="18">
        <v>9.23</v>
      </c>
      <c r="H155" s="18">
        <f t="shared" si="4"/>
        <v>41.262750000000004</v>
      </c>
      <c r="I155" s="5"/>
      <c r="J155" s="17">
        <v>410.52319999999997</v>
      </c>
      <c r="K155" s="18">
        <v>40.275300000000001</v>
      </c>
      <c r="L155" s="18">
        <v>45.810099999999998</v>
      </c>
      <c r="M155" s="18">
        <v>46.310899999999997</v>
      </c>
      <c r="N155" s="18">
        <v>8.9120000000000008</v>
      </c>
      <c r="O155" s="18">
        <f t="shared" si="5"/>
        <v>41.721600000000002</v>
      </c>
      <c r="P155" s="7"/>
      <c r="Q155" s="10"/>
      <c r="R155" s="11"/>
      <c r="S155" s="11"/>
      <c r="T155" s="26"/>
      <c r="U155" s="28">
        <f t="shared" si="3"/>
        <v>-3.445287107258934E-2</v>
      </c>
    </row>
    <row r="156" spans="1:21" ht="16.5" hidden="1" thickBot="1" x14ac:dyDescent="0.3">
      <c r="B156" s="12"/>
      <c r="C156" s="19">
        <v>259.39999999999998</v>
      </c>
      <c r="D156" s="20">
        <v>36.457000000000001</v>
      </c>
      <c r="E156" s="20">
        <v>43.073</v>
      </c>
      <c r="F156" s="20">
        <v>43.552</v>
      </c>
      <c r="G156" s="20">
        <v>11.13</v>
      </c>
      <c r="H156" s="20">
        <f t="shared" si="4"/>
        <v>38.170875000000002</v>
      </c>
      <c r="I156" s="5"/>
      <c r="J156" s="19">
        <v>204.31120000000001</v>
      </c>
      <c r="K156" s="20">
        <v>37.407400000000003</v>
      </c>
      <c r="L156" s="20">
        <v>43.923499999999997</v>
      </c>
      <c r="M156" s="20">
        <v>44.467300000000002</v>
      </c>
      <c r="N156" s="20">
        <v>12.917999999999999</v>
      </c>
      <c r="O156" s="20">
        <f t="shared" si="5"/>
        <v>39.104400000000005</v>
      </c>
      <c r="P156" s="7"/>
      <c r="Q156" s="13"/>
      <c r="R156" s="14"/>
      <c r="S156" s="14"/>
      <c r="T156" s="27"/>
      <c r="U156" s="28">
        <f t="shared" si="3"/>
        <v>0.16064690026954162</v>
      </c>
    </row>
    <row r="157" spans="1:21" hidden="1" x14ac:dyDescent="0.25">
      <c r="B157" s="6" t="s">
        <v>121</v>
      </c>
      <c r="C157" s="29">
        <v>1267.69</v>
      </c>
      <c r="D157" s="30">
        <v>39.840000000000003</v>
      </c>
      <c r="E157" s="30">
        <v>47.173000000000002</v>
      </c>
      <c r="F157" s="30">
        <v>47.027000000000001</v>
      </c>
      <c r="G157" s="16">
        <v>8.91</v>
      </c>
      <c r="H157" s="16">
        <f t="shared" si="4"/>
        <v>41.655000000000001</v>
      </c>
      <c r="I157" s="5"/>
      <c r="J157" s="29">
        <v>1026.0085999999999</v>
      </c>
      <c r="K157" s="30">
        <v>39.156399999999998</v>
      </c>
      <c r="L157" s="30">
        <v>47.095700000000001</v>
      </c>
      <c r="M157" s="30">
        <v>46.947000000000003</v>
      </c>
      <c r="N157" s="16">
        <v>7.0084</v>
      </c>
      <c r="O157" s="16">
        <f t="shared" si="5"/>
        <v>41.122637500000003</v>
      </c>
      <c r="P157" s="7"/>
      <c r="Q157" s="8">
        <f>bdrate(C157:C160,D157:D160,J157:J160,K157:K160)</f>
        <v>-0.18914403681724645</v>
      </c>
      <c r="R157" s="8">
        <f>bdrate(C157:C160,E157:E160,J157:J160,L157:L160)</f>
        <v>-0.24065150557541981</v>
      </c>
      <c r="S157" s="8">
        <f>bdrate(C157:C160,F157:F160,J157:J160,M157:M160)</f>
        <v>-0.2571551970369792</v>
      </c>
      <c r="T157" s="25">
        <f>bdrate(C157:C160,H157:H160,J157:J160,O157:O160)</f>
        <v>-0.20014580524851244</v>
      </c>
      <c r="U157" s="28">
        <f t="shared" si="3"/>
        <v>-0.21342312008978678</v>
      </c>
    </row>
    <row r="158" spans="1:21" hidden="1" x14ac:dyDescent="0.25">
      <c r="B158" s="9"/>
      <c r="C158" s="31">
        <v>756.71</v>
      </c>
      <c r="D158" s="32">
        <v>37.465000000000003</v>
      </c>
      <c r="E158" s="32">
        <v>45.728999999999999</v>
      </c>
      <c r="F158" s="32">
        <v>45.542000000000002</v>
      </c>
      <c r="G158" s="18">
        <v>9.84</v>
      </c>
      <c r="H158" s="18">
        <f t="shared" si="4"/>
        <v>39.507625000000004</v>
      </c>
      <c r="I158" s="5"/>
      <c r="J158" s="31">
        <v>613.19590000000005</v>
      </c>
      <c r="K158" s="32">
        <v>37.209600000000002</v>
      </c>
      <c r="L158" s="32">
        <v>45.868499999999997</v>
      </c>
      <c r="M158" s="32">
        <v>45.717300000000002</v>
      </c>
      <c r="N158" s="18">
        <v>8.9512999999999998</v>
      </c>
      <c r="O158" s="18">
        <f t="shared" si="5"/>
        <v>39.355425000000004</v>
      </c>
      <c r="P158" s="7"/>
      <c r="Q158" s="10"/>
      <c r="R158" s="11"/>
      <c r="S158" s="11"/>
      <c r="T158" s="26"/>
      <c r="U158" s="28">
        <f t="shared" si="3"/>
        <v>-9.0315040650406506E-2</v>
      </c>
    </row>
    <row r="159" spans="1:21" hidden="1" x14ac:dyDescent="0.25">
      <c r="B159" s="9"/>
      <c r="C159" s="31">
        <v>503.63</v>
      </c>
      <c r="D159" s="32">
        <v>35.656999999999996</v>
      </c>
      <c r="E159" s="32">
        <v>44.613999999999997</v>
      </c>
      <c r="F159" s="32">
        <v>44.393999999999998</v>
      </c>
      <c r="G159" s="18">
        <v>10.8</v>
      </c>
      <c r="H159" s="18">
        <f t="shared" si="4"/>
        <v>37.868749999999999</v>
      </c>
      <c r="I159" s="5"/>
      <c r="J159" s="31">
        <v>407.7912</v>
      </c>
      <c r="K159" s="32">
        <v>35.724299999999999</v>
      </c>
      <c r="L159" s="32">
        <v>44.865200000000002</v>
      </c>
      <c r="M159" s="32">
        <v>44.714100000000002</v>
      </c>
      <c r="N159" s="18">
        <v>10.911799999999999</v>
      </c>
      <c r="O159" s="18">
        <f t="shared" si="5"/>
        <v>37.990637500000005</v>
      </c>
      <c r="P159" s="7"/>
      <c r="Q159" s="10"/>
      <c r="R159" s="11"/>
      <c r="S159" s="11"/>
      <c r="T159" s="26"/>
      <c r="U159" s="28">
        <f t="shared" si="3"/>
        <v>1.0351851851851739E-2</v>
      </c>
    </row>
    <row r="160" spans="1:21" ht="16.5" hidden="1" thickBot="1" x14ac:dyDescent="0.3">
      <c r="B160" s="12"/>
      <c r="C160" s="33">
        <v>251.3</v>
      </c>
      <c r="D160" s="34">
        <v>32.226999999999997</v>
      </c>
      <c r="E160" s="34">
        <v>42.767000000000003</v>
      </c>
      <c r="F160" s="34">
        <v>42.372</v>
      </c>
      <c r="G160" s="20">
        <v>12.41</v>
      </c>
      <c r="H160" s="20">
        <f t="shared" si="4"/>
        <v>34.812624999999997</v>
      </c>
      <c r="I160" s="5"/>
      <c r="J160" s="33">
        <v>204.0112</v>
      </c>
      <c r="K160" s="34">
        <v>33.025799999999997</v>
      </c>
      <c r="L160" s="34">
        <v>42.957099999999997</v>
      </c>
      <c r="M160" s="34">
        <v>42.741199999999999</v>
      </c>
      <c r="N160" s="20">
        <v>15.423</v>
      </c>
      <c r="O160" s="20">
        <f t="shared" si="5"/>
        <v>35.481637499999998</v>
      </c>
      <c r="P160" s="7"/>
      <c r="Q160" s="13"/>
      <c r="R160" s="14"/>
      <c r="S160" s="14"/>
      <c r="T160" s="27"/>
      <c r="U160" s="28">
        <f t="shared" si="3"/>
        <v>0.24278807413376308</v>
      </c>
    </row>
    <row r="161" spans="2:21" hidden="1" x14ac:dyDescent="0.25">
      <c r="B161" s="6" t="s">
        <v>122</v>
      </c>
      <c r="C161" s="15">
        <v>1299.6500000000001</v>
      </c>
      <c r="D161" s="16">
        <v>38.65</v>
      </c>
      <c r="E161" s="16">
        <v>47.43</v>
      </c>
      <c r="F161" s="16">
        <v>45.872</v>
      </c>
      <c r="G161" s="16">
        <v>9.67</v>
      </c>
      <c r="H161" s="16">
        <f t="shared" si="4"/>
        <v>40.65025</v>
      </c>
      <c r="I161" s="5"/>
      <c r="J161" s="15">
        <v>1025.6811</v>
      </c>
      <c r="K161" s="16">
        <v>38.453499999999998</v>
      </c>
      <c r="L161" s="16">
        <v>47.738700000000001</v>
      </c>
      <c r="M161" s="16">
        <v>46.314399999999999</v>
      </c>
      <c r="N161" s="16">
        <v>6.3960999999999997</v>
      </c>
      <c r="O161" s="16">
        <f t="shared" si="5"/>
        <v>40.596762499999997</v>
      </c>
      <c r="P161" s="7"/>
      <c r="Q161" s="8">
        <f>bdrate(C161:C164,D161:D164,J161:J164,K161:K164)</f>
        <v>-0.22963912624305394</v>
      </c>
      <c r="R161" s="8">
        <f>bdrate(C161:C164,E161:E164,J161:J164,L161:L164)</f>
        <v>-0.38445813304259024</v>
      </c>
      <c r="S161" s="8">
        <f>bdrate(C161:C164,F161:F164,J161:J164,M161:M164)</f>
        <v>-0.42604516940209047</v>
      </c>
      <c r="T161" s="25">
        <f>bdrate(C161:C164,H161:H164,J161:J164,O161:O164)</f>
        <v>-0.27025208900441366</v>
      </c>
      <c r="U161" s="28">
        <f t="shared" si="3"/>
        <v>-0.33856256463288525</v>
      </c>
    </row>
    <row r="162" spans="2:21" hidden="1" x14ac:dyDescent="0.25">
      <c r="B162" s="9"/>
      <c r="C162" s="17">
        <v>781.08</v>
      </c>
      <c r="D162" s="18">
        <v>37.457000000000001</v>
      </c>
      <c r="E162" s="18">
        <v>46.576000000000001</v>
      </c>
      <c r="F162" s="18">
        <v>44.881</v>
      </c>
      <c r="G162" s="18">
        <v>10.73</v>
      </c>
      <c r="H162" s="18">
        <f t="shared" si="4"/>
        <v>39.524875000000009</v>
      </c>
      <c r="I162" s="5"/>
      <c r="J162" s="17">
        <v>615.00969999999995</v>
      </c>
      <c r="K162" s="18">
        <v>37.408900000000003</v>
      </c>
      <c r="L162" s="18">
        <v>47.002000000000002</v>
      </c>
      <c r="M162" s="18">
        <v>45.4636</v>
      </c>
      <c r="N162" s="18">
        <v>8.1374999999999993</v>
      </c>
      <c r="O162" s="18">
        <f t="shared" si="5"/>
        <v>39.614874999999998</v>
      </c>
      <c r="P162" s="7"/>
      <c r="Q162" s="10"/>
      <c r="R162" s="11"/>
      <c r="S162" s="11"/>
      <c r="T162" s="26"/>
      <c r="U162" s="28">
        <f t="shared" si="3"/>
        <v>-0.24161230195712963</v>
      </c>
    </row>
    <row r="163" spans="2:21" hidden="1" x14ac:dyDescent="0.25">
      <c r="B163" s="9"/>
      <c r="C163" s="17">
        <v>520.04999999999995</v>
      </c>
      <c r="D163" s="18">
        <v>36.54</v>
      </c>
      <c r="E163" s="18">
        <v>45.837000000000003</v>
      </c>
      <c r="F163" s="18">
        <v>44.031999999999996</v>
      </c>
      <c r="G163" s="18">
        <v>11.62</v>
      </c>
      <c r="H163" s="18">
        <f t="shared" si="4"/>
        <v>38.638624999999998</v>
      </c>
      <c r="I163" s="5"/>
      <c r="J163" s="17">
        <v>409.19540000000001</v>
      </c>
      <c r="K163" s="18">
        <v>36.604599999999998</v>
      </c>
      <c r="L163" s="18">
        <v>46.3108</v>
      </c>
      <c r="M163" s="18">
        <v>44.703499999999998</v>
      </c>
      <c r="N163" s="18">
        <v>9.9527999999999999</v>
      </c>
      <c r="O163" s="18">
        <f t="shared" si="5"/>
        <v>38.830237500000003</v>
      </c>
      <c r="P163" s="7"/>
      <c r="Q163" s="10"/>
      <c r="R163" s="11"/>
      <c r="S163" s="11"/>
      <c r="T163" s="26"/>
      <c r="U163" s="28">
        <f t="shared" si="3"/>
        <v>-0.14347676419965572</v>
      </c>
    </row>
    <row r="164" spans="2:21" ht="16.5" hidden="1" thickBot="1" x14ac:dyDescent="0.3">
      <c r="B164" s="12"/>
      <c r="C164" s="19">
        <v>258.66000000000003</v>
      </c>
      <c r="D164" s="20">
        <v>34.624000000000002</v>
      </c>
      <c r="E164" s="20">
        <v>44.408999999999999</v>
      </c>
      <c r="F164" s="20">
        <v>42.45</v>
      </c>
      <c r="G164" s="20">
        <v>13.52</v>
      </c>
      <c r="H164" s="20">
        <f t="shared" si="4"/>
        <v>36.825375000000001</v>
      </c>
      <c r="I164" s="5"/>
      <c r="J164" s="19">
        <v>203.8391</v>
      </c>
      <c r="K164" s="20">
        <v>35.046100000000003</v>
      </c>
      <c r="L164" s="20">
        <v>44.886400000000002</v>
      </c>
      <c r="M164" s="20">
        <v>43.215800000000002</v>
      </c>
      <c r="N164" s="20">
        <v>13.758599999999999</v>
      </c>
      <c r="O164" s="20">
        <f t="shared" si="5"/>
        <v>37.297350000000009</v>
      </c>
      <c r="P164" s="7"/>
      <c r="Q164" s="13"/>
      <c r="R164" s="14"/>
      <c r="S164" s="14"/>
      <c r="T164" s="27"/>
      <c r="U164" s="28">
        <f t="shared" si="3"/>
        <v>1.7647928994082834E-2</v>
      </c>
    </row>
    <row r="165" spans="2:21" hidden="1" x14ac:dyDescent="0.25">
      <c r="B165" s="6" t="s">
        <v>123</v>
      </c>
      <c r="C165" s="15">
        <v>2109.5</v>
      </c>
      <c r="D165" s="16">
        <v>39.222000000000001</v>
      </c>
      <c r="E165" s="16">
        <v>45.15</v>
      </c>
      <c r="F165" s="16">
        <v>44.581000000000003</v>
      </c>
      <c r="G165" s="16">
        <v>3.07</v>
      </c>
      <c r="H165" s="16">
        <f t="shared" si="4"/>
        <v>40.632874999999999</v>
      </c>
      <c r="I165" s="5"/>
      <c r="J165" s="15">
        <v>1530.3421000000001</v>
      </c>
      <c r="K165" s="16">
        <v>39.105400000000003</v>
      </c>
      <c r="L165" s="16">
        <v>45.314500000000002</v>
      </c>
      <c r="M165" s="16">
        <v>44.615600000000001</v>
      </c>
      <c r="N165" s="16">
        <v>3.9030999999999998</v>
      </c>
      <c r="O165" s="16">
        <f t="shared" si="5"/>
        <v>40.5703125</v>
      </c>
      <c r="P165" s="7"/>
      <c r="Q165" s="8">
        <f>bdrate(C165:C168,D165:D168,J165:J168,K165:K168)</f>
        <v>-0.36765808110317511</v>
      </c>
      <c r="R165" s="8">
        <f>bdrate(C165:C168,E165:E168,J165:J168,L165:L168)</f>
        <v>-0.37749638305251876</v>
      </c>
      <c r="S165" s="8">
        <f>bdrate(C165:C168,F165:F168,J165:J168,M165:M168)</f>
        <v>-0.3321814580562874</v>
      </c>
      <c r="T165" s="25">
        <f>bdrate(C165:C168,H165:H168,J165:J168,O165:O168)</f>
        <v>-0.36537152507352588</v>
      </c>
      <c r="U165" s="28">
        <f t="shared" si="3"/>
        <v>0.27136807817589575</v>
      </c>
    </row>
    <row r="166" spans="2:21" hidden="1" x14ac:dyDescent="0.25">
      <c r="B166" s="9"/>
      <c r="C166" s="17">
        <v>1405.28</v>
      </c>
      <c r="D166" s="18">
        <v>37.094999999999999</v>
      </c>
      <c r="E166" s="18">
        <v>43.841999999999999</v>
      </c>
      <c r="F166" s="18">
        <v>43.195999999999998</v>
      </c>
      <c r="G166" s="18">
        <v>3.41</v>
      </c>
      <c r="H166" s="18">
        <f t="shared" si="4"/>
        <v>38.700999999999993</v>
      </c>
      <c r="I166" s="5"/>
      <c r="J166" s="17">
        <v>1021.9883</v>
      </c>
      <c r="K166" s="18">
        <v>37.4116</v>
      </c>
      <c r="L166" s="18">
        <v>44.213299999999997</v>
      </c>
      <c r="M166" s="18">
        <v>43.357100000000003</v>
      </c>
      <c r="N166" s="18">
        <v>4.7961</v>
      </c>
      <c r="O166" s="18">
        <f t="shared" si="5"/>
        <v>39.005000000000003</v>
      </c>
      <c r="P166" s="7"/>
      <c r="Q166" s="10"/>
      <c r="R166" s="11"/>
      <c r="S166" s="11"/>
      <c r="T166" s="26"/>
      <c r="U166" s="28">
        <f t="shared" si="3"/>
        <v>0.40648093841642224</v>
      </c>
    </row>
    <row r="167" spans="2:21" hidden="1" x14ac:dyDescent="0.25">
      <c r="B167" s="9"/>
      <c r="C167" s="17">
        <v>842.52</v>
      </c>
      <c r="D167" s="18">
        <v>34.314999999999998</v>
      </c>
      <c r="E167" s="18">
        <v>42.276000000000003</v>
      </c>
      <c r="F167" s="18">
        <v>41.475999999999999</v>
      </c>
      <c r="G167" s="18">
        <v>3.97</v>
      </c>
      <c r="H167" s="18">
        <f t="shared" si="4"/>
        <v>36.205249999999999</v>
      </c>
      <c r="I167" s="5"/>
      <c r="J167" s="17">
        <v>611.29300000000001</v>
      </c>
      <c r="K167" s="18">
        <v>35.147300000000001</v>
      </c>
      <c r="L167" s="18">
        <v>42.752200000000002</v>
      </c>
      <c r="M167" s="18">
        <v>41.7742</v>
      </c>
      <c r="N167" s="18">
        <v>6.1749999999999998</v>
      </c>
      <c r="O167" s="18">
        <f t="shared" si="5"/>
        <v>36.926275000000004</v>
      </c>
      <c r="P167" s="7"/>
      <c r="Q167" s="10"/>
      <c r="R167" s="11"/>
      <c r="S167" s="11"/>
      <c r="T167" s="26"/>
      <c r="U167" s="28">
        <f t="shared" si="3"/>
        <v>0.55541561712846332</v>
      </c>
    </row>
    <row r="168" spans="2:21" ht="16.5" hidden="1" thickBot="1" x14ac:dyDescent="0.3">
      <c r="B168" s="12"/>
      <c r="C168" s="19">
        <v>423.09</v>
      </c>
      <c r="D168" s="20">
        <v>30.256</v>
      </c>
      <c r="E168" s="20">
        <v>40.234000000000002</v>
      </c>
      <c r="F168" s="20">
        <v>39.152999999999999</v>
      </c>
      <c r="G168" s="20">
        <v>5.0999999999999996</v>
      </c>
      <c r="H168" s="20">
        <f t="shared" si="4"/>
        <v>32.615375</v>
      </c>
      <c r="I168" s="5"/>
      <c r="J168" s="19">
        <v>306.24119999999999</v>
      </c>
      <c r="K168" s="20">
        <v>32.225999999999999</v>
      </c>
      <c r="L168" s="20">
        <v>40.955100000000002</v>
      </c>
      <c r="M168" s="20">
        <v>39.7333</v>
      </c>
      <c r="N168" s="20">
        <v>8.5932999999999993</v>
      </c>
      <c r="O168" s="20">
        <f t="shared" si="5"/>
        <v>34.255549999999999</v>
      </c>
      <c r="P168" s="7"/>
      <c r="Q168" s="13"/>
      <c r="R168" s="14"/>
      <c r="S168" s="14"/>
      <c r="T168" s="27"/>
      <c r="U168" s="28">
        <f t="shared" si="3"/>
        <v>0.68496078431372542</v>
      </c>
    </row>
    <row r="169" spans="2:21" hidden="1" x14ac:dyDescent="0.25">
      <c r="B169" s="6" t="s">
        <v>124</v>
      </c>
      <c r="C169" s="15">
        <v>1328.11</v>
      </c>
      <c r="D169" s="16">
        <v>40.853999999999999</v>
      </c>
      <c r="E169" s="16">
        <v>46.274000000000001</v>
      </c>
      <c r="F169" s="16">
        <v>45.713999999999999</v>
      </c>
      <c r="G169" s="16">
        <v>8.56</v>
      </c>
      <c r="H169" s="16">
        <f t="shared" si="4"/>
        <v>42.139000000000003</v>
      </c>
      <c r="I169" s="5"/>
      <c r="J169" s="15">
        <v>1036.2943</v>
      </c>
      <c r="K169" s="16">
        <v>40.216000000000001</v>
      </c>
      <c r="L169" s="16">
        <v>46.134999999999998</v>
      </c>
      <c r="M169" s="16">
        <v>45.604399999999998</v>
      </c>
      <c r="N169" s="16">
        <v>6.5000999999999998</v>
      </c>
      <c r="O169" s="16">
        <f t="shared" si="5"/>
        <v>41.629424999999998</v>
      </c>
      <c r="P169" s="7"/>
      <c r="Q169" s="8">
        <f>bdrate(C169:C172,D169:D172,J169:J172,K169:K172)</f>
        <v>-0.23720519300859422</v>
      </c>
      <c r="R169" s="8">
        <f>bdrate(C169:C172,E169:E172,J169:J172,L169:L172)</f>
        <v>-0.33933742149821533</v>
      </c>
      <c r="S169" s="8">
        <f>bdrate(C169:C172,F169:F172,J169:J172,M169:M172)</f>
        <v>-0.36082349412274639</v>
      </c>
      <c r="T169" s="25">
        <f>bdrate(C169:C172,H169:H172,J169:J172,O169:O172)</f>
        <v>-0.26127889447879216</v>
      </c>
      <c r="U169" s="28">
        <f t="shared" si="3"/>
        <v>-0.24064252336448605</v>
      </c>
    </row>
    <row r="170" spans="2:21" hidden="1" x14ac:dyDescent="0.25">
      <c r="B170" s="9"/>
      <c r="C170" s="17">
        <v>790.46</v>
      </c>
      <c r="D170" s="18">
        <v>38.655000000000001</v>
      </c>
      <c r="E170" s="18">
        <v>44.61</v>
      </c>
      <c r="F170" s="18">
        <v>43.97</v>
      </c>
      <c r="G170" s="18">
        <v>9.3699999999999992</v>
      </c>
      <c r="H170" s="18">
        <f t="shared" si="4"/>
        <v>40.063749999999999</v>
      </c>
      <c r="I170" s="5"/>
      <c r="J170" s="17">
        <v>621.39490000000001</v>
      </c>
      <c r="K170" s="18">
        <v>38.508699999999997</v>
      </c>
      <c r="L170" s="18">
        <v>44.952300000000001</v>
      </c>
      <c r="M170" s="18">
        <v>44.388599999999997</v>
      </c>
      <c r="N170" s="18">
        <v>8.2039000000000009</v>
      </c>
      <c r="O170" s="18">
        <f t="shared" si="5"/>
        <v>40.049137499999993</v>
      </c>
      <c r="P170" s="7"/>
      <c r="Q170" s="10"/>
      <c r="R170" s="11"/>
      <c r="S170" s="11"/>
      <c r="T170" s="26"/>
      <c r="U170" s="28">
        <f t="shared" si="3"/>
        <v>-0.12445037353255053</v>
      </c>
    </row>
    <row r="171" spans="2:21" hidden="1" x14ac:dyDescent="0.25">
      <c r="B171" s="9"/>
      <c r="C171" s="17">
        <v>522.11</v>
      </c>
      <c r="D171" s="18">
        <v>36.942</v>
      </c>
      <c r="E171" s="18">
        <v>43.302999999999997</v>
      </c>
      <c r="F171" s="18">
        <v>42.606999999999999</v>
      </c>
      <c r="G171" s="18">
        <v>10.07</v>
      </c>
      <c r="H171" s="18">
        <f t="shared" si="4"/>
        <v>38.445250000000001</v>
      </c>
      <c r="I171" s="5"/>
      <c r="J171" s="17">
        <v>414.17649999999998</v>
      </c>
      <c r="K171" s="18">
        <v>37.192700000000002</v>
      </c>
      <c r="L171" s="18">
        <v>43.987200000000001</v>
      </c>
      <c r="M171" s="18">
        <v>43.4465</v>
      </c>
      <c r="N171" s="18">
        <v>10.011900000000001</v>
      </c>
      <c r="O171" s="18">
        <f t="shared" si="5"/>
        <v>38.823737500000007</v>
      </c>
      <c r="P171" s="7"/>
      <c r="Q171" s="10"/>
      <c r="R171" s="11"/>
      <c r="S171" s="11"/>
      <c r="T171" s="26"/>
      <c r="U171" s="28">
        <f t="shared" si="3"/>
        <v>-5.7696127110228E-3</v>
      </c>
    </row>
    <row r="172" spans="2:21" ht="16.5" hidden="1" thickBot="1" x14ac:dyDescent="0.3">
      <c r="B172" s="12"/>
      <c r="C172" s="19">
        <v>256.45</v>
      </c>
      <c r="D172" s="20">
        <v>33.643000000000001</v>
      </c>
      <c r="E172" s="20">
        <v>41.06</v>
      </c>
      <c r="F172" s="20">
        <v>40.326000000000001</v>
      </c>
      <c r="G172" s="20">
        <v>11.43</v>
      </c>
      <c r="H172" s="20">
        <f t="shared" si="4"/>
        <v>35.405500000000004</v>
      </c>
      <c r="I172" s="5"/>
      <c r="J172" s="19">
        <v>206.87049999999999</v>
      </c>
      <c r="K172" s="20">
        <v>34.727800000000002</v>
      </c>
      <c r="L172" s="20">
        <v>42.103000000000002</v>
      </c>
      <c r="M172" s="20">
        <v>41.559100000000001</v>
      </c>
      <c r="N172" s="20">
        <v>14.2403</v>
      </c>
      <c r="O172" s="20">
        <f t="shared" si="5"/>
        <v>36.503612500000003</v>
      </c>
      <c r="P172" s="7"/>
      <c r="Q172" s="13"/>
      <c r="R172" s="14"/>
      <c r="S172" s="14"/>
      <c r="T172" s="27"/>
      <c r="U172" s="28">
        <f t="shared" si="3"/>
        <v>0.24587051618547681</v>
      </c>
    </row>
    <row r="173" spans="2:21" hidden="1" x14ac:dyDescent="0.25">
      <c r="B173" s="6" t="s">
        <v>125</v>
      </c>
      <c r="C173" s="15">
        <v>1283.6099999999999</v>
      </c>
      <c r="D173" s="16">
        <v>44.2</v>
      </c>
      <c r="E173" s="16">
        <v>48.872999999999998</v>
      </c>
      <c r="F173" s="16">
        <v>47.978999999999999</v>
      </c>
      <c r="G173" s="16">
        <v>9.5399999999999991</v>
      </c>
      <c r="H173" s="16">
        <f t="shared" si="4"/>
        <v>45.256500000000003</v>
      </c>
      <c r="I173" s="5"/>
      <c r="J173" s="15">
        <v>1028.1481000000001</v>
      </c>
      <c r="K173" s="16">
        <v>43.916800000000002</v>
      </c>
      <c r="L173" s="16">
        <v>48.7806</v>
      </c>
      <c r="M173" s="16">
        <v>47.932099999999998</v>
      </c>
      <c r="N173" s="16">
        <v>6.2119</v>
      </c>
      <c r="O173" s="16">
        <f t="shared" si="5"/>
        <v>45.026687500000001</v>
      </c>
      <c r="P173" s="7"/>
      <c r="Q173" s="8">
        <f>bdrate(C173:C176,D173:D176,J173:J176,K173:K176)</f>
        <v>-0.26085644374690586</v>
      </c>
      <c r="R173" s="8">
        <f>bdrate(C173:C176,E173:E176,J173:J176,L173:L176)</f>
        <v>-0.28345751739843983</v>
      </c>
      <c r="S173" s="8">
        <f>bdrate(C173:C176,F173:F176,J173:J176,M173:M176)</f>
        <v>-0.2994034645951279</v>
      </c>
      <c r="T173" s="25">
        <f>bdrate(C173:C176,H173:H176,J173:J176,O173:O176)</f>
        <v>-0.26744961100513853</v>
      </c>
      <c r="U173" s="28">
        <f t="shared" si="3"/>
        <v>-0.34885744234800831</v>
      </c>
    </row>
    <row r="174" spans="2:21" hidden="1" x14ac:dyDescent="0.25">
      <c r="B174" s="9"/>
      <c r="C174" s="17">
        <v>772.53</v>
      </c>
      <c r="D174" s="18">
        <v>42.168999999999997</v>
      </c>
      <c r="E174" s="18">
        <v>47.283999999999999</v>
      </c>
      <c r="F174" s="18">
        <v>46.302</v>
      </c>
      <c r="G174" s="18">
        <v>10.44</v>
      </c>
      <c r="H174" s="18">
        <f t="shared" si="4"/>
        <v>43.325000000000003</v>
      </c>
      <c r="I174" s="5"/>
      <c r="J174" s="17">
        <v>615.66049999999996</v>
      </c>
      <c r="K174" s="18">
        <v>42.237499999999997</v>
      </c>
      <c r="L174" s="18">
        <v>47.433599999999998</v>
      </c>
      <c r="M174" s="18">
        <v>46.541499999999999</v>
      </c>
      <c r="N174" s="18">
        <v>7.7762000000000002</v>
      </c>
      <c r="O174" s="18">
        <f t="shared" si="5"/>
        <v>43.425012499999994</v>
      </c>
      <c r="P174" s="7"/>
      <c r="Q174" s="10"/>
      <c r="R174" s="11"/>
      <c r="S174" s="11"/>
      <c r="T174" s="26"/>
      <c r="U174" s="28">
        <f t="shared" si="3"/>
        <v>-0.25515325670498079</v>
      </c>
    </row>
    <row r="175" spans="2:21" hidden="1" x14ac:dyDescent="0.25">
      <c r="B175" s="9"/>
      <c r="C175" s="17">
        <v>515.67999999999995</v>
      </c>
      <c r="D175" s="18">
        <v>40.445</v>
      </c>
      <c r="E175" s="18">
        <v>45.881</v>
      </c>
      <c r="F175" s="18">
        <v>44.847999999999999</v>
      </c>
      <c r="G175" s="18">
        <v>11.41</v>
      </c>
      <c r="H175" s="18">
        <f t="shared" si="4"/>
        <v>41.674875000000007</v>
      </c>
      <c r="I175" s="5"/>
      <c r="J175" s="17">
        <v>410.07780000000002</v>
      </c>
      <c r="K175" s="18">
        <v>40.833500000000001</v>
      </c>
      <c r="L175" s="18">
        <v>46.307899999999997</v>
      </c>
      <c r="M175" s="18">
        <v>45.381700000000002</v>
      </c>
      <c r="N175" s="18">
        <v>9.4893999999999998</v>
      </c>
      <c r="O175" s="18">
        <f t="shared" si="5"/>
        <v>42.086325000000002</v>
      </c>
      <c r="P175" s="7"/>
      <c r="Q175" s="10"/>
      <c r="R175" s="11"/>
      <c r="S175" s="11"/>
      <c r="T175" s="26"/>
      <c r="U175" s="28">
        <f t="shared" si="3"/>
        <v>-0.16832602979842246</v>
      </c>
    </row>
    <row r="176" spans="2:21" ht="16.5" hidden="1" thickBot="1" x14ac:dyDescent="0.3">
      <c r="B176" s="12"/>
      <c r="C176" s="19">
        <v>260.31</v>
      </c>
      <c r="D176" s="20">
        <v>36.930999999999997</v>
      </c>
      <c r="E176" s="20">
        <v>43.2</v>
      </c>
      <c r="F176" s="20">
        <v>42.1</v>
      </c>
      <c r="G176" s="20">
        <v>13.58</v>
      </c>
      <c r="H176" s="20">
        <f t="shared" si="4"/>
        <v>38.360750000000003</v>
      </c>
      <c r="I176" s="5"/>
      <c r="J176" s="19">
        <v>204.08369999999999</v>
      </c>
      <c r="K176" s="20">
        <v>37.943100000000001</v>
      </c>
      <c r="L176" s="20">
        <v>44.0809</v>
      </c>
      <c r="M176" s="20">
        <v>43.057299999999998</v>
      </c>
      <c r="N176" s="20">
        <v>13.595800000000001</v>
      </c>
      <c r="O176" s="20">
        <f t="shared" si="5"/>
        <v>39.349600000000002</v>
      </c>
      <c r="P176" s="7"/>
      <c r="Q176" s="13"/>
      <c r="R176" s="14"/>
      <c r="S176" s="14"/>
      <c r="T176" s="27"/>
      <c r="U176" s="28">
        <f t="shared" si="3"/>
        <v>1.1634756995582091E-3</v>
      </c>
    </row>
    <row r="177" spans="2:21" hidden="1" x14ac:dyDescent="0.25">
      <c r="B177" s="6" t="s">
        <v>126</v>
      </c>
      <c r="C177" s="15">
        <v>2047.08</v>
      </c>
      <c r="D177" s="16">
        <v>37.898000000000003</v>
      </c>
      <c r="E177" s="16">
        <v>43.948</v>
      </c>
      <c r="F177" s="16">
        <v>44.7</v>
      </c>
      <c r="G177" s="16">
        <v>2.39</v>
      </c>
      <c r="H177" s="16">
        <f t="shared" si="4"/>
        <v>39.5045</v>
      </c>
      <c r="I177" s="5"/>
      <c r="J177" s="15">
        <v>1543.1351</v>
      </c>
      <c r="K177" s="16">
        <v>37.887900000000002</v>
      </c>
      <c r="L177" s="16">
        <v>44.086599999999997</v>
      </c>
      <c r="M177" s="16">
        <v>44.796500000000002</v>
      </c>
      <c r="N177" s="16">
        <v>3.0478999999999998</v>
      </c>
      <c r="O177" s="16">
        <f t="shared" si="5"/>
        <v>39.526312499999996</v>
      </c>
      <c r="P177" s="7"/>
      <c r="Q177" s="8">
        <f>bdrate(C177:C180,D177:D180,J177:J180,K177:K180)</f>
        <v>-0.36509679006208418</v>
      </c>
      <c r="R177" s="8">
        <f>bdrate(C177:C180,E177:E180,J177:J180,L177:L180)</f>
        <v>-0.35716705544485494</v>
      </c>
      <c r="S177" s="8">
        <f>bdrate(C177:C180,F177:F180,J177:J180,M177:M180)</f>
        <v>-0.36908374307029013</v>
      </c>
      <c r="T177" s="25">
        <f>bdrate(C177:C180,H177:H180,J177:J180,O177:O180)</f>
        <v>-0.36509503290933765</v>
      </c>
      <c r="U177" s="28">
        <f t="shared" si="3"/>
        <v>0.27527196652719654</v>
      </c>
    </row>
    <row r="178" spans="2:21" hidden="1" x14ac:dyDescent="0.25">
      <c r="B178" s="9"/>
      <c r="C178" s="17">
        <v>1361.99</v>
      </c>
      <c r="D178" s="18">
        <v>35.819000000000003</v>
      </c>
      <c r="E178" s="18">
        <v>42.607999999999997</v>
      </c>
      <c r="F178" s="18">
        <v>43.348999999999997</v>
      </c>
      <c r="G178" s="18">
        <v>2.63</v>
      </c>
      <c r="H178" s="18">
        <f t="shared" si="4"/>
        <v>37.608874999999998</v>
      </c>
      <c r="I178" s="5"/>
      <c r="J178" s="17">
        <v>1027.5085999999999</v>
      </c>
      <c r="K178" s="18">
        <v>36.215499999999999</v>
      </c>
      <c r="L178" s="18">
        <v>42.970599999999997</v>
      </c>
      <c r="M178" s="18">
        <v>43.716900000000003</v>
      </c>
      <c r="N178" s="18">
        <v>3.7233000000000001</v>
      </c>
      <c r="O178" s="18">
        <f t="shared" si="5"/>
        <v>37.997562500000001</v>
      </c>
      <c r="P178" s="7"/>
      <c r="Q178" s="10"/>
      <c r="R178" s="11"/>
      <c r="S178" s="11"/>
      <c r="T178" s="26"/>
      <c r="U178" s="28">
        <f t="shared" si="3"/>
        <v>0.41570342205323202</v>
      </c>
    </row>
    <row r="179" spans="2:21" hidden="1" x14ac:dyDescent="0.25">
      <c r="B179" s="9"/>
      <c r="C179" s="17">
        <v>815.68</v>
      </c>
      <c r="D179" s="18">
        <v>33.026000000000003</v>
      </c>
      <c r="E179" s="18">
        <v>41.134999999999998</v>
      </c>
      <c r="F179" s="18">
        <v>41.835999999999999</v>
      </c>
      <c r="G179" s="18">
        <v>3.02</v>
      </c>
      <c r="H179" s="18">
        <f t="shared" si="4"/>
        <v>35.140875000000001</v>
      </c>
      <c r="I179" s="5"/>
      <c r="J179" s="17">
        <v>615.98609999999996</v>
      </c>
      <c r="K179" s="18">
        <v>34.081499999999998</v>
      </c>
      <c r="L179" s="18">
        <v>41.629800000000003</v>
      </c>
      <c r="M179" s="18">
        <v>42.415999999999997</v>
      </c>
      <c r="N179" s="18">
        <v>4.7519</v>
      </c>
      <c r="O179" s="18">
        <f t="shared" si="5"/>
        <v>36.066849999999995</v>
      </c>
      <c r="P179" s="7"/>
      <c r="Q179" s="10"/>
      <c r="R179" s="11"/>
      <c r="S179" s="11"/>
      <c r="T179" s="26"/>
      <c r="U179" s="28">
        <f t="shared" si="3"/>
        <v>0.57347682119205301</v>
      </c>
    </row>
    <row r="180" spans="2:21" ht="16.5" hidden="1" thickBot="1" x14ac:dyDescent="0.3">
      <c r="B180" s="12"/>
      <c r="C180" s="19">
        <v>408.98</v>
      </c>
      <c r="D180" s="20">
        <v>28.57</v>
      </c>
      <c r="E180" s="20">
        <v>39.234999999999999</v>
      </c>
      <c r="F180" s="20">
        <v>39.966000000000001</v>
      </c>
      <c r="G180" s="20">
        <v>4.51</v>
      </c>
      <c r="H180" s="20">
        <f t="shared" si="4"/>
        <v>31.327625000000005</v>
      </c>
      <c r="I180" s="5"/>
      <c r="J180" s="19">
        <v>307.65960000000001</v>
      </c>
      <c r="K180" s="20">
        <v>31.190200000000001</v>
      </c>
      <c r="L180" s="20">
        <v>39.914400000000001</v>
      </c>
      <c r="M180" s="20">
        <v>40.7776</v>
      </c>
      <c r="N180" s="20">
        <v>6.5204000000000004</v>
      </c>
      <c r="O180" s="20">
        <f t="shared" si="5"/>
        <v>33.479149999999997</v>
      </c>
      <c r="P180" s="7"/>
      <c r="Q180" s="13"/>
      <c r="R180" s="14"/>
      <c r="S180" s="14"/>
      <c r="T180" s="27"/>
      <c r="U180" s="28">
        <f t="shared" si="3"/>
        <v>0.44576496674057664</v>
      </c>
    </row>
    <row r="181" spans="2:21" hidden="1" x14ac:dyDescent="0.25">
      <c r="B181" s="6" t="s">
        <v>127</v>
      </c>
      <c r="C181" s="15">
        <v>2182.98</v>
      </c>
      <c r="D181" s="16">
        <v>36.375</v>
      </c>
      <c r="E181" s="16">
        <v>41.728999999999999</v>
      </c>
      <c r="F181" s="16">
        <v>40.045999999999999</v>
      </c>
      <c r="G181" s="16">
        <v>2.99</v>
      </c>
      <c r="H181" s="16">
        <f t="shared" si="4"/>
        <v>37.503124999999997</v>
      </c>
      <c r="I181" s="5"/>
      <c r="J181" s="15">
        <v>1543.4384</v>
      </c>
      <c r="K181" s="16">
        <v>35.357799999999997</v>
      </c>
      <c r="L181" s="16">
        <v>40.7759</v>
      </c>
      <c r="M181" s="16">
        <v>38.824199999999998</v>
      </c>
      <c r="N181" s="16">
        <v>3.3481000000000001</v>
      </c>
      <c r="O181" s="16">
        <f t="shared" si="5"/>
        <v>36.468362499999998</v>
      </c>
      <c r="P181" s="7"/>
      <c r="Q181" s="8">
        <f>bdrate(C181:C184,D181:D184,J181:J184,K181:K184)</f>
        <v>-0.27593893175089024</v>
      </c>
      <c r="R181" s="8">
        <f>bdrate(C181:C184,E181:E184,J181:J184,L181:L184)</f>
        <v>-6.0013708568973256E-2</v>
      </c>
      <c r="S181" s="8">
        <f>bdrate(C181:C184,F181:F184,J181:J184,M181:M184)</f>
        <v>-1.5293666149780227E-2</v>
      </c>
      <c r="T181" s="25">
        <f>bdrate(C181:C184,H181:H184,J181:J184,O181:O184)</f>
        <v>-0.23782491692251628</v>
      </c>
      <c r="U181" s="28">
        <f t="shared" si="3"/>
        <v>0.11976588628762537</v>
      </c>
    </row>
    <row r="182" spans="2:21" hidden="1" x14ac:dyDescent="0.25">
      <c r="B182" s="9"/>
      <c r="C182" s="17">
        <v>1454.34</v>
      </c>
      <c r="D182" s="18">
        <v>34.203000000000003</v>
      </c>
      <c r="E182" s="18">
        <v>40.442999999999998</v>
      </c>
      <c r="F182" s="18">
        <v>38.658999999999999</v>
      </c>
      <c r="G182" s="18">
        <v>3.27</v>
      </c>
      <c r="H182" s="18">
        <f t="shared" si="4"/>
        <v>35.54</v>
      </c>
      <c r="I182" s="5"/>
      <c r="J182" s="17">
        <v>1028.3656000000001</v>
      </c>
      <c r="K182" s="18">
        <v>33.555300000000003</v>
      </c>
      <c r="L182" s="18">
        <v>39.412599999999998</v>
      </c>
      <c r="M182" s="18">
        <v>37.297199999999997</v>
      </c>
      <c r="N182" s="18">
        <v>3.9146000000000001</v>
      </c>
      <c r="O182" s="18">
        <f t="shared" si="5"/>
        <v>34.755200000000002</v>
      </c>
      <c r="P182" s="7"/>
      <c r="Q182" s="10"/>
      <c r="R182" s="11"/>
      <c r="S182" s="11"/>
      <c r="T182" s="26"/>
      <c r="U182" s="28">
        <f t="shared" si="3"/>
        <v>0.19712538226299697</v>
      </c>
    </row>
    <row r="183" spans="2:21" hidden="1" x14ac:dyDescent="0.25">
      <c r="B183" s="9"/>
      <c r="C183" s="17">
        <v>869.06</v>
      </c>
      <c r="D183" s="18">
        <v>31.492999999999999</v>
      </c>
      <c r="E183" s="18">
        <v>38.834000000000003</v>
      </c>
      <c r="F183" s="18">
        <v>36.859000000000002</v>
      </c>
      <c r="G183" s="18">
        <v>3.79</v>
      </c>
      <c r="H183" s="18">
        <f t="shared" si="4"/>
        <v>33.081375000000001</v>
      </c>
      <c r="I183" s="5"/>
      <c r="J183" s="17">
        <v>616.48040000000003</v>
      </c>
      <c r="K183" s="18">
        <v>31.5136</v>
      </c>
      <c r="L183" s="18">
        <v>37.855800000000002</v>
      </c>
      <c r="M183" s="18">
        <v>35.5306</v>
      </c>
      <c r="N183" s="18">
        <v>4.8048999999999999</v>
      </c>
      <c r="O183" s="18">
        <f t="shared" si="5"/>
        <v>32.808500000000002</v>
      </c>
      <c r="P183" s="7"/>
      <c r="Q183" s="10"/>
      <c r="R183" s="11"/>
      <c r="S183" s="11"/>
      <c r="T183" s="26"/>
      <c r="U183" s="28">
        <f t="shared" si="3"/>
        <v>0.26778364116094983</v>
      </c>
    </row>
    <row r="184" spans="2:21" ht="16.5" hidden="1" thickBot="1" x14ac:dyDescent="0.3">
      <c r="B184" s="12"/>
      <c r="C184" s="19">
        <v>434.43</v>
      </c>
      <c r="D184" s="20">
        <v>27.776</v>
      </c>
      <c r="E184" s="20">
        <v>36.359000000000002</v>
      </c>
      <c r="F184" s="20">
        <v>33.799999999999997</v>
      </c>
      <c r="G184" s="20">
        <v>5.21</v>
      </c>
      <c r="H184" s="20">
        <f t="shared" si="4"/>
        <v>29.601875</v>
      </c>
      <c r="I184" s="5"/>
      <c r="J184" s="19">
        <v>307.72579999999999</v>
      </c>
      <c r="K184" s="20">
        <v>29.1113</v>
      </c>
      <c r="L184" s="20">
        <v>36.092799999999997</v>
      </c>
      <c r="M184" s="20">
        <v>33.410299999999999</v>
      </c>
      <c r="N184" s="20">
        <v>6.6173999999999999</v>
      </c>
      <c r="O184" s="20">
        <f t="shared" si="5"/>
        <v>30.521362500000002</v>
      </c>
      <c r="P184" s="7"/>
      <c r="Q184" s="13"/>
      <c r="R184" s="14"/>
      <c r="S184" s="14"/>
      <c r="T184" s="27"/>
      <c r="U184" s="28">
        <f t="shared" si="3"/>
        <v>0.27013435700575816</v>
      </c>
    </row>
    <row r="185" spans="2:21" hidden="1" x14ac:dyDescent="0.25">
      <c r="B185" s="6" t="s">
        <v>128</v>
      </c>
      <c r="C185" s="15">
        <v>2133.35</v>
      </c>
      <c r="D185" s="16">
        <v>40.225999999999999</v>
      </c>
      <c r="E185" s="16">
        <v>46.826999999999998</v>
      </c>
      <c r="F185" s="16">
        <v>46.720999999999997</v>
      </c>
      <c r="G185" s="16">
        <v>2.8</v>
      </c>
      <c r="H185" s="16">
        <f t="shared" si="4"/>
        <v>41.863</v>
      </c>
      <c r="I185" s="5"/>
      <c r="J185" s="15">
        <v>1544.5932</v>
      </c>
      <c r="K185" s="16">
        <v>40.0246</v>
      </c>
      <c r="L185" s="16">
        <v>47.164200000000001</v>
      </c>
      <c r="M185" s="16">
        <v>47.011699999999998</v>
      </c>
      <c r="N185" s="16">
        <v>2.8403</v>
      </c>
      <c r="O185" s="16">
        <f t="shared" si="5"/>
        <v>41.790437500000003</v>
      </c>
      <c r="P185" s="7"/>
      <c r="Q185" s="8">
        <f>bdrate(C185:C188,D185:D188,J185:J188,K185:K188)</f>
        <v>-0.37304511808209273</v>
      </c>
      <c r="R185" s="8">
        <f>bdrate(C185:C188,E185:E188,J185:J188,L185:L188)</f>
        <v>-0.4585777561738601</v>
      </c>
      <c r="S185" s="8">
        <f>bdrate(C185:C188,F185:F188,J185:J188,M185:M188)</f>
        <v>-0.43193221620787758</v>
      </c>
      <c r="T185" s="25">
        <f>bdrate(C185:C188,H185:H188,J185:J188,O185:O188)</f>
        <v>-0.38771590864042071</v>
      </c>
      <c r="U185" s="28">
        <f t="shared" si="3"/>
        <v>1.4392857142857225E-2</v>
      </c>
    </row>
    <row r="186" spans="2:21" hidden="1" x14ac:dyDescent="0.25">
      <c r="B186" s="9"/>
      <c r="C186" s="17">
        <v>1426.53</v>
      </c>
      <c r="D186" s="18">
        <v>38.781999999999996</v>
      </c>
      <c r="E186" s="18">
        <v>45.548000000000002</v>
      </c>
      <c r="F186" s="18">
        <v>45.411000000000001</v>
      </c>
      <c r="G186" s="18">
        <v>3.08</v>
      </c>
      <c r="H186" s="18">
        <f t="shared" si="4"/>
        <v>40.456375000000001</v>
      </c>
      <c r="I186" s="5"/>
      <c r="J186" s="17">
        <v>1027.2402999999999</v>
      </c>
      <c r="K186" s="18">
        <v>38.8645</v>
      </c>
      <c r="L186" s="18">
        <v>46.174599999999998</v>
      </c>
      <c r="M186" s="18">
        <v>45.950699999999998</v>
      </c>
      <c r="N186" s="18">
        <v>3.4508000000000001</v>
      </c>
      <c r="O186" s="18">
        <f t="shared" si="5"/>
        <v>40.664037499999999</v>
      </c>
      <c r="P186" s="7"/>
      <c r="Q186" s="10"/>
      <c r="R186" s="11"/>
      <c r="S186" s="11"/>
      <c r="T186" s="26"/>
      <c r="U186" s="28">
        <f t="shared" si="3"/>
        <v>0.12038961038961039</v>
      </c>
    </row>
    <row r="187" spans="2:21" hidden="1" x14ac:dyDescent="0.25">
      <c r="B187" s="9"/>
      <c r="C187" s="17">
        <v>860.59</v>
      </c>
      <c r="D187" s="18">
        <v>36.590000000000003</v>
      </c>
      <c r="E187" s="18">
        <v>43.787999999999997</v>
      </c>
      <c r="F187" s="18">
        <v>43.566000000000003</v>
      </c>
      <c r="G187" s="18">
        <v>3.55</v>
      </c>
      <c r="H187" s="18">
        <f t="shared" si="4"/>
        <v>38.361750000000001</v>
      </c>
      <c r="I187" s="5"/>
      <c r="J187" s="17">
        <v>615.01750000000004</v>
      </c>
      <c r="K187" s="18">
        <v>37.231499999999997</v>
      </c>
      <c r="L187" s="18">
        <v>44.772500000000001</v>
      </c>
      <c r="M187" s="18">
        <v>44.4251</v>
      </c>
      <c r="N187" s="18">
        <v>4.4142999999999999</v>
      </c>
      <c r="O187" s="18">
        <f t="shared" si="5"/>
        <v>39.073324999999997</v>
      </c>
      <c r="P187" s="7"/>
      <c r="Q187" s="10"/>
      <c r="R187" s="11"/>
      <c r="S187" s="11"/>
      <c r="T187" s="26"/>
      <c r="U187" s="28">
        <f t="shared" si="3"/>
        <v>0.24346478873239441</v>
      </c>
    </row>
    <row r="188" spans="2:21" ht="16.5" hidden="1" thickBot="1" x14ac:dyDescent="0.3">
      <c r="B188" s="12"/>
      <c r="C188" s="19">
        <v>433.29</v>
      </c>
      <c r="D188" s="20">
        <v>32.390999999999998</v>
      </c>
      <c r="E188" s="20">
        <v>41.030999999999999</v>
      </c>
      <c r="F188" s="20">
        <v>40.793999999999997</v>
      </c>
      <c r="G188" s="20">
        <v>5.15</v>
      </c>
      <c r="H188" s="20">
        <f t="shared" si="4"/>
        <v>34.521374999999999</v>
      </c>
      <c r="I188" s="5"/>
      <c r="J188" s="19">
        <v>306.33339999999998</v>
      </c>
      <c r="K188" s="20">
        <v>34.688299999999998</v>
      </c>
      <c r="L188" s="20">
        <v>42.737400000000001</v>
      </c>
      <c r="M188" s="20">
        <v>42.220300000000002</v>
      </c>
      <c r="N188" s="20">
        <v>6.2205000000000004</v>
      </c>
      <c r="O188" s="20">
        <f t="shared" si="5"/>
        <v>36.635937499999997</v>
      </c>
      <c r="P188" s="7"/>
      <c r="Q188" s="13"/>
      <c r="R188" s="14"/>
      <c r="S188" s="14"/>
      <c r="T188" s="27"/>
      <c r="U188" s="28">
        <f t="shared" si="3"/>
        <v>0.20786407766990289</v>
      </c>
    </row>
    <row r="189" spans="2:21" hidden="1" x14ac:dyDescent="0.25">
      <c r="B189" s="6" t="s">
        <v>129</v>
      </c>
      <c r="C189" s="29">
        <v>2093.79</v>
      </c>
      <c r="D189" s="30">
        <v>46.835999999999999</v>
      </c>
      <c r="E189" s="30">
        <v>51.984000000000002</v>
      </c>
      <c r="F189" s="30">
        <v>51.823</v>
      </c>
      <c r="G189" s="16">
        <v>3.56</v>
      </c>
      <c r="H189" s="16">
        <f t="shared" si="4"/>
        <v>48.10287499999999</v>
      </c>
      <c r="I189" s="5"/>
      <c r="J189" s="29">
        <v>1538.421</v>
      </c>
      <c r="K189" s="30">
        <v>46.750799999999998</v>
      </c>
      <c r="L189" s="30">
        <v>52.040900000000001</v>
      </c>
      <c r="M189" s="30">
        <v>51.817599999999999</v>
      </c>
      <c r="N189" s="16">
        <v>2.94</v>
      </c>
      <c r="O189" s="16">
        <f t="shared" si="5"/>
        <v>48.045412499999998</v>
      </c>
      <c r="P189" s="7"/>
      <c r="Q189" s="8">
        <f>bdrate(C189:C192,D189:D192,J189:J192,K189:K192)</f>
        <v>-0.36023345069682622</v>
      </c>
      <c r="R189" s="8">
        <f>bdrate(C189:C192,E189:E192,J189:J192,L189:L192)</f>
        <v>-0.46008660132780688</v>
      </c>
      <c r="S189" s="8">
        <f>bdrate(C189:C192,F189:F192,J189:J192,M189:M192)</f>
        <v>-0.42705398857131593</v>
      </c>
      <c r="T189" s="25">
        <f>bdrate(C189:C192,H189:H192,J189:J192,O189:O192)</f>
        <v>-0.37952420416656185</v>
      </c>
      <c r="U189" s="28">
        <f t="shared" si="3"/>
        <v>-0.17415730337078655</v>
      </c>
    </row>
    <row r="190" spans="2:21" hidden="1" x14ac:dyDescent="0.25">
      <c r="B190" s="9"/>
      <c r="C190" s="31">
        <v>1397.83</v>
      </c>
      <c r="D190" s="32">
        <v>46.015999999999998</v>
      </c>
      <c r="E190" s="32">
        <v>51.167999999999999</v>
      </c>
      <c r="F190" s="32">
        <v>51.01</v>
      </c>
      <c r="G190" s="18">
        <v>3.8</v>
      </c>
      <c r="H190" s="18">
        <f t="shared" si="4"/>
        <v>47.28425</v>
      </c>
      <c r="I190" s="5"/>
      <c r="J190" s="31">
        <v>1023.0072</v>
      </c>
      <c r="K190" s="32">
        <v>46.0871</v>
      </c>
      <c r="L190" s="32">
        <v>51.485599999999998</v>
      </c>
      <c r="M190" s="32">
        <v>51.276499999999999</v>
      </c>
      <c r="N190" s="18">
        <v>3.6655000000000002</v>
      </c>
      <c r="O190" s="18">
        <f t="shared" si="5"/>
        <v>47.410587499999998</v>
      </c>
      <c r="P190" s="7"/>
      <c r="Q190" s="10"/>
      <c r="R190" s="11"/>
      <c r="S190" s="11"/>
      <c r="T190" s="26"/>
      <c r="U190" s="28">
        <f t="shared" si="3"/>
        <v>-3.5394736842105166E-2</v>
      </c>
    </row>
    <row r="191" spans="2:21" hidden="1" x14ac:dyDescent="0.25">
      <c r="B191" s="9"/>
      <c r="C191" s="31">
        <v>841.79</v>
      </c>
      <c r="D191" s="32">
        <v>44.892000000000003</v>
      </c>
      <c r="E191" s="32">
        <v>50.122</v>
      </c>
      <c r="F191" s="32">
        <v>50.215000000000003</v>
      </c>
      <c r="G191" s="18">
        <v>4.21</v>
      </c>
      <c r="H191" s="18">
        <f t="shared" si="4"/>
        <v>46.21112500000001</v>
      </c>
      <c r="I191" s="5"/>
      <c r="J191" s="31">
        <v>611.93020000000001</v>
      </c>
      <c r="K191" s="32">
        <v>45.2136</v>
      </c>
      <c r="L191" s="32">
        <v>50.801299999999998</v>
      </c>
      <c r="M191" s="32">
        <v>50.653500000000001</v>
      </c>
      <c r="N191" s="18">
        <v>4.8304999999999998</v>
      </c>
      <c r="O191" s="18">
        <f t="shared" si="5"/>
        <v>46.59205</v>
      </c>
      <c r="P191" s="7"/>
      <c r="Q191" s="10"/>
      <c r="R191" s="11"/>
      <c r="S191" s="11"/>
      <c r="T191" s="26"/>
      <c r="U191" s="28">
        <f t="shared" si="3"/>
        <v>0.14738717339667454</v>
      </c>
    </row>
    <row r="192" spans="2:21" ht="16.5" hidden="1" thickBot="1" x14ac:dyDescent="0.3">
      <c r="B192" s="12"/>
      <c r="C192" s="33">
        <v>423.16</v>
      </c>
      <c r="D192" s="34">
        <v>42.688000000000002</v>
      </c>
      <c r="E192" s="34">
        <v>47.904000000000003</v>
      </c>
      <c r="F192" s="34">
        <v>48.561</v>
      </c>
      <c r="G192" s="20">
        <v>5.33</v>
      </c>
      <c r="H192" s="20">
        <f t="shared" si="4"/>
        <v>44.074125000000002</v>
      </c>
      <c r="I192" s="5"/>
      <c r="J192" s="33">
        <v>300.596</v>
      </c>
      <c r="K192" s="34">
        <v>43.677100000000003</v>
      </c>
      <c r="L192" s="34">
        <v>49.570099999999996</v>
      </c>
      <c r="M192" s="34">
        <v>49.644199999999998</v>
      </c>
      <c r="N192" s="20">
        <v>7.4199000000000002</v>
      </c>
      <c r="O192" s="20">
        <f t="shared" si="5"/>
        <v>45.159612500000001</v>
      </c>
      <c r="P192" s="7"/>
      <c r="Q192" s="13"/>
      <c r="R192" s="14"/>
      <c r="S192" s="14"/>
      <c r="T192" s="27"/>
      <c r="U192" s="28">
        <f t="shared" si="3"/>
        <v>0.39210131332082554</v>
      </c>
    </row>
    <row r="193" spans="1:21" hidden="1" x14ac:dyDescent="0.25">
      <c r="A193" s="6" t="s">
        <v>100</v>
      </c>
      <c r="B193" s="6" t="s">
        <v>77</v>
      </c>
      <c r="C193" s="15">
        <v>974.43</v>
      </c>
      <c r="D193" s="16">
        <v>41.545000000000002</v>
      </c>
      <c r="E193" s="16">
        <v>45.906999999999996</v>
      </c>
      <c r="F193" s="16">
        <v>46.494999999999997</v>
      </c>
      <c r="G193" s="16">
        <v>14.82</v>
      </c>
      <c r="H193" s="16">
        <f t="shared" si="4"/>
        <v>42.709000000000003</v>
      </c>
      <c r="I193" s="5"/>
      <c r="J193" s="15">
        <v>836.43719999999996</v>
      </c>
      <c r="K193" s="16">
        <v>41.854199999999999</v>
      </c>
      <c r="L193" s="16">
        <v>46.475700000000003</v>
      </c>
      <c r="M193" s="16">
        <v>47.0899</v>
      </c>
      <c r="N193" s="16">
        <v>7.2568999999999999</v>
      </c>
      <c r="O193" s="16">
        <f t="shared" si="5"/>
        <v>43.086350000000003</v>
      </c>
      <c r="P193" s="7"/>
      <c r="Q193" s="8">
        <f>bdrate(C193:C196,D193:D196,J193:J196,K193:K196)</f>
        <v>-0.23855529066648584</v>
      </c>
      <c r="R193" s="8">
        <f>bdrate(C193:C196,E193:E196,J193:J196,L193:L196)</f>
        <v>-0.28461736807627835</v>
      </c>
      <c r="S193" s="8">
        <f>bdrate(C193:C196,F193:F196,J193:J196,M193:M196)</f>
        <v>-0.28351619897482372</v>
      </c>
      <c r="T193" s="25">
        <f>bdrate(C193:C196,H193:H196,J193:J196,O193:O196)</f>
        <v>-0.24854756635974784</v>
      </c>
      <c r="U193" s="28">
        <f t="shared" si="3"/>
        <v>-0.51033063427800274</v>
      </c>
    </row>
    <row r="194" spans="1:21" hidden="1" x14ac:dyDescent="0.25">
      <c r="A194" s="9"/>
      <c r="B194" s="9"/>
      <c r="C194" s="17">
        <v>611.66999999999996</v>
      </c>
      <c r="D194" s="18">
        <v>39.573</v>
      </c>
      <c r="E194" s="18">
        <v>44.31</v>
      </c>
      <c r="F194" s="18">
        <v>44.863</v>
      </c>
      <c r="G194" s="18">
        <v>15.47</v>
      </c>
      <c r="H194" s="18">
        <f t="shared" si="4"/>
        <v>40.826374999999999</v>
      </c>
      <c r="I194" s="5"/>
      <c r="J194" s="17">
        <v>521.80079999999998</v>
      </c>
      <c r="K194" s="18">
        <v>39.933900000000001</v>
      </c>
      <c r="L194" s="18">
        <v>44.885399999999997</v>
      </c>
      <c r="M194" s="18">
        <v>45.512300000000003</v>
      </c>
      <c r="N194" s="18">
        <v>8.9091000000000005</v>
      </c>
      <c r="O194" s="18">
        <f t="shared" si="5"/>
        <v>41.250137500000001</v>
      </c>
      <c r="P194" s="7"/>
      <c r="Q194" s="10"/>
      <c r="R194" s="11"/>
      <c r="S194" s="11"/>
      <c r="T194" s="26"/>
      <c r="U194" s="28">
        <f t="shared" si="3"/>
        <v>-0.42410471881060113</v>
      </c>
    </row>
    <row r="195" spans="1:21" hidden="1" x14ac:dyDescent="0.25">
      <c r="B195" s="9"/>
      <c r="C195" s="17">
        <v>365.82</v>
      </c>
      <c r="D195" s="18">
        <v>37.241999999999997</v>
      </c>
      <c r="E195" s="18">
        <v>42.405000000000001</v>
      </c>
      <c r="F195" s="18">
        <v>42.945999999999998</v>
      </c>
      <c r="G195" s="18">
        <v>17</v>
      </c>
      <c r="H195" s="18">
        <f t="shared" si="4"/>
        <v>38.600375</v>
      </c>
      <c r="I195" s="5"/>
      <c r="J195" s="17">
        <v>310.66860000000003</v>
      </c>
      <c r="K195" s="18">
        <v>37.724200000000003</v>
      </c>
      <c r="L195" s="18">
        <v>43.016800000000003</v>
      </c>
      <c r="M195" s="18">
        <v>43.549599999999998</v>
      </c>
      <c r="N195" s="18">
        <v>11.195399999999999</v>
      </c>
      <c r="O195" s="18">
        <f t="shared" si="5"/>
        <v>39.113950000000003</v>
      </c>
      <c r="P195" s="7"/>
      <c r="Q195" s="10"/>
      <c r="R195" s="11"/>
      <c r="S195" s="11"/>
      <c r="T195" s="26"/>
      <c r="U195" s="28">
        <f t="shared" si="3"/>
        <v>-0.34144705882352944</v>
      </c>
    </row>
    <row r="196" spans="1:21" ht="16.5" hidden="1" thickBot="1" x14ac:dyDescent="0.3">
      <c r="B196" s="12"/>
      <c r="C196" s="19">
        <v>182.04</v>
      </c>
      <c r="D196" s="20">
        <v>33.595999999999997</v>
      </c>
      <c r="E196" s="20">
        <v>40.076999999999998</v>
      </c>
      <c r="F196" s="20">
        <v>40.491999999999997</v>
      </c>
      <c r="G196" s="20">
        <v>21.73</v>
      </c>
      <c r="H196" s="20">
        <f t="shared" si="4"/>
        <v>35.268124999999998</v>
      </c>
      <c r="I196" s="5"/>
      <c r="J196" s="19">
        <v>153.03479999999999</v>
      </c>
      <c r="K196" s="20">
        <v>34.625599999999999</v>
      </c>
      <c r="L196" s="20">
        <v>40.694800000000001</v>
      </c>
      <c r="M196" s="20">
        <v>41.06</v>
      </c>
      <c r="N196" s="20">
        <v>15.1837</v>
      </c>
      <c r="O196" s="20">
        <f t="shared" si="5"/>
        <v>36.188549999999999</v>
      </c>
      <c r="P196" s="7"/>
      <c r="Q196" s="13"/>
      <c r="R196" s="14"/>
      <c r="S196" s="14"/>
      <c r="T196" s="27"/>
      <c r="U196" s="28">
        <f t="shared" si="3"/>
        <v>-0.30125632765761623</v>
      </c>
    </row>
    <row r="197" spans="1:21" hidden="1" x14ac:dyDescent="0.25">
      <c r="B197" s="6" t="s">
        <v>78</v>
      </c>
      <c r="C197" s="15">
        <v>1011.85</v>
      </c>
      <c r="D197" s="16">
        <v>43.41</v>
      </c>
      <c r="E197" s="16">
        <v>47.954999999999998</v>
      </c>
      <c r="F197" s="16">
        <v>48.552999999999997</v>
      </c>
      <c r="G197" s="16">
        <v>18.5</v>
      </c>
      <c r="H197" s="16">
        <f t="shared" si="4"/>
        <v>44.620999999999995</v>
      </c>
      <c r="I197" s="5"/>
      <c r="J197" s="15">
        <v>851.91660000000002</v>
      </c>
      <c r="K197" s="16">
        <v>43.680300000000003</v>
      </c>
      <c r="L197" s="16">
        <v>48.572699999999998</v>
      </c>
      <c r="M197" s="16">
        <v>49.140599999999999</v>
      </c>
      <c r="N197" s="16">
        <v>8.3597999999999999</v>
      </c>
      <c r="O197" s="16">
        <f t="shared" si="5"/>
        <v>44.974387500000006</v>
      </c>
      <c r="P197" s="7"/>
      <c r="Q197" s="8">
        <f>bdrate(C197:C200,D197:D200,J197:J200,K197:K200)</f>
        <v>-0.24936855910461431</v>
      </c>
      <c r="R197" s="8">
        <f>bdrate(C197:C200,E197:E200,J197:J200,L197:L200)</f>
        <v>-0.37714876274541775</v>
      </c>
      <c r="S197" s="8">
        <f>bdrate(C197:C200,F197:F200,J197:J200,M197:M200)</f>
        <v>-0.3556938039493277</v>
      </c>
      <c r="T197" s="25">
        <f>bdrate(C197:C200,H197:H200,J197:J200,O197:O200)</f>
        <v>-0.27686922872294628</v>
      </c>
      <c r="U197" s="28">
        <f t="shared" si="3"/>
        <v>-0.54811891891891895</v>
      </c>
    </row>
    <row r="198" spans="1:21" hidden="1" x14ac:dyDescent="0.25">
      <c r="B198" s="9"/>
      <c r="C198" s="17">
        <v>628.83000000000004</v>
      </c>
      <c r="D198" s="18">
        <v>42.034999999999997</v>
      </c>
      <c r="E198" s="18">
        <v>46.664000000000001</v>
      </c>
      <c r="F198" s="18">
        <v>47.439</v>
      </c>
      <c r="G198" s="18">
        <v>21.02</v>
      </c>
      <c r="H198" s="18">
        <f t="shared" si="4"/>
        <v>43.289124999999999</v>
      </c>
      <c r="I198" s="5"/>
      <c r="J198" s="17">
        <v>530.57640000000004</v>
      </c>
      <c r="K198" s="18">
        <v>42.391800000000003</v>
      </c>
      <c r="L198" s="18">
        <v>47.498899999999999</v>
      </c>
      <c r="M198" s="18">
        <v>48.192999999999998</v>
      </c>
      <c r="N198" s="18">
        <v>10.2677</v>
      </c>
      <c r="O198" s="18">
        <f t="shared" si="5"/>
        <v>43.755337500000003</v>
      </c>
      <c r="P198" s="7"/>
      <c r="Q198" s="10"/>
      <c r="R198" s="11"/>
      <c r="S198" s="11"/>
      <c r="T198" s="26"/>
      <c r="U198" s="28">
        <f t="shared" si="3"/>
        <v>-0.51152711703139864</v>
      </c>
    </row>
    <row r="199" spans="1:21" hidden="1" x14ac:dyDescent="0.25">
      <c r="B199" s="9"/>
      <c r="C199" s="17">
        <v>374.97</v>
      </c>
      <c r="D199" s="18">
        <v>40.295999999999999</v>
      </c>
      <c r="E199" s="18">
        <v>45.063000000000002</v>
      </c>
      <c r="F199" s="18">
        <v>46.069000000000003</v>
      </c>
      <c r="G199" s="18">
        <v>23.61</v>
      </c>
      <c r="H199" s="18">
        <f t="shared" si="4"/>
        <v>41.613500000000002</v>
      </c>
      <c r="I199" s="5"/>
      <c r="J199" s="17">
        <v>314.05500000000001</v>
      </c>
      <c r="K199" s="18">
        <v>40.695999999999998</v>
      </c>
      <c r="L199" s="18">
        <v>46.036799999999999</v>
      </c>
      <c r="M199" s="18">
        <v>46.813800000000001</v>
      </c>
      <c r="N199" s="18">
        <v>13.223599999999999</v>
      </c>
      <c r="O199" s="18">
        <f t="shared" si="5"/>
        <v>42.128325000000004</v>
      </c>
      <c r="P199" s="7"/>
      <c r="Q199" s="10"/>
      <c r="R199" s="11"/>
      <c r="S199" s="11"/>
      <c r="T199" s="26"/>
      <c r="U199" s="28">
        <f t="shared" si="3"/>
        <v>-0.43991529013130032</v>
      </c>
    </row>
    <row r="200" spans="1:21" ht="16.5" hidden="1" thickBot="1" x14ac:dyDescent="0.3">
      <c r="B200" s="12"/>
      <c r="C200" s="19">
        <v>185.27</v>
      </c>
      <c r="D200" s="20">
        <v>37.401000000000003</v>
      </c>
      <c r="E200" s="20">
        <v>42.603999999999999</v>
      </c>
      <c r="F200" s="20">
        <v>43.697000000000003</v>
      </c>
      <c r="G200" s="20">
        <v>26.38</v>
      </c>
      <c r="H200" s="20">
        <f t="shared" si="4"/>
        <v>38.838374999999999</v>
      </c>
      <c r="I200" s="5"/>
      <c r="J200" s="19">
        <v>154.1832</v>
      </c>
      <c r="K200" s="20">
        <v>37.852400000000003</v>
      </c>
      <c r="L200" s="20">
        <v>43.541699999999999</v>
      </c>
      <c r="M200" s="20">
        <v>44.448999999999998</v>
      </c>
      <c r="N200" s="20">
        <v>18.8537</v>
      </c>
      <c r="O200" s="20">
        <f t="shared" si="5"/>
        <v>39.388137500000006</v>
      </c>
      <c r="P200" s="7"/>
      <c r="Q200" s="13"/>
      <c r="R200" s="14"/>
      <c r="S200" s="14"/>
      <c r="T200" s="27"/>
      <c r="U200" s="28">
        <f t="shared" si="3"/>
        <v>-0.285303260045489</v>
      </c>
    </row>
    <row r="201" spans="1:21" hidden="1" x14ac:dyDescent="0.25">
      <c r="B201" s="6" t="s">
        <v>79</v>
      </c>
      <c r="C201" s="15">
        <v>1282.45</v>
      </c>
      <c r="D201" s="16">
        <v>41.756</v>
      </c>
      <c r="E201" s="16">
        <v>48.033000000000001</v>
      </c>
      <c r="F201" s="16">
        <v>47.734999999999999</v>
      </c>
      <c r="G201" s="16">
        <v>10.34</v>
      </c>
      <c r="H201" s="16">
        <f t="shared" si="4"/>
        <v>43.288000000000004</v>
      </c>
      <c r="I201" s="5"/>
      <c r="J201" s="15">
        <v>1029.5690999999999</v>
      </c>
      <c r="K201" s="16">
        <v>41.716799999999999</v>
      </c>
      <c r="L201" s="16">
        <v>48.110799999999998</v>
      </c>
      <c r="M201" s="16">
        <v>47.702300000000001</v>
      </c>
      <c r="N201" s="16">
        <v>7.1837999999999997</v>
      </c>
      <c r="O201" s="16">
        <f t="shared" si="5"/>
        <v>43.264237499999993</v>
      </c>
      <c r="P201" s="7"/>
      <c r="Q201" s="8">
        <f>bdrate(C201:C204,D201:D204,J201:J204,K201:K204)</f>
        <v>-0.19860662755185088</v>
      </c>
      <c r="R201" s="8">
        <f>bdrate(C201:C204,E201:E204,J201:J204,L201:L204)</f>
        <v>-0.20474986163724773</v>
      </c>
      <c r="S201" s="8">
        <f>bdrate(C201:C204,F201:F204,J201:J204,M201:M204)</f>
        <v>-0.156400503599604</v>
      </c>
      <c r="T201" s="25">
        <f>bdrate(C201:C204,H201:H204,J201:J204,O201:O204)</f>
        <v>-0.19541653793935609</v>
      </c>
      <c r="U201" s="28">
        <f t="shared" si="3"/>
        <v>-0.30524177949709869</v>
      </c>
    </row>
    <row r="202" spans="1:21" hidden="1" x14ac:dyDescent="0.25">
      <c r="B202" s="9"/>
      <c r="C202" s="17">
        <v>768.79</v>
      </c>
      <c r="D202" s="18">
        <v>40.853999999999999</v>
      </c>
      <c r="E202" s="18">
        <v>47.497999999999998</v>
      </c>
      <c r="F202" s="18">
        <v>47.274000000000001</v>
      </c>
      <c r="G202" s="18">
        <v>11.76</v>
      </c>
      <c r="H202" s="18">
        <f t="shared" si="4"/>
        <v>42.487000000000002</v>
      </c>
      <c r="I202" s="5"/>
      <c r="J202" s="17">
        <v>611.86580000000004</v>
      </c>
      <c r="K202" s="18">
        <v>40.870199999999997</v>
      </c>
      <c r="L202" s="18">
        <v>47.620399999999997</v>
      </c>
      <c r="M202" s="18">
        <v>47.284599999999998</v>
      </c>
      <c r="N202" s="18">
        <v>9.2161000000000008</v>
      </c>
      <c r="O202" s="18">
        <f t="shared" si="5"/>
        <v>42.515774999999998</v>
      </c>
      <c r="P202" s="7"/>
      <c r="Q202" s="10"/>
      <c r="R202" s="11"/>
      <c r="S202" s="11"/>
      <c r="T202" s="26"/>
      <c r="U202" s="28">
        <f t="shared" si="3"/>
        <v>-0.21631802721088428</v>
      </c>
    </row>
    <row r="203" spans="1:21" hidden="1" x14ac:dyDescent="0.25">
      <c r="B203" s="9"/>
      <c r="C203" s="17">
        <v>511.67</v>
      </c>
      <c r="D203" s="18">
        <v>40.052999999999997</v>
      </c>
      <c r="E203" s="18">
        <v>46.985999999999997</v>
      </c>
      <c r="F203" s="18">
        <v>46.868000000000002</v>
      </c>
      <c r="G203" s="18">
        <v>13.31</v>
      </c>
      <c r="H203" s="18">
        <f t="shared" si="4"/>
        <v>41.771499999999996</v>
      </c>
      <c r="I203" s="5"/>
      <c r="J203" s="17">
        <v>405.04230000000001</v>
      </c>
      <c r="K203" s="18">
        <v>40.034100000000002</v>
      </c>
      <c r="L203" s="18">
        <v>46.981499999999997</v>
      </c>
      <c r="M203" s="18">
        <v>46.808100000000003</v>
      </c>
      <c r="N203" s="18">
        <v>11.281700000000001</v>
      </c>
      <c r="O203" s="18">
        <f t="shared" si="5"/>
        <v>41.749275000000004</v>
      </c>
      <c r="P203" s="7"/>
      <c r="Q203" s="10"/>
      <c r="R203" s="11"/>
      <c r="S203" s="11"/>
      <c r="T203" s="26"/>
      <c r="U203" s="28">
        <f t="shared" si="3"/>
        <v>-0.152389181066867</v>
      </c>
    </row>
    <row r="204" spans="1:21" ht="16.5" hidden="1" thickBot="1" x14ac:dyDescent="0.3">
      <c r="B204" s="12"/>
      <c r="C204" s="19">
        <v>254.3</v>
      </c>
      <c r="D204" s="20">
        <v>38.11</v>
      </c>
      <c r="E204" s="20">
        <v>45.844000000000001</v>
      </c>
      <c r="F204" s="20">
        <v>45.923999999999999</v>
      </c>
      <c r="G204" s="20">
        <v>16.39</v>
      </c>
      <c r="H204" s="20">
        <f t="shared" si="4"/>
        <v>40.0535</v>
      </c>
      <c r="I204" s="5"/>
      <c r="J204" s="19">
        <v>201.971</v>
      </c>
      <c r="K204" s="20">
        <v>38.035899999999998</v>
      </c>
      <c r="L204" s="20">
        <v>45.507199999999997</v>
      </c>
      <c r="M204" s="20">
        <v>45.546500000000002</v>
      </c>
      <c r="N204" s="20">
        <v>15.9656</v>
      </c>
      <c r="O204" s="20">
        <f t="shared" si="5"/>
        <v>39.908637499999998</v>
      </c>
      <c r="P204" s="7"/>
      <c r="Q204" s="13"/>
      <c r="R204" s="14"/>
      <c r="S204" s="14"/>
      <c r="T204" s="27"/>
      <c r="U204" s="28">
        <f t="shared" si="3"/>
        <v>-2.5893837705918261E-2</v>
      </c>
    </row>
    <row r="205" spans="1:21" hidden="1" x14ac:dyDescent="0.25">
      <c r="B205" s="6" t="s">
        <v>80</v>
      </c>
      <c r="C205" s="15">
        <v>1292.33</v>
      </c>
      <c r="D205" s="16">
        <v>40.308999999999997</v>
      </c>
      <c r="E205" s="16">
        <v>46.798000000000002</v>
      </c>
      <c r="F205" s="16">
        <v>46.622999999999998</v>
      </c>
      <c r="G205" s="16">
        <v>6.57</v>
      </c>
      <c r="H205" s="16">
        <f t="shared" si="4"/>
        <v>41.909374999999997</v>
      </c>
      <c r="I205" s="5"/>
      <c r="J205" s="15">
        <v>1031.3894</v>
      </c>
      <c r="K205" s="16">
        <v>40.6068</v>
      </c>
      <c r="L205" s="16">
        <v>47.211199999999998</v>
      </c>
      <c r="M205" s="16">
        <v>46.985500000000002</v>
      </c>
      <c r="N205" s="16">
        <v>5.04</v>
      </c>
      <c r="O205" s="16">
        <f t="shared" si="5"/>
        <v>42.229687500000004</v>
      </c>
      <c r="P205" s="7"/>
      <c r="Q205" s="8">
        <f>bdrate(C205:C208,D205:D208,J205:J208,K205:K208)</f>
        <v>-0.33419740379204432</v>
      </c>
      <c r="R205" s="8">
        <f>bdrate(C205:C208,E205:E208,J205:J208,L205:L208)</f>
        <v>-0.4236700278667116</v>
      </c>
      <c r="S205" s="8">
        <f>bdrate(C205:C208,F205:F208,J205:J208,M205:M208)</f>
        <v>-0.42496302683837206</v>
      </c>
      <c r="T205" s="25">
        <f>bdrate(C205:C208,H205:H208,J205:J208,O205:O208)</f>
        <v>-0.35028465529532982</v>
      </c>
      <c r="U205" s="28">
        <f t="shared" si="3"/>
        <v>-0.23287671232876714</v>
      </c>
    </row>
    <row r="206" spans="1:21" hidden="1" x14ac:dyDescent="0.25">
      <c r="B206" s="9"/>
      <c r="C206" s="17">
        <v>769.98</v>
      </c>
      <c r="D206" s="18">
        <v>38.558</v>
      </c>
      <c r="E206" s="18">
        <v>45.671999999999997</v>
      </c>
      <c r="F206" s="18">
        <v>45.542000000000002</v>
      </c>
      <c r="G206" s="18">
        <v>6.78</v>
      </c>
      <c r="H206" s="18">
        <f t="shared" si="4"/>
        <v>40.320250000000001</v>
      </c>
      <c r="I206" s="5"/>
      <c r="J206" s="17">
        <v>615.22940000000006</v>
      </c>
      <c r="K206" s="18">
        <v>39.036799999999999</v>
      </c>
      <c r="L206" s="18">
        <v>46.280700000000003</v>
      </c>
      <c r="M206" s="18">
        <v>46.139200000000002</v>
      </c>
      <c r="N206" s="18">
        <v>6.4782999999999999</v>
      </c>
      <c r="O206" s="18">
        <f t="shared" si="5"/>
        <v>40.830087500000005</v>
      </c>
      <c r="P206" s="7"/>
      <c r="Q206" s="10"/>
      <c r="R206" s="11"/>
      <c r="S206" s="11"/>
      <c r="T206" s="26"/>
      <c r="U206" s="28">
        <f t="shared" si="3"/>
        <v>-4.4498525073746353E-2</v>
      </c>
    </row>
    <row r="207" spans="1:21" hidden="1" x14ac:dyDescent="0.25">
      <c r="B207" s="9"/>
      <c r="C207" s="17">
        <v>509.83</v>
      </c>
      <c r="D207" s="18">
        <v>37.024000000000001</v>
      </c>
      <c r="E207" s="18">
        <v>44.701000000000001</v>
      </c>
      <c r="F207" s="18">
        <v>44.594000000000001</v>
      </c>
      <c r="G207" s="18">
        <v>7.65</v>
      </c>
      <c r="H207" s="18">
        <f t="shared" si="4"/>
        <v>38.929875000000003</v>
      </c>
      <c r="I207" s="5"/>
      <c r="J207" s="17">
        <v>407.76080000000002</v>
      </c>
      <c r="K207" s="18">
        <v>37.713299999999997</v>
      </c>
      <c r="L207" s="18">
        <v>45.461799999999997</v>
      </c>
      <c r="M207" s="18">
        <v>45.345599999999997</v>
      </c>
      <c r="N207" s="18">
        <v>7.9024999999999999</v>
      </c>
      <c r="O207" s="18">
        <f t="shared" si="5"/>
        <v>39.635899999999992</v>
      </c>
      <c r="P207" s="7"/>
      <c r="Q207" s="10"/>
      <c r="R207" s="11"/>
      <c r="S207" s="11"/>
      <c r="T207" s="26"/>
      <c r="U207" s="28">
        <f t="shared" si="3"/>
        <v>3.300653594771235E-2</v>
      </c>
    </row>
    <row r="208" spans="1:21" ht="16.5" hidden="1" thickBot="1" x14ac:dyDescent="0.3">
      <c r="B208" s="12"/>
      <c r="C208" s="19">
        <v>251.81</v>
      </c>
      <c r="D208" s="20">
        <v>33.872999999999998</v>
      </c>
      <c r="E208" s="20">
        <v>42.713999999999999</v>
      </c>
      <c r="F208" s="20">
        <v>42.704999999999998</v>
      </c>
      <c r="G208" s="20">
        <v>9.65</v>
      </c>
      <c r="H208" s="20">
        <f t="shared" si="4"/>
        <v>36.082124999999998</v>
      </c>
      <c r="I208" s="5"/>
      <c r="J208" s="19">
        <v>202.3897</v>
      </c>
      <c r="K208" s="20">
        <v>35.276000000000003</v>
      </c>
      <c r="L208" s="20">
        <v>43.984900000000003</v>
      </c>
      <c r="M208" s="20">
        <v>43.874600000000001</v>
      </c>
      <c r="N208" s="20">
        <v>11.068899999999999</v>
      </c>
      <c r="O208" s="20">
        <f t="shared" si="5"/>
        <v>37.439437500000004</v>
      </c>
      <c r="P208" s="7"/>
      <c r="Q208" s="13"/>
      <c r="R208" s="14"/>
      <c r="S208" s="14"/>
      <c r="T208" s="27"/>
      <c r="U208" s="28">
        <f t="shared" si="3"/>
        <v>0.14703626943005169</v>
      </c>
    </row>
    <row r="209" spans="2:21" hidden="1" x14ac:dyDescent="0.25">
      <c r="B209" s="6" t="s">
        <v>81</v>
      </c>
      <c r="C209" s="15">
        <v>1469.13</v>
      </c>
      <c r="D209" s="16">
        <v>43.646999999999998</v>
      </c>
      <c r="E209" s="16">
        <v>44.828000000000003</v>
      </c>
      <c r="F209" s="16">
        <v>45.247999999999998</v>
      </c>
      <c r="G209" s="16">
        <v>8.77</v>
      </c>
      <c r="H209" s="16">
        <f t="shared" si="4"/>
        <v>43.994750000000003</v>
      </c>
      <c r="I209" s="5"/>
      <c r="J209" s="15">
        <v>1072.9952000000001</v>
      </c>
      <c r="K209" s="16">
        <v>43.170400000000001</v>
      </c>
      <c r="L209" s="16">
        <v>44.944200000000002</v>
      </c>
      <c r="M209" s="16">
        <v>45.3748</v>
      </c>
      <c r="N209" s="16">
        <v>6.1749000000000001</v>
      </c>
      <c r="O209" s="16">
        <f t="shared" si="5"/>
        <v>43.667675000000003</v>
      </c>
      <c r="P209" s="7"/>
      <c r="Q209" s="8">
        <f>bdrate(C209:C212,D209:D212,J209:J212,K209:K212)</f>
        <v>-0.27861884003237813</v>
      </c>
      <c r="R209" s="8">
        <f>bdrate(C209:C212,E209:E212,J209:J212,L209:L212)</f>
        <v>-0.36506152569486106</v>
      </c>
      <c r="S209" s="8">
        <f>bdrate(C209:C212,F209:F212,J209:J212,M209:M212)</f>
        <v>-0.37769773036157228</v>
      </c>
      <c r="T209" s="25">
        <f>bdrate(C209:C212,H209:H212,J209:J212,O209:O212)</f>
        <v>-0.2963640099145296</v>
      </c>
      <c r="U209" s="28">
        <f t="shared" si="3"/>
        <v>-0.29590649942987451</v>
      </c>
    </row>
    <row r="210" spans="2:21" hidden="1" x14ac:dyDescent="0.25">
      <c r="B210" s="9"/>
      <c r="C210" s="17">
        <v>884.3</v>
      </c>
      <c r="D210" s="18">
        <v>41.191000000000003</v>
      </c>
      <c r="E210" s="18">
        <v>43.040999999999997</v>
      </c>
      <c r="F210" s="18">
        <v>43.386000000000003</v>
      </c>
      <c r="G210" s="18">
        <v>9.6999999999999993</v>
      </c>
      <c r="H210" s="18">
        <f t="shared" si="4"/>
        <v>41.696625000000004</v>
      </c>
      <c r="I210" s="5"/>
      <c r="J210" s="17">
        <v>643.11400000000003</v>
      </c>
      <c r="K210" s="18">
        <v>40.9497</v>
      </c>
      <c r="L210" s="18">
        <v>43.425600000000003</v>
      </c>
      <c r="M210" s="18">
        <v>43.838000000000001</v>
      </c>
      <c r="N210" s="18">
        <v>7.4466999999999999</v>
      </c>
      <c r="O210" s="18">
        <f t="shared" si="5"/>
        <v>41.620224999999998</v>
      </c>
      <c r="P210" s="7"/>
      <c r="Q210" s="10"/>
      <c r="R210" s="11"/>
      <c r="S210" s="11"/>
      <c r="T210" s="26"/>
      <c r="U210" s="28">
        <f t="shared" si="3"/>
        <v>-0.23229896907216491</v>
      </c>
    </row>
    <row r="211" spans="2:21" hidden="1" x14ac:dyDescent="0.25">
      <c r="B211" s="9"/>
      <c r="C211" s="17">
        <v>586.25</v>
      </c>
      <c r="D211" s="18">
        <v>39.034999999999997</v>
      </c>
      <c r="E211" s="18">
        <v>41.621000000000002</v>
      </c>
      <c r="F211" s="18">
        <v>41.89</v>
      </c>
      <c r="G211" s="18">
        <v>10.65</v>
      </c>
      <c r="H211" s="18">
        <f t="shared" si="4"/>
        <v>39.715124999999993</v>
      </c>
      <c r="I211" s="5"/>
      <c r="J211" s="17">
        <v>425.40359999999998</v>
      </c>
      <c r="K211" s="18">
        <v>39.123399999999997</v>
      </c>
      <c r="L211" s="18">
        <v>42.148299999999999</v>
      </c>
      <c r="M211" s="18">
        <v>42.526899999999998</v>
      </c>
      <c r="N211" s="18">
        <v>8.7835999999999999</v>
      </c>
      <c r="O211" s="18">
        <f t="shared" si="5"/>
        <v>39.926949999999998</v>
      </c>
      <c r="P211" s="7"/>
      <c r="Q211" s="10"/>
      <c r="R211" s="11"/>
      <c r="S211" s="11"/>
      <c r="T211" s="26"/>
      <c r="U211" s="28">
        <f t="shared" si="3"/>
        <v>-0.17524882629107985</v>
      </c>
    </row>
    <row r="212" spans="2:21" ht="16.5" hidden="1" thickBot="1" x14ac:dyDescent="0.3">
      <c r="B212" s="12"/>
      <c r="C212" s="19">
        <v>289.39</v>
      </c>
      <c r="D212" s="20">
        <v>34.984999999999999</v>
      </c>
      <c r="E212" s="20">
        <v>39.274000000000001</v>
      </c>
      <c r="F212" s="20">
        <v>39.435000000000002</v>
      </c>
      <c r="G212" s="20">
        <v>13.44</v>
      </c>
      <c r="H212" s="20">
        <f t="shared" si="4"/>
        <v>36.077375000000004</v>
      </c>
      <c r="I212" s="5"/>
      <c r="J212" s="19">
        <v>209.80959999999999</v>
      </c>
      <c r="K212" s="20">
        <v>35.806399999999996</v>
      </c>
      <c r="L212" s="20">
        <v>39.842300000000002</v>
      </c>
      <c r="M212" s="20">
        <v>40.121499999999997</v>
      </c>
      <c r="N212" s="20">
        <v>11.679500000000001</v>
      </c>
      <c r="O212" s="20">
        <f t="shared" si="5"/>
        <v>36.850274999999996</v>
      </c>
      <c r="P212" s="7"/>
      <c r="Q212" s="13"/>
      <c r="R212" s="14"/>
      <c r="S212" s="14"/>
      <c r="T212" s="27"/>
      <c r="U212" s="28">
        <f t="shared" si="3"/>
        <v>-0.13098958333333324</v>
      </c>
    </row>
    <row r="213" spans="2:21" hidden="1" x14ac:dyDescent="0.25">
      <c r="B213" s="6" t="s">
        <v>82</v>
      </c>
      <c r="C213" s="29">
        <v>1250.8399999999999</v>
      </c>
      <c r="D213" s="30">
        <v>41.107999999999997</v>
      </c>
      <c r="E213" s="30">
        <v>44.145000000000003</v>
      </c>
      <c r="F213" s="30">
        <v>45.203000000000003</v>
      </c>
      <c r="G213" s="16">
        <v>12.79</v>
      </c>
      <c r="H213" s="16">
        <f t="shared" si="4"/>
        <v>41.999499999999998</v>
      </c>
      <c r="I213" s="5"/>
      <c r="J213" s="29">
        <v>1040.3552</v>
      </c>
      <c r="K213" s="30">
        <v>41.254100000000001</v>
      </c>
      <c r="L213" s="30">
        <v>44.420499999999997</v>
      </c>
      <c r="M213" s="30">
        <v>45.6965</v>
      </c>
      <c r="N213" s="16">
        <v>7.1889000000000003</v>
      </c>
      <c r="O213" s="16">
        <f t="shared" si="5"/>
        <v>42.205200000000005</v>
      </c>
      <c r="P213" s="7"/>
      <c r="Q213" s="8">
        <f>bdrate(C213:C216,D213:D216,J213:J216,K213:K216)</f>
        <v>-0.18976176269889344</v>
      </c>
      <c r="R213" s="8">
        <f>bdrate(C213:C216,E213:E216,J213:J216,L213:L216)</f>
        <v>-0.27878808983270387</v>
      </c>
      <c r="S213" s="8">
        <f>bdrate(C213:C216,F213:F216,J213:J216,M213:M216)</f>
        <v>-0.33999345583257345</v>
      </c>
      <c r="T213" s="25">
        <f>bdrate(C213:C216,H213:H216,J213:J216,O213:O216)</f>
        <v>-0.21426482170394689</v>
      </c>
      <c r="U213" s="28">
        <f t="shared" si="3"/>
        <v>-0.43792806880375285</v>
      </c>
    </row>
    <row r="214" spans="2:21" hidden="1" x14ac:dyDescent="0.25">
      <c r="B214" s="9"/>
      <c r="C214" s="31">
        <v>754.25</v>
      </c>
      <c r="D214" s="32">
        <v>40.042999999999999</v>
      </c>
      <c r="E214" s="32">
        <v>43.503999999999998</v>
      </c>
      <c r="F214" s="32">
        <v>44.421999999999997</v>
      </c>
      <c r="G214" s="18">
        <v>14.42</v>
      </c>
      <c r="H214" s="18">
        <f t="shared" si="4"/>
        <v>41.022999999999996</v>
      </c>
      <c r="I214" s="5"/>
      <c r="J214" s="31">
        <v>626.82039999999995</v>
      </c>
      <c r="K214" s="32">
        <v>40.116300000000003</v>
      </c>
      <c r="L214" s="32">
        <v>43.737499999999997</v>
      </c>
      <c r="M214" s="32">
        <v>44.901800000000001</v>
      </c>
      <c r="N214" s="18">
        <v>9.1986000000000008</v>
      </c>
      <c r="O214" s="18">
        <f t="shared" si="5"/>
        <v>41.167137500000003</v>
      </c>
      <c r="P214" s="7"/>
      <c r="Q214" s="10"/>
      <c r="R214" s="11"/>
      <c r="S214" s="11"/>
      <c r="T214" s="26"/>
      <c r="U214" s="28">
        <f t="shared" si="3"/>
        <v>-0.36209431345353671</v>
      </c>
    </row>
    <row r="215" spans="2:21" hidden="1" x14ac:dyDescent="0.25">
      <c r="B215" s="9"/>
      <c r="C215" s="31">
        <v>507.63</v>
      </c>
      <c r="D215" s="32">
        <v>39.090000000000003</v>
      </c>
      <c r="E215" s="32">
        <v>42.872</v>
      </c>
      <c r="F215" s="32">
        <v>43.69</v>
      </c>
      <c r="G215" s="18">
        <v>15.77</v>
      </c>
      <c r="H215" s="18">
        <f t="shared" si="4"/>
        <v>40.137750000000004</v>
      </c>
      <c r="I215" s="5"/>
      <c r="J215" s="31">
        <v>406.80200000000002</v>
      </c>
      <c r="K215" s="32">
        <v>39.030299999999997</v>
      </c>
      <c r="L215" s="32">
        <v>43.057200000000002</v>
      </c>
      <c r="M215" s="32">
        <v>44.083199999999998</v>
      </c>
      <c r="N215" s="18">
        <v>11.4726</v>
      </c>
      <c r="O215" s="18">
        <f t="shared" si="5"/>
        <v>40.165274999999994</v>
      </c>
      <c r="P215" s="7"/>
      <c r="Q215" s="10"/>
      <c r="R215" s="11"/>
      <c r="S215" s="11"/>
      <c r="T215" s="26"/>
      <c r="U215" s="28">
        <f t="shared" si="3"/>
        <v>-0.27250475586556749</v>
      </c>
    </row>
    <row r="216" spans="2:21" ht="16.5" hidden="1" thickBot="1" x14ac:dyDescent="0.3">
      <c r="B216" s="12"/>
      <c r="C216" s="33">
        <v>256.66000000000003</v>
      </c>
      <c r="D216" s="34">
        <v>36.875</v>
      </c>
      <c r="E216" s="34">
        <v>41.466000000000001</v>
      </c>
      <c r="F216" s="34">
        <v>42.103999999999999</v>
      </c>
      <c r="G216" s="20">
        <v>17.940000000000001</v>
      </c>
      <c r="H216" s="20">
        <f t="shared" si="4"/>
        <v>38.102499999999999</v>
      </c>
      <c r="I216" s="5"/>
      <c r="J216" s="33">
        <v>199.40719999999999</v>
      </c>
      <c r="K216" s="34">
        <v>36.727200000000003</v>
      </c>
      <c r="L216" s="34">
        <v>41.541800000000002</v>
      </c>
      <c r="M216" s="34">
        <v>42.349600000000002</v>
      </c>
      <c r="N216" s="20">
        <v>16.169699999999999</v>
      </c>
      <c r="O216" s="20">
        <f t="shared" si="5"/>
        <v>38.031825000000005</v>
      </c>
      <c r="P216" s="7"/>
      <c r="Q216" s="13"/>
      <c r="R216" s="14"/>
      <c r="S216" s="14"/>
      <c r="T216" s="27"/>
      <c r="U216" s="28">
        <f t="shared" si="3"/>
        <v>-9.8678929765886422E-2</v>
      </c>
    </row>
    <row r="217" spans="2:21" hidden="1" x14ac:dyDescent="0.25">
      <c r="B217" s="6" t="s">
        <v>83</v>
      </c>
      <c r="C217" s="15">
        <v>1431.76</v>
      </c>
      <c r="D217" s="16">
        <v>43.488999999999997</v>
      </c>
      <c r="E217" s="16">
        <v>45.829000000000001</v>
      </c>
      <c r="F217" s="16">
        <v>45.874000000000002</v>
      </c>
      <c r="G217" s="16">
        <v>5.79</v>
      </c>
      <c r="H217" s="16">
        <f t="shared" si="4"/>
        <v>44.079625</v>
      </c>
      <c r="I217" s="5"/>
      <c r="J217" s="15">
        <v>1188.5171</v>
      </c>
      <c r="K217" s="16">
        <v>44.066800000000001</v>
      </c>
      <c r="L217" s="16">
        <v>46.4129</v>
      </c>
      <c r="M217" s="16">
        <v>46.375</v>
      </c>
      <c r="N217" s="16">
        <v>4.0091999999999999</v>
      </c>
      <c r="O217" s="16">
        <f t="shared" si="5"/>
        <v>44.648587499999998</v>
      </c>
      <c r="P217" s="7"/>
      <c r="Q217" s="8">
        <f>bdrate(C217:C220,D217:D220,J217:J220,K217:K220)</f>
        <v>-0.36667902548310738</v>
      </c>
      <c r="R217" s="8">
        <f>bdrate(C217:C220,E217:E220,J217:J220,L217:L220)</f>
        <v>-0.45545855757813825</v>
      </c>
      <c r="S217" s="8">
        <f>bdrate(C217:C220,F217:F220,J217:J220,M217:M220)</f>
        <v>-0.43675033978179634</v>
      </c>
      <c r="T217" s="25">
        <f>bdrate(C217:C220,H217:H220,J217:J220,O217:O220)</f>
        <v>-0.37979286870885909</v>
      </c>
      <c r="U217" s="28">
        <f t="shared" si="3"/>
        <v>-0.30756476683937828</v>
      </c>
    </row>
    <row r="218" spans="2:21" hidden="1" x14ac:dyDescent="0.25">
      <c r="B218" s="9"/>
      <c r="C218" s="17">
        <v>961.39</v>
      </c>
      <c r="D218" s="18">
        <v>41.695999999999998</v>
      </c>
      <c r="E218" s="18">
        <v>44.712000000000003</v>
      </c>
      <c r="F218" s="18">
        <v>44.796999999999997</v>
      </c>
      <c r="G218" s="18">
        <v>6.2</v>
      </c>
      <c r="H218" s="18">
        <f t="shared" si="4"/>
        <v>42.460624999999993</v>
      </c>
      <c r="I218" s="5"/>
      <c r="J218" s="17">
        <v>786.9171</v>
      </c>
      <c r="K218" s="18">
        <v>42.569299999999998</v>
      </c>
      <c r="L218" s="18">
        <v>45.5886</v>
      </c>
      <c r="M218" s="18">
        <v>45.573999999999998</v>
      </c>
      <c r="N218" s="18">
        <v>4.7785000000000002</v>
      </c>
      <c r="O218" s="18">
        <f t="shared" si="5"/>
        <v>43.322299999999998</v>
      </c>
      <c r="P218" s="7"/>
      <c r="Q218" s="10"/>
      <c r="R218" s="11"/>
      <c r="S218" s="11"/>
      <c r="T218" s="26"/>
      <c r="U218" s="28">
        <f t="shared" si="3"/>
        <v>-0.2292741935483871</v>
      </c>
    </row>
    <row r="219" spans="2:21" hidden="1" x14ac:dyDescent="0.25">
      <c r="B219" s="9"/>
      <c r="C219" s="17">
        <v>606.73</v>
      </c>
      <c r="D219" s="18">
        <v>39.375999999999998</v>
      </c>
      <c r="E219" s="18">
        <v>43.404000000000003</v>
      </c>
      <c r="F219" s="18">
        <v>43.527000000000001</v>
      </c>
      <c r="G219" s="18">
        <v>7.15</v>
      </c>
      <c r="H219" s="18">
        <f t="shared" si="4"/>
        <v>40.398374999999994</v>
      </c>
      <c r="I219" s="5"/>
      <c r="J219" s="17">
        <v>491.10109999999997</v>
      </c>
      <c r="K219" s="18">
        <v>40.706000000000003</v>
      </c>
      <c r="L219" s="18">
        <v>44.563800000000001</v>
      </c>
      <c r="M219" s="18">
        <v>44.566400000000002</v>
      </c>
      <c r="N219" s="18">
        <v>5.9169999999999998</v>
      </c>
      <c r="O219" s="18">
        <f t="shared" si="5"/>
        <v>41.670774999999999</v>
      </c>
      <c r="P219" s="7"/>
      <c r="Q219" s="10"/>
      <c r="R219" s="11"/>
      <c r="S219" s="11"/>
      <c r="T219" s="26"/>
      <c r="U219" s="28">
        <f t="shared" si="3"/>
        <v>-0.17244755244755253</v>
      </c>
    </row>
    <row r="220" spans="2:21" ht="16.5" hidden="1" thickBot="1" x14ac:dyDescent="0.3">
      <c r="B220" s="12"/>
      <c r="C220" s="19">
        <v>368.82</v>
      </c>
      <c r="D220" s="20">
        <v>36.53</v>
      </c>
      <c r="E220" s="20">
        <v>41.904000000000003</v>
      </c>
      <c r="F220" s="20">
        <v>42.097000000000001</v>
      </c>
      <c r="G220" s="20">
        <v>8.43</v>
      </c>
      <c r="H220" s="20">
        <f t="shared" si="4"/>
        <v>37.897624999999998</v>
      </c>
      <c r="I220" s="5"/>
      <c r="J220" s="19">
        <v>294.6275</v>
      </c>
      <c r="K220" s="20">
        <v>38.534999999999997</v>
      </c>
      <c r="L220" s="20">
        <v>43.329799999999999</v>
      </c>
      <c r="M220" s="20">
        <v>43.358699999999999</v>
      </c>
      <c r="N220" s="20">
        <v>7.4745999999999997</v>
      </c>
      <c r="O220" s="20">
        <f t="shared" si="5"/>
        <v>39.737312499999994</v>
      </c>
      <c r="P220" s="7"/>
      <c r="Q220" s="13"/>
      <c r="R220" s="14"/>
      <c r="S220" s="14"/>
      <c r="T220" s="27"/>
      <c r="U220" s="28">
        <f t="shared" si="3"/>
        <v>-0.11333333333333334</v>
      </c>
    </row>
    <row r="221" spans="2:21" hidden="1" x14ac:dyDescent="0.25">
      <c r="B221" s="6" t="s">
        <v>84</v>
      </c>
      <c r="C221" s="15">
        <v>2173.87</v>
      </c>
      <c r="D221" s="16">
        <v>51.170999999999999</v>
      </c>
      <c r="E221" s="16">
        <v>53.003999999999998</v>
      </c>
      <c r="F221" s="16">
        <v>53.146999999999998</v>
      </c>
      <c r="G221" s="16">
        <v>4.4800000000000004</v>
      </c>
      <c r="H221" s="16">
        <f t="shared" si="4"/>
        <v>51.647125000000003</v>
      </c>
      <c r="I221" s="5"/>
      <c r="J221" s="15">
        <v>1640.6729</v>
      </c>
      <c r="K221" s="16">
        <v>49.475000000000001</v>
      </c>
      <c r="L221" s="16">
        <v>51.641500000000001</v>
      </c>
      <c r="M221" s="16">
        <v>51.801000000000002</v>
      </c>
      <c r="N221" s="16">
        <v>4.4715999999999996</v>
      </c>
      <c r="O221" s="16">
        <f t="shared" si="5"/>
        <v>50.036562500000002</v>
      </c>
      <c r="P221" s="7"/>
      <c r="Q221" s="8">
        <f>bdrate(C221:C224,D221:D224,J221:J224,K221:K224)</f>
        <v>-0.10763072790238926</v>
      </c>
      <c r="R221" s="8">
        <f>bdrate(C221:C224,E221:E224,J221:J224,L221:L224)</f>
        <v>-0.1410168399666617</v>
      </c>
      <c r="S221" s="8">
        <f>bdrate(C221:C224,F221:F224,J221:J224,M221:M224)</f>
        <v>-0.14364996192023305</v>
      </c>
      <c r="T221" s="25">
        <f>bdrate(C221:C224,H221:H224,J221:J224,O221:O224)</f>
        <v>-0.11560457927842094</v>
      </c>
      <c r="U221" s="28">
        <f t="shared" si="3"/>
        <v>-1.8750000000001899E-3</v>
      </c>
    </row>
    <row r="222" spans="2:21" hidden="1" x14ac:dyDescent="0.25">
      <c r="B222" s="9"/>
      <c r="C222" s="17">
        <v>1468.07</v>
      </c>
      <c r="D222" s="18">
        <v>48.67</v>
      </c>
      <c r="E222" s="18">
        <v>50.84</v>
      </c>
      <c r="F222" s="18">
        <v>51.02</v>
      </c>
      <c r="G222" s="18">
        <v>4.7300000000000004</v>
      </c>
      <c r="H222" s="18">
        <f t="shared" si="4"/>
        <v>49.234999999999999</v>
      </c>
      <c r="I222" s="5"/>
      <c r="J222" s="17">
        <v>1076.6741999999999</v>
      </c>
      <c r="K222" s="18">
        <v>47.449399999999997</v>
      </c>
      <c r="L222" s="18">
        <v>49.848599999999998</v>
      </c>
      <c r="M222" s="18">
        <v>50.058300000000003</v>
      </c>
      <c r="N222" s="18">
        <v>5.4291999999999998</v>
      </c>
      <c r="O222" s="18">
        <f t="shared" si="5"/>
        <v>48.075412499999999</v>
      </c>
      <c r="P222" s="7"/>
      <c r="Q222" s="10"/>
      <c r="R222" s="11"/>
      <c r="S222" s="11"/>
      <c r="T222" s="26"/>
      <c r="U222" s="28">
        <f t="shared" si="3"/>
        <v>0.14782241014799141</v>
      </c>
    </row>
    <row r="223" spans="2:21" hidden="1" x14ac:dyDescent="0.25">
      <c r="B223" s="9"/>
      <c r="C223" s="17">
        <v>881.42</v>
      </c>
      <c r="D223" s="18">
        <v>45.686</v>
      </c>
      <c r="E223" s="18">
        <v>48.081000000000003</v>
      </c>
      <c r="F223" s="18">
        <v>48.289000000000001</v>
      </c>
      <c r="G223" s="18">
        <v>5.25</v>
      </c>
      <c r="H223" s="18">
        <f t="shared" si="4"/>
        <v>46.310749999999999</v>
      </c>
      <c r="I223" s="5"/>
      <c r="J223" s="17">
        <v>646.1671</v>
      </c>
      <c r="K223" s="18">
        <v>44.5563</v>
      </c>
      <c r="L223" s="18">
        <v>47.295400000000001</v>
      </c>
      <c r="M223" s="18">
        <v>47.560400000000001</v>
      </c>
      <c r="N223" s="18">
        <v>6.6622000000000003</v>
      </c>
      <c r="O223" s="18">
        <f t="shared" si="5"/>
        <v>45.2742</v>
      </c>
      <c r="P223" s="7"/>
      <c r="Q223" s="10"/>
      <c r="R223" s="11"/>
      <c r="S223" s="11"/>
      <c r="T223" s="26"/>
      <c r="U223" s="28">
        <f t="shared" si="3"/>
        <v>0.26899047619047628</v>
      </c>
    </row>
    <row r="224" spans="2:21" ht="16.5" hidden="1" thickBot="1" x14ac:dyDescent="0.3">
      <c r="B224" s="12"/>
      <c r="C224" s="19">
        <v>439.51</v>
      </c>
      <c r="D224" s="20">
        <v>41.566000000000003</v>
      </c>
      <c r="E224" s="20">
        <v>44.418999999999997</v>
      </c>
      <c r="F224" s="20">
        <v>44.83</v>
      </c>
      <c r="G224" s="20">
        <v>6.44</v>
      </c>
      <c r="H224" s="20">
        <f t="shared" si="4"/>
        <v>42.330624999999998</v>
      </c>
      <c r="I224" s="5"/>
      <c r="J224" s="19">
        <v>322.16770000000002</v>
      </c>
      <c r="K224" s="20">
        <v>40.901299999999999</v>
      </c>
      <c r="L224" s="20">
        <v>44.079599999999999</v>
      </c>
      <c r="M224" s="20">
        <v>44.505400000000002</v>
      </c>
      <c r="N224" s="20">
        <v>8.8202999999999996</v>
      </c>
      <c r="O224" s="20">
        <f t="shared" si="5"/>
        <v>41.749099999999999</v>
      </c>
      <c r="P224" s="7"/>
      <c r="Q224" s="13"/>
      <c r="R224" s="14"/>
      <c r="S224" s="14"/>
      <c r="T224" s="27"/>
      <c r="U224" s="28">
        <f t="shared" si="3"/>
        <v>0.36961180124223586</v>
      </c>
    </row>
    <row r="225" spans="2:21" hidden="1" x14ac:dyDescent="0.25">
      <c r="B225" s="6" t="s">
        <v>85</v>
      </c>
      <c r="C225" s="15">
        <v>1982.53</v>
      </c>
      <c r="D225" s="16">
        <v>50.603999999999999</v>
      </c>
      <c r="E225" s="16">
        <v>51.89</v>
      </c>
      <c r="F225" s="16">
        <v>52.314999999999998</v>
      </c>
      <c r="G225" s="16">
        <v>4.9000000000000004</v>
      </c>
      <c r="H225" s="16">
        <f t="shared" si="4"/>
        <v>50.978625000000001</v>
      </c>
      <c r="I225" s="5"/>
      <c r="J225" s="15">
        <v>1575.2330999999999</v>
      </c>
      <c r="K225" s="16">
        <v>48.833799999999997</v>
      </c>
      <c r="L225" s="16">
        <v>50.690800000000003</v>
      </c>
      <c r="M225" s="16">
        <v>51.0349</v>
      </c>
      <c r="N225" s="16">
        <v>4.875</v>
      </c>
      <c r="O225" s="16">
        <f t="shared" si="5"/>
        <v>49.3410625</v>
      </c>
      <c r="P225" s="7"/>
      <c r="Q225" s="8">
        <f>bdrate(C225:C228,D225:D228,J225:J228,K225:K228)</f>
        <v>-2.7109846894631251E-2</v>
      </c>
      <c r="R225" s="8">
        <f>bdrate(C225:C228,E225:E228,J225:J228,L225:L228)</f>
        <v>-8.1199991424856344E-2</v>
      </c>
      <c r="S225" s="8">
        <f>bdrate(C225:C228,F225:F228,J225:J228,M225:M228)</f>
        <v>-7.5366300992933954E-2</v>
      </c>
      <c r="T225" s="25">
        <f>bdrate(C225:C228,H225:H228,J225:J228,O225:O228)</f>
        <v>-3.9071088779051855E-2</v>
      </c>
      <c r="U225" s="28">
        <f t="shared" si="3"/>
        <v>-5.1020408163266031E-3</v>
      </c>
    </row>
    <row r="226" spans="2:21" hidden="1" x14ac:dyDescent="0.25">
      <c r="B226" s="9"/>
      <c r="C226" s="17">
        <v>1307.93</v>
      </c>
      <c r="D226" s="18">
        <v>47.953000000000003</v>
      </c>
      <c r="E226" s="18">
        <v>49.576999999999998</v>
      </c>
      <c r="F226" s="18">
        <v>49.954000000000001</v>
      </c>
      <c r="G226" s="18">
        <v>5.24</v>
      </c>
      <c r="H226" s="18">
        <f t="shared" si="4"/>
        <v>48.406125000000003</v>
      </c>
      <c r="I226" s="5"/>
      <c r="J226" s="17">
        <v>1041.1957</v>
      </c>
      <c r="K226" s="18">
        <v>46.746000000000002</v>
      </c>
      <c r="L226" s="18">
        <v>48.816600000000001</v>
      </c>
      <c r="M226" s="18">
        <v>49.113599999999998</v>
      </c>
      <c r="N226" s="18">
        <v>5.7725</v>
      </c>
      <c r="O226" s="18">
        <f t="shared" si="5"/>
        <v>47.300775000000002</v>
      </c>
      <c r="P226" s="7"/>
      <c r="Q226" s="10"/>
      <c r="R226" s="11"/>
      <c r="S226" s="11"/>
      <c r="T226" s="26"/>
      <c r="U226" s="28">
        <f t="shared" si="3"/>
        <v>0.10162213740458011</v>
      </c>
    </row>
    <row r="227" spans="2:21" hidden="1" x14ac:dyDescent="0.25">
      <c r="B227" s="9"/>
      <c r="C227" s="17">
        <v>775.11</v>
      </c>
      <c r="D227" s="18">
        <v>45.085000000000001</v>
      </c>
      <c r="E227" s="18">
        <v>47.05</v>
      </c>
      <c r="F227" s="18">
        <v>47.301000000000002</v>
      </c>
      <c r="G227" s="18">
        <v>5.85</v>
      </c>
      <c r="H227" s="18">
        <f t="shared" si="4"/>
        <v>45.607624999999999</v>
      </c>
      <c r="I227" s="5"/>
      <c r="J227" s="17">
        <v>629.50969999999995</v>
      </c>
      <c r="K227" s="18">
        <v>44.160499999999999</v>
      </c>
      <c r="L227" s="18">
        <v>46.494599999999998</v>
      </c>
      <c r="M227" s="18">
        <v>46.686</v>
      </c>
      <c r="N227" s="18">
        <v>6.8956999999999997</v>
      </c>
      <c r="O227" s="18">
        <f t="shared" si="5"/>
        <v>44.767949999999992</v>
      </c>
      <c r="P227" s="7"/>
      <c r="Q227" s="10"/>
      <c r="R227" s="11"/>
      <c r="S227" s="11"/>
      <c r="T227" s="26"/>
      <c r="U227" s="28">
        <f t="shared" si="3"/>
        <v>0.17875213675213678</v>
      </c>
    </row>
    <row r="228" spans="2:21" ht="16.5" hidden="1" thickBot="1" x14ac:dyDescent="0.3">
      <c r="B228" s="12"/>
      <c r="C228" s="19">
        <v>382.12</v>
      </c>
      <c r="D228" s="20">
        <v>41.368000000000002</v>
      </c>
      <c r="E228" s="20">
        <v>43.896999999999998</v>
      </c>
      <c r="F228" s="20">
        <v>43.963999999999999</v>
      </c>
      <c r="G228" s="20">
        <v>6.99</v>
      </c>
      <c r="H228" s="20">
        <f t="shared" si="4"/>
        <v>42.008625000000002</v>
      </c>
      <c r="I228" s="5"/>
      <c r="J228" s="19">
        <v>318.83100000000002</v>
      </c>
      <c r="K228" s="20">
        <v>40.914900000000003</v>
      </c>
      <c r="L228" s="20">
        <v>43.7194</v>
      </c>
      <c r="M228" s="20">
        <v>43.783700000000003</v>
      </c>
      <c r="N228" s="20">
        <v>8.7542000000000009</v>
      </c>
      <c r="O228" s="20">
        <f t="shared" si="5"/>
        <v>41.624062500000001</v>
      </c>
      <c r="P228" s="7"/>
      <c r="Q228" s="13"/>
      <c r="R228" s="14"/>
      <c r="S228" s="14"/>
      <c r="T228" s="27"/>
      <c r="U228" s="28">
        <f t="shared" si="3"/>
        <v>0.25238912732474972</v>
      </c>
    </row>
    <row r="229" spans="2:21" hidden="1" x14ac:dyDescent="0.25">
      <c r="B229" s="6" t="s">
        <v>86</v>
      </c>
      <c r="C229" s="15">
        <v>2062.54</v>
      </c>
      <c r="D229" s="16">
        <v>42.136000000000003</v>
      </c>
      <c r="E229" s="16">
        <v>44.887</v>
      </c>
      <c r="F229" s="16">
        <v>43.627000000000002</v>
      </c>
      <c r="G229" s="16">
        <v>4.09</v>
      </c>
      <c r="H229" s="16">
        <f t="shared" si="4"/>
        <v>42.666250000000005</v>
      </c>
      <c r="I229" s="5"/>
      <c r="J229" s="15">
        <v>1578.4522999999999</v>
      </c>
      <c r="K229" s="16">
        <v>40.542499999999997</v>
      </c>
      <c r="L229" s="16">
        <v>43.481999999999999</v>
      </c>
      <c r="M229" s="16">
        <v>42.292299999999997</v>
      </c>
      <c r="N229" s="16">
        <v>4.0065</v>
      </c>
      <c r="O229" s="16">
        <f t="shared" si="5"/>
        <v>41.128662499999997</v>
      </c>
      <c r="P229" s="7"/>
      <c r="Q229" s="8">
        <f>bdrate(C229:C232,D229:D232,J229:J232,K229:K232)</f>
        <v>-0.15085129297816779</v>
      </c>
      <c r="R229" s="8">
        <f>bdrate(C229:C232,E229:E232,J229:J232,L229:L232)</f>
        <v>-4.7818140317183122E-2</v>
      </c>
      <c r="S229" s="8">
        <f>bdrate(C229:C232,F229:F232,J229:J232,M229:M232)</f>
        <v>-7.6174327036398481E-2</v>
      </c>
      <c r="T229" s="25">
        <f>bdrate(C229:C232,H229:H232,J229:J232,O229:O232)</f>
        <v>-0.13124866038717653</v>
      </c>
      <c r="U229" s="28">
        <f t="shared" si="3"/>
        <v>-2.0415647921760368E-2</v>
      </c>
    </row>
    <row r="230" spans="2:21" hidden="1" x14ac:dyDescent="0.25">
      <c r="B230" s="9"/>
      <c r="C230" s="17">
        <v>1376.63</v>
      </c>
      <c r="D230" s="18">
        <v>39.366999999999997</v>
      </c>
      <c r="E230" s="18">
        <v>42.545999999999999</v>
      </c>
      <c r="F230" s="18">
        <v>41.167000000000002</v>
      </c>
      <c r="G230" s="18">
        <v>4.4400000000000004</v>
      </c>
      <c r="H230" s="18">
        <f t="shared" si="4"/>
        <v>39.989374999999995</v>
      </c>
      <c r="I230" s="5"/>
      <c r="J230" s="17">
        <v>1053.0112999999999</v>
      </c>
      <c r="K230" s="18">
        <v>38.364400000000003</v>
      </c>
      <c r="L230" s="18">
        <v>41.610700000000001</v>
      </c>
      <c r="M230" s="18">
        <v>40.325800000000001</v>
      </c>
      <c r="N230" s="18">
        <v>4.6835000000000004</v>
      </c>
      <c r="O230" s="18">
        <f t="shared" si="5"/>
        <v>39.015362500000002</v>
      </c>
      <c r="P230" s="7"/>
      <c r="Q230" s="10"/>
      <c r="R230" s="11"/>
      <c r="S230" s="11"/>
      <c r="T230" s="26"/>
      <c r="U230" s="28">
        <f t="shared" si="3"/>
        <v>5.4842342342342351E-2</v>
      </c>
    </row>
    <row r="231" spans="2:21" hidden="1" x14ac:dyDescent="0.25">
      <c r="B231" s="9"/>
      <c r="C231" s="17">
        <v>823.51</v>
      </c>
      <c r="D231" s="18">
        <v>36.313000000000002</v>
      </c>
      <c r="E231" s="18">
        <v>40.235999999999997</v>
      </c>
      <c r="F231" s="18">
        <v>38.768999999999998</v>
      </c>
      <c r="G231" s="18">
        <v>4.93</v>
      </c>
      <c r="H231" s="18">
        <f t="shared" si="4"/>
        <v>37.110375000000005</v>
      </c>
      <c r="I231" s="5"/>
      <c r="J231" s="17">
        <v>627.678</v>
      </c>
      <c r="K231" s="18">
        <v>35.793700000000001</v>
      </c>
      <c r="L231" s="18">
        <v>39.326999999999998</v>
      </c>
      <c r="M231" s="18">
        <v>37.974499999999999</v>
      </c>
      <c r="N231" s="18">
        <v>5.5747999999999998</v>
      </c>
      <c r="O231" s="18">
        <f t="shared" si="5"/>
        <v>36.507962499999998</v>
      </c>
      <c r="P231" s="7"/>
      <c r="Q231" s="10"/>
      <c r="R231" s="11"/>
      <c r="S231" s="11"/>
      <c r="T231" s="26"/>
      <c r="U231" s="28">
        <f t="shared" si="3"/>
        <v>0.13079107505070994</v>
      </c>
    </row>
    <row r="232" spans="2:21" ht="16.5" hidden="1" thickBot="1" x14ac:dyDescent="0.3">
      <c r="B232" s="12"/>
      <c r="C232" s="19">
        <v>413.83</v>
      </c>
      <c r="D232" s="20">
        <v>32.341000000000001</v>
      </c>
      <c r="E232" s="20">
        <v>37.636000000000003</v>
      </c>
      <c r="F232" s="20">
        <v>36.142000000000003</v>
      </c>
      <c r="G232" s="20">
        <v>6.26</v>
      </c>
      <c r="H232" s="20">
        <f t="shared" si="4"/>
        <v>33.478000000000002</v>
      </c>
      <c r="I232" s="5"/>
      <c r="J232" s="19">
        <v>313.60050000000001</v>
      </c>
      <c r="K232" s="20">
        <v>32.423699999999997</v>
      </c>
      <c r="L232" s="20">
        <v>36.410499999999999</v>
      </c>
      <c r="M232" s="20">
        <v>35.115699999999997</v>
      </c>
      <c r="N232" s="20">
        <v>7.0509000000000004</v>
      </c>
      <c r="O232" s="20">
        <f t="shared" si="5"/>
        <v>33.25855</v>
      </c>
      <c r="P232" s="7"/>
      <c r="Q232" s="13"/>
      <c r="R232" s="14"/>
      <c r="S232" s="14"/>
      <c r="T232" s="27"/>
      <c r="U232" s="28">
        <f t="shared" si="3"/>
        <v>0.12634185303514386</v>
      </c>
    </row>
    <row r="233" spans="2:21" hidden="1" x14ac:dyDescent="0.25">
      <c r="B233" s="6" t="s">
        <v>87</v>
      </c>
      <c r="C233" s="15">
        <v>2061.56</v>
      </c>
      <c r="D233" s="16">
        <v>38.36</v>
      </c>
      <c r="E233" s="16">
        <v>43.058</v>
      </c>
      <c r="F233" s="16">
        <v>43.15</v>
      </c>
      <c r="G233" s="16">
        <v>2.96</v>
      </c>
      <c r="H233" s="16">
        <f t="shared" si="4"/>
        <v>39.545999999999999</v>
      </c>
      <c r="I233" s="5"/>
      <c r="J233" s="15">
        <v>1575.7488000000001</v>
      </c>
      <c r="K233" s="16">
        <v>38.295499999999997</v>
      </c>
      <c r="L233" s="16">
        <v>44.0334</v>
      </c>
      <c r="M233" s="16">
        <v>43.996699999999997</v>
      </c>
      <c r="N233" s="16">
        <v>4.1401000000000003</v>
      </c>
      <c r="O233" s="16">
        <f t="shared" si="5"/>
        <v>39.725387499999989</v>
      </c>
      <c r="P233" s="7"/>
      <c r="Q233" s="8">
        <f>bdrate(C233:C236,D233:D236,J233:J236,K233:K236)</f>
        <v>-0.29463932203341869</v>
      </c>
      <c r="R233" s="8">
        <f>bdrate(C233:C236,E233:E236,J233:J236,L233:L236)</f>
        <v>-0.4961037660898836</v>
      </c>
      <c r="S233" s="8">
        <f>bdrate(C233:C236,F233:F236,J233:J236,M233:M236)</f>
        <v>-0.46201379425275158</v>
      </c>
      <c r="T233" s="25">
        <f>bdrate(C233:C236,H233:H236,J233:J236,O233:O236)</f>
        <v>-0.34005078366279062</v>
      </c>
      <c r="U233" s="28">
        <f t="shared" ref="U233:U260" si="6">(N233-G233)/G233</f>
        <v>0.39868243243243257</v>
      </c>
    </row>
    <row r="234" spans="2:21" hidden="1" x14ac:dyDescent="0.25">
      <c r="B234" s="9"/>
      <c r="C234" s="17">
        <v>1360.17</v>
      </c>
      <c r="D234" s="18">
        <v>36.984000000000002</v>
      </c>
      <c r="E234" s="18">
        <v>41.899000000000001</v>
      </c>
      <c r="F234" s="18">
        <v>42.128</v>
      </c>
      <c r="G234" s="18">
        <v>3.09</v>
      </c>
      <c r="H234" s="18">
        <f t="shared" si="4"/>
        <v>38.241374999999998</v>
      </c>
      <c r="I234" s="5"/>
      <c r="J234" s="17">
        <v>1040.4936</v>
      </c>
      <c r="K234" s="18">
        <v>37.0886</v>
      </c>
      <c r="L234" s="18">
        <v>42.9968</v>
      </c>
      <c r="M234" s="18">
        <v>43.036799999999999</v>
      </c>
      <c r="N234" s="18">
        <v>4.9627999999999997</v>
      </c>
      <c r="O234" s="18">
        <f t="shared" si="5"/>
        <v>38.570650000000001</v>
      </c>
      <c r="P234" s="7"/>
      <c r="Q234" s="10"/>
      <c r="R234" s="11"/>
      <c r="S234" s="11"/>
      <c r="T234" s="26"/>
      <c r="U234" s="28">
        <f t="shared" si="6"/>
        <v>0.606084142394822</v>
      </c>
    </row>
    <row r="235" spans="2:21" hidden="1" x14ac:dyDescent="0.25">
      <c r="B235" s="9"/>
      <c r="C235" s="17">
        <v>809.55</v>
      </c>
      <c r="D235" s="18">
        <v>35.340000000000003</v>
      </c>
      <c r="E235" s="18">
        <v>40.438000000000002</v>
      </c>
      <c r="F235" s="18">
        <v>40.963999999999999</v>
      </c>
      <c r="G235" s="18">
        <v>3.29</v>
      </c>
      <c r="H235" s="18">
        <f t="shared" si="4"/>
        <v>36.680250000000001</v>
      </c>
      <c r="I235" s="5"/>
      <c r="J235" s="17">
        <v>614.62080000000003</v>
      </c>
      <c r="K235" s="18">
        <v>35.603299999999997</v>
      </c>
      <c r="L235" s="18">
        <v>41.579300000000003</v>
      </c>
      <c r="M235" s="18">
        <v>41.755699999999997</v>
      </c>
      <c r="N235" s="18">
        <v>6.1860999999999997</v>
      </c>
      <c r="O235" s="18">
        <f t="shared" si="5"/>
        <v>37.119349999999997</v>
      </c>
      <c r="P235" s="7"/>
      <c r="Q235" s="10"/>
      <c r="R235" s="11"/>
      <c r="S235" s="11"/>
      <c r="T235" s="26"/>
      <c r="U235" s="28">
        <f t="shared" si="6"/>
        <v>0.8802735562310029</v>
      </c>
    </row>
    <row r="236" spans="2:21" ht="16.5" hidden="1" thickBot="1" x14ac:dyDescent="0.3">
      <c r="B236" s="12"/>
      <c r="C236" s="19">
        <v>402.35</v>
      </c>
      <c r="D236" s="20">
        <v>33.018000000000001</v>
      </c>
      <c r="E236" s="20">
        <v>38.619999999999997</v>
      </c>
      <c r="F236" s="20">
        <v>39.384999999999998</v>
      </c>
      <c r="G236" s="20">
        <v>4.0199999999999996</v>
      </c>
      <c r="H236" s="20">
        <f t="shared" si="4"/>
        <v>34.514125</v>
      </c>
      <c r="I236" s="5"/>
      <c r="J236" s="19">
        <v>302.57920000000001</v>
      </c>
      <c r="K236" s="20">
        <v>33.644799999999996</v>
      </c>
      <c r="L236" s="20">
        <v>39.680199999999999</v>
      </c>
      <c r="M236" s="20">
        <v>40.044199999999996</v>
      </c>
      <c r="N236" s="20">
        <v>8.1465999999999994</v>
      </c>
      <c r="O236" s="20">
        <f t="shared" si="5"/>
        <v>35.199149999999996</v>
      </c>
      <c r="P236" s="7"/>
      <c r="Q236" s="13"/>
      <c r="R236" s="14"/>
      <c r="S236" s="14"/>
      <c r="T236" s="27"/>
      <c r="U236" s="28">
        <f t="shared" si="6"/>
        <v>1.0265174129353234</v>
      </c>
    </row>
    <row r="237" spans="2:21" hidden="1" x14ac:dyDescent="0.25">
      <c r="B237" s="6" t="s">
        <v>88</v>
      </c>
      <c r="C237" s="15">
        <v>2170.83</v>
      </c>
      <c r="D237" s="16">
        <v>34.752000000000002</v>
      </c>
      <c r="E237" s="16">
        <v>39.112000000000002</v>
      </c>
      <c r="F237" s="16">
        <v>41.521999999999998</v>
      </c>
      <c r="G237" s="16">
        <v>2.67</v>
      </c>
      <c r="H237" s="16">
        <f t="shared" si="4"/>
        <v>36.143250000000002</v>
      </c>
      <c r="I237" s="5"/>
      <c r="J237" s="15">
        <v>1545.4176</v>
      </c>
      <c r="K237" s="16">
        <v>35.042299999999997</v>
      </c>
      <c r="L237" s="16">
        <v>40.104399999999998</v>
      </c>
      <c r="M237" s="16">
        <v>42.565899999999999</v>
      </c>
      <c r="N237" s="16">
        <v>5.0160999999999998</v>
      </c>
      <c r="O237" s="16">
        <f t="shared" si="5"/>
        <v>36.615512499999994</v>
      </c>
      <c r="P237" s="7"/>
      <c r="Q237" s="8">
        <f>bdrate(C237:C240,D237:D240,J237:J240,K237:K240)</f>
        <v>-0.40865877018173524</v>
      </c>
      <c r="R237" s="8">
        <f>bdrate(C237:C240,E237:E240,J237:J240,L237:L240)</f>
        <v>-0.46535312316229016</v>
      </c>
      <c r="S237" s="8">
        <f>bdrate(C237:C240,F237:F240,J237:J240,M237:M240)</f>
        <v>-0.51687076422106748</v>
      </c>
      <c r="T237" s="25">
        <f>bdrate(C237:C240,H237:H240,J237:J240,O237:O240)</f>
        <v>-0.42519579305228061</v>
      </c>
      <c r="U237" s="28">
        <f t="shared" si="6"/>
        <v>0.87868913857677899</v>
      </c>
    </row>
    <row r="238" spans="2:21" hidden="1" x14ac:dyDescent="0.25">
      <c r="B238" s="9"/>
      <c r="C238" s="17">
        <v>1445.17</v>
      </c>
      <c r="D238" s="18">
        <v>33.572000000000003</v>
      </c>
      <c r="E238" s="18">
        <v>38.345999999999997</v>
      </c>
      <c r="F238" s="18">
        <v>40.933</v>
      </c>
      <c r="G238" s="18">
        <v>2.97</v>
      </c>
      <c r="H238" s="18">
        <f t="shared" si="4"/>
        <v>35.088875000000002</v>
      </c>
      <c r="I238" s="5"/>
      <c r="J238" s="17">
        <v>1029.6056000000001</v>
      </c>
      <c r="K238" s="18">
        <v>33.9604</v>
      </c>
      <c r="L238" s="18">
        <v>39.125799999999998</v>
      </c>
      <c r="M238" s="18">
        <v>41.6676</v>
      </c>
      <c r="N238" s="18">
        <v>6.1455000000000002</v>
      </c>
      <c r="O238" s="18">
        <f t="shared" si="5"/>
        <v>35.569475000000004</v>
      </c>
      <c r="P238" s="7"/>
      <c r="Q238" s="10"/>
      <c r="R238" s="11"/>
      <c r="S238" s="11"/>
      <c r="T238" s="26"/>
      <c r="U238" s="28">
        <f t="shared" si="6"/>
        <v>1.069191919191919</v>
      </c>
    </row>
    <row r="239" spans="2:21" hidden="1" x14ac:dyDescent="0.25">
      <c r="B239" s="9"/>
      <c r="C239" s="17">
        <v>876.94</v>
      </c>
      <c r="D239" s="18">
        <v>31.962</v>
      </c>
      <c r="E239" s="18">
        <v>37.494</v>
      </c>
      <c r="F239" s="18">
        <v>40.107999999999997</v>
      </c>
      <c r="G239" s="18">
        <v>3.48</v>
      </c>
      <c r="H239" s="18">
        <f t="shared" si="4"/>
        <v>33.671749999999996</v>
      </c>
      <c r="I239" s="5"/>
      <c r="J239" s="17">
        <v>605.38720000000001</v>
      </c>
      <c r="K239" s="18">
        <v>32.447800000000001</v>
      </c>
      <c r="L239" s="18">
        <v>37.957500000000003</v>
      </c>
      <c r="M239" s="18">
        <v>40.718600000000002</v>
      </c>
      <c r="N239" s="18">
        <v>7.8973000000000004</v>
      </c>
      <c r="O239" s="18">
        <f t="shared" si="5"/>
        <v>34.170362500000003</v>
      </c>
      <c r="P239" s="7"/>
      <c r="Q239" s="10"/>
      <c r="R239" s="11"/>
      <c r="S239" s="11"/>
      <c r="T239" s="26"/>
      <c r="U239" s="28">
        <f t="shared" si="6"/>
        <v>1.2693390804597704</v>
      </c>
    </row>
    <row r="240" spans="2:21" ht="16.5" hidden="1" thickBot="1" x14ac:dyDescent="0.3">
      <c r="B240" s="12"/>
      <c r="C240" s="19">
        <v>454.76</v>
      </c>
      <c r="D240" s="20">
        <v>29.364999999999998</v>
      </c>
      <c r="E240" s="20">
        <v>36.481000000000002</v>
      </c>
      <c r="F240" s="20">
        <v>39.186999999999998</v>
      </c>
      <c r="G240" s="20">
        <v>4.7</v>
      </c>
      <c r="H240" s="20">
        <f t="shared" si="4"/>
        <v>31.482250000000001</v>
      </c>
      <c r="I240" s="5"/>
      <c r="J240" s="19">
        <v>292.06319999999999</v>
      </c>
      <c r="K240" s="20">
        <v>30.243600000000001</v>
      </c>
      <c r="L240" s="20">
        <v>36.522199999999998</v>
      </c>
      <c r="M240" s="20">
        <v>39.434199999999997</v>
      </c>
      <c r="N240" s="20">
        <v>11.951499999999999</v>
      </c>
      <c r="O240" s="20">
        <f t="shared" si="5"/>
        <v>32.177250000000001</v>
      </c>
      <c r="P240" s="7"/>
      <c r="Q240" s="13"/>
      <c r="R240" s="14"/>
      <c r="S240" s="14"/>
      <c r="T240" s="27"/>
      <c r="U240" s="28">
        <f t="shared" si="6"/>
        <v>1.5428723404255318</v>
      </c>
    </row>
    <row r="241" spans="2:21" hidden="1" x14ac:dyDescent="0.25">
      <c r="B241" s="6" t="s">
        <v>89</v>
      </c>
      <c r="C241" s="15">
        <v>2237.65</v>
      </c>
      <c r="D241" s="16">
        <v>37.045999999999999</v>
      </c>
      <c r="E241" s="16">
        <v>42.439</v>
      </c>
      <c r="F241" s="16">
        <v>42.255000000000003</v>
      </c>
      <c r="G241" s="16">
        <v>2.89</v>
      </c>
      <c r="H241" s="16">
        <f t="shared" ref="H241:H260" si="7">(6*D241+E241+F241)/8</f>
        <v>38.371250000000003</v>
      </c>
      <c r="I241" s="5"/>
      <c r="J241" s="15">
        <v>1544.1279999999999</v>
      </c>
      <c r="K241" s="16">
        <v>37.266599999999997</v>
      </c>
      <c r="L241" s="16">
        <v>42.705399999999997</v>
      </c>
      <c r="M241" s="16">
        <v>42.787799999999997</v>
      </c>
      <c r="N241" s="16">
        <v>3.9701</v>
      </c>
      <c r="O241" s="16">
        <f t="shared" ref="O241:O260" si="8">(6*K241+L241+M241)/8</f>
        <v>38.636599999999994</v>
      </c>
      <c r="P241" s="7"/>
      <c r="Q241" s="8">
        <f>bdrate(C241:C244,D241:D244,J241:J244,K241:K244)</f>
        <v>-0.45870228431589188</v>
      </c>
      <c r="R241" s="8">
        <f>bdrate(C241:C244,E241:E244,J241:J244,L241:L244)</f>
        <v>-0.44688221922608395</v>
      </c>
      <c r="S241" s="8">
        <f>bdrate(C241:C244,F241:F244,J241:J244,M241:M244)</f>
        <v>-0.40017075582453498</v>
      </c>
      <c r="T241" s="25">
        <f>bdrate(C241:C244,H241:H244,J241:J244,O241:O244)</f>
        <v>-0.45348676313558445</v>
      </c>
      <c r="U241" s="28">
        <f t="shared" si="6"/>
        <v>0.37373702422145322</v>
      </c>
    </row>
    <row r="242" spans="2:21" hidden="1" x14ac:dyDescent="0.25">
      <c r="B242" s="9"/>
      <c r="C242" s="17">
        <v>1515.26</v>
      </c>
      <c r="D242" s="18">
        <v>35.661999999999999</v>
      </c>
      <c r="E242" s="18">
        <v>41.604999999999997</v>
      </c>
      <c r="F242" s="18">
        <v>41.14</v>
      </c>
      <c r="G242" s="18">
        <v>3.43</v>
      </c>
      <c r="H242" s="18">
        <f t="shared" si="7"/>
        <v>37.089624999999998</v>
      </c>
      <c r="I242" s="5"/>
      <c r="J242" s="17">
        <v>1023.728</v>
      </c>
      <c r="K242" s="18">
        <v>36.104999999999997</v>
      </c>
      <c r="L242" s="18">
        <v>41.995399999999997</v>
      </c>
      <c r="M242" s="18">
        <v>41.552999999999997</v>
      </c>
      <c r="N242" s="18">
        <v>4.8472</v>
      </c>
      <c r="O242" s="18">
        <f t="shared" si="8"/>
        <v>37.522300000000001</v>
      </c>
      <c r="P242" s="7"/>
      <c r="Q242" s="10"/>
      <c r="R242" s="11"/>
      <c r="S242" s="11"/>
      <c r="T242" s="26"/>
      <c r="U242" s="28">
        <f t="shared" si="6"/>
        <v>0.41317784256559759</v>
      </c>
    </row>
    <row r="243" spans="2:21" hidden="1" x14ac:dyDescent="0.25">
      <c r="B243" s="9"/>
      <c r="C243" s="17">
        <v>917.08</v>
      </c>
      <c r="D243" s="18">
        <v>33.668999999999997</v>
      </c>
      <c r="E243" s="18">
        <v>40.521000000000001</v>
      </c>
      <c r="F243" s="18">
        <v>39.72</v>
      </c>
      <c r="G243" s="18">
        <v>4.4800000000000004</v>
      </c>
      <c r="H243" s="18">
        <f t="shared" si="7"/>
        <v>35.281874999999999</v>
      </c>
      <c r="I243" s="5"/>
      <c r="J243" s="17">
        <v>611.37040000000002</v>
      </c>
      <c r="K243" s="18">
        <v>34.538600000000002</v>
      </c>
      <c r="L243" s="18">
        <v>40.955300000000001</v>
      </c>
      <c r="M243" s="18">
        <v>39.993699999999997</v>
      </c>
      <c r="N243" s="18">
        <v>6.2241999999999997</v>
      </c>
      <c r="O243" s="18">
        <f t="shared" si="8"/>
        <v>36.022575000000003</v>
      </c>
      <c r="P243" s="7"/>
      <c r="Q243" s="10"/>
      <c r="R243" s="11"/>
      <c r="S243" s="11"/>
      <c r="T243" s="26"/>
      <c r="U243" s="28">
        <f t="shared" si="6"/>
        <v>0.38933035714285696</v>
      </c>
    </row>
    <row r="244" spans="2:21" ht="16.5" hidden="1" thickBot="1" x14ac:dyDescent="0.3">
      <c r="B244" s="12"/>
      <c r="C244" s="19">
        <v>460.68</v>
      </c>
      <c r="D244" s="20">
        <v>30.555</v>
      </c>
      <c r="E244" s="20">
        <v>38.823999999999998</v>
      </c>
      <c r="F244" s="20">
        <v>37.542999999999999</v>
      </c>
      <c r="G244" s="20">
        <v>6.92</v>
      </c>
      <c r="H244" s="20">
        <f t="shared" si="7"/>
        <v>32.462125</v>
      </c>
      <c r="I244" s="5"/>
      <c r="J244" s="19">
        <v>304.17439999999999</v>
      </c>
      <c r="K244" s="20">
        <v>32.364100000000001</v>
      </c>
      <c r="L244" s="20">
        <v>39.293100000000003</v>
      </c>
      <c r="M244" s="20">
        <v>37.8386</v>
      </c>
      <c r="N244" s="20">
        <v>9.0242000000000004</v>
      </c>
      <c r="O244" s="20">
        <f t="shared" si="8"/>
        <v>33.914537500000002</v>
      </c>
      <c r="P244" s="7"/>
      <c r="Q244" s="13"/>
      <c r="R244" s="14"/>
      <c r="S244" s="14"/>
      <c r="T244" s="27"/>
      <c r="U244" s="28">
        <f t="shared" si="6"/>
        <v>0.30407514450867063</v>
      </c>
    </row>
    <row r="245" spans="2:21" hidden="1" x14ac:dyDescent="0.25">
      <c r="B245" s="6" t="s">
        <v>90</v>
      </c>
      <c r="C245" s="29">
        <v>2168.13</v>
      </c>
      <c r="D245" s="30">
        <v>48.816000000000003</v>
      </c>
      <c r="E245" s="30">
        <v>53.529000000000003</v>
      </c>
      <c r="F245" s="30">
        <v>53.756</v>
      </c>
      <c r="G245" s="16">
        <v>4.13</v>
      </c>
      <c r="H245" s="16">
        <f t="shared" si="7"/>
        <v>50.022625000000005</v>
      </c>
      <c r="I245" s="5"/>
      <c r="J245" s="29">
        <v>1542.1031</v>
      </c>
      <c r="K245" s="30">
        <v>47.899799999999999</v>
      </c>
      <c r="L245" s="30">
        <v>52.7502</v>
      </c>
      <c r="M245" s="30">
        <v>52.9666</v>
      </c>
      <c r="N245" s="16">
        <v>3.2437999999999998</v>
      </c>
      <c r="O245" s="16">
        <f t="shared" si="8"/>
        <v>49.139449999999997</v>
      </c>
      <c r="P245" s="7"/>
      <c r="Q245" s="8">
        <f>bdrate(C245:C248,D245:D248,J245:J248,K245:K248)</f>
        <v>-0.32322402926597105</v>
      </c>
      <c r="R245" s="8">
        <f>bdrate(C245:C248,E245:E248,J245:J248,L245:L248)</f>
        <v>-0.37693191792978076</v>
      </c>
      <c r="S245" s="8">
        <f>bdrate(C245:C248,F245:F248,J245:J248,M245:M248)</f>
        <v>-0.39618411781001461</v>
      </c>
      <c r="T245" s="25">
        <f>bdrate(C245:C248,H245:H248,J245:J248,O245:O248)</f>
        <v>-0.33661108173879961</v>
      </c>
      <c r="U245" s="28">
        <f t="shared" si="6"/>
        <v>-0.21457627118644071</v>
      </c>
    </row>
    <row r="246" spans="2:21" hidden="1" x14ac:dyDescent="0.25">
      <c r="B246" s="9"/>
      <c r="C246" s="31">
        <v>1445.83</v>
      </c>
      <c r="D246" s="32">
        <v>47.058999999999997</v>
      </c>
      <c r="E246" s="32">
        <v>52.167999999999999</v>
      </c>
      <c r="F246" s="32">
        <v>52.204999999999998</v>
      </c>
      <c r="G246" s="18">
        <v>4.5</v>
      </c>
      <c r="H246" s="18">
        <f t="shared" si="7"/>
        <v>48.340874999999997</v>
      </c>
      <c r="I246" s="5"/>
      <c r="J246" s="31">
        <v>1026.6925000000001</v>
      </c>
      <c r="K246" s="32">
        <v>46.814700000000002</v>
      </c>
      <c r="L246" s="32">
        <v>52.065199999999997</v>
      </c>
      <c r="M246" s="32">
        <v>52.2226</v>
      </c>
      <c r="N246" s="18">
        <v>4.0697000000000001</v>
      </c>
      <c r="O246" s="18">
        <f t="shared" si="8"/>
        <v>48.146999999999998</v>
      </c>
      <c r="P246" s="7"/>
      <c r="Q246" s="10"/>
      <c r="R246" s="11"/>
      <c r="S246" s="11"/>
      <c r="T246" s="26"/>
      <c r="U246" s="28">
        <f t="shared" si="6"/>
        <v>-9.5622222222222206E-2</v>
      </c>
    </row>
    <row r="247" spans="2:21" hidden="1" x14ac:dyDescent="0.25">
      <c r="B247" s="9"/>
      <c r="C247" s="31">
        <v>861.71</v>
      </c>
      <c r="D247" s="32">
        <v>44.917000000000002</v>
      </c>
      <c r="E247" s="32">
        <v>50.561</v>
      </c>
      <c r="F247" s="32">
        <v>50.47</v>
      </c>
      <c r="G247" s="18">
        <v>5.0999999999999996</v>
      </c>
      <c r="H247" s="18">
        <f t="shared" si="7"/>
        <v>46.316625000000002</v>
      </c>
      <c r="I247" s="5"/>
      <c r="J247" s="31">
        <v>617.54340000000002</v>
      </c>
      <c r="K247" s="32">
        <v>45.261000000000003</v>
      </c>
      <c r="L247" s="32">
        <v>51.088299999999997</v>
      </c>
      <c r="M247" s="32">
        <v>51.151299999999999</v>
      </c>
      <c r="N247" s="18">
        <v>5.4547999999999996</v>
      </c>
      <c r="O247" s="18">
        <f t="shared" si="8"/>
        <v>46.725700000000003</v>
      </c>
      <c r="P247" s="7"/>
      <c r="Q247" s="10"/>
      <c r="R247" s="11"/>
      <c r="S247" s="11"/>
      <c r="T247" s="26"/>
      <c r="U247" s="28">
        <f t="shared" si="6"/>
        <v>6.95686274509804E-2</v>
      </c>
    </row>
    <row r="248" spans="2:21" ht="16.5" hidden="1" thickBot="1" x14ac:dyDescent="0.3">
      <c r="B248" s="12"/>
      <c r="C248" s="33">
        <v>420.27</v>
      </c>
      <c r="D248" s="34">
        <v>41.652999999999999</v>
      </c>
      <c r="E248" s="34">
        <v>48.045999999999999</v>
      </c>
      <c r="F248" s="34">
        <v>47.875999999999998</v>
      </c>
      <c r="G248" s="20">
        <v>6.43</v>
      </c>
      <c r="H248" s="20">
        <f t="shared" si="7"/>
        <v>43.23</v>
      </c>
      <c r="I248" s="5"/>
      <c r="J248" s="33">
        <v>300.73939999999999</v>
      </c>
      <c r="K248" s="34">
        <v>42.579099999999997</v>
      </c>
      <c r="L248" s="34">
        <v>49.2699</v>
      </c>
      <c r="M248" s="34">
        <v>49.207799999999999</v>
      </c>
      <c r="N248" s="20">
        <v>8.0925999999999991</v>
      </c>
      <c r="O248" s="20">
        <f t="shared" si="8"/>
        <v>44.244037499999997</v>
      </c>
      <c r="P248" s="7"/>
      <c r="Q248" s="13"/>
      <c r="R248" s="14"/>
      <c r="S248" s="14"/>
      <c r="T248" s="27"/>
      <c r="U248" s="28">
        <f t="shared" si="6"/>
        <v>0.25856920684292373</v>
      </c>
    </row>
    <row r="249" spans="2:21" hidden="1" x14ac:dyDescent="0.25">
      <c r="B249" s="6" t="s">
        <v>91</v>
      </c>
      <c r="C249" s="15">
        <v>3985.66</v>
      </c>
      <c r="D249" s="16">
        <v>45.551000000000002</v>
      </c>
      <c r="E249" s="16">
        <v>49.427999999999997</v>
      </c>
      <c r="F249" s="16">
        <v>51.494</v>
      </c>
      <c r="G249" s="16">
        <v>1.19</v>
      </c>
      <c r="H249" s="16">
        <f t="shared" si="7"/>
        <v>46.778500000000008</v>
      </c>
      <c r="I249" s="5"/>
      <c r="J249" s="15">
        <v>2412.9110000000001</v>
      </c>
      <c r="K249" s="16">
        <v>44.389400000000002</v>
      </c>
      <c r="L249" s="16">
        <v>48.529699999999998</v>
      </c>
      <c r="M249" s="16">
        <v>50.628500000000003</v>
      </c>
      <c r="N249" s="16">
        <v>1.5835999999999999</v>
      </c>
      <c r="O249" s="16">
        <f t="shared" si="8"/>
        <v>45.686824999999999</v>
      </c>
      <c r="P249" s="7"/>
      <c r="Q249" s="8">
        <f>bdrate(C249:C252,D249:D252,J249:J252,K249:K252)</f>
        <v>-0.38031684583795944</v>
      </c>
      <c r="R249" s="8">
        <f>bdrate(C249:C252,E249:E252,J249:J252,L249:L252)</f>
        <v>-0.4110065961788083</v>
      </c>
      <c r="S249" s="8">
        <f>bdrate(C249:C252,F249:F252,J249:J252,M249:M252)</f>
        <v>-0.43645095991242178</v>
      </c>
      <c r="T249" s="25">
        <f>bdrate(C249:C252,H249:H252,J249:J252,O249:O252)</f>
        <v>-0.38960028965025595</v>
      </c>
      <c r="U249" s="28">
        <f t="shared" si="6"/>
        <v>0.33075630252100835</v>
      </c>
    </row>
    <row r="250" spans="2:21" hidden="1" x14ac:dyDescent="0.25">
      <c r="B250" s="9"/>
      <c r="C250" s="17">
        <v>2679.53</v>
      </c>
      <c r="D250" s="18">
        <v>43.472000000000001</v>
      </c>
      <c r="E250" s="18">
        <v>47.703000000000003</v>
      </c>
      <c r="F250" s="18">
        <v>49.616</v>
      </c>
      <c r="G250" s="18">
        <v>1.34</v>
      </c>
      <c r="H250" s="18">
        <f t="shared" si="7"/>
        <v>44.768874999999994</v>
      </c>
      <c r="I250" s="5"/>
      <c r="J250" s="17">
        <v>1609.4347</v>
      </c>
      <c r="K250" s="18">
        <v>42.8733</v>
      </c>
      <c r="L250" s="18">
        <v>47.416499999999999</v>
      </c>
      <c r="M250" s="18">
        <v>49.480200000000004</v>
      </c>
      <c r="N250" s="18">
        <v>1.9312</v>
      </c>
      <c r="O250" s="18">
        <f t="shared" si="8"/>
        <v>44.267062500000002</v>
      </c>
      <c r="P250" s="7"/>
      <c r="Q250" s="10"/>
      <c r="R250" s="11"/>
      <c r="S250" s="11"/>
      <c r="T250" s="26"/>
      <c r="U250" s="28">
        <f t="shared" si="6"/>
        <v>0.44119402985074618</v>
      </c>
    </row>
    <row r="251" spans="2:21" hidden="1" x14ac:dyDescent="0.25">
      <c r="B251" s="9"/>
      <c r="C251" s="17">
        <v>1695.42</v>
      </c>
      <c r="D251" s="18">
        <v>41.073</v>
      </c>
      <c r="E251" s="18">
        <v>45.886000000000003</v>
      </c>
      <c r="F251" s="18">
        <v>47.847999999999999</v>
      </c>
      <c r="G251" s="18">
        <v>1.55</v>
      </c>
      <c r="H251" s="18">
        <f t="shared" si="7"/>
        <v>42.521500000000003</v>
      </c>
      <c r="I251" s="5"/>
      <c r="J251" s="17">
        <v>1002.6602</v>
      </c>
      <c r="K251" s="18">
        <v>41.042299999999997</v>
      </c>
      <c r="L251" s="18">
        <v>46.086799999999997</v>
      </c>
      <c r="M251" s="18">
        <v>48.24</v>
      </c>
      <c r="N251" s="18">
        <v>2.4302999999999999</v>
      </c>
      <c r="O251" s="18">
        <f t="shared" si="8"/>
        <v>42.572575000000001</v>
      </c>
      <c r="P251" s="7"/>
      <c r="Q251" s="10"/>
      <c r="R251" s="11"/>
      <c r="S251" s="11"/>
      <c r="T251" s="26"/>
      <c r="U251" s="28">
        <f t="shared" si="6"/>
        <v>0.56793548387096759</v>
      </c>
    </row>
    <row r="252" spans="2:21" ht="16.5" hidden="1" thickBot="1" x14ac:dyDescent="0.3">
      <c r="B252" s="12"/>
      <c r="C252" s="19">
        <v>1029</v>
      </c>
      <c r="D252" s="20">
        <v>38.128999999999998</v>
      </c>
      <c r="E252" s="20">
        <v>43.523000000000003</v>
      </c>
      <c r="F252" s="20">
        <v>45.158000000000001</v>
      </c>
      <c r="G252" s="20">
        <v>1.91</v>
      </c>
      <c r="H252" s="20">
        <f t="shared" si="7"/>
        <v>39.681875000000005</v>
      </c>
      <c r="I252" s="5"/>
      <c r="J252" s="19">
        <v>594.11090000000002</v>
      </c>
      <c r="K252" s="20">
        <v>38.965400000000002</v>
      </c>
      <c r="L252" s="20">
        <v>44.3611</v>
      </c>
      <c r="M252" s="20">
        <v>46.329000000000001</v>
      </c>
      <c r="N252" s="20">
        <v>3.1757</v>
      </c>
      <c r="O252" s="20">
        <f t="shared" si="8"/>
        <v>40.560312500000002</v>
      </c>
      <c r="P252" s="7"/>
      <c r="Q252" s="13"/>
      <c r="R252" s="14"/>
      <c r="S252" s="14"/>
      <c r="T252" s="27"/>
      <c r="U252" s="28">
        <f t="shared" si="6"/>
        <v>0.66267015706806287</v>
      </c>
    </row>
    <row r="253" spans="2:21" hidden="1" x14ac:dyDescent="0.25">
      <c r="B253" s="6" t="s">
        <v>92</v>
      </c>
      <c r="C253" s="15">
        <v>3430.97</v>
      </c>
      <c r="D253" s="16">
        <v>39.822000000000003</v>
      </c>
      <c r="E253" s="16">
        <v>41.924999999999997</v>
      </c>
      <c r="F253" s="16">
        <v>43.470999999999997</v>
      </c>
      <c r="G253" s="16">
        <v>1.25</v>
      </c>
      <c r="H253" s="16">
        <f t="shared" si="7"/>
        <v>40.541000000000004</v>
      </c>
      <c r="I253" s="5"/>
      <c r="J253" s="15">
        <v>2478.6810999999998</v>
      </c>
      <c r="K253" s="16">
        <v>40.119300000000003</v>
      </c>
      <c r="L253" s="16">
        <v>42.206499999999998</v>
      </c>
      <c r="M253" s="16">
        <v>43.845700000000001</v>
      </c>
      <c r="N253" s="16">
        <v>1.6609</v>
      </c>
      <c r="O253" s="16">
        <f t="shared" si="8"/>
        <v>40.846000000000004</v>
      </c>
      <c r="P253" s="7"/>
      <c r="Q253" s="8">
        <f>bdrate(C253:C256,D253:D256,J253:J256,K253:K256)</f>
        <v>-0.54729156509303944</v>
      </c>
      <c r="R253" s="8">
        <f>bdrate(C253:C256,E253:E256,J253:J256,L253:L256)</f>
        <v>-0.57450395609809313</v>
      </c>
      <c r="S253" s="8">
        <f>bdrate(C253:C256,F253:F256,J253:J256,M253:M256)</f>
        <v>-0.62949454988585551</v>
      </c>
      <c r="T253" s="25">
        <f>bdrate(C253:C256,H253:H256,J253:J256,O253:O256)</f>
        <v>-0.5560901527975457</v>
      </c>
      <c r="U253" s="28">
        <f t="shared" si="6"/>
        <v>0.32872000000000001</v>
      </c>
    </row>
    <row r="254" spans="2:21" hidden="1" x14ac:dyDescent="0.25">
      <c r="B254" s="9"/>
      <c r="C254" s="17">
        <v>2283.81</v>
      </c>
      <c r="D254" s="18">
        <v>39.031999999999996</v>
      </c>
      <c r="E254" s="18">
        <v>41.529000000000003</v>
      </c>
      <c r="F254" s="18">
        <v>43.094000000000001</v>
      </c>
      <c r="G254" s="18">
        <v>1.38</v>
      </c>
      <c r="H254" s="18">
        <f t="shared" si="7"/>
        <v>39.851875</v>
      </c>
      <c r="I254" s="5"/>
      <c r="J254" s="17">
        <v>1627.5443</v>
      </c>
      <c r="K254" s="18">
        <v>39.611199999999997</v>
      </c>
      <c r="L254" s="18">
        <v>41.905799999999999</v>
      </c>
      <c r="M254" s="18">
        <v>43.560499999999998</v>
      </c>
      <c r="N254" s="18">
        <v>2.0318000000000001</v>
      </c>
      <c r="O254" s="18">
        <f t="shared" si="8"/>
        <v>40.391687499999996</v>
      </c>
      <c r="P254" s="7"/>
      <c r="Q254" s="10"/>
      <c r="R254" s="11"/>
      <c r="S254" s="11"/>
      <c r="T254" s="26"/>
      <c r="U254" s="28">
        <f t="shared" si="6"/>
        <v>0.4723188405797103</v>
      </c>
    </row>
    <row r="255" spans="2:21" hidden="1" x14ac:dyDescent="0.25">
      <c r="B255" s="9"/>
      <c r="C255" s="17">
        <v>1428.18</v>
      </c>
      <c r="D255" s="18">
        <v>38.015000000000001</v>
      </c>
      <c r="E255" s="18">
        <v>41.076000000000001</v>
      </c>
      <c r="F255" s="18">
        <v>42.594999999999999</v>
      </c>
      <c r="G255" s="18">
        <v>1.57</v>
      </c>
      <c r="H255" s="18">
        <f t="shared" si="7"/>
        <v>38.970124999999996</v>
      </c>
      <c r="I255" s="5"/>
      <c r="J255" s="17">
        <v>963.13630000000001</v>
      </c>
      <c r="K255" s="18">
        <v>38.926900000000003</v>
      </c>
      <c r="L255" s="18">
        <v>41.524900000000002</v>
      </c>
      <c r="M255" s="18">
        <v>43.204500000000003</v>
      </c>
      <c r="N255" s="18">
        <v>2.6493000000000002</v>
      </c>
      <c r="O255" s="18">
        <f t="shared" si="8"/>
        <v>39.786350000000006</v>
      </c>
      <c r="P255" s="7"/>
      <c r="Q255" s="10"/>
      <c r="R255" s="11"/>
      <c r="S255" s="11"/>
      <c r="T255" s="26"/>
      <c r="U255" s="28">
        <f t="shared" si="6"/>
        <v>0.68745222929936312</v>
      </c>
    </row>
    <row r="256" spans="2:21" ht="16.5" hidden="1" thickBot="1" x14ac:dyDescent="0.3">
      <c r="B256" s="12"/>
      <c r="C256" s="19">
        <v>866.13</v>
      </c>
      <c r="D256" s="20">
        <v>36.433999999999997</v>
      </c>
      <c r="E256" s="20">
        <v>40.475999999999999</v>
      </c>
      <c r="F256" s="20">
        <v>41.856000000000002</v>
      </c>
      <c r="G256" s="20">
        <v>1.89</v>
      </c>
      <c r="H256" s="20">
        <f t="shared" si="7"/>
        <v>37.616999999999997</v>
      </c>
      <c r="I256" s="5"/>
      <c r="J256" s="19">
        <v>553.85739999999998</v>
      </c>
      <c r="K256" s="20">
        <v>38.072099999999999</v>
      </c>
      <c r="L256" s="20">
        <v>41.100099999999998</v>
      </c>
      <c r="M256" s="20">
        <v>42.729700000000001</v>
      </c>
      <c r="N256" s="20">
        <v>3.4727000000000001</v>
      </c>
      <c r="O256" s="20">
        <f t="shared" si="8"/>
        <v>39.032799999999995</v>
      </c>
      <c r="P256" s="7"/>
      <c r="Q256" s="13"/>
      <c r="R256" s="14"/>
      <c r="S256" s="14"/>
      <c r="T256" s="27"/>
      <c r="U256" s="28">
        <f t="shared" si="6"/>
        <v>0.8374074074074076</v>
      </c>
    </row>
    <row r="257" spans="2:21" hidden="1" x14ac:dyDescent="0.25">
      <c r="B257" s="6" t="s">
        <v>93</v>
      </c>
      <c r="C257" s="15">
        <v>3413.81</v>
      </c>
      <c r="D257" s="16">
        <v>36.579000000000001</v>
      </c>
      <c r="E257" s="16">
        <v>40.6</v>
      </c>
      <c r="F257" s="16">
        <v>42.045000000000002</v>
      </c>
      <c r="G257" s="16">
        <v>1.52</v>
      </c>
      <c r="H257" s="16">
        <f t="shared" si="7"/>
        <v>37.764875000000004</v>
      </c>
      <c r="I257" s="5"/>
      <c r="J257" s="15">
        <v>2456.3222000000001</v>
      </c>
      <c r="K257" s="16">
        <v>36.691800000000001</v>
      </c>
      <c r="L257" s="16">
        <v>41.190800000000003</v>
      </c>
      <c r="M257" s="16">
        <v>42.395299999999999</v>
      </c>
      <c r="N257" s="16">
        <v>2.1065</v>
      </c>
      <c r="O257" s="16">
        <f t="shared" si="8"/>
        <v>37.967112500000006</v>
      </c>
      <c r="P257" s="7"/>
      <c r="Q257" s="8">
        <f>bdrate(C257:C260,D257:D260,J257:J260,K257:K260)</f>
        <v>-0.4067048517397438</v>
      </c>
      <c r="R257" s="8">
        <f>bdrate(C257:C260,E257:E260,J257:J260,L257:L260)</f>
        <v>-0.44356035546025874</v>
      </c>
      <c r="S257" s="8">
        <f>bdrate(C257:C260,F257:F260,J257:J260,M257:M260)</f>
        <v>-0.40412954677142343</v>
      </c>
      <c r="T257" s="25">
        <f>bdrate(C257:C260,H257:H260,J257:J260,O257:O260)</f>
        <v>-0.41127093228587563</v>
      </c>
      <c r="U257" s="28">
        <f t="shared" si="6"/>
        <v>0.38585526315789476</v>
      </c>
    </row>
    <row r="258" spans="2:21" hidden="1" x14ac:dyDescent="0.25">
      <c r="B258" s="9"/>
      <c r="C258" s="17">
        <v>2279.79</v>
      </c>
      <c r="D258" s="18">
        <v>34.603999999999999</v>
      </c>
      <c r="E258" s="18">
        <v>39.408000000000001</v>
      </c>
      <c r="F258" s="18">
        <v>40.94</v>
      </c>
      <c r="G258" s="18">
        <v>1.59</v>
      </c>
      <c r="H258" s="18">
        <f t="shared" si="7"/>
        <v>35.996499999999997</v>
      </c>
      <c r="I258" s="5"/>
      <c r="J258" s="17">
        <v>1642.4943000000001</v>
      </c>
      <c r="K258" s="18">
        <v>35.197400000000002</v>
      </c>
      <c r="L258" s="18">
        <v>40.113999999999997</v>
      </c>
      <c r="M258" s="18">
        <v>41.388500000000001</v>
      </c>
      <c r="N258" s="18">
        <v>2.5754000000000001</v>
      </c>
      <c r="O258" s="18">
        <f t="shared" si="8"/>
        <v>36.585862500000005</v>
      </c>
      <c r="P258" s="7"/>
      <c r="Q258" s="10"/>
      <c r="R258" s="11"/>
      <c r="S258" s="11"/>
      <c r="T258" s="26"/>
      <c r="U258" s="28">
        <f t="shared" si="6"/>
        <v>0.61974842767295601</v>
      </c>
    </row>
    <row r="259" spans="2:21" hidden="1" x14ac:dyDescent="0.25">
      <c r="B259" s="9"/>
      <c r="C259" s="17">
        <v>1425.93</v>
      </c>
      <c r="D259" s="18">
        <v>32.494999999999997</v>
      </c>
      <c r="E259" s="18">
        <v>38.252000000000002</v>
      </c>
      <c r="F259" s="18">
        <v>39.805999999999997</v>
      </c>
      <c r="G259" s="18">
        <v>1.7</v>
      </c>
      <c r="H259" s="18">
        <f t="shared" si="7"/>
        <v>34.128499999999995</v>
      </c>
      <c r="I259" s="5"/>
      <c r="J259" s="17">
        <v>1026.1895</v>
      </c>
      <c r="K259" s="18">
        <v>33.549199999999999</v>
      </c>
      <c r="L259" s="18">
        <v>38.904000000000003</v>
      </c>
      <c r="M259" s="18">
        <v>40.287599999999998</v>
      </c>
      <c r="N259" s="18">
        <v>3.2162000000000002</v>
      </c>
      <c r="O259" s="18">
        <f t="shared" si="8"/>
        <v>35.060850000000002</v>
      </c>
      <c r="P259" s="7"/>
      <c r="Q259" s="10"/>
      <c r="R259" s="11"/>
      <c r="S259" s="11"/>
      <c r="T259" s="26"/>
      <c r="U259" s="28">
        <f t="shared" si="6"/>
        <v>0.89188235294117657</v>
      </c>
    </row>
    <row r="260" spans="2:21" ht="16.5" hidden="1" thickBot="1" x14ac:dyDescent="0.3">
      <c r="B260" s="12"/>
      <c r="C260" s="19">
        <v>853.91</v>
      </c>
      <c r="D260" s="20">
        <v>30.263000000000002</v>
      </c>
      <c r="E260" s="20">
        <v>37.198</v>
      </c>
      <c r="F260" s="20">
        <v>38.706000000000003</v>
      </c>
      <c r="G260" s="20">
        <v>1.86</v>
      </c>
      <c r="H260" s="20">
        <f t="shared" si="7"/>
        <v>32.185250000000003</v>
      </c>
      <c r="I260" s="5"/>
      <c r="J260" s="19">
        <v>614.11270000000002</v>
      </c>
      <c r="K260" s="20">
        <v>31.799499999999998</v>
      </c>
      <c r="L260" s="20">
        <v>37.633000000000003</v>
      </c>
      <c r="M260" s="20">
        <v>39.117400000000004</v>
      </c>
      <c r="N260" s="20">
        <v>4.0907</v>
      </c>
      <c r="O260" s="20">
        <f t="shared" si="8"/>
        <v>33.443425000000005</v>
      </c>
      <c r="P260" s="7"/>
      <c r="Q260" s="13"/>
      <c r="R260" s="14"/>
      <c r="S260" s="14"/>
      <c r="T260" s="27"/>
      <c r="U260" s="28">
        <f t="shared" si="6"/>
        <v>1.1993010752688169</v>
      </c>
    </row>
    <row r="261" spans="2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 t="shared" ref="Q261:T261" si="9">AVERAGE(Q9:Q80)</f>
        <v>-0.34210946567576356</v>
      </c>
      <c r="R261" s="21">
        <f t="shared" si="9"/>
        <v>-0.43441571604422341</v>
      </c>
      <c r="S261" s="21">
        <f t="shared" si="9"/>
        <v>-0.43994537012317769</v>
      </c>
      <c r="T261" s="21">
        <f t="shared" si="9"/>
        <v>-0.36358125081382486</v>
      </c>
      <c r="U261" s="21">
        <f>AVERAGE(U9:U80)</f>
        <v>0.39897765778861621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575" priority="255" operator="greaterThan">
      <formula>0.03</formula>
    </cfRule>
    <cfRule type="cellIs" dxfId="574" priority="256" stopIfTrue="1" operator="lessThan">
      <formula>-0.03</formula>
    </cfRule>
  </conditionalFormatting>
  <conditionalFormatting sqref="Q33:T36">
    <cfRule type="cellIs" dxfId="573" priority="253" operator="greaterThan">
      <formula>0.03</formula>
    </cfRule>
    <cfRule type="cellIs" dxfId="572" priority="254" stopIfTrue="1" operator="lessThan">
      <formula>-0.03</formula>
    </cfRule>
  </conditionalFormatting>
  <conditionalFormatting sqref="Q45:T48 Q61:T64">
    <cfRule type="cellIs" dxfId="571" priority="251" operator="greaterThan">
      <formula>0.03</formula>
    </cfRule>
    <cfRule type="cellIs" dxfId="570" priority="252" stopIfTrue="1" operator="lessThan">
      <formula>-0.03</formula>
    </cfRule>
  </conditionalFormatting>
  <conditionalFormatting sqref="Q49:T60">
    <cfRule type="cellIs" dxfId="569" priority="249" operator="greaterThan">
      <formula>0.03</formula>
    </cfRule>
    <cfRule type="cellIs" dxfId="568" priority="250" stopIfTrue="1" operator="lessThan">
      <formula>-0.03</formula>
    </cfRule>
  </conditionalFormatting>
  <conditionalFormatting sqref="Q69:T76">
    <cfRule type="cellIs" dxfId="567" priority="247" operator="greaterThan">
      <formula>0.03</formula>
    </cfRule>
    <cfRule type="cellIs" dxfId="566" priority="248" stopIfTrue="1" operator="lessThan">
      <formula>-0.03</formula>
    </cfRule>
  </conditionalFormatting>
  <conditionalFormatting sqref="Q65:T68">
    <cfRule type="cellIs" dxfId="565" priority="245" operator="greaterThan">
      <formula>0.03</formula>
    </cfRule>
    <cfRule type="cellIs" dxfId="564" priority="246" stopIfTrue="1" operator="lessThan">
      <formula>-0.03</formula>
    </cfRule>
  </conditionalFormatting>
  <conditionalFormatting sqref="Q77:T80">
    <cfRule type="cellIs" dxfId="563" priority="243" operator="greaterThan">
      <formula>0.03</formula>
    </cfRule>
    <cfRule type="cellIs" dxfId="562" priority="244" stopIfTrue="1" operator="lessThan">
      <formula>-0.03</formula>
    </cfRule>
  </conditionalFormatting>
  <conditionalFormatting sqref="Q21:T28">
    <cfRule type="cellIs" dxfId="561" priority="241" operator="greaterThan">
      <formula>0.03</formula>
    </cfRule>
    <cfRule type="cellIs" dxfId="560" priority="242" stopIfTrue="1" operator="lessThan">
      <formula>-0.03</formula>
    </cfRule>
  </conditionalFormatting>
  <conditionalFormatting sqref="Q93:T96">
    <cfRule type="cellIs" dxfId="559" priority="213" operator="greaterThan">
      <formula>0.03</formula>
    </cfRule>
    <cfRule type="cellIs" dxfId="558" priority="214" stopIfTrue="1" operator="lessThan">
      <formula>-0.03</formula>
    </cfRule>
  </conditionalFormatting>
  <conditionalFormatting sqref="Q81:T92">
    <cfRule type="cellIs" dxfId="557" priority="211" operator="greaterThan">
      <formula>0.03</formula>
    </cfRule>
    <cfRule type="cellIs" dxfId="556" priority="212" stopIfTrue="1" operator="lessThan">
      <formula>-0.03</formula>
    </cfRule>
  </conditionalFormatting>
  <conditionalFormatting sqref="Q213:T216 Q221:T228 Q193:T204">
    <cfRule type="cellIs" dxfId="555" priority="149" operator="greaterThan">
      <formula>0.03</formula>
    </cfRule>
    <cfRule type="cellIs" dxfId="554" priority="150" stopIfTrue="1" operator="lessThan">
      <formula>-0.03</formula>
    </cfRule>
  </conditionalFormatting>
  <conditionalFormatting sqref="Q217:T220">
    <cfRule type="cellIs" dxfId="553" priority="147" operator="greaterThan">
      <formula>0.03</formula>
    </cfRule>
    <cfRule type="cellIs" dxfId="552" priority="148" stopIfTrue="1" operator="lessThan">
      <formula>-0.03</formula>
    </cfRule>
  </conditionalFormatting>
  <conditionalFormatting sqref="Q230:T232 Q246:T248">
    <cfRule type="cellIs" dxfId="551" priority="145" operator="greaterThan">
      <formula>0.03</formula>
    </cfRule>
    <cfRule type="cellIs" dxfId="550" priority="146" stopIfTrue="1" operator="lessThan">
      <formula>-0.03</formula>
    </cfRule>
  </conditionalFormatting>
  <conditionalFormatting sqref="Q234:T236 Q238:T240 Q242:T244">
    <cfRule type="cellIs" dxfId="549" priority="143" operator="greaterThan">
      <formula>0.03</formula>
    </cfRule>
    <cfRule type="cellIs" dxfId="548" priority="144" stopIfTrue="1" operator="lessThan">
      <formula>-0.03</formula>
    </cfRule>
  </conditionalFormatting>
  <conditionalFormatting sqref="Q254:T256 Q258:T260">
    <cfRule type="cellIs" dxfId="547" priority="141" operator="greaterThan">
      <formula>0.03</formula>
    </cfRule>
    <cfRule type="cellIs" dxfId="546" priority="142" stopIfTrue="1" operator="lessThan">
      <formula>-0.03</formula>
    </cfRule>
  </conditionalFormatting>
  <conditionalFormatting sqref="Q250:T252">
    <cfRule type="cellIs" dxfId="545" priority="139" operator="greaterThan">
      <formula>0.03</formula>
    </cfRule>
    <cfRule type="cellIs" dxfId="544" priority="140" stopIfTrue="1" operator="lessThan">
      <formula>-0.03</formula>
    </cfRule>
  </conditionalFormatting>
  <conditionalFormatting sqref="Q205:T212">
    <cfRule type="cellIs" dxfId="543" priority="137" operator="greaterThan">
      <formula>0.03</formula>
    </cfRule>
    <cfRule type="cellIs" dxfId="542" priority="138" stopIfTrue="1" operator="lessThan">
      <formula>-0.03</formula>
    </cfRule>
  </conditionalFormatting>
  <conditionalFormatting sqref="Q229:T229">
    <cfRule type="cellIs" dxfId="541" priority="135" operator="greaterThan">
      <formula>0.03</formula>
    </cfRule>
    <cfRule type="cellIs" dxfId="540" priority="136" stopIfTrue="1" operator="lessThan">
      <formula>-0.03</formula>
    </cfRule>
  </conditionalFormatting>
  <conditionalFormatting sqref="Q233:T233">
    <cfRule type="cellIs" dxfId="539" priority="133" operator="greaterThan">
      <formula>0.03</formula>
    </cfRule>
    <cfRule type="cellIs" dxfId="538" priority="134" stopIfTrue="1" operator="lessThan">
      <formula>-0.03</formula>
    </cfRule>
  </conditionalFormatting>
  <conditionalFormatting sqref="Q237:T237">
    <cfRule type="cellIs" dxfId="537" priority="131" operator="greaterThan">
      <formula>0.03</formula>
    </cfRule>
    <cfRule type="cellIs" dxfId="536" priority="132" stopIfTrue="1" operator="lessThan">
      <formula>-0.03</formula>
    </cfRule>
  </conditionalFormatting>
  <conditionalFormatting sqref="Q241:T241">
    <cfRule type="cellIs" dxfId="535" priority="129" operator="greaterThan">
      <formula>0.03</formula>
    </cfRule>
    <cfRule type="cellIs" dxfId="534" priority="130" stopIfTrue="1" operator="lessThan">
      <formula>-0.03</formula>
    </cfRule>
  </conditionalFormatting>
  <conditionalFormatting sqref="Q245:T245">
    <cfRule type="cellIs" dxfId="533" priority="127" operator="greaterThan">
      <formula>0.03</formula>
    </cfRule>
    <cfRule type="cellIs" dxfId="532" priority="128" stopIfTrue="1" operator="lessThan">
      <formula>-0.03</formula>
    </cfRule>
  </conditionalFormatting>
  <conditionalFormatting sqref="Q249:T249">
    <cfRule type="cellIs" dxfId="531" priority="125" operator="greaterThan">
      <formula>0.03</formula>
    </cfRule>
    <cfRule type="cellIs" dxfId="530" priority="126" stopIfTrue="1" operator="lessThan">
      <formula>-0.03</formula>
    </cfRule>
  </conditionalFormatting>
  <conditionalFormatting sqref="Q253:T253">
    <cfRule type="cellIs" dxfId="529" priority="123" operator="greaterThan">
      <formula>0.03</formula>
    </cfRule>
    <cfRule type="cellIs" dxfId="528" priority="124" stopIfTrue="1" operator="lessThan">
      <formula>-0.03</formula>
    </cfRule>
  </conditionalFormatting>
  <conditionalFormatting sqref="Q257:T257">
    <cfRule type="cellIs" dxfId="527" priority="121" operator="greaterThan">
      <formula>0.03</formula>
    </cfRule>
    <cfRule type="cellIs" dxfId="526" priority="122" stopIfTrue="1" operator="lessThan">
      <formula>-0.03</formula>
    </cfRule>
  </conditionalFormatting>
  <conditionalFormatting sqref="Q109:T112 Q117:T124 Q97:T100">
    <cfRule type="cellIs" dxfId="525" priority="39" operator="greaterThan">
      <formula>0.03</formula>
    </cfRule>
    <cfRule type="cellIs" dxfId="524" priority="40" stopIfTrue="1" operator="lessThan">
      <formula>-0.03</formula>
    </cfRule>
  </conditionalFormatting>
  <conditionalFormatting sqref="Q113:T116">
    <cfRule type="cellIs" dxfId="523" priority="37" operator="greaterThan">
      <formula>0.03</formula>
    </cfRule>
    <cfRule type="cellIs" dxfId="522" priority="38" stopIfTrue="1" operator="lessThan">
      <formula>-0.03</formula>
    </cfRule>
  </conditionalFormatting>
  <conditionalFormatting sqref="Q126:T128 Q142:T144">
    <cfRule type="cellIs" dxfId="521" priority="35" operator="greaterThan">
      <formula>0.03</formula>
    </cfRule>
    <cfRule type="cellIs" dxfId="520" priority="36" stopIfTrue="1" operator="lessThan">
      <formula>-0.03</formula>
    </cfRule>
  </conditionalFormatting>
  <conditionalFormatting sqref="Q130:T132 Q134:T136 Q138:T140">
    <cfRule type="cellIs" dxfId="519" priority="33" operator="greaterThan">
      <formula>0.03</formula>
    </cfRule>
    <cfRule type="cellIs" dxfId="518" priority="34" stopIfTrue="1" operator="lessThan">
      <formula>-0.03</formula>
    </cfRule>
  </conditionalFormatting>
  <conditionalFormatting sqref="Q101:T108">
    <cfRule type="cellIs" dxfId="517" priority="31" operator="greaterThan">
      <formula>0.03</formula>
    </cfRule>
    <cfRule type="cellIs" dxfId="516" priority="32" stopIfTrue="1" operator="lessThan">
      <formula>-0.03</formula>
    </cfRule>
  </conditionalFormatting>
  <conditionalFormatting sqref="Q125:T125">
    <cfRule type="cellIs" dxfId="515" priority="29" operator="greaterThan">
      <formula>0.03</formula>
    </cfRule>
    <cfRule type="cellIs" dxfId="514" priority="30" stopIfTrue="1" operator="lessThan">
      <formula>-0.03</formula>
    </cfRule>
  </conditionalFormatting>
  <conditionalFormatting sqref="Q129:T129">
    <cfRule type="cellIs" dxfId="513" priority="27" operator="greaterThan">
      <formula>0.03</formula>
    </cfRule>
    <cfRule type="cellIs" dxfId="512" priority="28" stopIfTrue="1" operator="lessThan">
      <formula>-0.03</formula>
    </cfRule>
  </conditionalFormatting>
  <conditionalFormatting sqref="Q133:T133">
    <cfRule type="cellIs" dxfId="511" priority="25" operator="greaterThan">
      <formula>0.03</formula>
    </cfRule>
    <cfRule type="cellIs" dxfId="510" priority="26" stopIfTrue="1" operator="lessThan">
      <formula>-0.03</formula>
    </cfRule>
  </conditionalFormatting>
  <conditionalFormatting sqref="Q137:T137">
    <cfRule type="cellIs" dxfId="509" priority="23" operator="greaterThan">
      <formula>0.03</formula>
    </cfRule>
    <cfRule type="cellIs" dxfId="508" priority="24" stopIfTrue="1" operator="lessThan">
      <formula>-0.03</formula>
    </cfRule>
  </conditionalFormatting>
  <conditionalFormatting sqref="Q141:T141">
    <cfRule type="cellIs" dxfId="507" priority="21" operator="greaterThan">
      <formula>0.03</formula>
    </cfRule>
    <cfRule type="cellIs" dxfId="506" priority="22" stopIfTrue="1" operator="lessThan">
      <formula>-0.03</formula>
    </cfRule>
  </conditionalFormatting>
  <conditionalFormatting sqref="Q157:T160 Q165:T172 Q145:T148">
    <cfRule type="cellIs" dxfId="505" priority="19" operator="greaterThan">
      <formula>0.03</formula>
    </cfRule>
    <cfRule type="cellIs" dxfId="504" priority="20" stopIfTrue="1" operator="lessThan">
      <formula>-0.03</formula>
    </cfRule>
  </conditionalFormatting>
  <conditionalFormatting sqref="Q161:T164">
    <cfRule type="cellIs" dxfId="503" priority="17" operator="greaterThan">
      <formula>0.03</formula>
    </cfRule>
    <cfRule type="cellIs" dxfId="502" priority="18" stopIfTrue="1" operator="lessThan">
      <formula>-0.03</formula>
    </cfRule>
  </conditionalFormatting>
  <conditionalFormatting sqref="Q174:T176 Q190:T192">
    <cfRule type="cellIs" dxfId="501" priority="15" operator="greaterThan">
      <formula>0.03</formula>
    </cfRule>
    <cfRule type="cellIs" dxfId="500" priority="16" stopIfTrue="1" operator="lessThan">
      <formula>-0.03</formula>
    </cfRule>
  </conditionalFormatting>
  <conditionalFormatting sqref="Q178:T180 Q182:T184 Q186:T188">
    <cfRule type="cellIs" dxfId="499" priority="13" operator="greaterThan">
      <formula>0.03</formula>
    </cfRule>
    <cfRule type="cellIs" dxfId="498" priority="14" stopIfTrue="1" operator="lessThan">
      <formula>-0.03</formula>
    </cfRule>
  </conditionalFormatting>
  <conditionalFormatting sqref="Q149:T156">
    <cfRule type="cellIs" dxfId="497" priority="11" operator="greaterThan">
      <formula>0.03</formula>
    </cfRule>
    <cfRule type="cellIs" dxfId="496" priority="12" stopIfTrue="1" operator="lessThan">
      <formula>-0.03</formula>
    </cfRule>
  </conditionalFormatting>
  <conditionalFormatting sqref="Q173:T173">
    <cfRule type="cellIs" dxfId="495" priority="9" operator="greaterThan">
      <formula>0.03</formula>
    </cfRule>
    <cfRule type="cellIs" dxfId="494" priority="10" stopIfTrue="1" operator="lessThan">
      <formula>-0.03</formula>
    </cfRule>
  </conditionalFormatting>
  <conditionalFormatting sqref="Q177:T177">
    <cfRule type="cellIs" dxfId="493" priority="7" operator="greaterThan">
      <formula>0.03</formula>
    </cfRule>
    <cfRule type="cellIs" dxfId="492" priority="8" stopIfTrue="1" operator="lessThan">
      <formula>-0.03</formula>
    </cfRule>
  </conditionalFormatting>
  <conditionalFormatting sqref="Q181:T181">
    <cfRule type="cellIs" dxfId="491" priority="5" operator="greaterThan">
      <formula>0.03</formula>
    </cfRule>
    <cfRule type="cellIs" dxfId="490" priority="6" stopIfTrue="1" operator="lessThan">
      <formula>-0.03</formula>
    </cfRule>
  </conditionalFormatting>
  <conditionalFormatting sqref="Q185:T185">
    <cfRule type="cellIs" dxfId="489" priority="3" operator="greaterThan">
      <formula>0.03</formula>
    </cfRule>
    <cfRule type="cellIs" dxfId="488" priority="4" stopIfTrue="1" operator="lessThan">
      <formula>-0.03</formula>
    </cfRule>
  </conditionalFormatting>
  <conditionalFormatting sqref="Q189:T189">
    <cfRule type="cellIs" dxfId="487" priority="1" operator="greaterThan">
      <formula>0.03</formula>
    </cfRule>
    <cfRule type="cellIs" dxfId="486" priority="2" stopIfTrue="1" operator="lessThan">
      <formula>-0.03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19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172</v>
      </c>
    </row>
    <row r="2" spans="1:21" x14ac:dyDescent="0.25">
      <c r="A2" t="s">
        <v>159</v>
      </c>
    </row>
    <row r="3" spans="1:21" x14ac:dyDescent="0.25">
      <c r="A3" t="s">
        <v>173</v>
      </c>
    </row>
    <row r="4" spans="1:21" x14ac:dyDescent="0.25">
      <c r="A4" t="s">
        <v>103</v>
      </c>
    </row>
    <row r="5" spans="1:21" s="35" customFormat="1" ht="15.75" customHeight="1" x14ac:dyDescent="0.25">
      <c r="B5" s="68" t="s">
        <v>29</v>
      </c>
      <c r="C5" s="73" t="s">
        <v>164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5"/>
    </row>
    <row r="6" spans="1:21" s="35" customFormat="1" x14ac:dyDescent="0.25">
      <c r="B6" s="69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8"/>
    </row>
    <row r="7" spans="1:21" ht="16.5" customHeight="1" thickBot="1" x14ac:dyDescent="0.3">
      <c r="C7" s="70" t="s">
        <v>66</v>
      </c>
      <c r="D7" s="71"/>
      <c r="E7" s="71"/>
      <c r="F7" s="71"/>
      <c r="G7" s="71"/>
      <c r="H7" s="71"/>
      <c r="I7" s="5"/>
      <c r="J7" s="70" t="s">
        <v>136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</row>
    <row r="9" spans="1:21" x14ac:dyDescent="0.25">
      <c r="A9" s="6" t="s">
        <v>35</v>
      </c>
      <c r="B9" s="6" t="s">
        <v>46</v>
      </c>
      <c r="C9" s="15">
        <v>3822.27</v>
      </c>
      <c r="D9" s="16">
        <v>36.168999999999997</v>
      </c>
      <c r="E9" s="16">
        <v>37.973999999999997</v>
      </c>
      <c r="F9" s="16">
        <v>40.26</v>
      </c>
      <c r="G9" s="16">
        <v>10.06</v>
      </c>
      <c r="H9" s="16">
        <f t="shared" ref="H9:H80" si="0">(6*D9+E9+F9)/8</f>
        <v>36.905999999999999</v>
      </c>
      <c r="I9" s="5"/>
      <c r="J9" s="15">
        <v>4063.9104000000002</v>
      </c>
      <c r="K9" s="16">
        <v>37.850499999999997</v>
      </c>
      <c r="L9" s="16">
        <v>39.520000000000003</v>
      </c>
      <c r="M9" s="16">
        <v>42.028700000000001</v>
      </c>
      <c r="N9" s="16">
        <v>15.9727</v>
      </c>
      <c r="O9" s="16">
        <f t="shared" ref="O9:O80" si="1">(6*K9+L9+M9)/8</f>
        <v>38.581462500000001</v>
      </c>
      <c r="P9" s="7"/>
      <c r="Q9" s="8">
        <f>bdrate(C9:C12,D9:D12,J9:J12,K9:K12)</f>
        <v>-0.32961538318745398</v>
      </c>
      <c r="R9" s="8">
        <f>bdrate(C9:C12,E9:E12,J9:J12,L9:L12)</f>
        <v>-0.57228235438487629</v>
      </c>
      <c r="S9" s="8">
        <f>bdrate(C9:C12,F9:F12,J9:J12,M9:M12)</f>
        <v>-0.56130184613627276</v>
      </c>
      <c r="T9" s="25">
        <f>bdrate(C9:C12,H9:H12,J9:J12,O9:O12)</f>
        <v>-0.37026909590555734</v>
      </c>
      <c r="U9" s="28">
        <f t="shared" ref="U9:U72" si="2">(N9-G9)/G9</f>
        <v>0.58774353876739549</v>
      </c>
    </row>
    <row r="10" spans="1:21" x14ac:dyDescent="0.25">
      <c r="A10" s="9" t="s">
        <v>36</v>
      </c>
      <c r="B10" s="9"/>
      <c r="C10" s="17">
        <v>2847.97</v>
      </c>
      <c r="D10" s="18">
        <v>35.134</v>
      </c>
      <c r="E10" s="18">
        <v>37.378999999999998</v>
      </c>
      <c r="F10" s="18">
        <v>39.671999999999997</v>
      </c>
      <c r="G10" s="18">
        <v>11.19</v>
      </c>
      <c r="H10" s="18">
        <f t="shared" si="0"/>
        <v>35.981875000000002</v>
      </c>
      <c r="I10" s="5"/>
      <c r="J10" s="17">
        <v>2952.4623999999999</v>
      </c>
      <c r="K10" s="18">
        <v>36.825400000000002</v>
      </c>
      <c r="L10" s="18">
        <v>38.925699999999999</v>
      </c>
      <c r="M10" s="18">
        <v>41.302300000000002</v>
      </c>
      <c r="N10" s="18">
        <v>18.315000000000001</v>
      </c>
      <c r="O10" s="18">
        <f t="shared" si="1"/>
        <v>37.647550000000003</v>
      </c>
      <c r="P10" s="7"/>
      <c r="Q10" s="10"/>
      <c r="R10" s="11"/>
      <c r="S10" s="11"/>
      <c r="T10" s="26"/>
      <c r="U10" s="28">
        <f t="shared" si="2"/>
        <v>0.63672922252010744</v>
      </c>
    </row>
    <row r="11" spans="1:21" x14ac:dyDescent="0.25">
      <c r="B11" s="9"/>
      <c r="C11" s="17">
        <v>1855.06</v>
      </c>
      <c r="D11" s="18">
        <v>33.637999999999998</v>
      </c>
      <c r="E11" s="18">
        <v>36.573999999999998</v>
      </c>
      <c r="F11" s="18">
        <v>38.884999999999998</v>
      </c>
      <c r="G11" s="18">
        <v>12.41</v>
      </c>
      <c r="H11" s="18">
        <f t="shared" si="0"/>
        <v>34.660874999999997</v>
      </c>
      <c r="I11" s="5"/>
      <c r="J11" s="17">
        <v>1946.1312</v>
      </c>
      <c r="K11" s="18">
        <v>35.270200000000003</v>
      </c>
      <c r="L11" s="18">
        <v>38.216099999999997</v>
      </c>
      <c r="M11" s="18">
        <v>40.520200000000003</v>
      </c>
      <c r="N11" s="18">
        <v>20.8565</v>
      </c>
      <c r="O11" s="18">
        <f t="shared" si="1"/>
        <v>36.294687500000002</v>
      </c>
      <c r="P11" s="7"/>
      <c r="Q11" s="10"/>
      <c r="R11" s="11"/>
      <c r="S11" s="11"/>
      <c r="T11" s="26"/>
      <c r="U11" s="28">
        <f t="shared" si="2"/>
        <v>0.68062046736502824</v>
      </c>
    </row>
    <row r="12" spans="1:21" ht="16.5" thickBot="1" x14ac:dyDescent="0.3">
      <c r="B12" s="12"/>
      <c r="C12" s="19">
        <v>897.67</v>
      </c>
      <c r="D12" s="20">
        <v>31.254000000000001</v>
      </c>
      <c r="E12" s="20">
        <v>35.915999999999997</v>
      </c>
      <c r="F12" s="20">
        <v>38.188000000000002</v>
      </c>
      <c r="G12" s="20">
        <v>16.100000000000001</v>
      </c>
      <c r="H12" s="20">
        <f t="shared" si="0"/>
        <v>32.703499999999998</v>
      </c>
      <c r="I12" s="5"/>
      <c r="J12" s="19">
        <v>914.61440000000005</v>
      </c>
      <c r="K12" s="20">
        <v>32.4452</v>
      </c>
      <c r="L12" s="20">
        <v>36.850299999999997</v>
      </c>
      <c r="M12" s="20">
        <v>39.063499999999998</v>
      </c>
      <c r="N12" s="20">
        <v>27.0124</v>
      </c>
      <c r="O12" s="20">
        <f t="shared" si="1"/>
        <v>33.823124999999997</v>
      </c>
      <c r="P12" s="7"/>
      <c r="Q12" s="13"/>
      <c r="R12" s="14"/>
      <c r="S12" s="14"/>
      <c r="T12" s="27"/>
      <c r="U12" s="28">
        <f t="shared" si="2"/>
        <v>0.67778881987577622</v>
      </c>
    </row>
    <row r="13" spans="1:21" x14ac:dyDescent="0.25">
      <c r="B13" s="6" t="s">
        <v>47</v>
      </c>
      <c r="C13" s="15">
        <v>4102.9799999999996</v>
      </c>
      <c r="D13" s="16">
        <v>28.965</v>
      </c>
      <c r="E13" s="16">
        <v>38.179000000000002</v>
      </c>
      <c r="F13" s="16">
        <v>39.206000000000003</v>
      </c>
      <c r="G13" s="16">
        <v>7.52</v>
      </c>
      <c r="H13" s="16">
        <f t="shared" si="0"/>
        <v>31.396875000000001</v>
      </c>
      <c r="I13" s="5"/>
      <c r="J13" s="15">
        <v>4150.0959999999995</v>
      </c>
      <c r="K13" s="16">
        <v>29.322700000000001</v>
      </c>
      <c r="L13" s="16">
        <v>39.225299999999997</v>
      </c>
      <c r="M13" s="16">
        <v>40.181399999999996</v>
      </c>
      <c r="N13" s="16">
        <v>11.5571</v>
      </c>
      <c r="O13" s="16">
        <f t="shared" si="1"/>
        <v>31.917862500000002</v>
      </c>
      <c r="P13" s="7"/>
      <c r="Q13" s="8">
        <f>bdrate(C13:C16,D13:D16,J13:J16,K13:K16)</f>
        <v>-9.37775287316156E-3</v>
      </c>
      <c r="R13" s="8">
        <f>bdrate(C13:C16,E13:E16,J13:J16,L13:L16)</f>
        <v>-0.37358649279212963</v>
      </c>
      <c r="S13" s="8">
        <f>bdrate(C13:C16,F13:F16,J13:J16,M13:M16)</f>
        <v>-0.41569369978780812</v>
      </c>
      <c r="T13" s="25">
        <f>bdrate(C13:C16,H13:H16,J13:J16,O13:O16)</f>
        <v>-7.894094804163776E-2</v>
      </c>
      <c r="U13" s="28">
        <f t="shared" si="2"/>
        <v>0.53684840425531921</v>
      </c>
    </row>
    <row r="14" spans="1:21" x14ac:dyDescent="0.25">
      <c r="B14" s="9"/>
      <c r="C14" s="17">
        <v>3063.23</v>
      </c>
      <c r="D14" s="18">
        <v>27.792999999999999</v>
      </c>
      <c r="E14" s="18">
        <v>37.695999999999998</v>
      </c>
      <c r="F14" s="18">
        <v>38.692999999999998</v>
      </c>
      <c r="G14" s="18">
        <v>8.25</v>
      </c>
      <c r="H14" s="18">
        <f t="shared" si="0"/>
        <v>30.393374999999999</v>
      </c>
      <c r="I14" s="5"/>
      <c r="J14" s="17">
        <v>3111.7584000000002</v>
      </c>
      <c r="K14" s="18">
        <v>28.0441</v>
      </c>
      <c r="L14" s="18">
        <v>38.692900000000002</v>
      </c>
      <c r="M14" s="18">
        <v>39.728999999999999</v>
      </c>
      <c r="N14" s="18">
        <v>13.409599999999999</v>
      </c>
      <c r="O14" s="18">
        <f t="shared" si="1"/>
        <v>30.835812500000003</v>
      </c>
      <c r="P14" s="7"/>
      <c r="Q14" s="10"/>
      <c r="R14" s="11"/>
      <c r="S14" s="11"/>
      <c r="T14" s="26"/>
      <c r="U14" s="28">
        <f t="shared" si="2"/>
        <v>0.62540606060606052</v>
      </c>
    </row>
    <row r="15" spans="1:21" x14ac:dyDescent="0.25">
      <c r="B15" s="9"/>
      <c r="C15" s="17">
        <v>2024.68</v>
      </c>
      <c r="D15" s="18">
        <v>26.263000000000002</v>
      </c>
      <c r="E15" s="18">
        <v>36.738</v>
      </c>
      <c r="F15" s="18">
        <v>37.844999999999999</v>
      </c>
      <c r="G15" s="18">
        <v>9.3699999999999992</v>
      </c>
      <c r="H15" s="18">
        <f t="shared" si="0"/>
        <v>29.020125</v>
      </c>
      <c r="I15" s="5"/>
      <c r="J15" s="17">
        <v>2091.848</v>
      </c>
      <c r="K15" s="18">
        <v>26.311</v>
      </c>
      <c r="L15" s="18">
        <v>37.913800000000002</v>
      </c>
      <c r="M15" s="18">
        <v>39.0505</v>
      </c>
      <c r="N15" s="18">
        <v>15.8932</v>
      </c>
      <c r="O15" s="18">
        <f t="shared" si="1"/>
        <v>29.353787499999999</v>
      </c>
      <c r="P15" s="7"/>
      <c r="Q15" s="10"/>
      <c r="R15" s="11"/>
      <c r="S15" s="11"/>
      <c r="T15" s="26"/>
      <c r="U15" s="28">
        <f t="shared" si="2"/>
        <v>0.69617929562433312</v>
      </c>
    </row>
    <row r="16" spans="1:21" ht="16.5" thickBot="1" x14ac:dyDescent="0.3">
      <c r="B16" s="12"/>
      <c r="C16" s="19">
        <v>995.15</v>
      </c>
      <c r="D16" s="20">
        <v>23.677</v>
      </c>
      <c r="E16" s="20">
        <v>35.286000000000001</v>
      </c>
      <c r="F16" s="20">
        <v>36.511000000000003</v>
      </c>
      <c r="G16" s="20">
        <v>10.98</v>
      </c>
      <c r="H16" s="20">
        <f t="shared" si="0"/>
        <v>26.732375000000001</v>
      </c>
      <c r="I16" s="5"/>
      <c r="J16" s="19">
        <v>1192.9215999999999</v>
      </c>
      <c r="K16" s="20">
        <v>24.3432</v>
      </c>
      <c r="L16" s="20">
        <v>36.459600000000002</v>
      </c>
      <c r="M16" s="20">
        <v>37.705300000000001</v>
      </c>
      <c r="N16" s="20">
        <v>19.623200000000001</v>
      </c>
      <c r="O16" s="20">
        <f t="shared" si="1"/>
        <v>27.528012499999999</v>
      </c>
      <c r="P16" s="7"/>
      <c r="Q16" s="13"/>
      <c r="R16" s="14"/>
      <c r="S16" s="14"/>
      <c r="T16" s="27"/>
      <c r="U16" s="28">
        <f t="shared" si="2"/>
        <v>0.78717668488160286</v>
      </c>
    </row>
    <row r="17" spans="1:21" x14ac:dyDescent="0.25">
      <c r="A17" s="6" t="s">
        <v>37</v>
      </c>
      <c r="B17" s="6" t="s">
        <v>48</v>
      </c>
      <c r="C17" s="15">
        <v>2005.39</v>
      </c>
      <c r="D17" s="16">
        <v>38.426000000000002</v>
      </c>
      <c r="E17" s="16">
        <v>40.988999999999997</v>
      </c>
      <c r="F17" s="16">
        <v>42.127000000000002</v>
      </c>
      <c r="G17" s="16">
        <v>14.38</v>
      </c>
      <c r="H17" s="16">
        <f t="shared" si="0"/>
        <v>39.209000000000003</v>
      </c>
      <c r="I17" s="5"/>
      <c r="J17" s="15">
        <v>2422.1104</v>
      </c>
      <c r="K17" s="16">
        <v>39.034100000000002</v>
      </c>
      <c r="L17" s="16">
        <v>41.833500000000001</v>
      </c>
      <c r="M17" s="16">
        <v>43.190199999999997</v>
      </c>
      <c r="N17" s="16">
        <v>28.540800000000001</v>
      </c>
      <c r="O17" s="16">
        <f t="shared" si="1"/>
        <v>39.903537500000006</v>
      </c>
      <c r="P17" s="7"/>
      <c r="Q17" s="8">
        <f>bdrate(C17:C20,D17:D20,J17:J20,K17:K20)</f>
        <v>-5.4940270259386859E-2</v>
      </c>
      <c r="R17" s="8">
        <f>bdrate(C17:C20,E17:E20,J17:J20,L17:L20)</f>
        <v>-0.3526840165727213</v>
      </c>
      <c r="S17" s="8">
        <f>bdrate(C17:C20,F17:F20,J17:J20,M17:M20)</f>
        <v>-0.38537467026978045</v>
      </c>
      <c r="T17" s="25">
        <f>bdrate(C17:C20,H17:H20,J17:J20,O17:O20)</f>
        <v>-0.10898987587547737</v>
      </c>
      <c r="U17" s="28">
        <f t="shared" si="2"/>
        <v>0.98475660639777463</v>
      </c>
    </row>
    <row r="18" spans="1:21" x14ac:dyDescent="0.25">
      <c r="A18" s="9" t="s">
        <v>38</v>
      </c>
      <c r="B18" s="9"/>
      <c r="C18" s="17">
        <v>1313.05</v>
      </c>
      <c r="D18" s="18">
        <v>37.082000000000001</v>
      </c>
      <c r="E18" s="18">
        <v>40.131</v>
      </c>
      <c r="F18" s="18">
        <v>41.262999999999998</v>
      </c>
      <c r="G18" s="18">
        <v>17.21</v>
      </c>
      <c r="H18" s="18">
        <f t="shared" si="0"/>
        <v>37.985750000000003</v>
      </c>
      <c r="I18" s="5"/>
      <c r="J18" s="17">
        <v>1582.144</v>
      </c>
      <c r="K18" s="18">
        <v>37.804299999999998</v>
      </c>
      <c r="L18" s="18">
        <v>41.164700000000003</v>
      </c>
      <c r="M18" s="18">
        <v>42.411299999999997</v>
      </c>
      <c r="N18" s="18">
        <v>33.0124</v>
      </c>
      <c r="O18" s="18">
        <f t="shared" si="1"/>
        <v>38.800224999999998</v>
      </c>
      <c r="P18" s="7"/>
      <c r="Q18" s="10"/>
      <c r="R18" s="11"/>
      <c r="S18" s="11"/>
      <c r="T18" s="26"/>
      <c r="U18" s="28">
        <f t="shared" si="2"/>
        <v>0.91821034282393943</v>
      </c>
    </row>
    <row r="19" spans="1:21" x14ac:dyDescent="0.25">
      <c r="B19" s="9"/>
      <c r="C19" s="17">
        <v>808.14</v>
      </c>
      <c r="D19" s="18">
        <v>35.436</v>
      </c>
      <c r="E19" s="18">
        <v>39.277000000000001</v>
      </c>
      <c r="F19" s="18">
        <v>40.524999999999999</v>
      </c>
      <c r="G19" s="18">
        <v>19.23</v>
      </c>
      <c r="H19" s="18">
        <f t="shared" si="0"/>
        <v>36.552249999999994</v>
      </c>
      <c r="I19" s="5"/>
      <c r="J19" s="17">
        <v>959.32399999999996</v>
      </c>
      <c r="K19" s="18">
        <v>36.224600000000002</v>
      </c>
      <c r="L19" s="18">
        <v>40.330500000000001</v>
      </c>
      <c r="M19" s="18">
        <v>41.5505</v>
      </c>
      <c r="N19" s="18">
        <v>38.2714</v>
      </c>
      <c r="O19" s="18">
        <f t="shared" si="1"/>
        <v>37.403574999999996</v>
      </c>
      <c r="P19" s="7"/>
      <c r="Q19" s="10"/>
      <c r="R19" s="11"/>
      <c r="S19" s="11"/>
      <c r="T19" s="26"/>
      <c r="U19" s="28">
        <f t="shared" si="2"/>
        <v>0.99019240769630779</v>
      </c>
    </row>
    <row r="20" spans="1:21" ht="16.5" thickBot="1" x14ac:dyDescent="0.3">
      <c r="B20" s="12"/>
      <c r="C20" s="19">
        <v>481.45</v>
      </c>
      <c r="D20" s="20">
        <v>33.630000000000003</v>
      </c>
      <c r="E20" s="20">
        <v>38.523000000000003</v>
      </c>
      <c r="F20" s="20">
        <v>39.866999999999997</v>
      </c>
      <c r="G20" s="20">
        <v>23.7</v>
      </c>
      <c r="H20" s="20">
        <f t="shared" si="0"/>
        <v>35.021250000000002</v>
      </c>
      <c r="I20" s="5"/>
      <c r="J20" s="19">
        <v>554.78</v>
      </c>
      <c r="K20" s="20">
        <v>34.427999999999997</v>
      </c>
      <c r="L20" s="20">
        <v>39.579500000000003</v>
      </c>
      <c r="M20" s="20">
        <v>40.831699999999998</v>
      </c>
      <c r="N20" s="20">
        <v>45.514899999999997</v>
      </c>
      <c r="O20" s="20">
        <f t="shared" si="1"/>
        <v>35.872399999999999</v>
      </c>
      <c r="P20" s="7"/>
      <c r="Q20" s="13"/>
      <c r="R20" s="14"/>
      <c r="S20" s="14"/>
      <c r="T20" s="27"/>
      <c r="U20" s="28">
        <f t="shared" si="2"/>
        <v>0.92045991561181428</v>
      </c>
    </row>
    <row r="21" spans="1:21" x14ac:dyDescent="0.25">
      <c r="B21" s="6" t="s">
        <v>49</v>
      </c>
      <c r="C21" s="15">
        <v>2304.56</v>
      </c>
      <c r="D21" s="16">
        <v>34.683999999999997</v>
      </c>
      <c r="E21" s="16">
        <v>38.345999999999997</v>
      </c>
      <c r="F21" s="16">
        <v>39.53</v>
      </c>
      <c r="G21" s="16">
        <v>17.78</v>
      </c>
      <c r="H21" s="16">
        <f t="shared" si="0"/>
        <v>35.747500000000002</v>
      </c>
      <c r="I21" s="5"/>
      <c r="J21" s="15">
        <v>2574.4312</v>
      </c>
      <c r="K21" s="16">
        <v>36.081899999999997</v>
      </c>
      <c r="L21" s="16">
        <v>39.990099999999998</v>
      </c>
      <c r="M21" s="16">
        <v>41.235300000000002</v>
      </c>
      <c r="N21" s="16">
        <v>25.3432</v>
      </c>
      <c r="O21" s="16">
        <f t="shared" si="1"/>
        <v>37.214599999999997</v>
      </c>
      <c r="P21" s="7"/>
      <c r="Q21" s="8">
        <f>bdrate(C21:C24,D21:D24,J21:J24,K21:K24)</f>
        <v>-0.26674790138285864</v>
      </c>
      <c r="R21" s="8">
        <f>bdrate(C21:C24,E21:E24,J21:J24,L21:L24)</f>
        <v>-0.53792691455210617</v>
      </c>
      <c r="S21" s="8">
        <f>bdrate(C21:C24,F21:F24,J21:J24,M21:M24)</f>
        <v>-0.56087904344922579</v>
      </c>
      <c r="T21" s="25">
        <f>bdrate(C21:C24,H21:H24,J21:J24,O21:O24)</f>
        <v>-0.3187848918093662</v>
      </c>
      <c r="U21" s="28">
        <f t="shared" si="2"/>
        <v>0.42537682789651282</v>
      </c>
    </row>
    <row r="22" spans="1:21" x14ac:dyDescent="0.25">
      <c r="B22" s="9"/>
      <c r="C22" s="17">
        <v>1528.24</v>
      </c>
      <c r="D22" s="18">
        <v>33.468000000000004</v>
      </c>
      <c r="E22" s="18">
        <v>37.511000000000003</v>
      </c>
      <c r="F22" s="18">
        <v>38.932000000000002</v>
      </c>
      <c r="G22" s="18">
        <v>20.43</v>
      </c>
      <c r="H22" s="18">
        <f t="shared" si="0"/>
        <v>34.656375000000004</v>
      </c>
      <c r="I22" s="5"/>
      <c r="J22" s="17">
        <v>1693.8471999999999</v>
      </c>
      <c r="K22" s="18">
        <v>34.7913</v>
      </c>
      <c r="L22" s="18">
        <v>39.196100000000001</v>
      </c>
      <c r="M22" s="18">
        <v>40.417900000000003</v>
      </c>
      <c r="N22" s="18">
        <v>32.3887</v>
      </c>
      <c r="O22" s="18">
        <f t="shared" si="1"/>
        <v>36.045225000000002</v>
      </c>
      <c r="P22" s="7"/>
      <c r="Q22" s="10"/>
      <c r="R22" s="11"/>
      <c r="S22" s="11"/>
      <c r="T22" s="26"/>
      <c r="U22" s="28">
        <f t="shared" si="2"/>
        <v>0.58534997552618695</v>
      </c>
    </row>
    <row r="23" spans="1:21" x14ac:dyDescent="0.25">
      <c r="B23" s="9"/>
      <c r="C23" s="17">
        <v>949.56</v>
      </c>
      <c r="D23" s="18">
        <v>32.127000000000002</v>
      </c>
      <c r="E23" s="18">
        <v>36.692</v>
      </c>
      <c r="F23" s="18">
        <v>38.411000000000001</v>
      </c>
      <c r="G23" s="18">
        <v>24.15</v>
      </c>
      <c r="H23" s="18">
        <f t="shared" si="0"/>
        <v>33.483125000000001</v>
      </c>
      <c r="I23" s="5"/>
      <c r="J23" s="17">
        <v>1024.0920000000001</v>
      </c>
      <c r="K23" s="18">
        <v>33.212800000000001</v>
      </c>
      <c r="L23" s="18">
        <v>38.195999999999998</v>
      </c>
      <c r="M23" s="18">
        <v>39.516100000000002</v>
      </c>
      <c r="N23" s="18">
        <v>39.241300000000003</v>
      </c>
      <c r="O23" s="18">
        <f t="shared" si="1"/>
        <v>34.6236125</v>
      </c>
      <c r="P23" s="7"/>
      <c r="Q23" s="10"/>
      <c r="R23" s="11"/>
      <c r="S23" s="11"/>
      <c r="T23" s="26"/>
      <c r="U23" s="28">
        <f t="shared" si="2"/>
        <v>0.62489855072463785</v>
      </c>
    </row>
    <row r="24" spans="1:21" ht="16.5" thickBot="1" x14ac:dyDescent="0.3">
      <c r="B24" s="12"/>
      <c r="C24" s="19">
        <v>566.94000000000005</v>
      </c>
      <c r="D24" s="20">
        <v>30.713000000000001</v>
      </c>
      <c r="E24" s="20">
        <v>35.945999999999998</v>
      </c>
      <c r="F24" s="20">
        <v>37.875999999999998</v>
      </c>
      <c r="G24" s="20">
        <v>25.43</v>
      </c>
      <c r="H24" s="20">
        <f t="shared" si="0"/>
        <v>32.262500000000003</v>
      </c>
      <c r="I24" s="5"/>
      <c r="J24" s="19">
        <v>594.70079999999996</v>
      </c>
      <c r="K24" s="20">
        <v>31.601900000000001</v>
      </c>
      <c r="L24" s="20">
        <v>37.2682</v>
      </c>
      <c r="M24" s="20">
        <v>38.801499999999997</v>
      </c>
      <c r="N24" s="20">
        <v>47.049599999999998</v>
      </c>
      <c r="O24" s="20">
        <f t="shared" si="1"/>
        <v>33.210137500000002</v>
      </c>
      <c r="P24" s="7"/>
      <c r="Q24" s="13"/>
      <c r="R24" s="14"/>
      <c r="S24" s="14"/>
      <c r="T24" s="27"/>
      <c r="U24" s="28">
        <f t="shared" si="2"/>
        <v>0.85016122689736529</v>
      </c>
    </row>
    <row r="25" spans="1:21" x14ac:dyDescent="0.25">
      <c r="B25" s="6" t="s">
        <v>50</v>
      </c>
      <c r="C25" s="15">
        <v>2384.36</v>
      </c>
      <c r="D25" s="16">
        <v>32.590000000000003</v>
      </c>
      <c r="E25" s="16">
        <v>36.887999999999998</v>
      </c>
      <c r="F25" s="16">
        <v>38</v>
      </c>
      <c r="G25" s="16">
        <v>19.71</v>
      </c>
      <c r="H25" s="16">
        <f t="shared" si="0"/>
        <v>33.8035</v>
      </c>
      <c r="I25" s="5"/>
      <c r="J25" s="15">
        <v>2464.4832000000001</v>
      </c>
      <c r="K25" s="16">
        <v>34.234400000000001</v>
      </c>
      <c r="L25" s="16">
        <v>38.099499999999999</v>
      </c>
      <c r="M25" s="16">
        <v>40.057699999999997</v>
      </c>
      <c r="N25" s="16">
        <v>36.461799999999997</v>
      </c>
      <c r="O25" s="16">
        <f t="shared" si="1"/>
        <v>35.445450000000001</v>
      </c>
      <c r="P25" s="7"/>
      <c r="Q25" s="8">
        <f>bdrate(C25:C28,D25:D28,J25:J28,K25:K28)</f>
        <v>-0.38651339615821523</v>
      </c>
      <c r="R25" s="8">
        <f>bdrate(C25:C28,E25:E28,J25:J28,L25:L28)</f>
        <v>-0.56062531246803182</v>
      </c>
      <c r="S25" s="8">
        <f>bdrate(C25:C28,F25:F28,J25:J28,M25:M28)</f>
        <v>-0.53876560340089097</v>
      </c>
      <c r="T25" s="25">
        <f>bdrate(C25:C28,H25:H28,J25:J28,O25:O28)</f>
        <v>-0.41408131229056655</v>
      </c>
      <c r="U25" s="28">
        <f t="shared" si="2"/>
        <v>0.84991374936580388</v>
      </c>
    </row>
    <row r="26" spans="1:21" x14ac:dyDescent="0.25">
      <c r="B26" s="9"/>
      <c r="C26" s="17">
        <v>1587.78</v>
      </c>
      <c r="D26" s="18">
        <v>31.317</v>
      </c>
      <c r="E26" s="18">
        <v>36.484000000000002</v>
      </c>
      <c r="F26" s="18">
        <v>37.350999999999999</v>
      </c>
      <c r="G26" s="18">
        <v>22.23</v>
      </c>
      <c r="H26" s="18">
        <f t="shared" si="0"/>
        <v>32.717124999999996</v>
      </c>
      <c r="I26" s="5"/>
      <c r="J26" s="17">
        <v>1641.5072</v>
      </c>
      <c r="K26" s="18">
        <v>33.055700000000002</v>
      </c>
      <c r="L26" s="18">
        <v>37.625700000000002</v>
      </c>
      <c r="M26" s="18">
        <v>39.147300000000001</v>
      </c>
      <c r="N26" s="18">
        <v>43.077500000000001</v>
      </c>
      <c r="O26" s="18">
        <f t="shared" si="1"/>
        <v>34.388400000000004</v>
      </c>
      <c r="P26" s="7"/>
      <c r="Q26" s="10"/>
      <c r="R26" s="11"/>
      <c r="S26" s="11"/>
      <c r="T26" s="26"/>
      <c r="U26" s="28">
        <f t="shared" si="2"/>
        <v>0.93780926675663512</v>
      </c>
    </row>
    <row r="27" spans="1:21" x14ac:dyDescent="0.25">
      <c r="B27" s="9"/>
      <c r="C27" s="17">
        <v>987.87</v>
      </c>
      <c r="D27" s="18">
        <v>30.061</v>
      </c>
      <c r="E27" s="18">
        <v>36.009</v>
      </c>
      <c r="F27" s="18">
        <v>36.570999999999998</v>
      </c>
      <c r="G27" s="18">
        <v>23.81</v>
      </c>
      <c r="H27" s="18">
        <f t="shared" si="0"/>
        <v>31.61825</v>
      </c>
      <c r="I27" s="5"/>
      <c r="J27" s="17">
        <v>1007.7064</v>
      </c>
      <c r="K27" s="18">
        <v>31.497699999999998</v>
      </c>
      <c r="L27" s="18">
        <v>36.975299999999997</v>
      </c>
      <c r="M27" s="18">
        <v>38.0381</v>
      </c>
      <c r="N27" s="18">
        <v>49.613</v>
      </c>
      <c r="O27" s="18">
        <f t="shared" si="1"/>
        <v>32.999949999999998</v>
      </c>
      <c r="P27" s="7"/>
      <c r="Q27" s="10"/>
      <c r="R27" s="11"/>
      <c r="S27" s="11"/>
      <c r="T27" s="26"/>
      <c r="U27" s="28">
        <f t="shared" si="2"/>
        <v>1.0837043259134818</v>
      </c>
    </row>
    <row r="28" spans="1:21" ht="16.5" thickBot="1" x14ac:dyDescent="0.3">
      <c r="B28" s="12"/>
      <c r="C28" s="19">
        <v>590.07000000000005</v>
      </c>
      <c r="D28" s="20">
        <v>28.742999999999999</v>
      </c>
      <c r="E28" s="20">
        <v>35.338999999999999</v>
      </c>
      <c r="F28" s="20">
        <v>35.6</v>
      </c>
      <c r="G28" s="20">
        <v>27.32</v>
      </c>
      <c r="H28" s="20">
        <f t="shared" si="0"/>
        <v>30.424624999999999</v>
      </c>
      <c r="I28" s="5"/>
      <c r="J28" s="19">
        <v>585.48479999999995</v>
      </c>
      <c r="K28" s="20">
        <v>29.745200000000001</v>
      </c>
      <c r="L28" s="20">
        <v>36.206299999999999</v>
      </c>
      <c r="M28" s="20">
        <v>36.829500000000003</v>
      </c>
      <c r="N28" s="20">
        <v>59.687199999999997</v>
      </c>
      <c r="O28" s="20">
        <f t="shared" si="1"/>
        <v>31.438375000000001</v>
      </c>
      <c r="P28" s="7"/>
      <c r="Q28" s="13"/>
      <c r="R28" s="14"/>
      <c r="S28" s="14"/>
      <c r="T28" s="27"/>
      <c r="U28" s="28">
        <f t="shared" si="2"/>
        <v>1.1847437774524157</v>
      </c>
    </row>
    <row r="29" spans="1:21" x14ac:dyDescent="0.25">
      <c r="B29" s="6" t="s">
        <v>51</v>
      </c>
      <c r="C29" s="29">
        <v>2412.5700000000002</v>
      </c>
      <c r="D29" s="30">
        <v>33.540999999999997</v>
      </c>
      <c r="E29" s="30">
        <v>39.372</v>
      </c>
      <c r="F29" s="30">
        <v>38.847999999999999</v>
      </c>
      <c r="G29" s="16">
        <v>17.28</v>
      </c>
      <c r="H29" s="16">
        <f t="shared" si="0"/>
        <v>34.933250000000001</v>
      </c>
      <c r="I29" s="5"/>
      <c r="J29" s="29">
        <v>2475.6248000000001</v>
      </c>
      <c r="K29" s="30">
        <v>34.116100000000003</v>
      </c>
      <c r="L29" s="30">
        <v>40.1629</v>
      </c>
      <c r="M29" s="30">
        <v>39.600299999999997</v>
      </c>
      <c r="N29" s="16">
        <v>31.515899999999998</v>
      </c>
      <c r="O29" s="16">
        <f t="shared" si="1"/>
        <v>35.557475000000004</v>
      </c>
      <c r="P29" s="7"/>
      <c r="Q29" s="8">
        <f>bdrate(C29:C32,D29:D32,J29:J32,K29:K32)</f>
        <v>-0.13199821390676947</v>
      </c>
      <c r="R29" s="8">
        <f>bdrate(C29:C32,E29:E32,J29:J32,L29:L32)</f>
        <v>-0.23938465696098532</v>
      </c>
      <c r="S29" s="8">
        <f>bdrate(C29:C32,F29:F32,J29:J32,M29:M32)</f>
        <v>-0.16596038355384968</v>
      </c>
      <c r="T29" s="25">
        <f>bdrate(C29:C32,H29:H32,J29:J32,O29:O32)</f>
        <v>-0.14688032026357289</v>
      </c>
      <c r="U29" s="28">
        <f t="shared" si="2"/>
        <v>0.82383680555555538</v>
      </c>
    </row>
    <row r="30" spans="1:21" x14ac:dyDescent="0.25">
      <c r="B30" s="9"/>
      <c r="C30" s="31">
        <v>1597.86</v>
      </c>
      <c r="D30" s="32">
        <v>32.188000000000002</v>
      </c>
      <c r="E30" s="32">
        <v>38.555999999999997</v>
      </c>
      <c r="F30" s="32">
        <v>37.804000000000002</v>
      </c>
      <c r="G30" s="18">
        <v>19.920000000000002</v>
      </c>
      <c r="H30" s="18">
        <f t="shared" si="0"/>
        <v>33.686000000000007</v>
      </c>
      <c r="I30" s="5"/>
      <c r="J30" s="31">
        <v>1650.6335999999999</v>
      </c>
      <c r="K30" s="32">
        <v>32.784999999999997</v>
      </c>
      <c r="L30" s="32">
        <v>39.372599999999998</v>
      </c>
      <c r="M30" s="32">
        <v>38.5002</v>
      </c>
      <c r="N30" s="18">
        <v>37.355200000000004</v>
      </c>
      <c r="O30" s="18">
        <f t="shared" si="1"/>
        <v>34.322849999999995</v>
      </c>
      <c r="P30" s="7"/>
      <c r="Q30" s="10"/>
      <c r="R30" s="11"/>
      <c r="S30" s="11"/>
      <c r="T30" s="26"/>
      <c r="U30" s="28">
        <f t="shared" si="2"/>
        <v>0.8752610441767068</v>
      </c>
    </row>
    <row r="31" spans="1:21" x14ac:dyDescent="0.25">
      <c r="B31" s="9"/>
      <c r="C31" s="31">
        <v>990.72</v>
      </c>
      <c r="D31" s="32">
        <v>30.494</v>
      </c>
      <c r="E31" s="32">
        <v>37.639000000000003</v>
      </c>
      <c r="F31" s="32">
        <v>36.506</v>
      </c>
      <c r="G31" s="18">
        <v>22.67</v>
      </c>
      <c r="H31" s="18">
        <f t="shared" si="0"/>
        <v>32.138625000000005</v>
      </c>
      <c r="I31" s="5"/>
      <c r="J31" s="31">
        <v>1027.4880000000001</v>
      </c>
      <c r="K31" s="32">
        <v>31.116599999999998</v>
      </c>
      <c r="L31" s="32">
        <v>38.358400000000003</v>
      </c>
      <c r="M31" s="32">
        <v>37.094200000000001</v>
      </c>
      <c r="N31" s="18">
        <v>43.368899999999996</v>
      </c>
      <c r="O31" s="18">
        <f t="shared" si="1"/>
        <v>32.769024999999999</v>
      </c>
      <c r="P31" s="7"/>
      <c r="Q31" s="10"/>
      <c r="R31" s="11"/>
      <c r="S31" s="11"/>
      <c r="T31" s="26"/>
      <c r="U31" s="28">
        <f t="shared" si="2"/>
        <v>0.91305249228054663</v>
      </c>
    </row>
    <row r="32" spans="1:21" ht="16.5" thickBot="1" x14ac:dyDescent="0.3">
      <c r="B32" s="12"/>
      <c r="C32" s="33">
        <v>588.19000000000005</v>
      </c>
      <c r="D32" s="34">
        <v>28.655999999999999</v>
      </c>
      <c r="E32" s="34">
        <v>35.942999999999998</v>
      </c>
      <c r="F32" s="34">
        <v>34.814</v>
      </c>
      <c r="G32" s="20">
        <v>25.97</v>
      </c>
      <c r="H32" s="20">
        <f t="shared" si="0"/>
        <v>30.336624999999994</v>
      </c>
      <c r="I32" s="5"/>
      <c r="J32" s="33">
        <v>605.43759999999997</v>
      </c>
      <c r="K32" s="34">
        <v>29.255700000000001</v>
      </c>
      <c r="L32" s="34">
        <v>36.630099999999999</v>
      </c>
      <c r="M32" s="34">
        <v>35.381</v>
      </c>
      <c r="N32" s="20">
        <v>51.7759</v>
      </c>
      <c r="O32" s="20">
        <f t="shared" si="1"/>
        <v>30.9431625</v>
      </c>
      <c r="P32" s="7"/>
      <c r="Q32" s="13"/>
      <c r="R32" s="14"/>
      <c r="S32" s="14"/>
      <c r="T32" s="27"/>
      <c r="U32" s="28">
        <f t="shared" si="2"/>
        <v>0.99368117058144023</v>
      </c>
    </row>
    <row r="33" spans="1:21" x14ac:dyDescent="0.25">
      <c r="B33" s="6" t="s">
        <v>52</v>
      </c>
      <c r="C33" s="15">
        <v>2397.64</v>
      </c>
      <c r="D33" s="16">
        <v>31.81</v>
      </c>
      <c r="E33" s="16">
        <v>38.231000000000002</v>
      </c>
      <c r="F33" s="16">
        <v>40.880000000000003</v>
      </c>
      <c r="G33" s="16">
        <v>24.42</v>
      </c>
      <c r="H33" s="16">
        <f t="shared" si="0"/>
        <v>33.746375</v>
      </c>
      <c r="I33" s="5"/>
      <c r="J33" s="15">
        <v>2424.8272000000002</v>
      </c>
      <c r="K33" s="16">
        <v>33.5687</v>
      </c>
      <c r="L33" s="16">
        <v>39.720100000000002</v>
      </c>
      <c r="M33" s="16">
        <v>42.179099999999998</v>
      </c>
      <c r="N33" s="16">
        <v>41.987400000000001</v>
      </c>
      <c r="O33" s="16">
        <f t="shared" si="1"/>
        <v>35.413924999999999</v>
      </c>
      <c r="P33" s="7"/>
      <c r="Q33" s="8">
        <f>bdrate(C33:C36,D33:D36,J33:J36,K33:K36)</f>
        <v>-0.56385555289262823</v>
      </c>
      <c r="R33" s="8">
        <f>bdrate(C33:C36,E33:E36,J33:J36,L33:L36)</f>
        <v>-0.65028849376736808</v>
      </c>
      <c r="S33" s="8">
        <f>bdrate(C33:C36,F33:F36,J33:J36,M33:M36)</f>
        <v>-0.62541044448089456</v>
      </c>
      <c r="T33" s="25">
        <f>bdrate(C33:C36,H33:H36,J33:J36,O33:O36)</f>
        <v>-0.57199713466992197</v>
      </c>
      <c r="U33" s="28">
        <f t="shared" si="2"/>
        <v>0.71938574938574928</v>
      </c>
    </row>
    <row r="34" spans="1:21" x14ac:dyDescent="0.25">
      <c r="B34" s="9"/>
      <c r="C34" s="17">
        <v>1571.17</v>
      </c>
      <c r="D34" s="18">
        <v>30.896000000000001</v>
      </c>
      <c r="E34" s="18">
        <v>37.877000000000002</v>
      </c>
      <c r="F34" s="18">
        <v>40.536999999999999</v>
      </c>
      <c r="G34" s="18">
        <v>27.91</v>
      </c>
      <c r="H34" s="18">
        <f t="shared" si="0"/>
        <v>32.973750000000003</v>
      </c>
      <c r="I34" s="5"/>
      <c r="J34" s="17">
        <v>1598.2328</v>
      </c>
      <c r="K34" s="18">
        <v>32.857300000000002</v>
      </c>
      <c r="L34" s="18">
        <v>39.22</v>
      </c>
      <c r="M34" s="18">
        <v>41.7303</v>
      </c>
      <c r="N34" s="18">
        <v>48.258699999999997</v>
      </c>
      <c r="O34" s="18">
        <f t="shared" si="1"/>
        <v>34.761762500000003</v>
      </c>
      <c r="P34" s="7"/>
      <c r="Q34" s="10"/>
      <c r="R34" s="11"/>
      <c r="S34" s="11"/>
      <c r="T34" s="26"/>
      <c r="U34" s="28">
        <f t="shared" si="2"/>
        <v>0.72908276603367961</v>
      </c>
    </row>
    <row r="35" spans="1:21" x14ac:dyDescent="0.25">
      <c r="B35" s="9"/>
      <c r="C35" s="17">
        <v>964.99</v>
      </c>
      <c r="D35" s="18">
        <v>29.724</v>
      </c>
      <c r="E35" s="18">
        <v>37.402999999999999</v>
      </c>
      <c r="F35" s="18">
        <v>40.112000000000002</v>
      </c>
      <c r="G35" s="18">
        <v>30.45</v>
      </c>
      <c r="H35" s="18">
        <f t="shared" si="0"/>
        <v>31.982374999999998</v>
      </c>
      <c r="I35" s="5"/>
      <c r="J35" s="17">
        <v>1007.0992</v>
      </c>
      <c r="K35" s="18">
        <v>31.863700000000001</v>
      </c>
      <c r="L35" s="18">
        <v>38.514299999999999</v>
      </c>
      <c r="M35" s="18">
        <v>41.029699999999998</v>
      </c>
      <c r="N35" s="18">
        <v>53.942300000000003</v>
      </c>
      <c r="O35" s="18">
        <f t="shared" si="1"/>
        <v>33.840775000000001</v>
      </c>
      <c r="P35" s="7"/>
      <c r="Q35" s="10"/>
      <c r="R35" s="11"/>
      <c r="S35" s="11"/>
      <c r="T35" s="26"/>
      <c r="U35" s="28">
        <f t="shared" si="2"/>
        <v>0.77150410509031209</v>
      </c>
    </row>
    <row r="36" spans="1:21" ht="16.5" thickBot="1" x14ac:dyDescent="0.3">
      <c r="B36" s="12"/>
      <c r="C36" s="19">
        <v>557.07000000000005</v>
      </c>
      <c r="D36" s="20">
        <v>28.15</v>
      </c>
      <c r="E36" s="20">
        <v>36.901000000000003</v>
      </c>
      <c r="F36" s="20">
        <v>39.661999999999999</v>
      </c>
      <c r="G36" s="20">
        <v>33.39</v>
      </c>
      <c r="H36" s="20">
        <f t="shared" si="0"/>
        <v>30.682874999999999</v>
      </c>
      <c r="I36" s="5"/>
      <c r="J36" s="19">
        <v>600.98479999999995</v>
      </c>
      <c r="K36" s="20">
        <v>30.430099999999999</v>
      </c>
      <c r="L36" s="20">
        <v>37.924399999999999</v>
      </c>
      <c r="M36" s="20">
        <v>40.549300000000002</v>
      </c>
      <c r="N36" s="20">
        <v>60.096200000000003</v>
      </c>
      <c r="O36" s="20">
        <f t="shared" si="1"/>
        <v>32.631787500000002</v>
      </c>
      <c r="P36" s="7"/>
      <c r="Q36" s="13"/>
      <c r="R36" s="14"/>
      <c r="S36" s="14"/>
      <c r="T36" s="27"/>
      <c r="U36" s="28">
        <f t="shared" si="2"/>
        <v>0.79982629529799343</v>
      </c>
    </row>
    <row r="37" spans="1:21" x14ac:dyDescent="0.25">
      <c r="A37" s="6" t="s">
        <v>39</v>
      </c>
      <c r="B37" s="6" t="s">
        <v>53</v>
      </c>
      <c r="C37" s="15">
        <v>1222.03</v>
      </c>
      <c r="D37" s="16">
        <v>33.658999999999999</v>
      </c>
      <c r="E37" s="16">
        <v>37.31</v>
      </c>
      <c r="F37" s="16">
        <v>37.116999999999997</v>
      </c>
      <c r="G37" s="16">
        <v>67.33</v>
      </c>
      <c r="H37" s="16">
        <f t="shared" si="0"/>
        <v>34.547625000000004</v>
      </c>
      <c r="I37" s="5"/>
      <c r="J37" s="15">
        <v>1245.1728000000001</v>
      </c>
      <c r="K37" s="16">
        <v>35.157800000000002</v>
      </c>
      <c r="L37" s="16">
        <v>39.071199999999997</v>
      </c>
      <c r="M37" s="16">
        <v>38.956099999999999</v>
      </c>
      <c r="N37" s="16">
        <v>108.2954</v>
      </c>
      <c r="O37" s="16">
        <f t="shared" si="1"/>
        <v>36.121762500000003</v>
      </c>
      <c r="P37" s="7"/>
      <c r="Q37" s="8">
        <f>bdrate(C37:C40,D37:D40,J37:J40,K37:K40)</f>
        <v>-0.30585153029665924</v>
      </c>
      <c r="R37" s="8">
        <f>bdrate(C37:C40,E37:E40,J37:J40,L37:L40)</f>
        <v>-0.38314059947208823</v>
      </c>
      <c r="S37" s="8">
        <f>bdrate(C37:C40,F37:F40,J37:J40,M37:M40)</f>
        <v>-0.3507524105177745</v>
      </c>
      <c r="T37" s="25">
        <f>bdrate(C37:C40,H37:H40,J37:J40,O37:O40)</f>
        <v>-0.31874158681199571</v>
      </c>
      <c r="U37" s="28">
        <f t="shared" si="2"/>
        <v>0.608427149858904</v>
      </c>
    </row>
    <row r="38" spans="1:21" x14ac:dyDescent="0.25">
      <c r="A38" s="9" t="s">
        <v>40</v>
      </c>
      <c r="B38" s="9"/>
      <c r="C38" s="17">
        <v>819.37</v>
      </c>
      <c r="D38" s="18">
        <v>32.259</v>
      </c>
      <c r="E38" s="18">
        <v>36.301000000000002</v>
      </c>
      <c r="F38" s="18">
        <v>35.945999999999998</v>
      </c>
      <c r="G38" s="18">
        <v>75.23</v>
      </c>
      <c r="H38" s="18">
        <f t="shared" si="0"/>
        <v>33.225125000000006</v>
      </c>
      <c r="I38" s="5"/>
      <c r="J38" s="17">
        <v>828.80079999999998</v>
      </c>
      <c r="K38" s="18">
        <v>33.643500000000003</v>
      </c>
      <c r="L38" s="18">
        <v>37.808399999999999</v>
      </c>
      <c r="M38" s="18">
        <v>37.525799999999997</v>
      </c>
      <c r="N38" s="18">
        <v>129.23240000000001</v>
      </c>
      <c r="O38" s="18">
        <f t="shared" si="1"/>
        <v>34.6494</v>
      </c>
      <c r="P38" s="7"/>
      <c r="Q38" s="10"/>
      <c r="R38" s="11"/>
      <c r="S38" s="11"/>
      <c r="T38" s="26"/>
      <c r="U38" s="28">
        <f t="shared" si="2"/>
        <v>0.71783065266516022</v>
      </c>
    </row>
    <row r="39" spans="1:21" x14ac:dyDescent="0.25">
      <c r="B39" s="9"/>
      <c r="C39" s="17">
        <v>511.12</v>
      </c>
      <c r="D39" s="18">
        <v>30.587</v>
      </c>
      <c r="E39" s="18">
        <v>35.308999999999997</v>
      </c>
      <c r="F39" s="18">
        <v>34.841999999999999</v>
      </c>
      <c r="G39" s="18">
        <v>85.01</v>
      </c>
      <c r="H39" s="18">
        <f t="shared" si="0"/>
        <v>31.709125</v>
      </c>
      <c r="I39" s="5"/>
      <c r="J39" s="17">
        <v>517.73760000000004</v>
      </c>
      <c r="K39" s="18">
        <v>31.924600000000002</v>
      </c>
      <c r="L39" s="18">
        <v>36.421799999999998</v>
      </c>
      <c r="M39" s="18">
        <v>35.940399999999997</v>
      </c>
      <c r="N39" s="18">
        <v>155.5694</v>
      </c>
      <c r="O39" s="18">
        <f t="shared" si="1"/>
        <v>32.988725000000002</v>
      </c>
      <c r="P39" s="7"/>
      <c r="Q39" s="10"/>
      <c r="R39" s="11"/>
      <c r="S39" s="11"/>
      <c r="T39" s="26"/>
      <c r="U39" s="28">
        <f t="shared" si="2"/>
        <v>0.83001293965415823</v>
      </c>
    </row>
    <row r="40" spans="1:21" ht="16.5" thickBot="1" x14ac:dyDescent="0.3">
      <c r="B40" s="12"/>
      <c r="C40" s="19">
        <v>303.26</v>
      </c>
      <c r="D40" s="20">
        <v>28.922000000000001</v>
      </c>
      <c r="E40" s="20">
        <v>34.225999999999999</v>
      </c>
      <c r="F40" s="20">
        <v>33.694000000000003</v>
      </c>
      <c r="G40" s="20">
        <v>98.02</v>
      </c>
      <c r="H40" s="20">
        <f t="shared" si="0"/>
        <v>30.1815</v>
      </c>
      <c r="I40" s="5"/>
      <c r="J40" s="19">
        <v>310.1576</v>
      </c>
      <c r="K40" s="20">
        <v>30.057300000000001</v>
      </c>
      <c r="L40" s="20">
        <v>35.0685</v>
      </c>
      <c r="M40" s="20">
        <v>34.435200000000002</v>
      </c>
      <c r="N40" s="20">
        <v>191.86490000000001</v>
      </c>
      <c r="O40" s="20">
        <f t="shared" si="1"/>
        <v>31.230937500000003</v>
      </c>
      <c r="P40" s="7"/>
      <c r="Q40" s="13"/>
      <c r="R40" s="14"/>
      <c r="S40" s="14"/>
      <c r="T40" s="27"/>
      <c r="U40" s="28">
        <f t="shared" si="2"/>
        <v>0.95740563150377489</v>
      </c>
    </row>
    <row r="41" spans="1:21" x14ac:dyDescent="0.25">
      <c r="B41" s="6" t="s">
        <v>54</v>
      </c>
      <c r="C41" s="15">
        <v>1233.19</v>
      </c>
      <c r="D41" s="16">
        <v>33.430999999999997</v>
      </c>
      <c r="E41" s="16">
        <v>38.756</v>
      </c>
      <c r="F41" s="16">
        <v>39.575000000000003</v>
      </c>
      <c r="G41" s="16">
        <v>79.13</v>
      </c>
      <c r="H41" s="16">
        <f t="shared" si="0"/>
        <v>34.864624999999997</v>
      </c>
      <c r="I41" s="5"/>
      <c r="J41" s="15">
        <v>1275.5056</v>
      </c>
      <c r="K41" s="16">
        <v>35.371499999999997</v>
      </c>
      <c r="L41" s="16">
        <v>40.413499999999999</v>
      </c>
      <c r="M41" s="16">
        <v>41.201000000000001</v>
      </c>
      <c r="N41" s="16">
        <v>116.2115</v>
      </c>
      <c r="O41" s="16">
        <f t="shared" si="1"/>
        <v>36.730437500000001</v>
      </c>
      <c r="P41" s="7"/>
      <c r="Q41" s="8">
        <f>bdrate(C41:C44,D41:D44,J41:J44,K41:K44)</f>
        <v>-0.34840546291076702</v>
      </c>
      <c r="R41" s="8">
        <f>bdrate(C41:C44,E41:E44,J41:J44,L41:L44)</f>
        <v>-0.46243337119024619</v>
      </c>
      <c r="S41" s="8">
        <f>bdrate(C41:C44,F41:F44,J41:J44,M41:M44)</f>
        <v>-0.41330249860692103</v>
      </c>
      <c r="T41" s="25">
        <f>bdrate(C41:C44,H41:H44,J41:J44,O41:O44)</f>
        <v>-0.36462514772006405</v>
      </c>
      <c r="U41" s="28">
        <f t="shared" si="2"/>
        <v>0.46861493744471133</v>
      </c>
    </row>
    <row r="42" spans="1:21" x14ac:dyDescent="0.25">
      <c r="B42" s="9"/>
      <c r="C42" s="17">
        <v>823.86</v>
      </c>
      <c r="D42" s="18">
        <v>31.968</v>
      </c>
      <c r="E42" s="18">
        <v>37.845999999999997</v>
      </c>
      <c r="F42" s="18">
        <v>38.578000000000003</v>
      </c>
      <c r="G42" s="18">
        <v>89.02</v>
      </c>
      <c r="H42" s="18">
        <f t="shared" si="0"/>
        <v>33.528999999999996</v>
      </c>
      <c r="I42" s="5"/>
      <c r="J42" s="17">
        <v>850.52560000000005</v>
      </c>
      <c r="K42" s="18">
        <v>33.8384</v>
      </c>
      <c r="L42" s="18">
        <v>39.386800000000001</v>
      </c>
      <c r="M42" s="18">
        <v>40.041499999999999</v>
      </c>
      <c r="N42" s="18">
        <v>137.86760000000001</v>
      </c>
      <c r="O42" s="18">
        <f t="shared" si="1"/>
        <v>35.307337499999996</v>
      </c>
      <c r="P42" s="7"/>
      <c r="Q42" s="10"/>
      <c r="R42" s="11"/>
      <c r="S42" s="11"/>
      <c r="T42" s="26"/>
      <c r="U42" s="28">
        <f t="shared" si="2"/>
        <v>0.54872612895978445</v>
      </c>
    </row>
    <row r="43" spans="1:21" x14ac:dyDescent="0.25">
      <c r="B43" s="9"/>
      <c r="C43" s="17">
        <v>516.21</v>
      </c>
      <c r="D43" s="18">
        <v>30.359000000000002</v>
      </c>
      <c r="E43" s="18">
        <v>36.923999999999999</v>
      </c>
      <c r="F43" s="18">
        <v>37.49</v>
      </c>
      <c r="G43" s="18">
        <v>99.12</v>
      </c>
      <c r="H43" s="18">
        <f t="shared" si="0"/>
        <v>32.070999999999998</v>
      </c>
      <c r="I43" s="5"/>
      <c r="J43" s="17">
        <v>531.42960000000005</v>
      </c>
      <c r="K43" s="18">
        <v>31.991800000000001</v>
      </c>
      <c r="L43" s="18">
        <v>38.265900000000002</v>
      </c>
      <c r="M43" s="18">
        <v>38.819400000000002</v>
      </c>
      <c r="N43" s="18">
        <v>163.6661</v>
      </c>
      <c r="O43" s="18">
        <f t="shared" si="1"/>
        <v>33.629512500000004</v>
      </c>
      <c r="P43" s="7"/>
      <c r="Q43" s="10"/>
      <c r="R43" s="11"/>
      <c r="S43" s="11"/>
      <c r="T43" s="26"/>
      <c r="U43" s="28">
        <f t="shared" si="2"/>
        <v>0.65119148506860369</v>
      </c>
    </row>
    <row r="44" spans="1:21" ht="16.5" thickBot="1" x14ac:dyDescent="0.3">
      <c r="B44" s="12"/>
      <c r="C44" s="19">
        <v>307.81</v>
      </c>
      <c r="D44" s="20">
        <v>28.638000000000002</v>
      </c>
      <c r="E44" s="20">
        <v>35.896999999999998</v>
      </c>
      <c r="F44" s="20">
        <v>36.31</v>
      </c>
      <c r="G44" s="20">
        <v>111.15</v>
      </c>
      <c r="H44" s="20">
        <f t="shared" si="0"/>
        <v>30.504375</v>
      </c>
      <c r="I44" s="5"/>
      <c r="J44" s="19">
        <v>318.32240000000002</v>
      </c>
      <c r="K44" s="20">
        <v>29.9282</v>
      </c>
      <c r="L44" s="20">
        <v>37.131599999999999</v>
      </c>
      <c r="M44" s="20">
        <v>37.566200000000002</v>
      </c>
      <c r="N44" s="20">
        <v>198.2816</v>
      </c>
      <c r="O44" s="20">
        <f t="shared" si="1"/>
        <v>31.783374999999999</v>
      </c>
      <c r="P44" s="7"/>
      <c r="Q44" s="13"/>
      <c r="R44" s="14"/>
      <c r="S44" s="14"/>
      <c r="T44" s="27"/>
      <c r="U44" s="28">
        <f t="shared" si="2"/>
        <v>0.78391003148897875</v>
      </c>
    </row>
    <row r="45" spans="1:21" x14ac:dyDescent="0.25">
      <c r="B45" s="6" t="s">
        <v>55</v>
      </c>
      <c r="C45" s="15">
        <v>1098.81</v>
      </c>
      <c r="D45" s="16">
        <v>27.914000000000001</v>
      </c>
      <c r="E45" s="16">
        <v>34.457000000000001</v>
      </c>
      <c r="F45" s="16">
        <v>35.250999999999998</v>
      </c>
      <c r="G45" s="16">
        <v>76.849999999999994</v>
      </c>
      <c r="H45" s="16">
        <f t="shared" si="0"/>
        <v>29.649000000000001</v>
      </c>
      <c r="I45" s="5"/>
      <c r="J45" s="15">
        <v>1243.1592000000001</v>
      </c>
      <c r="K45" s="16">
        <v>30.468699999999998</v>
      </c>
      <c r="L45" s="16">
        <v>36.606200000000001</v>
      </c>
      <c r="M45" s="16">
        <v>37.372199999999999</v>
      </c>
      <c r="N45" s="16">
        <v>106.13460000000001</v>
      </c>
      <c r="O45" s="16">
        <f t="shared" si="1"/>
        <v>32.098824999999998</v>
      </c>
      <c r="P45" s="7"/>
      <c r="Q45" s="8">
        <f>bdrate(C45:C48,D45:D48,J45:J48,K45:K48)</f>
        <v>-0.48820244122821055</v>
      </c>
      <c r="R45" s="8">
        <f>bdrate(C45:C48,E45:E48,J45:J48,L45:L48)</f>
        <v>-0.61452487780088716</v>
      </c>
      <c r="S45" s="8">
        <f>bdrate(C45:C48,F45:F48,J45:J48,M45:M48)</f>
        <v>-0.5928402507099555</v>
      </c>
      <c r="T45" s="25">
        <f>bdrate(C45:C48,H45:H48,J45:J48,O45:O48)</f>
        <v>-0.5085605604435065</v>
      </c>
      <c r="U45" s="28">
        <f t="shared" si="2"/>
        <v>0.38106180871828255</v>
      </c>
    </row>
    <row r="46" spans="1:21" x14ac:dyDescent="0.25">
      <c r="B46" s="9"/>
      <c r="C46" s="17">
        <v>732.84</v>
      </c>
      <c r="D46" s="18">
        <v>26.678999999999998</v>
      </c>
      <c r="E46" s="18">
        <v>33.796999999999997</v>
      </c>
      <c r="F46" s="18">
        <v>34.590000000000003</v>
      </c>
      <c r="G46" s="18">
        <v>88.04</v>
      </c>
      <c r="H46" s="18">
        <f t="shared" si="0"/>
        <v>28.557624999999998</v>
      </c>
      <c r="I46" s="5"/>
      <c r="J46" s="17">
        <v>830.404</v>
      </c>
      <c r="K46" s="18">
        <v>29.133600000000001</v>
      </c>
      <c r="L46" s="18">
        <v>35.7453</v>
      </c>
      <c r="M46" s="18">
        <v>36.454000000000001</v>
      </c>
      <c r="N46" s="18">
        <v>128.20509999999999</v>
      </c>
      <c r="O46" s="18">
        <f t="shared" si="1"/>
        <v>30.8751125</v>
      </c>
      <c r="P46" s="7"/>
      <c r="Q46" s="10"/>
      <c r="R46" s="11"/>
      <c r="S46" s="11"/>
      <c r="T46" s="26"/>
      <c r="U46" s="28">
        <f t="shared" si="2"/>
        <v>0.45621422080872304</v>
      </c>
    </row>
    <row r="47" spans="1:21" x14ac:dyDescent="0.25">
      <c r="B47" s="9"/>
      <c r="C47" s="17">
        <v>460.84</v>
      </c>
      <c r="D47" s="18">
        <v>25.388000000000002</v>
      </c>
      <c r="E47" s="18">
        <v>33.151000000000003</v>
      </c>
      <c r="F47" s="18">
        <v>33.957000000000001</v>
      </c>
      <c r="G47" s="18">
        <v>98.31</v>
      </c>
      <c r="H47" s="18">
        <f t="shared" si="0"/>
        <v>27.429500000000001</v>
      </c>
      <c r="I47" s="5"/>
      <c r="J47" s="17">
        <v>520.41759999999999</v>
      </c>
      <c r="K47" s="18">
        <v>27.6769</v>
      </c>
      <c r="L47" s="18">
        <v>34.864199999999997</v>
      </c>
      <c r="M47" s="18">
        <v>35.550899999999999</v>
      </c>
      <c r="N47" s="18">
        <v>154.7988</v>
      </c>
      <c r="O47" s="18">
        <f t="shared" si="1"/>
        <v>29.559562499999998</v>
      </c>
      <c r="P47" s="7"/>
      <c r="Q47" s="10"/>
      <c r="R47" s="11"/>
      <c r="S47" s="11"/>
      <c r="T47" s="26"/>
      <c r="U47" s="28">
        <f t="shared" si="2"/>
        <v>0.57459871833994502</v>
      </c>
    </row>
    <row r="48" spans="1:21" ht="16.5" thickBot="1" x14ac:dyDescent="0.3">
      <c r="B48" s="12"/>
      <c r="C48" s="19">
        <v>275.17</v>
      </c>
      <c r="D48" s="20">
        <v>24.204000000000001</v>
      </c>
      <c r="E48" s="20">
        <v>32.438000000000002</v>
      </c>
      <c r="F48" s="20">
        <v>33.331000000000003</v>
      </c>
      <c r="G48" s="20">
        <v>110.13</v>
      </c>
      <c r="H48" s="20">
        <f t="shared" si="0"/>
        <v>26.374124999999999</v>
      </c>
      <c r="I48" s="5"/>
      <c r="J48" s="19">
        <v>311.06560000000002</v>
      </c>
      <c r="K48" s="20">
        <v>26.110700000000001</v>
      </c>
      <c r="L48" s="20">
        <v>33.9133</v>
      </c>
      <c r="M48" s="20">
        <v>34.622199999999999</v>
      </c>
      <c r="N48" s="20">
        <v>188.53700000000001</v>
      </c>
      <c r="O48" s="20">
        <f t="shared" si="1"/>
        <v>28.149962499999997</v>
      </c>
      <c r="P48" s="7"/>
      <c r="Q48" s="13"/>
      <c r="R48" s="14"/>
      <c r="S48" s="14"/>
      <c r="T48" s="27"/>
      <c r="U48" s="28">
        <f t="shared" si="2"/>
        <v>0.7119495142104787</v>
      </c>
    </row>
    <row r="49" spans="1:21" x14ac:dyDescent="0.25">
      <c r="B49" s="6" t="s">
        <v>56</v>
      </c>
      <c r="C49" s="15">
        <v>1124.6600000000001</v>
      </c>
      <c r="D49" s="16">
        <v>31.402999999999999</v>
      </c>
      <c r="E49" s="16">
        <v>35.911999999999999</v>
      </c>
      <c r="F49" s="16">
        <v>37.551000000000002</v>
      </c>
      <c r="G49" s="16">
        <v>51.42</v>
      </c>
      <c r="H49" s="16">
        <f t="shared" si="0"/>
        <v>32.735125000000004</v>
      </c>
      <c r="I49" s="5"/>
      <c r="J49" s="15">
        <v>1240.4784</v>
      </c>
      <c r="K49" s="16">
        <v>32.450499999999998</v>
      </c>
      <c r="L49" s="16">
        <v>36.693600000000004</v>
      </c>
      <c r="M49" s="16">
        <v>38.2181</v>
      </c>
      <c r="N49" s="16">
        <v>74.534199999999998</v>
      </c>
      <c r="O49" s="16">
        <f t="shared" si="1"/>
        <v>33.701837499999996</v>
      </c>
      <c r="P49" s="7"/>
      <c r="Q49" s="8">
        <f>bdrate(C49:C52,D49:D52,J49:J52,K49:K52)</f>
        <v>-0.13535145330350506</v>
      </c>
      <c r="R49" s="8">
        <f>bdrate(C49:C52,E49:E52,J49:J52,L49:L52)</f>
        <v>-0.17475412974241233</v>
      </c>
      <c r="S49" s="8">
        <f>bdrate(C49:C52,F49:F52,J49:J52,M49:M52)</f>
        <v>-0.14755301600127946</v>
      </c>
      <c r="T49" s="25">
        <f>bdrate(C49:C52,H49:H52,J49:J52,O49:O52)</f>
        <v>-0.14004627559098326</v>
      </c>
      <c r="U49" s="28">
        <f t="shared" si="2"/>
        <v>0.44951769739401004</v>
      </c>
    </row>
    <row r="50" spans="1:21" x14ac:dyDescent="0.25">
      <c r="B50" s="9"/>
      <c r="C50" s="17">
        <v>755.38</v>
      </c>
      <c r="D50" s="18">
        <v>30.094999999999999</v>
      </c>
      <c r="E50" s="18">
        <v>35.174999999999997</v>
      </c>
      <c r="F50" s="18">
        <v>36.743000000000002</v>
      </c>
      <c r="G50" s="18">
        <v>58.11</v>
      </c>
      <c r="H50" s="18">
        <f t="shared" si="0"/>
        <v>31.561</v>
      </c>
      <c r="I50" s="5"/>
      <c r="J50" s="17">
        <v>826.69839999999999</v>
      </c>
      <c r="K50" s="18">
        <v>30.995200000000001</v>
      </c>
      <c r="L50" s="18">
        <v>35.817599999999999</v>
      </c>
      <c r="M50" s="18">
        <v>37.309899999999999</v>
      </c>
      <c r="N50" s="18">
        <v>90.716700000000003</v>
      </c>
      <c r="O50" s="18">
        <f t="shared" si="1"/>
        <v>32.387337500000001</v>
      </c>
      <c r="P50" s="7"/>
      <c r="Q50" s="10"/>
      <c r="R50" s="11"/>
      <c r="S50" s="11"/>
      <c r="T50" s="26"/>
      <c r="U50" s="28">
        <f t="shared" si="2"/>
        <v>0.5611202891068664</v>
      </c>
    </row>
    <row r="51" spans="1:21" x14ac:dyDescent="0.25">
      <c r="B51" s="9"/>
      <c r="C51" s="17">
        <v>481.67</v>
      </c>
      <c r="D51" s="18">
        <v>28.779</v>
      </c>
      <c r="E51" s="18">
        <v>34.353999999999999</v>
      </c>
      <c r="F51" s="18">
        <v>35.793999999999997</v>
      </c>
      <c r="G51" s="18">
        <v>66.31</v>
      </c>
      <c r="H51" s="18">
        <f t="shared" si="0"/>
        <v>30.35275</v>
      </c>
      <c r="I51" s="5"/>
      <c r="J51" s="17">
        <v>516.48800000000006</v>
      </c>
      <c r="K51" s="18">
        <v>29.380400000000002</v>
      </c>
      <c r="L51" s="18">
        <v>34.820099999999996</v>
      </c>
      <c r="M51" s="18">
        <v>36.264000000000003</v>
      </c>
      <c r="N51" s="18">
        <v>110.538</v>
      </c>
      <c r="O51" s="18">
        <f t="shared" si="1"/>
        <v>30.9208125</v>
      </c>
      <c r="P51" s="7"/>
      <c r="Q51" s="10"/>
      <c r="R51" s="11"/>
      <c r="S51" s="11"/>
      <c r="T51" s="26"/>
      <c r="U51" s="28">
        <f t="shared" si="2"/>
        <v>0.66698838787513182</v>
      </c>
    </row>
    <row r="52" spans="1:21" ht="16.5" thickBot="1" x14ac:dyDescent="0.3">
      <c r="B52" s="12"/>
      <c r="C52" s="19">
        <v>293.68</v>
      </c>
      <c r="D52" s="20">
        <v>27.492999999999999</v>
      </c>
      <c r="E52" s="20">
        <v>33.481999999999999</v>
      </c>
      <c r="F52" s="20">
        <v>34.805</v>
      </c>
      <c r="G52" s="20">
        <v>75.11</v>
      </c>
      <c r="H52" s="20">
        <f t="shared" si="0"/>
        <v>29.155625000000001</v>
      </c>
      <c r="I52" s="5"/>
      <c r="J52" s="19">
        <v>309.56479999999999</v>
      </c>
      <c r="K52" s="20">
        <v>27.804099999999998</v>
      </c>
      <c r="L52" s="20">
        <v>33.797699999999999</v>
      </c>
      <c r="M52" s="20">
        <v>35.170999999999999</v>
      </c>
      <c r="N52" s="20">
        <v>131.69450000000001</v>
      </c>
      <c r="O52" s="20">
        <f t="shared" si="1"/>
        <v>29.474162499999995</v>
      </c>
      <c r="P52" s="7"/>
      <c r="Q52" s="13"/>
      <c r="R52" s="14"/>
      <c r="S52" s="14"/>
      <c r="T52" s="27"/>
      <c r="U52" s="28">
        <f t="shared" si="2"/>
        <v>0.75335507921714828</v>
      </c>
    </row>
    <row r="53" spans="1:21" x14ac:dyDescent="0.25">
      <c r="A53" s="6" t="s">
        <v>41</v>
      </c>
      <c r="B53" s="6" t="s">
        <v>57</v>
      </c>
      <c r="C53" s="15">
        <v>642.33000000000004</v>
      </c>
      <c r="D53" s="16">
        <v>33.460999999999999</v>
      </c>
      <c r="E53" s="16">
        <v>38.384999999999998</v>
      </c>
      <c r="F53" s="16">
        <v>37.090000000000003</v>
      </c>
      <c r="G53" s="16">
        <v>204.16</v>
      </c>
      <c r="H53" s="16">
        <f t="shared" si="0"/>
        <v>34.530124999999998</v>
      </c>
      <c r="I53" s="5"/>
      <c r="J53" s="15">
        <v>619.14639999999997</v>
      </c>
      <c r="K53" s="16">
        <v>34.582999999999998</v>
      </c>
      <c r="L53" s="16">
        <v>39.572499999999998</v>
      </c>
      <c r="M53" s="16">
        <v>38.146000000000001</v>
      </c>
      <c r="N53" s="16">
        <v>302.29750000000001</v>
      </c>
      <c r="O53" s="16">
        <f t="shared" si="1"/>
        <v>35.6520625</v>
      </c>
      <c r="P53" s="7"/>
      <c r="Q53" s="8">
        <f>bdrate(C53:C56,D53:D56,J53:J56,K53:K56)</f>
        <v>-0.19193356968900066</v>
      </c>
      <c r="R53" s="8">
        <f>bdrate(C53:C56,E53:E56,J53:J56,L53:L56)</f>
        <v>-0.34570245006014966</v>
      </c>
      <c r="S53" s="8">
        <f>bdrate(C53:C56,F53:F56,J53:J56,M53:M56)</f>
        <v>-0.24640436216947581</v>
      </c>
      <c r="T53" s="25">
        <f>bdrate(C53:C56,H53:H56,J53:J56,O53:O56)</f>
        <v>-0.21170075950249623</v>
      </c>
      <c r="U53" s="28">
        <f t="shared" si="2"/>
        <v>0.48068916536050166</v>
      </c>
    </row>
    <row r="54" spans="1:21" x14ac:dyDescent="0.25">
      <c r="A54" s="9" t="s">
        <v>42</v>
      </c>
      <c r="B54" s="9"/>
      <c r="C54" s="17">
        <v>426.59</v>
      </c>
      <c r="D54" s="18">
        <v>31.873999999999999</v>
      </c>
      <c r="E54" s="18">
        <v>37.316000000000003</v>
      </c>
      <c r="F54" s="18">
        <v>35.859000000000002</v>
      </c>
      <c r="G54" s="18">
        <v>232.23</v>
      </c>
      <c r="H54" s="18">
        <f t="shared" si="0"/>
        <v>33.052374999999998</v>
      </c>
      <c r="I54" s="5"/>
      <c r="J54" s="17">
        <v>412.83679999999998</v>
      </c>
      <c r="K54" s="18">
        <v>32.8018</v>
      </c>
      <c r="L54" s="18">
        <v>38.389299999999999</v>
      </c>
      <c r="M54" s="18">
        <v>36.747399999999999</v>
      </c>
      <c r="N54" s="18">
        <v>356.12540000000001</v>
      </c>
      <c r="O54" s="18">
        <f t="shared" si="1"/>
        <v>33.993437499999999</v>
      </c>
      <c r="P54" s="7"/>
      <c r="Q54" s="10"/>
      <c r="R54" s="11"/>
      <c r="S54" s="11"/>
      <c r="T54" s="26"/>
      <c r="U54" s="28">
        <f t="shared" si="2"/>
        <v>0.53350299272273194</v>
      </c>
    </row>
    <row r="55" spans="1:21" x14ac:dyDescent="0.25">
      <c r="B55" s="9"/>
      <c r="C55" s="17">
        <v>267.08</v>
      </c>
      <c r="D55" s="18">
        <v>30.198</v>
      </c>
      <c r="E55" s="18">
        <v>36.290999999999997</v>
      </c>
      <c r="F55" s="18">
        <v>34.603000000000002</v>
      </c>
      <c r="G55" s="18">
        <v>262.74</v>
      </c>
      <c r="H55" s="18">
        <f t="shared" si="0"/>
        <v>31.510249999999999</v>
      </c>
      <c r="I55" s="5"/>
      <c r="J55" s="17">
        <v>257.9984</v>
      </c>
      <c r="K55" s="18">
        <v>30.840399999999999</v>
      </c>
      <c r="L55" s="18">
        <v>37.150100000000002</v>
      </c>
      <c r="M55" s="18">
        <v>35.280500000000004</v>
      </c>
      <c r="N55" s="18">
        <v>427.35039999999998</v>
      </c>
      <c r="O55" s="18">
        <f t="shared" si="1"/>
        <v>32.184125000000002</v>
      </c>
      <c r="P55" s="7"/>
      <c r="Q55" s="10"/>
      <c r="R55" s="11"/>
      <c r="S55" s="11"/>
      <c r="T55" s="26"/>
      <c r="U55" s="28">
        <f t="shared" si="2"/>
        <v>0.6265144249067518</v>
      </c>
    </row>
    <row r="56" spans="1:21" ht="16.5" thickBot="1" x14ac:dyDescent="0.3">
      <c r="B56" s="12"/>
      <c r="C56" s="19">
        <v>129.30000000000001</v>
      </c>
      <c r="D56" s="20">
        <v>27.869</v>
      </c>
      <c r="E56" s="20">
        <v>34.945999999999998</v>
      </c>
      <c r="F56" s="20">
        <v>32.823</v>
      </c>
      <c r="G56" s="20">
        <v>320.51</v>
      </c>
      <c r="H56" s="20">
        <f t="shared" si="0"/>
        <v>29.372875000000001</v>
      </c>
      <c r="I56" s="5"/>
      <c r="J56" s="19">
        <v>123.7504</v>
      </c>
      <c r="K56" s="20">
        <v>28.091899999999999</v>
      </c>
      <c r="L56" s="20">
        <v>35.548000000000002</v>
      </c>
      <c r="M56" s="20">
        <v>33.210299999999997</v>
      </c>
      <c r="N56" s="20">
        <v>593.82420000000002</v>
      </c>
      <c r="O56" s="20">
        <f t="shared" si="1"/>
        <v>29.663712499999999</v>
      </c>
      <c r="P56" s="7"/>
      <c r="Q56" s="13"/>
      <c r="R56" s="14"/>
      <c r="S56" s="14"/>
      <c r="T56" s="27"/>
      <c r="U56" s="28">
        <f t="shared" si="2"/>
        <v>0.85274780818071205</v>
      </c>
    </row>
    <row r="57" spans="1:21" x14ac:dyDescent="0.25">
      <c r="B57" s="6" t="s">
        <v>58</v>
      </c>
      <c r="C57" s="15">
        <v>555.62</v>
      </c>
      <c r="D57" s="16">
        <v>30.12</v>
      </c>
      <c r="E57" s="16">
        <v>38.39</v>
      </c>
      <c r="F57" s="16">
        <v>39.027000000000001</v>
      </c>
      <c r="G57" s="16">
        <v>328.77</v>
      </c>
      <c r="H57" s="16">
        <f t="shared" si="0"/>
        <v>32.267125</v>
      </c>
      <c r="I57" s="5"/>
      <c r="J57" s="15">
        <v>619.33040000000005</v>
      </c>
      <c r="K57" s="16">
        <v>33.757399999999997</v>
      </c>
      <c r="L57" s="16">
        <v>41.262900000000002</v>
      </c>
      <c r="M57" s="16">
        <v>42.106699999999996</v>
      </c>
      <c r="N57" s="16">
        <v>362.97640000000001</v>
      </c>
      <c r="O57" s="16">
        <f t="shared" si="1"/>
        <v>35.739249999999998</v>
      </c>
      <c r="P57" s="7"/>
      <c r="Q57" s="8">
        <f>bdrate(C57:C60,D57:D60,J57:J60,K57:K60)</f>
        <v>-0.64236676021555961</v>
      </c>
      <c r="R57" s="8">
        <f>bdrate(C57:C60,E57:E60,J57:J60,L57:L60)</f>
        <v>-0.71878255614114461</v>
      </c>
      <c r="S57" s="8">
        <f>bdrate(C57:C60,F57:F60,J57:J60,M57:M60)</f>
        <v>-0.69660137883614026</v>
      </c>
      <c r="T57" s="25">
        <f>bdrate(C57:C60,H57:H60,J57:J60,O57:O60)</f>
        <v>-0.652498102789141</v>
      </c>
      <c r="U57" s="28">
        <f t="shared" si="2"/>
        <v>0.10404355628554926</v>
      </c>
    </row>
    <row r="58" spans="1:21" x14ac:dyDescent="0.25">
      <c r="B58" s="9"/>
      <c r="C58" s="17">
        <v>368.85</v>
      </c>
      <c r="D58" s="18">
        <v>28.757999999999999</v>
      </c>
      <c r="E58" s="18">
        <v>37.912999999999997</v>
      </c>
      <c r="F58" s="18">
        <v>38.497</v>
      </c>
      <c r="G58" s="18">
        <v>366.3</v>
      </c>
      <c r="H58" s="18">
        <f t="shared" si="0"/>
        <v>31.119750000000003</v>
      </c>
      <c r="I58" s="5"/>
      <c r="J58" s="17">
        <v>412.22399999999999</v>
      </c>
      <c r="K58" s="18">
        <v>32.485300000000002</v>
      </c>
      <c r="L58" s="18">
        <v>40.367699999999999</v>
      </c>
      <c r="M58" s="18">
        <v>41.129899999999999</v>
      </c>
      <c r="N58" s="18">
        <v>452.48869999999999</v>
      </c>
      <c r="O58" s="18">
        <f t="shared" si="1"/>
        <v>34.551175000000008</v>
      </c>
      <c r="P58" s="7"/>
      <c r="Q58" s="10"/>
      <c r="R58" s="11"/>
      <c r="S58" s="11"/>
      <c r="T58" s="26"/>
      <c r="U58" s="28">
        <f t="shared" si="2"/>
        <v>0.23529538629538624</v>
      </c>
    </row>
    <row r="59" spans="1:21" x14ac:dyDescent="0.25">
      <c r="B59" s="9"/>
      <c r="C59" s="17">
        <v>229.2</v>
      </c>
      <c r="D59" s="18">
        <v>27.31</v>
      </c>
      <c r="E59" s="18">
        <v>37.399000000000001</v>
      </c>
      <c r="F59" s="18">
        <v>37.908000000000001</v>
      </c>
      <c r="G59" s="18">
        <v>404.86</v>
      </c>
      <c r="H59" s="18">
        <f t="shared" si="0"/>
        <v>29.895874999999997</v>
      </c>
      <c r="I59" s="5"/>
      <c r="J59" s="17">
        <v>256.89920000000001</v>
      </c>
      <c r="K59" s="18">
        <v>30.982099999999999</v>
      </c>
      <c r="L59" s="18">
        <v>39.390300000000003</v>
      </c>
      <c r="M59" s="18">
        <v>40.150300000000001</v>
      </c>
      <c r="N59" s="18">
        <v>565.50419999999997</v>
      </c>
      <c r="O59" s="18">
        <f t="shared" si="1"/>
        <v>33.17915</v>
      </c>
      <c r="P59" s="7"/>
      <c r="Q59" s="10"/>
      <c r="R59" s="11"/>
      <c r="S59" s="11"/>
      <c r="T59" s="26"/>
      <c r="U59" s="28">
        <f t="shared" si="2"/>
        <v>0.39678950748406844</v>
      </c>
    </row>
    <row r="60" spans="1:21" ht="16.5" thickBot="1" x14ac:dyDescent="0.3">
      <c r="B60" s="12"/>
      <c r="C60" s="19">
        <v>108.5</v>
      </c>
      <c r="D60" s="20">
        <v>25.161999999999999</v>
      </c>
      <c r="E60" s="20">
        <v>36.689</v>
      </c>
      <c r="F60" s="20">
        <v>37.198</v>
      </c>
      <c r="G60" s="20">
        <v>452.49</v>
      </c>
      <c r="H60" s="20">
        <f t="shared" si="0"/>
        <v>28.107374999999998</v>
      </c>
      <c r="I60" s="5"/>
      <c r="J60" s="19">
        <v>118.3</v>
      </c>
      <c r="K60" s="20">
        <v>28.356000000000002</v>
      </c>
      <c r="L60" s="20">
        <v>38.003300000000003</v>
      </c>
      <c r="M60" s="20">
        <v>38.440899999999999</v>
      </c>
      <c r="N60" s="20">
        <v>753.76880000000006</v>
      </c>
      <c r="O60" s="20">
        <f t="shared" si="1"/>
        <v>30.822525000000002</v>
      </c>
      <c r="P60" s="7"/>
      <c r="Q60" s="13"/>
      <c r="R60" s="14"/>
      <c r="S60" s="14"/>
      <c r="T60" s="27"/>
      <c r="U60" s="28">
        <f t="shared" si="2"/>
        <v>0.66582421710977047</v>
      </c>
    </row>
    <row r="61" spans="1:21" x14ac:dyDescent="0.25">
      <c r="B61" s="6" t="s">
        <v>59</v>
      </c>
      <c r="C61" s="29">
        <v>643.38</v>
      </c>
      <c r="D61" s="30">
        <v>31.143999999999998</v>
      </c>
      <c r="E61" s="30">
        <v>35.845999999999997</v>
      </c>
      <c r="F61" s="30">
        <v>36.375999999999998</v>
      </c>
      <c r="G61" s="16">
        <v>254.32</v>
      </c>
      <c r="H61" s="16">
        <f t="shared" si="0"/>
        <v>32.385749999999994</v>
      </c>
      <c r="I61" s="5"/>
      <c r="J61" s="29">
        <v>638.09519999999998</v>
      </c>
      <c r="K61" s="30">
        <v>33.3384</v>
      </c>
      <c r="L61" s="30">
        <v>38.119100000000003</v>
      </c>
      <c r="M61" s="30">
        <v>38.912399999999998</v>
      </c>
      <c r="N61" s="16">
        <v>340.83159999999998</v>
      </c>
      <c r="O61" s="16">
        <f t="shared" si="1"/>
        <v>34.632737499999998</v>
      </c>
      <c r="P61" s="7"/>
      <c r="Q61" s="8">
        <f>bdrate(C61:C64,D61:D64,J61:J64,K61:K64)</f>
        <v>-0.44920496930191556</v>
      </c>
      <c r="R61" s="8">
        <f>bdrate(C61:C64,E61:E64,J61:J64,L61:L64)</f>
        <v>-0.58361572899708536</v>
      </c>
      <c r="S61" s="8">
        <f>bdrate(C61:C64,F61:F64,J61:J64,M61:M64)</f>
        <v>-0.62405892628446735</v>
      </c>
      <c r="T61" s="25">
        <f>bdrate(C61:C64,H61:H64,J61:J64,O61:O64)</f>
        <v>-0.48139287366422245</v>
      </c>
      <c r="U61" s="28">
        <f t="shared" si="2"/>
        <v>0.3401682919156967</v>
      </c>
    </row>
    <row r="62" spans="1:21" x14ac:dyDescent="0.25">
      <c r="B62" s="9"/>
      <c r="C62" s="31">
        <v>428.57</v>
      </c>
      <c r="D62" s="32">
        <v>29.731000000000002</v>
      </c>
      <c r="E62" s="32">
        <v>34.915999999999997</v>
      </c>
      <c r="F62" s="32">
        <v>35.451000000000001</v>
      </c>
      <c r="G62" s="18">
        <v>286.04000000000002</v>
      </c>
      <c r="H62" s="18">
        <f t="shared" si="0"/>
        <v>31.094125000000002</v>
      </c>
      <c r="I62" s="5"/>
      <c r="J62" s="31">
        <v>424.63839999999999</v>
      </c>
      <c r="K62" s="32">
        <v>31.8003</v>
      </c>
      <c r="L62" s="32">
        <v>37.055</v>
      </c>
      <c r="M62" s="32">
        <v>37.835500000000003</v>
      </c>
      <c r="N62" s="18">
        <v>410.84629999999999</v>
      </c>
      <c r="O62" s="18">
        <f t="shared" si="1"/>
        <v>33.211537500000006</v>
      </c>
      <c r="P62" s="7"/>
      <c r="Q62" s="10"/>
      <c r="R62" s="11"/>
      <c r="S62" s="11"/>
      <c r="T62" s="26"/>
      <c r="U62" s="28">
        <f t="shared" si="2"/>
        <v>0.43632463991050185</v>
      </c>
    </row>
    <row r="63" spans="1:21" x14ac:dyDescent="0.25">
      <c r="B63" s="9"/>
      <c r="C63" s="31">
        <v>266.5</v>
      </c>
      <c r="D63" s="32">
        <v>28.285</v>
      </c>
      <c r="E63" s="32">
        <v>33.991999999999997</v>
      </c>
      <c r="F63" s="32">
        <v>34.558999999999997</v>
      </c>
      <c r="G63" s="18">
        <v>323.62</v>
      </c>
      <c r="H63" s="18">
        <f t="shared" si="0"/>
        <v>29.782624999999999</v>
      </c>
      <c r="I63" s="5"/>
      <c r="J63" s="31">
        <v>265.1576</v>
      </c>
      <c r="K63" s="32">
        <v>30.142299999999999</v>
      </c>
      <c r="L63" s="32">
        <v>35.816899999999997</v>
      </c>
      <c r="M63" s="32">
        <v>36.570300000000003</v>
      </c>
      <c r="N63" s="18">
        <v>478.01150000000001</v>
      </c>
      <c r="O63" s="18">
        <f t="shared" si="1"/>
        <v>31.655124999999998</v>
      </c>
      <c r="P63" s="7"/>
      <c r="Q63" s="10"/>
      <c r="R63" s="11"/>
      <c r="S63" s="11"/>
      <c r="T63" s="26"/>
      <c r="U63" s="28">
        <f t="shared" si="2"/>
        <v>0.47707650948643471</v>
      </c>
    </row>
    <row r="64" spans="1:21" ht="16.5" thickBot="1" x14ac:dyDescent="0.3">
      <c r="B64" s="12"/>
      <c r="C64" s="33">
        <v>126.37</v>
      </c>
      <c r="D64" s="34">
        <v>26.238</v>
      </c>
      <c r="E64" s="34">
        <v>32.679000000000002</v>
      </c>
      <c r="F64" s="34">
        <v>33.284999999999997</v>
      </c>
      <c r="G64" s="20">
        <v>359.97</v>
      </c>
      <c r="H64" s="20">
        <f t="shared" si="0"/>
        <v>27.923999999999999</v>
      </c>
      <c r="I64" s="5"/>
      <c r="J64" s="33">
        <v>127.1392</v>
      </c>
      <c r="K64" s="34">
        <v>27.812799999999999</v>
      </c>
      <c r="L64" s="34">
        <v>34.227699999999999</v>
      </c>
      <c r="M64" s="34">
        <v>34.9861</v>
      </c>
      <c r="N64" s="20">
        <v>667.55669999999998</v>
      </c>
      <c r="O64" s="20">
        <f t="shared" si="1"/>
        <v>29.511324999999999</v>
      </c>
      <c r="P64" s="7"/>
      <c r="Q64" s="13"/>
      <c r="R64" s="14"/>
      <c r="S64" s="14"/>
      <c r="T64" s="27"/>
      <c r="U64" s="28">
        <f t="shared" si="2"/>
        <v>0.8544787065588797</v>
      </c>
    </row>
    <row r="65" spans="1:21" x14ac:dyDescent="0.25">
      <c r="B65" s="6" t="s">
        <v>60</v>
      </c>
      <c r="C65" s="15">
        <v>582.16999999999996</v>
      </c>
      <c r="D65" s="16">
        <v>32.585000000000001</v>
      </c>
      <c r="E65" s="16">
        <v>36.555</v>
      </c>
      <c r="F65" s="16">
        <v>37.655000000000001</v>
      </c>
      <c r="G65" s="16">
        <v>162.94999999999999</v>
      </c>
      <c r="H65" s="16">
        <f t="shared" si="0"/>
        <v>33.715000000000003</v>
      </c>
      <c r="I65" s="5"/>
      <c r="J65" s="15">
        <v>621.33040000000005</v>
      </c>
      <c r="K65" s="16">
        <v>34.261499999999998</v>
      </c>
      <c r="L65" s="16">
        <v>37.803400000000003</v>
      </c>
      <c r="M65" s="16">
        <v>38.876399999999997</v>
      </c>
      <c r="N65" s="16">
        <v>218.49959999999999</v>
      </c>
      <c r="O65" s="16">
        <f t="shared" si="1"/>
        <v>35.281100000000002</v>
      </c>
      <c r="P65" s="7"/>
      <c r="Q65" s="8">
        <f>bdrate(C65:C68,D65:D68,J65:J68,K65:K68)</f>
        <v>-0.21463630099119035</v>
      </c>
      <c r="R65" s="8">
        <f>bdrate(C65:C68,E65:E68,J65:J68,L65:L68)</f>
        <v>-0.27517706203196424</v>
      </c>
      <c r="S65" s="8">
        <f>bdrate(C65:C68,F65:F68,J65:J68,M65:M68)</f>
        <v>-0.27658348645815201</v>
      </c>
      <c r="T65" s="25">
        <f>bdrate(C65:C68,H65:H68,J65:J68,O65:O68)</f>
        <v>-0.22724667060787995</v>
      </c>
      <c r="U65" s="28">
        <f t="shared" si="2"/>
        <v>0.34089966247315129</v>
      </c>
    </row>
    <row r="66" spans="1:21" x14ac:dyDescent="0.25">
      <c r="B66" s="9"/>
      <c r="C66" s="17">
        <v>390.69</v>
      </c>
      <c r="D66" s="18">
        <v>31.062000000000001</v>
      </c>
      <c r="E66" s="18">
        <v>35.512</v>
      </c>
      <c r="F66" s="18">
        <v>36.552</v>
      </c>
      <c r="G66" s="18">
        <v>184.96</v>
      </c>
      <c r="H66" s="18">
        <f t="shared" si="0"/>
        <v>32.304500000000004</v>
      </c>
      <c r="I66" s="5"/>
      <c r="J66" s="17">
        <v>413.99599999999998</v>
      </c>
      <c r="K66" s="18">
        <v>32.436399999999999</v>
      </c>
      <c r="L66" s="18">
        <v>36.5991</v>
      </c>
      <c r="M66" s="18">
        <v>37.680799999999998</v>
      </c>
      <c r="N66" s="18">
        <v>259.96530000000001</v>
      </c>
      <c r="O66" s="18">
        <f t="shared" si="1"/>
        <v>33.612287500000001</v>
      </c>
      <c r="P66" s="7"/>
      <c r="Q66" s="10"/>
      <c r="R66" s="11"/>
      <c r="S66" s="11"/>
      <c r="T66" s="26"/>
      <c r="U66" s="28">
        <f t="shared" si="2"/>
        <v>0.40552173442906575</v>
      </c>
    </row>
    <row r="67" spans="1:21" x14ac:dyDescent="0.25">
      <c r="B67" s="9"/>
      <c r="C67" s="17">
        <v>246.18</v>
      </c>
      <c r="D67" s="18">
        <v>29.527999999999999</v>
      </c>
      <c r="E67" s="18">
        <v>34.448</v>
      </c>
      <c r="F67" s="18">
        <v>35.406999999999996</v>
      </c>
      <c r="G67" s="18">
        <v>213.68</v>
      </c>
      <c r="H67" s="18">
        <f t="shared" si="0"/>
        <v>30.877875000000003</v>
      </c>
      <c r="I67" s="5"/>
      <c r="J67" s="17">
        <v>258.41039999999998</v>
      </c>
      <c r="K67" s="18">
        <v>30.497599999999998</v>
      </c>
      <c r="L67" s="18">
        <v>35.2746</v>
      </c>
      <c r="M67" s="18">
        <v>36.303699999999999</v>
      </c>
      <c r="N67" s="18">
        <v>315.12610000000001</v>
      </c>
      <c r="O67" s="18">
        <f t="shared" si="1"/>
        <v>31.820487499999995</v>
      </c>
      <c r="P67" s="7"/>
      <c r="Q67" s="10"/>
      <c r="R67" s="11"/>
      <c r="S67" s="11"/>
      <c r="T67" s="26"/>
      <c r="U67" s="28">
        <f t="shared" si="2"/>
        <v>0.47475711344065891</v>
      </c>
    </row>
    <row r="68" spans="1:21" ht="16.5" thickBot="1" x14ac:dyDescent="0.3">
      <c r="B68" s="12"/>
      <c r="C68" s="19">
        <v>118.77</v>
      </c>
      <c r="D68" s="20">
        <v>27.48</v>
      </c>
      <c r="E68" s="20">
        <v>32.881999999999998</v>
      </c>
      <c r="F68" s="20">
        <v>33.741999999999997</v>
      </c>
      <c r="G68" s="20">
        <v>263.39</v>
      </c>
      <c r="H68" s="20">
        <f t="shared" si="0"/>
        <v>28.937999999999999</v>
      </c>
      <c r="I68" s="5"/>
      <c r="J68" s="19">
        <v>123.83920000000001</v>
      </c>
      <c r="K68" s="20">
        <v>28.003399999999999</v>
      </c>
      <c r="L68" s="20">
        <v>33.656500000000001</v>
      </c>
      <c r="M68" s="20">
        <v>34.567</v>
      </c>
      <c r="N68" s="20">
        <v>457.31709999999998</v>
      </c>
      <c r="O68" s="20">
        <f t="shared" si="1"/>
        <v>29.5304875</v>
      </c>
      <c r="P68" s="7"/>
      <c r="Q68" s="13"/>
      <c r="R68" s="14"/>
      <c r="S68" s="14"/>
      <c r="T68" s="27"/>
      <c r="U68" s="28">
        <f t="shared" si="2"/>
        <v>0.73627358669653364</v>
      </c>
    </row>
    <row r="69" spans="1:21" x14ac:dyDescent="0.25">
      <c r="A69" s="6" t="s">
        <v>43</v>
      </c>
      <c r="B69" s="6" t="s">
        <v>61</v>
      </c>
      <c r="C69" s="15">
        <v>1377.45</v>
      </c>
      <c r="D69" s="16">
        <v>39.643000000000001</v>
      </c>
      <c r="E69" s="16">
        <v>43.896000000000001</v>
      </c>
      <c r="F69" s="16">
        <v>44.978000000000002</v>
      </c>
      <c r="G69" s="16">
        <v>52.12</v>
      </c>
      <c r="H69" s="16">
        <f t="shared" si="0"/>
        <v>40.841500000000003</v>
      </c>
      <c r="I69" s="5"/>
      <c r="J69" s="15">
        <v>1530.8055999999999</v>
      </c>
      <c r="K69" s="16">
        <v>41.386600000000001</v>
      </c>
      <c r="L69" s="16">
        <v>45.574800000000003</v>
      </c>
      <c r="M69" s="16">
        <v>46.756</v>
      </c>
      <c r="N69" s="16">
        <v>94.265500000000003</v>
      </c>
      <c r="O69" s="16">
        <f t="shared" si="1"/>
        <v>42.581299999999999</v>
      </c>
      <c r="P69" s="7"/>
      <c r="Q69" s="8">
        <f>bdrate(C69:C72,D69:D72,J69:J72,K69:K72)</f>
        <v>-0.37662385302067458</v>
      </c>
      <c r="R69" s="8">
        <f>bdrate(C69:C72,E69:E72,J69:J72,L69:L72)</f>
        <v>-0.45505556488053811</v>
      </c>
      <c r="S69" s="8">
        <f>bdrate(C69:C72,F69:F72,J69:J72,M69:M72)</f>
        <v>-0.44399234516163788</v>
      </c>
      <c r="T69" s="25">
        <f>bdrate(C69:C72,H69:H72,J69:J72,O69:O72)</f>
        <v>-0.39046947541865695</v>
      </c>
      <c r="U69" s="28">
        <f t="shared" si="2"/>
        <v>0.80862432847275534</v>
      </c>
    </row>
    <row r="70" spans="1:21" x14ac:dyDescent="0.25">
      <c r="A70" s="9" t="s">
        <v>44</v>
      </c>
      <c r="B70" s="9"/>
      <c r="C70" s="17">
        <v>909.02</v>
      </c>
      <c r="D70" s="18">
        <v>38.183</v>
      </c>
      <c r="E70" s="18">
        <v>42.697000000000003</v>
      </c>
      <c r="F70" s="18">
        <v>43.841999999999999</v>
      </c>
      <c r="G70" s="18">
        <v>58.54</v>
      </c>
      <c r="H70" s="18">
        <f t="shared" si="0"/>
        <v>39.454625</v>
      </c>
      <c r="I70" s="5"/>
      <c r="J70" s="17">
        <v>969.80240000000003</v>
      </c>
      <c r="K70" s="18">
        <v>40.217500000000001</v>
      </c>
      <c r="L70" s="18">
        <v>44.566699999999997</v>
      </c>
      <c r="M70" s="18">
        <v>45.662599999999998</v>
      </c>
      <c r="N70" s="18">
        <v>114.4601</v>
      </c>
      <c r="O70" s="18">
        <f t="shared" si="1"/>
        <v>41.441787500000004</v>
      </c>
      <c r="P70" s="7"/>
      <c r="Q70" s="10"/>
      <c r="R70" s="11"/>
      <c r="S70" s="11"/>
      <c r="T70" s="26"/>
      <c r="U70" s="28">
        <f t="shared" si="2"/>
        <v>0.95524598565083696</v>
      </c>
    </row>
    <row r="71" spans="1:21" x14ac:dyDescent="0.25">
      <c r="B71" s="9"/>
      <c r="C71" s="17">
        <v>541.95000000000005</v>
      </c>
      <c r="D71" s="18">
        <v>36.104999999999997</v>
      </c>
      <c r="E71" s="18">
        <v>41.268999999999998</v>
      </c>
      <c r="F71" s="18">
        <v>42.322000000000003</v>
      </c>
      <c r="G71" s="18">
        <v>62.23</v>
      </c>
      <c r="H71" s="18">
        <f t="shared" si="0"/>
        <v>37.527625</v>
      </c>
      <c r="I71" s="5"/>
      <c r="J71" s="17">
        <v>560.48479999999995</v>
      </c>
      <c r="K71" s="18">
        <v>38.2027</v>
      </c>
      <c r="L71" s="18">
        <v>43.043199999999999</v>
      </c>
      <c r="M71" s="18">
        <v>44.136699999999998</v>
      </c>
      <c r="N71" s="18">
        <v>134.46879999999999</v>
      </c>
      <c r="O71" s="18">
        <f t="shared" si="1"/>
        <v>39.549512500000006</v>
      </c>
      <c r="P71" s="7"/>
      <c r="Q71" s="10"/>
      <c r="R71" s="11"/>
      <c r="S71" s="11"/>
      <c r="T71" s="26"/>
      <c r="U71" s="28">
        <f t="shared" si="2"/>
        <v>1.160835609834485</v>
      </c>
    </row>
    <row r="72" spans="1:21" ht="16.5" thickBot="1" x14ac:dyDescent="0.3">
      <c r="B72" s="12"/>
      <c r="C72" s="19">
        <v>267.55</v>
      </c>
      <c r="D72" s="20">
        <v>33.04</v>
      </c>
      <c r="E72" s="20">
        <v>40.106000000000002</v>
      </c>
      <c r="F72" s="20">
        <v>41.006999999999998</v>
      </c>
      <c r="G72" s="20">
        <v>69.680000000000007</v>
      </c>
      <c r="H72" s="20">
        <f t="shared" si="0"/>
        <v>34.919125000000001</v>
      </c>
      <c r="I72" s="5"/>
      <c r="J72" s="19">
        <v>274.8424</v>
      </c>
      <c r="K72" s="20">
        <v>34.965299999999999</v>
      </c>
      <c r="L72" s="20">
        <v>41.028799999999997</v>
      </c>
      <c r="M72" s="20">
        <v>41.985799999999998</v>
      </c>
      <c r="N72" s="20">
        <v>159.61689999999999</v>
      </c>
      <c r="O72" s="20">
        <f t="shared" si="1"/>
        <v>36.6008</v>
      </c>
      <c r="P72" s="7"/>
      <c r="Q72" s="13"/>
      <c r="R72" s="14"/>
      <c r="S72" s="14"/>
      <c r="T72" s="27"/>
      <c r="U72" s="28">
        <f t="shared" si="2"/>
        <v>1.2907132606199767</v>
      </c>
    </row>
    <row r="73" spans="1:21" x14ac:dyDescent="0.25">
      <c r="B73" s="6" t="s">
        <v>62</v>
      </c>
      <c r="C73" s="15">
        <v>1433.07</v>
      </c>
      <c r="D73" s="16">
        <v>41.576999999999998</v>
      </c>
      <c r="E73" s="16">
        <v>46.311999999999998</v>
      </c>
      <c r="F73" s="16">
        <v>46.939</v>
      </c>
      <c r="G73" s="16">
        <v>56.31</v>
      </c>
      <c r="H73" s="16">
        <f t="shared" si="0"/>
        <v>42.839125000000003</v>
      </c>
      <c r="I73" s="5"/>
      <c r="J73" s="15">
        <v>1484.5319999999999</v>
      </c>
      <c r="K73" s="16">
        <v>42.5824</v>
      </c>
      <c r="L73" s="16">
        <v>47.705300000000001</v>
      </c>
      <c r="M73" s="16">
        <v>48.319499999999998</v>
      </c>
      <c r="N73" s="16">
        <v>108.9522</v>
      </c>
      <c r="O73" s="16">
        <f t="shared" si="1"/>
        <v>43.939900000000002</v>
      </c>
      <c r="P73" s="7"/>
      <c r="Q73" s="8">
        <f>bdrate(C73:C76,D73:D76,J73:J76,K73:K76)</f>
        <v>-0.44511456817043837</v>
      </c>
      <c r="R73" s="8">
        <f>bdrate(C73:C76,E73:E76,J73:J76,L73:L76)</f>
        <v>-0.5342569245581219</v>
      </c>
      <c r="S73" s="8">
        <f>bdrate(C73:C76,F73:F76,J73:J76,M73:M76)</f>
        <v>-0.50114865318763191</v>
      </c>
      <c r="T73" s="25">
        <f>bdrate(C73:C76,H73:H76,J73:J76,O73:O76)</f>
        <v>-0.46461680925873494</v>
      </c>
      <c r="U73" s="28">
        <f t="shared" ref="U73:U232" si="3">(N73-G73)/G73</f>
        <v>0.9348641449120938</v>
      </c>
    </row>
    <row r="74" spans="1:21" x14ac:dyDescent="0.25">
      <c r="B74" s="9"/>
      <c r="C74" s="17">
        <v>943.38</v>
      </c>
      <c r="D74" s="18">
        <v>40.816000000000003</v>
      </c>
      <c r="E74" s="18">
        <v>45.552999999999997</v>
      </c>
      <c r="F74" s="18">
        <v>46.170999999999999</v>
      </c>
      <c r="G74" s="18">
        <v>60.1</v>
      </c>
      <c r="H74" s="18">
        <f t="shared" si="0"/>
        <v>42.077500000000001</v>
      </c>
      <c r="I74" s="5"/>
      <c r="J74" s="17">
        <v>990.42160000000001</v>
      </c>
      <c r="K74" s="18">
        <v>42.043100000000003</v>
      </c>
      <c r="L74" s="18">
        <v>47.147199999999998</v>
      </c>
      <c r="M74" s="18">
        <v>47.811399999999999</v>
      </c>
      <c r="N74" s="18">
        <v>127.7955</v>
      </c>
      <c r="O74" s="18">
        <f t="shared" si="1"/>
        <v>43.402149999999999</v>
      </c>
      <c r="P74" s="7"/>
      <c r="Q74" s="10"/>
      <c r="R74" s="11"/>
      <c r="S74" s="11"/>
      <c r="T74" s="26"/>
      <c r="U74" s="28">
        <f t="shared" si="3"/>
        <v>1.1263810316139768</v>
      </c>
    </row>
    <row r="75" spans="1:21" x14ac:dyDescent="0.25">
      <c r="B75" s="9"/>
      <c r="C75" s="17">
        <v>557.33000000000004</v>
      </c>
      <c r="D75" s="18">
        <v>39.731000000000002</v>
      </c>
      <c r="E75" s="18">
        <v>44.408000000000001</v>
      </c>
      <c r="F75" s="18">
        <v>45.042000000000002</v>
      </c>
      <c r="G75" s="18">
        <v>79.3</v>
      </c>
      <c r="H75" s="18">
        <f t="shared" si="0"/>
        <v>40.979500000000002</v>
      </c>
      <c r="I75" s="5"/>
      <c r="J75" s="17">
        <v>598.59439999999995</v>
      </c>
      <c r="K75" s="18">
        <v>41.164000000000001</v>
      </c>
      <c r="L75" s="18">
        <v>46.2575</v>
      </c>
      <c r="M75" s="18">
        <v>46.760899999999999</v>
      </c>
      <c r="N75" s="18">
        <v>145.1379</v>
      </c>
      <c r="O75" s="18">
        <f t="shared" si="1"/>
        <v>42.500300000000003</v>
      </c>
      <c r="P75" s="7"/>
      <c r="Q75" s="10"/>
      <c r="R75" s="11"/>
      <c r="S75" s="11"/>
      <c r="T75" s="26"/>
      <c r="U75" s="28">
        <f t="shared" si="3"/>
        <v>0.83023833543505687</v>
      </c>
    </row>
    <row r="76" spans="1:21" ht="16.5" thickBot="1" x14ac:dyDescent="0.3">
      <c r="B76" s="12"/>
      <c r="C76" s="19">
        <v>268.88</v>
      </c>
      <c r="D76" s="20">
        <v>37.718000000000004</v>
      </c>
      <c r="E76" s="20">
        <v>42.557000000000002</v>
      </c>
      <c r="F76" s="20">
        <v>43.031999999999996</v>
      </c>
      <c r="G76" s="20">
        <v>88.22</v>
      </c>
      <c r="H76" s="20">
        <f t="shared" si="0"/>
        <v>38.987124999999999</v>
      </c>
      <c r="I76" s="5"/>
      <c r="J76" s="19">
        <v>292.988</v>
      </c>
      <c r="K76" s="20">
        <v>39.373899999999999</v>
      </c>
      <c r="L76" s="20">
        <v>44.4846</v>
      </c>
      <c r="M76" s="20">
        <v>44.985700000000001</v>
      </c>
      <c r="N76" s="20">
        <v>168.6815</v>
      </c>
      <c r="O76" s="20">
        <f t="shared" si="1"/>
        <v>40.714212500000002</v>
      </c>
      <c r="P76" s="7"/>
      <c r="Q76" s="13"/>
      <c r="R76" s="14"/>
      <c r="S76" s="14"/>
      <c r="T76" s="27"/>
      <c r="U76" s="28">
        <f t="shared" si="3"/>
        <v>0.91205508954885517</v>
      </c>
    </row>
    <row r="77" spans="1:21" x14ac:dyDescent="0.25">
      <c r="B77" s="6" t="s">
        <v>63</v>
      </c>
      <c r="C77" s="15">
        <v>1502.55</v>
      </c>
      <c r="D77" s="16">
        <v>41.271999999999998</v>
      </c>
      <c r="E77" s="16">
        <v>45.375</v>
      </c>
      <c r="F77" s="16">
        <v>46.152000000000001</v>
      </c>
      <c r="G77" s="16">
        <v>52.48</v>
      </c>
      <c r="H77" s="16">
        <f t="shared" si="0"/>
        <v>42.394874999999999</v>
      </c>
      <c r="I77" s="5"/>
      <c r="J77" s="15">
        <v>1539.816</v>
      </c>
      <c r="K77" s="16">
        <v>42.458199999999998</v>
      </c>
      <c r="L77" s="16">
        <v>46.7072</v>
      </c>
      <c r="M77" s="16">
        <v>47.530700000000003</v>
      </c>
      <c r="N77" s="16">
        <v>97.134500000000003</v>
      </c>
      <c r="O77" s="16">
        <f t="shared" si="1"/>
        <v>43.6233875</v>
      </c>
      <c r="P77" s="7"/>
      <c r="Q77" s="8">
        <f>bdrate(C77:C80,D77:D80,J77:J80,K77:K80)</f>
        <v>-0.40372123785939562</v>
      </c>
      <c r="R77" s="8">
        <f>bdrate(C77:C80,E77:E80,J77:J80,L77:L80)</f>
        <v>-0.44701177702003114</v>
      </c>
      <c r="S77" s="8">
        <f>bdrate(C77:C80,F77:F80,J77:J80,M77:M80)</f>
        <v>-0.42775638893459045</v>
      </c>
      <c r="T77" s="25">
        <f>bdrate(C77:C80,H77:H80,J77:J80,O77:O80)</f>
        <v>-0.41086777159783094</v>
      </c>
      <c r="U77" s="28">
        <f t="shared" si="3"/>
        <v>0.85088605182926846</v>
      </c>
    </row>
    <row r="78" spans="1:21" x14ac:dyDescent="0.25">
      <c r="B78" s="9"/>
      <c r="C78" s="17">
        <v>992.42</v>
      </c>
      <c r="D78" s="18">
        <v>40.146000000000001</v>
      </c>
      <c r="E78" s="18">
        <v>44.341999999999999</v>
      </c>
      <c r="F78" s="18">
        <v>45.112000000000002</v>
      </c>
      <c r="G78" s="18">
        <v>58.99</v>
      </c>
      <c r="H78" s="18">
        <f t="shared" si="0"/>
        <v>41.291250000000005</v>
      </c>
      <c r="I78" s="5"/>
      <c r="J78" s="17">
        <v>1008.4464</v>
      </c>
      <c r="K78" s="18">
        <v>41.636099999999999</v>
      </c>
      <c r="L78" s="18">
        <v>45.8934</v>
      </c>
      <c r="M78" s="18">
        <v>46.732100000000003</v>
      </c>
      <c r="N78" s="18">
        <v>112.12860000000001</v>
      </c>
      <c r="O78" s="18">
        <f t="shared" si="1"/>
        <v>42.805262499999998</v>
      </c>
      <c r="P78" s="7"/>
      <c r="Q78" s="10"/>
      <c r="R78" s="11"/>
      <c r="S78" s="11"/>
      <c r="T78" s="26"/>
      <c r="U78" s="28">
        <f t="shared" si="3"/>
        <v>0.900806916426513</v>
      </c>
    </row>
    <row r="79" spans="1:21" x14ac:dyDescent="0.25">
      <c r="B79" s="9"/>
      <c r="C79" s="17">
        <v>590.5</v>
      </c>
      <c r="D79" s="18">
        <v>38.555999999999997</v>
      </c>
      <c r="E79" s="18">
        <v>43.008000000000003</v>
      </c>
      <c r="F79" s="18">
        <v>43.908999999999999</v>
      </c>
      <c r="G79" s="18">
        <v>72.7</v>
      </c>
      <c r="H79" s="18">
        <f t="shared" si="0"/>
        <v>39.781624999999998</v>
      </c>
      <c r="I79" s="5"/>
      <c r="J79" s="17">
        <v>598.4384</v>
      </c>
      <c r="K79" s="18">
        <v>40.2087</v>
      </c>
      <c r="L79" s="18">
        <v>44.558900000000001</v>
      </c>
      <c r="M79" s="18">
        <v>45.259599999999999</v>
      </c>
      <c r="N79" s="18">
        <v>130.37809999999999</v>
      </c>
      <c r="O79" s="18">
        <f t="shared" si="1"/>
        <v>41.383837499999998</v>
      </c>
      <c r="P79" s="7"/>
      <c r="Q79" s="10"/>
      <c r="R79" s="11"/>
      <c r="S79" s="11"/>
      <c r="T79" s="26"/>
      <c r="U79" s="28">
        <f t="shared" si="3"/>
        <v>0.79337138927097639</v>
      </c>
    </row>
    <row r="80" spans="1:21" ht="16.5" thickBot="1" x14ac:dyDescent="0.3">
      <c r="B80" s="12"/>
      <c r="C80" s="19">
        <v>290.12</v>
      </c>
      <c r="D80" s="20">
        <v>35.750999999999998</v>
      </c>
      <c r="E80" s="20">
        <v>41.139000000000003</v>
      </c>
      <c r="F80" s="20">
        <v>42.03</v>
      </c>
      <c r="G80" s="20">
        <v>82.71</v>
      </c>
      <c r="H80" s="20">
        <f t="shared" si="0"/>
        <v>37.209374999999994</v>
      </c>
      <c r="I80" s="5"/>
      <c r="J80" s="19">
        <v>295.2088</v>
      </c>
      <c r="K80" s="20">
        <v>37.838000000000001</v>
      </c>
      <c r="L80" s="20">
        <v>42.732700000000001</v>
      </c>
      <c r="M80" s="20">
        <v>43.527900000000002</v>
      </c>
      <c r="N80" s="20">
        <v>153.2176</v>
      </c>
      <c r="O80" s="20">
        <f t="shared" si="1"/>
        <v>39.161075000000004</v>
      </c>
      <c r="P80" s="7"/>
      <c r="Q80" s="13"/>
      <c r="R80" s="14"/>
      <c r="S80" s="14"/>
      <c r="T80" s="27"/>
      <c r="U80" s="28">
        <f t="shared" si="3"/>
        <v>0.85246765808245695</v>
      </c>
    </row>
    <row r="81" spans="1:21" hidden="1" x14ac:dyDescent="0.25">
      <c r="A81" s="6" t="s">
        <v>69</v>
      </c>
      <c r="B81" s="6" t="s">
        <v>73</v>
      </c>
      <c r="C81" s="15">
        <v>1243.54</v>
      </c>
      <c r="D81" s="16">
        <v>32.874000000000002</v>
      </c>
      <c r="E81" s="16">
        <v>36.082999999999998</v>
      </c>
      <c r="F81" s="16">
        <v>36</v>
      </c>
      <c r="G81" s="16">
        <v>69.83</v>
      </c>
      <c r="H81" s="16">
        <f t="shared" ref="H81:H240" si="4">(6*D81+E81+F81)/8</f>
        <v>33.665875</v>
      </c>
      <c r="I81" s="5"/>
      <c r="J81" s="15">
        <v>1242.8879999999999</v>
      </c>
      <c r="K81" s="16">
        <v>34.679299999999998</v>
      </c>
      <c r="L81" s="16">
        <v>38.223199999999999</v>
      </c>
      <c r="M81" s="16">
        <v>38.158799999999999</v>
      </c>
      <c r="N81" s="16">
        <v>111.2842</v>
      </c>
      <c r="O81" s="16">
        <f t="shared" ref="O81:O240" si="5">(6*K81+L81+M81)/8</f>
        <v>35.557224999999995</v>
      </c>
      <c r="P81" s="7"/>
      <c r="Q81" s="8">
        <f>bdrate(C81:C84,D81:D84,J81:J84,K81:K84)</f>
        <v>-0.35869526876373425</v>
      </c>
      <c r="R81" s="8">
        <f>bdrate(C81:C84,E81:E84,J81:J84,L81:L84)</f>
        <v>-0.43797313112981406</v>
      </c>
      <c r="S81" s="8">
        <f>bdrate(C81:C84,F81:F84,J81:J84,M81:M84)</f>
        <v>-0.39631050492119657</v>
      </c>
      <c r="T81" s="25">
        <f>bdrate(C81:C84,H81:H84,J81:J84,O81:O84)</f>
        <v>-0.37161020453247362</v>
      </c>
      <c r="U81" s="28">
        <f t="shared" si="3"/>
        <v>0.59364456537304888</v>
      </c>
    </row>
    <row r="82" spans="1:21" hidden="1" x14ac:dyDescent="0.25">
      <c r="A82" s="9" t="s">
        <v>70</v>
      </c>
      <c r="B82" s="9"/>
      <c r="C82" s="17">
        <v>832.73</v>
      </c>
      <c r="D82" s="18">
        <v>31.367000000000001</v>
      </c>
      <c r="E82" s="18">
        <v>34.954999999999998</v>
      </c>
      <c r="F82" s="18">
        <v>34.831000000000003</v>
      </c>
      <c r="G82" s="18">
        <v>78.37</v>
      </c>
      <c r="H82" s="18">
        <f t="shared" si="4"/>
        <v>32.2485</v>
      </c>
      <c r="I82" s="5"/>
      <c r="J82" s="17">
        <v>828.2296</v>
      </c>
      <c r="K82" s="18">
        <v>33.137</v>
      </c>
      <c r="L82" s="18">
        <v>36.891500000000001</v>
      </c>
      <c r="M82" s="18">
        <v>36.643300000000004</v>
      </c>
      <c r="N82" s="18">
        <v>129.23240000000001</v>
      </c>
      <c r="O82" s="18">
        <f t="shared" si="5"/>
        <v>34.044600000000003</v>
      </c>
      <c r="P82" s="7"/>
      <c r="Q82" s="10"/>
      <c r="R82" s="11"/>
      <c r="S82" s="11"/>
      <c r="T82" s="26"/>
      <c r="U82" s="28">
        <f t="shared" si="3"/>
        <v>0.64900344519586584</v>
      </c>
    </row>
    <row r="83" spans="1:21" hidden="1" x14ac:dyDescent="0.25">
      <c r="B83" s="9"/>
      <c r="C83" s="17">
        <v>516.95000000000005</v>
      </c>
      <c r="D83" s="18">
        <v>29.619</v>
      </c>
      <c r="E83" s="18">
        <v>33.674999999999997</v>
      </c>
      <c r="F83" s="18">
        <v>33.506999999999998</v>
      </c>
      <c r="G83" s="18">
        <v>87.34</v>
      </c>
      <c r="H83" s="18">
        <f t="shared" si="4"/>
        <v>30.612000000000002</v>
      </c>
      <c r="I83" s="5"/>
      <c r="J83" s="17">
        <v>517.7568</v>
      </c>
      <c r="K83" s="18">
        <v>31.239899999999999</v>
      </c>
      <c r="L83" s="18">
        <v>35.250700000000002</v>
      </c>
      <c r="M83" s="18">
        <v>34.929000000000002</v>
      </c>
      <c r="N83" s="18">
        <v>157.13390000000001</v>
      </c>
      <c r="O83" s="18">
        <f t="shared" si="5"/>
        <v>32.2023875</v>
      </c>
      <c r="P83" s="7"/>
      <c r="Q83" s="10"/>
      <c r="R83" s="11"/>
      <c r="S83" s="11"/>
      <c r="T83" s="26"/>
      <c r="U83" s="28">
        <f t="shared" si="3"/>
        <v>0.79910579345088162</v>
      </c>
    </row>
    <row r="84" spans="1:21" ht="16.5" hidden="1" thickBot="1" x14ac:dyDescent="0.3">
      <c r="B84" s="12"/>
      <c r="C84" s="19">
        <v>305.43</v>
      </c>
      <c r="D84" s="20">
        <v>27.888000000000002</v>
      </c>
      <c r="E84" s="20">
        <v>32.350999999999999</v>
      </c>
      <c r="F84" s="20">
        <v>32.222000000000001</v>
      </c>
      <c r="G84" s="20">
        <v>100.48</v>
      </c>
      <c r="H84" s="20">
        <f t="shared" si="4"/>
        <v>28.987625000000001</v>
      </c>
      <c r="I84" s="5"/>
      <c r="J84" s="19">
        <v>310.2208</v>
      </c>
      <c r="K84" s="20">
        <v>29.3188</v>
      </c>
      <c r="L84" s="20">
        <v>33.766199999999998</v>
      </c>
      <c r="M84" s="20">
        <v>33.354199999999999</v>
      </c>
      <c r="N84" s="20">
        <v>189.68129999999999</v>
      </c>
      <c r="O84" s="20">
        <f t="shared" si="5"/>
        <v>30.379149999999999</v>
      </c>
      <c r="P84" s="7"/>
      <c r="Q84" s="13"/>
      <c r="R84" s="14"/>
      <c r="S84" s="14"/>
      <c r="T84" s="27"/>
      <c r="U84" s="28">
        <f t="shared" si="3"/>
        <v>0.88775179140127369</v>
      </c>
    </row>
    <row r="85" spans="1:21" hidden="1" x14ac:dyDescent="0.25">
      <c r="B85" s="6" t="s">
        <v>74</v>
      </c>
      <c r="C85" s="15">
        <v>1121.92</v>
      </c>
      <c r="D85" s="16">
        <v>31.37</v>
      </c>
      <c r="E85" s="16">
        <v>38.51</v>
      </c>
      <c r="F85" s="16">
        <v>37.569000000000003</v>
      </c>
      <c r="G85" s="16">
        <v>39.130000000000003</v>
      </c>
      <c r="H85" s="16">
        <f t="shared" si="4"/>
        <v>33.037374999999997</v>
      </c>
      <c r="I85" s="5"/>
      <c r="J85" s="15">
        <v>1239.3149000000001</v>
      </c>
      <c r="K85" s="16">
        <v>32.8962</v>
      </c>
      <c r="L85" s="16">
        <v>40.179000000000002</v>
      </c>
      <c r="M85" s="16">
        <v>39.5441</v>
      </c>
      <c r="N85" s="16">
        <v>57.650199999999998</v>
      </c>
      <c r="O85" s="16">
        <f t="shared" si="5"/>
        <v>34.637537500000001</v>
      </c>
      <c r="P85" s="7"/>
      <c r="Q85" s="8">
        <f>bdrate(C85:C88,D85:D88,J85:J88,K85:K88)</f>
        <v>-0.32459883967377412</v>
      </c>
      <c r="R85" s="8">
        <f>bdrate(C85:C88,E85:E88,J85:J88,L85:L88)</f>
        <v>-0.43942069414301266</v>
      </c>
      <c r="S85" s="8">
        <f>bdrate(C85:C88,F85:F88,J85:J88,M85:M88)</f>
        <v>-0.44892617039789184</v>
      </c>
      <c r="T85" s="25">
        <f>bdrate(C85:C88,H85:H88,J85:J88,O85:O88)</f>
        <v>-0.35028984749394343</v>
      </c>
      <c r="U85" s="28">
        <f t="shared" si="3"/>
        <v>0.47329925888065411</v>
      </c>
    </row>
    <row r="86" spans="1:21" hidden="1" x14ac:dyDescent="0.25">
      <c r="B86" s="9"/>
      <c r="C86" s="17">
        <v>747.92</v>
      </c>
      <c r="D86" s="18">
        <v>30.045999999999999</v>
      </c>
      <c r="E86" s="18">
        <v>37.630000000000003</v>
      </c>
      <c r="F86" s="18">
        <v>36.555</v>
      </c>
      <c r="G86" s="18">
        <v>44.89</v>
      </c>
      <c r="H86" s="18">
        <f t="shared" si="4"/>
        <v>31.807625000000002</v>
      </c>
      <c r="I86" s="5"/>
      <c r="J86" s="17">
        <v>825.73299999999995</v>
      </c>
      <c r="K86" s="18">
        <v>31.567799999999998</v>
      </c>
      <c r="L86" s="18">
        <v>39.193399999999997</v>
      </c>
      <c r="M86" s="18">
        <v>38.421399999999998</v>
      </c>
      <c r="N86" s="18">
        <v>67.9071</v>
      </c>
      <c r="O86" s="18">
        <f t="shared" si="5"/>
        <v>33.377699999999997</v>
      </c>
      <c r="P86" s="7"/>
      <c r="Q86" s="10"/>
      <c r="R86" s="11"/>
      <c r="S86" s="11"/>
      <c r="T86" s="26"/>
      <c r="U86" s="28">
        <f t="shared" si="3"/>
        <v>0.51274448652261084</v>
      </c>
    </row>
    <row r="87" spans="1:21" hidden="1" x14ac:dyDescent="0.25">
      <c r="B87" s="9"/>
      <c r="C87" s="17">
        <v>467.73</v>
      </c>
      <c r="D87" s="18">
        <v>28.533000000000001</v>
      </c>
      <c r="E87" s="18">
        <v>36.72</v>
      </c>
      <c r="F87" s="18">
        <v>35.5</v>
      </c>
      <c r="G87" s="18">
        <v>51.37</v>
      </c>
      <c r="H87" s="18">
        <f t="shared" si="4"/>
        <v>30.427250000000001</v>
      </c>
      <c r="I87" s="5"/>
      <c r="J87" s="17">
        <v>515.32510000000002</v>
      </c>
      <c r="K87" s="18">
        <v>30.0931</v>
      </c>
      <c r="L87" s="18">
        <v>38.081800000000001</v>
      </c>
      <c r="M87" s="18">
        <v>37.125900000000001</v>
      </c>
      <c r="N87" s="18">
        <v>81.340500000000006</v>
      </c>
      <c r="O87" s="18">
        <f t="shared" si="5"/>
        <v>31.9707875</v>
      </c>
      <c r="P87" s="7"/>
      <c r="Q87" s="10"/>
      <c r="R87" s="11"/>
      <c r="S87" s="11"/>
      <c r="T87" s="26"/>
      <c r="U87" s="28">
        <f t="shared" si="3"/>
        <v>0.58342417753552678</v>
      </c>
    </row>
    <row r="88" spans="1:21" ht="16.5" hidden="1" thickBot="1" x14ac:dyDescent="0.3">
      <c r="B88" s="12"/>
      <c r="C88" s="19">
        <v>281.58999999999997</v>
      </c>
      <c r="D88" s="20">
        <v>27.158999999999999</v>
      </c>
      <c r="E88" s="20">
        <v>35.828000000000003</v>
      </c>
      <c r="F88" s="20">
        <v>34.545000000000002</v>
      </c>
      <c r="G88" s="20">
        <v>56.33</v>
      </c>
      <c r="H88" s="20">
        <f t="shared" si="4"/>
        <v>29.165875</v>
      </c>
      <c r="I88" s="5"/>
      <c r="J88" s="19">
        <v>308.47149999999999</v>
      </c>
      <c r="K88" s="20">
        <v>28.540900000000001</v>
      </c>
      <c r="L88" s="20">
        <v>36.985599999999998</v>
      </c>
      <c r="M88" s="20">
        <v>35.832099999999997</v>
      </c>
      <c r="N88" s="20">
        <v>98.912000000000006</v>
      </c>
      <c r="O88" s="20">
        <f t="shared" si="5"/>
        <v>30.507887500000002</v>
      </c>
      <c r="P88" s="7"/>
      <c r="Q88" s="13"/>
      <c r="R88" s="14"/>
      <c r="S88" s="14"/>
      <c r="T88" s="27"/>
      <c r="U88" s="28">
        <f t="shared" si="3"/>
        <v>0.75593822119652065</v>
      </c>
    </row>
    <row r="89" spans="1:21" hidden="1" x14ac:dyDescent="0.25">
      <c r="B89" s="6" t="s">
        <v>75</v>
      </c>
      <c r="C89" s="15">
        <v>897.58</v>
      </c>
      <c r="D89" s="16">
        <v>41.143999999999998</v>
      </c>
      <c r="E89" s="16">
        <v>43.402000000000001</v>
      </c>
      <c r="F89" s="16">
        <v>43.244999999999997</v>
      </c>
      <c r="G89" s="16">
        <v>63.05</v>
      </c>
      <c r="H89" s="16">
        <f t="shared" si="4"/>
        <v>41.688874999999996</v>
      </c>
      <c r="I89" s="5"/>
      <c r="J89" s="15">
        <v>989.33280000000002</v>
      </c>
      <c r="K89" s="16">
        <v>48.041499999999999</v>
      </c>
      <c r="L89" s="16">
        <v>48.253100000000003</v>
      </c>
      <c r="M89" s="16">
        <v>48.012599999999999</v>
      </c>
      <c r="N89" s="16">
        <v>57.581600000000002</v>
      </c>
      <c r="O89" s="16">
        <f t="shared" si="5"/>
        <v>48.064337500000008</v>
      </c>
      <c r="P89" s="7"/>
      <c r="Q89" s="8">
        <f>bdrate(C89:C92,D89:D92,J89:J92,K89:K92)</f>
        <v>-0.42416978310153708</v>
      </c>
      <c r="R89" s="8">
        <f>bdrate(C89:C92,E89:E92,J89:J92,L89:L92)</f>
        <v>-0.35634174762091708</v>
      </c>
      <c r="S89" s="8">
        <f>bdrate(C89:C92,F89:F92,J89:J92,M89:M92)</f>
        <v>-0.358077051858953</v>
      </c>
      <c r="T89" s="25">
        <f>bdrate(C89:C92,H89:H92,J89:J92,O89:O92)</f>
        <v>-0.41302704299773185</v>
      </c>
      <c r="U89" s="28">
        <f t="shared" si="3"/>
        <v>-8.673116574147495E-2</v>
      </c>
    </row>
    <row r="90" spans="1:21" hidden="1" x14ac:dyDescent="0.25">
      <c r="B90" s="9"/>
      <c r="C90" s="17">
        <v>627.35</v>
      </c>
      <c r="D90" s="18">
        <v>36.634</v>
      </c>
      <c r="E90" s="18">
        <v>40.511000000000003</v>
      </c>
      <c r="F90" s="18">
        <v>40.255000000000003</v>
      </c>
      <c r="G90" s="18">
        <v>70.19</v>
      </c>
      <c r="H90" s="18">
        <f t="shared" si="4"/>
        <v>37.571249999999999</v>
      </c>
      <c r="I90" s="5"/>
      <c r="J90" s="17">
        <v>750.52</v>
      </c>
      <c r="K90" s="18">
        <v>45.531700000000001</v>
      </c>
      <c r="L90" s="18">
        <v>46.122</v>
      </c>
      <c r="M90" s="18">
        <v>45.913600000000002</v>
      </c>
      <c r="N90" s="18">
        <v>116.5501</v>
      </c>
      <c r="O90" s="18">
        <f t="shared" si="5"/>
        <v>45.653225000000006</v>
      </c>
      <c r="P90" s="7"/>
      <c r="Q90" s="10"/>
      <c r="R90" s="11"/>
      <c r="S90" s="11"/>
      <c r="T90" s="26"/>
      <c r="U90" s="28">
        <f t="shared" si="3"/>
        <v>0.66049437241772335</v>
      </c>
    </row>
    <row r="91" spans="1:21" hidden="1" x14ac:dyDescent="0.25">
      <c r="B91" s="9"/>
      <c r="C91" s="17">
        <v>419.79</v>
      </c>
      <c r="D91" s="18">
        <v>32.024000000000001</v>
      </c>
      <c r="E91" s="18">
        <v>38.326999999999998</v>
      </c>
      <c r="F91" s="18">
        <v>37.896999999999998</v>
      </c>
      <c r="G91" s="18">
        <v>76.92</v>
      </c>
      <c r="H91" s="18">
        <f t="shared" si="4"/>
        <v>33.545999999999999</v>
      </c>
      <c r="I91" s="5"/>
      <c r="J91" s="17">
        <v>537.73680000000002</v>
      </c>
      <c r="K91" s="18">
        <v>41.456800000000001</v>
      </c>
      <c r="L91" s="18">
        <v>42.741300000000003</v>
      </c>
      <c r="M91" s="18">
        <v>42.585299999999997</v>
      </c>
      <c r="N91" s="18">
        <v>161.6379</v>
      </c>
      <c r="O91" s="18">
        <f t="shared" si="5"/>
        <v>41.758425000000003</v>
      </c>
      <c r="P91" s="7"/>
      <c r="Q91" s="10"/>
      <c r="R91" s="11"/>
      <c r="S91" s="11"/>
      <c r="T91" s="26"/>
      <c r="U91" s="28">
        <f t="shared" si="3"/>
        <v>1.1013767550702027</v>
      </c>
    </row>
    <row r="92" spans="1:21" ht="16.5" hidden="1" thickBot="1" x14ac:dyDescent="0.3">
      <c r="B92" s="12"/>
      <c r="C92" s="19">
        <v>208.11</v>
      </c>
      <c r="D92" s="20">
        <v>26.65</v>
      </c>
      <c r="E92" s="20">
        <v>36.587000000000003</v>
      </c>
      <c r="F92" s="20">
        <v>35.697000000000003</v>
      </c>
      <c r="G92" s="20">
        <v>76.61</v>
      </c>
      <c r="H92" s="20">
        <f t="shared" si="4"/>
        <v>29.022999999999996</v>
      </c>
      <c r="I92" s="5"/>
      <c r="J92" s="19">
        <v>301.12560000000002</v>
      </c>
      <c r="K92" s="20">
        <v>34.514000000000003</v>
      </c>
      <c r="L92" s="20">
        <v>38.611199999999997</v>
      </c>
      <c r="M92" s="20">
        <v>38.273099999999999</v>
      </c>
      <c r="N92" s="20">
        <v>178.04150000000001</v>
      </c>
      <c r="O92" s="20">
        <f t="shared" si="5"/>
        <v>35.4960375</v>
      </c>
      <c r="P92" s="7"/>
      <c r="Q92" s="13"/>
      <c r="R92" s="14"/>
      <c r="S92" s="14"/>
      <c r="T92" s="27"/>
      <c r="U92" s="28">
        <f t="shared" si="3"/>
        <v>1.3239981725623289</v>
      </c>
    </row>
    <row r="93" spans="1:21" hidden="1" x14ac:dyDescent="0.25">
      <c r="B93" s="6" t="s">
        <v>76</v>
      </c>
      <c r="C93" s="15">
        <v>1082.07</v>
      </c>
      <c r="D93" s="16">
        <v>45.353000000000002</v>
      </c>
      <c r="E93" s="16">
        <v>50.070999999999998</v>
      </c>
      <c r="F93" s="16">
        <v>51.332999999999998</v>
      </c>
      <c r="G93" s="16">
        <v>56.03</v>
      </c>
      <c r="H93" s="16">
        <f t="shared" si="4"/>
        <v>46.690249999999992</v>
      </c>
      <c r="I93" s="5"/>
      <c r="J93" s="15">
        <v>1149.8022000000001</v>
      </c>
      <c r="K93" s="16">
        <v>49.626199999999997</v>
      </c>
      <c r="L93" s="16">
        <v>52.884700000000002</v>
      </c>
      <c r="M93" s="16">
        <v>53.900799999999997</v>
      </c>
      <c r="N93" s="16">
        <v>83.458500000000001</v>
      </c>
      <c r="O93" s="16">
        <f t="shared" si="5"/>
        <v>50.567837500000003</v>
      </c>
      <c r="P93" s="7"/>
      <c r="Q93" s="8">
        <f>bdrate(C93:C96,D93:D96,J93:J96,K93:K96)</f>
        <v>-0.40640469096842624</v>
      </c>
      <c r="R93" s="8">
        <f>bdrate(C93:C96,E93:E96,J93:J96,L93:L96)</f>
        <v>-0.37293713724935906</v>
      </c>
      <c r="S93" s="8">
        <f>bdrate(C93:C96,F93:F96,J93:J96,M93:M96)</f>
        <v>-0.34420202714287873</v>
      </c>
      <c r="T93" s="25">
        <f>bdrate(C93:C96,H93:H96,J93:J96,O93:O96)</f>
        <v>-0.39714681652870631</v>
      </c>
      <c r="U93" s="28">
        <f t="shared" si="3"/>
        <v>0.48953239336069959</v>
      </c>
    </row>
    <row r="94" spans="1:21" hidden="1" x14ac:dyDescent="0.25">
      <c r="B94" s="9"/>
      <c r="C94" s="17">
        <v>739.09</v>
      </c>
      <c r="D94" s="18">
        <v>42.319000000000003</v>
      </c>
      <c r="E94" s="18">
        <v>47.613</v>
      </c>
      <c r="F94" s="18">
        <v>48.67</v>
      </c>
      <c r="G94" s="18">
        <v>53.69</v>
      </c>
      <c r="H94" s="18">
        <f t="shared" si="4"/>
        <v>43.774625000000007</v>
      </c>
      <c r="I94" s="5"/>
      <c r="J94" s="17">
        <v>786.88930000000005</v>
      </c>
      <c r="K94" s="18">
        <v>46.896900000000002</v>
      </c>
      <c r="L94" s="18">
        <v>50.698099999999997</v>
      </c>
      <c r="M94" s="18">
        <v>51.739199999999997</v>
      </c>
      <c r="N94" s="18">
        <v>98.328400000000002</v>
      </c>
      <c r="O94" s="18">
        <f t="shared" si="5"/>
        <v>47.977337499999997</v>
      </c>
      <c r="P94" s="7"/>
      <c r="Q94" s="10"/>
      <c r="R94" s="11"/>
      <c r="S94" s="11"/>
      <c r="T94" s="26"/>
      <c r="U94" s="28">
        <f t="shared" si="3"/>
        <v>0.83140994598621731</v>
      </c>
    </row>
    <row r="95" spans="1:21" hidden="1" x14ac:dyDescent="0.25">
      <c r="B95" s="9"/>
      <c r="C95" s="17">
        <v>456.34</v>
      </c>
      <c r="D95" s="18">
        <v>38.737000000000002</v>
      </c>
      <c r="E95" s="18">
        <v>44.247999999999998</v>
      </c>
      <c r="F95" s="18">
        <v>46.018000000000001</v>
      </c>
      <c r="G95" s="18">
        <v>65.680000000000007</v>
      </c>
      <c r="H95" s="18">
        <f t="shared" si="4"/>
        <v>40.335999999999999</v>
      </c>
      <c r="I95" s="5"/>
      <c r="J95" s="17">
        <v>479.53820000000002</v>
      </c>
      <c r="K95" s="18">
        <v>43.2089</v>
      </c>
      <c r="L95" s="18">
        <v>47.764099999999999</v>
      </c>
      <c r="M95" s="18">
        <v>48.8504</v>
      </c>
      <c r="N95" s="18">
        <v>113.27589999999999</v>
      </c>
      <c r="O95" s="18">
        <f t="shared" si="5"/>
        <v>44.483487499999995</v>
      </c>
      <c r="P95" s="7"/>
      <c r="Q95" s="10"/>
      <c r="R95" s="11"/>
      <c r="S95" s="11"/>
      <c r="T95" s="26"/>
      <c r="U95" s="28">
        <f t="shared" si="3"/>
        <v>0.72466352009744184</v>
      </c>
    </row>
    <row r="96" spans="1:21" ht="16.5" hidden="1" thickBot="1" x14ac:dyDescent="0.3">
      <c r="B96" s="12"/>
      <c r="C96" s="19">
        <v>232.04</v>
      </c>
      <c r="D96" s="20">
        <v>34.238</v>
      </c>
      <c r="E96" s="20">
        <v>40.89</v>
      </c>
      <c r="F96" s="20">
        <v>42.948</v>
      </c>
      <c r="G96" s="20">
        <v>63.59</v>
      </c>
      <c r="H96" s="20">
        <f t="shared" si="4"/>
        <v>36.158249999999995</v>
      </c>
      <c r="I96" s="5"/>
      <c r="J96" s="19">
        <v>261.57440000000003</v>
      </c>
      <c r="K96" s="20">
        <v>37.970599999999997</v>
      </c>
      <c r="L96" s="20">
        <v>43.784300000000002</v>
      </c>
      <c r="M96" s="20">
        <v>44.850299999999997</v>
      </c>
      <c r="N96" s="20">
        <v>128.20509999999999</v>
      </c>
      <c r="O96" s="20">
        <f t="shared" si="5"/>
        <v>39.557274999999997</v>
      </c>
      <c r="P96" s="7"/>
      <c r="Q96" s="13"/>
      <c r="R96" s="14"/>
      <c r="S96" s="14"/>
      <c r="T96" s="27"/>
      <c r="U96" s="28">
        <f t="shared" si="3"/>
        <v>1.0161204591916966</v>
      </c>
    </row>
    <row r="97" spans="1:21" hidden="1" x14ac:dyDescent="0.25">
      <c r="A97" s="6" t="s">
        <v>104</v>
      </c>
      <c r="B97" s="6" t="s">
        <v>105</v>
      </c>
      <c r="C97" s="15">
        <v>1011.25</v>
      </c>
      <c r="D97" s="16">
        <v>40.338000000000001</v>
      </c>
      <c r="E97" s="16">
        <v>47.576999999999998</v>
      </c>
      <c r="F97" s="16">
        <v>47.408999999999999</v>
      </c>
      <c r="G97" s="16">
        <v>47.72</v>
      </c>
      <c r="H97" s="16">
        <f t="shared" si="4"/>
        <v>42.126750000000001</v>
      </c>
      <c r="I97" s="5"/>
      <c r="J97" s="15">
        <v>1024.8050000000001</v>
      </c>
      <c r="K97" s="16">
        <v>41.237099999999998</v>
      </c>
      <c r="L97" s="16">
        <v>47.698300000000003</v>
      </c>
      <c r="M97" s="16">
        <v>47.622700000000002</v>
      </c>
      <c r="N97" s="16">
        <v>73.743600000000001</v>
      </c>
      <c r="O97" s="16">
        <f t="shared" si="5"/>
        <v>42.842950000000002</v>
      </c>
      <c r="P97" s="7"/>
      <c r="Q97" s="8">
        <f>bdrate(C97:C100,D97:D100,J97:J100,K97:K100)</f>
        <v>-9.7747557316490874E-2</v>
      </c>
      <c r="R97" s="8">
        <f>bdrate(C97:C100,E97:E100,J97:J100,L97:L100)</f>
        <v>-5.4858404890615109E-2</v>
      </c>
      <c r="S97" s="8">
        <f>bdrate(C97:C100,F97:F100,J97:J100,M97:M100)</f>
        <v>-5.8941112744409607E-2</v>
      </c>
      <c r="T97" s="25">
        <f>bdrate(C97:C100,H97:H100,J97:J100,O97:O100)</f>
        <v>-9.0932677539782292E-2</v>
      </c>
      <c r="U97" s="28">
        <f t="shared" si="3"/>
        <v>0.54533948030176027</v>
      </c>
    </row>
    <row r="98" spans="1:21" hidden="1" x14ac:dyDescent="0.25">
      <c r="A98" s="9"/>
      <c r="B98" s="9"/>
      <c r="C98" s="17">
        <v>599.05999999999995</v>
      </c>
      <c r="D98" s="18">
        <v>38.012999999999998</v>
      </c>
      <c r="E98" s="18">
        <v>45.8</v>
      </c>
      <c r="F98" s="18">
        <v>45.54</v>
      </c>
      <c r="G98" s="18">
        <v>54.31</v>
      </c>
      <c r="H98" s="18">
        <f t="shared" si="4"/>
        <v>39.927250000000001</v>
      </c>
      <c r="I98" s="5"/>
      <c r="J98" s="17">
        <v>612.67759999999998</v>
      </c>
      <c r="K98" s="18">
        <v>38.742400000000004</v>
      </c>
      <c r="L98" s="18">
        <v>46.034799999999997</v>
      </c>
      <c r="M98" s="18">
        <v>45.816400000000002</v>
      </c>
      <c r="N98" s="18">
        <v>89.820400000000006</v>
      </c>
      <c r="O98" s="18">
        <f t="shared" si="5"/>
        <v>40.538200000000003</v>
      </c>
      <c r="P98" s="7"/>
      <c r="Q98" s="10"/>
      <c r="R98" s="11"/>
      <c r="S98" s="11"/>
      <c r="T98" s="26"/>
      <c r="U98" s="28">
        <f t="shared" si="3"/>
        <v>0.65384643712023571</v>
      </c>
    </row>
    <row r="99" spans="1:21" hidden="1" x14ac:dyDescent="0.25">
      <c r="B99" s="9"/>
      <c r="C99" s="17">
        <v>395.7</v>
      </c>
      <c r="D99" s="18">
        <v>36.207999999999998</v>
      </c>
      <c r="E99" s="18">
        <v>44.473999999999997</v>
      </c>
      <c r="F99" s="18">
        <v>44.137</v>
      </c>
      <c r="G99" s="18">
        <v>61.23</v>
      </c>
      <c r="H99" s="18">
        <f t="shared" si="4"/>
        <v>38.232374999999998</v>
      </c>
      <c r="I99" s="5"/>
      <c r="J99" s="17">
        <v>407.19909999999999</v>
      </c>
      <c r="K99" s="18">
        <v>36.763599999999997</v>
      </c>
      <c r="L99" s="18">
        <v>44.747</v>
      </c>
      <c r="M99" s="18">
        <v>44.443800000000003</v>
      </c>
      <c r="N99" s="18">
        <v>105.1129</v>
      </c>
      <c r="O99" s="18">
        <f t="shared" si="5"/>
        <v>38.721550000000001</v>
      </c>
      <c r="P99" s="7"/>
      <c r="Q99" s="10"/>
      <c r="R99" s="11"/>
      <c r="S99" s="11"/>
      <c r="T99" s="26"/>
      <c r="U99" s="28">
        <f t="shared" si="3"/>
        <v>0.7166895312755186</v>
      </c>
    </row>
    <row r="100" spans="1:21" ht="16.5" hidden="1" thickBot="1" x14ac:dyDescent="0.3">
      <c r="B100" s="12"/>
      <c r="C100" s="19">
        <v>194.65</v>
      </c>
      <c r="D100" s="20">
        <v>33.28</v>
      </c>
      <c r="E100" s="20">
        <v>42.39</v>
      </c>
      <c r="F100" s="20">
        <v>41.932000000000002</v>
      </c>
      <c r="G100" s="20">
        <v>73.33</v>
      </c>
      <c r="H100" s="20">
        <f t="shared" si="4"/>
        <v>35.500250000000001</v>
      </c>
      <c r="I100" s="5"/>
      <c r="J100" s="19">
        <v>202.73689999999999</v>
      </c>
      <c r="K100" s="20">
        <v>33.542099999999998</v>
      </c>
      <c r="L100" s="20">
        <v>42.757100000000001</v>
      </c>
      <c r="M100" s="20">
        <v>42.256599999999999</v>
      </c>
      <c r="N100" s="20">
        <v>138.131</v>
      </c>
      <c r="O100" s="20">
        <f t="shared" si="5"/>
        <v>35.7832875</v>
      </c>
      <c r="P100" s="7"/>
      <c r="Q100" s="13"/>
      <c r="R100" s="14"/>
      <c r="S100" s="14"/>
      <c r="T100" s="27"/>
      <c r="U100" s="28">
        <f t="shared" si="3"/>
        <v>0.88369016773489706</v>
      </c>
    </row>
    <row r="101" spans="1:21" hidden="1" x14ac:dyDescent="0.25">
      <c r="B101" s="6" t="s">
        <v>106</v>
      </c>
      <c r="C101" s="15">
        <v>985.88</v>
      </c>
      <c r="D101" s="16">
        <v>39.021999999999998</v>
      </c>
      <c r="E101" s="16">
        <v>49.442999999999998</v>
      </c>
      <c r="F101" s="16">
        <v>46.997</v>
      </c>
      <c r="G101" s="16">
        <v>55.49</v>
      </c>
      <c r="H101" s="16">
        <f t="shared" si="4"/>
        <v>41.3215</v>
      </c>
      <c r="I101" s="5"/>
      <c r="J101" s="15">
        <v>1023.2487</v>
      </c>
      <c r="K101" s="16">
        <v>40.096299999999999</v>
      </c>
      <c r="L101" s="16">
        <v>49.762700000000002</v>
      </c>
      <c r="M101" s="16">
        <v>47.639099999999999</v>
      </c>
      <c r="N101" s="16">
        <v>85.630099999999999</v>
      </c>
      <c r="O101" s="16">
        <f t="shared" si="5"/>
        <v>42.247450000000001</v>
      </c>
      <c r="P101" s="7"/>
      <c r="Q101" s="8">
        <f>bdrate(C101:C104,D101:D104,J101:J104,K101:K104)</f>
        <v>-0.14297062722416043</v>
      </c>
      <c r="R101" s="8">
        <f>bdrate(C101:C104,E101:E104,J101:J104,L101:L104)</f>
        <v>-0.14820888983616975</v>
      </c>
      <c r="S101" s="8">
        <f>bdrate(C101:C104,F101:F104,J101:J104,M101:M104)</f>
        <v>-0.20011249371348505</v>
      </c>
      <c r="T101" s="25">
        <f>bdrate(C101:C104,H101:H104,J101:J104,O101:O104)</f>
        <v>-0.15027946226177302</v>
      </c>
      <c r="U101" s="28">
        <f t="shared" si="3"/>
        <v>0.54316273202378795</v>
      </c>
    </row>
    <row r="102" spans="1:21" hidden="1" x14ac:dyDescent="0.25">
      <c r="B102" s="9"/>
      <c r="C102" s="17">
        <v>589.76</v>
      </c>
      <c r="D102" s="18">
        <v>36.927</v>
      </c>
      <c r="E102" s="18">
        <v>48.14</v>
      </c>
      <c r="F102" s="18">
        <v>45.387999999999998</v>
      </c>
      <c r="G102" s="18">
        <v>66.66</v>
      </c>
      <c r="H102" s="18">
        <f t="shared" si="4"/>
        <v>39.386249999999997</v>
      </c>
      <c r="I102" s="5"/>
      <c r="J102" s="17">
        <v>613.98410000000001</v>
      </c>
      <c r="K102" s="18">
        <v>37.805799999999998</v>
      </c>
      <c r="L102" s="18">
        <v>48.507599999999996</v>
      </c>
      <c r="M102" s="18">
        <v>46.103499999999997</v>
      </c>
      <c r="N102" s="18">
        <v>107.32080000000001</v>
      </c>
      <c r="O102" s="18">
        <f t="shared" si="5"/>
        <v>40.180737499999999</v>
      </c>
      <c r="P102" s="7"/>
      <c r="Q102" s="10"/>
      <c r="R102" s="11"/>
      <c r="S102" s="11"/>
      <c r="T102" s="26"/>
      <c r="U102" s="28">
        <f t="shared" si="3"/>
        <v>0.60997299729973009</v>
      </c>
    </row>
    <row r="103" spans="1:21" hidden="1" x14ac:dyDescent="0.25">
      <c r="B103" s="9"/>
      <c r="C103" s="17">
        <v>392.53</v>
      </c>
      <c r="D103" s="18">
        <v>35.378999999999998</v>
      </c>
      <c r="E103" s="18">
        <v>46.945999999999998</v>
      </c>
      <c r="F103" s="18">
        <v>44.128999999999998</v>
      </c>
      <c r="G103" s="18">
        <v>73.180000000000007</v>
      </c>
      <c r="H103" s="18">
        <f t="shared" si="4"/>
        <v>37.918625000000006</v>
      </c>
      <c r="I103" s="5"/>
      <c r="J103" s="17">
        <v>408.80869999999999</v>
      </c>
      <c r="K103" s="18">
        <v>36.113700000000001</v>
      </c>
      <c r="L103" s="18">
        <v>47.542299999999997</v>
      </c>
      <c r="M103" s="18">
        <v>44.954500000000003</v>
      </c>
      <c r="N103" s="18">
        <v>124.91249999999999</v>
      </c>
      <c r="O103" s="18">
        <f t="shared" si="5"/>
        <v>38.647375000000004</v>
      </c>
      <c r="P103" s="7"/>
      <c r="Q103" s="10"/>
      <c r="R103" s="11"/>
      <c r="S103" s="11"/>
      <c r="T103" s="26"/>
      <c r="U103" s="28">
        <f t="shared" si="3"/>
        <v>0.70692128996993686</v>
      </c>
    </row>
    <row r="104" spans="1:21" ht="16.5" hidden="1" thickBot="1" x14ac:dyDescent="0.3">
      <c r="B104" s="12"/>
      <c r="C104" s="19">
        <v>196.64</v>
      </c>
      <c r="D104" s="20">
        <v>32.942</v>
      </c>
      <c r="E104" s="20">
        <v>45.551000000000002</v>
      </c>
      <c r="F104" s="20">
        <v>42.345999999999997</v>
      </c>
      <c r="G104" s="20">
        <v>92.14</v>
      </c>
      <c r="H104" s="20">
        <f t="shared" si="4"/>
        <v>35.693624999999997</v>
      </c>
      <c r="I104" s="5"/>
      <c r="J104" s="19">
        <v>204.37790000000001</v>
      </c>
      <c r="K104" s="20">
        <v>33.416699999999999</v>
      </c>
      <c r="L104" s="20">
        <v>46.082900000000002</v>
      </c>
      <c r="M104" s="20">
        <v>43.060699999999997</v>
      </c>
      <c r="N104" s="20">
        <v>163.39609999999999</v>
      </c>
      <c r="O104" s="20">
        <f t="shared" si="5"/>
        <v>36.205475</v>
      </c>
      <c r="P104" s="7"/>
      <c r="Q104" s="13"/>
      <c r="R104" s="14"/>
      <c r="S104" s="14"/>
      <c r="T104" s="27"/>
      <c r="U104" s="28">
        <f t="shared" si="3"/>
        <v>0.77334599522465797</v>
      </c>
    </row>
    <row r="105" spans="1:21" hidden="1" x14ac:dyDescent="0.25">
      <c r="B105" s="6" t="s">
        <v>107</v>
      </c>
      <c r="C105" s="15">
        <v>1049.56</v>
      </c>
      <c r="D105" s="16">
        <v>42.945999999999998</v>
      </c>
      <c r="E105" s="16">
        <v>47.47</v>
      </c>
      <c r="F105" s="16">
        <v>47.790999999999997</v>
      </c>
      <c r="G105" s="16">
        <v>46.09</v>
      </c>
      <c r="H105" s="16">
        <f t="shared" si="4"/>
        <v>44.117124999999994</v>
      </c>
      <c r="I105" s="5"/>
      <c r="J105" s="15">
        <v>1026.703</v>
      </c>
      <c r="K105" s="16">
        <v>43.560699999999997</v>
      </c>
      <c r="L105" s="16">
        <v>47.563600000000001</v>
      </c>
      <c r="M105" s="16">
        <v>47.934600000000003</v>
      </c>
      <c r="N105" s="16">
        <v>64.903800000000004</v>
      </c>
      <c r="O105" s="16">
        <f t="shared" si="5"/>
        <v>44.607799999999997</v>
      </c>
      <c r="P105" s="7"/>
      <c r="Q105" s="8">
        <f>bdrate(C105:C108,D105:D108,J105:J108,K105:K108)</f>
        <v>-0.13844232816333901</v>
      </c>
      <c r="R105" s="8">
        <f>bdrate(C105:C108,E105:E108,J105:J108,L105:L108)</f>
        <v>-5.8039209824705007E-2</v>
      </c>
      <c r="S105" s="8">
        <f>bdrate(C105:C108,F105:F108,J105:J108,M105:M108)</f>
        <v>-6.6372400867573678E-2</v>
      </c>
      <c r="T105" s="25">
        <f>bdrate(C105:C108,H105:H108,J105:J108,O105:O108)</f>
        <v>-0.12571208070040785</v>
      </c>
      <c r="U105" s="28">
        <f t="shared" si="3"/>
        <v>0.4081970058581037</v>
      </c>
    </row>
    <row r="106" spans="1:21" hidden="1" x14ac:dyDescent="0.25">
      <c r="B106" s="9"/>
      <c r="C106" s="17">
        <v>623.45000000000005</v>
      </c>
      <c r="D106" s="18">
        <v>40.826000000000001</v>
      </c>
      <c r="E106" s="18">
        <v>46.061</v>
      </c>
      <c r="F106" s="18">
        <v>46.475999999999999</v>
      </c>
      <c r="G106" s="18">
        <v>53.9</v>
      </c>
      <c r="H106" s="18">
        <f t="shared" si="4"/>
        <v>42.186624999999999</v>
      </c>
      <c r="I106" s="5"/>
      <c r="J106" s="17">
        <v>615.77880000000005</v>
      </c>
      <c r="K106" s="18">
        <v>41.437800000000003</v>
      </c>
      <c r="L106" s="18">
        <v>46.140999999999998</v>
      </c>
      <c r="M106" s="18">
        <v>46.5839</v>
      </c>
      <c r="N106" s="18">
        <v>81.211100000000002</v>
      </c>
      <c r="O106" s="18">
        <f t="shared" si="5"/>
        <v>42.668962500000006</v>
      </c>
      <c r="P106" s="7"/>
      <c r="Q106" s="10"/>
      <c r="R106" s="11"/>
      <c r="S106" s="11"/>
      <c r="T106" s="26"/>
      <c r="U106" s="28">
        <f t="shared" si="3"/>
        <v>0.50669944341372919</v>
      </c>
    </row>
    <row r="107" spans="1:21" hidden="1" x14ac:dyDescent="0.25">
      <c r="B107" s="9"/>
      <c r="C107" s="17">
        <v>412.43</v>
      </c>
      <c r="D107" s="18">
        <v>39.104999999999997</v>
      </c>
      <c r="E107" s="18">
        <v>44.92</v>
      </c>
      <c r="F107" s="18">
        <v>45.375999999999998</v>
      </c>
      <c r="G107" s="18">
        <v>60.75</v>
      </c>
      <c r="H107" s="18">
        <f t="shared" si="4"/>
        <v>40.615749999999998</v>
      </c>
      <c r="I107" s="5"/>
      <c r="J107" s="17">
        <v>409.02809999999999</v>
      </c>
      <c r="K107" s="18">
        <v>39.699599999999997</v>
      </c>
      <c r="L107" s="18">
        <v>45.050899999999999</v>
      </c>
      <c r="M107" s="18">
        <v>45.521799999999999</v>
      </c>
      <c r="N107" s="18">
        <v>97.355800000000002</v>
      </c>
      <c r="O107" s="18">
        <f t="shared" si="5"/>
        <v>41.096287499999995</v>
      </c>
      <c r="P107" s="7"/>
      <c r="Q107" s="10"/>
      <c r="R107" s="11"/>
      <c r="S107" s="11"/>
      <c r="T107" s="26"/>
      <c r="U107" s="28">
        <f t="shared" si="3"/>
        <v>0.60256460905349796</v>
      </c>
    </row>
    <row r="108" spans="1:21" ht="16.5" hidden="1" thickBot="1" x14ac:dyDescent="0.3">
      <c r="B108" s="12"/>
      <c r="C108" s="19">
        <v>203.6</v>
      </c>
      <c r="D108" s="20">
        <v>36.029000000000003</v>
      </c>
      <c r="E108" s="20">
        <v>42.898000000000003</v>
      </c>
      <c r="F108" s="20">
        <v>43.414000000000001</v>
      </c>
      <c r="G108" s="20">
        <v>75.47</v>
      </c>
      <c r="H108" s="20">
        <f t="shared" si="4"/>
        <v>37.810750000000006</v>
      </c>
      <c r="I108" s="5"/>
      <c r="J108" s="19">
        <v>202.43279999999999</v>
      </c>
      <c r="K108" s="20">
        <v>36.5565</v>
      </c>
      <c r="L108" s="20">
        <v>43.188000000000002</v>
      </c>
      <c r="M108" s="20">
        <v>43.69</v>
      </c>
      <c r="N108" s="20">
        <v>131.56469999999999</v>
      </c>
      <c r="O108" s="20">
        <f t="shared" si="5"/>
        <v>38.277124999999998</v>
      </c>
      <c r="P108" s="7"/>
      <c r="Q108" s="13"/>
      <c r="R108" s="14"/>
      <c r="S108" s="14"/>
      <c r="T108" s="27"/>
      <c r="U108" s="28">
        <f t="shared" si="3"/>
        <v>0.74327149860871855</v>
      </c>
    </row>
    <row r="109" spans="1:21" hidden="1" x14ac:dyDescent="0.25">
      <c r="B109" s="6" t="s">
        <v>108</v>
      </c>
      <c r="C109" s="29">
        <v>975.84</v>
      </c>
      <c r="D109" s="30">
        <v>38.008000000000003</v>
      </c>
      <c r="E109" s="30">
        <v>46.034999999999997</v>
      </c>
      <c r="F109" s="30">
        <v>45.871000000000002</v>
      </c>
      <c r="G109" s="16">
        <v>56.3</v>
      </c>
      <c r="H109" s="16">
        <f t="shared" si="4"/>
        <v>39.994249999999994</v>
      </c>
      <c r="I109" s="5"/>
      <c r="J109" s="29">
        <v>1024.6464000000001</v>
      </c>
      <c r="K109" s="30">
        <v>39.58</v>
      </c>
      <c r="L109" s="30">
        <v>46.444600000000001</v>
      </c>
      <c r="M109" s="30">
        <v>46.2834</v>
      </c>
      <c r="N109" s="16">
        <v>69.894999999999996</v>
      </c>
      <c r="O109" s="16">
        <f t="shared" si="5"/>
        <v>41.275999999999996</v>
      </c>
      <c r="P109" s="7"/>
      <c r="Q109" s="8">
        <f>bdrate(C109:C112,D109:D112,J109:J112,K109:K112)</f>
        <v>-0.25376110570509935</v>
      </c>
      <c r="R109" s="8">
        <f>bdrate(C109:C112,E109:E112,J109:J112,L109:L112)</f>
        <v>-0.12272104000918216</v>
      </c>
      <c r="S109" s="8">
        <f>bdrate(C109:C112,F109:F112,J109:J112,M109:M112)</f>
        <v>-0.12562778381352835</v>
      </c>
      <c r="T109" s="25">
        <f>bdrate(C109:C112,H109:H112,J109:J112,O109:O112)</f>
        <v>-0.23365612273226988</v>
      </c>
      <c r="U109" s="28">
        <f t="shared" si="3"/>
        <v>0.24147424511545293</v>
      </c>
    </row>
    <row r="110" spans="1:21" hidden="1" x14ac:dyDescent="0.25">
      <c r="B110" s="9"/>
      <c r="C110" s="31">
        <v>585.01</v>
      </c>
      <c r="D110" s="32">
        <v>35.811</v>
      </c>
      <c r="E110" s="32">
        <v>44.720999999999997</v>
      </c>
      <c r="F110" s="32">
        <v>44.527000000000001</v>
      </c>
      <c r="G110" s="18">
        <v>65.010000000000005</v>
      </c>
      <c r="H110" s="18">
        <f t="shared" si="4"/>
        <v>38.014249999999997</v>
      </c>
      <c r="I110" s="5"/>
      <c r="J110" s="31">
        <v>614.70680000000004</v>
      </c>
      <c r="K110" s="32">
        <v>37.286000000000001</v>
      </c>
      <c r="L110" s="32">
        <v>45.1494</v>
      </c>
      <c r="M110" s="32">
        <v>44.96</v>
      </c>
      <c r="N110" s="18">
        <v>86.3947</v>
      </c>
      <c r="O110" s="18">
        <f t="shared" si="5"/>
        <v>39.228175</v>
      </c>
      <c r="P110" s="7"/>
      <c r="Q110" s="10"/>
      <c r="R110" s="11"/>
      <c r="S110" s="11"/>
      <c r="T110" s="26"/>
      <c r="U110" s="28">
        <f t="shared" si="3"/>
        <v>0.32894477772650349</v>
      </c>
    </row>
    <row r="111" spans="1:21" hidden="1" x14ac:dyDescent="0.25">
      <c r="B111" s="9"/>
      <c r="C111" s="31">
        <v>387.88</v>
      </c>
      <c r="D111" s="32">
        <v>34.088000000000001</v>
      </c>
      <c r="E111" s="32">
        <v>43.655999999999999</v>
      </c>
      <c r="F111" s="32">
        <v>43.43</v>
      </c>
      <c r="G111" s="18">
        <v>73.290000000000006</v>
      </c>
      <c r="H111" s="18">
        <f t="shared" si="4"/>
        <v>36.451750000000004</v>
      </c>
      <c r="I111" s="5"/>
      <c r="J111" s="31">
        <v>409.72019999999998</v>
      </c>
      <c r="K111" s="32">
        <v>35.554400000000001</v>
      </c>
      <c r="L111" s="32">
        <v>44.140999999999998</v>
      </c>
      <c r="M111" s="32">
        <v>43.946300000000001</v>
      </c>
      <c r="N111" s="18">
        <v>100.6122</v>
      </c>
      <c r="O111" s="18">
        <f t="shared" si="5"/>
        <v>37.676712500000001</v>
      </c>
      <c r="P111" s="7"/>
      <c r="Q111" s="10"/>
      <c r="R111" s="11"/>
      <c r="S111" s="11"/>
      <c r="T111" s="26"/>
      <c r="U111" s="28">
        <f t="shared" si="3"/>
        <v>0.3727957429390093</v>
      </c>
    </row>
    <row r="112" spans="1:21" ht="16.5" hidden="1" thickBot="1" x14ac:dyDescent="0.3">
      <c r="B112" s="12"/>
      <c r="C112" s="33">
        <v>194.12</v>
      </c>
      <c r="D112" s="34">
        <v>31.242999999999999</v>
      </c>
      <c r="E112" s="34">
        <v>41.969000000000001</v>
      </c>
      <c r="F112" s="34">
        <v>41.652000000000001</v>
      </c>
      <c r="G112" s="20">
        <v>95.14</v>
      </c>
      <c r="H112" s="20">
        <f t="shared" si="4"/>
        <v>33.884875000000001</v>
      </c>
      <c r="I112" s="5"/>
      <c r="J112" s="33">
        <v>204.4701</v>
      </c>
      <c r="K112" s="34">
        <v>32.610999999999997</v>
      </c>
      <c r="L112" s="34">
        <v>42.443399999999997</v>
      </c>
      <c r="M112" s="34">
        <v>42.175699999999999</v>
      </c>
      <c r="N112" s="20">
        <v>133.69929999999999</v>
      </c>
      <c r="O112" s="20">
        <f t="shared" si="5"/>
        <v>35.0356375</v>
      </c>
      <c r="P112" s="7"/>
      <c r="Q112" s="13"/>
      <c r="R112" s="14"/>
      <c r="S112" s="14"/>
      <c r="T112" s="27"/>
      <c r="U112" s="28">
        <f t="shared" si="3"/>
        <v>0.40529009880176575</v>
      </c>
    </row>
    <row r="113" spans="2:21" hidden="1" x14ac:dyDescent="0.25">
      <c r="B113" s="6" t="s">
        <v>109</v>
      </c>
      <c r="C113" s="15">
        <v>1005.82</v>
      </c>
      <c r="D113" s="16">
        <v>38.558999999999997</v>
      </c>
      <c r="E113" s="16">
        <v>47.104999999999997</v>
      </c>
      <c r="F113" s="16">
        <v>45.628</v>
      </c>
      <c r="G113" s="16">
        <v>55.78</v>
      </c>
      <c r="H113" s="16">
        <f t="shared" si="4"/>
        <v>40.510874999999999</v>
      </c>
      <c r="I113" s="5"/>
      <c r="J113" s="15">
        <v>1024.7125000000001</v>
      </c>
      <c r="K113" s="16">
        <v>39.140099999999997</v>
      </c>
      <c r="L113" s="16">
        <v>47.3919</v>
      </c>
      <c r="M113" s="16">
        <v>46.103000000000002</v>
      </c>
      <c r="N113" s="16">
        <v>77.196299999999994</v>
      </c>
      <c r="O113" s="16">
        <f t="shared" si="5"/>
        <v>41.041937500000003</v>
      </c>
      <c r="P113" s="7"/>
      <c r="Q113" s="8">
        <f>bdrate(C113:C116,D113:D116,J113:J116,K113:K116)</f>
        <v>-0.19538108938340448</v>
      </c>
      <c r="R113" s="8">
        <f>bdrate(C113:C116,E113:E116,J113:J116,L113:L116)</f>
        <v>-0.15023313455826603</v>
      </c>
      <c r="S113" s="8">
        <f>bdrate(C113:C116,F113:F116,J113:J116,M113:M116)</f>
        <v>-0.21973908563622901</v>
      </c>
      <c r="T113" s="25">
        <f>bdrate(C113:C116,H113:H116,J113:J116,O113:O116)</f>
        <v>-0.19401492572210322</v>
      </c>
      <c r="U113" s="28">
        <f t="shared" si="3"/>
        <v>0.38394227321620639</v>
      </c>
    </row>
    <row r="114" spans="2:21" hidden="1" x14ac:dyDescent="0.25">
      <c r="B114" s="9"/>
      <c r="C114" s="17">
        <v>603.04</v>
      </c>
      <c r="D114" s="18">
        <v>37.107999999999997</v>
      </c>
      <c r="E114" s="18">
        <v>46.136000000000003</v>
      </c>
      <c r="F114" s="18">
        <v>44.527000000000001</v>
      </c>
      <c r="G114" s="18">
        <v>66.5</v>
      </c>
      <c r="H114" s="18">
        <f t="shared" si="4"/>
        <v>39.163874999999997</v>
      </c>
      <c r="I114" s="5"/>
      <c r="J114" s="17">
        <v>614.61609999999996</v>
      </c>
      <c r="K114" s="18">
        <v>37.701500000000003</v>
      </c>
      <c r="L114" s="18">
        <v>46.498899999999999</v>
      </c>
      <c r="M114" s="18">
        <v>45.097099999999998</v>
      </c>
      <c r="N114" s="18">
        <v>95.017399999999995</v>
      </c>
      <c r="O114" s="18">
        <f t="shared" si="5"/>
        <v>39.725625000000001</v>
      </c>
      <c r="P114" s="7"/>
      <c r="Q114" s="10"/>
      <c r="R114" s="11"/>
      <c r="S114" s="11"/>
      <c r="T114" s="26"/>
      <c r="U114" s="28">
        <f t="shared" si="3"/>
        <v>0.42883308270676684</v>
      </c>
    </row>
    <row r="115" spans="2:21" hidden="1" x14ac:dyDescent="0.25">
      <c r="B115" s="9"/>
      <c r="C115" s="17">
        <v>402.25</v>
      </c>
      <c r="D115" s="18">
        <v>36.052</v>
      </c>
      <c r="E115" s="18">
        <v>45.463000000000001</v>
      </c>
      <c r="F115" s="18">
        <v>43.750999999999998</v>
      </c>
      <c r="G115" s="18">
        <v>78.3</v>
      </c>
      <c r="H115" s="18">
        <f t="shared" si="4"/>
        <v>38.190750000000001</v>
      </c>
      <c r="I115" s="5"/>
      <c r="J115" s="17">
        <v>409.37909999999999</v>
      </c>
      <c r="K115" s="18">
        <v>36.684600000000003</v>
      </c>
      <c r="L115" s="18">
        <v>45.7866</v>
      </c>
      <c r="M115" s="18">
        <v>44.294800000000002</v>
      </c>
      <c r="N115" s="18">
        <v>112.1681</v>
      </c>
      <c r="O115" s="18">
        <f t="shared" si="5"/>
        <v>38.773625000000003</v>
      </c>
      <c r="P115" s="7"/>
      <c r="Q115" s="10"/>
      <c r="R115" s="11"/>
      <c r="S115" s="11"/>
      <c r="T115" s="26"/>
      <c r="U115" s="28">
        <f t="shared" si="3"/>
        <v>0.4325427841634738</v>
      </c>
    </row>
    <row r="116" spans="2:21" ht="16.5" hidden="1" thickBot="1" x14ac:dyDescent="0.3">
      <c r="B116" s="12"/>
      <c r="C116" s="19">
        <v>201.21</v>
      </c>
      <c r="D116" s="20">
        <v>34.200000000000003</v>
      </c>
      <c r="E116" s="20">
        <v>44.039000000000001</v>
      </c>
      <c r="F116" s="20">
        <v>42.225999999999999</v>
      </c>
      <c r="G116" s="20">
        <v>96.61</v>
      </c>
      <c r="H116" s="20">
        <f t="shared" si="4"/>
        <v>36.433125000000004</v>
      </c>
      <c r="I116" s="5"/>
      <c r="J116" s="19">
        <v>202.10290000000001</v>
      </c>
      <c r="K116" s="20">
        <v>34.8675</v>
      </c>
      <c r="L116" s="20">
        <v>44.376199999999997</v>
      </c>
      <c r="M116" s="20">
        <v>42.766399999999997</v>
      </c>
      <c r="N116" s="20">
        <v>152.1592</v>
      </c>
      <c r="O116" s="20">
        <f t="shared" si="5"/>
        <v>37.043449999999993</v>
      </c>
      <c r="P116" s="7"/>
      <c r="Q116" s="13"/>
      <c r="R116" s="14"/>
      <c r="S116" s="14"/>
      <c r="T116" s="27"/>
      <c r="U116" s="28">
        <f t="shared" si="3"/>
        <v>0.57498395611220365</v>
      </c>
    </row>
    <row r="117" spans="2:21" hidden="1" x14ac:dyDescent="0.25">
      <c r="B117" s="6" t="s">
        <v>110</v>
      </c>
      <c r="C117" s="15">
        <v>1568.27</v>
      </c>
      <c r="D117" s="16">
        <v>37.607999999999997</v>
      </c>
      <c r="E117" s="16">
        <v>44.551000000000002</v>
      </c>
      <c r="F117" s="16">
        <v>44.084000000000003</v>
      </c>
      <c r="G117" s="16">
        <v>25.67</v>
      </c>
      <c r="H117" s="16">
        <f t="shared" si="4"/>
        <v>39.285374999999995</v>
      </c>
      <c r="I117" s="5"/>
      <c r="J117" s="15">
        <v>1489.4392</v>
      </c>
      <c r="K117" s="16">
        <v>37.710299999999997</v>
      </c>
      <c r="L117" s="16">
        <v>44.442100000000003</v>
      </c>
      <c r="M117" s="16">
        <v>43.827300000000001</v>
      </c>
      <c r="N117" s="16">
        <v>45.166499999999999</v>
      </c>
      <c r="O117" s="16">
        <f t="shared" si="5"/>
        <v>39.316399999999994</v>
      </c>
      <c r="P117" s="7"/>
      <c r="Q117" s="8">
        <f>bdrate(C117:C120,D117:D120,J117:J120,K117:K120)</f>
        <v>-6.0107004173060918E-2</v>
      </c>
      <c r="R117" s="8">
        <f>bdrate(C117:C120,E117:E120,J117:J120,L117:L120)</f>
        <v>-3.6247309173359499E-2</v>
      </c>
      <c r="S117" s="8">
        <f>bdrate(C117:C120,F117:F120,J117:J120,M117:M120)</f>
        <v>4.6332489976151692E-2</v>
      </c>
      <c r="T117" s="25">
        <f>bdrate(C117:C120,H117:H120,J117:J120,O117:O120)</f>
        <v>-4.8288037824747998E-2</v>
      </c>
      <c r="U117" s="28">
        <f t="shared" si="3"/>
        <v>0.75950525905726518</v>
      </c>
    </row>
    <row r="118" spans="2:21" hidden="1" x14ac:dyDescent="0.25">
      <c r="B118" s="9"/>
      <c r="C118" s="17">
        <v>1050.51</v>
      </c>
      <c r="D118" s="18">
        <v>35.779000000000003</v>
      </c>
      <c r="E118" s="18">
        <v>43.366</v>
      </c>
      <c r="F118" s="18">
        <v>42.805</v>
      </c>
      <c r="G118" s="18">
        <v>29</v>
      </c>
      <c r="H118" s="18">
        <f t="shared" si="4"/>
        <v>37.605625000000003</v>
      </c>
      <c r="I118" s="5"/>
      <c r="J118" s="17">
        <v>987.92539999999997</v>
      </c>
      <c r="K118" s="18">
        <v>35.759</v>
      </c>
      <c r="L118" s="18">
        <v>43.252000000000002</v>
      </c>
      <c r="M118" s="18">
        <v>42.464700000000001</v>
      </c>
      <c r="N118" s="18">
        <v>54.426000000000002</v>
      </c>
      <c r="O118" s="18">
        <f t="shared" si="5"/>
        <v>37.533837499999997</v>
      </c>
      <c r="P118" s="7"/>
      <c r="Q118" s="10"/>
      <c r="R118" s="11"/>
      <c r="S118" s="11"/>
      <c r="T118" s="26"/>
      <c r="U118" s="28">
        <f t="shared" si="3"/>
        <v>0.87675862068965527</v>
      </c>
    </row>
    <row r="119" spans="2:21" hidden="1" x14ac:dyDescent="0.25">
      <c r="B119" s="9"/>
      <c r="C119" s="17">
        <v>630.30999999999995</v>
      </c>
      <c r="D119" s="18">
        <v>33.481999999999999</v>
      </c>
      <c r="E119" s="18">
        <v>41.9</v>
      </c>
      <c r="F119" s="18">
        <v>41.195</v>
      </c>
      <c r="G119" s="18">
        <v>35.020000000000003</v>
      </c>
      <c r="H119" s="18">
        <f t="shared" si="4"/>
        <v>35.498375000000003</v>
      </c>
      <c r="I119" s="5"/>
      <c r="J119" s="17">
        <v>593.78189999999995</v>
      </c>
      <c r="K119" s="18">
        <v>33.433799999999998</v>
      </c>
      <c r="L119" s="18">
        <v>41.846400000000003</v>
      </c>
      <c r="M119" s="18">
        <v>40.824300000000001</v>
      </c>
      <c r="N119" s="18">
        <v>66.833799999999997</v>
      </c>
      <c r="O119" s="18">
        <f t="shared" si="5"/>
        <v>35.409187500000002</v>
      </c>
      <c r="P119" s="7"/>
      <c r="Q119" s="10"/>
      <c r="R119" s="11"/>
      <c r="S119" s="11"/>
      <c r="T119" s="26"/>
      <c r="U119" s="28">
        <f t="shared" si="3"/>
        <v>0.90844660194174731</v>
      </c>
    </row>
    <row r="120" spans="2:21" ht="16.5" hidden="1" thickBot="1" x14ac:dyDescent="0.3">
      <c r="B120" s="12"/>
      <c r="C120" s="19">
        <v>317.69</v>
      </c>
      <c r="D120" s="20">
        <v>30.42</v>
      </c>
      <c r="E120" s="20">
        <v>39.988999999999997</v>
      </c>
      <c r="F120" s="20">
        <v>38.912999999999997</v>
      </c>
      <c r="G120" s="20">
        <v>42.76</v>
      </c>
      <c r="H120" s="20">
        <f t="shared" si="4"/>
        <v>32.677750000000003</v>
      </c>
      <c r="I120" s="5"/>
      <c r="J120" s="19">
        <v>299.78129999999999</v>
      </c>
      <c r="K120" s="20">
        <v>30.619599999999998</v>
      </c>
      <c r="L120" s="20">
        <v>40.013599999999997</v>
      </c>
      <c r="M120" s="20">
        <v>38.644399999999997</v>
      </c>
      <c r="N120" s="20">
        <v>86.545199999999994</v>
      </c>
      <c r="O120" s="20">
        <f t="shared" si="5"/>
        <v>32.796950000000002</v>
      </c>
      <c r="P120" s="7"/>
      <c r="Q120" s="13"/>
      <c r="R120" s="14"/>
      <c r="S120" s="14"/>
      <c r="T120" s="27"/>
      <c r="U120" s="28">
        <f t="shared" si="3"/>
        <v>1.0239756782039289</v>
      </c>
    </row>
    <row r="121" spans="2:21" hidden="1" x14ac:dyDescent="0.25">
      <c r="B121" s="6" t="s">
        <v>111</v>
      </c>
      <c r="C121" s="15">
        <v>1025.29</v>
      </c>
      <c r="D121" s="16">
        <v>39.405000000000001</v>
      </c>
      <c r="E121" s="16">
        <v>45.302999999999997</v>
      </c>
      <c r="F121" s="16">
        <v>44.801000000000002</v>
      </c>
      <c r="G121" s="16">
        <v>48.99</v>
      </c>
      <c r="H121" s="16">
        <f t="shared" si="4"/>
        <v>40.816749999999999</v>
      </c>
      <c r="I121" s="5"/>
      <c r="J121" s="15">
        <v>1025.3173999999999</v>
      </c>
      <c r="K121" s="16">
        <v>40.374499999999998</v>
      </c>
      <c r="L121" s="16">
        <v>45.807099999999998</v>
      </c>
      <c r="M121" s="16">
        <v>45.3277</v>
      </c>
      <c r="N121" s="16">
        <v>67.320300000000003</v>
      </c>
      <c r="O121" s="16">
        <f t="shared" si="5"/>
        <v>41.672725</v>
      </c>
      <c r="P121" s="7"/>
      <c r="Q121" s="8">
        <f>bdrate(C121:C124,D121:D124,J121:J124,K121:K124)</f>
        <v>-0.20862767812189298</v>
      </c>
      <c r="R121" s="8">
        <f>bdrate(C121:C124,E121:E124,J121:J124,L121:L124)</f>
        <v>-0.18984627348277039</v>
      </c>
      <c r="S121" s="8">
        <f>bdrate(C121:C124,F121:F124,J121:J124,M121:M124)</f>
        <v>-0.20239695045309836</v>
      </c>
      <c r="T121" s="25">
        <f>bdrate(C121:C124,H121:H124,J121:J124,O121:O124)</f>
        <v>-0.20635983517029255</v>
      </c>
      <c r="U121" s="28">
        <f t="shared" si="3"/>
        <v>0.37416411512553582</v>
      </c>
    </row>
    <row r="122" spans="2:21" hidden="1" x14ac:dyDescent="0.25">
      <c r="B122" s="9"/>
      <c r="C122" s="17">
        <v>603.48</v>
      </c>
      <c r="D122" s="18">
        <v>37.384</v>
      </c>
      <c r="E122" s="18">
        <v>43.848999999999997</v>
      </c>
      <c r="F122" s="18">
        <v>43.281999999999996</v>
      </c>
      <c r="G122" s="18">
        <v>60.28</v>
      </c>
      <c r="H122" s="18">
        <f t="shared" si="4"/>
        <v>38.929375</v>
      </c>
      <c r="I122" s="5"/>
      <c r="J122" s="17">
        <v>614.71559999999999</v>
      </c>
      <c r="K122" s="18">
        <v>38.377099999999999</v>
      </c>
      <c r="L122" s="18">
        <v>44.454099999999997</v>
      </c>
      <c r="M122" s="18">
        <v>43.945300000000003</v>
      </c>
      <c r="N122" s="18">
        <v>83.503500000000003</v>
      </c>
      <c r="O122" s="18">
        <f t="shared" si="5"/>
        <v>39.832750000000004</v>
      </c>
      <c r="P122" s="7"/>
      <c r="Q122" s="10"/>
      <c r="R122" s="11"/>
      <c r="S122" s="11"/>
      <c r="T122" s="26"/>
      <c r="U122" s="28">
        <f t="shared" si="3"/>
        <v>0.38526045122760455</v>
      </c>
    </row>
    <row r="123" spans="2:21" hidden="1" x14ac:dyDescent="0.25">
      <c r="B123" s="9"/>
      <c r="C123" s="17">
        <v>398.18</v>
      </c>
      <c r="D123" s="18">
        <v>35.817999999999998</v>
      </c>
      <c r="E123" s="18">
        <v>42.726999999999997</v>
      </c>
      <c r="F123" s="18">
        <v>42.113999999999997</v>
      </c>
      <c r="G123" s="18">
        <v>65.45</v>
      </c>
      <c r="H123" s="18">
        <f t="shared" si="4"/>
        <v>37.468624999999996</v>
      </c>
      <c r="I123" s="5"/>
      <c r="J123" s="17">
        <v>407.22280000000001</v>
      </c>
      <c r="K123" s="18">
        <v>36.808199999999999</v>
      </c>
      <c r="L123" s="18">
        <v>43.383299999999998</v>
      </c>
      <c r="M123" s="18">
        <v>42.8367</v>
      </c>
      <c r="N123" s="18">
        <v>99.933300000000003</v>
      </c>
      <c r="O123" s="18">
        <f t="shared" si="5"/>
        <v>38.383650000000003</v>
      </c>
      <c r="P123" s="7"/>
      <c r="Q123" s="10"/>
      <c r="R123" s="11"/>
      <c r="S123" s="11"/>
      <c r="T123" s="26"/>
      <c r="U123" s="28">
        <f t="shared" si="3"/>
        <v>0.52686478227654698</v>
      </c>
    </row>
    <row r="124" spans="2:21" ht="16.5" hidden="1" thickBot="1" x14ac:dyDescent="0.3">
      <c r="B124" s="12"/>
      <c r="C124" s="19">
        <v>196.14</v>
      </c>
      <c r="D124" s="20">
        <v>33.076000000000001</v>
      </c>
      <c r="E124" s="20">
        <v>40.786000000000001</v>
      </c>
      <c r="F124" s="20">
        <v>40.131</v>
      </c>
      <c r="G124" s="20">
        <v>80.7</v>
      </c>
      <c r="H124" s="20">
        <f t="shared" si="4"/>
        <v>34.921625000000006</v>
      </c>
      <c r="I124" s="5"/>
      <c r="J124" s="19">
        <v>199.53210000000001</v>
      </c>
      <c r="K124" s="20">
        <v>33.961599999999997</v>
      </c>
      <c r="L124" s="20">
        <v>41.388800000000003</v>
      </c>
      <c r="M124" s="20">
        <v>40.814399999999999</v>
      </c>
      <c r="N124" s="20">
        <v>136.62950000000001</v>
      </c>
      <c r="O124" s="20">
        <f t="shared" si="5"/>
        <v>35.746599999999994</v>
      </c>
      <c r="P124" s="7"/>
      <c r="Q124" s="13"/>
      <c r="R124" s="14"/>
      <c r="S124" s="14"/>
      <c r="T124" s="27"/>
      <c r="U124" s="28">
        <f t="shared" si="3"/>
        <v>0.69305452292441139</v>
      </c>
    </row>
    <row r="125" spans="2:21" hidden="1" x14ac:dyDescent="0.25">
      <c r="B125" s="6" t="s">
        <v>112</v>
      </c>
      <c r="C125" s="15">
        <v>994.54</v>
      </c>
      <c r="D125" s="16">
        <v>43.029000000000003</v>
      </c>
      <c r="E125" s="16">
        <v>47.695</v>
      </c>
      <c r="F125" s="16">
        <v>46.883000000000003</v>
      </c>
      <c r="G125" s="16">
        <v>49.4</v>
      </c>
      <c r="H125" s="16">
        <f t="shared" si="4"/>
        <v>44.094000000000001</v>
      </c>
      <c r="I125" s="5"/>
      <c r="J125" s="15">
        <v>1025.1854000000001</v>
      </c>
      <c r="K125" s="16">
        <v>44.0837</v>
      </c>
      <c r="L125" s="16">
        <v>48.204599999999999</v>
      </c>
      <c r="M125" s="16">
        <v>47.472299999999997</v>
      </c>
      <c r="N125" s="16">
        <v>71.2911</v>
      </c>
      <c r="O125" s="16">
        <f t="shared" si="5"/>
        <v>45.022387500000008</v>
      </c>
      <c r="P125" s="7"/>
      <c r="Q125" s="8">
        <f>bdrate(C125:C128,D125:D128,J125:J128,K125:K128)</f>
        <v>-0.23089773600188579</v>
      </c>
      <c r="R125" s="8">
        <f>bdrate(C125:C128,E125:E128,J125:J128,L125:L128)</f>
        <v>-0.11794515600812805</v>
      </c>
      <c r="S125" s="8">
        <f>bdrate(C125:C128,F125:F128,J125:J128,M125:M128)</f>
        <v>-0.15084408128038185</v>
      </c>
      <c r="T125" s="25">
        <f>bdrate(C125:C128,H125:H128,J125:J128,O125:O128)</f>
        <v>-0.21191458800249885</v>
      </c>
      <c r="U125" s="28">
        <f t="shared" si="3"/>
        <v>0.44313967611336036</v>
      </c>
    </row>
    <row r="126" spans="2:21" hidden="1" x14ac:dyDescent="0.25">
      <c r="B126" s="9"/>
      <c r="C126" s="17">
        <v>599.37</v>
      </c>
      <c r="D126" s="18">
        <v>41.048999999999999</v>
      </c>
      <c r="E126" s="18">
        <v>46.271999999999998</v>
      </c>
      <c r="F126" s="18">
        <v>45.353000000000002</v>
      </c>
      <c r="G126" s="18">
        <v>58.64</v>
      </c>
      <c r="H126" s="18">
        <f t="shared" si="4"/>
        <v>42.239874999999998</v>
      </c>
      <c r="I126" s="5"/>
      <c r="J126" s="17">
        <v>615.39520000000005</v>
      </c>
      <c r="K126" s="18">
        <v>42.1877</v>
      </c>
      <c r="L126" s="18">
        <v>46.721299999999999</v>
      </c>
      <c r="M126" s="18">
        <v>45.9176</v>
      </c>
      <c r="N126" s="18">
        <v>89.360399999999998</v>
      </c>
      <c r="O126" s="18">
        <f t="shared" si="5"/>
        <v>43.220637499999995</v>
      </c>
      <c r="P126" s="7"/>
      <c r="Q126" s="10"/>
      <c r="R126" s="11"/>
      <c r="S126" s="11"/>
      <c r="T126" s="26"/>
      <c r="U126" s="28">
        <f t="shared" si="3"/>
        <v>0.52388130968622093</v>
      </c>
    </row>
    <row r="127" spans="2:21" hidden="1" x14ac:dyDescent="0.25">
      <c r="B127" s="9"/>
      <c r="C127" s="17">
        <v>401.07</v>
      </c>
      <c r="D127" s="18">
        <v>39.411000000000001</v>
      </c>
      <c r="E127" s="18">
        <v>45.042000000000002</v>
      </c>
      <c r="F127" s="18">
        <v>44.021000000000001</v>
      </c>
      <c r="G127" s="18">
        <v>68.8</v>
      </c>
      <c r="H127" s="18">
        <f t="shared" si="4"/>
        <v>40.691125000000007</v>
      </c>
      <c r="I127" s="5"/>
      <c r="J127" s="17">
        <v>409.41809999999998</v>
      </c>
      <c r="K127" s="18">
        <v>40.607500000000002</v>
      </c>
      <c r="L127" s="18">
        <v>45.481999999999999</v>
      </c>
      <c r="M127" s="18">
        <v>44.633099999999999</v>
      </c>
      <c r="N127" s="18">
        <v>105.38849999999999</v>
      </c>
      <c r="O127" s="18">
        <f t="shared" si="5"/>
        <v>41.720012500000003</v>
      </c>
      <c r="P127" s="7"/>
      <c r="Q127" s="10"/>
      <c r="R127" s="11"/>
      <c r="S127" s="11"/>
      <c r="T127" s="26"/>
      <c r="U127" s="28">
        <f t="shared" si="3"/>
        <v>0.53180959302325581</v>
      </c>
    </row>
    <row r="128" spans="2:21" ht="16.5" hidden="1" thickBot="1" x14ac:dyDescent="0.3">
      <c r="B128" s="12"/>
      <c r="C128" s="19">
        <v>203.08</v>
      </c>
      <c r="D128" s="20">
        <v>36.389000000000003</v>
      </c>
      <c r="E128" s="20">
        <v>42.707000000000001</v>
      </c>
      <c r="F128" s="20">
        <v>41.584000000000003</v>
      </c>
      <c r="G128" s="20">
        <v>79.959999999999994</v>
      </c>
      <c r="H128" s="20">
        <f t="shared" si="4"/>
        <v>37.828125</v>
      </c>
      <c r="I128" s="5"/>
      <c r="J128" s="19">
        <v>202.65809999999999</v>
      </c>
      <c r="K128" s="20">
        <v>37.505499999999998</v>
      </c>
      <c r="L128" s="20">
        <v>43.1721</v>
      </c>
      <c r="M128" s="20">
        <v>42.231999999999999</v>
      </c>
      <c r="N128" s="20">
        <v>138.99529999999999</v>
      </c>
      <c r="O128" s="20">
        <f t="shared" si="5"/>
        <v>38.804637499999998</v>
      </c>
      <c r="P128" s="7"/>
      <c r="Q128" s="13"/>
      <c r="R128" s="14"/>
      <c r="S128" s="14"/>
      <c r="T128" s="27"/>
      <c r="U128" s="28">
        <f t="shared" si="3"/>
        <v>0.73831040520260127</v>
      </c>
    </row>
    <row r="129" spans="2:21" hidden="1" x14ac:dyDescent="0.25">
      <c r="B129" s="6" t="s">
        <v>113</v>
      </c>
      <c r="C129" s="15">
        <v>1466.5</v>
      </c>
      <c r="D129" s="16">
        <v>37.637</v>
      </c>
      <c r="E129" s="16">
        <v>43.040999999999997</v>
      </c>
      <c r="F129" s="16">
        <v>43.759</v>
      </c>
      <c r="G129" s="16">
        <v>19.670000000000002</v>
      </c>
      <c r="H129" s="16">
        <f t="shared" si="4"/>
        <v>39.077750000000002</v>
      </c>
      <c r="I129" s="5"/>
      <c r="J129" s="15">
        <v>1537.2692999999999</v>
      </c>
      <c r="K129" s="16">
        <v>37.715400000000002</v>
      </c>
      <c r="L129" s="16">
        <v>43.362699999999997</v>
      </c>
      <c r="M129" s="16">
        <v>44.031799999999997</v>
      </c>
      <c r="N129" s="16">
        <v>47.551299999999998</v>
      </c>
      <c r="O129" s="16">
        <f t="shared" si="5"/>
        <v>39.210862499999998</v>
      </c>
      <c r="P129" s="7"/>
      <c r="Q129" s="8">
        <f>bdrate(C129:C132,D129:D132,J129:J132,K129:K132)</f>
        <v>2.0876593214439687E-2</v>
      </c>
      <c r="R129" s="8">
        <f>bdrate(C129:C132,E129:E132,J129:J132,L129:L132)</f>
        <v>-0.16665041960401883</v>
      </c>
      <c r="S129" s="8">
        <f>bdrate(C129:C132,F129:F132,J129:J132,M129:M132)</f>
        <v>-0.16294222185278218</v>
      </c>
      <c r="T129" s="25">
        <f>bdrate(C129:C132,H129:H132,J129:J132,O129:O132)</f>
        <v>-1.2450250966190679E-2</v>
      </c>
      <c r="U129" s="28">
        <f t="shared" si="3"/>
        <v>1.4174529740721908</v>
      </c>
    </row>
    <row r="130" spans="2:21" hidden="1" x14ac:dyDescent="0.25">
      <c r="B130" s="9"/>
      <c r="C130" s="17">
        <v>975.6</v>
      </c>
      <c r="D130" s="18">
        <v>35.856000000000002</v>
      </c>
      <c r="E130" s="18">
        <v>41.755000000000003</v>
      </c>
      <c r="F130" s="18">
        <v>42.509</v>
      </c>
      <c r="G130" s="18">
        <v>22.81</v>
      </c>
      <c r="H130" s="18">
        <f t="shared" si="4"/>
        <v>37.425000000000004</v>
      </c>
      <c r="I130" s="5"/>
      <c r="J130" s="17">
        <v>1024.585</v>
      </c>
      <c r="K130" s="18">
        <v>35.923000000000002</v>
      </c>
      <c r="L130" s="18">
        <v>42.216999999999999</v>
      </c>
      <c r="M130" s="18">
        <v>42.923900000000003</v>
      </c>
      <c r="N130" s="18">
        <v>53.735300000000002</v>
      </c>
      <c r="O130" s="18">
        <f t="shared" si="5"/>
        <v>37.5848625</v>
      </c>
      <c r="P130" s="7"/>
      <c r="Q130" s="10"/>
      <c r="R130" s="11"/>
      <c r="S130" s="11"/>
      <c r="T130" s="26"/>
      <c r="U130" s="28">
        <f t="shared" si="3"/>
        <v>1.3557781674704079</v>
      </c>
    </row>
    <row r="131" spans="2:21" hidden="1" x14ac:dyDescent="0.25">
      <c r="B131" s="9"/>
      <c r="C131" s="17">
        <v>585.61</v>
      </c>
      <c r="D131" s="18">
        <v>33.569000000000003</v>
      </c>
      <c r="E131" s="18">
        <v>40.28</v>
      </c>
      <c r="F131" s="18">
        <v>41.073</v>
      </c>
      <c r="G131" s="18">
        <v>26.94</v>
      </c>
      <c r="H131" s="18">
        <f t="shared" si="4"/>
        <v>35.345874999999999</v>
      </c>
      <c r="I131" s="5"/>
      <c r="J131" s="17">
        <v>614.31920000000002</v>
      </c>
      <c r="K131" s="18">
        <v>33.679099999999998</v>
      </c>
      <c r="L131" s="18">
        <v>40.976599999999998</v>
      </c>
      <c r="M131" s="18">
        <v>41.751300000000001</v>
      </c>
      <c r="N131" s="18">
        <v>60.545000000000002</v>
      </c>
      <c r="O131" s="18">
        <f t="shared" si="5"/>
        <v>35.600312499999994</v>
      </c>
      <c r="P131" s="7"/>
      <c r="Q131" s="10"/>
      <c r="R131" s="11"/>
      <c r="S131" s="11"/>
      <c r="T131" s="26"/>
      <c r="U131" s="28">
        <f t="shared" si="3"/>
        <v>1.2474016332590945</v>
      </c>
    </row>
    <row r="132" spans="2:21" ht="16.5" hidden="1" thickBot="1" x14ac:dyDescent="0.3">
      <c r="B132" s="12"/>
      <c r="C132" s="19">
        <v>292.66000000000003</v>
      </c>
      <c r="D132" s="20">
        <v>30.457000000000001</v>
      </c>
      <c r="E132" s="20">
        <v>38.685000000000002</v>
      </c>
      <c r="F132" s="20">
        <v>39.554000000000002</v>
      </c>
      <c r="G132" s="20">
        <v>34.94</v>
      </c>
      <c r="H132" s="20">
        <f t="shared" si="4"/>
        <v>32.622624999999999</v>
      </c>
      <c r="I132" s="5"/>
      <c r="J132" s="19">
        <v>306.81729999999999</v>
      </c>
      <c r="K132" s="20">
        <v>30.734400000000001</v>
      </c>
      <c r="L132" s="20">
        <v>39.492100000000001</v>
      </c>
      <c r="M132" s="20">
        <v>40.333799999999997</v>
      </c>
      <c r="N132" s="20">
        <v>82.835899999999995</v>
      </c>
      <c r="O132" s="20">
        <f t="shared" si="5"/>
        <v>33.029037500000001</v>
      </c>
      <c r="P132" s="7"/>
      <c r="Q132" s="13"/>
      <c r="R132" s="14"/>
      <c r="S132" s="14"/>
      <c r="T132" s="27"/>
      <c r="U132" s="28">
        <f t="shared" si="3"/>
        <v>1.3708042358328563</v>
      </c>
    </row>
    <row r="133" spans="2:21" hidden="1" x14ac:dyDescent="0.25">
      <c r="B133" s="6" t="s">
        <v>114</v>
      </c>
      <c r="C133" s="15">
        <v>1577.67</v>
      </c>
      <c r="D133" s="16">
        <v>34.941000000000003</v>
      </c>
      <c r="E133" s="16">
        <v>40.704999999999998</v>
      </c>
      <c r="F133" s="16">
        <v>39.161000000000001</v>
      </c>
      <c r="G133" s="16">
        <v>22.45</v>
      </c>
      <c r="H133" s="16">
        <f t="shared" si="4"/>
        <v>36.189</v>
      </c>
      <c r="I133" s="5"/>
      <c r="J133" s="15">
        <v>1539.5915</v>
      </c>
      <c r="K133" s="16">
        <v>35.337899999999998</v>
      </c>
      <c r="L133" s="16">
        <v>40.807299999999998</v>
      </c>
      <c r="M133" s="16">
        <v>39.022300000000001</v>
      </c>
      <c r="N133" s="16">
        <v>36.635800000000003</v>
      </c>
      <c r="O133" s="16">
        <f t="shared" si="5"/>
        <v>36.482124999999996</v>
      </c>
      <c r="P133" s="7"/>
      <c r="Q133" s="8">
        <f>bdrate(C133:C136,D133:D136,J133:J136,K133:K136)</f>
        <v>-6.7362170548543099E-2</v>
      </c>
      <c r="R133" s="8">
        <f>bdrate(C133:C136,E133:E136,J133:J136,L133:L136)</f>
        <v>-4.1627832454402824E-2</v>
      </c>
      <c r="S133" s="8">
        <f>bdrate(C133:C136,F133:F136,J133:J136,M133:M136)</f>
        <v>7.4862261581024381E-2</v>
      </c>
      <c r="T133" s="25">
        <f>bdrate(C133:C136,H133:H136,J133:J136,O133:O136)</f>
        <v>-4.944568999114507E-2</v>
      </c>
      <c r="U133" s="28">
        <f t="shared" si="3"/>
        <v>0.63188418708240557</v>
      </c>
    </row>
    <row r="134" spans="2:21" hidden="1" x14ac:dyDescent="0.25">
      <c r="B134" s="9"/>
      <c r="C134" s="17">
        <v>1054.07</v>
      </c>
      <c r="D134" s="18">
        <v>33.106999999999999</v>
      </c>
      <c r="E134" s="18">
        <v>39.375999999999998</v>
      </c>
      <c r="F134" s="18">
        <v>37.741</v>
      </c>
      <c r="G134" s="18">
        <v>25.89</v>
      </c>
      <c r="H134" s="18">
        <f t="shared" si="4"/>
        <v>34.469875000000002</v>
      </c>
      <c r="I134" s="5"/>
      <c r="J134" s="17">
        <v>1025.5808999999999</v>
      </c>
      <c r="K134" s="18">
        <v>33.392200000000003</v>
      </c>
      <c r="L134" s="18">
        <v>39.416899999999998</v>
      </c>
      <c r="M134" s="18">
        <v>37.416600000000003</v>
      </c>
      <c r="N134" s="18">
        <v>42.562199999999997</v>
      </c>
      <c r="O134" s="18">
        <f t="shared" si="5"/>
        <v>34.648337500000004</v>
      </c>
      <c r="P134" s="7"/>
      <c r="Q134" s="10"/>
      <c r="R134" s="11"/>
      <c r="S134" s="11"/>
      <c r="T134" s="26"/>
      <c r="U134" s="28">
        <f t="shared" si="3"/>
        <v>0.64396292004634981</v>
      </c>
    </row>
    <row r="135" spans="2:21" hidden="1" x14ac:dyDescent="0.25">
      <c r="B135" s="9"/>
      <c r="C135" s="17">
        <v>630.37</v>
      </c>
      <c r="D135" s="18">
        <v>31.026</v>
      </c>
      <c r="E135" s="18">
        <v>37.725999999999999</v>
      </c>
      <c r="F135" s="18">
        <v>35.923999999999999</v>
      </c>
      <c r="G135" s="18">
        <v>26.97</v>
      </c>
      <c r="H135" s="18">
        <f t="shared" si="4"/>
        <v>32.475749999999998</v>
      </c>
      <c r="I135" s="5"/>
      <c r="J135" s="17">
        <v>615.47149999999999</v>
      </c>
      <c r="K135" s="18">
        <v>31.1554</v>
      </c>
      <c r="L135" s="18">
        <v>37.757100000000001</v>
      </c>
      <c r="M135" s="18">
        <v>35.489400000000003</v>
      </c>
      <c r="N135" s="18">
        <v>51.914499999999997</v>
      </c>
      <c r="O135" s="18">
        <f t="shared" si="5"/>
        <v>32.5223625</v>
      </c>
      <c r="P135" s="7"/>
      <c r="Q135" s="10"/>
      <c r="R135" s="11"/>
      <c r="S135" s="11"/>
      <c r="T135" s="26"/>
      <c r="U135" s="28">
        <f t="shared" si="3"/>
        <v>0.92489803485354094</v>
      </c>
    </row>
    <row r="136" spans="2:21" ht="16.5" hidden="1" thickBot="1" x14ac:dyDescent="0.3">
      <c r="B136" s="12"/>
      <c r="C136" s="19">
        <v>314.29000000000002</v>
      </c>
      <c r="D136" s="20">
        <v>28.611000000000001</v>
      </c>
      <c r="E136" s="20">
        <v>35.774999999999999</v>
      </c>
      <c r="F136" s="20">
        <v>33.451000000000001</v>
      </c>
      <c r="G136" s="20">
        <v>35.19</v>
      </c>
      <c r="H136" s="20">
        <f t="shared" si="4"/>
        <v>30.111499999999999</v>
      </c>
      <c r="I136" s="5"/>
      <c r="J136" s="19">
        <v>307.97410000000002</v>
      </c>
      <c r="K136" s="20">
        <v>28.662400000000002</v>
      </c>
      <c r="L136" s="20">
        <v>35.895099999999999</v>
      </c>
      <c r="M136" s="20">
        <v>33.22</v>
      </c>
      <c r="N136" s="20">
        <v>70.590999999999994</v>
      </c>
      <c r="O136" s="20">
        <f t="shared" si="5"/>
        <v>30.136187500000002</v>
      </c>
      <c r="P136" s="7"/>
      <c r="Q136" s="13"/>
      <c r="R136" s="14"/>
      <c r="S136" s="14"/>
      <c r="T136" s="27"/>
      <c r="U136" s="28">
        <f t="shared" si="3"/>
        <v>1.0059960215970445</v>
      </c>
    </row>
    <row r="137" spans="2:21" hidden="1" x14ac:dyDescent="0.25">
      <c r="B137" s="6" t="s">
        <v>115</v>
      </c>
      <c r="C137" s="15">
        <v>1576.99</v>
      </c>
      <c r="D137" s="16">
        <v>40.232999999999997</v>
      </c>
      <c r="E137" s="16">
        <v>46.911000000000001</v>
      </c>
      <c r="F137" s="16">
        <v>46.787999999999997</v>
      </c>
      <c r="G137" s="16">
        <v>19.670000000000002</v>
      </c>
      <c r="H137" s="16">
        <f t="shared" si="4"/>
        <v>41.887124999999997</v>
      </c>
      <c r="I137" s="5"/>
      <c r="J137" s="15">
        <v>1537.3632</v>
      </c>
      <c r="K137" s="16">
        <v>40.472099999999998</v>
      </c>
      <c r="L137" s="16">
        <v>46.820799999999998</v>
      </c>
      <c r="M137" s="16">
        <v>46.6875</v>
      </c>
      <c r="N137" s="16">
        <v>33.876899999999999</v>
      </c>
      <c r="O137" s="16">
        <f t="shared" si="5"/>
        <v>42.042612499999997</v>
      </c>
      <c r="P137" s="7"/>
      <c r="Q137" s="8">
        <f>bdrate(C137:C140,D137:D140,J137:J140,K137:K140)</f>
        <v>-4.7749774968833703E-2</v>
      </c>
      <c r="R137" s="8">
        <f>bdrate(C137:C140,E137:E140,J137:J140,L137:L140)</f>
        <v>-8.8252321842102965E-2</v>
      </c>
      <c r="S137" s="8">
        <f>bdrate(C137:C140,F137:F140,J137:J140,M137:M140)</f>
        <v>-7.6523345234546958E-2</v>
      </c>
      <c r="T137" s="25">
        <f>bdrate(C137:C140,H137:H140,J137:J140,O137:O140)</f>
        <v>-5.6520838590412348E-2</v>
      </c>
      <c r="U137" s="28">
        <f t="shared" si="3"/>
        <v>0.7222623284189118</v>
      </c>
    </row>
    <row r="138" spans="2:21" hidden="1" x14ac:dyDescent="0.25">
      <c r="B138" s="9"/>
      <c r="C138" s="17">
        <v>1052.1500000000001</v>
      </c>
      <c r="D138" s="18">
        <v>38.984999999999999</v>
      </c>
      <c r="E138" s="18">
        <v>45.722000000000001</v>
      </c>
      <c r="F138" s="18">
        <v>45.546999999999997</v>
      </c>
      <c r="G138" s="18">
        <v>22.11</v>
      </c>
      <c r="H138" s="18">
        <f t="shared" si="4"/>
        <v>40.647374999999997</v>
      </c>
      <c r="I138" s="5"/>
      <c r="J138" s="17">
        <v>1024.6185</v>
      </c>
      <c r="K138" s="18">
        <v>39.127400000000002</v>
      </c>
      <c r="L138" s="18">
        <v>45.783499999999997</v>
      </c>
      <c r="M138" s="18">
        <v>45.590400000000002</v>
      </c>
      <c r="N138" s="18">
        <v>40.999400000000001</v>
      </c>
      <c r="O138" s="18">
        <f t="shared" si="5"/>
        <v>40.767287500000002</v>
      </c>
      <c r="P138" s="7"/>
      <c r="Q138" s="10"/>
      <c r="R138" s="11"/>
      <c r="S138" s="11"/>
      <c r="T138" s="26"/>
      <c r="U138" s="28">
        <f t="shared" si="3"/>
        <v>0.85433740388964285</v>
      </c>
    </row>
    <row r="139" spans="2:21" hidden="1" x14ac:dyDescent="0.25">
      <c r="B139" s="9"/>
      <c r="C139" s="17">
        <v>629.08000000000004</v>
      </c>
      <c r="D139" s="18">
        <v>37.246000000000002</v>
      </c>
      <c r="E139" s="18">
        <v>44.101999999999997</v>
      </c>
      <c r="F139" s="18">
        <v>43.87</v>
      </c>
      <c r="G139" s="18">
        <v>24.55</v>
      </c>
      <c r="H139" s="18">
        <f t="shared" si="4"/>
        <v>38.930999999999997</v>
      </c>
      <c r="I139" s="5"/>
      <c r="J139" s="17">
        <v>614.21199999999999</v>
      </c>
      <c r="K139" s="18">
        <v>37.304699999999997</v>
      </c>
      <c r="L139" s="18">
        <v>44.364199999999997</v>
      </c>
      <c r="M139" s="18">
        <v>44.096200000000003</v>
      </c>
      <c r="N139" s="18">
        <v>50.349299999999999</v>
      </c>
      <c r="O139" s="18">
        <f t="shared" si="5"/>
        <v>39.036074999999997</v>
      </c>
      <c r="P139" s="7"/>
      <c r="Q139" s="10"/>
      <c r="R139" s="11"/>
      <c r="S139" s="11"/>
      <c r="T139" s="26"/>
      <c r="U139" s="28">
        <f t="shared" si="3"/>
        <v>1.0508879837067209</v>
      </c>
    </row>
    <row r="140" spans="2:21" ht="16.5" hidden="1" thickBot="1" x14ac:dyDescent="0.3">
      <c r="B140" s="12"/>
      <c r="C140" s="19">
        <v>315.38</v>
      </c>
      <c r="D140" s="20">
        <v>34.601999999999997</v>
      </c>
      <c r="E140" s="20">
        <v>41.860999999999997</v>
      </c>
      <c r="F140" s="20">
        <v>41.512999999999998</v>
      </c>
      <c r="G140" s="20">
        <v>30.8</v>
      </c>
      <c r="H140" s="20">
        <f t="shared" si="4"/>
        <v>36.373249999999992</v>
      </c>
      <c r="I140" s="5"/>
      <c r="J140" s="19">
        <v>306.57440000000003</v>
      </c>
      <c r="K140" s="20">
        <v>34.5959</v>
      </c>
      <c r="L140" s="20">
        <v>42.316800000000001</v>
      </c>
      <c r="M140" s="20">
        <v>41.909700000000001</v>
      </c>
      <c r="N140" s="20">
        <v>67.182900000000004</v>
      </c>
      <c r="O140" s="20">
        <f t="shared" si="5"/>
        <v>36.475237499999999</v>
      </c>
      <c r="P140" s="7"/>
      <c r="Q140" s="13"/>
      <c r="R140" s="14"/>
      <c r="S140" s="14"/>
      <c r="T140" s="27"/>
      <c r="U140" s="28">
        <f t="shared" si="3"/>
        <v>1.1812629870129872</v>
      </c>
    </row>
    <row r="141" spans="2:21" hidden="1" x14ac:dyDescent="0.25">
      <c r="B141" s="6" t="s">
        <v>116</v>
      </c>
      <c r="C141" s="29">
        <v>1509.49</v>
      </c>
      <c r="D141" s="30">
        <v>46.854999999999997</v>
      </c>
      <c r="E141" s="30">
        <v>51.624000000000002</v>
      </c>
      <c r="F141" s="30">
        <v>51.517000000000003</v>
      </c>
      <c r="G141" s="16">
        <v>21.35</v>
      </c>
      <c r="H141" s="16">
        <f t="shared" si="4"/>
        <v>48.033875000000002</v>
      </c>
      <c r="I141" s="5"/>
      <c r="J141" s="29">
        <v>1537.4935</v>
      </c>
      <c r="K141" s="30">
        <v>47.193199999999997</v>
      </c>
      <c r="L141" s="30">
        <v>51.471699999999998</v>
      </c>
      <c r="M141" s="30">
        <v>51.292700000000004</v>
      </c>
      <c r="N141" s="16">
        <v>39.717199999999998</v>
      </c>
      <c r="O141" s="16">
        <f t="shared" si="5"/>
        <v>48.240450000000003</v>
      </c>
      <c r="P141" s="7"/>
      <c r="Q141" s="8">
        <f>bdrate(C141:C144,D141:D144,J141:J144,K141:K144)</f>
        <v>-0.15801560162983819</v>
      </c>
      <c r="R141" s="8">
        <f>bdrate(C141:C144,E141:E144,J141:J144,L141:L144)</f>
        <v>0.26053546887921963</v>
      </c>
      <c r="S141" s="8">
        <f>bdrate(C141:C144,F141:F144,J141:J144,M141:M144)</f>
        <v>0.38808150256155027</v>
      </c>
      <c r="T141" s="25">
        <f>bdrate(C141:C144,H141:H144,J141:J144,O141:O144)</f>
        <v>-8.5673157103347664E-2</v>
      </c>
      <c r="U141" s="28">
        <f t="shared" si="3"/>
        <v>0.86029039812646346</v>
      </c>
    </row>
    <row r="142" spans="2:21" hidden="1" x14ac:dyDescent="0.25">
      <c r="B142" s="9"/>
      <c r="C142" s="31">
        <v>1009.39</v>
      </c>
      <c r="D142" s="32">
        <v>46.033000000000001</v>
      </c>
      <c r="E142" s="32">
        <v>51.070999999999998</v>
      </c>
      <c r="F142" s="32">
        <v>51.015999999999998</v>
      </c>
      <c r="G142" s="18">
        <v>24.98</v>
      </c>
      <c r="H142" s="18">
        <f t="shared" si="4"/>
        <v>47.285625000000003</v>
      </c>
      <c r="I142" s="5"/>
      <c r="J142" s="31">
        <v>1024.8149000000001</v>
      </c>
      <c r="K142" s="32">
        <v>46.387500000000003</v>
      </c>
      <c r="L142" s="32">
        <v>50.764000000000003</v>
      </c>
      <c r="M142" s="32">
        <v>50.642400000000002</v>
      </c>
      <c r="N142" s="18">
        <v>48.051499999999997</v>
      </c>
      <c r="O142" s="18">
        <f t="shared" si="5"/>
        <v>47.466425000000008</v>
      </c>
      <c r="P142" s="7"/>
      <c r="Q142" s="10"/>
      <c r="R142" s="11"/>
      <c r="S142" s="11"/>
      <c r="T142" s="26"/>
      <c r="U142" s="28">
        <f t="shared" si="3"/>
        <v>0.92359887910328253</v>
      </c>
    </row>
    <row r="143" spans="2:21" hidden="1" x14ac:dyDescent="0.25">
      <c r="B143" s="9"/>
      <c r="C143" s="31">
        <v>607.29999999999995</v>
      </c>
      <c r="D143" s="32">
        <v>44.878999999999998</v>
      </c>
      <c r="E143" s="32">
        <v>50.363999999999997</v>
      </c>
      <c r="F143" s="32">
        <v>50.408999999999999</v>
      </c>
      <c r="G143" s="18">
        <v>30.19</v>
      </c>
      <c r="H143" s="18">
        <f t="shared" si="4"/>
        <v>46.255874999999996</v>
      </c>
      <c r="I143" s="5"/>
      <c r="J143" s="31">
        <v>613.78859999999997</v>
      </c>
      <c r="K143" s="32">
        <v>45.3127</v>
      </c>
      <c r="L143" s="32">
        <v>49.911700000000003</v>
      </c>
      <c r="M143" s="32">
        <v>49.870100000000001</v>
      </c>
      <c r="N143" s="18">
        <v>58.699199999999998</v>
      </c>
      <c r="O143" s="18">
        <f t="shared" si="5"/>
        <v>46.457249999999995</v>
      </c>
      <c r="P143" s="7"/>
      <c r="Q143" s="10"/>
      <c r="R143" s="11"/>
      <c r="S143" s="11"/>
      <c r="T143" s="26"/>
      <c r="U143" s="28">
        <f t="shared" si="3"/>
        <v>0.94432593574031121</v>
      </c>
    </row>
    <row r="144" spans="2:21" ht="16.5" hidden="1" thickBot="1" x14ac:dyDescent="0.3">
      <c r="B144" s="12"/>
      <c r="C144" s="33">
        <v>304.68</v>
      </c>
      <c r="D144" s="34">
        <v>43.097000000000001</v>
      </c>
      <c r="E144" s="34">
        <v>48.966999999999999</v>
      </c>
      <c r="F144" s="34">
        <v>49.283000000000001</v>
      </c>
      <c r="G144" s="20">
        <v>37.49</v>
      </c>
      <c r="H144" s="20">
        <f t="shared" si="4"/>
        <v>44.603999999999999</v>
      </c>
      <c r="I144" s="5"/>
      <c r="J144" s="33">
        <v>297.78280000000001</v>
      </c>
      <c r="K144" s="34">
        <v>43.543199999999999</v>
      </c>
      <c r="L144" s="34">
        <v>48.650700000000001</v>
      </c>
      <c r="M144" s="34">
        <v>48.872100000000003</v>
      </c>
      <c r="N144" s="20">
        <v>80.128200000000007</v>
      </c>
      <c r="O144" s="20">
        <f t="shared" si="5"/>
        <v>44.847749999999998</v>
      </c>
      <c r="P144" s="7"/>
      <c r="Q144" s="13"/>
      <c r="R144" s="14"/>
      <c r="S144" s="14"/>
      <c r="T144" s="27"/>
      <c r="U144" s="28">
        <f t="shared" si="3"/>
        <v>1.1373219525206721</v>
      </c>
    </row>
    <row r="145" spans="1:21" hidden="1" x14ac:dyDescent="0.25">
      <c r="A145" s="6" t="s">
        <v>117</v>
      </c>
      <c r="B145" s="6" t="s">
        <v>118</v>
      </c>
      <c r="C145" s="15">
        <v>993.53</v>
      </c>
      <c r="D145" s="16">
        <v>38.656999999999996</v>
      </c>
      <c r="E145" s="16">
        <v>46.472000000000001</v>
      </c>
      <c r="F145" s="16">
        <v>46.216000000000001</v>
      </c>
      <c r="G145" s="16">
        <v>63.47</v>
      </c>
      <c r="H145" s="16">
        <f t="shared" si="4"/>
        <v>40.578749999999999</v>
      </c>
      <c r="I145" s="5"/>
      <c r="J145" s="15">
        <v>1023.7834</v>
      </c>
      <c r="K145" s="16">
        <v>39.575099999999999</v>
      </c>
      <c r="L145" s="16">
        <v>46.591299999999997</v>
      </c>
      <c r="M145" s="16">
        <v>46.412199999999999</v>
      </c>
      <c r="N145" s="16">
        <v>98.6053</v>
      </c>
      <c r="O145" s="16">
        <f t="shared" si="5"/>
        <v>41.306762499999998</v>
      </c>
      <c r="P145" s="7"/>
      <c r="Q145" s="8">
        <f>bdrate(C145:C148,D145:D148,J145:J148,K145:K148)</f>
        <v>-0.12578219677758395</v>
      </c>
      <c r="R145" s="8">
        <f>bdrate(C145:C148,E145:E148,J145:J148,L145:L148)</f>
        <v>-6.9047233165608679E-2</v>
      </c>
      <c r="S145" s="8">
        <f>bdrate(C145:C148,F145:F148,J145:J148,M145:M148)</f>
        <v>-8.5637542396474808E-2</v>
      </c>
      <c r="T145" s="25">
        <f>bdrate(C145:C148,H145:H148,J145:J148,O145:O148)</f>
        <v>-0.11788800507623542</v>
      </c>
      <c r="U145" s="28">
        <f t="shared" si="3"/>
        <v>0.55357334173625339</v>
      </c>
    </row>
    <row r="146" spans="1:21" hidden="1" x14ac:dyDescent="0.25">
      <c r="A146" s="9"/>
      <c r="B146" s="9"/>
      <c r="C146" s="17">
        <v>591.87</v>
      </c>
      <c r="D146" s="18">
        <v>36.530999999999999</v>
      </c>
      <c r="E146" s="18">
        <v>44.817999999999998</v>
      </c>
      <c r="F146" s="18">
        <v>44.503999999999998</v>
      </c>
      <c r="G146" s="18">
        <v>74.23</v>
      </c>
      <c r="H146" s="18">
        <f t="shared" si="4"/>
        <v>38.563499999999998</v>
      </c>
      <c r="I146" s="5"/>
      <c r="J146" s="17">
        <v>611.59059999999999</v>
      </c>
      <c r="K146" s="18">
        <v>37.3613</v>
      </c>
      <c r="L146" s="18">
        <v>45.104599999999998</v>
      </c>
      <c r="M146" s="18">
        <v>44.8568</v>
      </c>
      <c r="N146" s="18">
        <v>121.276</v>
      </c>
      <c r="O146" s="18">
        <f t="shared" si="5"/>
        <v>39.266150000000003</v>
      </c>
      <c r="P146" s="7"/>
      <c r="Q146" s="10"/>
      <c r="R146" s="11"/>
      <c r="S146" s="11"/>
      <c r="T146" s="26"/>
      <c r="U146" s="28">
        <f t="shared" si="3"/>
        <v>0.63378687862050365</v>
      </c>
    </row>
    <row r="147" spans="1:21" hidden="1" x14ac:dyDescent="0.25">
      <c r="B147" s="9"/>
      <c r="C147" s="17">
        <v>389.24</v>
      </c>
      <c r="D147" s="18">
        <v>34.847000000000001</v>
      </c>
      <c r="E147" s="18">
        <v>43.533999999999999</v>
      </c>
      <c r="F147" s="18">
        <v>43.134</v>
      </c>
      <c r="G147" s="18">
        <v>84.15</v>
      </c>
      <c r="H147" s="18">
        <f t="shared" si="4"/>
        <v>36.96875</v>
      </c>
      <c r="I147" s="5"/>
      <c r="J147" s="17">
        <v>405.25580000000002</v>
      </c>
      <c r="K147" s="18">
        <v>35.573599999999999</v>
      </c>
      <c r="L147" s="18">
        <v>43.894500000000001</v>
      </c>
      <c r="M147" s="18">
        <v>43.575400000000002</v>
      </c>
      <c r="N147" s="18">
        <v>143.51849999999999</v>
      </c>
      <c r="O147" s="18">
        <f t="shared" si="5"/>
        <v>37.613937499999999</v>
      </c>
      <c r="P147" s="7"/>
      <c r="Q147" s="10"/>
      <c r="R147" s="11"/>
      <c r="S147" s="11"/>
      <c r="T147" s="26"/>
      <c r="U147" s="28">
        <f t="shared" si="3"/>
        <v>0.70550802139037405</v>
      </c>
    </row>
    <row r="148" spans="1:21" ht="16.5" hidden="1" thickBot="1" x14ac:dyDescent="0.3">
      <c r="B148" s="12"/>
      <c r="C148" s="19">
        <v>190.21</v>
      </c>
      <c r="D148" s="20">
        <v>32.015000000000001</v>
      </c>
      <c r="E148" s="20">
        <v>41.692999999999998</v>
      </c>
      <c r="F148" s="20">
        <v>41.094999999999999</v>
      </c>
      <c r="G148" s="20">
        <v>101.12</v>
      </c>
      <c r="H148" s="20">
        <f t="shared" si="4"/>
        <v>34.359750000000005</v>
      </c>
      <c r="I148" s="5"/>
      <c r="J148" s="19">
        <v>201.7927</v>
      </c>
      <c r="K148" s="20">
        <v>32.477200000000003</v>
      </c>
      <c r="L148" s="20">
        <v>42.095300000000002</v>
      </c>
      <c r="M148" s="20">
        <v>41.586100000000002</v>
      </c>
      <c r="N148" s="20">
        <v>193.51740000000001</v>
      </c>
      <c r="O148" s="20">
        <f t="shared" si="5"/>
        <v>34.818075</v>
      </c>
      <c r="P148" s="7"/>
      <c r="Q148" s="13"/>
      <c r="R148" s="14"/>
      <c r="S148" s="14"/>
      <c r="T148" s="27"/>
      <c r="U148" s="28">
        <f t="shared" si="3"/>
        <v>0.91374011075949368</v>
      </c>
    </row>
    <row r="149" spans="1:21" hidden="1" x14ac:dyDescent="0.25">
      <c r="B149" s="6" t="s">
        <v>119</v>
      </c>
      <c r="C149" s="15">
        <v>980.79</v>
      </c>
      <c r="D149" s="16">
        <v>37.253</v>
      </c>
      <c r="E149" s="16">
        <v>48.436</v>
      </c>
      <c r="F149" s="16">
        <v>45.749000000000002</v>
      </c>
      <c r="G149" s="16">
        <v>75.3</v>
      </c>
      <c r="H149" s="16">
        <f t="shared" si="4"/>
        <v>39.712875000000004</v>
      </c>
      <c r="I149" s="5"/>
      <c r="J149" s="15">
        <v>1023.7231</v>
      </c>
      <c r="K149" s="16">
        <v>38.371499999999997</v>
      </c>
      <c r="L149" s="16">
        <v>48.8812</v>
      </c>
      <c r="M149" s="16">
        <v>46.517400000000002</v>
      </c>
      <c r="N149" s="16">
        <v>114.6494</v>
      </c>
      <c r="O149" s="16">
        <f t="shared" si="5"/>
        <v>40.703449999999997</v>
      </c>
      <c r="P149" s="7"/>
      <c r="Q149" s="8">
        <f>bdrate(C149:C152,D149:D152,J149:J152,K149:K152)</f>
        <v>-0.20130977660722249</v>
      </c>
      <c r="R149" s="8">
        <f>bdrate(C149:C152,E149:E152,J149:J152,L149:L152)</f>
        <v>-0.26136347934130921</v>
      </c>
      <c r="S149" s="8">
        <f>bdrate(C149:C152,F149:F152,J149:J152,M149:M152)</f>
        <v>-0.28536060029218191</v>
      </c>
      <c r="T149" s="25">
        <f>bdrate(C149:C152,H149:H152,J149:J152,O149:O152)</f>
        <v>-0.21706527381728147</v>
      </c>
      <c r="U149" s="28">
        <f t="shared" si="3"/>
        <v>0.5225683930942896</v>
      </c>
    </row>
    <row r="150" spans="1:21" hidden="1" x14ac:dyDescent="0.25">
      <c r="B150" s="9"/>
      <c r="C150" s="17">
        <v>587.88</v>
      </c>
      <c r="D150" s="18">
        <v>35.429000000000002</v>
      </c>
      <c r="E150" s="18">
        <v>47.116</v>
      </c>
      <c r="F150" s="18">
        <v>44.267000000000003</v>
      </c>
      <c r="G150" s="18">
        <v>87.59</v>
      </c>
      <c r="H150" s="18">
        <f t="shared" si="4"/>
        <v>37.994624999999999</v>
      </c>
      <c r="I150" s="5"/>
      <c r="J150" s="17">
        <v>613.92759999999998</v>
      </c>
      <c r="K150" s="18">
        <v>36.438000000000002</v>
      </c>
      <c r="L150" s="18">
        <v>47.795499999999997</v>
      </c>
      <c r="M150" s="18">
        <v>45.221499999999999</v>
      </c>
      <c r="N150" s="18">
        <v>142.547</v>
      </c>
      <c r="O150" s="18">
        <f t="shared" si="5"/>
        <v>38.955624999999998</v>
      </c>
      <c r="P150" s="7"/>
      <c r="Q150" s="10"/>
      <c r="R150" s="11"/>
      <c r="S150" s="11"/>
      <c r="T150" s="26"/>
      <c r="U150" s="28">
        <f t="shared" si="3"/>
        <v>0.62743463865738092</v>
      </c>
    </row>
    <row r="151" spans="1:21" hidden="1" x14ac:dyDescent="0.25">
      <c r="B151" s="9"/>
      <c r="C151" s="17">
        <v>393.3</v>
      </c>
      <c r="D151" s="18">
        <v>34.085000000000001</v>
      </c>
      <c r="E151" s="18">
        <v>46.119</v>
      </c>
      <c r="F151" s="18">
        <v>43.250999999999998</v>
      </c>
      <c r="G151" s="18">
        <v>98.24</v>
      </c>
      <c r="H151" s="18">
        <f t="shared" si="4"/>
        <v>36.734999999999999</v>
      </c>
      <c r="I151" s="5"/>
      <c r="J151" s="17">
        <v>408.56490000000002</v>
      </c>
      <c r="K151" s="18">
        <v>34.980400000000003</v>
      </c>
      <c r="L151" s="18">
        <v>46.952199999999998</v>
      </c>
      <c r="M151" s="18">
        <v>44.199100000000001</v>
      </c>
      <c r="N151" s="18">
        <v>165.57169999999999</v>
      </c>
      <c r="O151" s="18">
        <f t="shared" si="5"/>
        <v>37.629212500000001</v>
      </c>
      <c r="P151" s="7"/>
      <c r="Q151" s="10"/>
      <c r="R151" s="11"/>
      <c r="S151" s="11"/>
      <c r="T151" s="26"/>
      <c r="U151" s="28">
        <f t="shared" si="3"/>
        <v>0.68537968241042346</v>
      </c>
    </row>
    <row r="152" spans="1:21" ht="16.5" hidden="1" thickBot="1" x14ac:dyDescent="0.3">
      <c r="B152" s="12"/>
      <c r="C152" s="19">
        <v>197</v>
      </c>
      <c r="D152" s="20">
        <v>31.888999999999999</v>
      </c>
      <c r="E152" s="20">
        <v>44.796999999999997</v>
      </c>
      <c r="F152" s="20">
        <v>41.704999999999998</v>
      </c>
      <c r="G152" s="20">
        <v>117.6</v>
      </c>
      <c r="H152" s="20">
        <f t="shared" si="4"/>
        <v>34.729500000000002</v>
      </c>
      <c r="I152" s="5"/>
      <c r="J152" s="19">
        <v>203.5188</v>
      </c>
      <c r="K152" s="20">
        <v>32.553100000000001</v>
      </c>
      <c r="L152" s="20">
        <v>45.742800000000003</v>
      </c>
      <c r="M152" s="20">
        <v>42.628500000000003</v>
      </c>
      <c r="N152" s="20">
        <v>218.49549999999999</v>
      </c>
      <c r="O152" s="20">
        <f t="shared" si="5"/>
        <v>35.461237499999996</v>
      </c>
      <c r="P152" s="7"/>
      <c r="Q152" s="13"/>
      <c r="R152" s="14"/>
      <c r="S152" s="14"/>
      <c r="T152" s="27"/>
      <c r="U152" s="28">
        <f t="shared" si="3"/>
        <v>0.85795493197278916</v>
      </c>
    </row>
    <row r="153" spans="1:21" hidden="1" x14ac:dyDescent="0.25">
      <c r="B153" s="6" t="s">
        <v>120</v>
      </c>
      <c r="C153" s="15">
        <v>1034.68</v>
      </c>
      <c r="D153" s="16">
        <v>41.378999999999998</v>
      </c>
      <c r="E153" s="16">
        <v>46.396999999999998</v>
      </c>
      <c r="F153" s="16">
        <v>46.804000000000002</v>
      </c>
      <c r="G153" s="16">
        <v>58.89</v>
      </c>
      <c r="H153" s="16">
        <f t="shared" si="4"/>
        <v>42.684375000000003</v>
      </c>
      <c r="I153" s="5"/>
      <c r="J153" s="15">
        <v>1024.9945</v>
      </c>
      <c r="K153" s="16">
        <v>42.209699999999998</v>
      </c>
      <c r="L153" s="16">
        <v>46.656999999999996</v>
      </c>
      <c r="M153" s="16">
        <v>47.103200000000001</v>
      </c>
      <c r="N153" s="16">
        <v>88.145600000000002</v>
      </c>
      <c r="O153" s="16">
        <f t="shared" si="5"/>
        <v>43.377299999999998</v>
      </c>
      <c r="P153" s="7"/>
      <c r="Q153" s="8">
        <f>bdrate(C153:C156,D153:D156,J153:J156,K153:K156)</f>
        <v>-0.20401656588431183</v>
      </c>
      <c r="R153" s="8">
        <f>bdrate(C153:C156,E153:E156,J153:J156,L153:L156)</f>
        <v>-0.15619182039801904</v>
      </c>
      <c r="S153" s="8">
        <f>bdrate(C153:C156,F153:F156,J153:J156,M153:M156)</f>
        <v>-0.16314731600527654</v>
      </c>
      <c r="T153" s="25">
        <f>bdrate(C153:C156,H153:H156,J153:J156,O153:O156)</f>
        <v>-0.196805620960118</v>
      </c>
      <c r="U153" s="28">
        <f t="shared" si="3"/>
        <v>0.49678383426727801</v>
      </c>
    </row>
    <row r="154" spans="1:21" hidden="1" x14ac:dyDescent="0.25">
      <c r="B154" s="9"/>
      <c r="C154" s="17">
        <v>613.48</v>
      </c>
      <c r="D154" s="18">
        <v>39.454999999999998</v>
      </c>
      <c r="E154" s="18">
        <v>45.097000000000001</v>
      </c>
      <c r="F154" s="18">
        <v>45.585000000000001</v>
      </c>
      <c r="G154" s="18">
        <v>69.95</v>
      </c>
      <c r="H154" s="18">
        <f t="shared" si="4"/>
        <v>40.926499999999997</v>
      </c>
      <c r="I154" s="5"/>
      <c r="J154" s="17">
        <v>615.8365</v>
      </c>
      <c r="K154" s="18">
        <v>40.369199999999999</v>
      </c>
      <c r="L154" s="18">
        <v>45.476599999999998</v>
      </c>
      <c r="M154" s="18">
        <v>45.958799999999997</v>
      </c>
      <c r="N154" s="18">
        <v>113.06780000000001</v>
      </c>
      <c r="O154" s="18">
        <f t="shared" si="5"/>
        <v>41.706325</v>
      </c>
      <c r="P154" s="7"/>
      <c r="Q154" s="10"/>
      <c r="R154" s="11"/>
      <c r="S154" s="11"/>
      <c r="T154" s="26"/>
      <c r="U154" s="28">
        <f t="shared" si="3"/>
        <v>0.61640886347391</v>
      </c>
    </row>
    <row r="155" spans="1:21" hidden="1" x14ac:dyDescent="0.25">
      <c r="B155" s="9"/>
      <c r="C155" s="17">
        <v>406.05</v>
      </c>
      <c r="D155" s="18">
        <v>37.859000000000002</v>
      </c>
      <c r="E155" s="18">
        <v>44.058999999999997</v>
      </c>
      <c r="F155" s="18">
        <v>44.545999999999999</v>
      </c>
      <c r="G155" s="18">
        <v>79.42</v>
      </c>
      <c r="H155" s="18">
        <f t="shared" si="4"/>
        <v>39.469874999999995</v>
      </c>
      <c r="I155" s="5"/>
      <c r="J155" s="17">
        <v>408.85789999999997</v>
      </c>
      <c r="K155" s="18">
        <v>38.8048</v>
      </c>
      <c r="L155" s="18">
        <v>44.518000000000001</v>
      </c>
      <c r="M155" s="18">
        <v>45.023800000000001</v>
      </c>
      <c r="N155" s="18">
        <v>135.6396</v>
      </c>
      <c r="O155" s="18">
        <f t="shared" si="5"/>
        <v>40.296325000000003</v>
      </c>
      <c r="P155" s="7"/>
      <c r="Q155" s="10"/>
      <c r="R155" s="11"/>
      <c r="S155" s="11"/>
      <c r="T155" s="26"/>
      <c r="U155" s="28">
        <f t="shared" si="3"/>
        <v>0.70787710904054391</v>
      </c>
    </row>
    <row r="156" spans="1:21" ht="16.5" hidden="1" thickBot="1" x14ac:dyDescent="0.3">
      <c r="B156" s="12"/>
      <c r="C156" s="19">
        <v>200.57</v>
      </c>
      <c r="D156" s="20">
        <v>34.966000000000001</v>
      </c>
      <c r="E156" s="20">
        <v>42.146000000000001</v>
      </c>
      <c r="F156" s="20">
        <v>42.661999999999999</v>
      </c>
      <c r="G156" s="20">
        <v>98.78</v>
      </c>
      <c r="H156" s="20">
        <f t="shared" si="4"/>
        <v>36.825499999999998</v>
      </c>
      <c r="I156" s="5"/>
      <c r="J156" s="19">
        <v>200.50970000000001</v>
      </c>
      <c r="K156" s="20">
        <v>35.783099999999997</v>
      </c>
      <c r="L156" s="20">
        <v>42.737400000000001</v>
      </c>
      <c r="M156" s="20">
        <v>43.2485</v>
      </c>
      <c r="N156" s="20">
        <v>185.2106</v>
      </c>
      <c r="O156" s="20">
        <f t="shared" si="5"/>
        <v>37.585562499999995</v>
      </c>
      <c r="P156" s="7"/>
      <c r="Q156" s="13"/>
      <c r="R156" s="14"/>
      <c r="S156" s="14"/>
      <c r="T156" s="27"/>
      <c r="U156" s="28">
        <f t="shared" si="3"/>
        <v>0.87498076533711278</v>
      </c>
    </row>
    <row r="157" spans="1:21" hidden="1" x14ac:dyDescent="0.25">
      <c r="B157" s="6" t="s">
        <v>121</v>
      </c>
      <c r="C157" s="29">
        <v>971.37</v>
      </c>
      <c r="D157" s="30">
        <v>36.365000000000002</v>
      </c>
      <c r="E157" s="30">
        <v>45.073999999999998</v>
      </c>
      <c r="F157" s="30">
        <v>44.88</v>
      </c>
      <c r="G157" s="16">
        <v>73.56</v>
      </c>
      <c r="H157" s="16">
        <f t="shared" si="4"/>
        <v>38.518000000000001</v>
      </c>
      <c r="I157" s="5"/>
      <c r="J157" s="29">
        <v>1025.8656000000001</v>
      </c>
      <c r="K157" s="30">
        <v>38.099400000000003</v>
      </c>
      <c r="L157" s="30">
        <v>45.772799999999997</v>
      </c>
      <c r="M157" s="30">
        <v>45.598199999999999</v>
      </c>
      <c r="N157" s="16">
        <v>93.896600000000007</v>
      </c>
      <c r="O157" s="16">
        <f t="shared" si="5"/>
        <v>39.995925000000007</v>
      </c>
      <c r="P157" s="7"/>
      <c r="Q157" s="8">
        <f>bdrate(C157:C160,D157:D160,J157:J160,K157:K160)</f>
        <v>-0.32761956829467542</v>
      </c>
      <c r="R157" s="8">
        <f>bdrate(C157:C160,E157:E160,J157:J160,L157:L160)</f>
        <v>-0.24828336131746465</v>
      </c>
      <c r="S157" s="8">
        <f>bdrate(C157:C160,F157:F160,J157:J160,M157:M160)</f>
        <v>-0.26591059097241587</v>
      </c>
      <c r="T157" s="25">
        <f>bdrate(C157:C160,H157:H160,J157:J160,O157:O160)</f>
        <v>-0.31618253138567698</v>
      </c>
      <c r="U157" s="28">
        <f t="shared" si="3"/>
        <v>0.27646275149537797</v>
      </c>
    </row>
    <row r="158" spans="1:21" hidden="1" x14ac:dyDescent="0.25">
      <c r="B158" s="9"/>
      <c r="C158" s="31">
        <v>581.16999999999996</v>
      </c>
      <c r="D158" s="32">
        <v>34.366999999999997</v>
      </c>
      <c r="E158" s="32">
        <v>43.828000000000003</v>
      </c>
      <c r="F158" s="32">
        <v>43.545000000000002</v>
      </c>
      <c r="G158" s="18">
        <v>83.4</v>
      </c>
      <c r="H158" s="18">
        <f t="shared" si="4"/>
        <v>36.696874999999999</v>
      </c>
      <c r="I158" s="5"/>
      <c r="J158" s="31">
        <v>614.93870000000004</v>
      </c>
      <c r="K158" s="32">
        <v>36.133200000000002</v>
      </c>
      <c r="L158" s="32">
        <v>44.599499999999999</v>
      </c>
      <c r="M158" s="32">
        <v>44.415399999999998</v>
      </c>
      <c r="N158" s="18">
        <v>115.9019</v>
      </c>
      <c r="O158" s="18">
        <f t="shared" si="5"/>
        <v>38.2267625</v>
      </c>
      <c r="P158" s="7"/>
      <c r="Q158" s="10"/>
      <c r="R158" s="11"/>
      <c r="S158" s="11"/>
      <c r="T158" s="26"/>
      <c r="U158" s="28">
        <f t="shared" si="3"/>
        <v>0.38971103117505984</v>
      </c>
    </row>
    <row r="159" spans="1:21" hidden="1" x14ac:dyDescent="0.25">
      <c r="B159" s="9"/>
      <c r="C159" s="31">
        <v>387.96</v>
      </c>
      <c r="D159" s="32">
        <v>32.796999999999997</v>
      </c>
      <c r="E159" s="32">
        <v>42.786000000000001</v>
      </c>
      <c r="F159" s="32">
        <v>42.524999999999999</v>
      </c>
      <c r="G159" s="18">
        <v>97.35</v>
      </c>
      <c r="H159" s="18">
        <f t="shared" si="4"/>
        <v>35.261624999999995</v>
      </c>
      <c r="I159" s="5"/>
      <c r="J159" s="31">
        <v>409.48770000000002</v>
      </c>
      <c r="K159" s="32">
        <v>34.588500000000003</v>
      </c>
      <c r="L159" s="32">
        <v>43.637300000000003</v>
      </c>
      <c r="M159" s="32">
        <v>43.4574</v>
      </c>
      <c r="N159" s="18">
        <v>136.58019999999999</v>
      </c>
      <c r="O159" s="18">
        <f t="shared" si="5"/>
        <v>36.828212499999999</v>
      </c>
      <c r="P159" s="7"/>
      <c r="Q159" s="10"/>
      <c r="R159" s="11"/>
      <c r="S159" s="11"/>
      <c r="T159" s="26"/>
      <c r="U159" s="28">
        <f t="shared" si="3"/>
        <v>0.40298099640472518</v>
      </c>
    </row>
    <row r="160" spans="1:21" ht="16.5" hidden="1" thickBot="1" x14ac:dyDescent="0.3">
      <c r="B160" s="12"/>
      <c r="C160" s="33">
        <v>193.58</v>
      </c>
      <c r="D160" s="34">
        <v>30.097000000000001</v>
      </c>
      <c r="E160" s="34">
        <v>41.192999999999998</v>
      </c>
      <c r="F160" s="34">
        <v>40.877000000000002</v>
      </c>
      <c r="G160" s="20">
        <v>117.54</v>
      </c>
      <c r="H160" s="20">
        <f t="shared" si="4"/>
        <v>32.831499999999998</v>
      </c>
      <c r="I160" s="5"/>
      <c r="J160" s="33">
        <v>204.03380000000001</v>
      </c>
      <c r="K160" s="34">
        <v>31.733699999999999</v>
      </c>
      <c r="L160" s="34">
        <v>42.032600000000002</v>
      </c>
      <c r="M160" s="34">
        <v>41.742800000000003</v>
      </c>
      <c r="N160" s="20">
        <v>181.0746</v>
      </c>
      <c r="O160" s="20">
        <f t="shared" si="5"/>
        <v>34.272199999999998</v>
      </c>
      <c r="P160" s="7"/>
      <c r="Q160" s="13"/>
      <c r="R160" s="14"/>
      <c r="S160" s="14"/>
      <c r="T160" s="27"/>
      <c r="U160" s="28">
        <f t="shared" si="3"/>
        <v>0.54053598774885137</v>
      </c>
    </row>
    <row r="161" spans="2:21" hidden="1" x14ac:dyDescent="0.25">
      <c r="B161" s="6" t="s">
        <v>122</v>
      </c>
      <c r="C161" s="15">
        <v>1005</v>
      </c>
      <c r="D161" s="16">
        <v>37.195</v>
      </c>
      <c r="E161" s="16">
        <v>46.197000000000003</v>
      </c>
      <c r="F161" s="16">
        <v>44.585999999999999</v>
      </c>
      <c r="G161" s="16">
        <v>75.099999999999994</v>
      </c>
      <c r="H161" s="16">
        <f t="shared" si="4"/>
        <v>39.244125000000004</v>
      </c>
      <c r="I161" s="5"/>
      <c r="J161" s="15">
        <v>1024.5966000000001</v>
      </c>
      <c r="K161" s="16">
        <v>37.874200000000002</v>
      </c>
      <c r="L161" s="16">
        <v>46.790999999999997</v>
      </c>
      <c r="M161" s="16">
        <v>45.389400000000002</v>
      </c>
      <c r="N161" s="16">
        <v>102.551</v>
      </c>
      <c r="O161" s="16">
        <f t="shared" si="5"/>
        <v>39.928200000000004</v>
      </c>
      <c r="P161" s="7"/>
      <c r="Q161" s="8">
        <f>bdrate(C161:C164,D161:D164,J161:J164,K161:K164)</f>
        <v>-0.283638342550254</v>
      </c>
      <c r="R161" s="8">
        <f>bdrate(C161:C164,E161:E164,J161:J164,L161:L164)</f>
        <v>-0.26162074632586607</v>
      </c>
      <c r="S161" s="8">
        <f>bdrate(C161:C164,F161:F164,J161:J164,M161:M164)</f>
        <v>-0.34225715959330527</v>
      </c>
      <c r="T161" s="25">
        <f>bdrate(C161:C164,H161:H164,J161:J164,O161:O164)</f>
        <v>-0.28826195763201234</v>
      </c>
      <c r="U161" s="28">
        <f t="shared" si="3"/>
        <v>0.36552596537949411</v>
      </c>
    </row>
    <row r="162" spans="2:21" hidden="1" x14ac:dyDescent="0.25">
      <c r="B162" s="9"/>
      <c r="C162" s="17">
        <v>603.66999999999996</v>
      </c>
      <c r="D162" s="18">
        <v>36.006</v>
      </c>
      <c r="E162" s="18">
        <v>45.46</v>
      </c>
      <c r="F162" s="18">
        <v>43.709000000000003</v>
      </c>
      <c r="G162" s="18">
        <v>88.02</v>
      </c>
      <c r="H162" s="18">
        <f t="shared" si="4"/>
        <v>38.150624999999998</v>
      </c>
      <c r="I162" s="5"/>
      <c r="J162" s="17">
        <v>614.50459999999998</v>
      </c>
      <c r="K162" s="18">
        <v>36.774000000000001</v>
      </c>
      <c r="L162" s="18">
        <v>45.970300000000002</v>
      </c>
      <c r="M162" s="18">
        <v>44.500500000000002</v>
      </c>
      <c r="N162" s="18">
        <v>127.9949</v>
      </c>
      <c r="O162" s="18">
        <f t="shared" si="5"/>
        <v>38.88935</v>
      </c>
      <c r="P162" s="7"/>
      <c r="Q162" s="10"/>
      <c r="R162" s="11"/>
      <c r="S162" s="11"/>
      <c r="T162" s="26"/>
      <c r="U162" s="28">
        <f t="shared" si="3"/>
        <v>0.45415700977050677</v>
      </c>
    </row>
    <row r="163" spans="2:21" hidden="1" x14ac:dyDescent="0.25">
      <c r="B163" s="9"/>
      <c r="C163" s="17">
        <v>402.41</v>
      </c>
      <c r="D163" s="18">
        <v>35.043999999999997</v>
      </c>
      <c r="E163" s="18">
        <v>44.698999999999998</v>
      </c>
      <c r="F163" s="18">
        <v>42.889000000000003</v>
      </c>
      <c r="G163" s="18">
        <v>100.11</v>
      </c>
      <c r="H163" s="18">
        <f t="shared" si="4"/>
        <v>37.231499999999997</v>
      </c>
      <c r="I163" s="5"/>
      <c r="J163" s="17">
        <v>407.81599999999997</v>
      </c>
      <c r="K163" s="18">
        <v>35.893099999999997</v>
      </c>
      <c r="L163" s="18">
        <v>45.2545</v>
      </c>
      <c r="M163" s="18">
        <v>43.724699999999999</v>
      </c>
      <c r="N163" s="18">
        <v>151.08090000000001</v>
      </c>
      <c r="O163" s="18">
        <f t="shared" si="5"/>
        <v>38.042224999999995</v>
      </c>
      <c r="P163" s="7"/>
      <c r="Q163" s="10"/>
      <c r="R163" s="11"/>
      <c r="S163" s="11"/>
      <c r="T163" s="26"/>
      <c r="U163" s="28">
        <f t="shared" si="3"/>
        <v>0.50914893617021295</v>
      </c>
    </row>
    <row r="164" spans="2:21" ht="16.5" hidden="1" thickBot="1" x14ac:dyDescent="0.3">
      <c r="B164" s="12"/>
      <c r="C164" s="19">
        <v>200.67</v>
      </c>
      <c r="D164" s="20">
        <v>33.237000000000002</v>
      </c>
      <c r="E164" s="20">
        <v>43.34</v>
      </c>
      <c r="F164" s="20">
        <v>41.435000000000002</v>
      </c>
      <c r="G164" s="20">
        <v>119.46</v>
      </c>
      <c r="H164" s="20">
        <f t="shared" si="4"/>
        <v>35.524625</v>
      </c>
      <c r="I164" s="5"/>
      <c r="J164" s="19">
        <v>197.62</v>
      </c>
      <c r="K164" s="20">
        <v>34.087899999999998</v>
      </c>
      <c r="L164" s="20">
        <v>43.973399999999998</v>
      </c>
      <c r="M164" s="20">
        <v>42.337699999999998</v>
      </c>
      <c r="N164" s="20">
        <v>205.83369999999999</v>
      </c>
      <c r="O164" s="20">
        <f t="shared" si="5"/>
        <v>36.354812500000001</v>
      </c>
      <c r="P164" s="7"/>
      <c r="Q164" s="13"/>
      <c r="R164" s="14"/>
      <c r="S164" s="14"/>
      <c r="T164" s="27"/>
      <c r="U164" s="28">
        <f t="shared" si="3"/>
        <v>0.72303448853172614</v>
      </c>
    </row>
    <row r="165" spans="2:21" hidden="1" x14ac:dyDescent="0.25">
      <c r="B165" s="6" t="s">
        <v>123</v>
      </c>
      <c r="C165" s="15">
        <v>1531.73</v>
      </c>
      <c r="D165" s="16">
        <v>36.82</v>
      </c>
      <c r="E165" s="16">
        <v>43.927</v>
      </c>
      <c r="F165" s="16">
        <v>43.430999999999997</v>
      </c>
      <c r="G165" s="16">
        <v>38.06</v>
      </c>
      <c r="H165" s="16">
        <f t="shared" si="4"/>
        <v>38.534750000000003</v>
      </c>
      <c r="I165" s="5"/>
      <c r="J165" s="15">
        <v>1499.3526999999999</v>
      </c>
      <c r="K165" s="16">
        <v>37.389099999999999</v>
      </c>
      <c r="L165" s="16">
        <v>44.1815</v>
      </c>
      <c r="M165" s="16">
        <v>43.517800000000001</v>
      </c>
      <c r="N165" s="16">
        <v>62.7149</v>
      </c>
      <c r="O165" s="16">
        <f t="shared" si="5"/>
        <v>39.004237500000002</v>
      </c>
      <c r="P165" s="7"/>
      <c r="Q165" s="8">
        <f>bdrate(C165:C168,D165:D168,J165:J168,K165:K168)</f>
        <v>-0.1182005707549445</v>
      </c>
      <c r="R165" s="8">
        <f>bdrate(C165:C168,E165:E168,J165:J168,L165:L168)</f>
        <v>-0.13254395184434176</v>
      </c>
      <c r="S165" s="8">
        <f>bdrate(C165:C168,F165:F168,J165:J168,M165:M168)</f>
        <v>-6.1036798176224871E-2</v>
      </c>
      <c r="T165" s="25">
        <f>bdrate(C165:C168,H165:H168,J165:J168,O165:O168)</f>
        <v>-0.11399641804594829</v>
      </c>
      <c r="U165" s="28">
        <f t="shared" si="3"/>
        <v>0.64779033105622696</v>
      </c>
    </row>
    <row r="166" spans="2:21" hidden="1" x14ac:dyDescent="0.25">
      <c r="B166" s="9"/>
      <c r="C166" s="17">
        <v>1019.04</v>
      </c>
      <c r="D166" s="18">
        <v>35.078000000000003</v>
      </c>
      <c r="E166" s="18">
        <v>42.771000000000001</v>
      </c>
      <c r="F166" s="18">
        <v>42.173999999999999</v>
      </c>
      <c r="G166" s="18">
        <v>39.86</v>
      </c>
      <c r="H166" s="18">
        <f t="shared" si="4"/>
        <v>36.926625000000001</v>
      </c>
      <c r="I166" s="5"/>
      <c r="J166" s="17">
        <v>995.45699999999999</v>
      </c>
      <c r="K166" s="18">
        <v>35.566299999999998</v>
      </c>
      <c r="L166" s="18">
        <v>43.085000000000001</v>
      </c>
      <c r="M166" s="18">
        <v>42.273000000000003</v>
      </c>
      <c r="N166" s="18">
        <v>74.5304</v>
      </c>
      <c r="O166" s="18">
        <f t="shared" si="5"/>
        <v>37.344475000000003</v>
      </c>
      <c r="P166" s="7"/>
      <c r="Q166" s="10"/>
      <c r="R166" s="11"/>
      <c r="S166" s="11"/>
      <c r="T166" s="26"/>
      <c r="U166" s="28">
        <f t="shared" si="3"/>
        <v>0.86980431510286005</v>
      </c>
    </row>
    <row r="167" spans="2:21" hidden="1" x14ac:dyDescent="0.25">
      <c r="B167" s="9"/>
      <c r="C167" s="17">
        <v>611.85</v>
      </c>
      <c r="D167" s="18">
        <v>32.912999999999997</v>
      </c>
      <c r="E167" s="18">
        <v>41.4</v>
      </c>
      <c r="F167" s="18">
        <v>40.625</v>
      </c>
      <c r="G167" s="18">
        <v>45.25</v>
      </c>
      <c r="H167" s="18">
        <f t="shared" si="4"/>
        <v>34.937874999999998</v>
      </c>
      <c r="I167" s="5"/>
      <c r="J167" s="17">
        <v>597.1481</v>
      </c>
      <c r="K167" s="18">
        <v>33.284599999999998</v>
      </c>
      <c r="L167" s="18">
        <v>41.725700000000003</v>
      </c>
      <c r="M167" s="18">
        <v>40.727899999999998</v>
      </c>
      <c r="N167" s="18">
        <v>86.648200000000003</v>
      </c>
      <c r="O167" s="18">
        <f t="shared" si="5"/>
        <v>35.270149999999994</v>
      </c>
      <c r="P167" s="7"/>
      <c r="Q167" s="10"/>
      <c r="R167" s="11"/>
      <c r="S167" s="11"/>
      <c r="T167" s="26"/>
      <c r="U167" s="28">
        <f t="shared" si="3"/>
        <v>0.91487734806629839</v>
      </c>
    </row>
    <row r="168" spans="2:21" ht="16.5" hidden="1" thickBot="1" x14ac:dyDescent="0.3">
      <c r="B168" s="12"/>
      <c r="C168" s="19">
        <v>307.8</v>
      </c>
      <c r="D168" s="20">
        <v>30.123999999999999</v>
      </c>
      <c r="E168" s="20">
        <v>39.642000000000003</v>
      </c>
      <c r="F168" s="20">
        <v>38.396999999999998</v>
      </c>
      <c r="G168" s="20">
        <v>56.56</v>
      </c>
      <c r="H168" s="20">
        <f t="shared" si="4"/>
        <v>32.347875000000002</v>
      </c>
      <c r="I168" s="5"/>
      <c r="J168" s="19">
        <v>297.27949999999998</v>
      </c>
      <c r="K168" s="20">
        <v>30.520099999999999</v>
      </c>
      <c r="L168" s="20">
        <v>39.919800000000002</v>
      </c>
      <c r="M168" s="20">
        <v>38.603000000000002</v>
      </c>
      <c r="N168" s="20">
        <v>114.1949</v>
      </c>
      <c r="O168" s="20">
        <f t="shared" si="5"/>
        <v>32.705424999999998</v>
      </c>
      <c r="P168" s="7"/>
      <c r="Q168" s="13"/>
      <c r="R168" s="14"/>
      <c r="S168" s="14"/>
      <c r="T168" s="27"/>
      <c r="U168" s="28">
        <f t="shared" si="3"/>
        <v>1.0190045968882602</v>
      </c>
    </row>
    <row r="169" spans="2:21" hidden="1" x14ac:dyDescent="0.25">
      <c r="B169" s="6" t="s">
        <v>124</v>
      </c>
      <c r="C169" s="15">
        <v>1013.8</v>
      </c>
      <c r="D169" s="16">
        <v>38.091999999999999</v>
      </c>
      <c r="E169" s="16">
        <v>44.423000000000002</v>
      </c>
      <c r="F169" s="16">
        <v>43.866</v>
      </c>
      <c r="G169" s="16">
        <v>65.97</v>
      </c>
      <c r="H169" s="16">
        <f t="shared" si="4"/>
        <v>39.605125000000001</v>
      </c>
      <c r="I169" s="5"/>
      <c r="J169" s="15">
        <v>1024.6851999999999</v>
      </c>
      <c r="K169" s="16">
        <v>39.301099999999998</v>
      </c>
      <c r="L169" s="16">
        <v>45.136899999999997</v>
      </c>
      <c r="M169" s="16">
        <v>44.613100000000003</v>
      </c>
      <c r="N169" s="16">
        <v>91.447900000000004</v>
      </c>
      <c r="O169" s="16">
        <f t="shared" si="5"/>
        <v>40.694575</v>
      </c>
      <c r="P169" s="7"/>
      <c r="Q169" s="8">
        <f>bdrate(C169:C172,D169:D172,J169:J172,K169:K172)</f>
        <v>-0.27602159085649569</v>
      </c>
      <c r="R169" s="8">
        <f>bdrate(C169:C172,E169:E172,J169:J172,L169:L172)</f>
        <v>-0.27433430478328835</v>
      </c>
      <c r="S169" s="8">
        <f>bdrate(C169:C172,F169:F172,J169:J172,M169:M172)</f>
        <v>-0.28832744086849205</v>
      </c>
      <c r="T169" s="25">
        <f>bdrate(C169:C172,H169:H172,J169:J172,O169:O172)</f>
        <v>-0.27724628260398243</v>
      </c>
      <c r="U169" s="28">
        <f t="shared" si="3"/>
        <v>0.38620433530392612</v>
      </c>
    </row>
    <row r="170" spans="2:21" hidden="1" x14ac:dyDescent="0.25">
      <c r="B170" s="9"/>
      <c r="C170" s="17">
        <v>600.25</v>
      </c>
      <c r="D170" s="18">
        <v>36.244999999999997</v>
      </c>
      <c r="E170" s="18">
        <v>43.017000000000003</v>
      </c>
      <c r="F170" s="18">
        <v>42.402999999999999</v>
      </c>
      <c r="G170" s="18">
        <v>78.38</v>
      </c>
      <c r="H170" s="18">
        <f t="shared" si="4"/>
        <v>37.861249999999998</v>
      </c>
      <c r="I170" s="5"/>
      <c r="J170" s="17">
        <v>614.44230000000005</v>
      </c>
      <c r="K170" s="18">
        <v>37.519799999999996</v>
      </c>
      <c r="L170" s="18">
        <v>43.9101</v>
      </c>
      <c r="M170" s="18">
        <v>43.350499999999997</v>
      </c>
      <c r="N170" s="18">
        <v>116.5052</v>
      </c>
      <c r="O170" s="18">
        <f t="shared" si="5"/>
        <v>39.047424999999997</v>
      </c>
      <c r="P170" s="7"/>
      <c r="Q170" s="10"/>
      <c r="R170" s="11"/>
      <c r="S170" s="11"/>
      <c r="T170" s="26"/>
      <c r="U170" s="28">
        <f t="shared" si="3"/>
        <v>0.48641490176065333</v>
      </c>
    </row>
    <row r="171" spans="2:21" hidden="1" x14ac:dyDescent="0.25">
      <c r="B171" s="9"/>
      <c r="C171" s="17">
        <v>396.13</v>
      </c>
      <c r="D171" s="18">
        <v>34.76</v>
      </c>
      <c r="E171" s="18">
        <v>41.923999999999999</v>
      </c>
      <c r="F171" s="18">
        <v>41.265999999999998</v>
      </c>
      <c r="G171" s="18">
        <v>87.66</v>
      </c>
      <c r="H171" s="18">
        <f t="shared" si="4"/>
        <v>36.46875</v>
      </c>
      <c r="I171" s="5"/>
      <c r="J171" s="17">
        <v>407.48739999999998</v>
      </c>
      <c r="K171" s="18">
        <v>36.064500000000002</v>
      </c>
      <c r="L171" s="18">
        <v>42.874600000000001</v>
      </c>
      <c r="M171" s="18">
        <v>42.3123</v>
      </c>
      <c r="N171" s="18">
        <v>140.85890000000001</v>
      </c>
      <c r="O171" s="18">
        <f t="shared" si="5"/>
        <v>37.696737499999998</v>
      </c>
      <c r="P171" s="7"/>
      <c r="Q171" s="10"/>
      <c r="R171" s="11"/>
      <c r="S171" s="11"/>
      <c r="T171" s="26"/>
      <c r="U171" s="28">
        <f t="shared" si="3"/>
        <v>0.6068777093315082</v>
      </c>
    </row>
    <row r="172" spans="2:21" ht="16.5" hidden="1" thickBot="1" x14ac:dyDescent="0.3">
      <c r="B172" s="12"/>
      <c r="C172" s="19">
        <v>194.57</v>
      </c>
      <c r="D172" s="20">
        <v>32.118000000000002</v>
      </c>
      <c r="E172" s="20">
        <v>39.976999999999997</v>
      </c>
      <c r="F172" s="20">
        <v>39.277000000000001</v>
      </c>
      <c r="G172" s="20">
        <v>105.22</v>
      </c>
      <c r="H172" s="20">
        <f t="shared" si="4"/>
        <v>33.995250000000006</v>
      </c>
      <c r="I172" s="5"/>
      <c r="J172" s="19">
        <v>199.63159999999999</v>
      </c>
      <c r="K172" s="20">
        <v>33.267200000000003</v>
      </c>
      <c r="L172" s="20">
        <v>40.898099999999999</v>
      </c>
      <c r="M172" s="20">
        <v>40.28</v>
      </c>
      <c r="N172" s="20">
        <v>186.59819999999999</v>
      </c>
      <c r="O172" s="20">
        <f t="shared" si="5"/>
        <v>35.097662499999998</v>
      </c>
      <c r="P172" s="7"/>
      <c r="Q172" s="13"/>
      <c r="R172" s="14"/>
      <c r="S172" s="14"/>
      <c r="T172" s="27"/>
      <c r="U172" s="28">
        <f t="shared" si="3"/>
        <v>0.77340999809922062</v>
      </c>
    </row>
    <row r="173" spans="2:21" hidden="1" x14ac:dyDescent="0.25">
      <c r="B173" s="6" t="s">
        <v>125</v>
      </c>
      <c r="C173" s="15">
        <v>994.68</v>
      </c>
      <c r="D173" s="16">
        <v>41.731999999999999</v>
      </c>
      <c r="E173" s="16">
        <v>46.86</v>
      </c>
      <c r="F173" s="16">
        <v>46.01</v>
      </c>
      <c r="G173" s="16">
        <v>67.45</v>
      </c>
      <c r="H173" s="16">
        <f t="shared" si="4"/>
        <v>42.90775</v>
      </c>
      <c r="I173" s="5"/>
      <c r="J173" s="15">
        <v>1026.1875</v>
      </c>
      <c r="K173" s="16">
        <v>43.075200000000002</v>
      </c>
      <c r="L173" s="16">
        <v>47.557899999999997</v>
      </c>
      <c r="M173" s="16">
        <v>46.791899999999998</v>
      </c>
      <c r="N173" s="16">
        <v>99.487099999999998</v>
      </c>
      <c r="O173" s="16">
        <f t="shared" si="5"/>
        <v>44.100125000000006</v>
      </c>
      <c r="P173" s="7"/>
      <c r="Q173" s="8">
        <f>bdrate(C173:C176,D173:D176,J173:J176,K173:K176)</f>
        <v>-0.29489414366188105</v>
      </c>
      <c r="R173" s="8">
        <f>bdrate(C173:C176,E173:E176,J173:J176,L173:L176)</f>
        <v>-0.20984610846296936</v>
      </c>
      <c r="S173" s="8">
        <f>bdrate(C173:C176,F173:F176,J173:J176,M173:M176)</f>
        <v>-0.24500820404891388</v>
      </c>
      <c r="T173" s="25">
        <f>bdrate(C173:C176,H173:H176,J173:J176,O173:O176)</f>
        <v>-0.28167261275785294</v>
      </c>
      <c r="U173" s="28">
        <f t="shared" si="3"/>
        <v>0.47497553743513704</v>
      </c>
    </row>
    <row r="174" spans="2:21" hidden="1" x14ac:dyDescent="0.25">
      <c r="B174" s="9"/>
      <c r="C174" s="17">
        <v>600.23</v>
      </c>
      <c r="D174" s="18">
        <v>39.835000000000001</v>
      </c>
      <c r="E174" s="18">
        <v>45.363</v>
      </c>
      <c r="F174" s="18">
        <v>44.411999999999999</v>
      </c>
      <c r="G174" s="18">
        <v>79.73</v>
      </c>
      <c r="H174" s="18">
        <f t="shared" si="4"/>
        <v>41.098124999999996</v>
      </c>
      <c r="I174" s="5"/>
      <c r="J174" s="17">
        <v>614.8193</v>
      </c>
      <c r="K174" s="18">
        <v>41.295299999999997</v>
      </c>
      <c r="L174" s="18">
        <v>46.137300000000003</v>
      </c>
      <c r="M174" s="18">
        <v>45.329599999999999</v>
      </c>
      <c r="N174" s="18">
        <v>124.1996</v>
      </c>
      <c r="O174" s="18">
        <f t="shared" si="5"/>
        <v>42.404837499999999</v>
      </c>
      <c r="P174" s="7"/>
      <c r="Q174" s="10"/>
      <c r="R174" s="11"/>
      <c r="S174" s="11"/>
      <c r="T174" s="26"/>
      <c r="U174" s="28">
        <f t="shared" si="3"/>
        <v>0.55775241439859524</v>
      </c>
    </row>
    <row r="175" spans="2:21" hidden="1" x14ac:dyDescent="0.25">
      <c r="B175" s="9"/>
      <c r="C175" s="17">
        <v>402.28</v>
      </c>
      <c r="D175" s="18">
        <v>38.215000000000003</v>
      </c>
      <c r="E175" s="18">
        <v>44.152000000000001</v>
      </c>
      <c r="F175" s="18">
        <v>43.125999999999998</v>
      </c>
      <c r="G175" s="18">
        <v>89.11</v>
      </c>
      <c r="H175" s="18">
        <f t="shared" si="4"/>
        <v>39.570999999999998</v>
      </c>
      <c r="I175" s="5"/>
      <c r="J175" s="17">
        <v>406.82979999999998</v>
      </c>
      <c r="K175" s="18">
        <v>39.722700000000003</v>
      </c>
      <c r="L175" s="18">
        <v>44.924100000000003</v>
      </c>
      <c r="M175" s="18">
        <v>44.088900000000002</v>
      </c>
      <c r="N175" s="18">
        <v>147.43299999999999</v>
      </c>
      <c r="O175" s="18">
        <f t="shared" si="5"/>
        <v>40.918650000000007</v>
      </c>
      <c r="P175" s="7"/>
      <c r="Q175" s="10"/>
      <c r="R175" s="11"/>
      <c r="S175" s="11"/>
      <c r="T175" s="26"/>
      <c r="U175" s="28">
        <f t="shared" si="3"/>
        <v>0.65450566715295699</v>
      </c>
    </row>
    <row r="176" spans="2:21" ht="16.5" hidden="1" thickBot="1" x14ac:dyDescent="0.3">
      <c r="B176" s="12"/>
      <c r="C176" s="19">
        <v>202.87</v>
      </c>
      <c r="D176" s="20">
        <v>35.234999999999999</v>
      </c>
      <c r="E176" s="20">
        <v>41.813000000000002</v>
      </c>
      <c r="F176" s="20">
        <v>40.651000000000003</v>
      </c>
      <c r="G176" s="20">
        <v>106.8</v>
      </c>
      <c r="H176" s="20">
        <f t="shared" si="4"/>
        <v>36.734250000000003</v>
      </c>
      <c r="I176" s="5"/>
      <c r="J176" s="19">
        <v>201.4203</v>
      </c>
      <c r="K176" s="20">
        <v>36.592700000000001</v>
      </c>
      <c r="L176" s="20">
        <v>42.614199999999997</v>
      </c>
      <c r="M176" s="20">
        <v>41.735100000000003</v>
      </c>
      <c r="N176" s="20">
        <v>191.67150000000001</v>
      </c>
      <c r="O176" s="20">
        <f t="shared" si="5"/>
        <v>37.988187499999995</v>
      </c>
      <c r="P176" s="7"/>
      <c r="Q176" s="13"/>
      <c r="R176" s="14"/>
      <c r="S176" s="14"/>
      <c r="T176" s="27"/>
      <c r="U176" s="28">
        <f t="shared" si="3"/>
        <v>0.79467696629213491</v>
      </c>
    </row>
    <row r="177" spans="2:21" hidden="1" x14ac:dyDescent="0.25">
      <c r="B177" s="6" t="s">
        <v>126</v>
      </c>
      <c r="C177" s="15">
        <v>1461.47</v>
      </c>
      <c r="D177" s="16">
        <v>36.661000000000001</v>
      </c>
      <c r="E177" s="16">
        <v>42.252000000000002</v>
      </c>
      <c r="F177" s="16">
        <v>42.976999999999997</v>
      </c>
      <c r="G177" s="16">
        <v>28.13</v>
      </c>
      <c r="H177" s="16">
        <f t="shared" si="4"/>
        <v>38.149374999999999</v>
      </c>
      <c r="I177" s="5"/>
      <c r="J177" s="15">
        <v>1537.7871</v>
      </c>
      <c r="K177" s="16">
        <v>36.945700000000002</v>
      </c>
      <c r="L177" s="16">
        <v>42.856999999999999</v>
      </c>
      <c r="M177" s="16">
        <v>43.528700000000001</v>
      </c>
      <c r="N177" s="16">
        <v>62.9148</v>
      </c>
      <c r="O177" s="16">
        <f t="shared" si="5"/>
        <v>38.507487500000003</v>
      </c>
      <c r="P177" s="7"/>
      <c r="Q177" s="8">
        <f>bdrate(C177:C180,D177:D180,J177:J180,K177:K180)</f>
        <v>-3.5904427925633864E-2</v>
      </c>
      <c r="R177" s="8">
        <f>bdrate(C177:C180,E177:E180,J177:J180,L177:L180)</f>
        <v>-0.29083058751807656</v>
      </c>
      <c r="S177" s="8">
        <f>bdrate(C177:C180,F177:F180,J177:J180,M177:M180)</f>
        <v>-0.28601518706698903</v>
      </c>
      <c r="T177" s="25">
        <f>bdrate(C177:C180,H177:H180,J177:J180,O177:O180)</f>
        <v>-8.1634859212843303E-2</v>
      </c>
      <c r="U177" s="28">
        <f t="shared" si="3"/>
        <v>1.236573053679346</v>
      </c>
    </row>
    <row r="178" spans="2:21" hidden="1" x14ac:dyDescent="0.25">
      <c r="B178" s="9"/>
      <c r="C178" s="17">
        <v>972.63</v>
      </c>
      <c r="D178" s="18">
        <v>34.963000000000001</v>
      </c>
      <c r="E178" s="18">
        <v>40.994999999999997</v>
      </c>
      <c r="F178" s="18">
        <v>41.786000000000001</v>
      </c>
      <c r="G178" s="18">
        <v>32.5</v>
      </c>
      <c r="H178" s="18">
        <f t="shared" si="4"/>
        <v>36.569875000000003</v>
      </c>
      <c r="I178" s="5"/>
      <c r="J178" s="17">
        <v>1024.8557000000001</v>
      </c>
      <c r="K178" s="18">
        <v>35.2498</v>
      </c>
      <c r="L178" s="18">
        <v>41.825699999999998</v>
      </c>
      <c r="M178" s="18">
        <v>42.539299999999997</v>
      </c>
      <c r="N178" s="18">
        <v>73.817499999999995</v>
      </c>
      <c r="O178" s="18">
        <f t="shared" si="5"/>
        <v>36.982974999999996</v>
      </c>
      <c r="P178" s="7"/>
      <c r="Q178" s="10"/>
      <c r="R178" s="11"/>
      <c r="S178" s="11"/>
      <c r="T178" s="26"/>
      <c r="U178" s="28">
        <f t="shared" si="3"/>
        <v>1.2713076923076922</v>
      </c>
    </row>
    <row r="179" spans="2:21" hidden="1" x14ac:dyDescent="0.25">
      <c r="B179" s="9"/>
      <c r="C179" s="17">
        <v>583.84</v>
      </c>
      <c r="D179" s="18">
        <v>32.728999999999999</v>
      </c>
      <c r="E179" s="18">
        <v>39.654000000000003</v>
      </c>
      <c r="F179" s="18">
        <v>40.462000000000003</v>
      </c>
      <c r="G179" s="18">
        <v>37.29</v>
      </c>
      <c r="H179" s="18">
        <f t="shared" si="4"/>
        <v>34.561250000000001</v>
      </c>
      <c r="I179" s="5"/>
      <c r="J179" s="17">
        <v>614.25189999999998</v>
      </c>
      <c r="K179" s="18">
        <v>33.114199999999997</v>
      </c>
      <c r="L179" s="18">
        <v>40.704900000000002</v>
      </c>
      <c r="M179" s="18">
        <v>41.482799999999997</v>
      </c>
      <c r="N179" s="18">
        <v>89.078999999999994</v>
      </c>
      <c r="O179" s="18">
        <f t="shared" si="5"/>
        <v>35.109112499999995</v>
      </c>
      <c r="P179" s="7"/>
      <c r="Q179" s="10"/>
      <c r="R179" s="11"/>
      <c r="S179" s="11"/>
      <c r="T179" s="26"/>
      <c r="U179" s="28">
        <f t="shared" si="3"/>
        <v>1.3888173773129524</v>
      </c>
    </row>
    <row r="180" spans="2:21" ht="16.5" hidden="1" thickBot="1" x14ac:dyDescent="0.3">
      <c r="B180" s="12"/>
      <c r="C180" s="19">
        <v>291.52</v>
      </c>
      <c r="D180" s="20">
        <v>29.742000000000001</v>
      </c>
      <c r="E180" s="20">
        <v>38.17</v>
      </c>
      <c r="F180" s="20">
        <v>39.003999999999998</v>
      </c>
      <c r="G180" s="20">
        <v>49.02</v>
      </c>
      <c r="H180" s="20">
        <f t="shared" si="4"/>
        <v>31.953250000000001</v>
      </c>
      <c r="I180" s="5"/>
      <c r="J180" s="19">
        <v>307.01249999999999</v>
      </c>
      <c r="K180" s="20">
        <v>30.290800000000001</v>
      </c>
      <c r="L180" s="20">
        <v>39.313499999999998</v>
      </c>
      <c r="M180" s="20">
        <v>40.148000000000003</v>
      </c>
      <c r="N180" s="20">
        <v>114.3057</v>
      </c>
      <c r="O180" s="20">
        <f t="shared" si="5"/>
        <v>32.6507875</v>
      </c>
      <c r="P180" s="7"/>
      <c r="Q180" s="13"/>
      <c r="R180" s="14"/>
      <c r="S180" s="14"/>
      <c r="T180" s="27"/>
      <c r="U180" s="28">
        <f t="shared" si="3"/>
        <v>1.331817625458996</v>
      </c>
    </row>
    <row r="181" spans="2:21" hidden="1" x14ac:dyDescent="0.25">
      <c r="B181" s="6" t="s">
        <v>127</v>
      </c>
      <c r="C181" s="15">
        <v>1573.61</v>
      </c>
      <c r="D181" s="16">
        <v>33.618000000000002</v>
      </c>
      <c r="E181" s="16">
        <v>39.83</v>
      </c>
      <c r="F181" s="16">
        <v>38.194000000000003</v>
      </c>
      <c r="G181" s="16">
        <v>31.09</v>
      </c>
      <c r="H181" s="16">
        <f t="shared" si="4"/>
        <v>34.966500000000003</v>
      </c>
      <c r="I181" s="5"/>
      <c r="J181" s="15">
        <v>1542.2937999999999</v>
      </c>
      <c r="K181" s="16">
        <v>34.0809</v>
      </c>
      <c r="L181" s="16">
        <v>39.903100000000002</v>
      </c>
      <c r="M181" s="16">
        <v>38.003700000000002</v>
      </c>
      <c r="N181" s="16">
        <v>51.470399999999998</v>
      </c>
      <c r="O181" s="16">
        <f t="shared" si="5"/>
        <v>35.299025</v>
      </c>
      <c r="P181" s="7"/>
      <c r="Q181" s="8">
        <f>bdrate(C181:C184,D181:D184,J181:J184,K181:K184)</f>
        <v>-0.10513735815460601</v>
      </c>
      <c r="R181" s="8">
        <f>bdrate(C181:C184,E181:E184,J181:J184,L181:L184)</f>
        <v>-6.7580073055589662E-2</v>
      </c>
      <c r="S181" s="8">
        <f>bdrate(C181:C184,F181:F184,J181:J184,M181:M184)</f>
        <v>-2.9243611287842475E-3</v>
      </c>
      <c r="T181" s="25">
        <f>bdrate(C181:C184,H181:H184,J181:J184,O181:O184)</f>
        <v>-9.0100596441036074E-2</v>
      </c>
      <c r="U181" s="28">
        <f t="shared" si="3"/>
        <v>0.65552910903827588</v>
      </c>
    </row>
    <row r="182" spans="2:21" hidden="1" x14ac:dyDescent="0.25">
      <c r="B182" s="9"/>
      <c r="C182" s="17">
        <v>1048.75</v>
      </c>
      <c r="D182" s="18">
        <v>31.942</v>
      </c>
      <c r="E182" s="18">
        <v>38.579000000000001</v>
      </c>
      <c r="F182" s="18">
        <v>36.787999999999997</v>
      </c>
      <c r="G182" s="18">
        <v>34.9</v>
      </c>
      <c r="H182" s="18">
        <f t="shared" si="4"/>
        <v>33.377375000000001</v>
      </c>
      <c r="I182" s="5"/>
      <c r="J182" s="17">
        <v>1027.4219000000001</v>
      </c>
      <c r="K182" s="18">
        <v>32.32</v>
      </c>
      <c r="L182" s="18">
        <v>38.6937</v>
      </c>
      <c r="M182" s="18">
        <v>36.605200000000004</v>
      </c>
      <c r="N182" s="18">
        <v>60.795299999999997</v>
      </c>
      <c r="O182" s="18">
        <f t="shared" si="5"/>
        <v>33.652362500000002</v>
      </c>
      <c r="P182" s="7"/>
      <c r="Q182" s="10"/>
      <c r="R182" s="11"/>
      <c r="S182" s="11"/>
      <c r="T182" s="26"/>
      <c r="U182" s="28">
        <f t="shared" si="3"/>
        <v>0.74198567335243548</v>
      </c>
    </row>
    <row r="183" spans="2:21" hidden="1" x14ac:dyDescent="0.25">
      <c r="B183" s="9"/>
      <c r="C183" s="17">
        <v>626.99</v>
      </c>
      <c r="D183" s="18">
        <v>30.027999999999999</v>
      </c>
      <c r="E183" s="18">
        <v>37.167000000000002</v>
      </c>
      <c r="F183" s="18">
        <v>35.024999999999999</v>
      </c>
      <c r="G183" s="18">
        <v>39.78</v>
      </c>
      <c r="H183" s="18">
        <f t="shared" si="4"/>
        <v>31.545000000000002</v>
      </c>
      <c r="I183" s="5"/>
      <c r="J183" s="17">
        <v>616.73320000000001</v>
      </c>
      <c r="K183" s="18">
        <v>30.342400000000001</v>
      </c>
      <c r="L183" s="18">
        <v>37.312399999999997</v>
      </c>
      <c r="M183" s="18">
        <v>34.976100000000002</v>
      </c>
      <c r="N183" s="18">
        <v>74.338499999999996</v>
      </c>
      <c r="O183" s="18">
        <f t="shared" si="5"/>
        <v>31.792862500000002</v>
      </c>
      <c r="P183" s="7"/>
      <c r="Q183" s="10"/>
      <c r="R183" s="11"/>
      <c r="S183" s="11"/>
      <c r="T183" s="26"/>
      <c r="U183" s="28">
        <f t="shared" si="3"/>
        <v>0.86874057315233766</v>
      </c>
    </row>
    <row r="184" spans="2:21" ht="16.5" hidden="1" thickBot="1" x14ac:dyDescent="0.3">
      <c r="B184" s="12"/>
      <c r="C184" s="19">
        <v>311.5</v>
      </c>
      <c r="D184" s="20">
        <v>27.771999999999998</v>
      </c>
      <c r="E184" s="20">
        <v>35.332000000000001</v>
      </c>
      <c r="F184" s="20">
        <v>32.564</v>
      </c>
      <c r="G184" s="20">
        <v>45.42</v>
      </c>
      <c r="H184" s="20">
        <f t="shared" si="4"/>
        <v>29.315999999999999</v>
      </c>
      <c r="I184" s="5"/>
      <c r="J184" s="19">
        <v>308.06970000000001</v>
      </c>
      <c r="K184" s="20">
        <v>28.079599999999999</v>
      </c>
      <c r="L184" s="20">
        <v>35.570099999999996</v>
      </c>
      <c r="M184" s="20">
        <v>32.866399999999999</v>
      </c>
      <c r="N184" s="20">
        <v>99.015900000000002</v>
      </c>
      <c r="O184" s="20">
        <f t="shared" si="5"/>
        <v>29.614262499999999</v>
      </c>
      <c r="P184" s="7"/>
      <c r="Q184" s="13"/>
      <c r="R184" s="14"/>
      <c r="S184" s="14"/>
      <c r="T184" s="27"/>
      <c r="U184" s="28">
        <f t="shared" si="3"/>
        <v>1.180006605019815</v>
      </c>
    </row>
    <row r="185" spans="2:21" hidden="1" x14ac:dyDescent="0.25">
      <c r="B185" s="6" t="s">
        <v>128</v>
      </c>
      <c r="C185" s="15">
        <v>1551.31</v>
      </c>
      <c r="D185" s="16">
        <v>39.143000000000001</v>
      </c>
      <c r="E185" s="16">
        <v>46.03</v>
      </c>
      <c r="F185" s="16">
        <v>45.847999999999999</v>
      </c>
      <c r="G185" s="16">
        <v>26.51</v>
      </c>
      <c r="H185" s="16">
        <f t="shared" si="4"/>
        <v>40.842000000000006</v>
      </c>
      <c r="I185" s="5"/>
      <c r="J185" s="15">
        <v>1537.7221999999999</v>
      </c>
      <c r="K185" s="16">
        <v>39.350999999999999</v>
      </c>
      <c r="L185" s="16">
        <v>45.994100000000003</v>
      </c>
      <c r="M185" s="16">
        <v>45.792200000000001</v>
      </c>
      <c r="N185" s="16">
        <v>46.842500000000001</v>
      </c>
      <c r="O185" s="16">
        <f t="shared" si="5"/>
        <v>40.986537499999997</v>
      </c>
      <c r="P185" s="7"/>
      <c r="Q185" s="8">
        <f>bdrate(C185:C188,D185:D188,J185:J188,K185:K188)</f>
        <v>-6.3172198398429802E-2</v>
      </c>
      <c r="R185" s="8">
        <f>bdrate(C185:C188,E185:E188,J185:J188,L185:L188)</f>
        <v>-0.10574660321146734</v>
      </c>
      <c r="S185" s="8">
        <f>bdrate(C185:C188,F185:F188,J185:J188,M185:M188)</f>
        <v>-8.9602429010851581E-2</v>
      </c>
      <c r="T185" s="25">
        <f>bdrate(C185:C188,H185:H188,J185:J188,O185:O188)</f>
        <v>-7.1519953642922629E-2</v>
      </c>
      <c r="U185" s="28">
        <f t="shared" si="3"/>
        <v>0.7669747265182949</v>
      </c>
    </row>
    <row r="186" spans="2:21" hidden="1" x14ac:dyDescent="0.25">
      <c r="B186" s="9"/>
      <c r="C186" s="17">
        <v>1032.6600000000001</v>
      </c>
      <c r="D186" s="18">
        <v>37.911000000000001</v>
      </c>
      <c r="E186" s="18">
        <v>44.823999999999998</v>
      </c>
      <c r="F186" s="18">
        <v>44.582000000000001</v>
      </c>
      <c r="G186" s="18">
        <v>30.61</v>
      </c>
      <c r="H186" s="18">
        <f t="shared" si="4"/>
        <v>39.609000000000002</v>
      </c>
      <c r="I186" s="5"/>
      <c r="J186" s="17">
        <v>1024.4658999999999</v>
      </c>
      <c r="K186" s="18">
        <v>38.097000000000001</v>
      </c>
      <c r="L186" s="18">
        <v>44.9741</v>
      </c>
      <c r="M186" s="18">
        <v>44.71</v>
      </c>
      <c r="N186" s="18">
        <v>56.649500000000003</v>
      </c>
      <c r="O186" s="18">
        <f t="shared" si="5"/>
        <v>39.783262499999999</v>
      </c>
      <c r="P186" s="7"/>
      <c r="Q186" s="10"/>
      <c r="R186" s="11"/>
      <c r="S186" s="11"/>
      <c r="T186" s="26"/>
      <c r="U186" s="28">
        <f t="shared" si="3"/>
        <v>0.85068605031035627</v>
      </c>
    </row>
    <row r="187" spans="2:21" hidden="1" x14ac:dyDescent="0.25">
      <c r="B187" s="9"/>
      <c r="C187" s="17">
        <v>619.30999999999995</v>
      </c>
      <c r="D187" s="18">
        <v>36.162999999999997</v>
      </c>
      <c r="E187" s="18">
        <v>43.256</v>
      </c>
      <c r="F187" s="18">
        <v>42.939</v>
      </c>
      <c r="G187" s="18">
        <v>35.64</v>
      </c>
      <c r="H187" s="18">
        <f t="shared" si="4"/>
        <v>37.896625</v>
      </c>
      <c r="I187" s="5"/>
      <c r="J187" s="17">
        <v>614.13810000000001</v>
      </c>
      <c r="K187" s="18">
        <v>36.362000000000002</v>
      </c>
      <c r="L187" s="18">
        <v>43.640700000000002</v>
      </c>
      <c r="M187" s="18">
        <v>43.278199999999998</v>
      </c>
      <c r="N187" s="18">
        <v>71.183899999999994</v>
      </c>
      <c r="O187" s="18">
        <f t="shared" si="5"/>
        <v>38.136362500000004</v>
      </c>
      <c r="P187" s="7"/>
      <c r="Q187" s="10"/>
      <c r="R187" s="11"/>
      <c r="S187" s="11"/>
      <c r="T187" s="26"/>
      <c r="U187" s="28">
        <f t="shared" si="3"/>
        <v>0.99730359147025793</v>
      </c>
    </row>
    <row r="188" spans="2:21" ht="16.5" hidden="1" thickBot="1" x14ac:dyDescent="0.3">
      <c r="B188" s="12"/>
      <c r="C188" s="19">
        <v>308.58</v>
      </c>
      <c r="D188" s="20">
        <v>33.435000000000002</v>
      </c>
      <c r="E188" s="20">
        <v>41.103999999999999</v>
      </c>
      <c r="F188" s="20">
        <v>40.642000000000003</v>
      </c>
      <c r="G188" s="20">
        <v>43.61</v>
      </c>
      <c r="H188" s="20">
        <f t="shared" si="4"/>
        <v>35.294499999999999</v>
      </c>
      <c r="I188" s="5"/>
      <c r="J188" s="19">
        <v>305.27760000000001</v>
      </c>
      <c r="K188" s="20">
        <v>33.657200000000003</v>
      </c>
      <c r="L188" s="20">
        <v>41.638599999999997</v>
      </c>
      <c r="M188" s="20">
        <v>41.113999999999997</v>
      </c>
      <c r="N188" s="20">
        <v>95.818799999999996</v>
      </c>
      <c r="O188" s="20">
        <f t="shared" si="5"/>
        <v>35.586975000000002</v>
      </c>
      <c r="P188" s="7"/>
      <c r="Q188" s="13"/>
      <c r="R188" s="14"/>
      <c r="S188" s="14"/>
      <c r="T188" s="27"/>
      <c r="U188" s="28">
        <f t="shared" si="3"/>
        <v>1.1971749598715891</v>
      </c>
    </row>
    <row r="189" spans="2:21" hidden="1" x14ac:dyDescent="0.25">
      <c r="B189" s="6" t="s">
        <v>129</v>
      </c>
      <c r="C189" s="29">
        <v>1507.57</v>
      </c>
      <c r="D189" s="30">
        <v>45.936</v>
      </c>
      <c r="E189" s="30">
        <v>50.923000000000002</v>
      </c>
      <c r="F189" s="30">
        <v>50.798999999999999</v>
      </c>
      <c r="G189" s="16">
        <v>28.68</v>
      </c>
      <c r="H189" s="16">
        <f t="shared" si="4"/>
        <v>47.167249999999996</v>
      </c>
      <c r="I189" s="5"/>
      <c r="J189" s="29">
        <v>1536.1324999999999</v>
      </c>
      <c r="K189" s="30">
        <v>46.395099999999999</v>
      </c>
      <c r="L189" s="30">
        <v>50.86</v>
      </c>
      <c r="M189" s="30">
        <v>50.671199999999999</v>
      </c>
      <c r="N189" s="16">
        <v>54.133099999999999</v>
      </c>
      <c r="O189" s="16">
        <f t="shared" si="5"/>
        <v>47.487724999999998</v>
      </c>
      <c r="P189" s="7"/>
      <c r="Q189" s="8">
        <f>bdrate(C189:C192,D189:D192,J189:J192,K189:K192)</f>
        <v>-0.25130484849514378</v>
      </c>
      <c r="R189" s="8">
        <f>bdrate(C189:C192,E189:E192,J189:J192,L189:L192)</f>
        <v>9.6835125239168818E-2</v>
      </c>
      <c r="S189" s="8">
        <f>bdrate(C189:C192,F189:F192,J189:J192,M189:M192)</f>
        <v>0.19616844206990525</v>
      </c>
      <c r="T189" s="25">
        <f>bdrate(C189:C192,H189:H192,J189:J192,O189:O192)</f>
        <v>-0.19014078601066808</v>
      </c>
      <c r="U189" s="28">
        <f t="shared" si="3"/>
        <v>0.88748605299860528</v>
      </c>
    </row>
    <row r="190" spans="2:21" hidden="1" x14ac:dyDescent="0.25">
      <c r="B190" s="9"/>
      <c r="C190" s="31">
        <v>1005.83</v>
      </c>
      <c r="D190" s="32">
        <v>45.125999999999998</v>
      </c>
      <c r="E190" s="32">
        <v>50.432000000000002</v>
      </c>
      <c r="F190" s="32">
        <v>50.377000000000002</v>
      </c>
      <c r="G190" s="18">
        <v>33.659999999999997</v>
      </c>
      <c r="H190" s="18">
        <f t="shared" si="4"/>
        <v>46.445625</v>
      </c>
      <c r="I190" s="5"/>
      <c r="J190" s="31">
        <v>1022.9073</v>
      </c>
      <c r="K190" s="32">
        <v>45.683599999999998</v>
      </c>
      <c r="L190" s="32">
        <v>50.244900000000001</v>
      </c>
      <c r="M190" s="32">
        <v>50.137999999999998</v>
      </c>
      <c r="N190" s="18">
        <v>65.884100000000004</v>
      </c>
      <c r="O190" s="18">
        <f t="shared" si="5"/>
        <v>46.810562499999996</v>
      </c>
      <c r="P190" s="7"/>
      <c r="Q190" s="10"/>
      <c r="R190" s="11"/>
      <c r="S190" s="11"/>
      <c r="T190" s="26"/>
      <c r="U190" s="28">
        <f t="shared" si="3"/>
        <v>0.95734105763517563</v>
      </c>
    </row>
    <row r="191" spans="2:21" hidden="1" x14ac:dyDescent="0.25">
      <c r="B191" s="9"/>
      <c r="C191" s="31">
        <v>605.70000000000005</v>
      </c>
      <c r="D191" s="32">
        <v>44.026000000000003</v>
      </c>
      <c r="E191" s="32">
        <v>49.652000000000001</v>
      </c>
      <c r="F191" s="32">
        <v>49.732999999999997</v>
      </c>
      <c r="G191" s="18">
        <v>42.32</v>
      </c>
      <c r="H191" s="18">
        <f t="shared" si="4"/>
        <v>45.442625</v>
      </c>
      <c r="I191" s="5"/>
      <c r="J191" s="31">
        <v>605.64189999999996</v>
      </c>
      <c r="K191" s="32">
        <v>44.697899999999997</v>
      </c>
      <c r="L191" s="32">
        <v>49.441400000000002</v>
      </c>
      <c r="M191" s="32">
        <v>49.458500000000001</v>
      </c>
      <c r="N191" s="18">
        <v>81.265799999999999</v>
      </c>
      <c r="O191" s="18">
        <f t="shared" si="5"/>
        <v>45.885912499999996</v>
      </c>
      <c r="P191" s="7"/>
      <c r="Q191" s="10"/>
      <c r="R191" s="11"/>
      <c r="S191" s="11"/>
      <c r="T191" s="26"/>
      <c r="U191" s="28">
        <f t="shared" si="3"/>
        <v>0.92026937618147442</v>
      </c>
    </row>
    <row r="192" spans="2:21" ht="16.5" hidden="1" thickBot="1" x14ac:dyDescent="0.3">
      <c r="B192" s="12"/>
      <c r="C192" s="33">
        <v>304.88</v>
      </c>
      <c r="D192" s="34">
        <v>42.225000000000001</v>
      </c>
      <c r="E192" s="34">
        <v>48.186</v>
      </c>
      <c r="F192" s="34">
        <v>48.703000000000003</v>
      </c>
      <c r="G192" s="20">
        <v>57.51</v>
      </c>
      <c r="H192" s="20">
        <f t="shared" si="4"/>
        <v>43.779875000000004</v>
      </c>
      <c r="I192" s="5"/>
      <c r="J192" s="33">
        <v>293.70510000000002</v>
      </c>
      <c r="K192" s="34">
        <v>42.907400000000003</v>
      </c>
      <c r="L192" s="34">
        <v>48.218600000000002</v>
      </c>
      <c r="M192" s="34">
        <v>48.585799999999999</v>
      </c>
      <c r="N192" s="20">
        <v>106.6396</v>
      </c>
      <c r="O192" s="20">
        <f t="shared" si="5"/>
        <v>44.281100000000002</v>
      </c>
      <c r="P192" s="7"/>
      <c r="Q192" s="13"/>
      <c r="R192" s="14"/>
      <c r="S192" s="14"/>
      <c r="T192" s="27"/>
      <c r="U192" s="28">
        <f t="shared" si="3"/>
        <v>0.85427925578160324</v>
      </c>
    </row>
    <row r="193" spans="1:21" hidden="1" x14ac:dyDescent="0.25">
      <c r="A193" s="6" t="s">
        <v>100</v>
      </c>
      <c r="B193" s="6" t="s">
        <v>77</v>
      </c>
      <c r="C193" s="15">
        <v>761.21</v>
      </c>
      <c r="D193" s="16">
        <v>39.734999999999999</v>
      </c>
      <c r="E193" s="16">
        <v>44.222999999999999</v>
      </c>
      <c r="F193" s="16">
        <v>44.792000000000002</v>
      </c>
      <c r="G193" s="16">
        <v>94.63</v>
      </c>
      <c r="H193" s="16">
        <f t="shared" si="4"/>
        <v>40.928124999999994</v>
      </c>
      <c r="I193" s="5"/>
      <c r="J193" s="15">
        <v>827.25120000000004</v>
      </c>
      <c r="K193" s="16">
        <v>40.693899999999999</v>
      </c>
      <c r="L193" s="16">
        <v>44.744999999999997</v>
      </c>
      <c r="M193" s="16">
        <v>45.186599999999999</v>
      </c>
      <c r="N193" s="16">
        <v>139.32429999999999</v>
      </c>
      <c r="O193" s="16">
        <f t="shared" si="5"/>
        <v>41.761874999999996</v>
      </c>
      <c r="P193" s="7"/>
      <c r="Q193" s="8">
        <f>bdrate(C193:C196,D193:D196,J193:J196,K193:K196)</f>
        <v>-8.8386904331010818E-2</v>
      </c>
      <c r="R193" s="8">
        <f>bdrate(C193:C196,E193:E196,J193:J196,L193:L196)</f>
        <v>-5.2976924905854594E-2</v>
      </c>
      <c r="S193" s="8">
        <f>bdrate(C193:C196,F193:F196,J193:J196,M193:M196)</f>
        <v>-1.6705793217673737E-2</v>
      </c>
      <c r="T193" s="25">
        <f>bdrate(C193:C196,H193:H196,J193:J196,O193:O196)</f>
        <v>-7.785512360412572E-2</v>
      </c>
      <c r="U193" s="28">
        <f t="shared" si="3"/>
        <v>0.47230582267779775</v>
      </c>
    </row>
    <row r="194" spans="1:21" hidden="1" x14ac:dyDescent="0.25">
      <c r="A194" s="9"/>
      <c r="B194" s="9"/>
      <c r="C194" s="17">
        <v>476.45</v>
      </c>
      <c r="D194" s="18">
        <v>37.887999999999998</v>
      </c>
      <c r="E194" s="18">
        <v>42.567</v>
      </c>
      <c r="F194" s="18">
        <v>43.08</v>
      </c>
      <c r="G194" s="18">
        <v>67.66</v>
      </c>
      <c r="H194" s="18">
        <f t="shared" si="4"/>
        <v>39.121874999999996</v>
      </c>
      <c r="I194" s="5"/>
      <c r="J194" s="17">
        <v>515.5308</v>
      </c>
      <c r="K194" s="18">
        <v>38.714100000000002</v>
      </c>
      <c r="L194" s="18">
        <v>42.985300000000002</v>
      </c>
      <c r="M194" s="18">
        <v>43.352800000000002</v>
      </c>
      <c r="N194" s="18">
        <v>166.52789999999999</v>
      </c>
      <c r="O194" s="18">
        <f t="shared" si="5"/>
        <v>39.827837500000001</v>
      </c>
      <c r="P194" s="7"/>
      <c r="Q194" s="10"/>
      <c r="R194" s="11"/>
      <c r="S194" s="11"/>
      <c r="T194" s="26"/>
      <c r="U194" s="28">
        <f t="shared" si="3"/>
        <v>1.4612459355601537</v>
      </c>
    </row>
    <row r="195" spans="1:21" hidden="1" x14ac:dyDescent="0.25">
      <c r="B195" s="9"/>
      <c r="C195" s="17">
        <v>286.07</v>
      </c>
      <c r="D195" s="18">
        <v>35.804000000000002</v>
      </c>
      <c r="E195" s="18">
        <v>40.768999999999998</v>
      </c>
      <c r="F195" s="18">
        <v>41.216999999999999</v>
      </c>
      <c r="G195" s="18">
        <v>122.7</v>
      </c>
      <c r="H195" s="18">
        <f t="shared" si="4"/>
        <v>37.10125</v>
      </c>
      <c r="I195" s="5"/>
      <c r="J195" s="17">
        <v>309.44220000000001</v>
      </c>
      <c r="K195" s="18">
        <v>36.503599999999999</v>
      </c>
      <c r="L195" s="18">
        <v>41.205599999999997</v>
      </c>
      <c r="M195" s="18">
        <v>41.532299999999999</v>
      </c>
      <c r="N195" s="18">
        <v>206.8252</v>
      </c>
      <c r="O195" s="18">
        <f t="shared" si="5"/>
        <v>37.7199375</v>
      </c>
      <c r="P195" s="7"/>
      <c r="Q195" s="10"/>
      <c r="R195" s="11"/>
      <c r="S195" s="11"/>
      <c r="T195" s="26"/>
      <c r="U195" s="28">
        <f t="shared" si="3"/>
        <v>0.6856169519152403</v>
      </c>
    </row>
    <row r="196" spans="1:21" ht="16.5" hidden="1" thickBot="1" x14ac:dyDescent="0.3">
      <c r="B196" s="12"/>
      <c r="C196" s="19">
        <v>142.66999999999999</v>
      </c>
      <c r="D196" s="20">
        <v>32.801000000000002</v>
      </c>
      <c r="E196" s="20">
        <v>38.612000000000002</v>
      </c>
      <c r="F196" s="20">
        <v>38.865000000000002</v>
      </c>
      <c r="G196" s="20">
        <v>150.83000000000001</v>
      </c>
      <c r="H196" s="20">
        <f t="shared" si="4"/>
        <v>34.285375000000002</v>
      </c>
      <c r="I196" s="5"/>
      <c r="J196" s="19">
        <v>154.69739999999999</v>
      </c>
      <c r="K196" s="20">
        <v>33.353000000000002</v>
      </c>
      <c r="L196" s="20">
        <v>39.14</v>
      </c>
      <c r="M196" s="20">
        <v>39.401000000000003</v>
      </c>
      <c r="N196" s="20">
        <v>278.74560000000002</v>
      </c>
      <c r="O196" s="20">
        <f t="shared" si="5"/>
        <v>34.832374999999999</v>
      </c>
      <c r="P196" s="7"/>
      <c r="Q196" s="13"/>
      <c r="R196" s="14"/>
      <c r="S196" s="14"/>
      <c r="T196" s="27"/>
      <c r="U196" s="28">
        <f t="shared" si="3"/>
        <v>0.84807796857389117</v>
      </c>
    </row>
    <row r="197" spans="1:21" hidden="1" x14ac:dyDescent="0.25">
      <c r="B197" s="6" t="s">
        <v>78</v>
      </c>
      <c r="C197" s="15">
        <v>795.87</v>
      </c>
      <c r="D197" s="16">
        <v>41.140999999999998</v>
      </c>
      <c r="E197" s="16">
        <v>45.637999999999998</v>
      </c>
      <c r="F197" s="16">
        <v>46.557000000000002</v>
      </c>
      <c r="G197" s="16">
        <v>120.92</v>
      </c>
      <c r="H197" s="16">
        <f t="shared" si="4"/>
        <v>42.380125</v>
      </c>
      <c r="I197" s="5"/>
      <c r="J197" s="15">
        <v>848.65139999999997</v>
      </c>
      <c r="K197" s="16">
        <v>42.697000000000003</v>
      </c>
      <c r="L197" s="16">
        <v>47.475200000000001</v>
      </c>
      <c r="M197" s="16">
        <v>48.076300000000003</v>
      </c>
      <c r="N197" s="16">
        <v>181.81819999999999</v>
      </c>
      <c r="O197" s="16">
        <f t="shared" si="5"/>
        <v>43.966687499999999</v>
      </c>
      <c r="P197" s="7"/>
      <c r="Q197" s="8">
        <f>bdrate(C197:C200,D197:D200,J197:J200,K197:K200)</f>
        <v>-0.36099816486357583</v>
      </c>
      <c r="R197" s="8">
        <f>bdrate(C197:C200,E197:E200,J197:J200,L197:L200)</f>
        <v>-0.39751660257491495</v>
      </c>
      <c r="S197" s="8">
        <f>bdrate(C197:C200,F197:F200,J197:J200,M197:M200)</f>
        <v>-0.35810159436512434</v>
      </c>
      <c r="T197" s="25">
        <f>bdrate(C197:C200,H197:H200,J197:J200,O197:O200)</f>
        <v>-0.36512899724204628</v>
      </c>
      <c r="U197" s="28">
        <f t="shared" si="3"/>
        <v>0.50362388355937804</v>
      </c>
    </row>
    <row r="198" spans="1:21" hidden="1" x14ac:dyDescent="0.25">
      <c r="B198" s="9"/>
      <c r="C198" s="17">
        <v>494.57</v>
      </c>
      <c r="D198" s="18">
        <v>39.441000000000003</v>
      </c>
      <c r="E198" s="18">
        <v>44.216000000000001</v>
      </c>
      <c r="F198" s="18">
        <v>45.277999999999999</v>
      </c>
      <c r="G198" s="18">
        <v>144.88</v>
      </c>
      <c r="H198" s="18">
        <f t="shared" si="4"/>
        <v>40.767500000000005</v>
      </c>
      <c r="I198" s="5"/>
      <c r="J198" s="17">
        <v>535.92539999999997</v>
      </c>
      <c r="K198" s="18">
        <v>41.292200000000001</v>
      </c>
      <c r="L198" s="18">
        <v>46.157499999999999</v>
      </c>
      <c r="M198" s="18">
        <v>46.872900000000001</v>
      </c>
      <c r="N198" s="18">
        <v>226.886</v>
      </c>
      <c r="O198" s="18">
        <f t="shared" si="5"/>
        <v>42.597950000000004</v>
      </c>
      <c r="P198" s="7"/>
      <c r="Q198" s="10"/>
      <c r="R198" s="11"/>
      <c r="S198" s="11"/>
      <c r="T198" s="26"/>
      <c r="U198" s="28">
        <f t="shared" si="3"/>
        <v>0.56602705687465493</v>
      </c>
    </row>
    <row r="199" spans="1:21" hidden="1" x14ac:dyDescent="0.25">
      <c r="B199" s="9"/>
      <c r="C199" s="17">
        <v>295.47000000000003</v>
      </c>
      <c r="D199" s="18">
        <v>37.451999999999998</v>
      </c>
      <c r="E199" s="18">
        <v>42.484999999999999</v>
      </c>
      <c r="F199" s="18">
        <v>43.579000000000001</v>
      </c>
      <c r="G199" s="18">
        <v>172.12</v>
      </c>
      <c r="H199" s="18">
        <f t="shared" si="4"/>
        <v>38.847000000000001</v>
      </c>
      <c r="I199" s="5"/>
      <c r="J199" s="17">
        <v>320.76960000000003</v>
      </c>
      <c r="K199" s="18">
        <v>39.474400000000003</v>
      </c>
      <c r="L199" s="18">
        <v>44.423099999999998</v>
      </c>
      <c r="M199" s="18">
        <v>45.255000000000003</v>
      </c>
      <c r="N199" s="18">
        <v>281.69009999999997</v>
      </c>
      <c r="O199" s="18">
        <f t="shared" si="5"/>
        <v>40.815562499999999</v>
      </c>
      <c r="P199" s="7"/>
      <c r="Q199" s="10"/>
      <c r="R199" s="11"/>
      <c r="S199" s="11"/>
      <c r="T199" s="26"/>
      <c r="U199" s="28">
        <f t="shared" si="3"/>
        <v>0.63659133162909576</v>
      </c>
    </row>
    <row r="200" spans="1:21" ht="16.5" hidden="1" thickBot="1" x14ac:dyDescent="0.3">
      <c r="B200" s="12"/>
      <c r="C200" s="19">
        <v>147.9</v>
      </c>
      <c r="D200" s="20">
        <v>34.680999999999997</v>
      </c>
      <c r="E200" s="20">
        <v>40.378</v>
      </c>
      <c r="F200" s="20">
        <v>41.447000000000003</v>
      </c>
      <c r="G200" s="20">
        <v>215.52</v>
      </c>
      <c r="H200" s="20">
        <f t="shared" si="4"/>
        <v>36.238875</v>
      </c>
      <c r="I200" s="5"/>
      <c r="J200" s="19">
        <v>157.61160000000001</v>
      </c>
      <c r="K200" s="20">
        <v>36.780200000000001</v>
      </c>
      <c r="L200" s="20">
        <v>42.071199999999997</v>
      </c>
      <c r="M200" s="20">
        <v>42.9876</v>
      </c>
      <c r="N200" s="20">
        <v>371.74720000000002</v>
      </c>
      <c r="O200" s="20">
        <f t="shared" si="5"/>
        <v>38.217499999999994</v>
      </c>
      <c r="P200" s="7"/>
      <c r="Q200" s="13"/>
      <c r="R200" s="14"/>
      <c r="S200" s="14"/>
      <c r="T200" s="27"/>
      <c r="U200" s="28">
        <f t="shared" si="3"/>
        <v>0.72488492947290273</v>
      </c>
    </row>
    <row r="201" spans="1:21" hidden="1" x14ac:dyDescent="0.25">
      <c r="B201" s="6" t="s">
        <v>79</v>
      </c>
      <c r="C201" s="15">
        <v>1000.03</v>
      </c>
      <c r="D201" s="16">
        <v>39.363</v>
      </c>
      <c r="E201" s="16">
        <v>46.734999999999999</v>
      </c>
      <c r="F201" s="16">
        <v>46.634999999999998</v>
      </c>
      <c r="G201" s="16">
        <v>97.46</v>
      </c>
      <c r="H201" s="16">
        <f t="shared" si="4"/>
        <v>41.1935</v>
      </c>
      <c r="I201" s="5"/>
      <c r="J201" s="15">
        <v>1028.8271999999999</v>
      </c>
      <c r="K201" s="16">
        <v>41.129300000000001</v>
      </c>
      <c r="L201" s="16">
        <v>47.6616</v>
      </c>
      <c r="M201" s="16">
        <v>47.286499999999997</v>
      </c>
      <c r="N201" s="16">
        <v>143.709</v>
      </c>
      <c r="O201" s="16">
        <f t="shared" si="5"/>
        <v>42.715487500000002</v>
      </c>
      <c r="P201" s="7"/>
      <c r="Q201" s="8">
        <f>bdrate(C201:C204,D201:D204,J201:J204,K201:K204)</f>
        <v>-0.53994674694407208</v>
      </c>
      <c r="R201" s="8">
        <f>bdrate(C201:C204,E201:E204,J201:J204,L201:L204)</f>
        <v>-0.39133516857263739</v>
      </c>
      <c r="S201" s="8">
        <f>bdrate(C201:C204,F201:F204,J201:J204,M201:M204)</f>
        <v>-0.37997387324684395</v>
      </c>
      <c r="T201" s="25">
        <f>bdrate(C201:C204,H201:H204,J201:J204,O201:O204)</f>
        <v>-0.51779535261927911</v>
      </c>
      <c r="U201" s="28">
        <f t="shared" si="3"/>
        <v>0.47454340242150639</v>
      </c>
    </row>
    <row r="202" spans="1:21" hidden="1" x14ac:dyDescent="0.25">
      <c r="B202" s="9"/>
      <c r="C202" s="17">
        <v>597.99</v>
      </c>
      <c r="D202" s="18">
        <v>38.194000000000003</v>
      </c>
      <c r="E202" s="18">
        <v>46.067</v>
      </c>
      <c r="F202" s="18">
        <v>46.057000000000002</v>
      </c>
      <c r="G202" s="18">
        <v>121.4</v>
      </c>
      <c r="H202" s="18">
        <f t="shared" si="4"/>
        <v>40.161000000000001</v>
      </c>
      <c r="I202" s="5"/>
      <c r="J202" s="17">
        <v>615.65449999999998</v>
      </c>
      <c r="K202" s="18">
        <v>40.2087</v>
      </c>
      <c r="L202" s="18">
        <v>46.896099999999997</v>
      </c>
      <c r="M202" s="18">
        <v>46.630800000000001</v>
      </c>
      <c r="N202" s="18">
        <v>183.37450000000001</v>
      </c>
      <c r="O202" s="18">
        <f t="shared" si="5"/>
        <v>41.847387500000004</v>
      </c>
      <c r="P202" s="7"/>
      <c r="Q202" s="10"/>
      <c r="R202" s="11"/>
      <c r="S202" s="11"/>
      <c r="T202" s="26"/>
      <c r="U202" s="28">
        <f t="shared" si="3"/>
        <v>0.51049835255354203</v>
      </c>
    </row>
    <row r="203" spans="1:21" hidden="1" x14ac:dyDescent="0.25">
      <c r="B203" s="9"/>
      <c r="C203" s="17">
        <v>398.91</v>
      </c>
      <c r="D203" s="18">
        <v>36.892000000000003</v>
      </c>
      <c r="E203" s="18">
        <v>45.281999999999996</v>
      </c>
      <c r="F203" s="18">
        <v>45.326999999999998</v>
      </c>
      <c r="G203" s="18">
        <v>132.88999999999999</v>
      </c>
      <c r="H203" s="18">
        <f t="shared" si="4"/>
        <v>38.995125000000002</v>
      </c>
      <c r="I203" s="5"/>
      <c r="J203" s="17">
        <v>409.69670000000002</v>
      </c>
      <c r="K203" s="18">
        <v>39.284500000000001</v>
      </c>
      <c r="L203" s="18">
        <v>46.288200000000003</v>
      </c>
      <c r="M203" s="18">
        <v>46.181699999999999</v>
      </c>
      <c r="N203" s="18">
        <v>209.47409999999999</v>
      </c>
      <c r="O203" s="18">
        <f t="shared" si="5"/>
        <v>41.022112499999999</v>
      </c>
      <c r="P203" s="7"/>
      <c r="Q203" s="10"/>
      <c r="R203" s="11"/>
      <c r="S203" s="11"/>
      <c r="T203" s="26"/>
      <c r="U203" s="28">
        <f t="shared" si="3"/>
        <v>0.57629693731657772</v>
      </c>
    </row>
    <row r="204" spans="1:21" ht="16.5" hidden="1" thickBot="1" x14ac:dyDescent="0.3">
      <c r="B204" s="12"/>
      <c r="C204" s="19">
        <v>199.25</v>
      </c>
      <c r="D204" s="20">
        <v>34.378</v>
      </c>
      <c r="E204" s="20">
        <v>43.848999999999997</v>
      </c>
      <c r="F204" s="20">
        <v>43.959000000000003</v>
      </c>
      <c r="G204" s="20">
        <v>154.12</v>
      </c>
      <c r="H204" s="20">
        <f t="shared" si="4"/>
        <v>36.759500000000003</v>
      </c>
      <c r="I204" s="5"/>
      <c r="J204" s="19">
        <v>204.59979999999999</v>
      </c>
      <c r="K204" s="20">
        <v>37.087299999999999</v>
      </c>
      <c r="L204" s="20">
        <v>44.756900000000002</v>
      </c>
      <c r="M204" s="20">
        <v>44.883099999999999</v>
      </c>
      <c r="N204" s="20">
        <v>257.47859999999997</v>
      </c>
      <c r="O204" s="20">
        <f t="shared" si="5"/>
        <v>39.020475000000005</v>
      </c>
      <c r="P204" s="7"/>
      <c r="Q204" s="13"/>
      <c r="R204" s="14"/>
      <c r="S204" s="14"/>
      <c r="T204" s="27"/>
      <c r="U204" s="28">
        <f t="shared" si="3"/>
        <v>0.67063716584479605</v>
      </c>
    </row>
    <row r="205" spans="1:21" hidden="1" x14ac:dyDescent="0.25">
      <c r="B205" s="6" t="s">
        <v>80</v>
      </c>
      <c r="C205" s="15">
        <v>1013.16</v>
      </c>
      <c r="D205" s="16">
        <v>39.732999999999997</v>
      </c>
      <c r="E205" s="16">
        <v>46.393000000000001</v>
      </c>
      <c r="F205" s="16">
        <v>46.231999999999999</v>
      </c>
      <c r="G205" s="16">
        <v>55.78</v>
      </c>
      <c r="H205" s="16">
        <f t="shared" si="4"/>
        <v>41.377874999999989</v>
      </c>
      <c r="I205" s="5"/>
      <c r="J205" s="15">
        <v>1025.9935</v>
      </c>
      <c r="K205" s="16">
        <v>39.848599999999998</v>
      </c>
      <c r="L205" s="16">
        <v>46.229900000000001</v>
      </c>
      <c r="M205" s="16">
        <v>46.058100000000003</v>
      </c>
      <c r="N205" s="16">
        <v>101.4061</v>
      </c>
      <c r="O205" s="16">
        <f t="shared" si="5"/>
        <v>41.422449999999998</v>
      </c>
      <c r="P205" s="7"/>
      <c r="Q205" s="8">
        <f>bdrate(C205:C208,D205:D208,J205:J208,K205:K208)</f>
        <v>2.8641601609997291E-2</v>
      </c>
      <c r="R205" s="8">
        <f>bdrate(C205:C208,E205:E208,J205:J208,L205:L208)</f>
        <v>2.0316314390062873E-2</v>
      </c>
      <c r="S205" s="8">
        <f>bdrate(C205:C208,F205:F208,J205:J208,M205:M208)</f>
        <v>7.8232392828179176E-3</v>
      </c>
      <c r="T205" s="25">
        <f>bdrate(C205:C208,H205:H208,J205:J208,O205:O208)</f>
        <v>2.5976202064116105E-2</v>
      </c>
      <c r="U205" s="28">
        <f t="shared" si="3"/>
        <v>0.81796522050914289</v>
      </c>
    </row>
    <row r="206" spans="1:21" hidden="1" x14ac:dyDescent="0.25">
      <c r="B206" s="9"/>
      <c r="C206" s="17">
        <v>605.13</v>
      </c>
      <c r="D206" s="18">
        <v>38.121000000000002</v>
      </c>
      <c r="E206" s="18">
        <v>45.328000000000003</v>
      </c>
      <c r="F206" s="18">
        <v>45.2</v>
      </c>
      <c r="G206" s="18">
        <v>65.72</v>
      </c>
      <c r="H206" s="18">
        <f t="shared" si="4"/>
        <v>39.906749999999995</v>
      </c>
      <c r="I206" s="5"/>
      <c r="J206" s="17">
        <v>614.28269999999998</v>
      </c>
      <c r="K206" s="18">
        <v>38.133499999999998</v>
      </c>
      <c r="L206" s="18">
        <v>45.241999999999997</v>
      </c>
      <c r="M206" s="18">
        <v>45.132100000000001</v>
      </c>
      <c r="N206" s="18">
        <v>126.8634</v>
      </c>
      <c r="O206" s="18">
        <f t="shared" si="5"/>
        <v>39.896887499999998</v>
      </c>
      <c r="P206" s="7"/>
      <c r="Q206" s="10"/>
      <c r="R206" s="11"/>
      <c r="S206" s="11"/>
      <c r="T206" s="26"/>
      <c r="U206" s="28">
        <f t="shared" si="3"/>
        <v>0.93036214242239812</v>
      </c>
    </row>
    <row r="207" spans="1:21" hidden="1" x14ac:dyDescent="0.25">
      <c r="B207" s="9"/>
      <c r="C207" s="17">
        <v>399.72</v>
      </c>
      <c r="D207" s="18">
        <v>36.732999999999997</v>
      </c>
      <c r="E207" s="18">
        <v>44.350999999999999</v>
      </c>
      <c r="F207" s="18">
        <v>44.220999999999997</v>
      </c>
      <c r="G207" s="18">
        <v>74.52</v>
      </c>
      <c r="H207" s="18">
        <f t="shared" si="4"/>
        <v>38.621249999999996</v>
      </c>
      <c r="I207" s="5"/>
      <c r="J207" s="17">
        <v>409.41829999999999</v>
      </c>
      <c r="K207" s="18">
        <v>36.71</v>
      </c>
      <c r="L207" s="18">
        <v>44.357100000000003</v>
      </c>
      <c r="M207" s="18">
        <v>44.2699</v>
      </c>
      <c r="N207" s="18">
        <v>148.6463</v>
      </c>
      <c r="O207" s="18">
        <f t="shared" si="5"/>
        <v>38.610875</v>
      </c>
      <c r="P207" s="7"/>
      <c r="Q207" s="10"/>
      <c r="R207" s="11"/>
      <c r="S207" s="11"/>
      <c r="T207" s="26"/>
      <c r="U207" s="28">
        <f t="shared" si="3"/>
        <v>0.99471685453569514</v>
      </c>
    </row>
    <row r="208" spans="1:21" ht="16.5" hidden="1" thickBot="1" x14ac:dyDescent="0.3">
      <c r="B208" s="12"/>
      <c r="C208" s="19">
        <v>196.98</v>
      </c>
      <c r="D208" s="20">
        <v>34.182000000000002</v>
      </c>
      <c r="E208" s="20">
        <v>42.725000000000001</v>
      </c>
      <c r="F208" s="20">
        <v>42.561999999999998</v>
      </c>
      <c r="G208" s="20">
        <v>86.59</v>
      </c>
      <c r="H208" s="20">
        <f t="shared" si="4"/>
        <v>36.297375000000002</v>
      </c>
      <c r="I208" s="5"/>
      <c r="J208" s="19">
        <v>203.7758</v>
      </c>
      <c r="K208" s="20">
        <v>33.9998</v>
      </c>
      <c r="L208" s="20">
        <v>43.033700000000003</v>
      </c>
      <c r="M208" s="20">
        <v>42.892699999999998</v>
      </c>
      <c r="N208" s="20">
        <v>202.76390000000001</v>
      </c>
      <c r="O208" s="20">
        <f t="shared" si="5"/>
        <v>36.240650000000002</v>
      </c>
      <c r="P208" s="7"/>
      <c r="Q208" s="13"/>
      <c r="R208" s="14"/>
      <c r="S208" s="14"/>
      <c r="T208" s="27"/>
      <c r="U208" s="28">
        <f t="shared" si="3"/>
        <v>1.3416549255110291</v>
      </c>
    </row>
    <row r="209" spans="2:21" hidden="1" x14ac:dyDescent="0.25">
      <c r="B209" s="6" t="s">
        <v>81</v>
      </c>
      <c r="C209" s="15">
        <v>1159.8399999999999</v>
      </c>
      <c r="D209" s="16">
        <v>41.396999999999998</v>
      </c>
      <c r="E209" s="16">
        <v>43.856000000000002</v>
      </c>
      <c r="F209" s="16">
        <v>44.256</v>
      </c>
      <c r="G209" s="16">
        <v>64.23</v>
      </c>
      <c r="H209" s="16">
        <f t="shared" si="4"/>
        <v>42.061750000000004</v>
      </c>
      <c r="I209" s="5"/>
      <c r="J209" s="15">
        <v>1030.8688</v>
      </c>
      <c r="K209" s="16">
        <v>41.843499999999999</v>
      </c>
      <c r="L209" s="16">
        <v>43.696899999999999</v>
      </c>
      <c r="M209" s="16">
        <v>44.057299999999998</v>
      </c>
      <c r="N209" s="16">
        <v>105.08620000000001</v>
      </c>
      <c r="O209" s="16">
        <f t="shared" si="5"/>
        <v>42.351899999999993</v>
      </c>
      <c r="P209" s="7"/>
      <c r="Q209" s="8">
        <f>bdrate(C209:C212,D209:D212,J209:J212,K209:K212)</f>
        <v>-0.15248532819117633</v>
      </c>
      <c r="R209" s="8">
        <f>bdrate(C209:C212,E209:E212,J209:J212,L209:L212)</f>
        <v>-7.4780550191585027E-2</v>
      </c>
      <c r="S209" s="8">
        <f>bdrate(C209:C212,F209:F212,J209:J212,M209:M212)</f>
        <v>-5.4302305088435143E-2</v>
      </c>
      <c r="T209" s="25">
        <f>bdrate(C209:C212,H209:H212,J209:J212,O209:O212)</f>
        <v>-0.13675255963302224</v>
      </c>
      <c r="U209" s="28">
        <f t="shared" si="3"/>
        <v>0.63609216876848818</v>
      </c>
    </row>
    <row r="210" spans="2:21" hidden="1" x14ac:dyDescent="0.25">
      <c r="B210" s="9"/>
      <c r="C210" s="17">
        <v>692.06</v>
      </c>
      <c r="D210" s="18">
        <v>39.219000000000001</v>
      </c>
      <c r="E210" s="18">
        <v>42.271999999999998</v>
      </c>
      <c r="F210" s="18">
        <v>42.643999999999998</v>
      </c>
      <c r="G210" s="18">
        <v>73.510000000000005</v>
      </c>
      <c r="H210" s="18">
        <f t="shared" si="4"/>
        <v>40.028750000000002</v>
      </c>
      <c r="I210" s="5"/>
      <c r="J210" s="17">
        <v>619.81719999999996</v>
      </c>
      <c r="K210" s="18">
        <v>39.597499999999997</v>
      </c>
      <c r="L210" s="18">
        <v>42.135899999999999</v>
      </c>
      <c r="M210" s="18">
        <v>42.4465</v>
      </c>
      <c r="N210" s="18">
        <v>130.31010000000001</v>
      </c>
      <c r="O210" s="18">
        <f t="shared" si="5"/>
        <v>40.270924999999998</v>
      </c>
      <c r="P210" s="7"/>
      <c r="Q210" s="10"/>
      <c r="R210" s="11"/>
      <c r="S210" s="11"/>
      <c r="T210" s="26"/>
      <c r="U210" s="28">
        <f t="shared" si="3"/>
        <v>0.77268534893211804</v>
      </c>
    </row>
    <row r="211" spans="2:21" hidden="1" x14ac:dyDescent="0.25">
      <c r="B211" s="9"/>
      <c r="C211" s="17">
        <v>458.15</v>
      </c>
      <c r="D211" s="18">
        <v>37.476999999999997</v>
      </c>
      <c r="E211" s="18">
        <v>40.987000000000002</v>
      </c>
      <c r="F211" s="18">
        <v>41.287999999999997</v>
      </c>
      <c r="G211" s="18">
        <v>81.77</v>
      </c>
      <c r="H211" s="18">
        <f t="shared" si="4"/>
        <v>38.392125</v>
      </c>
      <c r="I211" s="5"/>
      <c r="J211" s="17">
        <v>412.16160000000002</v>
      </c>
      <c r="K211" s="18">
        <v>37.762900000000002</v>
      </c>
      <c r="L211" s="18">
        <v>40.945799999999998</v>
      </c>
      <c r="M211" s="18">
        <v>41.177100000000003</v>
      </c>
      <c r="N211" s="18">
        <v>154.08320000000001</v>
      </c>
      <c r="O211" s="18">
        <f t="shared" si="5"/>
        <v>38.587537500000003</v>
      </c>
      <c r="P211" s="7"/>
      <c r="Q211" s="10"/>
      <c r="R211" s="11"/>
      <c r="S211" s="11"/>
      <c r="T211" s="26"/>
      <c r="U211" s="28">
        <f t="shared" si="3"/>
        <v>0.88434878317231269</v>
      </c>
    </row>
    <row r="212" spans="2:21" ht="16.5" hidden="1" thickBot="1" x14ac:dyDescent="0.3">
      <c r="B212" s="12"/>
      <c r="C212" s="19">
        <v>225.16</v>
      </c>
      <c r="D212" s="20">
        <v>34.433999999999997</v>
      </c>
      <c r="E212" s="20">
        <v>38.805</v>
      </c>
      <c r="F212" s="20">
        <v>39.020000000000003</v>
      </c>
      <c r="G212" s="20">
        <v>98.02</v>
      </c>
      <c r="H212" s="20">
        <f t="shared" si="4"/>
        <v>35.553624999999997</v>
      </c>
      <c r="I212" s="5"/>
      <c r="J212" s="19">
        <v>205.28479999999999</v>
      </c>
      <c r="K212" s="20">
        <v>34.342500000000001</v>
      </c>
      <c r="L212" s="20">
        <v>38.723799999999997</v>
      </c>
      <c r="M212" s="20">
        <v>38.796900000000001</v>
      </c>
      <c r="N212" s="20">
        <v>208.15989999999999</v>
      </c>
      <c r="O212" s="20">
        <f t="shared" si="5"/>
        <v>35.446962499999998</v>
      </c>
      <c r="P212" s="7"/>
      <c r="Q212" s="13"/>
      <c r="R212" s="14"/>
      <c r="S212" s="14"/>
      <c r="T212" s="27"/>
      <c r="U212" s="28">
        <f t="shared" si="3"/>
        <v>1.1236472148541115</v>
      </c>
    </row>
    <row r="213" spans="2:21" hidden="1" x14ac:dyDescent="0.25">
      <c r="B213" s="6" t="s">
        <v>82</v>
      </c>
      <c r="C213" s="29">
        <v>990.92</v>
      </c>
      <c r="D213" s="30">
        <v>39.118000000000002</v>
      </c>
      <c r="E213" s="30">
        <v>42.914000000000001</v>
      </c>
      <c r="F213" s="30">
        <v>43.918999999999997</v>
      </c>
      <c r="G213" s="16">
        <v>103.07</v>
      </c>
      <c r="H213" s="16">
        <f t="shared" si="4"/>
        <v>40.192625</v>
      </c>
      <c r="I213" s="5"/>
      <c r="J213" s="29">
        <v>1031.5239999999999</v>
      </c>
      <c r="K213" s="30">
        <v>40.411900000000003</v>
      </c>
      <c r="L213" s="30">
        <v>43.897100000000002</v>
      </c>
      <c r="M213" s="30">
        <v>45.0274</v>
      </c>
      <c r="N213" s="16">
        <v>133.547</v>
      </c>
      <c r="O213" s="16">
        <f t="shared" si="5"/>
        <v>41.424487500000005</v>
      </c>
      <c r="P213" s="7"/>
      <c r="Q213" s="8">
        <f>bdrate(C213:C216,D213:D216,J213:J216,K213:K216)</f>
        <v>-0.3969618680622562</v>
      </c>
      <c r="R213" s="8">
        <f>bdrate(C213:C216,E213:E216,J213:J216,L213:L216)</f>
        <v>-0.40007922931903472</v>
      </c>
      <c r="S213" s="8">
        <f>bdrate(C213:C216,F213:F216,J213:J216,M213:M216)</f>
        <v>-0.40229602306188805</v>
      </c>
      <c r="T213" s="25">
        <f>bdrate(C213:C216,H213:H216,J213:J216,O213:O216)</f>
        <v>-0.39788199062389307</v>
      </c>
      <c r="U213" s="28">
        <f t="shared" si="3"/>
        <v>0.29569224798680516</v>
      </c>
    </row>
    <row r="214" spans="2:21" hidden="1" x14ac:dyDescent="0.25">
      <c r="B214" s="9"/>
      <c r="C214" s="31">
        <v>602.28</v>
      </c>
      <c r="D214" s="32">
        <v>37.643999999999998</v>
      </c>
      <c r="E214" s="32">
        <v>42.037999999999997</v>
      </c>
      <c r="F214" s="32">
        <v>42.865000000000002</v>
      </c>
      <c r="G214" s="18">
        <v>114.89</v>
      </c>
      <c r="H214" s="18">
        <f t="shared" si="4"/>
        <v>38.845874999999999</v>
      </c>
      <c r="I214" s="5"/>
      <c r="J214" s="31">
        <v>621.32960000000003</v>
      </c>
      <c r="K214" s="32">
        <v>39.169800000000002</v>
      </c>
      <c r="L214" s="32">
        <v>43.0794</v>
      </c>
      <c r="M214" s="32">
        <v>44.101799999999997</v>
      </c>
      <c r="N214" s="18">
        <v>171.40899999999999</v>
      </c>
      <c r="O214" s="18">
        <f t="shared" si="5"/>
        <v>40.275000000000006</v>
      </c>
      <c r="P214" s="7"/>
      <c r="Q214" s="10"/>
      <c r="R214" s="11"/>
      <c r="S214" s="11"/>
      <c r="T214" s="26"/>
      <c r="U214" s="28">
        <f t="shared" si="3"/>
        <v>0.49194011663330134</v>
      </c>
    </row>
    <row r="215" spans="2:21" hidden="1" x14ac:dyDescent="0.25">
      <c r="B215" s="9"/>
      <c r="C215" s="31">
        <v>405.59</v>
      </c>
      <c r="D215" s="32">
        <v>36.284999999999997</v>
      </c>
      <c r="E215" s="32">
        <v>41.198999999999998</v>
      </c>
      <c r="F215" s="32">
        <v>41.905000000000001</v>
      </c>
      <c r="G215" s="18">
        <v>127.19</v>
      </c>
      <c r="H215" s="18">
        <f t="shared" si="4"/>
        <v>37.601749999999996</v>
      </c>
      <c r="I215" s="5"/>
      <c r="J215" s="31">
        <v>409.42680000000001</v>
      </c>
      <c r="K215" s="32">
        <v>38.026899999999998</v>
      </c>
      <c r="L215" s="32">
        <v>42.296900000000001</v>
      </c>
      <c r="M215" s="32">
        <v>43.170999999999999</v>
      </c>
      <c r="N215" s="18">
        <v>202.8398</v>
      </c>
      <c r="O215" s="18">
        <f t="shared" si="5"/>
        <v>39.2036625</v>
      </c>
      <c r="P215" s="7"/>
      <c r="Q215" s="10"/>
      <c r="R215" s="11"/>
      <c r="S215" s="11"/>
      <c r="T215" s="26"/>
      <c r="U215" s="28">
        <f t="shared" si="3"/>
        <v>0.5947778913436591</v>
      </c>
    </row>
    <row r="216" spans="2:21" ht="16.5" hidden="1" thickBot="1" x14ac:dyDescent="0.3">
      <c r="B216" s="12"/>
      <c r="C216" s="33">
        <v>203.1</v>
      </c>
      <c r="D216" s="34">
        <v>33.637999999999998</v>
      </c>
      <c r="E216" s="34">
        <v>39.456000000000003</v>
      </c>
      <c r="F216" s="34">
        <v>40.082999999999998</v>
      </c>
      <c r="G216" s="20">
        <v>144.38</v>
      </c>
      <c r="H216" s="20">
        <f t="shared" si="4"/>
        <v>35.170874999999995</v>
      </c>
      <c r="I216" s="5"/>
      <c r="J216" s="33">
        <v>204.61359999999999</v>
      </c>
      <c r="K216" s="34">
        <v>35.584600000000002</v>
      </c>
      <c r="L216" s="34">
        <v>40.719900000000003</v>
      </c>
      <c r="M216" s="34">
        <v>41.4</v>
      </c>
      <c r="N216" s="20">
        <v>264.83049999999997</v>
      </c>
      <c r="O216" s="20">
        <f t="shared" si="5"/>
        <v>36.9534375</v>
      </c>
      <c r="P216" s="7"/>
      <c r="Q216" s="13"/>
      <c r="R216" s="14"/>
      <c r="S216" s="14"/>
      <c r="T216" s="27"/>
      <c r="U216" s="28">
        <f t="shared" si="3"/>
        <v>0.83426028535808272</v>
      </c>
    </row>
    <row r="217" spans="2:21" hidden="1" x14ac:dyDescent="0.25">
      <c r="B217" s="6" t="s">
        <v>83</v>
      </c>
      <c r="C217" s="15">
        <v>1110.99</v>
      </c>
      <c r="D217" s="16">
        <v>42.414999999999999</v>
      </c>
      <c r="E217" s="16">
        <v>45.343000000000004</v>
      </c>
      <c r="F217" s="16">
        <v>45.372999999999998</v>
      </c>
      <c r="G217" s="16">
        <v>44.72</v>
      </c>
      <c r="H217" s="16">
        <f t="shared" si="4"/>
        <v>43.150750000000002</v>
      </c>
      <c r="I217" s="5"/>
      <c r="J217" s="15">
        <v>1180.2602999999999</v>
      </c>
      <c r="K217" s="16">
        <v>43.197800000000001</v>
      </c>
      <c r="L217" s="16">
        <v>45.444299999999998</v>
      </c>
      <c r="M217" s="16">
        <v>45.401899999999998</v>
      </c>
      <c r="N217" s="16">
        <v>76.7971</v>
      </c>
      <c r="O217" s="16">
        <f t="shared" si="5"/>
        <v>43.754125000000002</v>
      </c>
      <c r="P217" s="7"/>
      <c r="Q217" s="8">
        <f>bdrate(C217:C220,D217:D220,J217:J220,K217:K220)</f>
        <v>-0.1183118668983234</v>
      </c>
      <c r="R217" s="8">
        <f>bdrate(C217:C220,E217:E220,J217:J220,L217:L220)</f>
        <v>-6.6381273660228612E-2</v>
      </c>
      <c r="S217" s="8">
        <f>bdrate(C217:C220,F217:F220,J217:J220,M217:M220)</f>
        <v>-3.4483985841889497E-2</v>
      </c>
      <c r="T217" s="25">
        <f>bdrate(C217:C220,H217:H220,J217:J220,O217:O220)</f>
        <v>-0.10852525664981605</v>
      </c>
      <c r="U217" s="28">
        <f t="shared" si="3"/>
        <v>0.71728756708407881</v>
      </c>
    </row>
    <row r="218" spans="2:21" hidden="1" x14ac:dyDescent="0.25">
      <c r="B218" s="9"/>
      <c r="C218" s="17">
        <v>746.43</v>
      </c>
      <c r="D218" s="18">
        <v>40.866</v>
      </c>
      <c r="E218" s="18">
        <v>44.319000000000003</v>
      </c>
      <c r="F218" s="18">
        <v>44.348999999999997</v>
      </c>
      <c r="G218" s="18">
        <v>49.16</v>
      </c>
      <c r="H218" s="18">
        <f t="shared" si="4"/>
        <v>41.732999999999997</v>
      </c>
      <c r="I218" s="5"/>
      <c r="J218" s="17">
        <v>782.3424</v>
      </c>
      <c r="K218" s="18">
        <v>41.632800000000003</v>
      </c>
      <c r="L218" s="18">
        <v>44.502899999999997</v>
      </c>
      <c r="M218" s="18">
        <v>44.4499</v>
      </c>
      <c r="N218" s="18">
        <v>90.700199999999995</v>
      </c>
      <c r="O218" s="18">
        <f t="shared" si="5"/>
        <v>42.343700000000005</v>
      </c>
      <c r="P218" s="7"/>
      <c r="Q218" s="10"/>
      <c r="R218" s="11"/>
      <c r="S218" s="11"/>
      <c r="T218" s="26"/>
      <c r="U218" s="28">
        <f t="shared" si="3"/>
        <v>0.84500000000000008</v>
      </c>
    </row>
    <row r="219" spans="2:21" hidden="1" x14ac:dyDescent="0.25">
      <c r="B219" s="9"/>
      <c r="C219" s="17">
        <v>470.59</v>
      </c>
      <c r="D219" s="18">
        <v>38.918999999999997</v>
      </c>
      <c r="E219" s="18">
        <v>43.027999999999999</v>
      </c>
      <c r="F219" s="18">
        <v>43.045000000000002</v>
      </c>
      <c r="G219" s="18">
        <v>56.36</v>
      </c>
      <c r="H219" s="18">
        <f t="shared" si="4"/>
        <v>39.948374999999999</v>
      </c>
      <c r="I219" s="5"/>
      <c r="J219" s="17">
        <v>487.7989</v>
      </c>
      <c r="K219" s="18">
        <v>39.608400000000003</v>
      </c>
      <c r="L219" s="18">
        <v>43.391399999999997</v>
      </c>
      <c r="M219" s="18">
        <v>43.3172</v>
      </c>
      <c r="N219" s="18">
        <v>111.276</v>
      </c>
      <c r="O219" s="18">
        <f t="shared" si="5"/>
        <v>40.544875000000005</v>
      </c>
      <c r="P219" s="7"/>
      <c r="Q219" s="10"/>
      <c r="R219" s="11"/>
      <c r="S219" s="11"/>
      <c r="T219" s="26"/>
      <c r="U219" s="28">
        <f t="shared" si="3"/>
        <v>0.97437899219304469</v>
      </c>
    </row>
    <row r="220" spans="2:21" ht="16.5" hidden="1" thickBot="1" x14ac:dyDescent="0.3">
      <c r="B220" s="12"/>
      <c r="C220" s="19">
        <v>285.12</v>
      </c>
      <c r="D220" s="20">
        <v>36.688000000000002</v>
      </c>
      <c r="E220" s="20">
        <v>41.667999999999999</v>
      </c>
      <c r="F220" s="20">
        <v>41.662999999999997</v>
      </c>
      <c r="G220" s="20">
        <v>63.85</v>
      </c>
      <c r="H220" s="20">
        <f t="shared" si="4"/>
        <v>37.932375</v>
      </c>
      <c r="I220" s="5"/>
      <c r="J220" s="19">
        <v>294.04270000000002</v>
      </c>
      <c r="K220" s="20">
        <v>37.2562</v>
      </c>
      <c r="L220" s="20">
        <v>42.147100000000002</v>
      </c>
      <c r="M220" s="20">
        <v>42.085799999999999</v>
      </c>
      <c r="N220" s="20">
        <v>136.19030000000001</v>
      </c>
      <c r="O220" s="20">
        <f t="shared" si="5"/>
        <v>38.471262500000002</v>
      </c>
      <c r="P220" s="7"/>
      <c r="Q220" s="13"/>
      <c r="R220" s="14"/>
      <c r="S220" s="14"/>
      <c r="T220" s="27"/>
      <c r="U220" s="28">
        <f t="shared" si="3"/>
        <v>1.1329725920125295</v>
      </c>
    </row>
    <row r="221" spans="2:21" hidden="1" x14ac:dyDescent="0.25">
      <c r="B221" s="6" t="s">
        <v>84</v>
      </c>
      <c r="C221" s="15">
        <v>1652.82</v>
      </c>
      <c r="D221" s="16">
        <v>45.639000000000003</v>
      </c>
      <c r="E221" s="16">
        <v>48.322000000000003</v>
      </c>
      <c r="F221" s="16">
        <v>48.448</v>
      </c>
      <c r="G221" s="16">
        <v>40.15</v>
      </c>
      <c r="H221" s="16">
        <f t="shared" si="4"/>
        <v>46.325499999999998</v>
      </c>
      <c r="I221" s="5"/>
      <c r="J221" s="15">
        <v>1608.1981000000001</v>
      </c>
      <c r="K221" s="16">
        <v>47.758200000000002</v>
      </c>
      <c r="L221" s="16">
        <v>49.831099999999999</v>
      </c>
      <c r="M221" s="16">
        <v>49.9574</v>
      </c>
      <c r="N221" s="16">
        <v>72.578299999999999</v>
      </c>
      <c r="O221" s="16">
        <f t="shared" si="5"/>
        <v>48.292212500000005</v>
      </c>
      <c r="P221" s="7"/>
      <c r="Q221" s="8">
        <f>bdrate(C221:C224,D221:D224,J221:J224,K221:K224)</f>
        <v>-0.39617905125737451</v>
      </c>
      <c r="R221" s="8">
        <f>bdrate(C221:C224,E221:E224,J221:J224,L221:L224)</f>
        <v>-0.33631948075393858</v>
      </c>
      <c r="S221" s="8">
        <f>bdrate(C221:C224,F221:F224,J221:J224,M221:M224)</f>
        <v>-0.33971728162169212</v>
      </c>
      <c r="T221" s="25">
        <f>bdrate(C221:C224,H221:H224,J221:J224,O221:O224)</f>
        <v>-0.38423412659928236</v>
      </c>
      <c r="U221" s="28">
        <f t="shared" si="3"/>
        <v>0.80767870485678706</v>
      </c>
    </row>
    <row r="222" spans="2:21" hidden="1" x14ac:dyDescent="0.25">
      <c r="B222" s="9"/>
      <c r="C222" s="17">
        <v>1123.1600000000001</v>
      </c>
      <c r="D222" s="18">
        <v>43.326999999999998</v>
      </c>
      <c r="E222" s="18">
        <v>46.338999999999999</v>
      </c>
      <c r="F222" s="18">
        <v>46.536000000000001</v>
      </c>
      <c r="G222" s="18">
        <v>46.76</v>
      </c>
      <c r="H222" s="18">
        <f t="shared" si="4"/>
        <v>44.104624999999999</v>
      </c>
      <c r="I222" s="5"/>
      <c r="J222" s="17">
        <v>1079.0923</v>
      </c>
      <c r="K222" s="18">
        <v>45.77</v>
      </c>
      <c r="L222" s="18">
        <v>48.088799999999999</v>
      </c>
      <c r="M222" s="18">
        <v>48.272199999999998</v>
      </c>
      <c r="N222" s="18">
        <v>86.381100000000004</v>
      </c>
      <c r="O222" s="18">
        <f t="shared" si="5"/>
        <v>46.372624999999999</v>
      </c>
      <c r="P222" s="7"/>
      <c r="Q222" s="10"/>
      <c r="R222" s="11"/>
      <c r="S222" s="11"/>
      <c r="T222" s="26"/>
      <c r="U222" s="28">
        <f t="shared" si="3"/>
        <v>0.84732891360136886</v>
      </c>
    </row>
    <row r="223" spans="2:21" hidden="1" x14ac:dyDescent="0.25">
      <c r="B223" s="9"/>
      <c r="C223" s="17">
        <v>676.43</v>
      </c>
      <c r="D223" s="18">
        <v>40.283000000000001</v>
      </c>
      <c r="E223" s="18">
        <v>43.780999999999999</v>
      </c>
      <c r="F223" s="18">
        <v>44.136000000000003</v>
      </c>
      <c r="G223" s="18">
        <v>49.84</v>
      </c>
      <c r="H223" s="18">
        <f t="shared" si="4"/>
        <v>41.201875000000001</v>
      </c>
      <c r="I223" s="5"/>
      <c r="J223" s="17">
        <v>649.95349999999996</v>
      </c>
      <c r="K223" s="18">
        <v>42.964799999999997</v>
      </c>
      <c r="L223" s="18">
        <v>45.571899999999999</v>
      </c>
      <c r="M223" s="18">
        <v>45.868200000000002</v>
      </c>
      <c r="N223" s="18">
        <v>101.22450000000001</v>
      </c>
      <c r="O223" s="18">
        <f t="shared" si="5"/>
        <v>43.653612499999994</v>
      </c>
      <c r="P223" s="7"/>
      <c r="Q223" s="10"/>
      <c r="R223" s="11"/>
      <c r="S223" s="11"/>
      <c r="T223" s="26"/>
      <c r="U223" s="28">
        <f t="shared" si="3"/>
        <v>1.030989165329053</v>
      </c>
    </row>
    <row r="224" spans="2:21" ht="16.5" hidden="1" thickBot="1" x14ac:dyDescent="0.3">
      <c r="B224" s="12"/>
      <c r="C224" s="19">
        <v>338.39</v>
      </c>
      <c r="D224" s="20">
        <v>36.319000000000003</v>
      </c>
      <c r="E224" s="20">
        <v>40.896999999999998</v>
      </c>
      <c r="F224" s="20">
        <v>41.603000000000002</v>
      </c>
      <c r="G224" s="20">
        <v>58.66</v>
      </c>
      <c r="H224" s="20">
        <f t="shared" si="4"/>
        <v>37.551750000000006</v>
      </c>
      <c r="I224" s="5"/>
      <c r="J224" s="19">
        <v>325.17739999999998</v>
      </c>
      <c r="K224" s="20">
        <v>39.384799999999998</v>
      </c>
      <c r="L224" s="20">
        <v>42.526000000000003</v>
      </c>
      <c r="M224" s="20">
        <v>42.894199999999998</v>
      </c>
      <c r="N224" s="20">
        <v>121.33069999999999</v>
      </c>
      <c r="O224" s="20">
        <f t="shared" si="5"/>
        <v>40.216124999999998</v>
      </c>
      <c r="P224" s="7"/>
      <c r="Q224" s="13"/>
      <c r="R224" s="14"/>
      <c r="S224" s="14"/>
      <c r="T224" s="27"/>
      <c r="U224" s="28">
        <f t="shared" si="3"/>
        <v>1.0683719740879645</v>
      </c>
    </row>
    <row r="225" spans="2:21" hidden="1" x14ac:dyDescent="0.25">
      <c r="B225" s="6" t="s">
        <v>85</v>
      </c>
      <c r="C225" s="15">
        <v>1430.36</v>
      </c>
      <c r="D225" s="16">
        <v>45.872</v>
      </c>
      <c r="E225" s="16">
        <v>47.942</v>
      </c>
      <c r="F225" s="16">
        <v>48.173000000000002</v>
      </c>
      <c r="G225" s="16">
        <v>44.91</v>
      </c>
      <c r="H225" s="16">
        <f t="shared" si="4"/>
        <v>46.418374999999997</v>
      </c>
      <c r="I225" s="5"/>
      <c r="J225" s="15">
        <v>1569.5006000000001</v>
      </c>
      <c r="K225" s="16">
        <v>47.549399999999999</v>
      </c>
      <c r="L225" s="16">
        <v>49.242600000000003</v>
      </c>
      <c r="M225" s="16">
        <v>49.515099999999997</v>
      </c>
      <c r="N225" s="16">
        <v>68.520899999999997</v>
      </c>
      <c r="O225" s="16">
        <f t="shared" si="5"/>
        <v>48.006762500000001</v>
      </c>
      <c r="P225" s="7"/>
      <c r="Q225" s="8">
        <f>bdrate(C225:C228,D225:D228,J225:J228,K225:K228)</f>
        <v>-0.22899508031430471</v>
      </c>
      <c r="R225" s="8">
        <f>bdrate(C225:C228,E225:E228,J225:J228,L225:L228)</f>
        <v>-0.1852495501646656</v>
      </c>
      <c r="S225" s="8">
        <f>bdrate(C225:C228,F225:F228,J225:J228,M225:M228)</f>
        <v>-0.19749066686939909</v>
      </c>
      <c r="T225" s="25">
        <f>bdrate(C225:C228,H225:H228,J225:J228,O225:O228)</f>
        <v>-0.22069146930204564</v>
      </c>
      <c r="U225" s="28">
        <f t="shared" si="3"/>
        <v>0.52573814295257182</v>
      </c>
    </row>
    <row r="226" spans="2:21" hidden="1" x14ac:dyDescent="0.25">
      <c r="B226" s="9"/>
      <c r="C226" s="17">
        <v>947.45</v>
      </c>
      <c r="D226" s="18">
        <v>43.965000000000003</v>
      </c>
      <c r="E226" s="18">
        <v>46.317999999999998</v>
      </c>
      <c r="F226" s="18">
        <v>46.469000000000001</v>
      </c>
      <c r="G226" s="18">
        <v>51.4</v>
      </c>
      <c r="H226" s="18">
        <f t="shared" si="4"/>
        <v>44.572125</v>
      </c>
      <c r="I226" s="5"/>
      <c r="J226" s="17">
        <v>1049.4494999999999</v>
      </c>
      <c r="K226" s="18">
        <v>45.7639</v>
      </c>
      <c r="L226" s="18">
        <v>47.638599999999997</v>
      </c>
      <c r="M226" s="18">
        <v>47.869599999999998</v>
      </c>
      <c r="N226" s="18">
        <v>83.370699999999999</v>
      </c>
      <c r="O226" s="18">
        <f t="shared" si="5"/>
        <v>46.261449999999996</v>
      </c>
      <c r="P226" s="7"/>
      <c r="Q226" s="10"/>
      <c r="R226" s="11"/>
      <c r="S226" s="11"/>
      <c r="T226" s="26"/>
      <c r="U226" s="28">
        <f t="shared" si="3"/>
        <v>0.62199805447470824</v>
      </c>
    </row>
    <row r="227" spans="2:21" hidden="1" x14ac:dyDescent="0.25">
      <c r="B227" s="9"/>
      <c r="C227" s="17">
        <v>565.23</v>
      </c>
      <c r="D227" s="18">
        <v>41.515000000000001</v>
      </c>
      <c r="E227" s="18">
        <v>44.173999999999999</v>
      </c>
      <c r="F227" s="18">
        <v>44.182000000000002</v>
      </c>
      <c r="G227" s="18">
        <v>52.88</v>
      </c>
      <c r="H227" s="18">
        <f t="shared" si="4"/>
        <v>42.180750000000003</v>
      </c>
      <c r="I227" s="5"/>
      <c r="J227" s="17">
        <v>625.22879999999998</v>
      </c>
      <c r="K227" s="18">
        <v>43.205500000000001</v>
      </c>
      <c r="L227" s="18">
        <v>45.361899999999999</v>
      </c>
      <c r="M227" s="18">
        <v>45.524999999999999</v>
      </c>
      <c r="N227" s="18">
        <v>97.331199999999995</v>
      </c>
      <c r="O227" s="18">
        <f t="shared" si="5"/>
        <v>43.764987499999997</v>
      </c>
      <c r="P227" s="7"/>
      <c r="Q227" s="10"/>
      <c r="R227" s="11"/>
      <c r="S227" s="11"/>
      <c r="T227" s="26"/>
      <c r="U227" s="28">
        <f t="shared" si="3"/>
        <v>0.84060514372163375</v>
      </c>
    </row>
    <row r="228" spans="2:21" ht="16.5" hidden="1" thickBot="1" x14ac:dyDescent="0.3">
      <c r="B228" s="12"/>
      <c r="C228" s="19">
        <v>279.36</v>
      </c>
      <c r="D228" s="20">
        <v>38.213999999999999</v>
      </c>
      <c r="E228" s="20">
        <v>41.488999999999997</v>
      </c>
      <c r="F228" s="20">
        <v>41.317</v>
      </c>
      <c r="G228" s="20">
        <v>70.14</v>
      </c>
      <c r="H228" s="20">
        <f t="shared" si="4"/>
        <v>39.011249999999997</v>
      </c>
      <c r="I228" s="5"/>
      <c r="J228" s="19">
        <v>313.11099999999999</v>
      </c>
      <c r="K228" s="20">
        <v>39.911499999999997</v>
      </c>
      <c r="L228" s="20">
        <v>42.749499999999998</v>
      </c>
      <c r="M228" s="20">
        <v>42.757300000000001</v>
      </c>
      <c r="N228" s="20">
        <v>121.0543</v>
      </c>
      <c r="O228" s="20">
        <f t="shared" si="5"/>
        <v>40.621974999999999</v>
      </c>
      <c r="P228" s="7"/>
      <c r="Q228" s="13"/>
      <c r="R228" s="14"/>
      <c r="S228" s="14"/>
      <c r="T228" s="27"/>
      <c r="U228" s="28">
        <f t="shared" si="3"/>
        <v>0.72589535215283718</v>
      </c>
    </row>
    <row r="229" spans="2:21" hidden="1" x14ac:dyDescent="0.25">
      <c r="B229" s="6" t="s">
        <v>86</v>
      </c>
      <c r="C229" s="15">
        <v>1508.75</v>
      </c>
      <c r="D229" s="16">
        <v>36.621000000000002</v>
      </c>
      <c r="E229" s="16">
        <v>40.347000000000001</v>
      </c>
      <c r="F229" s="16">
        <v>38.698999999999998</v>
      </c>
      <c r="G229" s="16">
        <v>40.909999999999997</v>
      </c>
      <c r="H229" s="16">
        <f t="shared" si="4"/>
        <v>37.346499999999999</v>
      </c>
      <c r="I229" s="5"/>
      <c r="J229" s="15">
        <v>1542.7978000000001</v>
      </c>
      <c r="K229" s="16">
        <v>37.910299999999999</v>
      </c>
      <c r="L229" s="16">
        <v>41.186300000000003</v>
      </c>
      <c r="M229" s="16">
        <v>39.749699999999997</v>
      </c>
      <c r="N229" s="16">
        <v>64.914100000000005</v>
      </c>
      <c r="O229" s="16">
        <f t="shared" si="5"/>
        <v>38.549725000000002</v>
      </c>
      <c r="P229" s="7"/>
      <c r="Q229" s="8">
        <f>bdrate(C229:C232,D229:D232,J229:J232,K229:K232)</f>
        <v>-0.14876316761363884</v>
      </c>
      <c r="R229" s="8">
        <f>bdrate(C229:C232,E229:E232,J229:J232,L229:L232)</f>
        <v>-0.10140126907406388</v>
      </c>
      <c r="S229" s="8">
        <f>bdrate(C229:C232,F229:F232,J229:J232,M229:M232)</f>
        <v>-0.15517217348503731</v>
      </c>
      <c r="T229" s="25">
        <f>bdrate(C229:C232,H229:H232,J229:J232,O229:O232)</f>
        <v>-0.14486465681807414</v>
      </c>
      <c r="U229" s="28">
        <f t="shared" si="3"/>
        <v>0.58675384991444657</v>
      </c>
    </row>
    <row r="230" spans="2:21" hidden="1" x14ac:dyDescent="0.25">
      <c r="B230" s="9"/>
      <c r="C230" s="17">
        <v>1009.8</v>
      </c>
      <c r="D230" s="18">
        <v>34.511000000000003</v>
      </c>
      <c r="E230" s="18">
        <v>38.770000000000003</v>
      </c>
      <c r="F230" s="18">
        <v>37.075000000000003</v>
      </c>
      <c r="G230" s="18">
        <v>47.85</v>
      </c>
      <c r="H230" s="18">
        <f t="shared" si="4"/>
        <v>35.363875000000007</v>
      </c>
      <c r="I230" s="5"/>
      <c r="J230" s="17">
        <v>1033.2311999999999</v>
      </c>
      <c r="K230" s="18">
        <v>35.606999999999999</v>
      </c>
      <c r="L230" s="18">
        <v>39.406500000000001</v>
      </c>
      <c r="M230" s="18">
        <v>37.9514</v>
      </c>
      <c r="N230" s="18">
        <v>76.501400000000004</v>
      </c>
      <c r="O230" s="18">
        <f t="shared" si="5"/>
        <v>36.374987499999996</v>
      </c>
      <c r="P230" s="7"/>
      <c r="Q230" s="10"/>
      <c r="R230" s="11"/>
      <c r="S230" s="11"/>
      <c r="T230" s="26"/>
      <c r="U230" s="28">
        <f t="shared" si="3"/>
        <v>0.59877533960292584</v>
      </c>
    </row>
    <row r="231" spans="2:21" hidden="1" x14ac:dyDescent="0.25">
      <c r="B231" s="9"/>
      <c r="C231" s="17">
        <v>604.76</v>
      </c>
      <c r="D231" s="18">
        <v>31.95</v>
      </c>
      <c r="E231" s="18">
        <v>36.936999999999998</v>
      </c>
      <c r="F231" s="18">
        <v>35.25</v>
      </c>
      <c r="G231" s="18">
        <v>51.19</v>
      </c>
      <c r="H231" s="18">
        <f t="shared" si="4"/>
        <v>32.985875</v>
      </c>
      <c r="I231" s="5"/>
      <c r="J231" s="17">
        <v>624.30949999999996</v>
      </c>
      <c r="K231" s="18">
        <v>32.843200000000003</v>
      </c>
      <c r="L231" s="18">
        <v>37.389099999999999</v>
      </c>
      <c r="M231" s="18">
        <v>35.909500000000001</v>
      </c>
      <c r="N231" s="18">
        <v>87.561400000000006</v>
      </c>
      <c r="O231" s="18">
        <f t="shared" si="5"/>
        <v>33.794725</v>
      </c>
      <c r="P231" s="7"/>
      <c r="Q231" s="10"/>
      <c r="R231" s="11"/>
      <c r="S231" s="11"/>
      <c r="T231" s="26"/>
      <c r="U231" s="28">
        <f t="shared" si="3"/>
        <v>0.7105176792342256</v>
      </c>
    </row>
    <row r="232" spans="2:21" ht="16.5" hidden="1" thickBot="1" x14ac:dyDescent="0.3">
      <c r="B232" s="12"/>
      <c r="C232" s="19">
        <v>302.98</v>
      </c>
      <c r="D232" s="20">
        <v>28.85</v>
      </c>
      <c r="E232" s="20">
        <v>34.668999999999997</v>
      </c>
      <c r="F232" s="20">
        <v>33.04</v>
      </c>
      <c r="G232" s="20">
        <v>56.22</v>
      </c>
      <c r="H232" s="20">
        <f t="shared" si="4"/>
        <v>30.101125</v>
      </c>
      <c r="I232" s="5"/>
      <c r="J232" s="19">
        <v>314.42340000000002</v>
      </c>
      <c r="K232" s="20">
        <v>29.6126</v>
      </c>
      <c r="L232" s="20">
        <v>34.971499999999999</v>
      </c>
      <c r="M232" s="20">
        <v>33.578800000000001</v>
      </c>
      <c r="N232" s="20">
        <v>107.71810000000001</v>
      </c>
      <c r="O232" s="20">
        <f t="shared" si="5"/>
        <v>30.778237499999999</v>
      </c>
      <c r="P232" s="7"/>
      <c r="Q232" s="13"/>
      <c r="R232" s="14"/>
      <c r="S232" s="14"/>
      <c r="T232" s="27"/>
      <c r="U232" s="28">
        <f t="shared" si="3"/>
        <v>0.91601031661330501</v>
      </c>
    </row>
    <row r="233" spans="2:21" hidden="1" x14ac:dyDescent="0.25">
      <c r="B233" s="6" t="s">
        <v>87</v>
      </c>
      <c r="C233" s="15">
        <v>1523.92</v>
      </c>
      <c r="D233" s="16">
        <v>35.935000000000002</v>
      </c>
      <c r="E233" s="16">
        <v>41.04</v>
      </c>
      <c r="F233" s="16">
        <v>41.258000000000003</v>
      </c>
      <c r="G233" s="16">
        <v>44.93</v>
      </c>
      <c r="H233" s="16">
        <f t="shared" si="4"/>
        <v>37.238500000000002</v>
      </c>
      <c r="I233" s="5"/>
      <c r="J233" s="15">
        <v>1545.6728000000001</v>
      </c>
      <c r="K233" s="16">
        <v>37.228000000000002</v>
      </c>
      <c r="L233" s="16">
        <v>43.0105</v>
      </c>
      <c r="M233" s="16">
        <v>43.050800000000002</v>
      </c>
      <c r="N233" s="16">
        <v>63.8842</v>
      </c>
      <c r="O233" s="16">
        <f t="shared" si="5"/>
        <v>38.678662499999994</v>
      </c>
      <c r="P233" s="7"/>
      <c r="Q233" s="8">
        <f>bdrate(C233:C236,D233:D236,J233:J236,K233:K236)</f>
        <v>-0.35254983622032998</v>
      </c>
      <c r="R233" s="8">
        <f>bdrate(C233:C236,E233:E236,J233:J236,L233:L236)</f>
        <v>-0.53136606799386343</v>
      </c>
      <c r="S233" s="8">
        <f>bdrate(C233:C236,F233:F236,J233:J236,M233:M236)</f>
        <v>-0.5351242829800521</v>
      </c>
      <c r="T233" s="25">
        <f>bdrate(C233:C236,H233:H236,J233:J236,O233:O236)</f>
        <v>-0.39929782657944402</v>
      </c>
      <c r="U233" s="28">
        <f t="shared" ref="U233:U260" si="6">(N233-G233)/G233</f>
        <v>0.42186067215668821</v>
      </c>
    </row>
    <row r="234" spans="2:21" hidden="1" x14ac:dyDescent="0.25">
      <c r="B234" s="9"/>
      <c r="C234" s="17">
        <v>1013.75</v>
      </c>
      <c r="D234" s="18">
        <v>34.938000000000002</v>
      </c>
      <c r="E234" s="18">
        <v>40.109000000000002</v>
      </c>
      <c r="F234" s="18">
        <v>40.435000000000002</v>
      </c>
      <c r="G234" s="18">
        <v>46.9</v>
      </c>
      <c r="H234" s="18">
        <f t="shared" si="4"/>
        <v>36.271500000000003</v>
      </c>
      <c r="I234" s="5"/>
      <c r="J234" s="17">
        <v>1024.1815999999999</v>
      </c>
      <c r="K234" s="18">
        <v>36.125300000000003</v>
      </c>
      <c r="L234" s="18">
        <v>42.0488</v>
      </c>
      <c r="M234" s="18">
        <v>42.160800000000002</v>
      </c>
      <c r="N234" s="18">
        <v>78.165700000000001</v>
      </c>
      <c r="O234" s="18">
        <f t="shared" si="5"/>
        <v>37.620175000000003</v>
      </c>
      <c r="P234" s="7"/>
      <c r="Q234" s="10"/>
      <c r="R234" s="11"/>
      <c r="S234" s="11"/>
      <c r="T234" s="26"/>
      <c r="U234" s="28">
        <f t="shared" si="6"/>
        <v>0.66664605543710032</v>
      </c>
    </row>
    <row r="235" spans="2:21" hidden="1" x14ac:dyDescent="0.25">
      <c r="B235" s="9"/>
      <c r="C235" s="17">
        <v>606.1</v>
      </c>
      <c r="D235" s="18">
        <v>33.720999999999997</v>
      </c>
      <c r="E235" s="18">
        <v>39.017000000000003</v>
      </c>
      <c r="F235" s="18">
        <v>39.380000000000003</v>
      </c>
      <c r="G235" s="18">
        <v>52.4</v>
      </c>
      <c r="H235" s="18">
        <f t="shared" si="4"/>
        <v>35.090374999999995</v>
      </c>
      <c r="I235" s="5"/>
      <c r="J235" s="17">
        <v>613.87040000000002</v>
      </c>
      <c r="K235" s="18">
        <v>34.823099999999997</v>
      </c>
      <c r="L235" s="18">
        <v>40.787799999999997</v>
      </c>
      <c r="M235" s="18">
        <v>41.005699999999997</v>
      </c>
      <c r="N235" s="18">
        <v>93.370699999999999</v>
      </c>
      <c r="O235" s="18">
        <f t="shared" si="5"/>
        <v>36.3415125</v>
      </c>
      <c r="P235" s="7"/>
      <c r="Q235" s="10"/>
      <c r="R235" s="11"/>
      <c r="S235" s="11"/>
      <c r="T235" s="26"/>
      <c r="U235" s="28">
        <f t="shared" si="6"/>
        <v>0.78188358778625955</v>
      </c>
    </row>
    <row r="236" spans="2:21" ht="16.5" hidden="1" thickBot="1" x14ac:dyDescent="0.3">
      <c r="B236" s="12"/>
      <c r="C236" s="19">
        <v>298.83999999999997</v>
      </c>
      <c r="D236" s="20">
        <v>31.962</v>
      </c>
      <c r="E236" s="20">
        <v>37.485999999999997</v>
      </c>
      <c r="F236" s="20">
        <v>38.08</v>
      </c>
      <c r="G236" s="20">
        <v>59.73</v>
      </c>
      <c r="H236" s="20">
        <f t="shared" si="4"/>
        <v>33.417249999999996</v>
      </c>
      <c r="I236" s="5"/>
      <c r="J236" s="19">
        <v>300.09840000000003</v>
      </c>
      <c r="K236" s="20">
        <v>32.942100000000003</v>
      </c>
      <c r="L236" s="20">
        <v>38.973599999999998</v>
      </c>
      <c r="M236" s="20">
        <v>39.470599999999997</v>
      </c>
      <c r="N236" s="20">
        <v>115.1631</v>
      </c>
      <c r="O236" s="20">
        <f t="shared" si="5"/>
        <v>34.512100000000004</v>
      </c>
      <c r="P236" s="7"/>
      <c r="Q236" s="13"/>
      <c r="R236" s="14"/>
      <c r="S236" s="14"/>
      <c r="T236" s="27"/>
      <c r="U236" s="28">
        <f t="shared" si="6"/>
        <v>0.92806127574083386</v>
      </c>
    </row>
    <row r="237" spans="2:21" hidden="1" x14ac:dyDescent="0.25">
      <c r="B237" s="6" t="s">
        <v>88</v>
      </c>
      <c r="C237" s="15">
        <v>1568.24</v>
      </c>
      <c r="D237" s="16">
        <v>33.058999999999997</v>
      </c>
      <c r="E237" s="16">
        <v>37.914000000000001</v>
      </c>
      <c r="F237" s="16">
        <v>40.509</v>
      </c>
      <c r="G237" s="16">
        <v>44.41</v>
      </c>
      <c r="H237" s="16">
        <f t="shared" si="4"/>
        <v>34.597124999999998</v>
      </c>
      <c r="I237" s="5"/>
      <c r="J237" s="15">
        <v>1533.0856000000001</v>
      </c>
      <c r="K237" s="16">
        <v>34.1877</v>
      </c>
      <c r="L237" s="16">
        <v>39.567999999999998</v>
      </c>
      <c r="M237" s="16">
        <v>41.901200000000003</v>
      </c>
      <c r="N237" s="16">
        <v>81.833100000000002</v>
      </c>
      <c r="O237" s="16">
        <f t="shared" si="5"/>
        <v>35.824424999999998</v>
      </c>
      <c r="P237" s="7"/>
      <c r="Q237" s="8">
        <f>bdrate(C237:C240,D237:D240,J237:J240,K237:K240)</f>
        <v>-0.31743575546554303</v>
      </c>
      <c r="R237" s="8">
        <f>bdrate(C237:C240,E237:E240,J237:J240,L237:L240)</f>
        <v>-0.59946681061636387</v>
      </c>
      <c r="S237" s="8">
        <f>bdrate(C237:C240,F237:F240,J237:J240,M237:M240)</f>
        <v>-0.5544107553297043</v>
      </c>
      <c r="T237" s="25">
        <f>bdrate(C237:C240,H237:H240,J237:J240,O237:O240)</f>
        <v>-0.36269394183981674</v>
      </c>
      <c r="U237" s="28">
        <f t="shared" si="6"/>
        <v>0.84267282143661359</v>
      </c>
    </row>
    <row r="238" spans="2:21" hidden="1" x14ac:dyDescent="0.25">
      <c r="B238" s="9"/>
      <c r="C238" s="17">
        <v>1037.24</v>
      </c>
      <c r="D238" s="18">
        <v>31.972000000000001</v>
      </c>
      <c r="E238" s="18">
        <v>37.204000000000001</v>
      </c>
      <c r="F238" s="18">
        <v>39.945999999999998</v>
      </c>
      <c r="G238" s="18">
        <v>53.87</v>
      </c>
      <c r="H238" s="18">
        <f t="shared" si="4"/>
        <v>33.622749999999996</v>
      </c>
      <c r="I238" s="5"/>
      <c r="J238" s="17">
        <v>1016.1448</v>
      </c>
      <c r="K238" s="18">
        <v>33.094000000000001</v>
      </c>
      <c r="L238" s="18">
        <v>38.751800000000003</v>
      </c>
      <c r="M238" s="18">
        <v>41.167299999999997</v>
      </c>
      <c r="N238" s="18">
        <v>96.153800000000004</v>
      </c>
      <c r="O238" s="18">
        <f t="shared" si="5"/>
        <v>34.810387500000004</v>
      </c>
      <c r="P238" s="7"/>
      <c r="Q238" s="10"/>
      <c r="R238" s="11"/>
      <c r="S238" s="11"/>
      <c r="T238" s="26"/>
      <c r="U238" s="28">
        <f t="shared" si="6"/>
        <v>0.78492296268795259</v>
      </c>
    </row>
    <row r="239" spans="2:21" hidden="1" x14ac:dyDescent="0.25">
      <c r="B239" s="9"/>
      <c r="C239" s="17">
        <v>617.64</v>
      </c>
      <c r="D239" s="18">
        <v>30.632999999999999</v>
      </c>
      <c r="E239" s="18">
        <v>36.588999999999999</v>
      </c>
      <c r="F239" s="18">
        <v>39.350999999999999</v>
      </c>
      <c r="G239" s="18">
        <v>56.65</v>
      </c>
      <c r="H239" s="18">
        <f t="shared" si="4"/>
        <v>32.46725</v>
      </c>
      <c r="I239" s="5"/>
      <c r="J239" s="17">
        <v>595.99360000000001</v>
      </c>
      <c r="K239" s="18">
        <v>31.5745</v>
      </c>
      <c r="L239" s="18">
        <v>37.814</v>
      </c>
      <c r="M239" s="18">
        <v>40.343200000000003</v>
      </c>
      <c r="N239" s="18">
        <v>112.12860000000001</v>
      </c>
      <c r="O239" s="18">
        <f t="shared" si="5"/>
        <v>33.450524999999999</v>
      </c>
      <c r="P239" s="7"/>
      <c r="Q239" s="10"/>
      <c r="R239" s="11"/>
      <c r="S239" s="11"/>
      <c r="T239" s="26"/>
      <c r="U239" s="28">
        <f t="shared" si="6"/>
        <v>0.97932215357458086</v>
      </c>
    </row>
    <row r="240" spans="2:21" ht="16.5" hidden="1" thickBot="1" x14ac:dyDescent="0.3">
      <c r="B240" s="12"/>
      <c r="C240" s="19">
        <v>306.72000000000003</v>
      </c>
      <c r="D240" s="20">
        <v>28.803999999999998</v>
      </c>
      <c r="E240" s="20">
        <v>35.808</v>
      </c>
      <c r="F240" s="20">
        <v>38.581000000000003</v>
      </c>
      <c r="G240" s="20">
        <v>74.25</v>
      </c>
      <c r="H240" s="20">
        <f t="shared" si="4"/>
        <v>30.901624999999996</v>
      </c>
      <c r="I240" s="5"/>
      <c r="J240" s="19">
        <v>292.82400000000001</v>
      </c>
      <c r="K240" s="20">
        <v>29.459299999999999</v>
      </c>
      <c r="L240" s="20">
        <v>36.693399999999997</v>
      </c>
      <c r="M240" s="20">
        <v>39.3217</v>
      </c>
      <c r="N240" s="20">
        <v>137.36259999999999</v>
      </c>
      <c r="O240" s="20">
        <f t="shared" si="5"/>
        <v>31.596362499999998</v>
      </c>
      <c r="P240" s="7"/>
      <c r="Q240" s="13"/>
      <c r="R240" s="14"/>
      <c r="S240" s="14"/>
      <c r="T240" s="27"/>
      <c r="U240" s="28">
        <f t="shared" si="6"/>
        <v>0.85000134680134665</v>
      </c>
    </row>
    <row r="241" spans="2:21" hidden="1" x14ac:dyDescent="0.25">
      <c r="B241" s="6" t="s">
        <v>89</v>
      </c>
      <c r="C241" s="15">
        <v>1603.14</v>
      </c>
      <c r="D241" s="16">
        <v>35.957000000000001</v>
      </c>
      <c r="E241" s="16">
        <v>41.603000000000002</v>
      </c>
      <c r="F241" s="16">
        <v>41.185000000000002</v>
      </c>
      <c r="G241" s="16">
        <v>31.07</v>
      </c>
      <c r="H241" s="16">
        <f t="shared" ref="H241:H260" si="7">(6*D241+E241+F241)/8</f>
        <v>37.316250000000004</v>
      </c>
      <c r="I241" s="5"/>
      <c r="J241" s="15">
        <v>1540.7367999999999</v>
      </c>
      <c r="K241" s="16">
        <v>36.279299999999999</v>
      </c>
      <c r="L241" s="16">
        <v>41.905299999999997</v>
      </c>
      <c r="M241" s="16">
        <v>41.643000000000001</v>
      </c>
      <c r="N241" s="16">
        <v>66.086600000000004</v>
      </c>
      <c r="O241" s="16">
        <f t="shared" ref="O241:O260" si="8">(6*K241+L241+M241)/8</f>
        <v>37.653012500000003</v>
      </c>
      <c r="P241" s="7"/>
      <c r="Q241" s="8">
        <f>bdrate(C241:C244,D241:D244,J241:J244,K241:K244)</f>
        <v>-0.12408019735654385</v>
      </c>
      <c r="R241" s="8">
        <f>bdrate(C241:C244,E241:E244,J241:J244,L241:L244)</f>
        <v>-0.22995559857429437</v>
      </c>
      <c r="S241" s="8">
        <f>bdrate(C241:C244,F241:F244,J241:J244,M241:M244)</f>
        <v>-0.19862314434944361</v>
      </c>
      <c r="T241" s="25">
        <f>bdrate(C241:C244,H241:H244,J241:J244,O241:O244)</f>
        <v>-0.1450455385290943</v>
      </c>
      <c r="U241" s="28">
        <f t="shared" si="6"/>
        <v>1.1270228516253622</v>
      </c>
    </row>
    <row r="242" spans="2:21" hidden="1" x14ac:dyDescent="0.25">
      <c r="B242" s="9"/>
      <c r="C242" s="17">
        <v>1076.9000000000001</v>
      </c>
      <c r="D242" s="18">
        <v>34.777000000000001</v>
      </c>
      <c r="E242" s="18">
        <v>40.762999999999998</v>
      </c>
      <c r="F242" s="18">
        <v>40.012</v>
      </c>
      <c r="G242" s="18">
        <v>36.35</v>
      </c>
      <c r="H242" s="18">
        <f t="shared" si="7"/>
        <v>36.179625000000001</v>
      </c>
      <c r="I242" s="5"/>
      <c r="J242" s="17">
        <v>1019.0872000000001</v>
      </c>
      <c r="K242" s="18">
        <v>35.069099999999999</v>
      </c>
      <c r="L242" s="18">
        <v>41.1464</v>
      </c>
      <c r="M242" s="18">
        <v>40.5124</v>
      </c>
      <c r="N242" s="18">
        <v>80.128200000000007</v>
      </c>
      <c r="O242" s="18">
        <f t="shared" si="8"/>
        <v>36.509174999999999</v>
      </c>
      <c r="P242" s="7"/>
      <c r="Q242" s="10"/>
      <c r="R242" s="11"/>
      <c r="S242" s="11"/>
      <c r="T242" s="26"/>
      <c r="U242" s="28">
        <f t="shared" si="6"/>
        <v>1.2043521320495187</v>
      </c>
    </row>
    <row r="243" spans="2:21" hidden="1" x14ac:dyDescent="0.25">
      <c r="B243" s="9"/>
      <c r="C243" s="17">
        <v>647.14</v>
      </c>
      <c r="D243" s="18">
        <v>33.220999999999997</v>
      </c>
      <c r="E243" s="18">
        <v>39.585000000000001</v>
      </c>
      <c r="F243" s="18">
        <v>38.558</v>
      </c>
      <c r="G243" s="18">
        <v>44.93</v>
      </c>
      <c r="H243" s="18">
        <f t="shared" si="7"/>
        <v>34.683624999999999</v>
      </c>
      <c r="I243" s="5"/>
      <c r="J243" s="17">
        <v>604.71280000000002</v>
      </c>
      <c r="K243" s="18">
        <v>33.407499999999999</v>
      </c>
      <c r="L243" s="18">
        <v>40.057299999999998</v>
      </c>
      <c r="M243" s="18">
        <v>38.973500000000001</v>
      </c>
      <c r="N243" s="18">
        <v>98.879400000000004</v>
      </c>
      <c r="O243" s="18">
        <f t="shared" si="8"/>
        <v>34.934474999999999</v>
      </c>
      <c r="P243" s="7"/>
      <c r="Q243" s="10"/>
      <c r="R243" s="11"/>
      <c r="S243" s="11"/>
      <c r="T243" s="26"/>
      <c r="U243" s="28">
        <f t="shared" si="6"/>
        <v>1.2007433785889161</v>
      </c>
    </row>
    <row r="244" spans="2:21" ht="16.5" hidden="1" thickBot="1" x14ac:dyDescent="0.3">
      <c r="B244" s="12"/>
      <c r="C244" s="19">
        <v>322.17</v>
      </c>
      <c r="D244" s="20">
        <v>31.015999999999998</v>
      </c>
      <c r="E244" s="20">
        <v>37.668999999999997</v>
      </c>
      <c r="F244" s="20">
        <v>36.07</v>
      </c>
      <c r="G244" s="20">
        <v>56.65</v>
      </c>
      <c r="H244" s="20">
        <f t="shared" si="7"/>
        <v>32.479374999999997</v>
      </c>
      <c r="I244" s="5"/>
      <c r="J244" s="19">
        <v>304.33679999999998</v>
      </c>
      <c r="K244" s="20">
        <v>31.186</v>
      </c>
      <c r="L244" s="20">
        <v>38.352200000000003</v>
      </c>
      <c r="M244" s="20">
        <v>36.859499999999997</v>
      </c>
      <c r="N244" s="20">
        <v>129.9264</v>
      </c>
      <c r="O244" s="20">
        <f t="shared" si="8"/>
        <v>32.790962499999999</v>
      </c>
      <c r="P244" s="7"/>
      <c r="Q244" s="13"/>
      <c r="R244" s="14"/>
      <c r="S244" s="14"/>
      <c r="T244" s="27"/>
      <c r="U244" s="28">
        <f t="shared" si="6"/>
        <v>1.2934933804060018</v>
      </c>
    </row>
    <row r="245" spans="2:21" hidden="1" x14ac:dyDescent="0.25">
      <c r="B245" s="6" t="s">
        <v>90</v>
      </c>
      <c r="C245" s="29">
        <v>1550.95</v>
      </c>
      <c r="D245" s="30">
        <v>45.706000000000003</v>
      </c>
      <c r="E245" s="30">
        <v>50.981000000000002</v>
      </c>
      <c r="F245" s="30">
        <v>51.12</v>
      </c>
      <c r="G245" s="16">
        <v>36.32</v>
      </c>
      <c r="H245" s="16">
        <f t="shared" si="7"/>
        <v>47.042124999999999</v>
      </c>
      <c r="I245" s="5"/>
      <c r="J245" s="29">
        <v>1500.5119999999999</v>
      </c>
      <c r="K245" s="30">
        <v>46.935499999999998</v>
      </c>
      <c r="L245" s="30">
        <v>51.6858</v>
      </c>
      <c r="M245" s="30">
        <v>51.8628</v>
      </c>
      <c r="N245" s="16">
        <v>54.560600000000001</v>
      </c>
      <c r="O245" s="16">
        <f t="shared" si="8"/>
        <v>48.145200000000003</v>
      </c>
      <c r="P245" s="7"/>
      <c r="Q245" s="8">
        <f>bdrate(C245:C248,D245:D248,J245:J248,K245:K248)</f>
        <v>-0.39309275810678479</v>
      </c>
      <c r="R245" s="8">
        <f>bdrate(C245:C248,E245:E248,J245:J248,L245:L248)</f>
        <v>-0.36717134710230737</v>
      </c>
      <c r="S245" s="8">
        <f>bdrate(C245:C248,F245:F248,J245:J248,M245:M248)</f>
        <v>-0.37428274483244517</v>
      </c>
      <c r="T245" s="25">
        <f>bdrate(C245:C248,H245:H248,J245:J248,O245:O248)</f>
        <v>-0.38917858186991827</v>
      </c>
      <c r="U245" s="28">
        <f t="shared" si="6"/>
        <v>0.50221916299559477</v>
      </c>
    </row>
    <row r="246" spans="2:21" hidden="1" x14ac:dyDescent="0.25">
      <c r="B246" s="9"/>
      <c r="C246" s="31">
        <v>1026.44</v>
      </c>
      <c r="D246" s="32">
        <v>44.35</v>
      </c>
      <c r="E246" s="32">
        <v>50.165999999999997</v>
      </c>
      <c r="F246" s="32">
        <v>50.219000000000001</v>
      </c>
      <c r="G246" s="18">
        <v>39.71</v>
      </c>
      <c r="H246" s="18">
        <f t="shared" si="7"/>
        <v>45.810625000000002</v>
      </c>
      <c r="I246" s="5"/>
      <c r="J246" s="31">
        <v>1000.5898999999999</v>
      </c>
      <c r="K246" s="32">
        <v>45.868699999999997</v>
      </c>
      <c r="L246" s="32">
        <v>50.994</v>
      </c>
      <c r="M246" s="32">
        <v>51.139400000000002</v>
      </c>
      <c r="N246" s="18">
        <v>68.423599999999993</v>
      </c>
      <c r="O246" s="18">
        <f t="shared" si="8"/>
        <v>47.168199999999999</v>
      </c>
      <c r="P246" s="7"/>
      <c r="Q246" s="10"/>
      <c r="R246" s="11"/>
      <c r="S246" s="11"/>
      <c r="T246" s="26"/>
      <c r="U246" s="28">
        <f t="shared" si="6"/>
        <v>0.72308234701586482</v>
      </c>
    </row>
    <row r="247" spans="2:21" hidden="1" x14ac:dyDescent="0.25">
      <c r="B247" s="9"/>
      <c r="C247" s="31">
        <v>609.70000000000005</v>
      </c>
      <c r="D247" s="32">
        <v>42.524000000000001</v>
      </c>
      <c r="E247" s="32">
        <v>48.981000000000002</v>
      </c>
      <c r="F247" s="32">
        <v>48.93</v>
      </c>
      <c r="G247" s="18">
        <v>51.55</v>
      </c>
      <c r="H247" s="18">
        <f t="shared" si="7"/>
        <v>44.131875000000001</v>
      </c>
      <c r="I247" s="5"/>
      <c r="J247" s="31">
        <v>595.76649999999995</v>
      </c>
      <c r="K247" s="32">
        <v>44.239600000000003</v>
      </c>
      <c r="L247" s="32">
        <v>49.974200000000003</v>
      </c>
      <c r="M247" s="32">
        <v>50.043500000000002</v>
      </c>
      <c r="N247" s="18">
        <v>84.904499999999999</v>
      </c>
      <c r="O247" s="18">
        <f t="shared" si="8"/>
        <v>45.681912500000003</v>
      </c>
      <c r="P247" s="7"/>
      <c r="Q247" s="10"/>
      <c r="R247" s="11"/>
      <c r="S247" s="11"/>
      <c r="T247" s="26"/>
      <c r="U247" s="28">
        <f t="shared" si="6"/>
        <v>0.64703200775945691</v>
      </c>
    </row>
    <row r="248" spans="2:21" ht="16.5" hidden="1" thickBot="1" x14ac:dyDescent="0.3">
      <c r="B248" s="12"/>
      <c r="C248" s="33">
        <v>298.36</v>
      </c>
      <c r="D248" s="34">
        <v>39.798999999999999</v>
      </c>
      <c r="E248" s="34">
        <v>47.103000000000002</v>
      </c>
      <c r="F248" s="34">
        <v>46.920999999999999</v>
      </c>
      <c r="G248" s="20">
        <v>58.65</v>
      </c>
      <c r="H248" s="20">
        <f t="shared" si="7"/>
        <v>41.602249999999998</v>
      </c>
      <c r="I248" s="5"/>
      <c r="J248" s="33">
        <v>291.3775</v>
      </c>
      <c r="K248" s="34">
        <v>41.506700000000002</v>
      </c>
      <c r="L248" s="34">
        <v>48.294600000000003</v>
      </c>
      <c r="M248" s="34">
        <v>48.200699999999998</v>
      </c>
      <c r="N248" s="20">
        <v>109.4486</v>
      </c>
      <c r="O248" s="20">
        <f t="shared" si="8"/>
        <v>43.191937500000002</v>
      </c>
      <c r="P248" s="7"/>
      <c r="Q248" s="13"/>
      <c r="R248" s="14"/>
      <c r="S248" s="14"/>
      <c r="T248" s="27"/>
      <c r="U248" s="28">
        <f t="shared" si="6"/>
        <v>0.86613128729752775</v>
      </c>
    </row>
    <row r="249" spans="2:21" hidden="1" x14ac:dyDescent="0.25">
      <c r="B249" s="6" t="s">
        <v>91</v>
      </c>
      <c r="C249" s="15">
        <v>2341.12</v>
      </c>
      <c r="D249" s="16">
        <v>42.5</v>
      </c>
      <c r="E249" s="16">
        <v>46.746000000000002</v>
      </c>
      <c r="F249" s="16">
        <v>48.545000000000002</v>
      </c>
      <c r="G249" s="16">
        <v>12.94</v>
      </c>
      <c r="H249" s="16">
        <f t="shared" si="7"/>
        <v>43.786375</v>
      </c>
      <c r="I249" s="5"/>
      <c r="J249" s="15">
        <v>2414.8155999999999</v>
      </c>
      <c r="K249" s="16">
        <v>43.423299999999998</v>
      </c>
      <c r="L249" s="16">
        <v>47.507399999999997</v>
      </c>
      <c r="M249" s="16">
        <v>49.5413</v>
      </c>
      <c r="N249" s="16">
        <v>25.094000000000001</v>
      </c>
      <c r="O249" s="16">
        <f t="shared" si="8"/>
        <v>44.698562500000001</v>
      </c>
      <c r="P249" s="7"/>
      <c r="Q249" s="8">
        <f>bdrate(C249:C252,D249:D252,J249:J252,K249:K252)</f>
        <v>-0.1762907247805926</v>
      </c>
      <c r="R249" s="8">
        <f>bdrate(C249:C252,E249:E252,J249:J252,L249:L252)</f>
        <v>-0.2814262862379171</v>
      </c>
      <c r="S249" s="8">
        <f>bdrate(C249:C252,F249:F252,J249:J252,M249:M252)</f>
        <v>-0.28765563741015676</v>
      </c>
      <c r="T249" s="25">
        <f>bdrate(C249:C252,H249:H252,J249:J252,O249:O252)</f>
        <v>-0.19895420490971205</v>
      </c>
      <c r="U249" s="28">
        <f t="shared" si="6"/>
        <v>0.93925811437403417</v>
      </c>
    </row>
    <row r="250" spans="2:21" hidden="1" x14ac:dyDescent="0.25">
      <c r="B250" s="9"/>
      <c r="C250" s="17">
        <v>1565.57</v>
      </c>
      <c r="D250" s="18">
        <v>41.026000000000003</v>
      </c>
      <c r="E250" s="18">
        <v>45.387999999999998</v>
      </c>
      <c r="F250" s="18">
        <v>47.468000000000004</v>
      </c>
      <c r="G250" s="18">
        <v>15.09</v>
      </c>
      <c r="H250" s="18">
        <f t="shared" si="7"/>
        <v>42.3765</v>
      </c>
      <c r="I250" s="5"/>
      <c r="J250" s="17">
        <v>1601.0987</v>
      </c>
      <c r="K250" s="18">
        <v>41.864100000000001</v>
      </c>
      <c r="L250" s="18">
        <v>46.418500000000002</v>
      </c>
      <c r="M250" s="18">
        <v>48.459099999999999</v>
      </c>
      <c r="N250" s="18">
        <v>29.047699999999999</v>
      </c>
      <c r="O250" s="18">
        <f t="shared" si="8"/>
        <v>43.257774999999995</v>
      </c>
      <c r="P250" s="7"/>
      <c r="Q250" s="10"/>
      <c r="R250" s="11"/>
      <c r="S250" s="11"/>
      <c r="T250" s="26"/>
      <c r="U250" s="28">
        <f t="shared" si="6"/>
        <v>0.92496355202120606</v>
      </c>
    </row>
    <row r="251" spans="2:21" hidden="1" x14ac:dyDescent="0.25">
      <c r="B251" s="9"/>
      <c r="C251" s="17">
        <v>980.75</v>
      </c>
      <c r="D251" s="18">
        <v>39.18</v>
      </c>
      <c r="E251" s="18">
        <v>44.06</v>
      </c>
      <c r="F251" s="18">
        <v>46.109000000000002</v>
      </c>
      <c r="G251" s="18">
        <v>17.55</v>
      </c>
      <c r="H251" s="18">
        <f t="shared" si="7"/>
        <v>40.656124999999996</v>
      </c>
      <c r="I251" s="5"/>
      <c r="J251" s="17">
        <v>993.36239999999998</v>
      </c>
      <c r="K251" s="18">
        <v>39.997599999999998</v>
      </c>
      <c r="L251" s="18">
        <v>45.092199999999998</v>
      </c>
      <c r="M251" s="18">
        <v>47.176299999999998</v>
      </c>
      <c r="N251" s="18">
        <v>36.124299999999998</v>
      </c>
      <c r="O251" s="18">
        <f t="shared" si="8"/>
        <v>41.531762499999999</v>
      </c>
      <c r="P251" s="7"/>
      <c r="Q251" s="10"/>
      <c r="R251" s="11"/>
      <c r="S251" s="11"/>
      <c r="T251" s="26"/>
      <c r="U251" s="28">
        <f t="shared" si="6"/>
        <v>1.0583646723646722</v>
      </c>
    </row>
    <row r="252" spans="2:21" ht="16.5" hidden="1" thickBot="1" x14ac:dyDescent="0.3">
      <c r="B252" s="12"/>
      <c r="C252" s="19">
        <v>588.74</v>
      </c>
      <c r="D252" s="20">
        <v>37.243000000000002</v>
      </c>
      <c r="E252" s="20">
        <v>42.692999999999998</v>
      </c>
      <c r="F252" s="20">
        <v>44.523000000000003</v>
      </c>
      <c r="G252" s="20">
        <v>20.45</v>
      </c>
      <c r="H252" s="20">
        <f t="shared" si="7"/>
        <v>38.834250000000004</v>
      </c>
      <c r="I252" s="5"/>
      <c r="J252" s="19">
        <v>594.16369999999995</v>
      </c>
      <c r="K252" s="20">
        <v>37.934699999999999</v>
      </c>
      <c r="L252" s="20">
        <v>43.546100000000003</v>
      </c>
      <c r="M252" s="20">
        <v>45.491199999999999</v>
      </c>
      <c r="N252" s="20">
        <v>43.386600000000001</v>
      </c>
      <c r="O252" s="20">
        <f t="shared" si="8"/>
        <v>39.580687500000003</v>
      </c>
      <c r="P252" s="7"/>
      <c r="Q252" s="13"/>
      <c r="R252" s="14"/>
      <c r="S252" s="14"/>
      <c r="T252" s="27"/>
      <c r="U252" s="28">
        <f t="shared" si="6"/>
        <v>1.1215941320293399</v>
      </c>
    </row>
    <row r="253" spans="2:21" hidden="1" x14ac:dyDescent="0.25">
      <c r="B253" s="6" t="s">
        <v>92</v>
      </c>
      <c r="C253" s="15">
        <v>2289.2600000000002</v>
      </c>
      <c r="D253" s="16">
        <v>39.076999999999998</v>
      </c>
      <c r="E253" s="16">
        <v>41.283999999999999</v>
      </c>
      <c r="F253" s="16">
        <v>42.917000000000002</v>
      </c>
      <c r="G253" s="16">
        <v>14.89</v>
      </c>
      <c r="H253" s="16">
        <f t="shared" si="7"/>
        <v>39.832875000000001</v>
      </c>
      <c r="I253" s="5"/>
      <c r="J253" s="15">
        <v>2381.6750999999999</v>
      </c>
      <c r="K253" s="16">
        <v>39.790999999999997</v>
      </c>
      <c r="L253" s="16">
        <v>41.859000000000002</v>
      </c>
      <c r="M253" s="16">
        <v>43.46</v>
      </c>
      <c r="N253" s="16">
        <v>29.0639</v>
      </c>
      <c r="O253" s="16">
        <f t="shared" si="8"/>
        <v>40.508124999999993</v>
      </c>
      <c r="P253" s="7"/>
      <c r="Q253" s="8">
        <f>bdrate(C253:C256,D253:D256,J253:J256,K253:K256)</f>
        <v>-0.42403899168504899</v>
      </c>
      <c r="R253" s="8">
        <f>bdrate(C253:C256,E253:E256,J253:J256,L253:L256)</f>
        <v>-0.53294000864806568</v>
      </c>
      <c r="S253" s="8">
        <f>bdrate(C253:C256,F253:F256,J253:J256,M253:M256)</f>
        <v>-0.51896434342510434</v>
      </c>
      <c r="T253" s="25">
        <f>bdrate(C253:C256,H253:H256,J253:J256,O253:O256)</f>
        <v>-0.43955927389496297</v>
      </c>
      <c r="U253" s="28">
        <f t="shared" si="6"/>
        <v>0.95190732034922765</v>
      </c>
    </row>
    <row r="254" spans="2:21" hidden="1" x14ac:dyDescent="0.25">
      <c r="B254" s="9"/>
      <c r="C254" s="17">
        <v>1525.76</v>
      </c>
      <c r="D254" s="18">
        <v>38.393000000000001</v>
      </c>
      <c r="E254" s="18">
        <v>40.960999999999999</v>
      </c>
      <c r="F254" s="18">
        <v>42.597000000000001</v>
      </c>
      <c r="G254" s="18">
        <v>18.61</v>
      </c>
      <c r="H254" s="18">
        <f t="shared" si="7"/>
        <v>39.2395</v>
      </c>
      <c r="I254" s="5"/>
      <c r="J254" s="17">
        <v>1541.4197999999999</v>
      </c>
      <c r="K254" s="18">
        <v>39.241599999999998</v>
      </c>
      <c r="L254" s="18">
        <v>41.547400000000003</v>
      </c>
      <c r="M254" s="18">
        <v>43.163800000000002</v>
      </c>
      <c r="N254" s="18">
        <v>35.722200000000001</v>
      </c>
      <c r="O254" s="18">
        <f t="shared" si="8"/>
        <v>40.020099999999992</v>
      </c>
      <c r="P254" s="7"/>
      <c r="Q254" s="10"/>
      <c r="R254" s="11"/>
      <c r="S254" s="11"/>
      <c r="T254" s="26"/>
      <c r="U254" s="28">
        <f t="shared" si="6"/>
        <v>0.91951638903815158</v>
      </c>
    </row>
    <row r="255" spans="2:21" hidden="1" x14ac:dyDescent="0.25">
      <c r="B255" s="9"/>
      <c r="C255" s="17">
        <v>954.88</v>
      </c>
      <c r="D255" s="18">
        <v>37.572000000000003</v>
      </c>
      <c r="E255" s="18">
        <v>40.573999999999998</v>
      </c>
      <c r="F255" s="18">
        <v>42.195</v>
      </c>
      <c r="G255" s="18">
        <v>20.56</v>
      </c>
      <c r="H255" s="18">
        <f t="shared" si="7"/>
        <v>38.525125000000003</v>
      </c>
      <c r="I255" s="5"/>
      <c r="J255" s="17">
        <v>940.64290000000005</v>
      </c>
      <c r="K255" s="18">
        <v>38.508400000000002</v>
      </c>
      <c r="L255" s="18">
        <v>41.179900000000004</v>
      </c>
      <c r="M255" s="18">
        <v>42.808399999999999</v>
      </c>
      <c r="N255" s="18">
        <v>42.49</v>
      </c>
      <c r="O255" s="18">
        <f t="shared" si="8"/>
        <v>39.379837500000008</v>
      </c>
      <c r="P255" s="7"/>
      <c r="Q255" s="10"/>
      <c r="R255" s="11"/>
      <c r="S255" s="11"/>
      <c r="T255" s="26"/>
      <c r="U255" s="28">
        <f t="shared" si="6"/>
        <v>1.0666342412451364</v>
      </c>
    </row>
    <row r="256" spans="2:21" ht="16.5" hidden="1" thickBot="1" x14ac:dyDescent="0.3">
      <c r="B256" s="12"/>
      <c r="C256" s="19">
        <v>579.47</v>
      </c>
      <c r="D256" s="20">
        <v>36.585000000000001</v>
      </c>
      <c r="E256" s="20">
        <v>40.139000000000003</v>
      </c>
      <c r="F256" s="20">
        <v>41.664999999999999</v>
      </c>
      <c r="G256" s="20">
        <v>24.81</v>
      </c>
      <c r="H256" s="20">
        <f t="shared" si="7"/>
        <v>37.664250000000003</v>
      </c>
      <c r="I256" s="5"/>
      <c r="J256" s="19">
        <v>541.2287</v>
      </c>
      <c r="K256" s="20">
        <v>37.567799999999998</v>
      </c>
      <c r="L256" s="20">
        <v>40.7395</v>
      </c>
      <c r="M256" s="20">
        <v>42.309899999999999</v>
      </c>
      <c r="N256" s="20">
        <v>50.395800000000001</v>
      </c>
      <c r="O256" s="20">
        <f t="shared" si="8"/>
        <v>38.557024999999996</v>
      </c>
      <c r="P256" s="7"/>
      <c r="Q256" s="13"/>
      <c r="R256" s="14"/>
      <c r="S256" s="14"/>
      <c r="T256" s="27"/>
      <c r="U256" s="28">
        <f t="shared" si="6"/>
        <v>1.0312696493349458</v>
      </c>
    </row>
    <row r="257" spans="1:21" hidden="1" x14ac:dyDescent="0.25">
      <c r="B257" s="6" t="s">
        <v>93</v>
      </c>
      <c r="C257" s="15">
        <v>2324.1799999999998</v>
      </c>
      <c r="D257" s="16">
        <v>33.777999999999999</v>
      </c>
      <c r="E257" s="16">
        <v>38.488</v>
      </c>
      <c r="F257" s="16">
        <v>39.932000000000002</v>
      </c>
      <c r="G257" s="16">
        <v>19.28</v>
      </c>
      <c r="H257" s="16">
        <f t="shared" si="7"/>
        <v>35.136000000000003</v>
      </c>
      <c r="I257" s="5"/>
      <c r="J257" s="15">
        <v>2406.1134000000002</v>
      </c>
      <c r="K257" s="16">
        <v>35.843400000000003</v>
      </c>
      <c r="L257" s="16">
        <v>40.469799999999999</v>
      </c>
      <c r="M257" s="16">
        <v>41.534199999999998</v>
      </c>
      <c r="N257" s="16">
        <v>31.0594</v>
      </c>
      <c r="O257" s="16">
        <f t="shared" si="8"/>
        <v>37.133049999999997</v>
      </c>
      <c r="P257" s="7"/>
      <c r="Q257" s="8">
        <f>bdrate(C257:C260,D257:D260,J257:J260,K257:K260)</f>
        <v>-0.43293178460558279</v>
      </c>
      <c r="R257" s="8">
        <f>bdrate(C257:C260,E257:E260,J257:J260,L257:L260)</f>
        <v>-0.54021628893702833</v>
      </c>
      <c r="S257" s="8">
        <f>bdrate(C257:C260,F257:F260,J257:J260,M257:M260)</f>
        <v>-0.45977396090927958</v>
      </c>
      <c r="T257" s="25">
        <f>bdrate(C257:C260,H257:H260,J257:J260,O257:O260)</f>
        <v>-0.44715490301792904</v>
      </c>
      <c r="U257" s="28">
        <f t="shared" si="6"/>
        <v>0.61096473029045639</v>
      </c>
    </row>
    <row r="258" spans="1:21" hidden="1" x14ac:dyDescent="0.25">
      <c r="B258" s="9"/>
      <c r="C258" s="17">
        <v>1551.21</v>
      </c>
      <c r="D258" s="18">
        <v>32.347000000000001</v>
      </c>
      <c r="E258" s="18">
        <v>37.402999999999999</v>
      </c>
      <c r="F258" s="18">
        <v>38.917000000000002</v>
      </c>
      <c r="G258" s="18">
        <v>20.92</v>
      </c>
      <c r="H258" s="18">
        <f t="shared" si="7"/>
        <v>33.800249999999998</v>
      </c>
      <c r="I258" s="5"/>
      <c r="J258" s="17">
        <v>1605.2895000000001</v>
      </c>
      <c r="K258" s="18">
        <v>34.408700000000003</v>
      </c>
      <c r="L258" s="18">
        <v>39.392899999999997</v>
      </c>
      <c r="M258" s="18">
        <v>40.4754</v>
      </c>
      <c r="N258" s="18">
        <v>37.749200000000002</v>
      </c>
      <c r="O258" s="18">
        <f t="shared" si="8"/>
        <v>35.790062499999998</v>
      </c>
      <c r="P258" s="7"/>
      <c r="Q258" s="10"/>
      <c r="R258" s="11"/>
      <c r="S258" s="11"/>
      <c r="T258" s="26"/>
      <c r="U258" s="28">
        <f t="shared" si="6"/>
        <v>0.80445506692160607</v>
      </c>
    </row>
    <row r="259" spans="1:21" hidden="1" x14ac:dyDescent="0.25">
      <c r="B259" s="9"/>
      <c r="C259" s="17">
        <v>973.49</v>
      </c>
      <c r="D259" s="18">
        <v>30.823</v>
      </c>
      <c r="E259" s="18">
        <v>36.261000000000003</v>
      </c>
      <c r="F259" s="18">
        <v>37.802999999999997</v>
      </c>
      <c r="G259" s="18">
        <v>23.37</v>
      </c>
      <c r="H259" s="18">
        <f t="shared" si="7"/>
        <v>32.375249999999994</v>
      </c>
      <c r="I259" s="5"/>
      <c r="J259" s="17">
        <v>1001.9719</v>
      </c>
      <c r="K259" s="18">
        <v>32.783900000000003</v>
      </c>
      <c r="L259" s="18">
        <v>38.2483</v>
      </c>
      <c r="M259" s="18">
        <v>39.349800000000002</v>
      </c>
      <c r="N259" s="18">
        <v>45.036900000000003</v>
      </c>
      <c r="O259" s="18">
        <f t="shared" si="8"/>
        <v>34.287687500000004</v>
      </c>
      <c r="P259" s="7"/>
      <c r="Q259" s="10"/>
      <c r="R259" s="11"/>
      <c r="S259" s="11"/>
      <c r="T259" s="26"/>
      <c r="U259" s="28">
        <f t="shared" si="6"/>
        <v>0.92712451861360723</v>
      </c>
    </row>
    <row r="260" spans="1:21" ht="16.5" hidden="1" thickBot="1" x14ac:dyDescent="0.3">
      <c r="B260" s="12"/>
      <c r="C260" s="19">
        <v>583.85</v>
      </c>
      <c r="D260" s="20">
        <v>29.341000000000001</v>
      </c>
      <c r="E260" s="20">
        <v>35.15</v>
      </c>
      <c r="F260" s="20">
        <v>36.69</v>
      </c>
      <c r="G260" s="20">
        <v>25.93</v>
      </c>
      <c r="H260" s="20">
        <f t="shared" si="7"/>
        <v>30.985749999999999</v>
      </c>
      <c r="I260" s="5"/>
      <c r="J260" s="19">
        <v>594.12689999999998</v>
      </c>
      <c r="K260" s="20">
        <v>31.091899999999999</v>
      </c>
      <c r="L260" s="20">
        <v>37.009099999999997</v>
      </c>
      <c r="M260" s="20">
        <v>38.113599999999998</v>
      </c>
      <c r="N260" s="20">
        <v>53.674500000000002</v>
      </c>
      <c r="O260" s="20">
        <f t="shared" si="8"/>
        <v>32.709262500000001</v>
      </c>
      <c r="P260" s="7"/>
      <c r="Q260" s="13"/>
      <c r="R260" s="14"/>
      <c r="S260" s="14"/>
      <c r="T260" s="27"/>
      <c r="U260" s="28">
        <f t="shared" si="6"/>
        <v>1.0699768607790205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>AVERAGE(Q9:Q80)</f>
        <v>-0.31913670098043284</v>
      </c>
      <c r="R261" s="21">
        <f t="shared" ref="R261:T261" si="9">AVERAGE(R9:R80)</f>
        <v>-0.46006851574404933</v>
      </c>
      <c r="S261" s="21">
        <f t="shared" si="9"/>
        <v>-0.44302107821926384</v>
      </c>
      <c r="T261" s="21">
        <f t="shared" si="9"/>
        <v>-0.34337275623675617</v>
      </c>
      <c r="U261" s="21">
        <f>AVERAGE(U9:U80)</f>
        <v>0.71816696767539956</v>
      </c>
    </row>
    <row r="263" spans="1:21" s="35" customFormat="1" ht="15.75" customHeight="1" x14ac:dyDescent="0.25">
      <c r="B263" s="68" t="s">
        <v>29</v>
      </c>
      <c r="C263" s="73" t="s">
        <v>165</v>
      </c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5"/>
    </row>
    <row r="264" spans="1:21" s="35" customFormat="1" x14ac:dyDescent="0.25">
      <c r="B264" s="69"/>
      <c r="C264" s="76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8"/>
    </row>
    <row r="265" spans="1:21" ht="16.5" customHeight="1" thickBot="1" x14ac:dyDescent="0.3">
      <c r="C265" s="70" t="s">
        <v>131</v>
      </c>
      <c r="D265" s="71"/>
      <c r="E265" s="71"/>
      <c r="F265" s="71"/>
      <c r="G265" s="71"/>
      <c r="H265" s="71"/>
      <c r="I265" s="5"/>
      <c r="J265" s="70" t="s">
        <v>137</v>
      </c>
      <c r="K265" s="71"/>
      <c r="L265" s="71"/>
      <c r="M265" s="71"/>
      <c r="N265" s="71"/>
      <c r="O265" s="71"/>
      <c r="Q265" s="70" t="s">
        <v>7</v>
      </c>
      <c r="R265" s="71"/>
      <c r="S265" s="72"/>
      <c r="T265" s="36"/>
      <c r="U265" s="79" t="s">
        <v>45</v>
      </c>
    </row>
    <row r="266" spans="1:21" ht="16.5" thickBot="1" x14ac:dyDescent="0.3">
      <c r="C266" s="2" t="s">
        <v>64</v>
      </c>
      <c r="D266" s="3" t="s">
        <v>30</v>
      </c>
      <c r="E266" s="3" t="s">
        <v>31</v>
      </c>
      <c r="F266" s="3" t="s">
        <v>32</v>
      </c>
      <c r="G266" s="3" t="s">
        <v>33</v>
      </c>
      <c r="H266" s="3" t="s">
        <v>34</v>
      </c>
      <c r="I266" s="1"/>
      <c r="J266" s="2" t="s">
        <v>64</v>
      </c>
      <c r="K266" s="3" t="s">
        <v>30</v>
      </c>
      <c r="L266" s="3" t="s">
        <v>31</v>
      </c>
      <c r="M266" s="3" t="s">
        <v>32</v>
      </c>
      <c r="N266" s="3" t="s">
        <v>33</v>
      </c>
      <c r="O266" s="3" t="s">
        <v>34</v>
      </c>
      <c r="Q266" s="2" t="s">
        <v>4</v>
      </c>
      <c r="R266" s="3" t="s">
        <v>5</v>
      </c>
      <c r="S266" s="4" t="s">
        <v>6</v>
      </c>
      <c r="T266" s="24" t="s">
        <v>21</v>
      </c>
      <c r="U266" s="79"/>
    </row>
    <row r="267" spans="1:21" x14ac:dyDescent="0.25">
      <c r="A267" s="6" t="s">
        <v>35</v>
      </c>
      <c r="B267" s="6" t="s">
        <v>46</v>
      </c>
      <c r="C267" s="15">
        <v>3747.38</v>
      </c>
      <c r="D267" s="16">
        <v>35.975000000000001</v>
      </c>
      <c r="E267" s="16">
        <v>37.896999999999998</v>
      </c>
      <c r="F267" s="16">
        <v>40.194000000000003</v>
      </c>
      <c r="G267" s="16">
        <v>30.33</v>
      </c>
      <c r="H267" s="16">
        <f t="shared" ref="H267:H338" si="10">(6*D267+E267+F267)/8</f>
        <v>36.742625000000004</v>
      </c>
      <c r="I267" s="5"/>
      <c r="J267" s="15">
        <v>4052.8703999999998</v>
      </c>
      <c r="K267" s="16">
        <v>37.804099999999998</v>
      </c>
      <c r="L267" s="16">
        <v>39.499899999999997</v>
      </c>
      <c r="M267" s="16">
        <v>42.012</v>
      </c>
      <c r="N267" s="16">
        <v>34.706200000000003</v>
      </c>
      <c r="O267" s="16">
        <f t="shared" ref="O267:O338" si="11">(6*K267+L267+M267)/8</f>
        <v>38.542062499999993</v>
      </c>
      <c r="P267" s="7"/>
      <c r="Q267" s="8">
        <f>bdrate(C267:C270,D267:D270,J267:J270,K267:K270)</f>
        <v>-0.35434075023168055</v>
      </c>
      <c r="R267" s="8">
        <f>bdrate(C267:C270,E267:E270,J267:J270,L267:L270)</f>
        <v>-0.58097305812097144</v>
      </c>
      <c r="S267" s="8">
        <f>bdrate(C267:C270,F267:F270,J267:J270,M267:M270)</f>
        <v>-0.56067805289856598</v>
      </c>
      <c r="T267" s="25">
        <f>bdrate(C267:C270,H267:H270,J267:J270,O267:O270)</f>
        <v>-0.39082547024332004</v>
      </c>
      <c r="U267" s="28">
        <f t="shared" ref="U267:U330" si="12">(N267-G267)/G267</f>
        <v>0.14428618529508752</v>
      </c>
    </row>
    <row r="268" spans="1:21" x14ac:dyDescent="0.25">
      <c r="A268" s="9" t="s">
        <v>36</v>
      </c>
      <c r="B268" s="9"/>
      <c r="C268" s="17">
        <v>2800.33</v>
      </c>
      <c r="D268" s="18">
        <v>34.927999999999997</v>
      </c>
      <c r="E268" s="18">
        <v>37.302999999999997</v>
      </c>
      <c r="F268" s="18">
        <v>39.61</v>
      </c>
      <c r="G268" s="18">
        <v>33.159999999999997</v>
      </c>
      <c r="H268" s="18">
        <f t="shared" si="10"/>
        <v>35.810124999999999</v>
      </c>
      <c r="I268" s="5"/>
      <c r="J268" s="17">
        <v>2900.576</v>
      </c>
      <c r="K268" s="18">
        <v>36.742899999999999</v>
      </c>
      <c r="L268" s="18">
        <v>38.905900000000003</v>
      </c>
      <c r="M268" s="18">
        <v>41.269399999999997</v>
      </c>
      <c r="N268" s="18">
        <v>54.624899999999997</v>
      </c>
      <c r="O268" s="18">
        <f t="shared" si="11"/>
        <v>37.5790875</v>
      </c>
      <c r="P268" s="7"/>
      <c r="Q268" s="10"/>
      <c r="R268" s="11"/>
      <c r="S268" s="11"/>
      <c r="T268" s="26"/>
      <c r="U268" s="28">
        <f t="shared" si="12"/>
        <v>0.64731302774427024</v>
      </c>
    </row>
    <row r="269" spans="1:21" x14ac:dyDescent="0.25">
      <c r="B269" s="9"/>
      <c r="C269" s="17">
        <v>1813.02</v>
      </c>
      <c r="D269" s="18">
        <v>33.350999999999999</v>
      </c>
      <c r="E269" s="18">
        <v>36.496000000000002</v>
      </c>
      <c r="F269" s="18">
        <v>38.834000000000003</v>
      </c>
      <c r="G269" s="18">
        <v>35.1</v>
      </c>
      <c r="H269" s="18">
        <f t="shared" si="10"/>
        <v>34.429500000000004</v>
      </c>
      <c r="I269" s="5"/>
      <c r="J269" s="17">
        <v>1922.2560000000001</v>
      </c>
      <c r="K269" s="18">
        <v>35.195999999999998</v>
      </c>
      <c r="L269" s="18">
        <v>38.202100000000002</v>
      </c>
      <c r="M269" s="18">
        <v>40.490600000000001</v>
      </c>
      <c r="N269" s="18">
        <v>60.606099999999998</v>
      </c>
      <c r="O269" s="18">
        <f t="shared" si="11"/>
        <v>36.233587499999999</v>
      </c>
      <c r="P269" s="7"/>
      <c r="Q269" s="10"/>
      <c r="R269" s="11"/>
      <c r="S269" s="11"/>
      <c r="T269" s="26"/>
      <c r="U269" s="28">
        <f t="shared" si="12"/>
        <v>0.72666951566951554</v>
      </c>
    </row>
    <row r="270" spans="1:21" ht="16.5" thickBot="1" x14ac:dyDescent="0.3">
      <c r="B270" s="12"/>
      <c r="C270" s="19">
        <v>889.03</v>
      </c>
      <c r="D270" s="20">
        <v>30.972000000000001</v>
      </c>
      <c r="E270" s="20">
        <v>35.883000000000003</v>
      </c>
      <c r="F270" s="20">
        <v>38.152999999999999</v>
      </c>
      <c r="G270" s="20">
        <v>38.93</v>
      </c>
      <c r="H270" s="20">
        <f t="shared" si="10"/>
        <v>32.483499999999999</v>
      </c>
      <c r="I270" s="5"/>
      <c r="J270" s="19">
        <v>923.32159999999999</v>
      </c>
      <c r="K270" s="20">
        <v>32.408900000000003</v>
      </c>
      <c r="L270" s="20">
        <v>36.8551</v>
      </c>
      <c r="M270" s="20">
        <v>39.032200000000003</v>
      </c>
      <c r="N270" s="20">
        <v>71.736000000000004</v>
      </c>
      <c r="O270" s="20">
        <f t="shared" si="11"/>
        <v>33.792587500000003</v>
      </c>
      <c r="P270" s="7"/>
      <c r="Q270" s="13"/>
      <c r="R270" s="14"/>
      <c r="S270" s="14"/>
      <c r="T270" s="27"/>
      <c r="U270" s="28">
        <f t="shared" si="12"/>
        <v>0.84269201130233762</v>
      </c>
    </row>
    <row r="271" spans="1:21" x14ac:dyDescent="0.25">
      <c r="B271" s="6" t="s">
        <v>47</v>
      </c>
      <c r="C271" s="15">
        <v>4041.1</v>
      </c>
      <c r="D271" s="16">
        <v>28.756</v>
      </c>
      <c r="E271" s="16">
        <v>38.103999999999999</v>
      </c>
      <c r="F271" s="16">
        <v>39.119</v>
      </c>
      <c r="G271" s="16">
        <v>22.89</v>
      </c>
      <c r="H271" s="16">
        <f t="shared" si="10"/>
        <v>31.219874999999998</v>
      </c>
      <c r="I271" s="5"/>
      <c r="J271" s="15">
        <v>4148.8527999999997</v>
      </c>
      <c r="K271" s="16">
        <v>29.260899999999999</v>
      </c>
      <c r="L271" s="16">
        <v>39.205300000000001</v>
      </c>
      <c r="M271" s="16">
        <v>40.158799999999999</v>
      </c>
      <c r="N271" s="16">
        <v>27.154199999999999</v>
      </c>
      <c r="O271" s="16">
        <f t="shared" si="11"/>
        <v>31.866187500000002</v>
      </c>
      <c r="P271" s="7"/>
      <c r="Q271" s="8">
        <f>bdrate(C271:C274,D271:D274,J271:J274,K271:K274)</f>
        <v>-3.6084959797996086E-2</v>
      </c>
      <c r="R271" s="8">
        <f>bdrate(C271:C274,E271:E274,J271:J274,L271:L274)</f>
        <v>-0.37600374647195445</v>
      </c>
      <c r="S271" s="8">
        <f>bdrate(C271:C274,F271:F274,J271:J274,M271:M274)</f>
        <v>-0.41234449644135962</v>
      </c>
      <c r="T271" s="25">
        <f>bdrate(C271:C274,H271:H274,J271:J274,O271:O274)</f>
        <v>-0.1015738961785243</v>
      </c>
      <c r="U271" s="28">
        <f t="shared" si="12"/>
        <v>0.1862909567496723</v>
      </c>
    </row>
    <row r="272" spans="1:21" x14ac:dyDescent="0.25">
      <c r="B272" s="9"/>
      <c r="C272" s="17">
        <v>3025.98</v>
      </c>
      <c r="D272" s="18">
        <v>27.588000000000001</v>
      </c>
      <c r="E272" s="18">
        <v>37.631999999999998</v>
      </c>
      <c r="F272" s="18">
        <v>38.639000000000003</v>
      </c>
      <c r="G272" s="18">
        <v>25.78</v>
      </c>
      <c r="H272" s="18">
        <f t="shared" si="10"/>
        <v>30.224875000000004</v>
      </c>
      <c r="I272" s="5"/>
      <c r="J272" s="17">
        <v>3061.6239999999998</v>
      </c>
      <c r="K272" s="18">
        <v>27.892600000000002</v>
      </c>
      <c r="L272" s="18">
        <v>38.6708</v>
      </c>
      <c r="M272" s="18">
        <v>39.712400000000002</v>
      </c>
      <c r="N272" s="18">
        <v>42.734999999999999</v>
      </c>
      <c r="O272" s="18">
        <f t="shared" si="11"/>
        <v>30.717350000000003</v>
      </c>
      <c r="P272" s="7"/>
      <c r="Q272" s="10"/>
      <c r="R272" s="11"/>
      <c r="S272" s="11"/>
      <c r="T272" s="26"/>
      <c r="U272" s="28">
        <f t="shared" si="12"/>
        <v>0.65768037238169119</v>
      </c>
    </row>
    <row r="273" spans="1:21" x14ac:dyDescent="0.25">
      <c r="B273" s="9"/>
      <c r="C273" s="17">
        <v>1991.81</v>
      </c>
      <c r="D273" s="18">
        <v>25.98</v>
      </c>
      <c r="E273" s="18">
        <v>36.6</v>
      </c>
      <c r="F273" s="18">
        <v>37.746000000000002</v>
      </c>
      <c r="G273" s="18">
        <v>28.45</v>
      </c>
      <c r="H273" s="18">
        <f t="shared" si="10"/>
        <v>28.77825</v>
      </c>
      <c r="I273" s="5"/>
      <c r="J273" s="17">
        <v>2052.6608000000001</v>
      </c>
      <c r="K273" s="18">
        <v>26.138999999999999</v>
      </c>
      <c r="L273" s="18">
        <v>37.835999999999999</v>
      </c>
      <c r="M273" s="18">
        <v>38.975299999999997</v>
      </c>
      <c r="N273" s="18">
        <v>48.309199999999997</v>
      </c>
      <c r="O273" s="18">
        <f t="shared" si="11"/>
        <v>29.205662500000003</v>
      </c>
      <c r="P273" s="7"/>
      <c r="Q273" s="10"/>
      <c r="R273" s="11"/>
      <c r="S273" s="11"/>
      <c r="T273" s="26"/>
      <c r="U273" s="28">
        <f t="shared" si="12"/>
        <v>0.69803866432337425</v>
      </c>
    </row>
    <row r="274" spans="1:21" ht="16.5" thickBot="1" x14ac:dyDescent="0.3">
      <c r="B274" s="12"/>
      <c r="C274" s="19">
        <v>974.65</v>
      </c>
      <c r="D274" s="20">
        <v>23.327000000000002</v>
      </c>
      <c r="E274" s="20">
        <v>35.188000000000002</v>
      </c>
      <c r="F274" s="20">
        <v>36.417999999999999</v>
      </c>
      <c r="G274" s="20">
        <v>33.270000000000003</v>
      </c>
      <c r="H274" s="20">
        <f t="shared" si="10"/>
        <v>26.446000000000005</v>
      </c>
      <c r="I274" s="5"/>
      <c r="J274" s="19">
        <v>1226.5536</v>
      </c>
      <c r="K274" s="20">
        <v>24.321000000000002</v>
      </c>
      <c r="L274" s="20">
        <v>36.455800000000004</v>
      </c>
      <c r="M274" s="20">
        <v>37.704599999999999</v>
      </c>
      <c r="N274" s="20">
        <v>56.882800000000003</v>
      </c>
      <c r="O274" s="20">
        <f t="shared" si="11"/>
        <v>27.510800000000003</v>
      </c>
      <c r="P274" s="7"/>
      <c r="Q274" s="13"/>
      <c r="R274" s="14"/>
      <c r="S274" s="14"/>
      <c r="T274" s="27"/>
      <c r="U274" s="28">
        <f t="shared" si="12"/>
        <v>0.70973249173429509</v>
      </c>
    </row>
    <row r="275" spans="1:21" x14ac:dyDescent="0.25">
      <c r="A275" s="6" t="s">
        <v>37</v>
      </c>
      <c r="B275" s="6" t="s">
        <v>48</v>
      </c>
      <c r="C275" s="15">
        <v>1995.68</v>
      </c>
      <c r="D275" s="16">
        <v>38.326000000000001</v>
      </c>
      <c r="E275" s="16">
        <v>40.942999999999998</v>
      </c>
      <c r="F275" s="16">
        <v>42.072000000000003</v>
      </c>
      <c r="G275" s="16">
        <v>44.34</v>
      </c>
      <c r="H275" s="16">
        <f t="shared" si="10"/>
        <v>39.121375</v>
      </c>
      <c r="I275" s="5"/>
      <c r="J275" s="15">
        <v>2420.2456000000002</v>
      </c>
      <c r="K275" s="16">
        <v>39.044600000000003</v>
      </c>
      <c r="L275" s="16">
        <v>41.850299999999997</v>
      </c>
      <c r="M275" s="16">
        <v>43.208799999999997</v>
      </c>
      <c r="N275" s="16">
        <v>66.28</v>
      </c>
      <c r="O275" s="16">
        <f t="shared" si="11"/>
        <v>39.915837500000002</v>
      </c>
      <c r="P275" s="7"/>
      <c r="Q275" s="8">
        <f>bdrate(C275:C278,D275:D278,J275:J278,K275:K278)</f>
        <v>-7.8785611911970643E-2</v>
      </c>
      <c r="R275" s="8">
        <f>bdrate(C275:C278,E275:E278,J275:J278,L275:L278)</f>
        <v>-0.35618395681585191</v>
      </c>
      <c r="S275" s="8">
        <f>bdrate(C275:C278,F275:F278,J275:J278,M275:M278)</f>
        <v>-0.38091667754345782</v>
      </c>
      <c r="T275" s="25">
        <f>bdrate(C275:C278,H275:H278,J275:J278,O275:O278)</f>
        <v>-0.12750495694689412</v>
      </c>
      <c r="U275" s="28">
        <f t="shared" si="12"/>
        <v>0.49481281010374373</v>
      </c>
    </row>
    <row r="276" spans="1:21" x14ac:dyDescent="0.25">
      <c r="A276" s="9" t="s">
        <v>38</v>
      </c>
      <c r="B276" s="9"/>
      <c r="C276" s="17">
        <v>1306.23</v>
      </c>
      <c r="D276" s="18">
        <v>36.954000000000001</v>
      </c>
      <c r="E276" s="18">
        <v>40.095999999999997</v>
      </c>
      <c r="F276" s="18">
        <v>41.262</v>
      </c>
      <c r="G276" s="18">
        <v>50.93</v>
      </c>
      <c r="H276" s="18">
        <f t="shared" si="10"/>
        <v>37.885249999999999</v>
      </c>
      <c r="I276" s="5"/>
      <c r="J276" s="17">
        <v>1583.7983999999999</v>
      </c>
      <c r="K276" s="18">
        <v>37.781300000000002</v>
      </c>
      <c r="L276" s="18">
        <v>41.152500000000003</v>
      </c>
      <c r="M276" s="18">
        <v>42.400199999999998</v>
      </c>
      <c r="N276" s="18">
        <v>100.5446</v>
      </c>
      <c r="O276" s="18">
        <f t="shared" si="11"/>
        <v>38.7800625</v>
      </c>
      <c r="P276" s="7"/>
      <c r="Q276" s="10"/>
      <c r="R276" s="11"/>
      <c r="S276" s="11"/>
      <c r="T276" s="26"/>
      <c r="U276" s="28">
        <f t="shared" si="12"/>
        <v>0.97417239348124884</v>
      </c>
    </row>
    <row r="277" spans="1:21" x14ac:dyDescent="0.25">
      <c r="B277" s="9"/>
      <c r="C277" s="17">
        <v>805.19</v>
      </c>
      <c r="D277" s="18">
        <v>35.258000000000003</v>
      </c>
      <c r="E277" s="18">
        <v>39.232999999999997</v>
      </c>
      <c r="F277" s="18">
        <v>40.479999999999997</v>
      </c>
      <c r="G277" s="18">
        <v>55.54</v>
      </c>
      <c r="H277" s="18">
        <f t="shared" si="10"/>
        <v>36.407625000000003</v>
      </c>
      <c r="I277" s="5"/>
      <c r="J277" s="17">
        <v>966.42160000000001</v>
      </c>
      <c r="K277" s="18">
        <v>36.190600000000003</v>
      </c>
      <c r="L277" s="18">
        <v>40.315100000000001</v>
      </c>
      <c r="M277" s="18">
        <v>41.529699999999998</v>
      </c>
      <c r="N277" s="18">
        <v>114.72280000000001</v>
      </c>
      <c r="O277" s="18">
        <f t="shared" si="11"/>
        <v>37.373550000000002</v>
      </c>
      <c r="P277" s="7"/>
      <c r="Q277" s="10"/>
      <c r="R277" s="11"/>
      <c r="S277" s="11"/>
      <c r="T277" s="26"/>
      <c r="U277" s="28">
        <f t="shared" si="12"/>
        <v>1.0655887648541593</v>
      </c>
    </row>
    <row r="278" spans="1:21" ht="16.5" thickBot="1" x14ac:dyDescent="0.3">
      <c r="B278" s="12"/>
      <c r="C278" s="19">
        <v>478.84</v>
      </c>
      <c r="D278" s="20">
        <v>33.375</v>
      </c>
      <c r="E278" s="20">
        <v>38.423999999999999</v>
      </c>
      <c r="F278" s="20">
        <v>39.837000000000003</v>
      </c>
      <c r="G278" s="20">
        <v>63.58</v>
      </c>
      <c r="H278" s="20">
        <f t="shared" si="10"/>
        <v>34.813875000000003</v>
      </c>
      <c r="I278" s="5"/>
      <c r="J278" s="19">
        <v>540.23919999999998</v>
      </c>
      <c r="K278" s="20">
        <v>34.258800000000001</v>
      </c>
      <c r="L278" s="20">
        <v>39.5259</v>
      </c>
      <c r="M278" s="20">
        <v>40.796599999999998</v>
      </c>
      <c r="N278" s="20">
        <v>131.5068</v>
      </c>
      <c r="O278" s="20">
        <f t="shared" si="11"/>
        <v>35.734412499999998</v>
      </c>
      <c r="P278" s="7"/>
      <c r="Q278" s="13"/>
      <c r="R278" s="14"/>
      <c r="S278" s="14"/>
      <c r="T278" s="27"/>
      <c r="U278" s="28">
        <f t="shared" si="12"/>
        <v>1.0683674111355772</v>
      </c>
    </row>
    <row r="279" spans="1:21" x14ac:dyDescent="0.25">
      <c r="B279" s="6" t="s">
        <v>49</v>
      </c>
      <c r="C279" s="15">
        <v>2291.16</v>
      </c>
      <c r="D279" s="16">
        <v>34.591000000000001</v>
      </c>
      <c r="E279" s="16">
        <v>38.313000000000002</v>
      </c>
      <c r="F279" s="16">
        <v>39.500999999999998</v>
      </c>
      <c r="G279" s="16">
        <v>53.24</v>
      </c>
      <c r="H279" s="16">
        <f t="shared" si="10"/>
        <v>35.669999999999995</v>
      </c>
      <c r="I279" s="5"/>
      <c r="J279" s="15">
        <v>2593.6104</v>
      </c>
      <c r="K279" s="16">
        <v>36.0837</v>
      </c>
      <c r="L279" s="16">
        <v>39.983199999999997</v>
      </c>
      <c r="M279" s="16">
        <v>41.217300000000002</v>
      </c>
      <c r="N279" s="16">
        <v>67.4726</v>
      </c>
      <c r="O279" s="16">
        <f t="shared" si="11"/>
        <v>37.212837500000006</v>
      </c>
      <c r="P279" s="7"/>
      <c r="Q279" s="8">
        <f>bdrate(C279:C282,D279:D282,J279:J282,K279:K282)</f>
        <v>-0.2854133271355469</v>
      </c>
      <c r="R279" s="8">
        <f>bdrate(C279:C282,E279:E282,J279:J282,L279:L282)</f>
        <v>-0.53820830337727732</v>
      </c>
      <c r="S279" s="8">
        <f>bdrate(C279:C282,F279:F282,J279:J282,M279:M282)</f>
        <v>-0.56197189590424146</v>
      </c>
      <c r="T279" s="25">
        <f>bdrate(C279:C282,H279:H282,J279:J282,O279:O282)</f>
        <v>-0.33332084281868424</v>
      </c>
      <c r="U279" s="28">
        <f t="shared" si="12"/>
        <v>0.26732907588279486</v>
      </c>
    </row>
    <row r="280" spans="1:21" x14ac:dyDescent="0.25">
      <c r="B280" s="9"/>
      <c r="C280" s="17">
        <v>1519.49</v>
      </c>
      <c r="D280" s="18">
        <v>33.350999999999999</v>
      </c>
      <c r="E280" s="18">
        <v>37.475999999999999</v>
      </c>
      <c r="F280" s="18">
        <v>38.905999999999999</v>
      </c>
      <c r="G280" s="18">
        <v>59.63</v>
      </c>
      <c r="H280" s="18">
        <f t="shared" si="10"/>
        <v>34.561</v>
      </c>
      <c r="I280" s="5"/>
      <c r="J280" s="17">
        <v>1698.3352</v>
      </c>
      <c r="K280" s="18">
        <v>34.773299999999999</v>
      </c>
      <c r="L280" s="18">
        <v>39.167400000000001</v>
      </c>
      <c r="M280" s="18">
        <v>40.401499999999999</v>
      </c>
      <c r="N280" s="18">
        <v>98.603099999999998</v>
      </c>
      <c r="O280" s="18">
        <f t="shared" si="11"/>
        <v>36.026087499999996</v>
      </c>
      <c r="P280" s="7"/>
      <c r="Q280" s="10"/>
      <c r="R280" s="11"/>
      <c r="S280" s="11"/>
      <c r="T280" s="26"/>
      <c r="U280" s="28">
        <f t="shared" si="12"/>
        <v>0.65358208955223873</v>
      </c>
    </row>
    <row r="281" spans="1:21" x14ac:dyDescent="0.25">
      <c r="B281" s="9"/>
      <c r="C281" s="17">
        <v>944.42</v>
      </c>
      <c r="D281" s="18">
        <v>31.98</v>
      </c>
      <c r="E281" s="18">
        <v>36.652000000000001</v>
      </c>
      <c r="F281" s="18">
        <v>38.372</v>
      </c>
      <c r="G281" s="18">
        <v>63.31</v>
      </c>
      <c r="H281" s="18">
        <f t="shared" si="10"/>
        <v>33.363</v>
      </c>
      <c r="I281" s="5"/>
      <c r="J281" s="17">
        <v>1023.1048</v>
      </c>
      <c r="K281" s="18">
        <v>33.190600000000003</v>
      </c>
      <c r="L281" s="18">
        <v>38.169899999999998</v>
      </c>
      <c r="M281" s="18">
        <v>39.511400000000002</v>
      </c>
      <c r="N281" s="18">
        <v>116.50490000000001</v>
      </c>
      <c r="O281" s="18">
        <f t="shared" si="11"/>
        <v>34.603112500000002</v>
      </c>
      <c r="P281" s="7"/>
      <c r="Q281" s="10"/>
      <c r="R281" s="11"/>
      <c r="S281" s="11"/>
      <c r="T281" s="26"/>
      <c r="U281" s="28">
        <f t="shared" si="12"/>
        <v>0.84022903174853902</v>
      </c>
    </row>
    <row r="282" spans="1:21" ht="16.5" thickBot="1" x14ac:dyDescent="0.3">
      <c r="B282" s="12"/>
      <c r="C282" s="19">
        <v>561.69000000000005</v>
      </c>
      <c r="D282" s="20">
        <v>30.518999999999998</v>
      </c>
      <c r="E282" s="20">
        <v>35.902000000000001</v>
      </c>
      <c r="F282" s="20">
        <v>37.838000000000001</v>
      </c>
      <c r="G282" s="20">
        <v>69.3</v>
      </c>
      <c r="H282" s="20">
        <f t="shared" si="10"/>
        <v>32.106749999999998</v>
      </c>
      <c r="I282" s="5"/>
      <c r="J282" s="19">
        <v>592.01520000000005</v>
      </c>
      <c r="K282" s="20">
        <v>31.520199999999999</v>
      </c>
      <c r="L282" s="20">
        <v>37.2395</v>
      </c>
      <c r="M282" s="20">
        <v>38.7652</v>
      </c>
      <c r="N282" s="20">
        <v>132.66999999999999</v>
      </c>
      <c r="O282" s="20">
        <f t="shared" si="11"/>
        <v>33.1407375</v>
      </c>
      <c r="P282" s="7"/>
      <c r="Q282" s="13"/>
      <c r="R282" s="14"/>
      <c r="S282" s="14"/>
      <c r="T282" s="27"/>
      <c r="U282" s="28">
        <f t="shared" si="12"/>
        <v>0.91443001443001437</v>
      </c>
    </row>
    <row r="283" spans="1:21" x14ac:dyDescent="0.25">
      <c r="B283" s="6" t="s">
        <v>50</v>
      </c>
      <c r="C283" s="15">
        <v>2382.75</v>
      </c>
      <c r="D283" s="16">
        <v>32.433</v>
      </c>
      <c r="E283" s="16">
        <v>36.847999999999999</v>
      </c>
      <c r="F283" s="16">
        <v>37.914999999999999</v>
      </c>
      <c r="G283" s="16">
        <v>55.74</v>
      </c>
      <c r="H283" s="16">
        <f t="shared" si="10"/>
        <v>33.670125000000006</v>
      </c>
      <c r="I283" s="5"/>
      <c r="J283" s="15">
        <v>2467.5672</v>
      </c>
      <c r="K283" s="16">
        <v>34.1691</v>
      </c>
      <c r="L283" s="16">
        <v>38.070999999999998</v>
      </c>
      <c r="M283" s="16">
        <v>40.0077</v>
      </c>
      <c r="N283" s="16">
        <v>74.716099999999997</v>
      </c>
      <c r="O283" s="16">
        <f t="shared" si="11"/>
        <v>35.3866625</v>
      </c>
      <c r="P283" s="7"/>
      <c r="Q283" s="8">
        <f>bdrate(C283:C286,D283:D286,J283:J286,K283:K286)</f>
        <v>-0.39498939016602985</v>
      </c>
      <c r="R283" s="8">
        <f>bdrate(C283:C286,E283:E286,J283:J286,L283:L286)</f>
        <v>-0.55213273610575864</v>
      </c>
      <c r="S283" s="8">
        <f>bdrate(C283:C286,F283:F286,J283:J286,M283:M286)</f>
        <v>-0.53349311118296572</v>
      </c>
      <c r="T283" s="25">
        <f>bdrate(C283:C286,H283:H286,J283:J286,O283:O286)</f>
        <v>-0.42024164829723509</v>
      </c>
      <c r="U283" s="28">
        <f t="shared" si="12"/>
        <v>0.3404395407247936</v>
      </c>
    </row>
    <row r="284" spans="1:21" x14ac:dyDescent="0.25">
      <c r="B284" s="9"/>
      <c r="C284" s="17">
        <v>1579.72</v>
      </c>
      <c r="D284" s="18">
        <v>31.117999999999999</v>
      </c>
      <c r="E284" s="18">
        <v>36.417000000000002</v>
      </c>
      <c r="F284" s="18">
        <v>37.26</v>
      </c>
      <c r="G284" s="18">
        <v>63.72</v>
      </c>
      <c r="H284" s="18">
        <f t="shared" si="10"/>
        <v>32.548124999999999</v>
      </c>
      <c r="I284" s="5"/>
      <c r="J284" s="17">
        <v>1640.1264000000001</v>
      </c>
      <c r="K284" s="18">
        <v>32.963000000000001</v>
      </c>
      <c r="L284" s="18">
        <v>37.604199999999999</v>
      </c>
      <c r="M284" s="18">
        <v>39.1053</v>
      </c>
      <c r="N284" s="18">
        <v>126.6785</v>
      </c>
      <c r="O284" s="18">
        <f t="shared" si="11"/>
        <v>34.310937500000001</v>
      </c>
      <c r="P284" s="7"/>
      <c r="Q284" s="10"/>
      <c r="R284" s="11"/>
      <c r="S284" s="11"/>
      <c r="T284" s="26"/>
      <c r="U284" s="28">
        <f t="shared" si="12"/>
        <v>0.988049278091651</v>
      </c>
    </row>
    <row r="285" spans="1:21" x14ac:dyDescent="0.25">
      <c r="B285" s="9"/>
      <c r="C285" s="17">
        <v>986.56</v>
      </c>
      <c r="D285" s="18">
        <v>29.829000000000001</v>
      </c>
      <c r="E285" s="18">
        <v>35.909999999999997</v>
      </c>
      <c r="F285" s="18">
        <v>36.429000000000002</v>
      </c>
      <c r="G285" s="18">
        <v>65.150000000000006</v>
      </c>
      <c r="H285" s="18">
        <f t="shared" si="10"/>
        <v>31.414124999999999</v>
      </c>
      <c r="I285" s="5"/>
      <c r="J285" s="17">
        <v>1002.208</v>
      </c>
      <c r="K285" s="18">
        <v>31.346699999999998</v>
      </c>
      <c r="L285" s="18">
        <v>36.912999999999997</v>
      </c>
      <c r="M285" s="18">
        <v>37.958300000000001</v>
      </c>
      <c r="N285" s="18">
        <v>138.69630000000001</v>
      </c>
      <c r="O285" s="18">
        <f t="shared" si="11"/>
        <v>32.868937500000001</v>
      </c>
      <c r="P285" s="7"/>
      <c r="Q285" s="10"/>
      <c r="R285" s="11"/>
      <c r="S285" s="11"/>
      <c r="T285" s="26"/>
      <c r="U285" s="28">
        <f t="shared" si="12"/>
        <v>1.1288764389869532</v>
      </c>
    </row>
    <row r="286" spans="1:21" ht="16.5" thickBot="1" x14ac:dyDescent="0.3">
      <c r="B286" s="12"/>
      <c r="C286" s="19">
        <v>586</v>
      </c>
      <c r="D286" s="20">
        <v>28.334</v>
      </c>
      <c r="E286" s="20">
        <v>35.130000000000003</v>
      </c>
      <c r="F286" s="20">
        <v>35.29</v>
      </c>
      <c r="G286" s="20">
        <v>73.34</v>
      </c>
      <c r="H286" s="20">
        <f t="shared" si="10"/>
        <v>30.052999999999997</v>
      </c>
      <c r="I286" s="5"/>
      <c r="J286" s="19">
        <v>587.51520000000005</v>
      </c>
      <c r="K286" s="20">
        <v>29.5505</v>
      </c>
      <c r="L286" s="20">
        <v>36.105800000000002</v>
      </c>
      <c r="M286" s="20">
        <v>36.691000000000003</v>
      </c>
      <c r="N286" s="20">
        <v>152.62520000000001</v>
      </c>
      <c r="O286" s="20">
        <f t="shared" si="11"/>
        <v>31.262474999999998</v>
      </c>
      <c r="P286" s="7"/>
      <c r="Q286" s="13"/>
      <c r="R286" s="14"/>
      <c r="S286" s="14"/>
      <c r="T286" s="27"/>
      <c r="U286" s="28">
        <f t="shared" si="12"/>
        <v>1.0810635396782111</v>
      </c>
    </row>
    <row r="287" spans="1:21" x14ac:dyDescent="0.25">
      <c r="B287" s="6" t="s">
        <v>51</v>
      </c>
      <c r="C287" s="29">
        <v>2399.46</v>
      </c>
      <c r="D287" s="30">
        <v>33.341999999999999</v>
      </c>
      <c r="E287" s="30">
        <v>39.277999999999999</v>
      </c>
      <c r="F287" s="30">
        <v>38.722999999999999</v>
      </c>
      <c r="G287" s="16">
        <v>50.63</v>
      </c>
      <c r="H287" s="16">
        <f t="shared" si="10"/>
        <v>34.756625</v>
      </c>
      <c r="I287" s="5"/>
      <c r="J287" s="29">
        <v>2474.5279999999998</v>
      </c>
      <c r="K287" s="30">
        <v>34.033700000000003</v>
      </c>
      <c r="L287" s="30">
        <v>40.1053</v>
      </c>
      <c r="M287" s="30">
        <v>39.532299999999999</v>
      </c>
      <c r="N287" s="16">
        <v>71.357200000000006</v>
      </c>
      <c r="O287" s="16">
        <f t="shared" si="11"/>
        <v>35.479975000000003</v>
      </c>
      <c r="P287" s="7"/>
      <c r="Q287" s="8">
        <f>bdrate(C287:C290,D287:D290,J287:J290,K287:K290)</f>
        <v>-0.15967178013847994</v>
      </c>
      <c r="R287" s="8">
        <f>bdrate(C287:C290,E287:E290,J287:J290,L287:L290)</f>
        <v>-0.26985026090059216</v>
      </c>
      <c r="S287" s="8">
        <f>bdrate(C287:C290,F287:F290,J287:J290,M287:M290)</f>
        <v>-0.19883899494871593</v>
      </c>
      <c r="T287" s="25">
        <f>bdrate(C287:C290,H287:H290,J287:J290,O287:O290)</f>
        <v>-0.17485847666787857</v>
      </c>
      <c r="U287" s="28">
        <f t="shared" si="12"/>
        <v>0.40938573968003167</v>
      </c>
    </row>
    <row r="288" spans="1:21" x14ac:dyDescent="0.25">
      <c r="B288" s="9"/>
      <c r="C288" s="31">
        <v>1594.55</v>
      </c>
      <c r="D288" s="32">
        <v>31.925000000000001</v>
      </c>
      <c r="E288" s="32">
        <v>38.447000000000003</v>
      </c>
      <c r="F288" s="32">
        <v>37.585999999999999</v>
      </c>
      <c r="G288" s="18">
        <v>55.93</v>
      </c>
      <c r="H288" s="18">
        <f t="shared" si="10"/>
        <v>33.447875000000003</v>
      </c>
      <c r="I288" s="5"/>
      <c r="J288" s="31">
        <v>1648.336</v>
      </c>
      <c r="K288" s="32">
        <v>32.6663</v>
      </c>
      <c r="L288" s="32">
        <v>39.314799999999998</v>
      </c>
      <c r="M288" s="32">
        <v>38.408900000000003</v>
      </c>
      <c r="N288" s="18">
        <v>112.5873</v>
      </c>
      <c r="O288" s="18">
        <f t="shared" si="11"/>
        <v>34.215187499999999</v>
      </c>
      <c r="P288" s="7"/>
      <c r="Q288" s="10"/>
      <c r="R288" s="11"/>
      <c r="S288" s="11"/>
      <c r="T288" s="26"/>
      <c r="U288" s="28">
        <f t="shared" si="12"/>
        <v>1.0130037546933668</v>
      </c>
    </row>
    <row r="289" spans="1:21" x14ac:dyDescent="0.25">
      <c r="B289" s="9"/>
      <c r="C289" s="31">
        <v>987.51</v>
      </c>
      <c r="D289" s="32">
        <v>30.158000000000001</v>
      </c>
      <c r="E289" s="32">
        <v>37.386000000000003</v>
      </c>
      <c r="F289" s="32">
        <v>36.244</v>
      </c>
      <c r="G289" s="18">
        <v>62.11</v>
      </c>
      <c r="H289" s="18">
        <f t="shared" si="10"/>
        <v>31.82225</v>
      </c>
      <c r="I289" s="5"/>
      <c r="J289" s="31">
        <v>1028.1007999999999</v>
      </c>
      <c r="K289" s="32">
        <v>30.9392</v>
      </c>
      <c r="L289" s="32">
        <v>38.245600000000003</v>
      </c>
      <c r="M289" s="32">
        <v>36.991900000000001</v>
      </c>
      <c r="N289" s="18">
        <v>120.919</v>
      </c>
      <c r="O289" s="18">
        <f t="shared" si="11"/>
        <v>32.609087500000001</v>
      </c>
      <c r="P289" s="7"/>
      <c r="Q289" s="10"/>
      <c r="R289" s="11"/>
      <c r="S289" s="11"/>
      <c r="T289" s="26"/>
      <c r="U289" s="28">
        <f t="shared" si="12"/>
        <v>0.94685235871840279</v>
      </c>
    </row>
    <row r="290" spans="1:21" ht="16.5" thickBot="1" x14ac:dyDescent="0.3">
      <c r="B290" s="12"/>
      <c r="C290" s="33">
        <v>587.88</v>
      </c>
      <c r="D290" s="34">
        <v>28.202000000000002</v>
      </c>
      <c r="E290" s="34">
        <v>35.667999999999999</v>
      </c>
      <c r="F290" s="34">
        <v>34.329000000000001</v>
      </c>
      <c r="G290" s="20">
        <v>69.069999999999993</v>
      </c>
      <c r="H290" s="20">
        <f t="shared" si="10"/>
        <v>29.901125000000004</v>
      </c>
      <c r="I290" s="5"/>
      <c r="J290" s="33">
        <v>613.89200000000005</v>
      </c>
      <c r="K290" s="34">
        <v>29.049299999999999</v>
      </c>
      <c r="L290" s="34">
        <v>36.673299999999998</v>
      </c>
      <c r="M290" s="34">
        <v>35.258800000000001</v>
      </c>
      <c r="N290" s="20">
        <v>140.56790000000001</v>
      </c>
      <c r="O290" s="20">
        <f t="shared" si="11"/>
        <v>30.778487499999997</v>
      </c>
      <c r="P290" s="7"/>
      <c r="Q290" s="13"/>
      <c r="R290" s="14"/>
      <c r="S290" s="14"/>
      <c r="T290" s="27"/>
      <c r="U290" s="28">
        <f t="shared" si="12"/>
        <v>1.0351512957868831</v>
      </c>
    </row>
    <row r="291" spans="1:21" x14ac:dyDescent="0.25">
      <c r="B291" s="6" t="s">
        <v>52</v>
      </c>
      <c r="C291" s="15">
        <v>2384.7399999999998</v>
      </c>
      <c r="D291" s="16">
        <v>31.695</v>
      </c>
      <c r="E291" s="16">
        <v>38.216999999999999</v>
      </c>
      <c r="F291" s="16">
        <v>40.853999999999999</v>
      </c>
      <c r="G291" s="16">
        <v>67.010000000000005</v>
      </c>
      <c r="H291" s="16">
        <f t="shared" si="10"/>
        <v>33.655124999999998</v>
      </c>
      <c r="I291" s="5"/>
      <c r="J291" s="15">
        <v>2419.4416000000001</v>
      </c>
      <c r="K291" s="16">
        <v>33.544800000000002</v>
      </c>
      <c r="L291" s="16">
        <v>39.721800000000002</v>
      </c>
      <c r="M291" s="16">
        <v>42.174300000000002</v>
      </c>
      <c r="N291" s="16">
        <v>79.302099999999996</v>
      </c>
      <c r="O291" s="16">
        <f t="shared" si="11"/>
        <v>35.395612499999999</v>
      </c>
      <c r="P291" s="7"/>
      <c r="Q291" s="8">
        <f>bdrate(C291:C294,D291:D294,J291:J294,K291:K294)</f>
        <v>-0.56568086102334725</v>
      </c>
      <c r="R291" s="8">
        <f>bdrate(C291:C294,E291:E294,J291:J294,L291:L294)</f>
        <v>-0.62783534943878494</v>
      </c>
      <c r="S291" s="8">
        <f>bdrate(C291:C294,F291:F294,J291:J294,M291:M294)</f>
        <v>-0.60430676444406695</v>
      </c>
      <c r="T291" s="25">
        <f>bdrate(C291:C294,H291:H294,J291:J294,O291:O294)</f>
        <v>-0.57090399258497637</v>
      </c>
      <c r="U291" s="28">
        <f t="shared" si="12"/>
        <v>0.18343680047754052</v>
      </c>
    </row>
    <row r="292" spans="1:21" x14ac:dyDescent="0.25">
      <c r="B292" s="9"/>
      <c r="C292" s="17">
        <v>1562.59</v>
      </c>
      <c r="D292" s="18">
        <v>30.748999999999999</v>
      </c>
      <c r="E292" s="18">
        <v>37.835000000000001</v>
      </c>
      <c r="F292" s="18">
        <v>40.526000000000003</v>
      </c>
      <c r="G292" s="18">
        <v>72.709999999999994</v>
      </c>
      <c r="H292" s="18">
        <f t="shared" si="10"/>
        <v>32.856875000000002</v>
      </c>
      <c r="I292" s="5"/>
      <c r="J292" s="17">
        <v>1606.0744</v>
      </c>
      <c r="K292" s="18">
        <v>32.809399999999997</v>
      </c>
      <c r="L292" s="18">
        <v>39.191200000000002</v>
      </c>
      <c r="M292" s="18">
        <v>41.690800000000003</v>
      </c>
      <c r="N292" s="18">
        <v>130.80439999999999</v>
      </c>
      <c r="O292" s="18">
        <f t="shared" si="11"/>
        <v>34.717300000000002</v>
      </c>
      <c r="P292" s="7"/>
      <c r="Q292" s="10"/>
      <c r="R292" s="11"/>
      <c r="S292" s="11"/>
      <c r="T292" s="26"/>
      <c r="U292" s="28">
        <f t="shared" si="12"/>
        <v>0.79898775959290325</v>
      </c>
    </row>
    <row r="293" spans="1:21" x14ac:dyDescent="0.25">
      <c r="B293" s="9"/>
      <c r="C293" s="17">
        <v>962.62</v>
      </c>
      <c r="D293" s="18">
        <v>29.481000000000002</v>
      </c>
      <c r="E293" s="18">
        <v>37.351999999999997</v>
      </c>
      <c r="F293" s="18">
        <v>40.094999999999999</v>
      </c>
      <c r="G293" s="18">
        <v>76.31</v>
      </c>
      <c r="H293" s="18">
        <f t="shared" si="10"/>
        <v>31.791625000000003</v>
      </c>
      <c r="I293" s="5"/>
      <c r="J293" s="17">
        <v>1001.3920000000001</v>
      </c>
      <c r="K293" s="18">
        <v>31.778099999999998</v>
      </c>
      <c r="L293" s="18">
        <v>38.471600000000002</v>
      </c>
      <c r="M293" s="18">
        <v>40.986600000000003</v>
      </c>
      <c r="N293" s="18">
        <v>148.44139999999999</v>
      </c>
      <c r="O293" s="18">
        <f t="shared" si="11"/>
        <v>33.76585</v>
      </c>
      <c r="P293" s="7"/>
      <c r="Q293" s="10"/>
      <c r="R293" s="11"/>
      <c r="S293" s="11"/>
      <c r="T293" s="26"/>
      <c r="U293" s="28">
        <f t="shared" si="12"/>
        <v>0.94524177696238998</v>
      </c>
    </row>
    <row r="294" spans="1:21" ht="16.5" thickBot="1" x14ac:dyDescent="0.3">
      <c r="B294" s="12"/>
      <c r="C294" s="19">
        <v>548.46</v>
      </c>
      <c r="D294" s="20">
        <v>27.626999999999999</v>
      </c>
      <c r="E294" s="20">
        <v>36.694000000000003</v>
      </c>
      <c r="F294" s="20">
        <v>39.430999999999997</v>
      </c>
      <c r="G294" s="20">
        <v>80.459999999999994</v>
      </c>
      <c r="H294" s="20">
        <f t="shared" si="10"/>
        <v>30.235875</v>
      </c>
      <c r="I294" s="5"/>
      <c r="J294" s="19">
        <v>604.60479999999995</v>
      </c>
      <c r="K294" s="20">
        <v>30.278199999999998</v>
      </c>
      <c r="L294" s="20">
        <v>37.819099999999999</v>
      </c>
      <c r="M294" s="20">
        <v>40.480800000000002</v>
      </c>
      <c r="N294" s="20">
        <v>152.05269999999999</v>
      </c>
      <c r="O294" s="20">
        <f t="shared" si="11"/>
        <v>32.496137499999996</v>
      </c>
      <c r="P294" s="7"/>
      <c r="Q294" s="13"/>
      <c r="R294" s="14"/>
      <c r="S294" s="14"/>
      <c r="T294" s="27"/>
      <c r="U294" s="28">
        <f t="shared" si="12"/>
        <v>0.88979244345016151</v>
      </c>
    </row>
    <row r="295" spans="1:21" x14ac:dyDescent="0.25">
      <c r="A295" s="6" t="s">
        <v>39</v>
      </c>
      <c r="B295" s="6" t="s">
        <v>53</v>
      </c>
      <c r="C295" s="15">
        <v>1219.92</v>
      </c>
      <c r="D295" s="16">
        <v>33.514000000000003</v>
      </c>
      <c r="E295" s="16">
        <v>37.22</v>
      </c>
      <c r="F295" s="16">
        <v>36.994999999999997</v>
      </c>
      <c r="G295" s="16">
        <v>225.73</v>
      </c>
      <c r="H295" s="16">
        <f t="shared" si="10"/>
        <v>34.412374999999997</v>
      </c>
      <c r="I295" s="5"/>
      <c r="J295" s="15">
        <v>1244.8024</v>
      </c>
      <c r="K295" s="16">
        <v>35.097000000000001</v>
      </c>
      <c r="L295" s="16">
        <v>39.009099999999997</v>
      </c>
      <c r="M295" s="16">
        <v>38.881500000000003</v>
      </c>
      <c r="N295" s="16">
        <v>344.5899</v>
      </c>
      <c r="O295" s="16">
        <f t="shared" si="11"/>
        <v>36.059075</v>
      </c>
      <c r="P295" s="7"/>
      <c r="Q295" s="8">
        <f>bdrate(C295:C298,D295:D298,J295:J298,K295:K298)</f>
        <v>-0.3218767146385032</v>
      </c>
      <c r="R295" s="8">
        <f>bdrate(C295:C298,E295:E298,J295:J298,L295:L298)</f>
        <v>-0.39848573258247288</v>
      </c>
      <c r="S295" s="8">
        <f>bdrate(C295:C298,F295:F298,J295:J298,M295:M298)</f>
        <v>-0.35112993699358741</v>
      </c>
      <c r="T295" s="25">
        <f>bdrate(C295:C298,H295:H298,J295:J298,O295:O298)</f>
        <v>-0.33318086511471945</v>
      </c>
      <c r="U295" s="28">
        <f t="shared" si="12"/>
        <v>0.52655783458113681</v>
      </c>
    </row>
    <row r="296" spans="1:21" x14ac:dyDescent="0.25">
      <c r="A296" s="9" t="s">
        <v>40</v>
      </c>
      <c r="B296" s="9"/>
      <c r="C296" s="17">
        <v>812.46</v>
      </c>
      <c r="D296" s="18">
        <v>32.023000000000003</v>
      </c>
      <c r="E296" s="18">
        <v>36.177999999999997</v>
      </c>
      <c r="F296" s="18">
        <v>35.811999999999998</v>
      </c>
      <c r="G296" s="18">
        <v>258.52999999999997</v>
      </c>
      <c r="H296" s="18">
        <f t="shared" si="10"/>
        <v>33.016000000000005</v>
      </c>
      <c r="I296" s="5"/>
      <c r="J296" s="17">
        <v>831.33920000000001</v>
      </c>
      <c r="K296" s="18">
        <v>33.583599999999997</v>
      </c>
      <c r="L296" s="18">
        <v>37.777299999999997</v>
      </c>
      <c r="M296" s="18">
        <v>37.439500000000002</v>
      </c>
      <c r="N296" s="18">
        <v>411.18419999999998</v>
      </c>
      <c r="O296" s="18">
        <f t="shared" si="11"/>
        <v>34.589799999999997</v>
      </c>
      <c r="P296" s="7"/>
      <c r="Q296" s="10"/>
      <c r="R296" s="11"/>
      <c r="S296" s="11"/>
      <c r="T296" s="26"/>
      <c r="U296" s="28">
        <f t="shared" si="12"/>
        <v>0.59046996480099023</v>
      </c>
    </row>
    <row r="297" spans="1:21" x14ac:dyDescent="0.25">
      <c r="B297" s="9"/>
      <c r="C297" s="17">
        <v>506.65</v>
      </c>
      <c r="D297" s="18">
        <v>30.321999999999999</v>
      </c>
      <c r="E297" s="18">
        <v>35.011000000000003</v>
      </c>
      <c r="F297" s="18">
        <v>34.618000000000002</v>
      </c>
      <c r="G297" s="18">
        <v>288.85000000000002</v>
      </c>
      <c r="H297" s="18">
        <f t="shared" si="10"/>
        <v>31.445124999999997</v>
      </c>
      <c r="I297" s="5"/>
      <c r="J297" s="17">
        <v>518.24400000000003</v>
      </c>
      <c r="K297" s="18">
        <v>31.810700000000001</v>
      </c>
      <c r="L297" s="18">
        <v>36.347900000000003</v>
      </c>
      <c r="M297" s="18">
        <v>35.811999999999998</v>
      </c>
      <c r="N297" s="18">
        <v>478.01150000000001</v>
      </c>
      <c r="O297" s="18">
        <f t="shared" si="11"/>
        <v>32.878012500000004</v>
      </c>
      <c r="P297" s="7"/>
      <c r="Q297" s="10"/>
      <c r="R297" s="11"/>
      <c r="S297" s="11"/>
      <c r="T297" s="26"/>
      <c r="U297" s="28">
        <f t="shared" si="12"/>
        <v>0.65487796434135359</v>
      </c>
    </row>
    <row r="298" spans="1:21" ht="16.5" thickBot="1" x14ac:dyDescent="0.3">
      <c r="B298" s="12"/>
      <c r="C298" s="19">
        <v>303.51</v>
      </c>
      <c r="D298" s="20">
        <v>28.625</v>
      </c>
      <c r="E298" s="20">
        <v>34.006</v>
      </c>
      <c r="F298" s="20">
        <v>33.389000000000003</v>
      </c>
      <c r="G298" s="20">
        <v>327.01</v>
      </c>
      <c r="H298" s="20">
        <f t="shared" si="10"/>
        <v>29.893125000000001</v>
      </c>
      <c r="I298" s="5"/>
      <c r="J298" s="19">
        <v>310.41840000000002</v>
      </c>
      <c r="K298" s="20">
        <v>29.882400000000001</v>
      </c>
      <c r="L298" s="20">
        <v>34.930900000000001</v>
      </c>
      <c r="M298" s="20">
        <v>34.252899999999997</v>
      </c>
      <c r="N298" s="20">
        <v>485.43689999999998</v>
      </c>
      <c r="O298" s="20">
        <f t="shared" si="11"/>
        <v>31.059775000000002</v>
      </c>
      <c r="P298" s="7"/>
      <c r="Q298" s="13"/>
      <c r="R298" s="14"/>
      <c r="S298" s="14"/>
      <c r="T298" s="27"/>
      <c r="U298" s="28">
        <f t="shared" si="12"/>
        <v>0.48447111709122043</v>
      </c>
    </row>
    <row r="299" spans="1:21" x14ac:dyDescent="0.25">
      <c r="B299" s="6" t="s">
        <v>54</v>
      </c>
      <c r="C299" s="15">
        <v>1227.57</v>
      </c>
      <c r="D299" s="16">
        <v>33.292999999999999</v>
      </c>
      <c r="E299" s="16">
        <v>38.694000000000003</v>
      </c>
      <c r="F299" s="16">
        <v>39.476999999999997</v>
      </c>
      <c r="G299" s="16">
        <v>265.25</v>
      </c>
      <c r="H299" s="16">
        <f t="shared" si="10"/>
        <v>34.741124999999997</v>
      </c>
      <c r="I299" s="5"/>
      <c r="J299" s="15">
        <v>1275.8664000000001</v>
      </c>
      <c r="K299" s="16">
        <v>35.347299999999997</v>
      </c>
      <c r="L299" s="16">
        <v>40.384500000000003</v>
      </c>
      <c r="M299" s="16">
        <v>41.177100000000003</v>
      </c>
      <c r="N299" s="16">
        <v>359.28140000000002</v>
      </c>
      <c r="O299" s="16">
        <f t="shared" si="11"/>
        <v>36.705674999999999</v>
      </c>
      <c r="P299" s="7"/>
      <c r="Q299" s="8">
        <f>bdrate(C299:C302,D299:D302,J299:J302,K299:K302)</f>
        <v>-0.35749193778078459</v>
      </c>
      <c r="R299" s="8">
        <f>bdrate(C299:C302,E299:E302,J299:J302,L299:L302)</f>
        <v>-0.46583163704184649</v>
      </c>
      <c r="S299" s="8">
        <f>bdrate(C299:C302,F299:F302,J299:J302,M299:M302)</f>
        <v>-0.41625439738193781</v>
      </c>
      <c r="T299" s="25">
        <f>bdrate(C299:C302,H299:H302,J299:J302,O299:O302)</f>
        <v>-0.37225975480109641</v>
      </c>
      <c r="U299" s="28">
        <f t="shared" si="12"/>
        <v>0.35450103675777578</v>
      </c>
    </row>
    <row r="300" spans="1:21" x14ac:dyDescent="0.25">
      <c r="B300" s="9"/>
      <c r="C300" s="17">
        <v>818.46</v>
      </c>
      <c r="D300" s="18">
        <v>31.797000000000001</v>
      </c>
      <c r="E300" s="18">
        <v>37.75</v>
      </c>
      <c r="F300" s="18">
        <v>38.451999999999998</v>
      </c>
      <c r="G300" s="18">
        <v>278.68</v>
      </c>
      <c r="H300" s="18">
        <f t="shared" si="10"/>
        <v>33.373000000000005</v>
      </c>
      <c r="I300" s="5"/>
      <c r="J300" s="17">
        <v>850.7088</v>
      </c>
      <c r="K300" s="18">
        <v>33.788200000000003</v>
      </c>
      <c r="L300" s="18">
        <v>39.362099999999998</v>
      </c>
      <c r="M300" s="18">
        <v>40.002400000000002</v>
      </c>
      <c r="N300" s="18">
        <v>422.83300000000003</v>
      </c>
      <c r="O300" s="18">
        <f t="shared" si="11"/>
        <v>35.261712500000002</v>
      </c>
      <c r="P300" s="7"/>
      <c r="Q300" s="10"/>
      <c r="R300" s="11"/>
      <c r="S300" s="11"/>
      <c r="T300" s="26"/>
      <c r="U300" s="28">
        <f t="shared" si="12"/>
        <v>0.51727070475096892</v>
      </c>
    </row>
    <row r="301" spans="1:21" x14ac:dyDescent="0.25">
      <c r="B301" s="9"/>
      <c r="C301" s="17">
        <v>510.35</v>
      </c>
      <c r="D301" s="18">
        <v>30.1</v>
      </c>
      <c r="E301" s="18">
        <v>36.823</v>
      </c>
      <c r="F301" s="18">
        <v>37.357999999999997</v>
      </c>
      <c r="G301" s="18">
        <v>320.51</v>
      </c>
      <c r="H301" s="18">
        <f t="shared" si="10"/>
        <v>31.847625000000004</v>
      </c>
      <c r="I301" s="5"/>
      <c r="J301" s="17">
        <v>531.43359999999996</v>
      </c>
      <c r="K301" s="18">
        <v>31.884</v>
      </c>
      <c r="L301" s="18">
        <v>38.222900000000003</v>
      </c>
      <c r="M301" s="18">
        <v>38.737699999999997</v>
      </c>
      <c r="N301" s="18">
        <v>475.05939999999998</v>
      </c>
      <c r="O301" s="18">
        <f t="shared" si="11"/>
        <v>33.533075000000004</v>
      </c>
      <c r="P301" s="7"/>
      <c r="Q301" s="10"/>
      <c r="R301" s="11"/>
      <c r="S301" s="11"/>
      <c r="T301" s="26"/>
      <c r="U301" s="28">
        <f t="shared" si="12"/>
        <v>0.48219837134566784</v>
      </c>
    </row>
    <row r="302" spans="1:21" ht="16.5" thickBot="1" x14ac:dyDescent="0.3">
      <c r="B302" s="12"/>
      <c r="C302" s="19">
        <v>304.10000000000002</v>
      </c>
      <c r="D302" s="20">
        <v>28.263999999999999</v>
      </c>
      <c r="E302" s="20">
        <v>35.667000000000002</v>
      </c>
      <c r="F302" s="20">
        <v>36.082999999999998</v>
      </c>
      <c r="G302" s="20">
        <v>349.65</v>
      </c>
      <c r="H302" s="20">
        <f t="shared" si="10"/>
        <v>30.16675</v>
      </c>
      <c r="I302" s="5"/>
      <c r="J302" s="19">
        <v>317.94880000000001</v>
      </c>
      <c r="K302" s="20">
        <v>29.7773</v>
      </c>
      <c r="L302" s="20">
        <v>37.0334</v>
      </c>
      <c r="M302" s="20">
        <v>37.441400000000002</v>
      </c>
      <c r="N302" s="20">
        <v>534.28319999999997</v>
      </c>
      <c r="O302" s="20">
        <f t="shared" si="11"/>
        <v>31.642325</v>
      </c>
      <c r="P302" s="7"/>
      <c r="Q302" s="13"/>
      <c r="R302" s="14"/>
      <c r="S302" s="14"/>
      <c r="T302" s="27"/>
      <c r="U302" s="28">
        <f t="shared" si="12"/>
        <v>0.52805148005148006</v>
      </c>
    </row>
    <row r="303" spans="1:21" x14ac:dyDescent="0.25">
      <c r="B303" s="6" t="s">
        <v>55</v>
      </c>
      <c r="C303" s="15">
        <v>1097.46</v>
      </c>
      <c r="D303" s="16">
        <v>27.812999999999999</v>
      </c>
      <c r="E303" s="16">
        <v>34.390999999999998</v>
      </c>
      <c r="F303" s="16">
        <v>35.22</v>
      </c>
      <c r="G303" s="16">
        <v>262.61</v>
      </c>
      <c r="H303" s="16">
        <f t="shared" si="10"/>
        <v>29.561124999999997</v>
      </c>
      <c r="I303" s="5"/>
      <c r="J303" s="15">
        <v>1231.0784000000001</v>
      </c>
      <c r="K303" s="16">
        <v>30.388200000000001</v>
      </c>
      <c r="L303" s="16">
        <v>36.536499999999997</v>
      </c>
      <c r="M303" s="16">
        <v>37.259700000000002</v>
      </c>
      <c r="N303" s="16">
        <v>333.77839999999998</v>
      </c>
      <c r="O303" s="16">
        <f t="shared" si="11"/>
        <v>32.015675000000002</v>
      </c>
      <c r="P303" s="7"/>
      <c r="Q303" s="8">
        <f>bdrate(C303:C306,D303:D306,J303:J306,K303:K306)</f>
        <v>-0.48968251605449897</v>
      </c>
      <c r="R303" s="8">
        <f>bdrate(C303:C306,E303:E306,J303:J306,L303:L306)</f>
        <v>-0.60474476357837448</v>
      </c>
      <c r="S303" s="8">
        <f>bdrate(C303:C306,F303:F306,J303:J306,M303:M306)</f>
        <v>-0.58401881121007304</v>
      </c>
      <c r="T303" s="25">
        <f>bdrate(C303:C306,H303:H306,J303:J306,O303:O306)</f>
        <v>-0.50761589677122076</v>
      </c>
      <c r="U303" s="28">
        <f t="shared" si="12"/>
        <v>0.27100415064163574</v>
      </c>
    </row>
    <row r="304" spans="1:21" x14ac:dyDescent="0.25">
      <c r="B304" s="9"/>
      <c r="C304" s="17">
        <v>731.44</v>
      </c>
      <c r="D304" s="18">
        <v>26.541</v>
      </c>
      <c r="E304" s="18">
        <v>33.777999999999999</v>
      </c>
      <c r="F304" s="18">
        <v>34.564</v>
      </c>
      <c r="G304" s="18">
        <v>288.68</v>
      </c>
      <c r="H304" s="18">
        <f t="shared" si="10"/>
        <v>28.448499999999999</v>
      </c>
      <c r="I304" s="5"/>
      <c r="J304" s="17">
        <v>832.78319999999997</v>
      </c>
      <c r="K304" s="18">
        <v>29.137</v>
      </c>
      <c r="L304" s="18">
        <v>35.7684</v>
      </c>
      <c r="M304" s="18">
        <v>36.496600000000001</v>
      </c>
      <c r="N304" s="18">
        <v>395.56959999999998</v>
      </c>
      <c r="O304" s="18">
        <f t="shared" si="11"/>
        <v>30.885874999999999</v>
      </c>
      <c r="P304" s="7"/>
      <c r="Q304" s="10"/>
      <c r="R304" s="11"/>
      <c r="S304" s="11"/>
      <c r="T304" s="26"/>
      <c r="U304" s="28">
        <f t="shared" si="12"/>
        <v>0.37027019537203815</v>
      </c>
    </row>
    <row r="305" spans="1:21" x14ac:dyDescent="0.25">
      <c r="B305" s="9"/>
      <c r="C305" s="17">
        <v>459.31</v>
      </c>
      <c r="D305" s="18">
        <v>25.228999999999999</v>
      </c>
      <c r="E305" s="18">
        <v>33.055999999999997</v>
      </c>
      <c r="F305" s="18">
        <v>33.906999999999996</v>
      </c>
      <c r="G305" s="18">
        <v>308.07</v>
      </c>
      <c r="H305" s="18">
        <f t="shared" si="10"/>
        <v>27.292124999999999</v>
      </c>
      <c r="I305" s="5"/>
      <c r="J305" s="17">
        <v>522.64080000000001</v>
      </c>
      <c r="K305" s="18">
        <v>27.638100000000001</v>
      </c>
      <c r="L305" s="18">
        <v>34.842399999999998</v>
      </c>
      <c r="M305" s="18">
        <v>35.548400000000001</v>
      </c>
      <c r="N305" s="18">
        <v>445.23599999999999</v>
      </c>
      <c r="O305" s="18">
        <f t="shared" si="11"/>
        <v>29.527425000000001</v>
      </c>
      <c r="P305" s="7"/>
      <c r="Q305" s="10"/>
      <c r="R305" s="11"/>
      <c r="S305" s="11"/>
      <c r="T305" s="26"/>
      <c r="U305" s="28">
        <f t="shared" si="12"/>
        <v>0.44524296426136917</v>
      </c>
    </row>
    <row r="306" spans="1:21" ht="16.5" thickBot="1" x14ac:dyDescent="0.3">
      <c r="B306" s="12"/>
      <c r="C306" s="19">
        <v>274.3</v>
      </c>
      <c r="D306" s="20">
        <v>23.981999999999999</v>
      </c>
      <c r="E306" s="20">
        <v>32.329000000000001</v>
      </c>
      <c r="F306" s="20">
        <v>33.209000000000003</v>
      </c>
      <c r="G306" s="20">
        <v>340.83</v>
      </c>
      <c r="H306" s="20">
        <f t="shared" si="10"/>
        <v>26.178750000000001</v>
      </c>
      <c r="I306" s="5"/>
      <c r="J306" s="19">
        <v>290.02960000000002</v>
      </c>
      <c r="K306" s="20">
        <v>25.7042</v>
      </c>
      <c r="L306" s="20">
        <v>33.716500000000003</v>
      </c>
      <c r="M306" s="20">
        <v>34.427900000000001</v>
      </c>
      <c r="N306" s="20">
        <v>534.18799999999999</v>
      </c>
      <c r="O306" s="20">
        <f t="shared" si="11"/>
        <v>27.796199999999999</v>
      </c>
      <c r="P306" s="7"/>
      <c r="Q306" s="13"/>
      <c r="R306" s="14"/>
      <c r="S306" s="14"/>
      <c r="T306" s="27"/>
      <c r="U306" s="28">
        <f t="shared" si="12"/>
        <v>0.5673150837661004</v>
      </c>
    </row>
    <row r="307" spans="1:21" x14ac:dyDescent="0.25">
      <c r="B307" s="6" t="s">
        <v>56</v>
      </c>
      <c r="C307" s="15">
        <v>1117.92</v>
      </c>
      <c r="D307" s="16">
        <v>31.291</v>
      </c>
      <c r="E307" s="16">
        <v>35.86</v>
      </c>
      <c r="F307" s="16">
        <v>37.491999999999997</v>
      </c>
      <c r="G307" s="16">
        <v>174.83</v>
      </c>
      <c r="H307" s="16">
        <f t="shared" si="10"/>
        <v>32.637250000000002</v>
      </c>
      <c r="I307" s="5"/>
      <c r="J307" s="15">
        <v>1238.1271999999999</v>
      </c>
      <c r="K307" s="16">
        <v>32.435000000000002</v>
      </c>
      <c r="L307" s="16">
        <v>36.6922</v>
      </c>
      <c r="M307" s="16">
        <v>38.2241</v>
      </c>
      <c r="N307" s="16">
        <v>246.7105</v>
      </c>
      <c r="O307" s="16">
        <f t="shared" si="11"/>
        <v>33.690787500000006</v>
      </c>
      <c r="P307" s="7"/>
      <c r="Q307" s="8">
        <f>bdrate(C307:C310,D307:D310,J307:J310,K307:K310)</f>
        <v>-0.15505976827955559</v>
      </c>
      <c r="R307" s="8">
        <f>bdrate(C307:C310,E307:E310,J307:J310,L307:L310)</f>
        <v>-0.19132135596054811</v>
      </c>
      <c r="S307" s="8">
        <f>bdrate(C307:C310,F307:F310,J307:J310,M307:M310)</f>
        <v>-0.1605674710464704</v>
      </c>
      <c r="T307" s="25">
        <f>bdrate(C307:C310,H307:H310,J307:J310,O307:O310)</f>
        <v>-0.15873592487912236</v>
      </c>
      <c r="U307" s="28">
        <f t="shared" si="12"/>
        <v>0.41114511239489776</v>
      </c>
    </row>
    <row r="308" spans="1:21" x14ac:dyDescent="0.25">
      <c r="B308" s="9"/>
      <c r="C308" s="17">
        <v>753.56</v>
      </c>
      <c r="D308" s="18">
        <v>29.974</v>
      </c>
      <c r="E308" s="18">
        <v>35.112000000000002</v>
      </c>
      <c r="F308" s="18">
        <v>36.670999999999999</v>
      </c>
      <c r="G308" s="18">
        <v>192.31</v>
      </c>
      <c r="H308" s="18">
        <f t="shared" si="10"/>
        <v>31.453374999999998</v>
      </c>
      <c r="I308" s="5"/>
      <c r="J308" s="17">
        <v>824.56079999999997</v>
      </c>
      <c r="K308" s="18">
        <v>30.964600000000001</v>
      </c>
      <c r="L308" s="18">
        <v>35.796199999999999</v>
      </c>
      <c r="M308" s="18">
        <v>37.284300000000002</v>
      </c>
      <c r="N308" s="18">
        <v>291.26209999999998</v>
      </c>
      <c r="O308" s="18">
        <f t="shared" si="11"/>
        <v>32.358512500000003</v>
      </c>
      <c r="P308" s="7"/>
      <c r="Q308" s="10"/>
      <c r="R308" s="11"/>
      <c r="S308" s="11"/>
      <c r="T308" s="26"/>
      <c r="U308" s="28">
        <f t="shared" si="12"/>
        <v>0.51454474546305429</v>
      </c>
    </row>
    <row r="309" spans="1:21" x14ac:dyDescent="0.25">
      <c r="B309" s="9"/>
      <c r="C309" s="17">
        <v>480.01</v>
      </c>
      <c r="D309" s="18">
        <v>28.605</v>
      </c>
      <c r="E309" s="18">
        <v>34.26</v>
      </c>
      <c r="F309" s="18">
        <v>35.680999999999997</v>
      </c>
      <c r="G309" s="18">
        <v>218.66</v>
      </c>
      <c r="H309" s="18">
        <f t="shared" si="10"/>
        <v>30.196374999999996</v>
      </c>
      <c r="I309" s="5"/>
      <c r="J309" s="17">
        <v>515.15120000000002</v>
      </c>
      <c r="K309" s="18">
        <v>29.302600000000002</v>
      </c>
      <c r="L309" s="18">
        <v>34.8003</v>
      </c>
      <c r="M309" s="18">
        <v>36.234499999999997</v>
      </c>
      <c r="N309" s="18">
        <v>331.49169999999998</v>
      </c>
      <c r="O309" s="18">
        <f t="shared" si="11"/>
        <v>30.856300000000001</v>
      </c>
      <c r="P309" s="7"/>
      <c r="Q309" s="10"/>
      <c r="R309" s="11"/>
      <c r="S309" s="11"/>
      <c r="T309" s="26"/>
      <c r="U309" s="28">
        <f t="shared" si="12"/>
        <v>0.51601436019390834</v>
      </c>
    </row>
    <row r="310" spans="1:21" ht="16.5" thickBot="1" x14ac:dyDescent="0.3">
      <c r="B310" s="12"/>
      <c r="C310" s="19">
        <v>293.16000000000003</v>
      </c>
      <c r="D310" s="20">
        <v>27.289000000000001</v>
      </c>
      <c r="E310" s="20">
        <v>33.326999999999998</v>
      </c>
      <c r="F310" s="20">
        <v>34.670999999999999</v>
      </c>
      <c r="G310" s="20">
        <v>252.95</v>
      </c>
      <c r="H310" s="20">
        <f t="shared" si="10"/>
        <v>28.9665</v>
      </c>
      <c r="I310" s="5"/>
      <c r="J310" s="19">
        <v>308.98559999999998</v>
      </c>
      <c r="K310" s="20">
        <v>27.688300000000002</v>
      </c>
      <c r="L310" s="20">
        <v>33.702800000000003</v>
      </c>
      <c r="M310" s="20">
        <v>35.008800000000001</v>
      </c>
      <c r="N310" s="20">
        <v>427.35039999999998</v>
      </c>
      <c r="O310" s="20">
        <f t="shared" si="11"/>
        <v>29.355175000000003</v>
      </c>
      <c r="P310" s="7"/>
      <c r="Q310" s="13"/>
      <c r="R310" s="14"/>
      <c r="S310" s="14"/>
      <c r="T310" s="27"/>
      <c r="U310" s="28">
        <f t="shared" si="12"/>
        <v>0.68946590235224348</v>
      </c>
    </row>
    <row r="311" spans="1:21" x14ac:dyDescent="0.25">
      <c r="A311" s="6" t="s">
        <v>41</v>
      </c>
      <c r="B311" s="6" t="s">
        <v>57</v>
      </c>
      <c r="C311" s="15">
        <v>640.03</v>
      </c>
      <c r="D311" s="16">
        <v>33.322000000000003</v>
      </c>
      <c r="E311" s="16">
        <v>38.293999999999997</v>
      </c>
      <c r="F311" s="16">
        <v>36.951999999999998</v>
      </c>
      <c r="G311" s="16">
        <v>667.56</v>
      </c>
      <c r="H311" s="16">
        <f t="shared" si="10"/>
        <v>34.39725</v>
      </c>
      <c r="I311" s="5"/>
      <c r="J311" s="15">
        <v>619.16480000000001</v>
      </c>
      <c r="K311" s="16">
        <v>34.542299999999997</v>
      </c>
      <c r="L311" s="16">
        <v>39.534700000000001</v>
      </c>
      <c r="M311" s="16">
        <v>38.129300000000001</v>
      </c>
      <c r="N311" s="16">
        <v>697.3501</v>
      </c>
      <c r="O311" s="16">
        <f t="shared" si="11"/>
        <v>35.614725</v>
      </c>
      <c r="P311" s="7"/>
      <c r="Q311" s="8">
        <f>bdrate(C311:C314,D311:D314,J311:J314,K311:K314)</f>
        <v>-0.21621790952803788</v>
      </c>
      <c r="R311" s="8">
        <f>bdrate(C311:C314,E311:E314,J311:J314,L311:L314)</f>
        <v>-0.34976518718842653</v>
      </c>
      <c r="S311" s="8">
        <f>bdrate(C311:C314,F311:F314,J311:J314,M311:M314)</f>
        <v>-0.26295727687828296</v>
      </c>
      <c r="T311" s="25">
        <f>bdrate(C311:C314,H311:H314,J311:J314,O311:O314)</f>
        <v>-0.23335161381520919</v>
      </c>
      <c r="U311" s="28">
        <f t="shared" si="12"/>
        <v>4.4625352028282182E-2</v>
      </c>
    </row>
    <row r="312" spans="1:21" x14ac:dyDescent="0.25">
      <c r="A312" s="9" t="s">
        <v>42</v>
      </c>
      <c r="B312" s="9"/>
      <c r="C312" s="17">
        <v>428.33</v>
      </c>
      <c r="D312" s="18">
        <v>31.713000000000001</v>
      </c>
      <c r="E312" s="18">
        <v>37.232999999999997</v>
      </c>
      <c r="F312" s="18">
        <v>35.741</v>
      </c>
      <c r="G312" s="18">
        <v>746.27</v>
      </c>
      <c r="H312" s="18">
        <f t="shared" si="10"/>
        <v>32.906500000000001</v>
      </c>
      <c r="I312" s="5"/>
      <c r="J312" s="17">
        <v>413.1096</v>
      </c>
      <c r="K312" s="18">
        <v>32.753100000000003</v>
      </c>
      <c r="L312" s="18">
        <v>38.348100000000002</v>
      </c>
      <c r="M312" s="18">
        <v>36.700699999999998</v>
      </c>
      <c r="N312" s="18">
        <v>801.28210000000001</v>
      </c>
      <c r="O312" s="18">
        <f t="shared" si="11"/>
        <v>33.945925000000003</v>
      </c>
      <c r="P312" s="7"/>
      <c r="Q312" s="10"/>
      <c r="R312" s="11"/>
      <c r="S312" s="11"/>
      <c r="T312" s="26"/>
      <c r="U312" s="28">
        <f t="shared" si="12"/>
        <v>7.3716081311053686E-2</v>
      </c>
    </row>
    <row r="313" spans="1:21" x14ac:dyDescent="0.25">
      <c r="B313" s="9"/>
      <c r="C313" s="17">
        <v>268.22000000000003</v>
      </c>
      <c r="D313" s="18">
        <v>29.995999999999999</v>
      </c>
      <c r="E313" s="18">
        <v>36.173999999999999</v>
      </c>
      <c r="F313" s="18">
        <v>34.463000000000001</v>
      </c>
      <c r="G313" s="18">
        <v>843.17</v>
      </c>
      <c r="H313" s="18">
        <f t="shared" si="10"/>
        <v>31.326625</v>
      </c>
      <c r="I313" s="5"/>
      <c r="J313" s="17">
        <v>258.15519999999998</v>
      </c>
      <c r="K313" s="18">
        <v>30.7638</v>
      </c>
      <c r="L313" s="18">
        <v>37.075800000000001</v>
      </c>
      <c r="M313" s="18">
        <v>35.190399999999997</v>
      </c>
      <c r="N313" s="18">
        <v>972.76260000000002</v>
      </c>
      <c r="O313" s="18">
        <f t="shared" si="11"/>
        <v>32.106124999999999</v>
      </c>
      <c r="P313" s="7"/>
      <c r="Q313" s="10"/>
      <c r="R313" s="11"/>
      <c r="S313" s="11"/>
      <c r="T313" s="26"/>
      <c r="U313" s="28">
        <f t="shared" si="12"/>
        <v>0.15369688200481524</v>
      </c>
    </row>
    <row r="314" spans="1:21" ht="16.5" thickBot="1" x14ac:dyDescent="0.3">
      <c r="B314" s="12"/>
      <c r="C314" s="19">
        <v>128.84</v>
      </c>
      <c r="D314" s="20">
        <v>27.564</v>
      </c>
      <c r="E314" s="20">
        <v>34.734000000000002</v>
      </c>
      <c r="F314" s="20">
        <v>32.546999999999997</v>
      </c>
      <c r="G314" s="20">
        <v>1035.2</v>
      </c>
      <c r="H314" s="20">
        <f t="shared" si="10"/>
        <v>29.083125000000003</v>
      </c>
      <c r="I314" s="5"/>
      <c r="J314" s="19">
        <v>123.864</v>
      </c>
      <c r="K314" s="20">
        <v>27.932400000000001</v>
      </c>
      <c r="L314" s="20">
        <v>35.382899999999999</v>
      </c>
      <c r="M314" s="20">
        <v>33.099600000000002</v>
      </c>
      <c r="N314" s="20">
        <v>1333.3333</v>
      </c>
      <c r="O314" s="20">
        <f t="shared" si="11"/>
        <v>29.509612500000003</v>
      </c>
      <c r="P314" s="7"/>
      <c r="Q314" s="13"/>
      <c r="R314" s="14"/>
      <c r="S314" s="14"/>
      <c r="T314" s="27"/>
      <c r="U314" s="28">
        <f t="shared" si="12"/>
        <v>0.28799584621329205</v>
      </c>
    </row>
    <row r="315" spans="1:21" x14ac:dyDescent="0.25">
      <c r="B315" s="6" t="s">
        <v>58</v>
      </c>
      <c r="C315" s="15">
        <v>555.22</v>
      </c>
      <c r="D315" s="16">
        <v>30.024000000000001</v>
      </c>
      <c r="E315" s="16">
        <v>38.387</v>
      </c>
      <c r="F315" s="16">
        <v>39.027000000000001</v>
      </c>
      <c r="G315" s="16">
        <v>1038.06</v>
      </c>
      <c r="H315" s="16">
        <f t="shared" si="10"/>
        <v>32.194749999999999</v>
      </c>
      <c r="I315" s="5"/>
      <c r="J315" s="15">
        <v>596.61760000000004</v>
      </c>
      <c r="K315" s="16">
        <v>33.622599999999998</v>
      </c>
      <c r="L315" s="16">
        <v>41.084400000000002</v>
      </c>
      <c r="M315" s="16">
        <v>41.846899999999998</v>
      </c>
      <c r="N315" s="16">
        <v>835.65459999999996</v>
      </c>
      <c r="O315" s="16">
        <f t="shared" si="11"/>
        <v>35.5833625</v>
      </c>
      <c r="P315" s="7"/>
      <c r="Q315" s="8">
        <f>bdrate(C315:C318,D315:D318,J315:J318,K315:K318)</f>
        <v>-0.64404944201023073</v>
      </c>
      <c r="R315" s="8">
        <f>bdrate(C315:C318,E315:E318,J315:J318,L315:L318)</f>
        <v>-0.71750353300027081</v>
      </c>
      <c r="S315" s="8">
        <f>bdrate(C315:C318,F315:F318,J315:J318,M315:M318)</f>
        <v>-0.67870548602669167</v>
      </c>
      <c r="T315" s="25">
        <f>bdrate(C315:C318,H315:H318,J315:J318,O315:O318)</f>
        <v>-0.65178450772643937</v>
      </c>
      <c r="U315" s="28">
        <f t="shared" si="12"/>
        <v>-0.19498429763212147</v>
      </c>
    </row>
    <row r="316" spans="1:21" x14ac:dyDescent="0.25">
      <c r="B316" s="9"/>
      <c r="C316" s="17">
        <v>366.59</v>
      </c>
      <c r="D316" s="18">
        <v>28.602</v>
      </c>
      <c r="E316" s="18">
        <v>37.895000000000003</v>
      </c>
      <c r="F316" s="18">
        <v>38.569000000000003</v>
      </c>
      <c r="G316" s="18">
        <v>1202.4000000000001</v>
      </c>
      <c r="H316" s="18">
        <f t="shared" si="10"/>
        <v>31.009500000000003</v>
      </c>
      <c r="I316" s="5"/>
      <c r="J316" s="17">
        <v>389.43439999999998</v>
      </c>
      <c r="K316" s="18">
        <v>32.261699999999998</v>
      </c>
      <c r="L316" s="18">
        <v>40.164499999999997</v>
      </c>
      <c r="M316" s="18">
        <v>40.903300000000002</v>
      </c>
      <c r="N316" s="18">
        <v>1098.9011</v>
      </c>
      <c r="O316" s="18">
        <f t="shared" si="11"/>
        <v>34.329750000000004</v>
      </c>
      <c r="P316" s="7"/>
      <c r="Q316" s="10"/>
      <c r="R316" s="11"/>
      <c r="S316" s="11"/>
      <c r="T316" s="26"/>
      <c r="U316" s="28">
        <f t="shared" si="12"/>
        <v>-8.6076929474384598E-2</v>
      </c>
    </row>
    <row r="317" spans="1:21" x14ac:dyDescent="0.25">
      <c r="B317" s="9"/>
      <c r="C317" s="17">
        <v>228.92</v>
      </c>
      <c r="D317" s="18">
        <v>27.11</v>
      </c>
      <c r="E317" s="18">
        <v>37.369999999999997</v>
      </c>
      <c r="F317" s="18">
        <v>37.844999999999999</v>
      </c>
      <c r="G317" s="18">
        <v>1324.5</v>
      </c>
      <c r="H317" s="18">
        <f t="shared" si="10"/>
        <v>29.734375</v>
      </c>
      <c r="I317" s="5"/>
      <c r="J317" s="17">
        <v>241.49359999999999</v>
      </c>
      <c r="K317" s="18">
        <v>30.714200000000002</v>
      </c>
      <c r="L317" s="18">
        <v>39.189799999999998</v>
      </c>
      <c r="M317" s="18">
        <v>39.922499999999999</v>
      </c>
      <c r="N317" s="18">
        <v>1327.4336000000001</v>
      </c>
      <c r="O317" s="18">
        <f t="shared" si="11"/>
        <v>32.924687499999997</v>
      </c>
      <c r="P317" s="7"/>
      <c r="Q317" s="10"/>
      <c r="R317" s="11"/>
      <c r="S317" s="11"/>
      <c r="T317" s="26"/>
      <c r="U317" s="28">
        <f t="shared" si="12"/>
        <v>2.2148735371838955E-3</v>
      </c>
    </row>
    <row r="318" spans="1:21" ht="16.5" thickBot="1" x14ac:dyDescent="0.3">
      <c r="B318" s="12"/>
      <c r="C318" s="19">
        <v>108.42</v>
      </c>
      <c r="D318" s="20">
        <v>24.841999999999999</v>
      </c>
      <c r="E318" s="20">
        <v>36.709000000000003</v>
      </c>
      <c r="F318" s="20">
        <v>37.020000000000003</v>
      </c>
      <c r="G318" s="20">
        <v>1421.8</v>
      </c>
      <c r="H318" s="20">
        <f t="shared" si="10"/>
        <v>27.847625000000001</v>
      </c>
      <c r="I318" s="5"/>
      <c r="J318" s="19">
        <v>118.1448</v>
      </c>
      <c r="K318" s="20">
        <v>28.219100000000001</v>
      </c>
      <c r="L318" s="20">
        <v>38.005099999999999</v>
      </c>
      <c r="M318" s="20">
        <v>38.439</v>
      </c>
      <c r="N318" s="20">
        <v>1744.1859999999999</v>
      </c>
      <c r="O318" s="20">
        <f t="shared" si="11"/>
        <v>30.719837500000001</v>
      </c>
      <c r="P318" s="7"/>
      <c r="Q318" s="13"/>
      <c r="R318" s="14"/>
      <c r="S318" s="14"/>
      <c r="T318" s="27"/>
      <c r="U318" s="28">
        <f t="shared" si="12"/>
        <v>0.2267449711633141</v>
      </c>
    </row>
    <row r="319" spans="1:21" x14ac:dyDescent="0.25">
      <c r="B319" s="6" t="s">
        <v>59</v>
      </c>
      <c r="C319" s="29">
        <v>641.69000000000005</v>
      </c>
      <c r="D319" s="30">
        <v>31.033000000000001</v>
      </c>
      <c r="E319" s="30">
        <v>35.750999999999998</v>
      </c>
      <c r="F319" s="30">
        <v>36.284999999999997</v>
      </c>
      <c r="G319" s="16">
        <v>822.37</v>
      </c>
      <c r="H319" s="16">
        <f t="shared" si="10"/>
        <v>32.279250000000005</v>
      </c>
      <c r="I319" s="5"/>
      <c r="J319" s="29">
        <v>637.02080000000001</v>
      </c>
      <c r="K319" s="30">
        <v>33.307400000000001</v>
      </c>
      <c r="L319" s="30">
        <v>38.095199999999998</v>
      </c>
      <c r="M319" s="30">
        <v>38.846299999999999</v>
      </c>
      <c r="N319" s="16">
        <v>801.28210000000001</v>
      </c>
      <c r="O319" s="16">
        <f t="shared" si="11"/>
        <v>34.598237500000003</v>
      </c>
      <c r="P319" s="7"/>
      <c r="Q319" s="8">
        <f>bdrate(C319:C322,D319:D322,J319:J322,K319:K322)</f>
        <v>-0.45980567418557794</v>
      </c>
      <c r="R319" s="8">
        <f>bdrate(C319:C322,E319:E322,J319:J322,L319:L322)</f>
        <v>-0.59949887975685656</v>
      </c>
      <c r="S319" s="8">
        <f>bdrate(C319:C322,F319:F322,J319:J322,M319:M322)</f>
        <v>-0.63776028474249868</v>
      </c>
      <c r="T319" s="25">
        <f>bdrate(C319:C322,H319:H322,J319:J322,O319:O322)</f>
        <v>-0.49277665571758411</v>
      </c>
      <c r="U319" s="28">
        <f t="shared" si="12"/>
        <v>-2.5642837165752629E-2</v>
      </c>
    </row>
    <row r="320" spans="1:21" x14ac:dyDescent="0.25">
      <c r="B320" s="9"/>
      <c r="C320" s="31">
        <v>426.5</v>
      </c>
      <c r="D320" s="32">
        <v>29.602</v>
      </c>
      <c r="E320" s="32">
        <v>34.798999999999999</v>
      </c>
      <c r="F320" s="32">
        <v>35.363999999999997</v>
      </c>
      <c r="G320" s="18">
        <v>943.4</v>
      </c>
      <c r="H320" s="18">
        <f t="shared" si="10"/>
        <v>30.971875000000001</v>
      </c>
      <c r="I320" s="5"/>
      <c r="J320" s="31">
        <v>424.14960000000002</v>
      </c>
      <c r="K320" s="32">
        <v>31.745100000000001</v>
      </c>
      <c r="L320" s="32">
        <v>37.017699999999998</v>
      </c>
      <c r="M320" s="32">
        <v>37.724499999999999</v>
      </c>
      <c r="N320" s="18">
        <v>915.7509</v>
      </c>
      <c r="O320" s="18">
        <f t="shared" si="11"/>
        <v>33.151599999999995</v>
      </c>
      <c r="P320" s="7"/>
      <c r="Q320" s="10"/>
      <c r="R320" s="11"/>
      <c r="S320" s="11"/>
      <c r="T320" s="26"/>
      <c r="U320" s="28">
        <f t="shared" si="12"/>
        <v>-2.9307928768284901E-2</v>
      </c>
    </row>
    <row r="321" spans="1:21" x14ac:dyDescent="0.25">
      <c r="B321" s="9"/>
      <c r="C321" s="31">
        <v>265.10000000000002</v>
      </c>
      <c r="D321" s="32">
        <v>28.094999999999999</v>
      </c>
      <c r="E321" s="32">
        <v>33.923000000000002</v>
      </c>
      <c r="F321" s="32">
        <v>34.418999999999997</v>
      </c>
      <c r="G321" s="18">
        <v>1068.3800000000001</v>
      </c>
      <c r="H321" s="18">
        <f t="shared" si="10"/>
        <v>29.613999999999997</v>
      </c>
      <c r="I321" s="5"/>
      <c r="J321" s="31">
        <v>265.37920000000003</v>
      </c>
      <c r="K321" s="32">
        <v>30.0947</v>
      </c>
      <c r="L321" s="32">
        <v>35.845100000000002</v>
      </c>
      <c r="M321" s="32">
        <v>36.586300000000001</v>
      </c>
      <c r="N321" s="18">
        <v>1035.1967</v>
      </c>
      <c r="O321" s="18">
        <f t="shared" si="11"/>
        <v>31.624949999999998</v>
      </c>
      <c r="P321" s="7"/>
      <c r="Q321" s="10"/>
      <c r="R321" s="11"/>
      <c r="S321" s="11"/>
      <c r="T321" s="26"/>
      <c r="U321" s="28">
        <f t="shared" si="12"/>
        <v>-3.1059454501207569E-2</v>
      </c>
    </row>
    <row r="322" spans="1:21" ht="16.5" thickBot="1" x14ac:dyDescent="0.3">
      <c r="B322" s="12"/>
      <c r="C322" s="33">
        <v>125.35</v>
      </c>
      <c r="D322" s="34">
        <v>25.95</v>
      </c>
      <c r="E322" s="34">
        <v>32.463000000000001</v>
      </c>
      <c r="F322" s="34">
        <v>33.030999999999999</v>
      </c>
      <c r="G322" s="20">
        <v>1231.53</v>
      </c>
      <c r="H322" s="20">
        <f t="shared" si="10"/>
        <v>27.649249999999999</v>
      </c>
      <c r="I322" s="5"/>
      <c r="J322" s="33">
        <v>127.196</v>
      </c>
      <c r="K322" s="34">
        <v>27.701000000000001</v>
      </c>
      <c r="L322" s="34">
        <v>34.154400000000003</v>
      </c>
      <c r="M322" s="34">
        <v>34.946599999999997</v>
      </c>
      <c r="N322" s="20">
        <v>1333.3333</v>
      </c>
      <c r="O322" s="20">
        <f t="shared" si="11"/>
        <v>29.413375000000002</v>
      </c>
      <c r="P322" s="7"/>
      <c r="Q322" s="13"/>
      <c r="R322" s="14"/>
      <c r="S322" s="14"/>
      <c r="T322" s="27"/>
      <c r="U322" s="28">
        <f t="shared" si="12"/>
        <v>8.2664084512760583E-2</v>
      </c>
    </row>
    <row r="323" spans="1:21" x14ac:dyDescent="0.25">
      <c r="B323" s="6" t="s">
        <v>60</v>
      </c>
      <c r="C323" s="15">
        <v>580.66999999999996</v>
      </c>
      <c r="D323" s="16">
        <v>32.482999999999997</v>
      </c>
      <c r="E323" s="16">
        <v>36.469000000000001</v>
      </c>
      <c r="F323" s="16">
        <v>37.58</v>
      </c>
      <c r="G323" s="16">
        <v>533.80999999999995</v>
      </c>
      <c r="H323" s="16">
        <f t="shared" si="10"/>
        <v>33.618374999999993</v>
      </c>
      <c r="I323" s="5"/>
      <c r="J323" s="15">
        <v>619.08960000000002</v>
      </c>
      <c r="K323" s="16">
        <v>34.213200000000001</v>
      </c>
      <c r="L323" s="16">
        <v>37.7956</v>
      </c>
      <c r="M323" s="16">
        <v>38.844900000000003</v>
      </c>
      <c r="N323" s="16">
        <v>480.76920000000001</v>
      </c>
      <c r="O323" s="16">
        <f t="shared" si="11"/>
        <v>35.239962500000004</v>
      </c>
      <c r="P323" s="7"/>
      <c r="Q323" s="8">
        <f>bdrate(C323:C326,D323:D326,J323:J326,K323:K326)</f>
        <v>-0.23601376563613896</v>
      </c>
      <c r="R323" s="8">
        <f>bdrate(C323:C326,E323:E326,J323:J326,L323:L326)</f>
        <v>-0.28939810566180713</v>
      </c>
      <c r="S323" s="8">
        <f>bdrate(C323:C326,F323:F326,J323:J326,M323:M326)</f>
        <v>-0.29128410085254941</v>
      </c>
      <c r="T323" s="25">
        <f>bdrate(C323:C326,H323:H326,J323:J326,O323:O326)</f>
        <v>-0.24724447020427465</v>
      </c>
      <c r="U323" s="28">
        <f t="shared" si="12"/>
        <v>-9.9362694591708545E-2</v>
      </c>
    </row>
    <row r="324" spans="1:21" x14ac:dyDescent="0.25">
      <c r="B324" s="9"/>
      <c r="C324" s="17">
        <v>388.84</v>
      </c>
      <c r="D324" s="18">
        <v>30.920999999999999</v>
      </c>
      <c r="E324" s="18">
        <v>35.451999999999998</v>
      </c>
      <c r="F324" s="18">
        <v>36.462000000000003</v>
      </c>
      <c r="G324" s="18">
        <v>601.20000000000005</v>
      </c>
      <c r="H324" s="18">
        <f t="shared" si="10"/>
        <v>32.18</v>
      </c>
      <c r="I324" s="5"/>
      <c r="J324" s="17">
        <v>412.52800000000002</v>
      </c>
      <c r="K324" s="18">
        <v>32.374499999999998</v>
      </c>
      <c r="L324" s="18">
        <v>36.544499999999999</v>
      </c>
      <c r="M324" s="18">
        <v>37.5989</v>
      </c>
      <c r="N324" s="18">
        <v>564.97180000000003</v>
      </c>
      <c r="O324" s="18">
        <f t="shared" si="11"/>
        <v>33.5488</v>
      </c>
      <c r="P324" s="7"/>
      <c r="Q324" s="10"/>
      <c r="R324" s="11"/>
      <c r="S324" s="11"/>
      <c r="T324" s="26"/>
      <c r="U324" s="28">
        <f t="shared" si="12"/>
        <v>-6.0259813705921511E-2</v>
      </c>
    </row>
    <row r="325" spans="1:21" x14ac:dyDescent="0.25">
      <c r="B325" s="9"/>
      <c r="C325" s="17">
        <v>244.96</v>
      </c>
      <c r="D325" s="18">
        <v>29.363</v>
      </c>
      <c r="E325" s="18">
        <v>34.354999999999997</v>
      </c>
      <c r="F325" s="18">
        <v>35.317</v>
      </c>
      <c r="G325" s="18">
        <v>710.9</v>
      </c>
      <c r="H325" s="18">
        <f t="shared" si="10"/>
        <v>30.731249999999999</v>
      </c>
      <c r="I325" s="5"/>
      <c r="J325" s="17">
        <v>257.76479999999998</v>
      </c>
      <c r="K325" s="18">
        <v>30.456399999999999</v>
      </c>
      <c r="L325" s="18">
        <v>35.251899999999999</v>
      </c>
      <c r="M325" s="18">
        <v>36.280900000000003</v>
      </c>
      <c r="N325" s="18">
        <v>688.07339999999999</v>
      </c>
      <c r="O325" s="18">
        <f t="shared" si="11"/>
        <v>31.783899999999999</v>
      </c>
      <c r="P325" s="7"/>
      <c r="Q325" s="10"/>
      <c r="R325" s="11"/>
      <c r="S325" s="11"/>
      <c r="T325" s="26"/>
      <c r="U325" s="28">
        <f t="shared" si="12"/>
        <v>-3.2109438739625809E-2</v>
      </c>
    </row>
    <row r="326" spans="1:21" ht="16.5" thickBot="1" x14ac:dyDescent="0.3">
      <c r="B326" s="12"/>
      <c r="C326" s="19">
        <v>118.3</v>
      </c>
      <c r="D326" s="20">
        <v>27.248999999999999</v>
      </c>
      <c r="E326" s="20">
        <v>32.637999999999998</v>
      </c>
      <c r="F326" s="20">
        <v>33.57</v>
      </c>
      <c r="G326" s="20">
        <v>874.64</v>
      </c>
      <c r="H326" s="20">
        <f t="shared" si="10"/>
        <v>28.71275</v>
      </c>
      <c r="I326" s="5"/>
      <c r="J326" s="19">
        <v>123.524</v>
      </c>
      <c r="K326" s="20">
        <v>27.921099999999999</v>
      </c>
      <c r="L326" s="20">
        <v>33.622700000000002</v>
      </c>
      <c r="M326" s="20">
        <v>34.535899999999998</v>
      </c>
      <c r="N326" s="20">
        <v>961.5385</v>
      </c>
      <c r="O326" s="20">
        <f t="shared" si="11"/>
        <v>29.460650000000001</v>
      </c>
      <c r="P326" s="7"/>
      <c r="Q326" s="13"/>
      <c r="R326" s="14"/>
      <c r="S326" s="14"/>
      <c r="T326" s="27"/>
      <c r="U326" s="28">
        <f t="shared" si="12"/>
        <v>9.935344827586208E-2</v>
      </c>
    </row>
    <row r="327" spans="1:21" x14ac:dyDescent="0.25">
      <c r="A327" s="6" t="s">
        <v>43</v>
      </c>
      <c r="B327" s="6" t="s">
        <v>61</v>
      </c>
      <c r="C327" s="15">
        <v>1372.58</v>
      </c>
      <c r="D327" s="16">
        <v>39.481000000000002</v>
      </c>
      <c r="E327" s="16">
        <v>43.768999999999998</v>
      </c>
      <c r="F327" s="16">
        <v>44.890999999999998</v>
      </c>
      <c r="G327" s="16">
        <v>155.08000000000001</v>
      </c>
      <c r="H327" s="16">
        <f t="shared" si="10"/>
        <v>40.693250000000006</v>
      </c>
      <c r="I327" s="5"/>
      <c r="J327" s="15">
        <v>1548.4384</v>
      </c>
      <c r="K327" s="16">
        <v>41.369199999999999</v>
      </c>
      <c r="L327" s="16">
        <v>45.5242</v>
      </c>
      <c r="M327" s="16">
        <v>46.732900000000001</v>
      </c>
      <c r="N327" s="16">
        <v>212.53989999999999</v>
      </c>
      <c r="O327" s="16">
        <f t="shared" si="11"/>
        <v>42.559037500000002</v>
      </c>
      <c r="P327" s="7"/>
      <c r="Q327" s="8">
        <f>bdrate(C327:C330,D327:D330,J327:J330,K327:K330)</f>
        <v>-0.39183629717546309</v>
      </c>
      <c r="R327" s="8">
        <f>bdrate(C327:C330,E327:E330,J327:J330,L327:L330)</f>
        <v>-0.46916121355029039</v>
      </c>
      <c r="S327" s="8">
        <f>bdrate(C327:C330,F327:F330,J327:J330,M327:M330)</f>
        <v>-0.44458398250568809</v>
      </c>
      <c r="T327" s="25">
        <f>bdrate(C327:C330,H327:H330,J327:J330,O327:O330)</f>
        <v>-0.40353317753846363</v>
      </c>
      <c r="U327" s="28">
        <f t="shared" si="12"/>
        <v>0.3705177972659271</v>
      </c>
    </row>
    <row r="328" spans="1:21" x14ac:dyDescent="0.25">
      <c r="A328" s="9" t="s">
        <v>44</v>
      </c>
      <c r="B328" s="9"/>
      <c r="C328" s="17">
        <v>904.87</v>
      </c>
      <c r="D328" s="18">
        <v>37.918999999999997</v>
      </c>
      <c r="E328" s="18">
        <v>42.476999999999997</v>
      </c>
      <c r="F328" s="18">
        <v>43.633000000000003</v>
      </c>
      <c r="G328" s="18">
        <v>170.94</v>
      </c>
      <c r="H328" s="18">
        <f t="shared" si="10"/>
        <v>39.202999999999996</v>
      </c>
      <c r="I328" s="5"/>
      <c r="J328" s="17">
        <v>1014.4328</v>
      </c>
      <c r="K328" s="18">
        <v>40.054000000000002</v>
      </c>
      <c r="L328" s="18">
        <v>44.370199999999997</v>
      </c>
      <c r="M328" s="18">
        <v>45.516800000000003</v>
      </c>
      <c r="N328" s="18">
        <v>295.858</v>
      </c>
      <c r="O328" s="18">
        <f t="shared" si="11"/>
        <v>41.276375000000002</v>
      </c>
      <c r="P328" s="7"/>
      <c r="Q328" s="10"/>
      <c r="R328" s="11"/>
      <c r="S328" s="11"/>
      <c r="T328" s="26"/>
      <c r="U328" s="28">
        <f t="shared" si="12"/>
        <v>0.73077103077103078</v>
      </c>
    </row>
    <row r="329" spans="1:21" x14ac:dyDescent="0.25">
      <c r="B329" s="9"/>
      <c r="C329" s="17">
        <v>539.83000000000004</v>
      </c>
      <c r="D329" s="18">
        <v>35.682000000000002</v>
      </c>
      <c r="E329" s="18">
        <v>41.081000000000003</v>
      </c>
      <c r="F329" s="18">
        <v>42.192999999999998</v>
      </c>
      <c r="G329" s="18">
        <v>178.04</v>
      </c>
      <c r="H329" s="18">
        <f t="shared" si="10"/>
        <v>37.170749999999998</v>
      </c>
      <c r="I329" s="5"/>
      <c r="J329" s="17">
        <v>563.29759999999999</v>
      </c>
      <c r="K329" s="18">
        <v>38.074800000000003</v>
      </c>
      <c r="L329" s="18">
        <v>42.934699999999999</v>
      </c>
      <c r="M329" s="18">
        <v>44.000100000000003</v>
      </c>
      <c r="N329" s="18">
        <v>328.76710000000003</v>
      </c>
      <c r="O329" s="18">
        <f t="shared" si="11"/>
        <v>39.42295</v>
      </c>
      <c r="P329" s="7"/>
      <c r="Q329" s="10"/>
      <c r="R329" s="11"/>
      <c r="S329" s="11"/>
      <c r="T329" s="26"/>
      <c r="U329" s="28">
        <f t="shared" si="12"/>
        <v>0.84659121545720084</v>
      </c>
    </row>
    <row r="330" spans="1:21" ht="16.5" thickBot="1" x14ac:dyDescent="0.3">
      <c r="B330" s="12"/>
      <c r="C330" s="19">
        <v>266.45</v>
      </c>
      <c r="D330" s="20">
        <v>32.456000000000003</v>
      </c>
      <c r="E330" s="20">
        <v>39.942999999999998</v>
      </c>
      <c r="F330" s="20">
        <v>40.804000000000002</v>
      </c>
      <c r="G330" s="20">
        <v>191.33</v>
      </c>
      <c r="H330" s="20">
        <f t="shared" si="10"/>
        <v>34.435375000000008</v>
      </c>
      <c r="I330" s="5"/>
      <c r="J330" s="19">
        <v>277.45519999999999</v>
      </c>
      <c r="K330" s="20">
        <v>34.654400000000003</v>
      </c>
      <c r="L330" s="20">
        <v>40.968899999999998</v>
      </c>
      <c r="M330" s="20">
        <v>41.876399999999997</v>
      </c>
      <c r="N330" s="20">
        <v>388.601</v>
      </c>
      <c r="O330" s="20">
        <f t="shared" si="11"/>
        <v>36.346462500000001</v>
      </c>
      <c r="P330" s="7"/>
      <c r="Q330" s="13"/>
      <c r="R330" s="14"/>
      <c r="S330" s="14"/>
      <c r="T330" s="27"/>
      <c r="U330" s="28">
        <f t="shared" si="12"/>
        <v>1.0310510636073797</v>
      </c>
    </row>
    <row r="331" spans="1:21" x14ac:dyDescent="0.25">
      <c r="B331" s="6" t="s">
        <v>62</v>
      </c>
      <c r="C331" s="15">
        <v>1426.75</v>
      </c>
      <c r="D331" s="16">
        <v>41.470999999999997</v>
      </c>
      <c r="E331" s="16">
        <v>46.238</v>
      </c>
      <c r="F331" s="16">
        <v>46.866</v>
      </c>
      <c r="G331" s="16">
        <v>152.01</v>
      </c>
      <c r="H331" s="16">
        <f t="shared" si="10"/>
        <v>42.741249999999994</v>
      </c>
      <c r="I331" s="5"/>
      <c r="J331" s="15">
        <v>1477.2416000000001</v>
      </c>
      <c r="K331" s="16">
        <v>42.554499999999997</v>
      </c>
      <c r="L331" s="16">
        <v>47.655999999999999</v>
      </c>
      <c r="M331" s="16">
        <v>48.341500000000003</v>
      </c>
      <c r="N331" s="16">
        <v>218.57919999999999</v>
      </c>
      <c r="O331" s="16">
        <f t="shared" si="11"/>
        <v>43.9155625</v>
      </c>
      <c r="P331" s="7"/>
      <c r="Q331" s="8">
        <f>bdrate(C331:C334,D331:D334,J331:J334,K331:K334)</f>
        <v>-0.46211795745971196</v>
      </c>
      <c r="R331" s="8">
        <f>bdrate(C331:C334,E331:E334,J331:J334,L331:L334)</f>
        <v>-0.55019485073779884</v>
      </c>
      <c r="S331" s="8">
        <f>bdrate(C331:C334,F331:F334,J331:J334,M331:M334)</f>
        <v>-0.51751963850667382</v>
      </c>
      <c r="T331" s="25">
        <f>bdrate(C331:C334,H331:H334,J331:J334,O331:O334)</f>
        <v>-0.48099777532124477</v>
      </c>
      <c r="U331" s="28">
        <f t="shared" ref="U331:U490" si="13">(N331-G331)/G331</f>
        <v>0.43792645220709164</v>
      </c>
    </row>
    <row r="332" spans="1:21" x14ac:dyDescent="0.25">
      <c r="B332" s="9"/>
      <c r="C332" s="17">
        <v>937.31</v>
      </c>
      <c r="D332" s="18">
        <v>40.655999999999999</v>
      </c>
      <c r="E332" s="18">
        <v>45.381</v>
      </c>
      <c r="F332" s="18">
        <v>46.064999999999998</v>
      </c>
      <c r="G332" s="18">
        <v>171.72</v>
      </c>
      <c r="H332" s="18">
        <f t="shared" si="10"/>
        <v>41.922750000000001</v>
      </c>
      <c r="I332" s="5"/>
      <c r="J332" s="17">
        <v>986.42</v>
      </c>
      <c r="K332" s="18">
        <v>42.005000000000003</v>
      </c>
      <c r="L332" s="18">
        <v>47.081299999999999</v>
      </c>
      <c r="M332" s="18">
        <v>47.692799999999998</v>
      </c>
      <c r="N332" s="18">
        <v>337.45780000000002</v>
      </c>
      <c r="O332" s="18">
        <f t="shared" si="11"/>
        <v>43.350512500000001</v>
      </c>
      <c r="P332" s="7"/>
      <c r="Q332" s="10"/>
      <c r="R332" s="11"/>
      <c r="S332" s="11"/>
      <c r="T332" s="26"/>
      <c r="U332" s="28">
        <f t="shared" si="13"/>
        <v>0.96516305613789899</v>
      </c>
    </row>
    <row r="333" spans="1:21" x14ac:dyDescent="0.25">
      <c r="B333" s="9"/>
      <c r="C333" s="17">
        <v>548.96</v>
      </c>
      <c r="D333" s="18">
        <v>39.453000000000003</v>
      </c>
      <c r="E333" s="18">
        <v>44.152999999999999</v>
      </c>
      <c r="F333" s="18">
        <v>44.817999999999998</v>
      </c>
      <c r="G333" s="18">
        <v>179.69</v>
      </c>
      <c r="H333" s="18">
        <f t="shared" si="10"/>
        <v>40.711125000000003</v>
      </c>
      <c r="I333" s="5"/>
      <c r="J333" s="17">
        <v>591.54639999999995</v>
      </c>
      <c r="K333" s="18">
        <v>41.055999999999997</v>
      </c>
      <c r="L333" s="18">
        <v>46.142400000000002</v>
      </c>
      <c r="M333" s="18">
        <v>46.711199999999998</v>
      </c>
      <c r="N333" s="18">
        <v>369.91370000000001</v>
      </c>
      <c r="O333" s="18">
        <f t="shared" si="11"/>
        <v>42.398699999999998</v>
      </c>
      <c r="P333" s="7"/>
      <c r="Q333" s="10"/>
      <c r="R333" s="11"/>
      <c r="S333" s="11"/>
      <c r="T333" s="26"/>
      <c r="U333" s="28">
        <f t="shared" si="13"/>
        <v>1.058621514831098</v>
      </c>
    </row>
    <row r="334" spans="1:21" ht="16.5" thickBot="1" x14ac:dyDescent="0.3">
      <c r="B334" s="12"/>
      <c r="C334" s="19">
        <v>265.58999999999997</v>
      </c>
      <c r="D334" s="20">
        <v>37.122</v>
      </c>
      <c r="E334" s="20">
        <v>42.155000000000001</v>
      </c>
      <c r="F334" s="20">
        <v>42.704999999999998</v>
      </c>
      <c r="G334" s="20">
        <v>192.31</v>
      </c>
      <c r="H334" s="20">
        <f t="shared" si="10"/>
        <v>38.448999999999998</v>
      </c>
      <c r="I334" s="5"/>
      <c r="J334" s="19">
        <v>276.43360000000001</v>
      </c>
      <c r="K334" s="20">
        <v>39.1008</v>
      </c>
      <c r="L334" s="20">
        <v>44.300600000000003</v>
      </c>
      <c r="M334" s="20">
        <v>44.742800000000003</v>
      </c>
      <c r="N334" s="20">
        <v>404.85829999999999</v>
      </c>
      <c r="O334" s="20">
        <f t="shared" si="11"/>
        <v>40.456024999999997</v>
      </c>
      <c r="P334" s="7"/>
      <c r="Q334" s="13"/>
      <c r="R334" s="14"/>
      <c r="S334" s="14"/>
      <c r="T334" s="27"/>
      <c r="U334" s="28">
        <f t="shared" si="13"/>
        <v>1.1052378971452341</v>
      </c>
    </row>
    <row r="335" spans="1:21" x14ac:dyDescent="0.25">
      <c r="B335" s="6" t="s">
        <v>63</v>
      </c>
      <c r="C335" s="15">
        <v>1492.75</v>
      </c>
      <c r="D335" s="16">
        <v>41.118000000000002</v>
      </c>
      <c r="E335" s="16">
        <v>45.261000000000003</v>
      </c>
      <c r="F335" s="16">
        <v>46.055999999999997</v>
      </c>
      <c r="G335" s="16">
        <v>144.06</v>
      </c>
      <c r="H335" s="16">
        <f t="shared" si="10"/>
        <v>42.253125000000004</v>
      </c>
      <c r="I335" s="5"/>
      <c r="J335" s="15">
        <v>1541.8304000000001</v>
      </c>
      <c r="K335" s="16">
        <v>42.4283</v>
      </c>
      <c r="L335" s="16">
        <v>46.671199999999999</v>
      </c>
      <c r="M335" s="16">
        <v>47.493699999999997</v>
      </c>
      <c r="N335" s="16">
        <v>171.72300000000001</v>
      </c>
      <c r="O335" s="16">
        <f t="shared" si="11"/>
        <v>43.591837499999997</v>
      </c>
      <c r="P335" s="7"/>
      <c r="Q335" s="8">
        <f>bdrate(C335:C338,D335:D338,J335:J338,K335:K338)</f>
        <v>-0.42653377794994407</v>
      </c>
      <c r="R335" s="8">
        <f>bdrate(C335:C338,E335:E338,J335:J338,L335:L338)</f>
        <v>-0.46175789276141554</v>
      </c>
      <c r="S335" s="8">
        <f>bdrate(C335:C338,F335:F338,J335:J338,M335:M338)</f>
        <v>-0.44723232386918976</v>
      </c>
      <c r="T335" s="25">
        <f>bdrate(C335:C338,H335:H338,J335:J338,O335:O338)</f>
        <v>-0.43225391370794919</v>
      </c>
      <c r="U335" s="28">
        <f t="shared" si="13"/>
        <v>0.19202415660141614</v>
      </c>
    </row>
    <row r="336" spans="1:21" x14ac:dyDescent="0.25">
      <c r="B336" s="9"/>
      <c r="C336" s="17">
        <v>984.41</v>
      </c>
      <c r="D336" s="18">
        <v>39.908999999999999</v>
      </c>
      <c r="E336" s="18">
        <v>44.180999999999997</v>
      </c>
      <c r="F336" s="18">
        <v>44.975999999999999</v>
      </c>
      <c r="G336" s="18">
        <v>165.06</v>
      </c>
      <c r="H336" s="18">
        <f t="shared" si="10"/>
        <v>41.076374999999999</v>
      </c>
      <c r="I336" s="5"/>
      <c r="J336" s="17">
        <v>1005.728</v>
      </c>
      <c r="K336" s="18">
        <v>41.590299999999999</v>
      </c>
      <c r="L336" s="18">
        <v>45.846499999999999</v>
      </c>
      <c r="M336" s="18">
        <v>46.686199999999999</v>
      </c>
      <c r="N336" s="18">
        <v>310.23779999999999</v>
      </c>
      <c r="O336" s="18">
        <f t="shared" si="11"/>
        <v>42.7593125</v>
      </c>
      <c r="P336" s="7"/>
      <c r="Q336" s="10"/>
      <c r="R336" s="11"/>
      <c r="S336" s="11"/>
      <c r="T336" s="26"/>
      <c r="U336" s="28">
        <f t="shared" si="13"/>
        <v>0.87954561977462731</v>
      </c>
    </row>
    <row r="337" spans="1:21" x14ac:dyDescent="0.25">
      <c r="B337" s="9"/>
      <c r="C337" s="17">
        <v>583</v>
      </c>
      <c r="D337" s="18">
        <v>38.085999999999999</v>
      </c>
      <c r="E337" s="18">
        <v>42.676000000000002</v>
      </c>
      <c r="F337" s="18">
        <v>43.621000000000002</v>
      </c>
      <c r="G337" s="18">
        <v>171.67</v>
      </c>
      <c r="H337" s="18">
        <f t="shared" si="10"/>
        <v>39.351624999999999</v>
      </c>
      <c r="I337" s="5"/>
      <c r="J337" s="17">
        <v>598.04880000000003</v>
      </c>
      <c r="K337" s="18">
        <v>40.1158</v>
      </c>
      <c r="L337" s="18">
        <v>44.502800000000001</v>
      </c>
      <c r="M337" s="18">
        <v>45.247300000000003</v>
      </c>
      <c r="N337" s="18">
        <v>343.44589999999999</v>
      </c>
      <c r="O337" s="18">
        <f t="shared" si="11"/>
        <v>41.305612499999995</v>
      </c>
      <c r="P337" s="7"/>
      <c r="Q337" s="10"/>
      <c r="R337" s="11"/>
      <c r="S337" s="11"/>
      <c r="T337" s="26"/>
      <c r="U337" s="28">
        <f t="shared" si="13"/>
        <v>1.0006168812256073</v>
      </c>
    </row>
    <row r="338" spans="1:21" ht="16.5" thickBot="1" x14ac:dyDescent="0.3">
      <c r="B338" s="12"/>
      <c r="C338" s="19">
        <v>285.54000000000002</v>
      </c>
      <c r="D338" s="20">
        <v>34.918999999999997</v>
      </c>
      <c r="E338" s="20">
        <v>40.899000000000001</v>
      </c>
      <c r="F338" s="20">
        <v>41.776000000000003</v>
      </c>
      <c r="G338" s="20">
        <v>183.15</v>
      </c>
      <c r="H338" s="20">
        <f t="shared" si="10"/>
        <v>36.523624999999996</v>
      </c>
      <c r="I338" s="5"/>
      <c r="J338" s="19">
        <v>293.93599999999998</v>
      </c>
      <c r="K338" s="20">
        <v>37.4587</v>
      </c>
      <c r="L338" s="20">
        <v>42.450099999999999</v>
      </c>
      <c r="M338" s="20">
        <v>43.302799999999998</v>
      </c>
      <c r="N338" s="20">
        <v>359.28140000000002</v>
      </c>
      <c r="O338" s="20">
        <f t="shared" si="11"/>
        <v>38.813137500000003</v>
      </c>
      <c r="P338" s="7"/>
      <c r="Q338" s="13"/>
      <c r="R338" s="14"/>
      <c r="S338" s="14"/>
      <c r="T338" s="27"/>
      <c r="U338" s="28">
        <f t="shared" si="13"/>
        <v>0.96167840567840568</v>
      </c>
    </row>
    <row r="339" spans="1:21" hidden="1" x14ac:dyDescent="0.25">
      <c r="A339" s="6" t="s">
        <v>71</v>
      </c>
      <c r="B339" s="6" t="s">
        <v>73</v>
      </c>
      <c r="C339" s="15">
        <v>1241.17</v>
      </c>
      <c r="D339" s="16">
        <v>32.729999999999997</v>
      </c>
      <c r="E339" s="16">
        <v>35.94</v>
      </c>
      <c r="F339" s="16">
        <v>35.871000000000002</v>
      </c>
      <c r="G339" s="16">
        <v>237.42</v>
      </c>
      <c r="H339" s="16">
        <f t="shared" ref="H339:H498" si="14">(6*D339+E339+F339)/8</f>
        <v>33.523874999999997</v>
      </c>
      <c r="I339" s="5"/>
      <c r="J339" s="15">
        <v>1242.8104000000001</v>
      </c>
      <c r="K339" s="16">
        <v>34.622</v>
      </c>
      <c r="L339" s="16">
        <v>38.153399999999998</v>
      </c>
      <c r="M339" s="16">
        <v>38.084499999999998</v>
      </c>
      <c r="N339" s="16">
        <v>344.5899</v>
      </c>
      <c r="O339" s="16">
        <f t="shared" ref="O339:O498" si="15">(6*K339+L339+M339)/8</f>
        <v>35.496237499999999</v>
      </c>
      <c r="P339" s="7"/>
      <c r="Q339" s="8">
        <f>bdrate(C339:C342,D339:D342,J339:J342,K339:K342)</f>
        <v>-0.37102676780893196</v>
      </c>
      <c r="R339" s="8">
        <f>bdrate(C339:C342,E339:E342,J339:J342,L339:L342)</f>
        <v>-0.45752151041470224</v>
      </c>
      <c r="S339" s="8">
        <f>bdrate(C339:C342,F339:F342,J339:J342,M339:M342)</f>
        <v>-0.40865175010466259</v>
      </c>
      <c r="T339" s="25">
        <f>bdrate(C339:C342,H339:H342,J339:J342,O339:O342)</f>
        <v>-0.38464454871162745</v>
      </c>
      <c r="U339" s="28">
        <f t="shared" si="13"/>
        <v>0.45139373262572663</v>
      </c>
    </row>
    <row r="340" spans="1:21" hidden="1" x14ac:dyDescent="0.25">
      <c r="A340" s="9" t="s">
        <v>72</v>
      </c>
      <c r="B340" s="9"/>
      <c r="C340" s="17">
        <v>826.54</v>
      </c>
      <c r="D340" s="18">
        <v>31.161000000000001</v>
      </c>
      <c r="E340" s="18">
        <v>34.762999999999998</v>
      </c>
      <c r="F340" s="18">
        <v>34.645000000000003</v>
      </c>
      <c r="G340" s="18">
        <v>267.08999999999997</v>
      </c>
      <c r="H340" s="18">
        <f t="shared" si="14"/>
        <v>32.046750000000003</v>
      </c>
      <c r="I340" s="5"/>
      <c r="J340" s="17">
        <v>829.05200000000002</v>
      </c>
      <c r="K340" s="18">
        <v>32.997999999999998</v>
      </c>
      <c r="L340" s="18">
        <v>36.746099999999998</v>
      </c>
      <c r="M340" s="18">
        <v>36.536000000000001</v>
      </c>
      <c r="N340" s="18">
        <v>410.84629999999999</v>
      </c>
      <c r="O340" s="18">
        <f t="shared" si="15"/>
        <v>33.908762500000002</v>
      </c>
      <c r="P340" s="7"/>
      <c r="Q340" s="10"/>
      <c r="R340" s="11"/>
      <c r="S340" s="11"/>
      <c r="T340" s="26"/>
      <c r="U340" s="28">
        <f t="shared" si="13"/>
        <v>0.53823168220450046</v>
      </c>
    </row>
    <row r="341" spans="1:21" hidden="1" x14ac:dyDescent="0.25">
      <c r="B341" s="9"/>
      <c r="C341" s="17">
        <v>511.65</v>
      </c>
      <c r="D341" s="18">
        <v>29.332000000000001</v>
      </c>
      <c r="E341" s="18">
        <v>33.436</v>
      </c>
      <c r="F341" s="18">
        <v>33.280999999999999</v>
      </c>
      <c r="G341" s="18">
        <v>296.74</v>
      </c>
      <c r="H341" s="18">
        <f t="shared" si="14"/>
        <v>30.338625000000004</v>
      </c>
      <c r="I341" s="5"/>
      <c r="J341" s="17">
        <v>516.93520000000001</v>
      </c>
      <c r="K341" s="18">
        <v>31.165299999999998</v>
      </c>
      <c r="L341" s="18">
        <v>35.215499999999999</v>
      </c>
      <c r="M341" s="18">
        <v>34.851300000000002</v>
      </c>
      <c r="N341" s="18">
        <v>478.01150000000001</v>
      </c>
      <c r="O341" s="18">
        <f t="shared" si="15"/>
        <v>32.132324999999994</v>
      </c>
      <c r="P341" s="7"/>
      <c r="Q341" s="10"/>
      <c r="R341" s="11"/>
      <c r="S341" s="11"/>
      <c r="T341" s="26"/>
      <c r="U341" s="28">
        <f t="shared" si="13"/>
        <v>0.61087652490395628</v>
      </c>
    </row>
    <row r="342" spans="1:21" ht="16.5" hidden="1" thickBot="1" x14ac:dyDescent="0.3">
      <c r="B342" s="12"/>
      <c r="C342" s="19">
        <v>304.41000000000003</v>
      </c>
      <c r="D342" s="20">
        <v>27.568999999999999</v>
      </c>
      <c r="E342" s="20">
        <v>32.042000000000002</v>
      </c>
      <c r="F342" s="20">
        <v>31.859000000000002</v>
      </c>
      <c r="G342" s="20">
        <v>333.78</v>
      </c>
      <c r="H342" s="20">
        <f t="shared" si="14"/>
        <v>28.664375</v>
      </c>
      <c r="I342" s="5"/>
      <c r="J342" s="19">
        <v>309.86799999999999</v>
      </c>
      <c r="K342" s="20">
        <v>29.080400000000001</v>
      </c>
      <c r="L342" s="20">
        <v>33.619700000000002</v>
      </c>
      <c r="M342" s="20">
        <v>33.186300000000003</v>
      </c>
      <c r="N342" s="20">
        <v>525.76239999999996</v>
      </c>
      <c r="O342" s="20">
        <f t="shared" si="15"/>
        <v>30.161050000000003</v>
      </c>
      <c r="P342" s="7"/>
      <c r="Q342" s="13"/>
      <c r="R342" s="14"/>
      <c r="S342" s="14"/>
      <c r="T342" s="27"/>
      <c r="U342" s="28">
        <f t="shared" si="13"/>
        <v>0.57517646353885798</v>
      </c>
    </row>
    <row r="343" spans="1:21" hidden="1" x14ac:dyDescent="0.25">
      <c r="B343" s="6" t="s">
        <v>74</v>
      </c>
      <c r="C343" s="15">
        <v>1119.4100000000001</v>
      </c>
      <c r="D343" s="16">
        <v>31.234999999999999</v>
      </c>
      <c r="E343" s="16">
        <v>38.417000000000002</v>
      </c>
      <c r="F343" s="16">
        <v>37.482999999999997</v>
      </c>
      <c r="G343" s="16">
        <v>124.22</v>
      </c>
      <c r="H343" s="16">
        <f t="shared" si="14"/>
        <v>32.91375</v>
      </c>
      <c r="I343" s="5"/>
      <c r="J343" s="15">
        <v>1240.2998</v>
      </c>
      <c r="K343" s="16">
        <v>32.823399999999999</v>
      </c>
      <c r="L343" s="16">
        <v>40.110700000000001</v>
      </c>
      <c r="M343" s="16">
        <v>39.456000000000003</v>
      </c>
      <c r="N343" s="16">
        <v>191.86490000000001</v>
      </c>
      <c r="O343" s="16">
        <f t="shared" si="15"/>
        <v>34.563387500000005</v>
      </c>
      <c r="P343" s="7"/>
      <c r="Q343" s="8">
        <f>bdrate(C343:C346,D343:D346,J343:J346,K343:K346)</f>
        <v>-0.32701147747285009</v>
      </c>
      <c r="R343" s="8">
        <f>bdrate(C343:C346,E343:E346,J343:J346,L343:L346)</f>
        <v>-0.44810426403646508</v>
      </c>
      <c r="S343" s="8">
        <f>bdrate(C343:C346,F343:F346,J343:J346,M343:M346)</f>
        <v>-0.45869899438473349</v>
      </c>
      <c r="T343" s="25">
        <f>bdrate(C343:C346,H343:H346,J343:J346,O343:O346)</f>
        <v>-0.35358038207857267</v>
      </c>
      <c r="U343" s="28">
        <f t="shared" si="13"/>
        <v>0.54455723715987769</v>
      </c>
    </row>
    <row r="344" spans="1:21" hidden="1" x14ac:dyDescent="0.25">
      <c r="B344" s="9"/>
      <c r="C344" s="17">
        <v>745.5</v>
      </c>
      <c r="D344" s="18">
        <v>29.893999999999998</v>
      </c>
      <c r="E344" s="18">
        <v>37.526000000000003</v>
      </c>
      <c r="F344" s="18">
        <v>36.42</v>
      </c>
      <c r="G344" s="18">
        <v>141.19999999999999</v>
      </c>
      <c r="H344" s="18">
        <f t="shared" si="14"/>
        <v>31.66375</v>
      </c>
      <c r="I344" s="5"/>
      <c r="J344" s="17">
        <v>825.44060000000002</v>
      </c>
      <c r="K344" s="18">
        <v>31.4711</v>
      </c>
      <c r="L344" s="18">
        <v>39.107100000000003</v>
      </c>
      <c r="M344" s="18">
        <v>38.338099999999997</v>
      </c>
      <c r="N344" s="18">
        <v>210.7038</v>
      </c>
      <c r="O344" s="18">
        <f t="shared" si="15"/>
        <v>33.283974999999998</v>
      </c>
      <c r="P344" s="7"/>
      <c r="Q344" s="10"/>
      <c r="R344" s="11"/>
      <c r="S344" s="11"/>
      <c r="T344" s="26"/>
      <c r="U344" s="28">
        <f t="shared" si="13"/>
        <v>0.49223654390934857</v>
      </c>
    </row>
    <row r="345" spans="1:21" hidden="1" x14ac:dyDescent="0.25">
      <c r="B345" s="9"/>
      <c r="C345" s="17">
        <v>466.93</v>
      </c>
      <c r="D345" s="18">
        <v>28.408000000000001</v>
      </c>
      <c r="E345" s="18">
        <v>36.658999999999999</v>
      </c>
      <c r="F345" s="18">
        <v>35.450000000000003</v>
      </c>
      <c r="G345" s="18">
        <v>157.88</v>
      </c>
      <c r="H345" s="18">
        <f t="shared" si="14"/>
        <v>30.319625000000002</v>
      </c>
      <c r="I345" s="5"/>
      <c r="J345" s="17">
        <v>513.80740000000003</v>
      </c>
      <c r="K345" s="18">
        <v>29.957899999999999</v>
      </c>
      <c r="L345" s="18">
        <v>38.030799999999999</v>
      </c>
      <c r="M345" s="18">
        <v>37.0319</v>
      </c>
      <c r="N345" s="18">
        <v>242.83629999999999</v>
      </c>
      <c r="O345" s="18">
        <f t="shared" si="15"/>
        <v>31.851262500000001</v>
      </c>
      <c r="P345" s="7"/>
      <c r="Q345" s="10"/>
      <c r="R345" s="11"/>
      <c r="S345" s="11"/>
      <c r="T345" s="26"/>
      <c r="U345" s="28">
        <f t="shared" si="13"/>
        <v>0.53810678996706363</v>
      </c>
    </row>
    <row r="346" spans="1:21" ht="16.5" hidden="1" thickBot="1" x14ac:dyDescent="0.3">
      <c r="B346" s="12"/>
      <c r="C346" s="19">
        <v>280.76</v>
      </c>
      <c r="D346" s="20">
        <v>26.988</v>
      </c>
      <c r="E346" s="20">
        <v>35.686999999999998</v>
      </c>
      <c r="F346" s="20">
        <v>34.476999999999997</v>
      </c>
      <c r="G346" s="20">
        <v>177.05</v>
      </c>
      <c r="H346" s="20">
        <f t="shared" si="14"/>
        <v>29.011500000000002</v>
      </c>
      <c r="I346" s="5"/>
      <c r="J346" s="19">
        <v>308.59679999999997</v>
      </c>
      <c r="K346" s="20">
        <v>28.419</v>
      </c>
      <c r="L346" s="20">
        <v>36.9011</v>
      </c>
      <c r="M346" s="20">
        <v>35.801699999999997</v>
      </c>
      <c r="N346" s="20">
        <v>250.37559999999999</v>
      </c>
      <c r="O346" s="20">
        <f t="shared" si="15"/>
        <v>30.402099999999997</v>
      </c>
      <c r="P346" s="7"/>
      <c r="Q346" s="13"/>
      <c r="R346" s="14"/>
      <c r="S346" s="14"/>
      <c r="T346" s="27"/>
      <c r="U346" s="28">
        <f t="shared" si="13"/>
        <v>0.41415193448178467</v>
      </c>
    </row>
    <row r="347" spans="1:21" hidden="1" x14ac:dyDescent="0.25">
      <c r="B347" s="6" t="s">
        <v>75</v>
      </c>
      <c r="C347" s="15">
        <v>856.46</v>
      </c>
      <c r="D347" s="16">
        <v>40.048999999999999</v>
      </c>
      <c r="E347" s="16">
        <v>42.598999999999997</v>
      </c>
      <c r="F347" s="16">
        <v>42.42</v>
      </c>
      <c r="G347" s="16">
        <v>192.31</v>
      </c>
      <c r="H347" s="16">
        <f t="shared" si="14"/>
        <v>40.664124999999999</v>
      </c>
      <c r="I347" s="5"/>
      <c r="J347" s="15">
        <v>983.71759999999995</v>
      </c>
      <c r="K347" s="16">
        <v>48.064500000000002</v>
      </c>
      <c r="L347" s="16">
        <v>48.2333</v>
      </c>
      <c r="M347" s="16">
        <v>48.016300000000001</v>
      </c>
      <c r="N347" s="16">
        <v>168.72890000000001</v>
      </c>
      <c r="O347" s="16">
        <f t="shared" si="15"/>
        <v>48.079574999999998</v>
      </c>
      <c r="P347" s="7"/>
      <c r="Q347" s="8">
        <f>bdrate(C347:C350,D347:D350,J347:J350,K347:K350)</f>
        <v>-0.44719626820502312</v>
      </c>
      <c r="R347" s="8">
        <f>bdrate(C347:C350,E347:E350,J347:J350,L347:L350)</f>
        <v>-0.37969216560141184</v>
      </c>
      <c r="S347" s="8">
        <f>bdrate(C347:C350,F347:F350,J347:J350,M347:M350)</f>
        <v>-0.37941746493289263</v>
      </c>
      <c r="T347" s="25">
        <f>bdrate(C347:C350,H347:H350,J347:J350,O347:O350)</f>
        <v>-0.43630632719344675</v>
      </c>
      <c r="U347" s="28">
        <f t="shared" si="13"/>
        <v>-0.12262024855701727</v>
      </c>
    </row>
    <row r="348" spans="1:21" hidden="1" x14ac:dyDescent="0.25">
      <c r="B348" s="9"/>
      <c r="C348" s="17">
        <v>614.46</v>
      </c>
      <c r="D348" s="18">
        <v>35.789000000000001</v>
      </c>
      <c r="E348" s="18">
        <v>40.030999999999999</v>
      </c>
      <c r="F348" s="18">
        <v>39.753</v>
      </c>
      <c r="G348" s="18">
        <v>211.27</v>
      </c>
      <c r="H348" s="18">
        <f t="shared" si="14"/>
        <v>36.814750000000004</v>
      </c>
      <c r="I348" s="5"/>
      <c r="J348" s="17">
        <v>771.74239999999998</v>
      </c>
      <c r="K348" s="18">
        <v>45.832500000000003</v>
      </c>
      <c r="L348" s="18">
        <v>46.383299999999998</v>
      </c>
      <c r="M348" s="18">
        <v>46.157499999999999</v>
      </c>
      <c r="N348" s="18">
        <v>300.60120000000001</v>
      </c>
      <c r="O348" s="18">
        <f t="shared" si="15"/>
        <v>45.941974999999999</v>
      </c>
      <c r="P348" s="7"/>
      <c r="Q348" s="10"/>
      <c r="R348" s="11"/>
      <c r="S348" s="11"/>
      <c r="T348" s="26"/>
      <c r="U348" s="28">
        <f t="shared" si="13"/>
        <v>0.42282955459838117</v>
      </c>
    </row>
    <row r="349" spans="1:21" hidden="1" x14ac:dyDescent="0.25">
      <c r="B349" s="9"/>
      <c r="C349" s="17">
        <v>409.35</v>
      </c>
      <c r="D349" s="18">
        <v>31.268000000000001</v>
      </c>
      <c r="E349" s="18">
        <v>37.982999999999997</v>
      </c>
      <c r="F349" s="18">
        <v>37.552999999999997</v>
      </c>
      <c r="G349" s="18">
        <v>218.5</v>
      </c>
      <c r="H349" s="18">
        <f t="shared" si="14"/>
        <v>32.893000000000001</v>
      </c>
      <c r="I349" s="5"/>
      <c r="J349" s="17">
        <v>537.04639999999995</v>
      </c>
      <c r="K349" s="18">
        <v>41.186599999999999</v>
      </c>
      <c r="L349" s="18">
        <v>42.570900000000002</v>
      </c>
      <c r="M349" s="18">
        <v>42.3827</v>
      </c>
      <c r="N349" s="18">
        <v>376.88440000000003</v>
      </c>
      <c r="O349" s="18">
        <f t="shared" si="15"/>
        <v>41.509149999999998</v>
      </c>
      <c r="P349" s="7"/>
      <c r="Q349" s="10"/>
      <c r="R349" s="11"/>
      <c r="S349" s="11"/>
      <c r="T349" s="26"/>
      <c r="U349" s="28">
        <f t="shared" si="13"/>
        <v>0.72487139588100702</v>
      </c>
    </row>
    <row r="350" spans="1:21" ht="16.5" hidden="1" thickBot="1" x14ac:dyDescent="0.3">
      <c r="B350" s="12"/>
      <c r="C350" s="19">
        <v>199.87</v>
      </c>
      <c r="D350" s="20">
        <v>26.013000000000002</v>
      </c>
      <c r="E350" s="20">
        <v>36.328000000000003</v>
      </c>
      <c r="F350" s="20">
        <v>35.345999999999997</v>
      </c>
      <c r="G350" s="20">
        <v>220.91</v>
      </c>
      <c r="H350" s="20">
        <f t="shared" si="14"/>
        <v>28.469000000000001</v>
      </c>
      <c r="I350" s="5"/>
      <c r="J350" s="19">
        <v>295.26479999999998</v>
      </c>
      <c r="K350" s="20">
        <v>34.454000000000001</v>
      </c>
      <c r="L350" s="20">
        <v>38.515500000000003</v>
      </c>
      <c r="M350" s="20">
        <v>38.1676</v>
      </c>
      <c r="N350" s="20">
        <v>409.27690000000001</v>
      </c>
      <c r="O350" s="20">
        <f t="shared" si="15"/>
        <v>35.425887500000002</v>
      </c>
      <c r="P350" s="7"/>
      <c r="Q350" s="13"/>
      <c r="R350" s="14"/>
      <c r="S350" s="14"/>
      <c r="T350" s="27"/>
      <c r="U350" s="28">
        <f t="shared" si="13"/>
        <v>0.85268616178534251</v>
      </c>
    </row>
    <row r="351" spans="1:21" hidden="1" x14ac:dyDescent="0.25">
      <c r="B351" s="6" t="s">
        <v>76</v>
      </c>
      <c r="C351" s="15">
        <v>1057.33</v>
      </c>
      <c r="D351" s="16">
        <v>44.917000000000002</v>
      </c>
      <c r="E351" s="16">
        <v>49.9</v>
      </c>
      <c r="F351" s="16">
        <v>51.085999999999999</v>
      </c>
      <c r="G351" s="16">
        <v>155.57</v>
      </c>
      <c r="H351" s="16">
        <f t="shared" si="14"/>
        <v>46.311</v>
      </c>
      <c r="I351" s="5"/>
      <c r="J351" s="15">
        <v>1147.5360000000001</v>
      </c>
      <c r="K351" s="16">
        <v>49.582000000000001</v>
      </c>
      <c r="L351" s="16">
        <v>52.928800000000003</v>
      </c>
      <c r="M351" s="16">
        <v>53.953800000000001</v>
      </c>
      <c r="N351" s="16">
        <v>215.1463</v>
      </c>
      <c r="O351" s="16">
        <f t="shared" si="15"/>
        <v>50.546825000000005</v>
      </c>
      <c r="P351" s="7"/>
      <c r="Q351" s="8">
        <f>bdrate(C351:C354,D351:D354,J351:J354,K351:K354)</f>
        <v>-0.36701101053805718</v>
      </c>
      <c r="R351" s="8">
        <f>bdrate(C351:C354,E351:E354,J351:J354,L351:L354)</f>
        <v>-0.32951252097662564</v>
      </c>
      <c r="S351" s="8">
        <f>bdrate(C351:C354,F351:F354,J351:J354,M351:M354)</f>
        <v>-0.32670757678757434</v>
      </c>
      <c r="T351" s="25">
        <f>bdrate(C351:C354,H351:H354,J351:J354,O351:O354)</f>
        <v>-0.35969009140226671</v>
      </c>
      <c r="U351" s="28">
        <f t="shared" si="13"/>
        <v>0.38295493989843804</v>
      </c>
    </row>
    <row r="352" spans="1:21" hidden="1" x14ac:dyDescent="0.25">
      <c r="B352" s="9"/>
      <c r="C352" s="17">
        <v>720.32</v>
      </c>
      <c r="D352" s="18">
        <v>41.912999999999997</v>
      </c>
      <c r="E352" s="18">
        <v>47.183999999999997</v>
      </c>
      <c r="F352" s="18">
        <v>48.295999999999999</v>
      </c>
      <c r="G352" s="18">
        <v>169.61</v>
      </c>
      <c r="H352" s="18">
        <f t="shared" si="14"/>
        <v>43.369749999999996</v>
      </c>
      <c r="I352" s="5"/>
      <c r="J352" s="17">
        <v>794.16899999999998</v>
      </c>
      <c r="K352" s="18">
        <v>46.7485</v>
      </c>
      <c r="L352" s="18">
        <v>50.569000000000003</v>
      </c>
      <c r="M352" s="18">
        <v>51.599299999999999</v>
      </c>
      <c r="N352" s="18">
        <v>269.39659999999998</v>
      </c>
      <c r="O352" s="18">
        <f t="shared" si="15"/>
        <v>47.832412500000004</v>
      </c>
      <c r="P352" s="7"/>
      <c r="Q352" s="10"/>
      <c r="R352" s="11"/>
      <c r="S352" s="11"/>
      <c r="T352" s="26"/>
      <c r="U352" s="28">
        <f t="shared" si="13"/>
        <v>0.58832969754141828</v>
      </c>
    </row>
    <row r="353" spans="1:21" hidden="1" x14ac:dyDescent="0.25">
      <c r="B353" s="9"/>
      <c r="C353" s="17">
        <v>443.11</v>
      </c>
      <c r="D353" s="18">
        <v>38.195</v>
      </c>
      <c r="E353" s="18">
        <v>43.668999999999997</v>
      </c>
      <c r="F353" s="18">
        <v>45.164000000000001</v>
      </c>
      <c r="G353" s="18">
        <v>178.06</v>
      </c>
      <c r="H353" s="18">
        <f t="shared" si="14"/>
        <v>39.750374999999998</v>
      </c>
      <c r="I353" s="5"/>
      <c r="J353" s="17">
        <v>509.4803</v>
      </c>
      <c r="K353" s="18">
        <v>42.899799999999999</v>
      </c>
      <c r="L353" s="18">
        <v>47.256399999999999</v>
      </c>
      <c r="M353" s="18">
        <v>48.543500000000002</v>
      </c>
      <c r="N353" s="18">
        <v>294.11759999999998</v>
      </c>
      <c r="O353" s="18">
        <f t="shared" si="15"/>
        <v>44.149837499999997</v>
      </c>
      <c r="P353" s="7"/>
      <c r="Q353" s="10"/>
      <c r="R353" s="11"/>
      <c r="S353" s="11"/>
      <c r="T353" s="26"/>
      <c r="U353" s="28">
        <f t="shared" si="13"/>
        <v>0.65178928451083895</v>
      </c>
    </row>
    <row r="354" spans="1:21" ht="16.5" hidden="1" thickBot="1" x14ac:dyDescent="0.3">
      <c r="B354" s="12"/>
      <c r="C354" s="19">
        <v>226.28</v>
      </c>
      <c r="D354" s="20">
        <v>33.567999999999998</v>
      </c>
      <c r="E354" s="20">
        <v>40.582999999999998</v>
      </c>
      <c r="F354" s="20">
        <v>42.576999999999998</v>
      </c>
      <c r="G354" s="20">
        <v>190.84</v>
      </c>
      <c r="H354" s="20">
        <f t="shared" si="14"/>
        <v>35.570999999999998</v>
      </c>
      <c r="I354" s="5"/>
      <c r="J354" s="19">
        <v>262.48610000000002</v>
      </c>
      <c r="K354" s="20">
        <v>37.4148</v>
      </c>
      <c r="L354" s="20">
        <v>43.588000000000001</v>
      </c>
      <c r="M354" s="20">
        <v>44.598300000000002</v>
      </c>
      <c r="N354" s="20">
        <v>327.0111</v>
      </c>
      <c r="O354" s="20">
        <f t="shared" si="15"/>
        <v>39.084387499999998</v>
      </c>
      <c r="P354" s="7"/>
      <c r="Q354" s="13"/>
      <c r="R354" s="14"/>
      <c r="S354" s="14"/>
      <c r="T354" s="27"/>
      <c r="U354" s="28">
        <f t="shared" si="13"/>
        <v>0.71353542234332423</v>
      </c>
    </row>
    <row r="355" spans="1:21" hidden="1" x14ac:dyDescent="0.25">
      <c r="A355" s="6" t="s">
        <v>104</v>
      </c>
      <c r="B355" s="6" t="s">
        <v>105</v>
      </c>
      <c r="C355" s="15">
        <v>1004.68</v>
      </c>
      <c r="D355" s="16">
        <v>40.247999999999998</v>
      </c>
      <c r="E355" s="16">
        <v>47.488999999999997</v>
      </c>
      <c r="F355" s="16">
        <v>47.302999999999997</v>
      </c>
      <c r="G355" s="16">
        <v>163.31</v>
      </c>
      <c r="H355" s="16">
        <f t="shared" si="14"/>
        <v>42.034999999999997</v>
      </c>
      <c r="I355" s="5"/>
      <c r="J355" s="15">
        <v>1023.8924</v>
      </c>
      <c r="K355" s="16">
        <v>41.209499999999998</v>
      </c>
      <c r="L355" s="16">
        <v>47.697400000000002</v>
      </c>
      <c r="M355" s="16">
        <v>47.601700000000001</v>
      </c>
      <c r="N355" s="16">
        <v>240.3561</v>
      </c>
      <c r="O355" s="16">
        <f t="shared" si="15"/>
        <v>42.819512500000002</v>
      </c>
      <c r="P355" s="7"/>
      <c r="Q355" s="8">
        <f>bdrate(C355:C358,D355:D358,J355:J358,K355:K358)</f>
        <v>-0.11572344669112433</v>
      </c>
      <c r="R355" s="8">
        <f>bdrate(C355:C358,E355:E358,J355:J358,L355:L358)</f>
        <v>-6.4183873677887804E-2</v>
      </c>
      <c r="S355" s="8">
        <f>bdrate(C355:C358,F355:F358,J355:J358,M355:M358)</f>
        <v>-7.3363109565000473E-2</v>
      </c>
      <c r="T355" s="25">
        <f>bdrate(C355:C358,H355:H358,J355:J358,O355:O358)</f>
        <v>-0.10761114465517474</v>
      </c>
      <c r="U355" s="28">
        <f t="shared" si="13"/>
        <v>0.4717782132141326</v>
      </c>
    </row>
    <row r="356" spans="1:21" hidden="1" x14ac:dyDescent="0.25">
      <c r="A356" s="9"/>
      <c r="B356" s="9"/>
      <c r="C356" s="17">
        <v>594.83000000000004</v>
      </c>
      <c r="D356" s="18">
        <v>37.878</v>
      </c>
      <c r="E356" s="18">
        <v>45.720999999999997</v>
      </c>
      <c r="F356" s="18">
        <v>45.436999999999998</v>
      </c>
      <c r="G356" s="18">
        <v>190.86</v>
      </c>
      <c r="H356" s="18">
        <f t="shared" si="14"/>
        <v>39.803249999999998</v>
      </c>
      <c r="I356" s="5"/>
      <c r="J356" s="17">
        <v>612.73990000000003</v>
      </c>
      <c r="K356" s="18">
        <v>38.704599999999999</v>
      </c>
      <c r="L356" s="18">
        <v>45.983899999999998</v>
      </c>
      <c r="M356" s="18">
        <v>45.784999999999997</v>
      </c>
      <c r="N356" s="18">
        <v>282.23</v>
      </c>
      <c r="O356" s="18">
        <f t="shared" si="15"/>
        <v>40.499562499999996</v>
      </c>
      <c r="P356" s="7"/>
      <c r="Q356" s="10"/>
      <c r="R356" s="11"/>
      <c r="S356" s="11"/>
      <c r="T356" s="26"/>
      <c r="U356" s="28">
        <f t="shared" si="13"/>
        <v>0.47872786335533896</v>
      </c>
    </row>
    <row r="357" spans="1:21" hidden="1" x14ac:dyDescent="0.25">
      <c r="B357" s="9"/>
      <c r="C357" s="17">
        <v>392.94</v>
      </c>
      <c r="D357" s="18">
        <v>36.029000000000003</v>
      </c>
      <c r="E357" s="18">
        <v>44.404000000000003</v>
      </c>
      <c r="F357" s="18">
        <v>44.03</v>
      </c>
      <c r="G357" s="18">
        <v>212.82</v>
      </c>
      <c r="H357" s="18">
        <f t="shared" si="14"/>
        <v>38.076000000000008</v>
      </c>
      <c r="I357" s="5"/>
      <c r="J357" s="17">
        <v>407.61189999999999</v>
      </c>
      <c r="K357" s="18">
        <v>36.7318</v>
      </c>
      <c r="L357" s="18">
        <v>44.735900000000001</v>
      </c>
      <c r="M357" s="18">
        <v>44.402700000000003</v>
      </c>
      <c r="N357" s="18">
        <v>333.05919999999998</v>
      </c>
      <c r="O357" s="18">
        <f t="shared" si="15"/>
        <v>38.691175000000001</v>
      </c>
      <c r="P357" s="7"/>
      <c r="Q357" s="10"/>
      <c r="R357" s="11"/>
      <c r="S357" s="11"/>
      <c r="T357" s="26"/>
      <c r="U357" s="28">
        <f t="shared" si="13"/>
        <v>0.564980734893337</v>
      </c>
    </row>
    <row r="358" spans="1:21" ht="16.5" hidden="1" thickBot="1" x14ac:dyDescent="0.3">
      <c r="B358" s="12"/>
      <c r="C358" s="19">
        <v>193.99</v>
      </c>
      <c r="D358" s="20">
        <v>32.991999999999997</v>
      </c>
      <c r="E358" s="20">
        <v>42.219000000000001</v>
      </c>
      <c r="F358" s="20">
        <v>41.73</v>
      </c>
      <c r="G358" s="20">
        <v>254.56</v>
      </c>
      <c r="H358" s="20">
        <f t="shared" si="14"/>
        <v>35.237625000000001</v>
      </c>
      <c r="I358" s="5"/>
      <c r="J358" s="19">
        <v>202.75409999999999</v>
      </c>
      <c r="K358" s="20">
        <v>33.446800000000003</v>
      </c>
      <c r="L358" s="20">
        <v>42.678800000000003</v>
      </c>
      <c r="M358" s="20">
        <v>42.187600000000003</v>
      </c>
      <c r="N358" s="20">
        <v>432.69229999999999</v>
      </c>
      <c r="O358" s="20">
        <f t="shared" si="15"/>
        <v>35.693400000000004</v>
      </c>
      <c r="P358" s="7"/>
      <c r="Q358" s="13"/>
      <c r="R358" s="14"/>
      <c r="S358" s="14"/>
      <c r="T358" s="27"/>
      <c r="U358" s="28">
        <f t="shared" si="13"/>
        <v>0.69976547768698927</v>
      </c>
    </row>
    <row r="359" spans="1:21" hidden="1" x14ac:dyDescent="0.25">
      <c r="B359" s="6" t="s">
        <v>106</v>
      </c>
      <c r="C359" s="15">
        <v>984.83</v>
      </c>
      <c r="D359" s="16">
        <v>38.960999999999999</v>
      </c>
      <c r="E359" s="16">
        <v>49.432000000000002</v>
      </c>
      <c r="F359" s="16">
        <v>46.948</v>
      </c>
      <c r="G359" s="16">
        <v>190.63</v>
      </c>
      <c r="H359" s="16">
        <f t="shared" si="14"/>
        <v>41.268249999999995</v>
      </c>
      <c r="I359" s="5"/>
      <c r="J359" s="15">
        <v>1023.0663</v>
      </c>
      <c r="K359" s="16">
        <v>40.064599999999999</v>
      </c>
      <c r="L359" s="16">
        <v>49.745600000000003</v>
      </c>
      <c r="M359" s="16">
        <v>47.633299999999998</v>
      </c>
      <c r="N359" s="16">
        <v>265.01170000000002</v>
      </c>
      <c r="O359" s="16">
        <f t="shared" si="15"/>
        <v>42.220812500000001</v>
      </c>
      <c r="P359" s="7"/>
      <c r="Q359" s="8">
        <f>bdrate(C359:C362,D359:D362,J359:J362,K359:K362)</f>
        <v>-0.1558517818329872</v>
      </c>
      <c r="R359" s="8">
        <f>bdrate(C359:C362,E359:E362,J359:J362,L359:L362)</f>
        <v>-0.15296595169456906</v>
      </c>
      <c r="S359" s="8">
        <f>bdrate(C359:C362,F359:F362,J359:J362,M359:M362)</f>
        <v>-0.21026118475883393</v>
      </c>
      <c r="T359" s="25">
        <f>bdrate(C359:C362,H359:H362,J359:J362,O359:O362)</f>
        <v>-0.16200591081811822</v>
      </c>
      <c r="U359" s="28">
        <f t="shared" si="13"/>
        <v>0.39018884750563931</v>
      </c>
    </row>
    <row r="360" spans="1:21" hidden="1" x14ac:dyDescent="0.25">
      <c r="B360" s="9"/>
      <c r="C360" s="17">
        <v>589.37</v>
      </c>
      <c r="D360" s="18">
        <v>36.826999999999998</v>
      </c>
      <c r="E360" s="18">
        <v>48.097000000000001</v>
      </c>
      <c r="F360" s="18">
        <v>45.307000000000002</v>
      </c>
      <c r="G360" s="18">
        <v>223.63</v>
      </c>
      <c r="H360" s="18">
        <f t="shared" si="14"/>
        <v>39.295749999999998</v>
      </c>
      <c r="I360" s="5"/>
      <c r="J360" s="17">
        <v>613.81970000000001</v>
      </c>
      <c r="K360" s="18">
        <v>37.7714</v>
      </c>
      <c r="L360" s="18">
        <v>48.496000000000002</v>
      </c>
      <c r="M360" s="18">
        <v>46.061900000000001</v>
      </c>
      <c r="N360" s="18">
        <v>317.65010000000001</v>
      </c>
      <c r="O360" s="18">
        <f t="shared" si="15"/>
        <v>40.148287499999995</v>
      </c>
      <c r="P360" s="7"/>
      <c r="Q360" s="10"/>
      <c r="R360" s="11"/>
      <c r="S360" s="11"/>
      <c r="T360" s="26"/>
      <c r="U360" s="28">
        <f t="shared" si="13"/>
        <v>0.42042704467200293</v>
      </c>
    </row>
    <row r="361" spans="1:21" hidden="1" x14ac:dyDescent="0.25">
      <c r="B361" s="9"/>
      <c r="C361" s="17">
        <v>392.42</v>
      </c>
      <c r="D361" s="18">
        <v>35.253</v>
      </c>
      <c r="E361" s="18">
        <v>46.901000000000003</v>
      </c>
      <c r="F361" s="18">
        <v>44.058</v>
      </c>
      <c r="G361" s="18">
        <v>250.2</v>
      </c>
      <c r="H361" s="18">
        <f t="shared" si="14"/>
        <v>37.809624999999997</v>
      </c>
      <c r="I361" s="5"/>
      <c r="J361" s="17">
        <v>409.1078</v>
      </c>
      <c r="K361" s="18">
        <v>36.066299999999998</v>
      </c>
      <c r="L361" s="18">
        <v>47.529800000000002</v>
      </c>
      <c r="M361" s="18">
        <v>44.928800000000003</v>
      </c>
      <c r="N361" s="18">
        <v>361.92410000000001</v>
      </c>
      <c r="O361" s="18">
        <f t="shared" si="15"/>
        <v>38.607050000000001</v>
      </c>
      <c r="P361" s="7"/>
      <c r="Q361" s="10"/>
      <c r="R361" s="11"/>
      <c r="S361" s="11"/>
      <c r="T361" s="26"/>
      <c r="U361" s="28">
        <f t="shared" si="13"/>
        <v>0.44653916866506804</v>
      </c>
    </row>
    <row r="362" spans="1:21" ht="16.5" hidden="1" thickBot="1" x14ac:dyDescent="0.3">
      <c r="B362" s="12"/>
      <c r="C362" s="19">
        <v>196.97</v>
      </c>
      <c r="D362" s="20">
        <v>32.75</v>
      </c>
      <c r="E362" s="20">
        <v>45.512</v>
      </c>
      <c r="F362" s="20">
        <v>42.225000000000001</v>
      </c>
      <c r="G362" s="20">
        <v>297.58999999999997</v>
      </c>
      <c r="H362" s="20">
        <f t="shared" si="14"/>
        <v>35.529625000000003</v>
      </c>
      <c r="I362" s="5"/>
      <c r="J362" s="19">
        <v>204.38290000000001</v>
      </c>
      <c r="K362" s="20">
        <v>33.322699999999998</v>
      </c>
      <c r="L362" s="20">
        <v>46.005400000000002</v>
      </c>
      <c r="M362" s="20">
        <v>43.007800000000003</v>
      </c>
      <c r="N362" s="20">
        <v>476.53570000000002</v>
      </c>
      <c r="O362" s="20">
        <f t="shared" si="15"/>
        <v>36.118674999999996</v>
      </c>
      <c r="P362" s="7"/>
      <c r="Q362" s="13"/>
      <c r="R362" s="14"/>
      <c r="S362" s="14"/>
      <c r="T362" s="27"/>
      <c r="U362" s="28">
        <f t="shared" si="13"/>
        <v>0.6013162404650696</v>
      </c>
    </row>
    <row r="363" spans="1:21" hidden="1" x14ac:dyDescent="0.25">
      <c r="B363" s="6" t="s">
        <v>107</v>
      </c>
      <c r="C363" s="15">
        <v>1047.2</v>
      </c>
      <c r="D363" s="16">
        <v>42.857999999999997</v>
      </c>
      <c r="E363" s="16">
        <v>47.41</v>
      </c>
      <c r="F363" s="16">
        <v>47.726999999999997</v>
      </c>
      <c r="G363" s="16">
        <v>148.33000000000001</v>
      </c>
      <c r="H363" s="16">
        <f t="shared" si="14"/>
        <v>44.035624999999996</v>
      </c>
      <c r="I363" s="5"/>
      <c r="J363" s="15">
        <v>1026.7336</v>
      </c>
      <c r="K363" s="16">
        <v>43.542400000000001</v>
      </c>
      <c r="L363" s="16">
        <v>47.547699999999999</v>
      </c>
      <c r="M363" s="16">
        <v>47.917099999999998</v>
      </c>
      <c r="N363" s="16">
        <v>209.84460000000001</v>
      </c>
      <c r="O363" s="16">
        <f t="shared" si="15"/>
        <v>44.589900000000007</v>
      </c>
      <c r="P363" s="7"/>
      <c r="Q363" s="8">
        <f>bdrate(C363:C366,D363:D366,J363:J366,K363:K366)</f>
        <v>-0.16022784306478455</v>
      </c>
      <c r="R363" s="8">
        <f>bdrate(C363:C366,E363:E366,J363:J366,L363:L366)</f>
        <v>-8.3175005675580227E-2</v>
      </c>
      <c r="S363" s="8">
        <f>bdrate(C363:C366,F363:F366,J363:J366,M363:M366)</f>
        <v>-8.7556388784221673E-2</v>
      </c>
      <c r="T363" s="25">
        <f>bdrate(C363:C366,H363:H366,J363:J366,O363:O366)</f>
        <v>-0.14774884284961287</v>
      </c>
      <c r="U363" s="28">
        <f t="shared" si="13"/>
        <v>0.41471448796602167</v>
      </c>
    </row>
    <row r="364" spans="1:21" hidden="1" x14ac:dyDescent="0.25">
      <c r="B364" s="9"/>
      <c r="C364" s="17">
        <v>620.82000000000005</v>
      </c>
      <c r="D364" s="18">
        <v>40.688000000000002</v>
      </c>
      <c r="E364" s="18">
        <v>45.98</v>
      </c>
      <c r="F364" s="18">
        <v>46.399000000000001</v>
      </c>
      <c r="G364" s="18">
        <v>185.87</v>
      </c>
      <c r="H364" s="18">
        <f t="shared" si="14"/>
        <v>42.063375000000001</v>
      </c>
      <c r="I364" s="5"/>
      <c r="J364" s="17">
        <v>615.57190000000003</v>
      </c>
      <c r="K364" s="18">
        <v>41.411000000000001</v>
      </c>
      <c r="L364" s="18">
        <v>46.1235</v>
      </c>
      <c r="M364" s="18">
        <v>46.554499999999997</v>
      </c>
      <c r="N364" s="18">
        <v>264.93680000000001</v>
      </c>
      <c r="O364" s="18">
        <f t="shared" si="15"/>
        <v>42.643000000000001</v>
      </c>
      <c r="P364" s="7"/>
      <c r="Q364" s="10"/>
      <c r="R364" s="11"/>
      <c r="S364" s="11"/>
      <c r="T364" s="26"/>
      <c r="U364" s="28">
        <f t="shared" si="13"/>
        <v>0.42538763652014849</v>
      </c>
    </row>
    <row r="365" spans="1:21" hidden="1" x14ac:dyDescent="0.25">
      <c r="B365" s="9"/>
      <c r="C365" s="17">
        <v>410.3</v>
      </c>
      <c r="D365" s="18">
        <v>38.908999999999999</v>
      </c>
      <c r="E365" s="18">
        <v>44.789000000000001</v>
      </c>
      <c r="F365" s="18">
        <v>45.259</v>
      </c>
      <c r="G365" s="18">
        <v>209.92</v>
      </c>
      <c r="H365" s="18">
        <f t="shared" si="14"/>
        <v>40.437750000000001</v>
      </c>
      <c r="I365" s="5"/>
      <c r="J365" s="17">
        <v>408.9905</v>
      </c>
      <c r="K365" s="18">
        <v>39.656700000000001</v>
      </c>
      <c r="L365" s="18">
        <v>45.049199999999999</v>
      </c>
      <c r="M365" s="18">
        <v>45.5047</v>
      </c>
      <c r="N365" s="18">
        <v>307.82870000000003</v>
      </c>
      <c r="O365" s="18">
        <f t="shared" si="15"/>
        <v>41.0617625</v>
      </c>
      <c r="P365" s="7"/>
      <c r="Q365" s="10"/>
      <c r="R365" s="11"/>
      <c r="S365" s="11"/>
      <c r="T365" s="26"/>
      <c r="U365" s="28">
        <f t="shared" si="13"/>
        <v>0.46640958460365872</v>
      </c>
    </row>
    <row r="366" spans="1:21" ht="16.5" hidden="1" thickBot="1" x14ac:dyDescent="0.3">
      <c r="B366" s="12"/>
      <c r="C366" s="19">
        <v>201.89</v>
      </c>
      <c r="D366" s="20">
        <v>35.680999999999997</v>
      </c>
      <c r="E366" s="20">
        <v>42.712000000000003</v>
      </c>
      <c r="F366" s="20">
        <v>43.231999999999999</v>
      </c>
      <c r="G366" s="20">
        <v>257.02999999999997</v>
      </c>
      <c r="H366" s="20">
        <f t="shared" si="14"/>
        <v>37.503749999999997</v>
      </c>
      <c r="I366" s="5"/>
      <c r="J366" s="19">
        <v>202.7963</v>
      </c>
      <c r="K366" s="20">
        <v>36.462299999999999</v>
      </c>
      <c r="L366" s="20">
        <v>43.087600000000002</v>
      </c>
      <c r="M366" s="20">
        <v>43.615000000000002</v>
      </c>
      <c r="N366" s="20">
        <v>407.71809999999999</v>
      </c>
      <c r="O366" s="20">
        <f t="shared" si="15"/>
        <v>38.184550000000002</v>
      </c>
      <c r="P366" s="7"/>
      <c r="Q366" s="13"/>
      <c r="R366" s="14"/>
      <c r="S366" s="14"/>
      <c r="T366" s="27"/>
      <c r="U366" s="28">
        <f t="shared" si="13"/>
        <v>0.58626658366727635</v>
      </c>
    </row>
    <row r="367" spans="1:21" hidden="1" x14ac:dyDescent="0.25">
      <c r="B367" s="6" t="s">
        <v>108</v>
      </c>
      <c r="C367" s="29">
        <v>975.18</v>
      </c>
      <c r="D367" s="30">
        <v>37.938000000000002</v>
      </c>
      <c r="E367" s="30">
        <v>46.021000000000001</v>
      </c>
      <c r="F367" s="30">
        <v>45.847999999999999</v>
      </c>
      <c r="G367" s="16">
        <v>187.23</v>
      </c>
      <c r="H367" s="16">
        <f t="shared" si="14"/>
        <v>39.937125000000002</v>
      </c>
      <c r="I367" s="5"/>
      <c r="J367" s="29">
        <v>1024.9606000000001</v>
      </c>
      <c r="K367" s="30">
        <v>39.564300000000003</v>
      </c>
      <c r="L367" s="30">
        <v>46.452199999999998</v>
      </c>
      <c r="M367" s="30">
        <v>46.285600000000002</v>
      </c>
      <c r="N367" s="16">
        <v>223.0581</v>
      </c>
      <c r="O367" s="16">
        <f t="shared" si="15"/>
        <v>41.265450000000001</v>
      </c>
      <c r="P367" s="7"/>
      <c r="Q367" s="8">
        <f>bdrate(C367:C370,D367:D370,J367:J370,K367:K370)</f>
        <v>-0.26668367439747565</v>
      </c>
      <c r="R367" s="8">
        <f>bdrate(C367:C370,E367:E370,J367:J370,L367:L370)</f>
        <v>-0.1332656641691784</v>
      </c>
      <c r="S367" s="8">
        <f>bdrate(C367:C370,F367:F370,J367:J370,M367:M370)</f>
        <v>-0.13590577714422558</v>
      </c>
      <c r="T367" s="25">
        <f>bdrate(C367:C370,H367:H370,J367:J370,O367:O370)</f>
        <v>-0.24609749759239186</v>
      </c>
      <c r="U367" s="28">
        <f t="shared" si="13"/>
        <v>0.19135875660951776</v>
      </c>
    </row>
    <row r="368" spans="1:21" hidden="1" x14ac:dyDescent="0.25">
      <c r="B368" s="9"/>
      <c r="C368" s="31">
        <v>584.1</v>
      </c>
      <c r="D368" s="32">
        <v>35.694000000000003</v>
      </c>
      <c r="E368" s="32">
        <v>44.692999999999998</v>
      </c>
      <c r="F368" s="32">
        <v>44.51</v>
      </c>
      <c r="G368" s="18">
        <v>221.36</v>
      </c>
      <c r="H368" s="18">
        <f t="shared" si="14"/>
        <v>37.920875000000002</v>
      </c>
      <c r="I368" s="5"/>
      <c r="J368" s="31">
        <v>614.67909999999995</v>
      </c>
      <c r="K368" s="32">
        <v>37.243699999999997</v>
      </c>
      <c r="L368" s="32">
        <v>45.127400000000002</v>
      </c>
      <c r="M368" s="32">
        <v>44.944000000000003</v>
      </c>
      <c r="N368" s="18">
        <v>269.0335</v>
      </c>
      <c r="O368" s="18">
        <f t="shared" si="15"/>
        <v>39.191700000000004</v>
      </c>
      <c r="P368" s="7"/>
      <c r="Q368" s="10"/>
      <c r="R368" s="11"/>
      <c r="S368" s="11"/>
      <c r="T368" s="26"/>
      <c r="U368" s="28">
        <f t="shared" si="13"/>
        <v>0.21536637152150337</v>
      </c>
    </row>
    <row r="369" spans="2:21" hidden="1" x14ac:dyDescent="0.25">
      <c r="B369" s="9"/>
      <c r="C369" s="31">
        <v>388.17</v>
      </c>
      <c r="D369" s="32">
        <v>33.944000000000003</v>
      </c>
      <c r="E369" s="32">
        <v>43.56</v>
      </c>
      <c r="F369" s="32">
        <v>43.356999999999999</v>
      </c>
      <c r="G369" s="18">
        <v>250.51</v>
      </c>
      <c r="H369" s="18">
        <f t="shared" si="14"/>
        <v>36.322625000000002</v>
      </c>
      <c r="I369" s="5"/>
      <c r="J369" s="31">
        <v>409.6934</v>
      </c>
      <c r="K369" s="32">
        <v>35.518599999999999</v>
      </c>
      <c r="L369" s="32">
        <v>44.117899999999999</v>
      </c>
      <c r="M369" s="32">
        <v>43.933500000000002</v>
      </c>
      <c r="N369" s="18">
        <v>307.90069999999997</v>
      </c>
      <c r="O369" s="18">
        <f t="shared" si="15"/>
        <v>37.645375000000001</v>
      </c>
      <c r="P369" s="7"/>
      <c r="Q369" s="10"/>
      <c r="R369" s="11"/>
      <c r="S369" s="11"/>
      <c r="T369" s="26"/>
      <c r="U369" s="28">
        <f t="shared" si="13"/>
        <v>0.22909544529160505</v>
      </c>
    </row>
    <row r="370" spans="2:21" ht="16.5" hidden="1" thickBot="1" x14ac:dyDescent="0.3">
      <c r="B370" s="12"/>
      <c r="C370" s="33">
        <v>193.85</v>
      </c>
      <c r="D370" s="34">
        <v>30.981000000000002</v>
      </c>
      <c r="E370" s="34">
        <v>41.819000000000003</v>
      </c>
      <c r="F370" s="34">
        <v>41.554000000000002</v>
      </c>
      <c r="G370" s="20">
        <v>301.5</v>
      </c>
      <c r="H370" s="20">
        <f t="shared" si="14"/>
        <v>33.657375000000002</v>
      </c>
      <c r="I370" s="5"/>
      <c r="J370" s="33">
        <v>204.5575</v>
      </c>
      <c r="K370" s="34">
        <v>32.522599999999997</v>
      </c>
      <c r="L370" s="34">
        <v>42.359299999999998</v>
      </c>
      <c r="M370" s="34">
        <v>42.148200000000003</v>
      </c>
      <c r="N370" s="20">
        <v>410.47250000000003</v>
      </c>
      <c r="O370" s="20">
        <f t="shared" si="15"/>
        <v>34.955387500000001</v>
      </c>
      <c r="P370" s="7"/>
      <c r="Q370" s="13"/>
      <c r="R370" s="14"/>
      <c r="S370" s="14"/>
      <c r="T370" s="27"/>
      <c r="U370" s="28">
        <f t="shared" si="13"/>
        <v>0.36143449419568829</v>
      </c>
    </row>
    <row r="371" spans="2:21" hidden="1" x14ac:dyDescent="0.25">
      <c r="B371" s="6" t="s">
        <v>109</v>
      </c>
      <c r="C371" s="15">
        <v>1004.74</v>
      </c>
      <c r="D371" s="16">
        <v>38.530999999999999</v>
      </c>
      <c r="E371" s="16">
        <v>47.076000000000001</v>
      </c>
      <c r="F371" s="16">
        <v>45.604999999999997</v>
      </c>
      <c r="G371" s="16">
        <v>189.58</v>
      </c>
      <c r="H371" s="16">
        <f t="shared" si="14"/>
        <v>40.483375000000002</v>
      </c>
      <c r="I371" s="5"/>
      <c r="J371" s="15">
        <v>1024.7598</v>
      </c>
      <c r="K371" s="16">
        <v>39.133000000000003</v>
      </c>
      <c r="L371" s="16">
        <v>47.377499999999998</v>
      </c>
      <c r="M371" s="16">
        <v>46.091000000000001</v>
      </c>
      <c r="N371" s="16">
        <v>243.98159999999999</v>
      </c>
      <c r="O371" s="16">
        <f t="shared" si="15"/>
        <v>41.033312500000001</v>
      </c>
      <c r="P371" s="7"/>
      <c r="Q371" s="8">
        <f>bdrate(C371:C374,D371:D374,J371:J374,K371:K374)</f>
        <v>-0.20277669374153606</v>
      </c>
      <c r="R371" s="8">
        <f>bdrate(C371:C374,E371:E374,J371:J374,L371:L374)</f>
        <v>-0.14747905741920675</v>
      </c>
      <c r="S371" s="8">
        <f>bdrate(C371:C374,F371:F374,J371:J374,M371:M374)</f>
        <v>-0.2241719787937585</v>
      </c>
      <c r="T371" s="25">
        <f>bdrate(C371:C374,H371:H374,J371:J374,O371:O374)</f>
        <v>-0.20027022609323508</v>
      </c>
      <c r="U371" s="28">
        <f t="shared" si="13"/>
        <v>0.28695853993037224</v>
      </c>
    </row>
    <row r="372" spans="2:21" hidden="1" x14ac:dyDescent="0.25">
      <c r="B372" s="9"/>
      <c r="C372" s="17">
        <v>602.74</v>
      </c>
      <c r="D372" s="18">
        <v>37.069000000000003</v>
      </c>
      <c r="E372" s="18">
        <v>46.110999999999997</v>
      </c>
      <c r="F372" s="18">
        <v>44.496000000000002</v>
      </c>
      <c r="G372" s="18">
        <v>226.75</v>
      </c>
      <c r="H372" s="18">
        <f t="shared" si="14"/>
        <v>39.127625000000002</v>
      </c>
      <c r="I372" s="5"/>
      <c r="J372" s="17">
        <v>614.70669999999996</v>
      </c>
      <c r="K372" s="18">
        <v>37.685200000000002</v>
      </c>
      <c r="L372" s="18">
        <v>46.4893</v>
      </c>
      <c r="M372" s="18">
        <v>45.086399999999998</v>
      </c>
      <c r="N372" s="18">
        <v>294.14640000000003</v>
      </c>
      <c r="O372" s="18">
        <f t="shared" si="15"/>
        <v>39.710862500000005</v>
      </c>
      <c r="P372" s="7"/>
      <c r="Q372" s="10"/>
      <c r="R372" s="11"/>
      <c r="S372" s="11"/>
      <c r="T372" s="26"/>
      <c r="U372" s="28">
        <f t="shared" si="13"/>
        <v>0.29722778390297699</v>
      </c>
    </row>
    <row r="373" spans="2:21" hidden="1" x14ac:dyDescent="0.25">
      <c r="B373" s="9"/>
      <c r="C373" s="17">
        <v>402.02</v>
      </c>
      <c r="D373" s="18">
        <v>35.994</v>
      </c>
      <c r="E373" s="18">
        <v>45.442999999999998</v>
      </c>
      <c r="F373" s="18">
        <v>43.709000000000003</v>
      </c>
      <c r="G373" s="18">
        <v>250.31</v>
      </c>
      <c r="H373" s="18">
        <f t="shared" si="14"/>
        <v>38.139499999999998</v>
      </c>
      <c r="I373" s="5"/>
      <c r="J373" s="17">
        <v>409.4665</v>
      </c>
      <c r="K373" s="18">
        <v>36.666699999999999</v>
      </c>
      <c r="L373" s="18">
        <v>45.749099999999999</v>
      </c>
      <c r="M373" s="18">
        <v>44.2639</v>
      </c>
      <c r="N373" s="18">
        <v>353.65609999999998</v>
      </c>
      <c r="O373" s="18">
        <f t="shared" si="15"/>
        <v>38.751649999999998</v>
      </c>
      <c r="P373" s="7"/>
      <c r="Q373" s="10"/>
      <c r="R373" s="11"/>
      <c r="S373" s="11"/>
      <c r="T373" s="26"/>
      <c r="U373" s="28">
        <f t="shared" si="13"/>
        <v>0.41287243817666086</v>
      </c>
    </row>
    <row r="374" spans="2:21" ht="16.5" hidden="1" thickBot="1" x14ac:dyDescent="0.3">
      <c r="B374" s="12"/>
      <c r="C374" s="19">
        <v>200.75</v>
      </c>
      <c r="D374" s="20">
        <v>34.073999999999998</v>
      </c>
      <c r="E374" s="20">
        <v>43.972000000000001</v>
      </c>
      <c r="F374" s="20">
        <v>42.146000000000001</v>
      </c>
      <c r="G374" s="20">
        <v>307.58999999999997</v>
      </c>
      <c r="H374" s="20">
        <f t="shared" si="14"/>
        <v>36.320250000000001</v>
      </c>
      <c r="I374" s="5"/>
      <c r="J374" s="19">
        <v>201.55359999999999</v>
      </c>
      <c r="K374" s="20">
        <v>34.805999999999997</v>
      </c>
      <c r="L374" s="20">
        <v>44.326099999999997</v>
      </c>
      <c r="M374" s="20">
        <v>42.738900000000001</v>
      </c>
      <c r="N374" s="20">
        <v>453.49419999999998</v>
      </c>
      <c r="O374" s="20">
        <f t="shared" si="15"/>
        <v>36.987624999999994</v>
      </c>
      <c r="P374" s="7"/>
      <c r="Q374" s="13"/>
      <c r="R374" s="14"/>
      <c r="S374" s="14"/>
      <c r="T374" s="27"/>
      <c r="U374" s="28">
        <f t="shared" si="13"/>
        <v>0.47434637016808096</v>
      </c>
    </row>
    <row r="375" spans="2:21" hidden="1" x14ac:dyDescent="0.25">
      <c r="B375" s="6" t="s">
        <v>110</v>
      </c>
      <c r="C375" s="15">
        <v>1561.11</v>
      </c>
      <c r="D375" s="16">
        <v>37.209000000000003</v>
      </c>
      <c r="E375" s="16">
        <v>44.326999999999998</v>
      </c>
      <c r="F375" s="16">
        <v>43.847999999999999</v>
      </c>
      <c r="G375" s="16">
        <v>81.53</v>
      </c>
      <c r="H375" s="16">
        <f t="shared" si="14"/>
        <v>38.928625000000004</v>
      </c>
      <c r="I375" s="5"/>
      <c r="J375" s="15">
        <v>1493.4245000000001</v>
      </c>
      <c r="K375" s="16">
        <v>37.664000000000001</v>
      </c>
      <c r="L375" s="16">
        <v>44.347200000000001</v>
      </c>
      <c r="M375" s="16">
        <v>43.746899999999997</v>
      </c>
      <c r="N375" s="16">
        <v>134.57740000000001</v>
      </c>
      <c r="O375" s="16">
        <f t="shared" si="15"/>
        <v>39.259762500000001</v>
      </c>
      <c r="P375" s="7"/>
      <c r="Q375" s="8">
        <f>bdrate(C375:C378,D375:D378,J375:J378,K375:K378)</f>
        <v>-0.1369388181969432</v>
      </c>
      <c r="R375" s="8">
        <f>bdrate(C375:C378,E375:E378,J375:J378,L375:L378)</f>
        <v>-6.9559971354957506E-2</v>
      </c>
      <c r="S375" s="8">
        <f>bdrate(C375:C378,F375:F378,J375:J378,M375:M378)</f>
        <v>4.9322756797929301E-3</v>
      </c>
      <c r="T375" s="25">
        <f>bdrate(C375:C378,H375:H378,J375:J378,O375:O378)</f>
        <v>-0.11833179970711716</v>
      </c>
      <c r="U375" s="28">
        <f t="shared" si="13"/>
        <v>0.65064884091745379</v>
      </c>
    </row>
    <row r="376" spans="2:21" hidden="1" x14ac:dyDescent="0.25">
      <c r="B376" s="9"/>
      <c r="C376" s="17">
        <v>1036.8800000000001</v>
      </c>
      <c r="D376" s="18">
        <v>35.247</v>
      </c>
      <c r="E376" s="18">
        <v>43.067999999999998</v>
      </c>
      <c r="F376" s="18">
        <v>42.485999999999997</v>
      </c>
      <c r="G376" s="18">
        <v>93.33</v>
      </c>
      <c r="H376" s="18">
        <f t="shared" si="14"/>
        <v>37.1295</v>
      </c>
      <c r="I376" s="5"/>
      <c r="J376" s="17">
        <v>995.30129999999997</v>
      </c>
      <c r="K376" s="18">
        <v>35.654899999999998</v>
      </c>
      <c r="L376" s="18">
        <v>43.140300000000003</v>
      </c>
      <c r="M376" s="18">
        <v>42.338700000000003</v>
      </c>
      <c r="N376" s="18">
        <v>167.2122</v>
      </c>
      <c r="O376" s="18">
        <f t="shared" si="15"/>
        <v>37.426050000000004</v>
      </c>
      <c r="P376" s="7"/>
      <c r="Q376" s="10"/>
      <c r="R376" s="11"/>
      <c r="S376" s="11"/>
      <c r="T376" s="26"/>
      <c r="U376" s="28">
        <f t="shared" si="13"/>
        <v>0.79162327225972351</v>
      </c>
    </row>
    <row r="377" spans="2:21" hidden="1" x14ac:dyDescent="0.25">
      <c r="B377" s="9"/>
      <c r="C377" s="17">
        <v>620.66999999999996</v>
      </c>
      <c r="D377" s="18">
        <v>32.860999999999997</v>
      </c>
      <c r="E377" s="18">
        <v>41.625</v>
      </c>
      <c r="F377" s="18">
        <v>40.869</v>
      </c>
      <c r="G377" s="18">
        <v>106.5</v>
      </c>
      <c r="H377" s="18">
        <f t="shared" si="14"/>
        <v>34.957499999999996</v>
      </c>
      <c r="I377" s="5"/>
      <c r="J377" s="17">
        <v>598.20249999999999</v>
      </c>
      <c r="K377" s="18">
        <v>33.347799999999999</v>
      </c>
      <c r="L377" s="18">
        <v>41.7288</v>
      </c>
      <c r="M377" s="18">
        <v>40.692599999999999</v>
      </c>
      <c r="N377" s="18">
        <v>188.90600000000001</v>
      </c>
      <c r="O377" s="18">
        <f t="shared" si="15"/>
        <v>35.313524999999998</v>
      </c>
      <c r="P377" s="7"/>
      <c r="Q377" s="10"/>
      <c r="R377" s="11"/>
      <c r="S377" s="11"/>
      <c r="T377" s="26"/>
      <c r="U377" s="28">
        <f t="shared" si="13"/>
        <v>0.77376525821596254</v>
      </c>
    </row>
    <row r="378" spans="2:21" ht="16.5" hidden="1" thickBot="1" x14ac:dyDescent="0.3">
      <c r="B378" s="12"/>
      <c r="C378" s="19">
        <v>310.61</v>
      </c>
      <c r="D378" s="20">
        <v>29.847999999999999</v>
      </c>
      <c r="E378" s="20">
        <v>39.719000000000001</v>
      </c>
      <c r="F378" s="20">
        <v>38.511000000000003</v>
      </c>
      <c r="G378" s="20">
        <v>123.56</v>
      </c>
      <c r="H378" s="20">
        <f t="shared" si="14"/>
        <v>32.164749999999998</v>
      </c>
      <c r="I378" s="5"/>
      <c r="J378" s="19">
        <v>297.88209999999998</v>
      </c>
      <c r="K378" s="20">
        <v>30.521899999999999</v>
      </c>
      <c r="L378" s="20">
        <v>39.8523</v>
      </c>
      <c r="M378" s="20">
        <v>38.431800000000003</v>
      </c>
      <c r="N378" s="20">
        <v>237.9658</v>
      </c>
      <c r="O378" s="20">
        <f t="shared" si="15"/>
        <v>32.676937500000001</v>
      </c>
      <c r="P378" s="7"/>
      <c r="Q378" s="13"/>
      <c r="R378" s="14"/>
      <c r="S378" s="14"/>
      <c r="T378" s="27"/>
      <c r="U378" s="28">
        <f t="shared" si="13"/>
        <v>0.92591291680155385</v>
      </c>
    </row>
    <row r="379" spans="2:21" hidden="1" x14ac:dyDescent="0.25">
      <c r="B379" s="6" t="s">
        <v>111</v>
      </c>
      <c r="C379" s="15">
        <v>1023.92</v>
      </c>
      <c r="D379" s="16">
        <v>39.344999999999999</v>
      </c>
      <c r="E379" s="16">
        <v>45.271000000000001</v>
      </c>
      <c r="F379" s="16">
        <v>44.758000000000003</v>
      </c>
      <c r="G379" s="16">
        <v>168.12</v>
      </c>
      <c r="H379" s="16">
        <f t="shared" si="14"/>
        <v>40.762374999999999</v>
      </c>
      <c r="I379" s="5"/>
      <c r="J379" s="15">
        <v>1026.2012</v>
      </c>
      <c r="K379" s="16">
        <v>40.362099999999998</v>
      </c>
      <c r="L379" s="16">
        <v>45.797699999999999</v>
      </c>
      <c r="M379" s="16">
        <v>45.320099999999996</v>
      </c>
      <c r="N379" s="16">
        <v>207.0196</v>
      </c>
      <c r="O379" s="16">
        <f t="shared" si="15"/>
        <v>41.661299999999997</v>
      </c>
      <c r="P379" s="7"/>
      <c r="Q379" s="8">
        <f>bdrate(C379:C382,D379:D382,J379:J382,K379:K382)</f>
        <v>-0.22100066159499976</v>
      </c>
      <c r="R379" s="8">
        <f>bdrate(C379:C382,E379:E382,J379:J382,L379:L382)</f>
        <v>-0.20163514789004633</v>
      </c>
      <c r="S379" s="8">
        <f>bdrate(C379:C382,F379:F382,J379:J382,M379:M382)</f>
        <v>-0.21055053803401624</v>
      </c>
      <c r="T379" s="25">
        <f>bdrate(C379:C382,H379:H382,J379:J382,O379:O382)</f>
        <v>-0.21826618871088166</v>
      </c>
      <c r="U379" s="28">
        <f t="shared" si="13"/>
        <v>0.23137996669045915</v>
      </c>
    </row>
    <row r="380" spans="2:21" hidden="1" x14ac:dyDescent="0.25">
      <c r="B380" s="9"/>
      <c r="C380" s="17">
        <v>602.32000000000005</v>
      </c>
      <c r="D380" s="18">
        <v>37.295999999999999</v>
      </c>
      <c r="E380" s="18">
        <v>43.798000000000002</v>
      </c>
      <c r="F380" s="18">
        <v>43.216000000000001</v>
      </c>
      <c r="G380" s="18">
        <v>196.78</v>
      </c>
      <c r="H380" s="18">
        <f t="shared" si="14"/>
        <v>38.848750000000003</v>
      </c>
      <c r="I380" s="5"/>
      <c r="J380" s="17">
        <v>615.13620000000003</v>
      </c>
      <c r="K380" s="18">
        <v>38.356200000000001</v>
      </c>
      <c r="L380" s="18">
        <v>44.429099999999998</v>
      </c>
      <c r="M380" s="18">
        <v>43.922600000000003</v>
      </c>
      <c r="N380" s="18">
        <v>271.99880000000002</v>
      </c>
      <c r="O380" s="18">
        <f t="shared" si="15"/>
        <v>39.8111125</v>
      </c>
      <c r="P380" s="7"/>
      <c r="Q380" s="10"/>
      <c r="R380" s="11"/>
      <c r="S380" s="11"/>
      <c r="T380" s="26"/>
      <c r="U380" s="28">
        <f t="shared" si="13"/>
        <v>0.38224819595487353</v>
      </c>
    </row>
    <row r="381" spans="2:21" hidden="1" x14ac:dyDescent="0.25">
      <c r="B381" s="9"/>
      <c r="C381" s="17">
        <v>397.35</v>
      </c>
      <c r="D381" s="18">
        <v>35.695</v>
      </c>
      <c r="E381" s="18">
        <v>42.651000000000003</v>
      </c>
      <c r="F381" s="18">
        <v>42.054000000000002</v>
      </c>
      <c r="G381" s="18">
        <v>223.92</v>
      </c>
      <c r="H381" s="18">
        <f t="shared" si="14"/>
        <v>37.359375</v>
      </c>
      <c r="I381" s="5"/>
      <c r="J381" s="17">
        <v>407.63740000000001</v>
      </c>
      <c r="K381" s="18">
        <v>36.776899999999998</v>
      </c>
      <c r="L381" s="18">
        <v>43.379399999999997</v>
      </c>
      <c r="M381" s="18">
        <v>42.818399999999997</v>
      </c>
      <c r="N381" s="18">
        <v>318.57619999999997</v>
      </c>
      <c r="O381" s="18">
        <f t="shared" si="15"/>
        <v>38.357399999999998</v>
      </c>
      <c r="P381" s="7"/>
      <c r="Q381" s="10"/>
      <c r="R381" s="11"/>
      <c r="S381" s="11"/>
      <c r="T381" s="26"/>
      <c r="U381" s="28">
        <f t="shared" si="13"/>
        <v>0.42272329403358339</v>
      </c>
    </row>
    <row r="382" spans="2:21" ht="16.5" hidden="1" thickBot="1" x14ac:dyDescent="0.3">
      <c r="B382" s="12"/>
      <c r="C382" s="19">
        <v>195.59</v>
      </c>
      <c r="D382" s="20">
        <v>32.862000000000002</v>
      </c>
      <c r="E382" s="20">
        <v>40.664999999999999</v>
      </c>
      <c r="F382" s="20">
        <v>39.997</v>
      </c>
      <c r="G382" s="20">
        <v>270.69</v>
      </c>
      <c r="H382" s="20">
        <f t="shared" si="14"/>
        <v>34.72925</v>
      </c>
      <c r="I382" s="5"/>
      <c r="J382" s="19">
        <v>200.08879999999999</v>
      </c>
      <c r="K382" s="20">
        <v>33.904299999999999</v>
      </c>
      <c r="L382" s="20">
        <v>41.355499999999999</v>
      </c>
      <c r="M382" s="20">
        <v>40.756999999999998</v>
      </c>
      <c r="N382" s="20">
        <v>408.86360000000002</v>
      </c>
      <c r="O382" s="20">
        <f t="shared" si="15"/>
        <v>35.692287499999999</v>
      </c>
      <c r="P382" s="7"/>
      <c r="Q382" s="13"/>
      <c r="R382" s="14"/>
      <c r="S382" s="14"/>
      <c r="T382" s="27"/>
      <c r="U382" s="28">
        <f t="shared" si="13"/>
        <v>0.51044959178395954</v>
      </c>
    </row>
    <row r="383" spans="2:21" hidden="1" x14ac:dyDescent="0.25">
      <c r="B383" s="6" t="s">
        <v>112</v>
      </c>
      <c r="C383" s="15">
        <v>994.23</v>
      </c>
      <c r="D383" s="16">
        <v>42.982999999999997</v>
      </c>
      <c r="E383" s="16">
        <v>47.667000000000002</v>
      </c>
      <c r="F383" s="16">
        <v>46.854999999999997</v>
      </c>
      <c r="G383" s="16">
        <v>171.36</v>
      </c>
      <c r="H383" s="16">
        <f t="shared" si="14"/>
        <v>44.052499999999995</v>
      </c>
      <c r="I383" s="5"/>
      <c r="J383" s="15">
        <v>1025.3353</v>
      </c>
      <c r="K383" s="16">
        <v>44.0779</v>
      </c>
      <c r="L383" s="16">
        <v>48.193100000000001</v>
      </c>
      <c r="M383" s="16">
        <v>47.465499999999999</v>
      </c>
      <c r="N383" s="16">
        <v>220.7492</v>
      </c>
      <c r="O383" s="16">
        <f t="shared" si="15"/>
        <v>45.015750000000004</v>
      </c>
      <c r="P383" s="7"/>
      <c r="Q383" s="8">
        <f>bdrate(C383:C386,D383:D386,J383:J386,K383:K386)</f>
        <v>-0.24094837827738058</v>
      </c>
      <c r="R383" s="8">
        <f>bdrate(C383:C386,E383:E386,J383:J386,L383:L386)</f>
        <v>-0.12764797214030577</v>
      </c>
      <c r="S383" s="8">
        <f>bdrate(C383:C386,F383:F386,J383:J386,M383:M386)</f>
        <v>-0.16061034807074115</v>
      </c>
      <c r="T383" s="25">
        <f>bdrate(C383:C386,H383:H386,J383:J386,O383:O386)</f>
        <v>-0.22192964062965614</v>
      </c>
      <c r="U383" s="28">
        <f t="shared" si="13"/>
        <v>0.28821895424836591</v>
      </c>
    </row>
    <row r="384" spans="2:21" hidden="1" x14ac:dyDescent="0.25">
      <c r="B384" s="9"/>
      <c r="C384" s="17">
        <v>598.85</v>
      </c>
      <c r="D384" s="18">
        <v>40.975000000000001</v>
      </c>
      <c r="E384" s="18">
        <v>46.226999999999997</v>
      </c>
      <c r="F384" s="18">
        <v>45.305</v>
      </c>
      <c r="G384" s="18">
        <v>200.95</v>
      </c>
      <c r="H384" s="18">
        <f t="shared" si="14"/>
        <v>42.172750000000001</v>
      </c>
      <c r="I384" s="5"/>
      <c r="J384" s="17">
        <v>615.21690000000001</v>
      </c>
      <c r="K384" s="18">
        <v>42.17</v>
      </c>
      <c r="L384" s="18">
        <v>46.708399999999997</v>
      </c>
      <c r="M384" s="18">
        <v>45.909700000000001</v>
      </c>
      <c r="N384" s="18">
        <v>275.04169999999999</v>
      </c>
      <c r="O384" s="18">
        <f t="shared" si="15"/>
        <v>43.204762500000001</v>
      </c>
      <c r="P384" s="7"/>
      <c r="Q384" s="10"/>
      <c r="R384" s="11"/>
      <c r="S384" s="11"/>
      <c r="T384" s="26"/>
      <c r="U384" s="28">
        <f t="shared" si="13"/>
        <v>0.36870714107987063</v>
      </c>
    </row>
    <row r="385" spans="2:21" hidden="1" x14ac:dyDescent="0.25">
      <c r="B385" s="9"/>
      <c r="C385" s="17">
        <v>402.22</v>
      </c>
      <c r="D385" s="18">
        <v>39.31</v>
      </c>
      <c r="E385" s="18">
        <v>44.965000000000003</v>
      </c>
      <c r="F385" s="18">
        <v>43.951999999999998</v>
      </c>
      <c r="G385" s="18">
        <v>225.05</v>
      </c>
      <c r="H385" s="18">
        <f t="shared" si="14"/>
        <v>40.597125000000005</v>
      </c>
      <c r="I385" s="5"/>
      <c r="J385" s="17">
        <v>409.27890000000002</v>
      </c>
      <c r="K385" s="18">
        <v>40.576000000000001</v>
      </c>
      <c r="L385" s="18">
        <v>45.453899999999997</v>
      </c>
      <c r="M385" s="18">
        <v>44.607300000000002</v>
      </c>
      <c r="N385" s="18">
        <v>310.25639999999999</v>
      </c>
      <c r="O385" s="18">
        <f t="shared" si="15"/>
        <v>41.68965</v>
      </c>
      <c r="P385" s="7"/>
      <c r="Q385" s="10"/>
      <c r="R385" s="11"/>
      <c r="S385" s="11"/>
      <c r="T385" s="26"/>
      <c r="U385" s="28">
        <f t="shared" si="13"/>
        <v>0.37861097533881344</v>
      </c>
    </row>
    <row r="386" spans="2:21" ht="16.5" hidden="1" thickBot="1" x14ac:dyDescent="0.3">
      <c r="B386" s="12"/>
      <c r="C386" s="19">
        <v>203.1</v>
      </c>
      <c r="D386" s="20">
        <v>36.185000000000002</v>
      </c>
      <c r="E386" s="20">
        <v>42.584000000000003</v>
      </c>
      <c r="F386" s="20">
        <v>41.454000000000001</v>
      </c>
      <c r="G386" s="20">
        <v>272.44</v>
      </c>
      <c r="H386" s="20">
        <f t="shared" si="14"/>
        <v>37.643500000000003</v>
      </c>
      <c r="I386" s="5"/>
      <c r="J386" s="19">
        <v>203.02879999999999</v>
      </c>
      <c r="K386" s="20">
        <v>37.426499999999997</v>
      </c>
      <c r="L386" s="20">
        <v>43.0867</v>
      </c>
      <c r="M386" s="20">
        <v>42.174900000000001</v>
      </c>
      <c r="N386" s="20">
        <v>409.70650000000001</v>
      </c>
      <c r="O386" s="20">
        <f t="shared" si="15"/>
        <v>38.727574999999995</v>
      </c>
      <c r="P386" s="7"/>
      <c r="Q386" s="13"/>
      <c r="R386" s="14"/>
      <c r="S386" s="14"/>
      <c r="T386" s="27"/>
      <c r="U386" s="28">
        <f t="shared" si="13"/>
        <v>0.50384121274409044</v>
      </c>
    </row>
    <row r="387" spans="2:21" hidden="1" x14ac:dyDescent="0.25">
      <c r="B387" s="6" t="s">
        <v>113</v>
      </c>
      <c r="C387" s="15">
        <v>1459.01</v>
      </c>
      <c r="D387" s="16">
        <v>37.44</v>
      </c>
      <c r="E387" s="16">
        <v>42.923999999999999</v>
      </c>
      <c r="F387" s="16">
        <v>43.643000000000001</v>
      </c>
      <c r="G387" s="16">
        <v>65.709999999999994</v>
      </c>
      <c r="H387" s="16">
        <f t="shared" si="14"/>
        <v>38.900874999999999</v>
      </c>
      <c r="I387" s="5"/>
      <c r="J387" s="15">
        <v>1536.7466999999999</v>
      </c>
      <c r="K387" s="16">
        <v>37.680199999999999</v>
      </c>
      <c r="L387" s="16">
        <v>43.346699999999998</v>
      </c>
      <c r="M387" s="16">
        <v>44.017699999999998</v>
      </c>
      <c r="N387" s="16">
        <v>148.9186</v>
      </c>
      <c r="O387" s="16">
        <f t="shared" si="15"/>
        <v>39.180700000000002</v>
      </c>
      <c r="P387" s="7"/>
      <c r="Q387" s="8">
        <f>bdrate(C387:C390,D387:D390,J387:J390,K387:K390)</f>
        <v>-1.7093785995220601E-2</v>
      </c>
      <c r="R387" s="8">
        <f>bdrate(C387:C390,E387:E390,J387:J390,L387:L390)</f>
        <v>-0.18843495487386774</v>
      </c>
      <c r="S387" s="8">
        <f>bdrate(C387:C390,F387:F390,J387:J390,M387:M390)</f>
        <v>-0.17956391586423304</v>
      </c>
      <c r="T387" s="25">
        <f>bdrate(C387:C390,H387:H390,J387:J390,O387:O390)</f>
        <v>-4.6313206423547526E-2</v>
      </c>
      <c r="U387" s="28">
        <f t="shared" si="13"/>
        <v>1.2663004108963629</v>
      </c>
    </row>
    <row r="388" spans="2:21" hidden="1" x14ac:dyDescent="0.25">
      <c r="B388" s="9"/>
      <c r="C388" s="17">
        <v>972.79</v>
      </c>
      <c r="D388" s="18">
        <v>35.619</v>
      </c>
      <c r="E388" s="18">
        <v>41.634</v>
      </c>
      <c r="F388" s="18">
        <v>42.395000000000003</v>
      </c>
      <c r="G388" s="18">
        <v>74.7</v>
      </c>
      <c r="H388" s="18">
        <f t="shared" si="14"/>
        <v>37.217874999999999</v>
      </c>
      <c r="I388" s="5"/>
      <c r="J388" s="17">
        <v>1024.0372</v>
      </c>
      <c r="K388" s="18">
        <v>35.848599999999998</v>
      </c>
      <c r="L388" s="18">
        <v>42.180599999999998</v>
      </c>
      <c r="M388" s="18">
        <v>42.897199999999998</v>
      </c>
      <c r="N388" s="18">
        <v>170.5104</v>
      </c>
      <c r="O388" s="18">
        <f t="shared" si="15"/>
        <v>37.521174999999999</v>
      </c>
      <c r="P388" s="7"/>
      <c r="Q388" s="10"/>
      <c r="R388" s="11"/>
      <c r="S388" s="11"/>
      <c r="T388" s="26"/>
      <c r="U388" s="28">
        <f t="shared" si="13"/>
        <v>1.2826024096385542</v>
      </c>
    </row>
    <row r="389" spans="2:21" hidden="1" x14ac:dyDescent="0.25">
      <c r="B389" s="9"/>
      <c r="C389" s="17">
        <v>582.83000000000004</v>
      </c>
      <c r="D389" s="18">
        <v>33.228999999999999</v>
      </c>
      <c r="E389" s="18">
        <v>40.146999999999998</v>
      </c>
      <c r="F389" s="18">
        <v>40.981999999999999</v>
      </c>
      <c r="G389" s="18">
        <v>87.07</v>
      </c>
      <c r="H389" s="18">
        <f t="shared" si="14"/>
        <v>35.062874999999998</v>
      </c>
      <c r="I389" s="5"/>
      <c r="J389" s="17">
        <v>614.41650000000004</v>
      </c>
      <c r="K389" s="18">
        <v>33.538600000000002</v>
      </c>
      <c r="L389" s="18">
        <v>40.924199999999999</v>
      </c>
      <c r="M389" s="18">
        <v>41.692300000000003</v>
      </c>
      <c r="N389" s="18">
        <v>200.7567</v>
      </c>
      <c r="O389" s="18">
        <f t="shared" si="15"/>
        <v>35.481012499999999</v>
      </c>
      <c r="P389" s="7"/>
      <c r="Q389" s="10"/>
      <c r="R389" s="11"/>
      <c r="S389" s="11"/>
      <c r="T389" s="26"/>
      <c r="U389" s="28">
        <f t="shared" si="13"/>
        <v>1.3056931204777766</v>
      </c>
    </row>
    <row r="390" spans="2:21" ht="16.5" hidden="1" thickBot="1" x14ac:dyDescent="0.3">
      <c r="B390" s="12"/>
      <c r="C390" s="19">
        <v>291.45999999999998</v>
      </c>
      <c r="D390" s="20">
        <v>30.056999999999999</v>
      </c>
      <c r="E390" s="20">
        <v>38.566000000000003</v>
      </c>
      <c r="F390" s="20">
        <v>39.436</v>
      </c>
      <c r="G390" s="20">
        <v>102.7</v>
      </c>
      <c r="H390" s="20">
        <f t="shared" si="14"/>
        <v>32.292999999999999</v>
      </c>
      <c r="I390" s="5"/>
      <c r="J390" s="19">
        <v>306.6388</v>
      </c>
      <c r="K390" s="20">
        <v>30.5868</v>
      </c>
      <c r="L390" s="20">
        <v>39.438800000000001</v>
      </c>
      <c r="M390" s="20">
        <v>40.282499999999999</v>
      </c>
      <c r="N390" s="20">
        <v>237.93190000000001</v>
      </c>
      <c r="O390" s="20">
        <f t="shared" si="15"/>
        <v>32.905262500000006</v>
      </c>
      <c r="P390" s="7"/>
      <c r="Q390" s="13"/>
      <c r="R390" s="14"/>
      <c r="S390" s="14"/>
      <c r="T390" s="27"/>
      <c r="U390" s="28">
        <f t="shared" si="13"/>
        <v>1.3167663096397273</v>
      </c>
    </row>
    <row r="391" spans="2:21" hidden="1" x14ac:dyDescent="0.25">
      <c r="B391" s="6" t="s">
        <v>114</v>
      </c>
      <c r="C391" s="15">
        <v>1578.2</v>
      </c>
      <c r="D391" s="16">
        <v>34.86</v>
      </c>
      <c r="E391" s="16">
        <v>40.649000000000001</v>
      </c>
      <c r="F391" s="16">
        <v>39.103999999999999</v>
      </c>
      <c r="G391" s="16">
        <v>74.02</v>
      </c>
      <c r="H391" s="16">
        <f t="shared" si="14"/>
        <v>36.114125000000001</v>
      </c>
      <c r="I391" s="5"/>
      <c r="J391" s="15">
        <v>1539.692</v>
      </c>
      <c r="K391" s="16">
        <v>35.299500000000002</v>
      </c>
      <c r="L391" s="16">
        <v>40.774700000000003</v>
      </c>
      <c r="M391" s="16">
        <v>38.991999999999997</v>
      </c>
      <c r="N391" s="16">
        <v>121.8459</v>
      </c>
      <c r="O391" s="16">
        <f t="shared" si="15"/>
        <v>36.445462500000005</v>
      </c>
      <c r="P391" s="7"/>
      <c r="Q391" s="8">
        <f>bdrate(C391:C394,D391:D394,J391:J394,K391:K394)</f>
        <v>-8.4913904568708731E-2</v>
      </c>
      <c r="R391" s="8">
        <f>bdrate(C391:C394,E391:E394,J391:J394,L391:L394)</f>
        <v>-5.4448636654387039E-2</v>
      </c>
      <c r="S391" s="8">
        <f>bdrate(C391:C394,F391:F394,J391:J394,M391:M394)</f>
        <v>5.695472970980231E-2</v>
      </c>
      <c r="T391" s="25">
        <f>bdrate(C391:C394,H391:H394,J391:J394,O391:O394)</f>
        <v>-6.6358431324602618E-2</v>
      </c>
      <c r="U391" s="28">
        <f t="shared" si="13"/>
        <v>0.64612131856255073</v>
      </c>
    </row>
    <row r="392" spans="2:21" hidden="1" x14ac:dyDescent="0.25">
      <c r="B392" s="9"/>
      <c r="C392" s="17">
        <v>1054.8</v>
      </c>
      <c r="D392" s="18">
        <v>32.993000000000002</v>
      </c>
      <c r="E392" s="18">
        <v>39.290999999999997</v>
      </c>
      <c r="F392" s="18">
        <v>37.655999999999999</v>
      </c>
      <c r="G392" s="18">
        <v>83.04</v>
      </c>
      <c r="H392" s="18">
        <f t="shared" si="14"/>
        <v>34.363125000000004</v>
      </c>
      <c r="I392" s="5"/>
      <c r="J392" s="17">
        <v>1025.8551</v>
      </c>
      <c r="K392" s="18">
        <v>33.322200000000002</v>
      </c>
      <c r="L392" s="18">
        <v>39.346200000000003</v>
      </c>
      <c r="M392" s="18">
        <v>37.344799999999999</v>
      </c>
      <c r="N392" s="18">
        <v>136.4667</v>
      </c>
      <c r="O392" s="18">
        <f t="shared" si="15"/>
        <v>34.578025000000004</v>
      </c>
      <c r="P392" s="7"/>
      <c r="Q392" s="10"/>
      <c r="R392" s="11"/>
      <c r="S392" s="11"/>
      <c r="T392" s="26"/>
      <c r="U392" s="28">
        <f t="shared" si="13"/>
        <v>0.64338511560693634</v>
      </c>
    </row>
    <row r="393" spans="2:21" hidden="1" x14ac:dyDescent="0.25">
      <c r="B393" s="9"/>
      <c r="C393" s="17">
        <v>631.16999999999996</v>
      </c>
      <c r="D393" s="18">
        <v>30.864000000000001</v>
      </c>
      <c r="E393" s="18">
        <v>37.613</v>
      </c>
      <c r="F393" s="18">
        <v>35.777000000000001</v>
      </c>
      <c r="G393" s="18">
        <v>94.12</v>
      </c>
      <c r="H393" s="18">
        <f t="shared" si="14"/>
        <v>32.321750000000002</v>
      </c>
      <c r="I393" s="5"/>
      <c r="J393" s="17">
        <v>615.51310000000001</v>
      </c>
      <c r="K393" s="18">
        <v>31.088100000000001</v>
      </c>
      <c r="L393" s="18">
        <v>37.703200000000002</v>
      </c>
      <c r="M393" s="18">
        <v>35.408000000000001</v>
      </c>
      <c r="N393" s="18">
        <v>165.8707</v>
      </c>
      <c r="O393" s="18">
        <f t="shared" si="15"/>
        <v>32.454975000000005</v>
      </c>
      <c r="P393" s="7"/>
      <c r="Q393" s="10"/>
      <c r="R393" s="11"/>
      <c r="S393" s="11"/>
      <c r="T393" s="26"/>
      <c r="U393" s="28">
        <f t="shared" si="13"/>
        <v>0.76233212919676996</v>
      </c>
    </row>
    <row r="394" spans="2:21" ht="16.5" hidden="1" thickBot="1" x14ac:dyDescent="0.3">
      <c r="B394" s="12"/>
      <c r="C394" s="19">
        <v>314.22000000000003</v>
      </c>
      <c r="D394" s="20">
        <v>28.376000000000001</v>
      </c>
      <c r="E394" s="20">
        <v>35.601999999999997</v>
      </c>
      <c r="F394" s="20">
        <v>33.195999999999998</v>
      </c>
      <c r="G394" s="20">
        <v>110.89</v>
      </c>
      <c r="H394" s="20">
        <f t="shared" si="14"/>
        <v>29.88175</v>
      </c>
      <c r="I394" s="5"/>
      <c r="J394" s="19">
        <v>307.94499999999999</v>
      </c>
      <c r="K394" s="20">
        <v>28.535399999999999</v>
      </c>
      <c r="L394" s="20">
        <v>35.775700000000001</v>
      </c>
      <c r="M394" s="20">
        <v>33.042299999999997</v>
      </c>
      <c r="N394" s="20">
        <v>217.59039999999999</v>
      </c>
      <c r="O394" s="20">
        <f t="shared" si="15"/>
        <v>30.003799999999998</v>
      </c>
      <c r="P394" s="7"/>
      <c r="Q394" s="13"/>
      <c r="R394" s="14"/>
      <c r="S394" s="14"/>
      <c r="T394" s="27"/>
      <c r="U394" s="28">
        <f t="shared" si="13"/>
        <v>0.96221841464514368</v>
      </c>
    </row>
    <row r="395" spans="2:21" hidden="1" x14ac:dyDescent="0.25">
      <c r="B395" s="6" t="s">
        <v>115</v>
      </c>
      <c r="C395" s="15">
        <v>1574.72</v>
      </c>
      <c r="D395" s="16">
        <v>40.171999999999997</v>
      </c>
      <c r="E395" s="16">
        <v>46.881</v>
      </c>
      <c r="F395" s="16">
        <v>46.755000000000003</v>
      </c>
      <c r="G395" s="16">
        <v>64.31</v>
      </c>
      <c r="H395" s="16">
        <f t="shared" si="14"/>
        <v>41.833500000000001</v>
      </c>
      <c r="I395" s="5"/>
      <c r="J395" s="15">
        <v>1536.6013</v>
      </c>
      <c r="K395" s="16">
        <v>40.448999999999998</v>
      </c>
      <c r="L395" s="16">
        <v>46.790799999999997</v>
      </c>
      <c r="M395" s="16">
        <v>46.661000000000001</v>
      </c>
      <c r="N395" s="16">
        <v>111.58750000000001</v>
      </c>
      <c r="O395" s="16">
        <f t="shared" si="15"/>
        <v>42.018225000000001</v>
      </c>
      <c r="P395" s="7"/>
      <c r="Q395" s="8">
        <f>bdrate(C395:C398,D395:D398,J395:J398,K395:K398)</f>
        <v>-6.8196778772074751E-2</v>
      </c>
      <c r="R395" s="8">
        <f>bdrate(C395:C398,E395:E398,J395:J398,L395:L398)</f>
        <v>-8.8388042412467338E-2</v>
      </c>
      <c r="S395" s="8">
        <f>bdrate(C395:C398,F395:F398,J395:J398,M395:M398)</f>
        <v>-7.9823143278183184E-2</v>
      </c>
      <c r="T395" s="25">
        <f>bdrate(C395:C398,H395:H398,J395:J398,O395:O398)</f>
        <v>-7.2509919773167009E-2</v>
      </c>
      <c r="U395" s="28">
        <f t="shared" si="13"/>
        <v>0.73515005442388437</v>
      </c>
    </row>
    <row r="396" spans="2:21" hidden="1" x14ac:dyDescent="0.25">
      <c r="B396" s="9"/>
      <c r="C396" s="17">
        <v>1052.8699999999999</v>
      </c>
      <c r="D396" s="18">
        <v>38.895000000000003</v>
      </c>
      <c r="E396" s="18">
        <v>45.674999999999997</v>
      </c>
      <c r="F396" s="18">
        <v>45.5</v>
      </c>
      <c r="G396" s="18">
        <v>72.19</v>
      </c>
      <c r="H396" s="18">
        <f t="shared" si="14"/>
        <v>40.568125000000002</v>
      </c>
      <c r="I396" s="5"/>
      <c r="J396" s="17">
        <v>1024.1695</v>
      </c>
      <c r="K396" s="18">
        <v>39.089300000000001</v>
      </c>
      <c r="L396" s="18">
        <v>45.747100000000003</v>
      </c>
      <c r="M396" s="18">
        <v>45.547199999999997</v>
      </c>
      <c r="N396" s="18">
        <v>131.435</v>
      </c>
      <c r="O396" s="18">
        <f t="shared" si="15"/>
        <v>40.728762499999995</v>
      </c>
      <c r="P396" s="7"/>
      <c r="Q396" s="10"/>
      <c r="R396" s="11"/>
      <c r="S396" s="11"/>
      <c r="T396" s="26"/>
      <c r="U396" s="28">
        <f t="shared" si="13"/>
        <v>0.82068153483862039</v>
      </c>
    </row>
    <row r="397" spans="2:21" hidden="1" x14ac:dyDescent="0.25">
      <c r="B397" s="9"/>
      <c r="C397" s="17">
        <v>630.39</v>
      </c>
      <c r="D397" s="18">
        <v>37.091000000000001</v>
      </c>
      <c r="E397" s="18">
        <v>44.02</v>
      </c>
      <c r="F397" s="18">
        <v>43.780999999999999</v>
      </c>
      <c r="G397" s="18">
        <v>82.4</v>
      </c>
      <c r="H397" s="18">
        <f t="shared" si="14"/>
        <v>38.793374999999997</v>
      </c>
      <c r="I397" s="5"/>
      <c r="J397" s="17">
        <v>613.95889999999997</v>
      </c>
      <c r="K397" s="18">
        <v>37.231000000000002</v>
      </c>
      <c r="L397" s="18">
        <v>44.282600000000002</v>
      </c>
      <c r="M397" s="18">
        <v>44.017499999999998</v>
      </c>
      <c r="N397" s="18">
        <v>160.61019999999999</v>
      </c>
      <c r="O397" s="18">
        <f t="shared" si="15"/>
        <v>38.960762500000001</v>
      </c>
      <c r="P397" s="7"/>
      <c r="Q397" s="10"/>
      <c r="R397" s="11"/>
      <c r="S397" s="11"/>
      <c r="T397" s="26"/>
      <c r="U397" s="28">
        <f t="shared" si="13"/>
        <v>0.94915291262135904</v>
      </c>
    </row>
    <row r="398" spans="2:21" ht="16.5" hidden="1" thickBot="1" x14ac:dyDescent="0.3">
      <c r="B398" s="12"/>
      <c r="C398" s="19">
        <v>314.43</v>
      </c>
      <c r="D398" s="20">
        <v>34.287999999999997</v>
      </c>
      <c r="E398" s="20">
        <v>41.746000000000002</v>
      </c>
      <c r="F398" s="20">
        <v>41.326000000000001</v>
      </c>
      <c r="G398" s="20">
        <v>97.19</v>
      </c>
      <c r="H398" s="20">
        <f t="shared" si="14"/>
        <v>36.1</v>
      </c>
      <c r="I398" s="5"/>
      <c r="J398" s="19">
        <v>306.83499999999998</v>
      </c>
      <c r="K398" s="20">
        <v>34.427999999999997</v>
      </c>
      <c r="L398" s="20">
        <v>42.182699999999997</v>
      </c>
      <c r="M398" s="20">
        <v>41.772100000000002</v>
      </c>
      <c r="N398" s="20">
        <v>212.13489999999999</v>
      </c>
      <c r="O398" s="20">
        <f t="shared" si="15"/>
        <v>36.315350000000002</v>
      </c>
      <c r="P398" s="7"/>
      <c r="Q398" s="13"/>
      <c r="R398" s="14"/>
      <c r="S398" s="14"/>
      <c r="T398" s="27"/>
      <c r="U398" s="28">
        <f t="shared" si="13"/>
        <v>1.1826823747299104</v>
      </c>
    </row>
    <row r="399" spans="2:21" hidden="1" x14ac:dyDescent="0.25">
      <c r="B399" s="6" t="s">
        <v>116</v>
      </c>
      <c r="C399" s="29">
        <v>1510.37</v>
      </c>
      <c r="D399" s="30">
        <v>46.832999999999998</v>
      </c>
      <c r="E399" s="30">
        <v>51.6</v>
      </c>
      <c r="F399" s="30">
        <v>51.485999999999997</v>
      </c>
      <c r="G399" s="16">
        <v>70.36</v>
      </c>
      <c r="H399" s="16">
        <f t="shared" si="14"/>
        <v>48.0105</v>
      </c>
      <c r="I399" s="5"/>
      <c r="J399" s="29">
        <v>1538.0573999999999</v>
      </c>
      <c r="K399" s="30">
        <v>47.184699999999999</v>
      </c>
      <c r="L399" s="30">
        <v>51.460099999999997</v>
      </c>
      <c r="M399" s="30">
        <v>51.275500000000001</v>
      </c>
      <c r="N399" s="16">
        <v>123.4568</v>
      </c>
      <c r="O399" s="16">
        <f t="shared" si="15"/>
        <v>48.230475000000006</v>
      </c>
      <c r="P399" s="7"/>
      <c r="Q399" s="8">
        <f>bdrate(C399:C402,D399:D402,J399:J402,K399:K402)</f>
        <v>-0.17075056456190918</v>
      </c>
      <c r="R399" s="8">
        <f>bdrate(C399:C402,E399:E402,J399:J402,L399:L402)</f>
        <v>0.24523341449114167</v>
      </c>
      <c r="S399" s="8">
        <f>bdrate(C399:C402,F399:F402,J399:J402,M399:M402)</f>
        <v>0.36466431831593038</v>
      </c>
      <c r="T399" s="25">
        <f>bdrate(C399:C402,H399:H402,J399:J402,O399:O402)</f>
        <v>-0.10047519409629935</v>
      </c>
      <c r="U399" s="28">
        <f t="shared" si="13"/>
        <v>0.75464468447981814</v>
      </c>
    </row>
    <row r="400" spans="2:21" hidden="1" x14ac:dyDescent="0.25">
      <c r="B400" s="9"/>
      <c r="C400" s="31">
        <v>1008.14</v>
      </c>
      <c r="D400" s="32">
        <v>45.99</v>
      </c>
      <c r="E400" s="32">
        <v>51.052999999999997</v>
      </c>
      <c r="F400" s="32">
        <v>50.978999999999999</v>
      </c>
      <c r="G400" s="18">
        <v>80.94</v>
      </c>
      <c r="H400" s="18">
        <f t="shared" si="14"/>
        <v>47.246499999999997</v>
      </c>
      <c r="I400" s="5"/>
      <c r="J400" s="31">
        <v>1025.1284000000001</v>
      </c>
      <c r="K400" s="32">
        <v>46.376399999999997</v>
      </c>
      <c r="L400" s="32">
        <v>50.771099999999997</v>
      </c>
      <c r="M400" s="32">
        <v>50.641599999999997</v>
      </c>
      <c r="N400" s="18">
        <v>149.38749999999999</v>
      </c>
      <c r="O400" s="18">
        <f t="shared" si="15"/>
        <v>47.458887499999996</v>
      </c>
      <c r="P400" s="7"/>
      <c r="Q400" s="10"/>
      <c r="R400" s="11"/>
      <c r="S400" s="11"/>
      <c r="T400" s="26"/>
      <c r="U400" s="28">
        <f t="shared" si="13"/>
        <v>0.84565727699530513</v>
      </c>
    </row>
    <row r="401" spans="1:21" hidden="1" x14ac:dyDescent="0.25">
      <c r="B401" s="9"/>
      <c r="C401" s="31">
        <v>606.52</v>
      </c>
      <c r="D401" s="32">
        <v>44.81</v>
      </c>
      <c r="E401" s="32">
        <v>50.347000000000001</v>
      </c>
      <c r="F401" s="32">
        <v>50.384999999999998</v>
      </c>
      <c r="G401" s="18">
        <v>96.77</v>
      </c>
      <c r="H401" s="18">
        <f t="shared" si="14"/>
        <v>46.198999999999998</v>
      </c>
      <c r="I401" s="5"/>
      <c r="J401" s="31">
        <v>613.28710000000001</v>
      </c>
      <c r="K401" s="32">
        <v>45.295099999999998</v>
      </c>
      <c r="L401" s="32">
        <v>49.914099999999998</v>
      </c>
      <c r="M401" s="32">
        <v>49.872</v>
      </c>
      <c r="N401" s="18">
        <v>183.15020000000001</v>
      </c>
      <c r="O401" s="18">
        <f t="shared" si="15"/>
        <v>46.444587500000004</v>
      </c>
      <c r="P401" s="7"/>
      <c r="Q401" s="10"/>
      <c r="R401" s="11"/>
      <c r="S401" s="11"/>
      <c r="T401" s="26"/>
      <c r="U401" s="28">
        <f t="shared" si="13"/>
        <v>0.8926340808101686</v>
      </c>
    </row>
    <row r="402" spans="1:21" ht="16.5" hidden="1" thickBot="1" x14ac:dyDescent="0.3">
      <c r="B402" s="12"/>
      <c r="C402" s="33">
        <v>305.32</v>
      </c>
      <c r="D402" s="34">
        <v>42.957000000000001</v>
      </c>
      <c r="E402" s="34">
        <v>48.927</v>
      </c>
      <c r="F402" s="34">
        <v>49.26</v>
      </c>
      <c r="G402" s="20">
        <v>120.03</v>
      </c>
      <c r="H402" s="20">
        <f t="shared" si="14"/>
        <v>44.491125000000004</v>
      </c>
      <c r="I402" s="5"/>
      <c r="J402" s="33">
        <v>298.85410000000002</v>
      </c>
      <c r="K402" s="34">
        <v>43.4803</v>
      </c>
      <c r="L402" s="34">
        <v>48.620199999999997</v>
      </c>
      <c r="M402" s="34">
        <v>48.866700000000002</v>
      </c>
      <c r="N402" s="20">
        <v>233.86340000000001</v>
      </c>
      <c r="O402" s="20">
        <f t="shared" si="15"/>
        <v>44.796087499999999</v>
      </c>
      <c r="P402" s="7"/>
      <c r="Q402" s="13"/>
      <c r="R402" s="14"/>
      <c r="S402" s="14"/>
      <c r="T402" s="27"/>
      <c r="U402" s="28">
        <f t="shared" si="13"/>
        <v>0.94837457302341088</v>
      </c>
    </row>
    <row r="403" spans="1:21" hidden="1" x14ac:dyDescent="0.25">
      <c r="A403" s="6" t="s">
        <v>117</v>
      </c>
      <c r="B403" s="6" t="s">
        <v>118</v>
      </c>
      <c r="C403" s="15">
        <v>990.21</v>
      </c>
      <c r="D403" s="16">
        <v>38.530999999999999</v>
      </c>
      <c r="E403" s="16">
        <v>46.375</v>
      </c>
      <c r="F403" s="16">
        <v>46.122</v>
      </c>
      <c r="G403" s="16">
        <v>220.82</v>
      </c>
      <c r="H403" s="16">
        <f t="shared" si="14"/>
        <v>40.460374999999999</v>
      </c>
      <c r="I403" s="5"/>
      <c r="J403" s="15">
        <v>1023.8114</v>
      </c>
      <c r="K403" s="16">
        <v>39.536700000000003</v>
      </c>
      <c r="L403" s="16">
        <v>46.5732</v>
      </c>
      <c r="M403" s="16">
        <v>46.3872</v>
      </c>
      <c r="N403" s="16">
        <v>315.0899</v>
      </c>
      <c r="O403" s="16">
        <f t="shared" si="15"/>
        <v>41.272575000000003</v>
      </c>
      <c r="P403" s="7"/>
      <c r="Q403" s="8">
        <f>bdrate(C403:C406,D403:D406,J403:J406,K403:K406)</f>
        <v>-0.14728808149013195</v>
      </c>
      <c r="R403" s="8">
        <f>bdrate(C403:C406,E403:E406,J403:J406,L403:L406)</f>
        <v>-7.6469674622505202E-2</v>
      </c>
      <c r="S403" s="8">
        <f>bdrate(C403:C406,F403:F406,J403:J406,M403:M406)</f>
        <v>-9.1713632370494569E-2</v>
      </c>
      <c r="T403" s="25">
        <f>bdrate(C403:C406,H403:H406,J403:J406,O403:O406)</f>
        <v>-0.13648326437011582</v>
      </c>
      <c r="U403" s="28">
        <f t="shared" si="13"/>
        <v>0.42690834163572144</v>
      </c>
    </row>
    <row r="404" spans="1:21" hidden="1" x14ac:dyDescent="0.25">
      <c r="A404" s="9"/>
      <c r="B404" s="9"/>
      <c r="C404" s="17">
        <v>589.24</v>
      </c>
      <c r="D404" s="18">
        <v>36.347000000000001</v>
      </c>
      <c r="E404" s="18">
        <v>44.75</v>
      </c>
      <c r="F404" s="18">
        <v>44.420999999999999</v>
      </c>
      <c r="G404" s="18">
        <v>252.03</v>
      </c>
      <c r="H404" s="18">
        <f t="shared" si="14"/>
        <v>38.406624999999998</v>
      </c>
      <c r="I404" s="5"/>
      <c r="J404" s="17">
        <v>612.26469999999995</v>
      </c>
      <c r="K404" s="18">
        <v>37.300199999999997</v>
      </c>
      <c r="L404" s="18">
        <v>45.072499999999998</v>
      </c>
      <c r="M404" s="18">
        <v>44.805500000000002</v>
      </c>
      <c r="N404" s="18">
        <v>382.71600000000001</v>
      </c>
      <c r="O404" s="18">
        <f t="shared" si="15"/>
        <v>39.209899999999998</v>
      </c>
      <c r="P404" s="7"/>
      <c r="Q404" s="10"/>
      <c r="R404" s="11"/>
      <c r="S404" s="11"/>
      <c r="T404" s="26"/>
      <c r="U404" s="28">
        <f t="shared" si="13"/>
        <v>0.51853350791572439</v>
      </c>
    </row>
    <row r="405" spans="1:21" hidden="1" x14ac:dyDescent="0.25">
      <c r="B405" s="9"/>
      <c r="C405" s="17">
        <v>388.75</v>
      </c>
      <c r="D405" s="18">
        <v>34.61</v>
      </c>
      <c r="E405" s="18">
        <v>43.47</v>
      </c>
      <c r="F405" s="18">
        <v>43.021000000000001</v>
      </c>
      <c r="G405" s="18">
        <v>285.41000000000003</v>
      </c>
      <c r="H405" s="18">
        <f t="shared" si="14"/>
        <v>36.768875000000001</v>
      </c>
      <c r="I405" s="5"/>
      <c r="J405" s="17">
        <v>406.01600000000002</v>
      </c>
      <c r="K405" s="18">
        <v>35.488500000000002</v>
      </c>
      <c r="L405" s="18">
        <v>43.833599999999997</v>
      </c>
      <c r="M405" s="18">
        <v>43.497500000000002</v>
      </c>
      <c r="N405" s="18">
        <v>434.03339999999997</v>
      </c>
      <c r="O405" s="18">
        <f t="shared" si="15"/>
        <v>37.532762500000004</v>
      </c>
      <c r="P405" s="7"/>
      <c r="Q405" s="10"/>
      <c r="R405" s="11"/>
      <c r="S405" s="11"/>
      <c r="T405" s="26"/>
      <c r="U405" s="28">
        <f t="shared" si="13"/>
        <v>0.52073648435583875</v>
      </c>
    </row>
    <row r="406" spans="1:21" ht="16.5" hidden="1" thickBot="1" x14ac:dyDescent="0.3">
      <c r="B406" s="12"/>
      <c r="C406" s="19">
        <v>190.32</v>
      </c>
      <c r="D406" s="20">
        <v>31.648</v>
      </c>
      <c r="E406" s="20">
        <v>41.445999999999998</v>
      </c>
      <c r="F406" s="20">
        <v>40.921999999999997</v>
      </c>
      <c r="G406" s="20">
        <v>331.14</v>
      </c>
      <c r="H406" s="20">
        <f t="shared" si="14"/>
        <v>34.031999999999996</v>
      </c>
      <c r="I406" s="5"/>
      <c r="J406" s="19">
        <v>202.0967</v>
      </c>
      <c r="K406" s="20">
        <v>32.292700000000004</v>
      </c>
      <c r="L406" s="20">
        <v>41.9983</v>
      </c>
      <c r="M406" s="20">
        <v>41.4617</v>
      </c>
      <c r="N406" s="20">
        <v>587.03570000000002</v>
      </c>
      <c r="O406" s="20">
        <f t="shared" si="15"/>
        <v>34.652025000000002</v>
      </c>
      <c r="P406" s="7"/>
      <c r="Q406" s="13"/>
      <c r="R406" s="14"/>
      <c r="S406" s="14"/>
      <c r="T406" s="27"/>
      <c r="U406" s="28">
        <f t="shared" si="13"/>
        <v>0.77277193936099553</v>
      </c>
    </row>
    <row r="407" spans="1:21" hidden="1" x14ac:dyDescent="0.25">
      <c r="B407" s="6" t="s">
        <v>119</v>
      </c>
      <c r="C407" s="15">
        <v>980.31</v>
      </c>
      <c r="D407" s="16">
        <v>37.152999999999999</v>
      </c>
      <c r="E407" s="16">
        <v>48.427999999999997</v>
      </c>
      <c r="F407" s="16">
        <v>45.707000000000001</v>
      </c>
      <c r="G407" s="16">
        <v>256.32</v>
      </c>
      <c r="H407" s="16">
        <f t="shared" si="14"/>
        <v>39.631625</v>
      </c>
      <c r="I407" s="5"/>
      <c r="J407" s="15">
        <v>1023.4521999999999</v>
      </c>
      <c r="K407" s="16">
        <v>38.334299999999999</v>
      </c>
      <c r="L407" s="16">
        <v>48.881599999999999</v>
      </c>
      <c r="M407" s="16">
        <v>46.508800000000001</v>
      </c>
      <c r="N407" s="16">
        <v>356.93849999999998</v>
      </c>
      <c r="O407" s="16">
        <f t="shared" si="15"/>
        <v>40.674525000000003</v>
      </c>
      <c r="P407" s="7"/>
      <c r="Q407" s="8">
        <f>bdrate(C407:C410,D407:D410,J407:J410,K407:K410)</f>
        <v>-0.21825318033624563</v>
      </c>
      <c r="R407" s="8">
        <f>bdrate(C407:C410,E407:E410,J407:J410,L407:L410)</f>
        <v>-0.23494217636617143</v>
      </c>
      <c r="S407" s="8">
        <f>bdrate(C407:C410,F407:F410,J407:J410,M407:M410)</f>
        <v>-0.29318031009097978</v>
      </c>
      <c r="T407" s="25">
        <f>bdrate(C407:C410,H407:H410,J407:J410,O407:O410)</f>
        <v>-0.22866148922695295</v>
      </c>
      <c r="U407" s="28">
        <f t="shared" si="13"/>
        <v>0.39255032771535575</v>
      </c>
    </row>
    <row r="408" spans="1:21" hidden="1" x14ac:dyDescent="0.25">
      <c r="B408" s="9"/>
      <c r="C408" s="17">
        <v>588.23</v>
      </c>
      <c r="D408" s="18">
        <v>35.292000000000002</v>
      </c>
      <c r="E408" s="18">
        <v>47.037999999999997</v>
      </c>
      <c r="F408" s="18">
        <v>44.207999999999998</v>
      </c>
      <c r="G408" s="18">
        <v>298.95</v>
      </c>
      <c r="H408" s="18">
        <f t="shared" si="14"/>
        <v>37.874750000000006</v>
      </c>
      <c r="I408" s="5"/>
      <c r="J408" s="17">
        <v>613.54480000000001</v>
      </c>
      <c r="K408" s="18">
        <v>36.389000000000003</v>
      </c>
      <c r="L408" s="18">
        <v>47.753999999999998</v>
      </c>
      <c r="M408" s="18">
        <v>45.181800000000003</v>
      </c>
      <c r="N408" s="18">
        <v>431.0643</v>
      </c>
      <c r="O408" s="18">
        <f t="shared" si="15"/>
        <v>38.908725000000004</v>
      </c>
      <c r="P408" s="7"/>
      <c r="Q408" s="10"/>
      <c r="R408" s="11"/>
      <c r="S408" s="11"/>
      <c r="T408" s="26"/>
      <c r="U408" s="28">
        <f t="shared" si="13"/>
        <v>0.44192774711490224</v>
      </c>
    </row>
    <row r="409" spans="1:21" hidden="1" x14ac:dyDescent="0.25">
      <c r="B409" s="9"/>
      <c r="C409" s="17">
        <v>393.18</v>
      </c>
      <c r="D409" s="18">
        <v>33.909999999999997</v>
      </c>
      <c r="E409" s="18">
        <v>46.094999999999999</v>
      </c>
      <c r="F409" s="18">
        <v>43.116</v>
      </c>
      <c r="G409" s="18">
        <v>331.83</v>
      </c>
      <c r="H409" s="18">
        <f t="shared" si="14"/>
        <v>36.583874999999999</v>
      </c>
      <c r="I409" s="5"/>
      <c r="J409" s="17">
        <v>408.58569999999997</v>
      </c>
      <c r="K409" s="18">
        <v>34.900799999999997</v>
      </c>
      <c r="L409" s="18">
        <v>46.7682</v>
      </c>
      <c r="M409" s="18">
        <v>44.133200000000002</v>
      </c>
      <c r="N409" s="18">
        <v>474.6053</v>
      </c>
      <c r="O409" s="18">
        <f t="shared" si="15"/>
        <v>37.538274999999992</v>
      </c>
      <c r="P409" s="7"/>
      <c r="Q409" s="10"/>
      <c r="R409" s="11"/>
      <c r="S409" s="11"/>
      <c r="T409" s="26"/>
      <c r="U409" s="28">
        <f t="shared" si="13"/>
        <v>0.43026640147063261</v>
      </c>
    </row>
    <row r="410" spans="1:21" ht="16.5" hidden="1" thickBot="1" x14ac:dyDescent="0.3">
      <c r="B410" s="12"/>
      <c r="C410" s="19">
        <v>196.89</v>
      </c>
      <c r="D410" s="20">
        <v>31.619</v>
      </c>
      <c r="E410" s="20">
        <v>44.683</v>
      </c>
      <c r="F410" s="20">
        <v>41.63</v>
      </c>
      <c r="G410" s="20">
        <v>388.21</v>
      </c>
      <c r="H410" s="20">
        <f t="shared" si="14"/>
        <v>34.503374999999998</v>
      </c>
      <c r="I410" s="5"/>
      <c r="J410" s="19">
        <v>203.86340000000001</v>
      </c>
      <c r="K410" s="20">
        <v>32.427399999999999</v>
      </c>
      <c r="L410" s="20">
        <v>45.597000000000001</v>
      </c>
      <c r="M410" s="20">
        <v>42.603099999999998</v>
      </c>
      <c r="N410" s="20">
        <v>639.74360000000001</v>
      </c>
      <c r="O410" s="20">
        <f t="shared" si="15"/>
        <v>35.3455625</v>
      </c>
      <c r="P410" s="7"/>
      <c r="Q410" s="13"/>
      <c r="R410" s="14"/>
      <c r="S410" s="14"/>
      <c r="T410" s="27"/>
      <c r="U410" s="28">
        <f t="shared" si="13"/>
        <v>0.64793178949537633</v>
      </c>
    </row>
    <row r="411" spans="1:21" hidden="1" x14ac:dyDescent="0.25">
      <c r="B411" s="6" t="s">
        <v>120</v>
      </c>
      <c r="C411" s="15">
        <v>1032.03</v>
      </c>
      <c r="D411" s="16">
        <v>41.28</v>
      </c>
      <c r="E411" s="16">
        <v>46.326000000000001</v>
      </c>
      <c r="F411" s="16">
        <v>46.747</v>
      </c>
      <c r="G411" s="16">
        <v>202.57</v>
      </c>
      <c r="H411" s="16">
        <f t="shared" si="14"/>
        <v>42.594125000000005</v>
      </c>
      <c r="I411" s="5"/>
      <c r="J411" s="15">
        <v>1025.5771999999999</v>
      </c>
      <c r="K411" s="16">
        <v>42.1768</v>
      </c>
      <c r="L411" s="16">
        <v>46.631700000000002</v>
      </c>
      <c r="M411" s="16">
        <v>47.076099999999997</v>
      </c>
      <c r="N411" s="16">
        <v>281.3261</v>
      </c>
      <c r="O411" s="16">
        <f t="shared" si="15"/>
        <v>43.346074999999999</v>
      </c>
      <c r="P411" s="7"/>
      <c r="Q411" s="8">
        <f>bdrate(C411:C414,D411:D414,J411:J414,K411:K414)</f>
        <v>-0.22543602095053195</v>
      </c>
      <c r="R411" s="8">
        <f>bdrate(C411:C414,E411:E414,J411:J414,L411:L414)</f>
        <v>-0.17340491224354959</v>
      </c>
      <c r="S411" s="8">
        <f>bdrate(C411:C414,F411:F414,J411:J414,M411:M414)</f>
        <v>-0.17594253857978059</v>
      </c>
      <c r="T411" s="25">
        <f>bdrate(C411:C414,H411:H414,J411:J414,O411:O414)</f>
        <v>-0.21715055596802746</v>
      </c>
      <c r="U411" s="28">
        <f t="shared" si="13"/>
        <v>0.38878461766303007</v>
      </c>
    </row>
    <row r="412" spans="1:21" hidden="1" x14ac:dyDescent="0.25">
      <c r="B412" s="9"/>
      <c r="C412" s="17">
        <v>612.39</v>
      </c>
      <c r="D412" s="18">
        <v>39.301000000000002</v>
      </c>
      <c r="E412" s="18">
        <v>45.033000000000001</v>
      </c>
      <c r="F412" s="18">
        <v>45.506</v>
      </c>
      <c r="G412" s="18">
        <v>240.46</v>
      </c>
      <c r="H412" s="18">
        <f t="shared" si="14"/>
        <v>40.793125000000003</v>
      </c>
      <c r="I412" s="5"/>
      <c r="J412" s="17">
        <v>615.18669999999997</v>
      </c>
      <c r="K412" s="18">
        <v>40.319499999999998</v>
      </c>
      <c r="L412" s="18">
        <v>45.446199999999997</v>
      </c>
      <c r="M412" s="18">
        <v>45.908700000000003</v>
      </c>
      <c r="N412" s="18">
        <v>365.07220000000001</v>
      </c>
      <c r="O412" s="18">
        <f t="shared" si="15"/>
        <v>41.658987499999995</v>
      </c>
      <c r="P412" s="7"/>
      <c r="Q412" s="10"/>
      <c r="R412" s="11"/>
      <c r="S412" s="11"/>
      <c r="T412" s="26"/>
      <c r="U412" s="28">
        <f t="shared" si="13"/>
        <v>0.51822423687931463</v>
      </c>
    </row>
    <row r="413" spans="1:21" hidden="1" x14ac:dyDescent="0.25">
      <c r="B413" s="9"/>
      <c r="C413" s="17">
        <v>404.78</v>
      </c>
      <c r="D413" s="18">
        <v>37.625999999999998</v>
      </c>
      <c r="E413" s="18">
        <v>43.926000000000002</v>
      </c>
      <c r="F413" s="18">
        <v>44.436</v>
      </c>
      <c r="G413" s="18">
        <v>271.05</v>
      </c>
      <c r="H413" s="18">
        <f t="shared" si="14"/>
        <v>39.264749999999992</v>
      </c>
      <c r="I413" s="5"/>
      <c r="J413" s="17">
        <v>408.78969999999998</v>
      </c>
      <c r="K413" s="18">
        <v>38.7361</v>
      </c>
      <c r="L413" s="18">
        <v>44.475499999999997</v>
      </c>
      <c r="M413" s="18">
        <v>44.974499999999999</v>
      </c>
      <c r="N413" s="18">
        <v>427.43920000000003</v>
      </c>
      <c r="O413" s="18">
        <f t="shared" si="15"/>
        <v>40.233325000000001</v>
      </c>
      <c r="P413" s="7"/>
      <c r="Q413" s="10"/>
      <c r="R413" s="11"/>
      <c r="S413" s="11"/>
      <c r="T413" s="26"/>
      <c r="U413" s="28">
        <f t="shared" si="13"/>
        <v>0.57697546578122116</v>
      </c>
    </row>
    <row r="414" spans="1:21" ht="16.5" hidden="1" thickBot="1" x14ac:dyDescent="0.3">
      <c r="B414" s="12"/>
      <c r="C414" s="19">
        <v>199.75</v>
      </c>
      <c r="D414" s="20">
        <v>34.564</v>
      </c>
      <c r="E414" s="20">
        <v>41.911999999999999</v>
      </c>
      <c r="F414" s="20">
        <v>42.43</v>
      </c>
      <c r="G414" s="20">
        <v>331.69</v>
      </c>
      <c r="H414" s="20">
        <f t="shared" si="14"/>
        <v>36.46575</v>
      </c>
      <c r="I414" s="5"/>
      <c r="J414" s="19">
        <v>200.8946</v>
      </c>
      <c r="K414" s="20">
        <v>35.631700000000002</v>
      </c>
      <c r="L414" s="20">
        <v>42.633099999999999</v>
      </c>
      <c r="M414" s="20">
        <v>43.161499999999997</v>
      </c>
      <c r="N414" s="20">
        <v>553.4778</v>
      </c>
      <c r="O414" s="20">
        <f t="shared" si="15"/>
        <v>37.448100000000004</v>
      </c>
      <c r="P414" s="7"/>
      <c r="Q414" s="13"/>
      <c r="R414" s="14"/>
      <c r="S414" s="14"/>
      <c r="T414" s="27"/>
      <c r="U414" s="28">
        <f t="shared" si="13"/>
        <v>0.66865989327384001</v>
      </c>
    </row>
    <row r="415" spans="1:21" hidden="1" x14ac:dyDescent="0.25">
      <c r="B415" s="6" t="s">
        <v>121</v>
      </c>
      <c r="C415" s="29">
        <v>970.26</v>
      </c>
      <c r="D415" s="30">
        <v>36.262999999999998</v>
      </c>
      <c r="E415" s="30">
        <v>45.037999999999997</v>
      </c>
      <c r="F415" s="30">
        <v>44.856999999999999</v>
      </c>
      <c r="G415" s="16">
        <v>242.09</v>
      </c>
      <c r="H415" s="16">
        <f t="shared" si="14"/>
        <v>38.434124999999995</v>
      </c>
      <c r="I415" s="5"/>
      <c r="J415" s="29">
        <v>1025.3402000000001</v>
      </c>
      <c r="K415" s="30">
        <v>38.063699999999997</v>
      </c>
      <c r="L415" s="30">
        <v>45.760399999999997</v>
      </c>
      <c r="M415" s="30">
        <v>45.594700000000003</v>
      </c>
      <c r="N415" s="16">
        <v>304.00799999999998</v>
      </c>
      <c r="O415" s="16">
        <f t="shared" si="15"/>
        <v>39.967162499999993</v>
      </c>
      <c r="P415" s="7"/>
      <c r="Q415" s="8">
        <f>bdrate(C415:C418,D415:D418,J415:J418,K415:K418)</f>
        <v>-0.33711205377675224</v>
      </c>
      <c r="R415" s="8">
        <f>bdrate(C415:C418,E415:E418,J415:J418,L415:L418)</f>
        <v>-0.25188184814894976</v>
      </c>
      <c r="S415" s="8">
        <f>bdrate(C415:C418,F415:F418,J415:J418,M415:M418)</f>
        <v>-0.26190582473540047</v>
      </c>
      <c r="T415" s="25">
        <f>bdrate(C415:C418,H415:H418,J415:J418,O415:O418)</f>
        <v>-0.32404746599012757</v>
      </c>
      <c r="U415" s="28">
        <f t="shared" si="13"/>
        <v>0.25576438514601996</v>
      </c>
    </row>
    <row r="416" spans="1:21" hidden="1" x14ac:dyDescent="0.25">
      <c r="B416" s="9"/>
      <c r="C416" s="31">
        <v>581.35</v>
      </c>
      <c r="D416" s="32">
        <v>34.225000000000001</v>
      </c>
      <c r="E416" s="32">
        <v>43.744999999999997</v>
      </c>
      <c r="F416" s="32">
        <v>43.524999999999999</v>
      </c>
      <c r="G416" s="18">
        <v>293.36</v>
      </c>
      <c r="H416" s="18">
        <f t="shared" si="14"/>
        <v>36.577500000000001</v>
      </c>
      <c r="I416" s="5"/>
      <c r="J416" s="31">
        <v>615.13</v>
      </c>
      <c r="K416" s="32">
        <v>36.082500000000003</v>
      </c>
      <c r="L416" s="32">
        <v>44.580399999999997</v>
      </c>
      <c r="M416" s="32">
        <v>44.387</v>
      </c>
      <c r="N416" s="18">
        <v>372.1979</v>
      </c>
      <c r="O416" s="18">
        <f t="shared" si="15"/>
        <v>38.1828</v>
      </c>
      <c r="P416" s="7"/>
      <c r="Q416" s="10"/>
      <c r="R416" s="11"/>
      <c r="S416" s="11"/>
      <c r="T416" s="26"/>
      <c r="U416" s="28">
        <f t="shared" si="13"/>
        <v>0.26874113716934822</v>
      </c>
    </row>
    <row r="417" spans="2:21" hidden="1" x14ac:dyDescent="0.25">
      <c r="B417" s="9"/>
      <c r="C417" s="31">
        <v>387.71</v>
      </c>
      <c r="D417" s="32">
        <v>32.604999999999997</v>
      </c>
      <c r="E417" s="32">
        <v>42.722999999999999</v>
      </c>
      <c r="F417" s="32">
        <v>42.405000000000001</v>
      </c>
      <c r="G417" s="18">
        <v>315.05</v>
      </c>
      <c r="H417" s="18">
        <f t="shared" si="14"/>
        <v>35.094750000000005</v>
      </c>
      <c r="I417" s="5"/>
      <c r="J417" s="31">
        <v>409.63220000000001</v>
      </c>
      <c r="K417" s="32">
        <v>34.506300000000003</v>
      </c>
      <c r="L417" s="32">
        <v>43.589599999999997</v>
      </c>
      <c r="M417" s="32">
        <v>43.360300000000002</v>
      </c>
      <c r="N417" s="18">
        <v>434.15179999999998</v>
      </c>
      <c r="O417" s="18">
        <f t="shared" si="15"/>
        <v>36.748462500000002</v>
      </c>
      <c r="P417" s="7"/>
      <c r="Q417" s="10"/>
      <c r="R417" s="11"/>
      <c r="S417" s="11"/>
      <c r="T417" s="26"/>
      <c r="U417" s="28">
        <f t="shared" si="13"/>
        <v>0.37804094588160597</v>
      </c>
    </row>
    <row r="418" spans="2:21" ht="16.5" hidden="1" thickBot="1" x14ac:dyDescent="0.3">
      <c r="B418" s="12"/>
      <c r="C418" s="33">
        <v>193.42</v>
      </c>
      <c r="D418" s="34">
        <v>29.768000000000001</v>
      </c>
      <c r="E418" s="34">
        <v>41.033000000000001</v>
      </c>
      <c r="F418" s="34">
        <v>40.673000000000002</v>
      </c>
      <c r="G418" s="20">
        <v>377.83</v>
      </c>
      <c r="H418" s="20">
        <f t="shared" si="14"/>
        <v>32.539250000000003</v>
      </c>
      <c r="I418" s="5"/>
      <c r="J418" s="33">
        <v>204.5214</v>
      </c>
      <c r="K418" s="34">
        <v>31.5825</v>
      </c>
      <c r="L418" s="34">
        <v>41.909700000000001</v>
      </c>
      <c r="M418" s="34">
        <v>41.690199999999997</v>
      </c>
      <c r="N418" s="20">
        <v>554.13109999999995</v>
      </c>
      <c r="O418" s="20">
        <f t="shared" si="15"/>
        <v>34.136862499999999</v>
      </c>
      <c r="P418" s="7"/>
      <c r="Q418" s="13"/>
      <c r="R418" s="14"/>
      <c r="S418" s="14"/>
      <c r="T418" s="27"/>
      <c r="U418" s="28">
        <f t="shared" si="13"/>
        <v>0.46661487970780502</v>
      </c>
    </row>
    <row r="419" spans="2:21" hidden="1" x14ac:dyDescent="0.25">
      <c r="B419" s="6" t="s">
        <v>122</v>
      </c>
      <c r="C419" s="15">
        <v>1005.31</v>
      </c>
      <c r="D419" s="16">
        <v>37.155999999999999</v>
      </c>
      <c r="E419" s="16">
        <v>46.171999999999997</v>
      </c>
      <c r="F419" s="16">
        <v>44.563000000000002</v>
      </c>
      <c r="G419" s="16">
        <v>250.71</v>
      </c>
      <c r="H419" s="16">
        <f t="shared" si="14"/>
        <v>39.208874999999992</v>
      </c>
      <c r="I419" s="5"/>
      <c r="J419" s="15">
        <v>1024.5605</v>
      </c>
      <c r="K419" s="16">
        <v>37.859400000000001</v>
      </c>
      <c r="L419" s="16">
        <v>46.776299999999999</v>
      </c>
      <c r="M419" s="16">
        <v>45.381799999999998</v>
      </c>
      <c r="N419" s="16">
        <v>334.44630000000001</v>
      </c>
      <c r="O419" s="16">
        <f t="shared" si="15"/>
        <v>39.914312500000001</v>
      </c>
      <c r="P419" s="7"/>
      <c r="Q419" s="8">
        <f>bdrate(C419:C422,D419:D422,J419:J422,K419:K422)</f>
        <v>-0.29015824531432255</v>
      </c>
      <c r="R419" s="8">
        <f>bdrate(C419:C422,E419:E422,J419:J422,L419:L422)</f>
        <v>-0.27076287436450941</v>
      </c>
      <c r="S419" s="8">
        <f>bdrate(C419:C422,F419:F422,J419:J422,M419:M422)</f>
        <v>-0.34623748262718756</v>
      </c>
      <c r="T419" s="25">
        <f>bdrate(C419:C422,H419:H422,J419:J422,O419:O422)</f>
        <v>-0.29468257142196763</v>
      </c>
      <c r="U419" s="28">
        <f t="shared" si="13"/>
        <v>0.33399664951537633</v>
      </c>
    </row>
    <row r="420" spans="2:21" hidden="1" x14ac:dyDescent="0.25">
      <c r="B420" s="9"/>
      <c r="C420" s="17">
        <v>603.61</v>
      </c>
      <c r="D420" s="18">
        <v>35.944000000000003</v>
      </c>
      <c r="E420" s="18">
        <v>45.411999999999999</v>
      </c>
      <c r="F420" s="18">
        <v>43.662999999999997</v>
      </c>
      <c r="G420" s="18">
        <v>301.77999999999997</v>
      </c>
      <c r="H420" s="18">
        <f t="shared" si="14"/>
        <v>38.092375000000004</v>
      </c>
      <c r="I420" s="5"/>
      <c r="J420" s="17">
        <v>614.58969999999999</v>
      </c>
      <c r="K420" s="18">
        <v>36.746899999999997</v>
      </c>
      <c r="L420" s="18">
        <v>45.942399999999999</v>
      </c>
      <c r="M420" s="18">
        <v>44.4818</v>
      </c>
      <c r="N420" s="18">
        <v>415.67720000000003</v>
      </c>
      <c r="O420" s="18">
        <f t="shared" si="15"/>
        <v>38.863199999999999</v>
      </c>
      <c r="P420" s="7"/>
      <c r="Q420" s="10"/>
      <c r="R420" s="11"/>
      <c r="S420" s="11"/>
      <c r="T420" s="26"/>
      <c r="U420" s="28">
        <f t="shared" si="13"/>
        <v>0.37741798661276449</v>
      </c>
    </row>
    <row r="421" spans="2:21" hidden="1" x14ac:dyDescent="0.25">
      <c r="B421" s="9"/>
      <c r="C421" s="17">
        <v>402.12</v>
      </c>
      <c r="D421" s="18">
        <v>34.951000000000001</v>
      </c>
      <c r="E421" s="18">
        <v>44.634999999999998</v>
      </c>
      <c r="F421" s="18">
        <v>42.832999999999998</v>
      </c>
      <c r="G421" s="18">
        <v>332.6</v>
      </c>
      <c r="H421" s="18">
        <f t="shared" si="14"/>
        <v>37.146749999999997</v>
      </c>
      <c r="I421" s="5"/>
      <c r="J421" s="17">
        <v>408.14499999999998</v>
      </c>
      <c r="K421" s="18">
        <v>35.844999999999999</v>
      </c>
      <c r="L421" s="18">
        <v>45.230499999999999</v>
      </c>
      <c r="M421" s="18">
        <v>43.7</v>
      </c>
      <c r="N421" s="18">
        <v>470.69569999999999</v>
      </c>
      <c r="O421" s="18">
        <f t="shared" si="15"/>
        <v>38.000062499999999</v>
      </c>
      <c r="P421" s="7"/>
      <c r="Q421" s="10"/>
      <c r="R421" s="11"/>
      <c r="S421" s="11"/>
      <c r="T421" s="26"/>
      <c r="U421" s="28">
        <f t="shared" si="13"/>
        <v>0.41520054119061922</v>
      </c>
    </row>
    <row r="422" spans="2:21" ht="16.5" hidden="1" thickBot="1" x14ac:dyDescent="0.3">
      <c r="B422" s="12"/>
      <c r="C422" s="19">
        <v>200.19</v>
      </c>
      <c r="D422" s="20">
        <v>33.031999999999996</v>
      </c>
      <c r="E422" s="20">
        <v>43.191000000000003</v>
      </c>
      <c r="F422" s="20">
        <v>41.304000000000002</v>
      </c>
      <c r="G422" s="20">
        <v>392.47</v>
      </c>
      <c r="H422" s="20">
        <f t="shared" si="14"/>
        <v>35.335875000000001</v>
      </c>
      <c r="I422" s="5"/>
      <c r="J422" s="19">
        <v>198.01259999999999</v>
      </c>
      <c r="K422" s="20">
        <v>34.005499999999998</v>
      </c>
      <c r="L422" s="20">
        <v>43.918599999999998</v>
      </c>
      <c r="M422" s="20">
        <v>42.273099999999999</v>
      </c>
      <c r="N422" s="20">
        <v>592.70219999999995</v>
      </c>
      <c r="O422" s="20">
        <f t="shared" si="15"/>
        <v>36.278087499999998</v>
      </c>
      <c r="P422" s="7"/>
      <c r="Q422" s="13"/>
      <c r="R422" s="14"/>
      <c r="S422" s="14"/>
      <c r="T422" s="27"/>
      <c r="U422" s="28">
        <f t="shared" si="13"/>
        <v>0.51018472749509491</v>
      </c>
    </row>
    <row r="423" spans="2:21" hidden="1" x14ac:dyDescent="0.25">
      <c r="B423" s="6" t="s">
        <v>123</v>
      </c>
      <c r="C423" s="15">
        <v>1528.11</v>
      </c>
      <c r="D423" s="16">
        <v>36.402999999999999</v>
      </c>
      <c r="E423" s="16">
        <v>43.683</v>
      </c>
      <c r="F423" s="16">
        <v>43.188000000000002</v>
      </c>
      <c r="G423" s="16">
        <v>111.27</v>
      </c>
      <c r="H423" s="16">
        <f t="shared" si="14"/>
        <v>38.161124999999998</v>
      </c>
      <c r="I423" s="5"/>
      <c r="J423" s="15">
        <v>1490.5174</v>
      </c>
      <c r="K423" s="16">
        <v>37.194000000000003</v>
      </c>
      <c r="L423" s="16">
        <v>44.017400000000002</v>
      </c>
      <c r="M423" s="16">
        <v>43.337499999999999</v>
      </c>
      <c r="N423" s="16">
        <v>180.47559999999999</v>
      </c>
      <c r="O423" s="16">
        <f t="shared" si="15"/>
        <v>38.814862499999997</v>
      </c>
      <c r="P423" s="7"/>
      <c r="Q423" s="8">
        <f>bdrate(C423:C426,D423:D426,J423:J426,K423:K426)</f>
        <v>-0.18760128492859174</v>
      </c>
      <c r="R423" s="8">
        <f>bdrate(C423:C426,E423:E426,J423:J426,L423:L426)</f>
        <v>-0.1638013841004331</v>
      </c>
      <c r="S423" s="8">
        <f>bdrate(C423:C426,F423:F426,J423:J426,M423:M426)</f>
        <v>-0.10375730596857691</v>
      </c>
      <c r="T423" s="25">
        <f>bdrate(C423:C426,H423:H426,J423:J426,O423:O426)</f>
        <v>-0.17761182265589381</v>
      </c>
      <c r="U423" s="28">
        <f t="shared" si="13"/>
        <v>0.62196099577604014</v>
      </c>
    </row>
    <row r="424" spans="2:21" hidden="1" x14ac:dyDescent="0.25">
      <c r="B424" s="9"/>
      <c r="C424" s="17">
        <v>1015.12</v>
      </c>
      <c r="D424" s="18">
        <v>34.558</v>
      </c>
      <c r="E424" s="18">
        <v>42.485999999999997</v>
      </c>
      <c r="F424" s="18">
        <v>41.862000000000002</v>
      </c>
      <c r="G424" s="18">
        <v>124.14</v>
      </c>
      <c r="H424" s="18">
        <f t="shared" si="14"/>
        <v>36.462000000000003</v>
      </c>
      <c r="I424" s="5"/>
      <c r="J424" s="17">
        <v>997.56590000000006</v>
      </c>
      <c r="K424" s="18">
        <v>35.381999999999998</v>
      </c>
      <c r="L424" s="18">
        <v>42.924799999999998</v>
      </c>
      <c r="M424" s="18">
        <v>42.097299999999997</v>
      </c>
      <c r="N424" s="18">
        <v>224.42609999999999</v>
      </c>
      <c r="O424" s="18">
        <f t="shared" si="15"/>
        <v>37.1642625</v>
      </c>
      <c r="P424" s="7"/>
      <c r="Q424" s="10"/>
      <c r="R424" s="11"/>
      <c r="S424" s="11"/>
      <c r="T424" s="26"/>
      <c r="U424" s="28">
        <f t="shared" si="13"/>
        <v>0.80784678588690184</v>
      </c>
    </row>
    <row r="425" spans="2:21" hidden="1" x14ac:dyDescent="0.25">
      <c r="B425" s="9"/>
      <c r="C425" s="17">
        <v>608.07000000000005</v>
      </c>
      <c r="D425" s="18">
        <v>32.268000000000001</v>
      </c>
      <c r="E425" s="18">
        <v>41.085999999999999</v>
      </c>
      <c r="F425" s="18">
        <v>40.206000000000003</v>
      </c>
      <c r="G425" s="18">
        <v>138.16</v>
      </c>
      <c r="H425" s="18">
        <f t="shared" si="14"/>
        <v>34.362500000000004</v>
      </c>
      <c r="I425" s="5"/>
      <c r="J425" s="17">
        <v>594.52009999999996</v>
      </c>
      <c r="K425" s="18">
        <v>33.046300000000002</v>
      </c>
      <c r="L425" s="18">
        <v>41.5062</v>
      </c>
      <c r="M425" s="18">
        <v>40.480800000000002</v>
      </c>
      <c r="N425" s="18">
        <v>263.76</v>
      </c>
      <c r="O425" s="18">
        <f t="shared" si="15"/>
        <v>35.033100000000005</v>
      </c>
      <c r="P425" s="7"/>
      <c r="Q425" s="10"/>
      <c r="R425" s="11"/>
      <c r="S425" s="11"/>
      <c r="T425" s="26"/>
      <c r="U425" s="28">
        <f t="shared" si="13"/>
        <v>0.90909090909090906</v>
      </c>
    </row>
    <row r="426" spans="2:21" ht="16.5" hidden="1" thickBot="1" x14ac:dyDescent="0.3">
      <c r="B426" s="12"/>
      <c r="C426" s="19">
        <v>305.60000000000002</v>
      </c>
      <c r="D426" s="20">
        <v>29.353000000000002</v>
      </c>
      <c r="E426" s="20">
        <v>39.212000000000003</v>
      </c>
      <c r="F426" s="20">
        <v>37.826000000000001</v>
      </c>
      <c r="G426" s="20">
        <v>155.12</v>
      </c>
      <c r="H426" s="20">
        <f t="shared" si="14"/>
        <v>31.644499999999997</v>
      </c>
      <c r="I426" s="5"/>
      <c r="J426" s="19">
        <v>296.65449999999998</v>
      </c>
      <c r="K426" s="20">
        <v>30.254200000000001</v>
      </c>
      <c r="L426" s="20">
        <v>39.690600000000003</v>
      </c>
      <c r="M426" s="20">
        <v>38.3123</v>
      </c>
      <c r="N426" s="20">
        <v>314.54309999999998</v>
      </c>
      <c r="O426" s="20">
        <f t="shared" si="15"/>
        <v>32.441012499999999</v>
      </c>
      <c r="P426" s="7"/>
      <c r="Q426" s="13"/>
      <c r="R426" s="14"/>
      <c r="S426" s="14"/>
      <c r="T426" s="27"/>
      <c r="U426" s="28">
        <f t="shared" si="13"/>
        <v>1.0277404589994841</v>
      </c>
    </row>
    <row r="427" spans="2:21" hidden="1" x14ac:dyDescent="0.25">
      <c r="B427" s="6" t="s">
        <v>124</v>
      </c>
      <c r="C427" s="15">
        <v>1012.65</v>
      </c>
      <c r="D427" s="16">
        <v>38.011000000000003</v>
      </c>
      <c r="E427" s="16">
        <v>44.353999999999999</v>
      </c>
      <c r="F427" s="16">
        <v>43.813000000000002</v>
      </c>
      <c r="G427" s="16">
        <v>226.81</v>
      </c>
      <c r="H427" s="16">
        <f t="shared" si="14"/>
        <v>39.529125000000001</v>
      </c>
      <c r="I427" s="5"/>
      <c r="J427" s="15">
        <v>1024.3115</v>
      </c>
      <c r="K427" s="16">
        <v>39.279299999999999</v>
      </c>
      <c r="L427" s="16">
        <v>45.112699999999997</v>
      </c>
      <c r="M427" s="16">
        <v>44.593800000000002</v>
      </c>
      <c r="N427" s="16">
        <v>303.22199999999998</v>
      </c>
      <c r="O427" s="16">
        <f t="shared" si="15"/>
        <v>40.672787499999998</v>
      </c>
      <c r="P427" s="7"/>
      <c r="Q427" s="8">
        <f>bdrate(C427:C430,D427:D430,J427:J430,K427:K430)</f>
        <v>-0.28642530574512981</v>
      </c>
      <c r="R427" s="8">
        <f>bdrate(C427:C430,E427:E430,J427:J430,L427:L430)</f>
        <v>-0.28197584460934544</v>
      </c>
      <c r="S427" s="8">
        <f>bdrate(C427:C430,F427:F430,J427:J430,M427:M430)</f>
        <v>-0.29126674064884706</v>
      </c>
      <c r="T427" s="25">
        <f>bdrate(C427:C430,H427:H430,J427:J430,O427:O430)</f>
        <v>-0.2865894420612316</v>
      </c>
      <c r="U427" s="28">
        <f t="shared" si="13"/>
        <v>0.33689872580574037</v>
      </c>
    </row>
    <row r="428" spans="2:21" hidden="1" x14ac:dyDescent="0.25">
      <c r="B428" s="9"/>
      <c r="C428" s="17">
        <v>599.67999999999995</v>
      </c>
      <c r="D428" s="18">
        <v>36.131</v>
      </c>
      <c r="E428" s="18">
        <v>42.920999999999999</v>
      </c>
      <c r="F428" s="18">
        <v>42.320999999999998</v>
      </c>
      <c r="G428" s="18">
        <v>265.49</v>
      </c>
      <c r="H428" s="18">
        <f t="shared" si="14"/>
        <v>37.753500000000003</v>
      </c>
      <c r="I428" s="5"/>
      <c r="J428" s="17">
        <v>614.57159999999999</v>
      </c>
      <c r="K428" s="18">
        <v>37.473199999999999</v>
      </c>
      <c r="L428" s="18">
        <v>43.879100000000001</v>
      </c>
      <c r="M428" s="18">
        <v>43.307099999999998</v>
      </c>
      <c r="N428" s="18">
        <v>379.01949999999999</v>
      </c>
      <c r="O428" s="18">
        <f t="shared" si="15"/>
        <v>39.003174999999999</v>
      </c>
      <c r="P428" s="7"/>
      <c r="Q428" s="10"/>
      <c r="R428" s="11"/>
      <c r="S428" s="11"/>
      <c r="T428" s="26"/>
      <c r="U428" s="28">
        <f t="shared" si="13"/>
        <v>0.42762250932238494</v>
      </c>
    </row>
    <row r="429" spans="2:21" hidden="1" x14ac:dyDescent="0.25">
      <c r="B429" s="9"/>
      <c r="C429" s="17">
        <v>395.1</v>
      </c>
      <c r="D429" s="18">
        <v>34.6</v>
      </c>
      <c r="E429" s="18">
        <v>41.792999999999999</v>
      </c>
      <c r="F429" s="18">
        <v>41.156999999999996</v>
      </c>
      <c r="G429" s="18">
        <v>295.08</v>
      </c>
      <c r="H429" s="18">
        <f t="shared" si="14"/>
        <v>36.318750000000001</v>
      </c>
      <c r="I429" s="5"/>
      <c r="J429" s="17">
        <v>407.70310000000001</v>
      </c>
      <c r="K429" s="18">
        <v>36.0047</v>
      </c>
      <c r="L429" s="18">
        <v>42.801400000000001</v>
      </c>
      <c r="M429" s="18">
        <v>42.236899999999999</v>
      </c>
      <c r="N429" s="18">
        <v>443.11599999999999</v>
      </c>
      <c r="O429" s="18">
        <f t="shared" si="15"/>
        <v>37.633312500000002</v>
      </c>
      <c r="P429" s="7"/>
      <c r="Q429" s="10"/>
      <c r="R429" s="11"/>
      <c r="S429" s="11"/>
      <c r="T429" s="26"/>
      <c r="U429" s="28">
        <f t="shared" si="13"/>
        <v>0.50168090009488953</v>
      </c>
    </row>
    <row r="430" spans="2:21" ht="16.5" hidden="1" thickBot="1" x14ac:dyDescent="0.3">
      <c r="B430" s="12"/>
      <c r="C430" s="19">
        <v>194.28</v>
      </c>
      <c r="D430" s="20">
        <v>31.821999999999999</v>
      </c>
      <c r="E430" s="20">
        <v>39.817</v>
      </c>
      <c r="F430" s="20">
        <v>39.11</v>
      </c>
      <c r="G430" s="20">
        <v>347.07</v>
      </c>
      <c r="H430" s="20">
        <f t="shared" si="14"/>
        <v>33.732374999999998</v>
      </c>
      <c r="I430" s="5"/>
      <c r="J430" s="19">
        <v>200.18889999999999</v>
      </c>
      <c r="K430" s="20">
        <v>33.1374</v>
      </c>
      <c r="L430" s="20">
        <v>40.784300000000002</v>
      </c>
      <c r="M430" s="20">
        <v>40.190399999999997</v>
      </c>
      <c r="N430" s="20">
        <v>546.10360000000003</v>
      </c>
      <c r="O430" s="20">
        <f t="shared" si="15"/>
        <v>34.974887500000001</v>
      </c>
      <c r="P430" s="7"/>
      <c r="Q430" s="13"/>
      <c r="R430" s="14"/>
      <c r="S430" s="14"/>
      <c r="T430" s="27"/>
      <c r="U430" s="28">
        <f t="shared" si="13"/>
        <v>0.57346817644855519</v>
      </c>
    </row>
    <row r="431" spans="2:21" hidden="1" x14ac:dyDescent="0.25">
      <c r="B431" s="6" t="s">
        <v>125</v>
      </c>
      <c r="C431" s="15">
        <v>993.67</v>
      </c>
      <c r="D431" s="16">
        <v>41.658000000000001</v>
      </c>
      <c r="E431" s="16">
        <v>46.807000000000002</v>
      </c>
      <c r="F431" s="16">
        <v>45.960999999999999</v>
      </c>
      <c r="G431" s="16">
        <v>231.8</v>
      </c>
      <c r="H431" s="16">
        <f t="shared" si="14"/>
        <v>42.839500000000001</v>
      </c>
      <c r="I431" s="5"/>
      <c r="J431" s="15">
        <v>1025.5432000000001</v>
      </c>
      <c r="K431" s="16">
        <v>43.055500000000002</v>
      </c>
      <c r="L431" s="16">
        <v>47.539299999999997</v>
      </c>
      <c r="M431" s="16">
        <v>46.772399999999998</v>
      </c>
      <c r="N431" s="16">
        <v>320.18009999999998</v>
      </c>
      <c r="O431" s="16">
        <f t="shared" si="15"/>
        <v>44.0805875</v>
      </c>
      <c r="P431" s="7"/>
      <c r="Q431" s="8">
        <f>bdrate(C431:C434,D431:D434,J431:J434,K431:K434)</f>
        <v>-0.30597731306082332</v>
      </c>
      <c r="R431" s="8">
        <f>bdrate(C431:C434,E431:E434,J431:J434,L431:L434)</f>
        <v>-0.21987055599188798</v>
      </c>
      <c r="S431" s="8">
        <f>bdrate(C431:C434,F431:F434,J431:J434,M431:M434)</f>
        <v>-0.25404589758698459</v>
      </c>
      <c r="T431" s="25">
        <f>bdrate(C431:C434,H431:H434,J431:J434,O431:O434)</f>
        <v>-0.29244806826899306</v>
      </c>
      <c r="U431" s="28">
        <f t="shared" si="13"/>
        <v>0.38127739430543556</v>
      </c>
    </row>
    <row r="432" spans="2:21" hidden="1" x14ac:dyDescent="0.25">
      <c r="B432" s="9"/>
      <c r="C432" s="17">
        <v>599.86</v>
      </c>
      <c r="D432" s="18">
        <v>39.72</v>
      </c>
      <c r="E432" s="18">
        <v>45.286000000000001</v>
      </c>
      <c r="F432" s="18">
        <v>44.331000000000003</v>
      </c>
      <c r="G432" s="18">
        <v>265.70999999999998</v>
      </c>
      <c r="H432" s="18">
        <f t="shared" si="14"/>
        <v>40.992125000000001</v>
      </c>
      <c r="I432" s="5"/>
      <c r="J432" s="17">
        <v>614.32579999999996</v>
      </c>
      <c r="K432" s="18">
        <v>41.258600000000001</v>
      </c>
      <c r="L432" s="18">
        <v>46.110900000000001</v>
      </c>
      <c r="M432" s="18">
        <v>45.301099999999998</v>
      </c>
      <c r="N432" s="18">
        <v>392.06569999999999</v>
      </c>
      <c r="O432" s="18">
        <f t="shared" si="15"/>
        <v>42.370450000000005</v>
      </c>
      <c r="P432" s="7"/>
      <c r="Q432" s="10"/>
      <c r="R432" s="11"/>
      <c r="S432" s="11"/>
      <c r="T432" s="26"/>
      <c r="U432" s="28">
        <f t="shared" si="13"/>
        <v>0.47553987429904793</v>
      </c>
    </row>
    <row r="433" spans="2:21" hidden="1" x14ac:dyDescent="0.25">
      <c r="B433" s="9"/>
      <c r="C433" s="17">
        <v>402.1</v>
      </c>
      <c r="D433" s="18">
        <v>38.042000000000002</v>
      </c>
      <c r="E433" s="18">
        <v>44.033000000000001</v>
      </c>
      <c r="F433" s="18">
        <v>43.011000000000003</v>
      </c>
      <c r="G433" s="18">
        <v>299.60000000000002</v>
      </c>
      <c r="H433" s="18">
        <f t="shared" si="14"/>
        <v>39.412000000000006</v>
      </c>
      <c r="I433" s="5"/>
      <c r="J433" s="17">
        <v>407.25290000000001</v>
      </c>
      <c r="K433" s="18">
        <v>39.666400000000003</v>
      </c>
      <c r="L433" s="18">
        <v>44.860100000000003</v>
      </c>
      <c r="M433" s="18">
        <v>44.039499999999997</v>
      </c>
      <c r="N433" s="18">
        <v>455.88240000000002</v>
      </c>
      <c r="O433" s="18">
        <f t="shared" si="15"/>
        <v>40.862249999999996</v>
      </c>
      <c r="P433" s="7"/>
      <c r="Q433" s="10"/>
      <c r="R433" s="11"/>
      <c r="S433" s="11"/>
      <c r="T433" s="26"/>
      <c r="U433" s="28">
        <f t="shared" si="13"/>
        <v>0.52163684913217623</v>
      </c>
    </row>
    <row r="434" spans="2:21" ht="16.5" hidden="1" thickBot="1" x14ac:dyDescent="0.3">
      <c r="B434" s="12"/>
      <c r="C434" s="19">
        <v>203.14</v>
      </c>
      <c r="D434" s="20">
        <v>34.904000000000003</v>
      </c>
      <c r="E434" s="20">
        <v>41.566000000000003</v>
      </c>
      <c r="F434" s="20">
        <v>40.414000000000001</v>
      </c>
      <c r="G434" s="20">
        <v>352.27</v>
      </c>
      <c r="H434" s="20">
        <f t="shared" si="14"/>
        <v>36.425500000000007</v>
      </c>
      <c r="I434" s="5"/>
      <c r="J434" s="19">
        <v>201.6618</v>
      </c>
      <c r="K434" s="20">
        <v>36.457599999999999</v>
      </c>
      <c r="L434" s="20">
        <v>42.527500000000003</v>
      </c>
      <c r="M434" s="20">
        <v>41.636400000000002</v>
      </c>
      <c r="N434" s="20">
        <v>552.22289999999998</v>
      </c>
      <c r="O434" s="20">
        <f t="shared" si="15"/>
        <v>37.863687499999997</v>
      </c>
      <c r="P434" s="7"/>
      <c r="Q434" s="13"/>
      <c r="R434" s="14"/>
      <c r="S434" s="14"/>
      <c r="T434" s="27"/>
      <c r="U434" s="28">
        <f t="shared" si="13"/>
        <v>0.56761262667840007</v>
      </c>
    </row>
    <row r="435" spans="2:21" hidden="1" x14ac:dyDescent="0.25">
      <c r="B435" s="6" t="s">
        <v>126</v>
      </c>
      <c r="C435" s="15">
        <v>1458.19</v>
      </c>
      <c r="D435" s="16">
        <v>36.468000000000004</v>
      </c>
      <c r="E435" s="16">
        <v>42.158999999999999</v>
      </c>
      <c r="F435" s="16">
        <v>42.890999999999998</v>
      </c>
      <c r="G435" s="16">
        <v>91.77</v>
      </c>
      <c r="H435" s="16">
        <f t="shared" si="14"/>
        <v>37.982250000000008</v>
      </c>
      <c r="I435" s="5"/>
      <c r="J435" s="15">
        <v>1537.8307</v>
      </c>
      <c r="K435" s="16">
        <v>36.878</v>
      </c>
      <c r="L435" s="16">
        <v>42.820099999999996</v>
      </c>
      <c r="M435" s="16">
        <v>43.501399999999997</v>
      </c>
      <c r="N435" s="16">
        <v>187.95660000000001</v>
      </c>
      <c r="O435" s="16">
        <f t="shared" si="15"/>
        <v>38.448687499999998</v>
      </c>
      <c r="P435" s="7"/>
      <c r="Q435" s="8">
        <f>bdrate(C435:C438,D435:D438,J435:J438,K435:K438)</f>
        <v>-6.8244966805198537E-2</v>
      </c>
      <c r="R435" s="8">
        <f>bdrate(C435:C438,E435:E438,J435:J438,L435:L438)</f>
        <v>-0.30002784698290419</v>
      </c>
      <c r="S435" s="8">
        <f>bdrate(C435:C438,F435:F438,J435:J438,M435:M438)</f>
        <v>-0.29396932652372709</v>
      </c>
      <c r="T435" s="25">
        <f>bdrate(C435:C438,H435:H438,J435:J438,O435:O438)</f>
        <v>-0.10805239653002063</v>
      </c>
      <c r="U435" s="28">
        <f t="shared" si="13"/>
        <v>1.0481268388362213</v>
      </c>
    </row>
    <row r="436" spans="2:21" hidden="1" x14ac:dyDescent="0.25">
      <c r="B436" s="9"/>
      <c r="C436" s="17">
        <v>969.4</v>
      </c>
      <c r="D436" s="18">
        <v>34.692</v>
      </c>
      <c r="E436" s="18">
        <v>40.890999999999998</v>
      </c>
      <c r="F436" s="18">
        <v>41.677999999999997</v>
      </c>
      <c r="G436" s="18">
        <v>104.29</v>
      </c>
      <c r="H436" s="18">
        <f t="shared" si="14"/>
        <v>36.340125</v>
      </c>
      <c r="I436" s="5"/>
      <c r="J436" s="17">
        <v>1025.0231000000001</v>
      </c>
      <c r="K436" s="18">
        <v>35.1554</v>
      </c>
      <c r="L436" s="18">
        <v>41.806399999999996</v>
      </c>
      <c r="M436" s="18">
        <v>42.527000000000001</v>
      </c>
      <c r="N436" s="18">
        <v>227.19820000000001</v>
      </c>
      <c r="O436" s="18">
        <f t="shared" si="15"/>
        <v>36.908225000000002</v>
      </c>
      <c r="P436" s="7"/>
      <c r="Q436" s="10"/>
      <c r="R436" s="11"/>
      <c r="S436" s="11"/>
      <c r="T436" s="26"/>
      <c r="U436" s="28">
        <f t="shared" si="13"/>
        <v>1.1785233483555471</v>
      </c>
    </row>
    <row r="437" spans="2:21" hidden="1" x14ac:dyDescent="0.25">
      <c r="B437" s="9"/>
      <c r="C437" s="17">
        <v>581.70000000000005</v>
      </c>
      <c r="D437" s="18">
        <v>32.354999999999997</v>
      </c>
      <c r="E437" s="18">
        <v>39.53</v>
      </c>
      <c r="F437" s="18">
        <v>40.366999999999997</v>
      </c>
      <c r="G437" s="18">
        <v>118.78</v>
      </c>
      <c r="H437" s="18">
        <f t="shared" si="14"/>
        <v>34.253374999999998</v>
      </c>
      <c r="I437" s="5"/>
      <c r="J437" s="17">
        <v>614.57180000000005</v>
      </c>
      <c r="K437" s="18">
        <v>32.938000000000002</v>
      </c>
      <c r="L437" s="18">
        <v>40.635100000000001</v>
      </c>
      <c r="M437" s="18">
        <v>41.412300000000002</v>
      </c>
      <c r="N437" s="18">
        <v>265.32119999999998</v>
      </c>
      <c r="O437" s="18">
        <f t="shared" si="15"/>
        <v>34.959425000000003</v>
      </c>
      <c r="P437" s="7"/>
      <c r="Q437" s="10"/>
      <c r="R437" s="11"/>
      <c r="S437" s="11"/>
      <c r="T437" s="26"/>
      <c r="U437" s="28">
        <f t="shared" si="13"/>
        <v>1.2337194813941739</v>
      </c>
    </row>
    <row r="438" spans="2:21" ht="16.5" hidden="1" thickBot="1" x14ac:dyDescent="0.3">
      <c r="B438" s="12"/>
      <c r="C438" s="19">
        <v>290.57</v>
      </c>
      <c r="D438" s="20">
        <v>29.204000000000001</v>
      </c>
      <c r="E438" s="20">
        <v>38.034999999999997</v>
      </c>
      <c r="F438" s="20">
        <v>38.911000000000001</v>
      </c>
      <c r="G438" s="20">
        <v>140.11000000000001</v>
      </c>
      <c r="H438" s="20">
        <f t="shared" si="14"/>
        <v>31.521249999999998</v>
      </c>
      <c r="I438" s="5"/>
      <c r="J438" s="19">
        <v>307.1438</v>
      </c>
      <c r="K438" s="20">
        <v>29.941700000000001</v>
      </c>
      <c r="L438" s="20">
        <v>39.141599999999997</v>
      </c>
      <c r="M438" s="20">
        <v>39.979500000000002</v>
      </c>
      <c r="N438" s="20">
        <v>308.70760000000001</v>
      </c>
      <c r="O438" s="20">
        <f t="shared" si="15"/>
        <v>32.3464125</v>
      </c>
      <c r="P438" s="7"/>
      <c r="Q438" s="13"/>
      <c r="R438" s="14"/>
      <c r="S438" s="14"/>
      <c r="T438" s="27"/>
      <c r="U438" s="28">
        <f t="shared" si="13"/>
        <v>1.2033231032759972</v>
      </c>
    </row>
    <row r="439" spans="2:21" hidden="1" x14ac:dyDescent="0.25">
      <c r="B439" s="6" t="s">
        <v>127</v>
      </c>
      <c r="C439" s="15">
        <v>1572.96</v>
      </c>
      <c r="D439" s="16">
        <v>33.488999999999997</v>
      </c>
      <c r="E439" s="16">
        <v>39.728000000000002</v>
      </c>
      <c r="F439" s="16">
        <v>38.085000000000001</v>
      </c>
      <c r="G439" s="16">
        <v>99.33</v>
      </c>
      <c r="H439" s="16">
        <f t="shared" si="14"/>
        <v>34.843374999999995</v>
      </c>
      <c r="I439" s="5"/>
      <c r="J439" s="15">
        <v>1542.8198</v>
      </c>
      <c r="K439" s="16">
        <v>34.031599999999997</v>
      </c>
      <c r="L439" s="16">
        <v>39.8489</v>
      </c>
      <c r="M439" s="16">
        <v>37.948300000000003</v>
      </c>
      <c r="N439" s="16">
        <v>169.44210000000001</v>
      </c>
      <c r="O439" s="16">
        <f t="shared" si="15"/>
        <v>35.248350000000002</v>
      </c>
      <c r="P439" s="7"/>
      <c r="Q439" s="8">
        <f>bdrate(C439:C442,D439:D442,J439:J442,K439:K442)</f>
        <v>-0.12852280501194613</v>
      </c>
      <c r="R439" s="8">
        <f>bdrate(C439:C442,E439:E442,J439:J442,L439:L442)</f>
        <v>-8.6145780302916974E-2</v>
      </c>
      <c r="S439" s="8">
        <f>bdrate(C439:C442,F439:F442,J439:J442,M439:M442)</f>
        <v>-2.7338065708704673E-2</v>
      </c>
      <c r="T439" s="25">
        <f>bdrate(C439:C442,H439:H442,J439:J442,O439:O442)</f>
        <v>-0.11303027857056569</v>
      </c>
      <c r="U439" s="28">
        <f t="shared" si="13"/>
        <v>0.70585019631531276</v>
      </c>
    </row>
    <row r="440" spans="2:21" hidden="1" x14ac:dyDescent="0.25">
      <c r="B440" s="9"/>
      <c r="C440" s="17">
        <v>1047.05</v>
      </c>
      <c r="D440" s="18">
        <v>31.759</v>
      </c>
      <c r="E440" s="18">
        <v>38.453000000000003</v>
      </c>
      <c r="F440" s="18">
        <v>36.631999999999998</v>
      </c>
      <c r="G440" s="18">
        <v>110.8</v>
      </c>
      <c r="H440" s="18">
        <f t="shared" si="14"/>
        <v>33.204875000000001</v>
      </c>
      <c r="I440" s="5"/>
      <c r="J440" s="17">
        <v>1027.9593</v>
      </c>
      <c r="K440" s="18">
        <v>32.2483</v>
      </c>
      <c r="L440" s="18">
        <v>38.6297</v>
      </c>
      <c r="M440" s="18">
        <v>36.527799999999999</v>
      </c>
      <c r="N440" s="18">
        <v>194.9134</v>
      </c>
      <c r="O440" s="18">
        <f t="shared" si="15"/>
        <v>33.580912500000004</v>
      </c>
      <c r="P440" s="7"/>
      <c r="Q440" s="10"/>
      <c r="R440" s="11"/>
      <c r="S440" s="11"/>
      <c r="T440" s="26"/>
      <c r="U440" s="28">
        <f t="shared" si="13"/>
        <v>0.75914620938628163</v>
      </c>
    </row>
    <row r="441" spans="2:21" hidden="1" x14ac:dyDescent="0.25">
      <c r="B441" s="9"/>
      <c r="C441" s="17">
        <v>626.33000000000004</v>
      </c>
      <c r="D441" s="18">
        <v>29.785</v>
      </c>
      <c r="E441" s="18">
        <v>37.002000000000002</v>
      </c>
      <c r="F441" s="18">
        <v>34.792999999999999</v>
      </c>
      <c r="G441" s="18">
        <v>124</v>
      </c>
      <c r="H441" s="18">
        <f t="shared" si="14"/>
        <v>31.313125000000003</v>
      </c>
      <c r="I441" s="5"/>
      <c r="J441" s="17">
        <v>616.34450000000004</v>
      </c>
      <c r="K441" s="18">
        <v>30.225999999999999</v>
      </c>
      <c r="L441" s="18">
        <v>37.220999999999997</v>
      </c>
      <c r="M441" s="18">
        <v>34.844299999999997</v>
      </c>
      <c r="N441" s="18">
        <v>214.83959999999999</v>
      </c>
      <c r="O441" s="18">
        <f t="shared" si="15"/>
        <v>31.6776625</v>
      </c>
      <c r="P441" s="7"/>
      <c r="Q441" s="10"/>
      <c r="R441" s="11"/>
      <c r="S441" s="11"/>
      <c r="T441" s="26"/>
      <c r="U441" s="28">
        <f t="shared" si="13"/>
        <v>0.73257741935483867</v>
      </c>
    </row>
    <row r="442" spans="2:21" ht="16.5" hidden="1" thickBot="1" x14ac:dyDescent="0.3">
      <c r="B442" s="12"/>
      <c r="C442" s="19">
        <v>311.83</v>
      </c>
      <c r="D442" s="20">
        <v>27.452000000000002</v>
      </c>
      <c r="E442" s="20">
        <v>35.097999999999999</v>
      </c>
      <c r="F442" s="20">
        <v>32.192999999999998</v>
      </c>
      <c r="G442" s="20">
        <v>143.41</v>
      </c>
      <c r="H442" s="20">
        <f t="shared" si="14"/>
        <v>29.000374999999998</v>
      </c>
      <c r="I442" s="5"/>
      <c r="J442" s="19">
        <v>308.44889999999998</v>
      </c>
      <c r="K442" s="20">
        <v>27.860199999999999</v>
      </c>
      <c r="L442" s="20">
        <v>35.382100000000001</v>
      </c>
      <c r="M442" s="20">
        <v>32.602499999999999</v>
      </c>
      <c r="N442" s="20">
        <v>291.56549999999999</v>
      </c>
      <c r="O442" s="20">
        <f t="shared" si="15"/>
        <v>29.393225000000001</v>
      </c>
      <c r="P442" s="7"/>
      <c r="Q442" s="13"/>
      <c r="R442" s="14"/>
      <c r="S442" s="14"/>
      <c r="T442" s="27"/>
      <c r="U442" s="28">
        <f t="shared" si="13"/>
        <v>1.0330904399972107</v>
      </c>
    </row>
    <row r="443" spans="2:21" hidden="1" x14ac:dyDescent="0.25">
      <c r="B443" s="6" t="s">
        <v>128</v>
      </c>
      <c r="C443" s="15">
        <v>1549.92</v>
      </c>
      <c r="D443" s="16">
        <v>39.048000000000002</v>
      </c>
      <c r="E443" s="16">
        <v>45.987000000000002</v>
      </c>
      <c r="F443" s="16">
        <v>45.802</v>
      </c>
      <c r="G443" s="16">
        <v>83.42</v>
      </c>
      <c r="H443" s="16">
        <f t="shared" si="14"/>
        <v>40.759625000000007</v>
      </c>
      <c r="I443" s="5"/>
      <c r="J443" s="15">
        <v>1538.085</v>
      </c>
      <c r="K443" s="16">
        <v>39.306600000000003</v>
      </c>
      <c r="L443" s="16">
        <v>45.966500000000003</v>
      </c>
      <c r="M443" s="16">
        <v>45.754199999999997</v>
      </c>
      <c r="N443" s="16">
        <v>151.2945</v>
      </c>
      <c r="O443" s="16">
        <f t="shared" si="15"/>
        <v>40.945037499999998</v>
      </c>
      <c r="P443" s="7"/>
      <c r="Q443" s="8">
        <f>bdrate(C443:C446,D443:D446,J443:J446,K443:K446)</f>
        <v>-7.9612155672248108E-2</v>
      </c>
      <c r="R443" s="8">
        <f>bdrate(C443:C446,E443:E446,J443:J446,L443:L446)</f>
        <v>-0.10603500098539242</v>
      </c>
      <c r="S443" s="8">
        <f>bdrate(C443:C446,F443:F446,J443:J446,M443:M446)</f>
        <v>-8.8772754506987295E-2</v>
      </c>
      <c r="T443" s="25">
        <f>bdrate(C443:C446,H443:H446,J443:J446,O443:O446)</f>
        <v>-8.4172396287537032E-2</v>
      </c>
      <c r="U443" s="28">
        <f t="shared" si="13"/>
        <v>0.81364780628146727</v>
      </c>
    </row>
    <row r="444" spans="2:21" hidden="1" x14ac:dyDescent="0.25">
      <c r="B444" s="9"/>
      <c r="C444" s="17">
        <v>1032.45</v>
      </c>
      <c r="D444" s="18">
        <v>37.768999999999998</v>
      </c>
      <c r="E444" s="18">
        <v>44.761000000000003</v>
      </c>
      <c r="F444" s="18">
        <v>44.518000000000001</v>
      </c>
      <c r="G444" s="18">
        <v>90.46</v>
      </c>
      <c r="H444" s="18">
        <f t="shared" si="14"/>
        <v>39.486625000000004</v>
      </c>
      <c r="I444" s="5"/>
      <c r="J444" s="17">
        <v>1024.8299</v>
      </c>
      <c r="K444" s="18">
        <v>38.024700000000003</v>
      </c>
      <c r="L444" s="18">
        <v>44.920299999999997</v>
      </c>
      <c r="M444" s="18">
        <v>44.649099999999997</v>
      </c>
      <c r="N444" s="18">
        <v>179.91149999999999</v>
      </c>
      <c r="O444" s="18">
        <f t="shared" si="15"/>
        <v>39.714700000000001</v>
      </c>
      <c r="P444" s="7"/>
      <c r="Q444" s="10"/>
      <c r="R444" s="11"/>
      <c r="S444" s="11"/>
      <c r="T444" s="26"/>
      <c r="U444" s="28">
        <f t="shared" si="13"/>
        <v>0.9888514260446607</v>
      </c>
    </row>
    <row r="445" spans="2:21" hidden="1" x14ac:dyDescent="0.25">
      <c r="B445" s="9"/>
      <c r="C445" s="17">
        <v>618.91</v>
      </c>
      <c r="D445" s="18">
        <v>35.932000000000002</v>
      </c>
      <c r="E445" s="18">
        <v>43.14</v>
      </c>
      <c r="F445" s="18">
        <v>42.814999999999998</v>
      </c>
      <c r="G445" s="18">
        <v>109.57</v>
      </c>
      <c r="H445" s="18">
        <f t="shared" si="14"/>
        <v>37.693375000000003</v>
      </c>
      <c r="I445" s="5"/>
      <c r="J445" s="17">
        <v>614.26599999999996</v>
      </c>
      <c r="K445" s="18">
        <v>36.210099999999997</v>
      </c>
      <c r="L445" s="18">
        <v>43.543199999999999</v>
      </c>
      <c r="M445" s="18">
        <v>43.1586</v>
      </c>
      <c r="N445" s="18">
        <v>207.0187</v>
      </c>
      <c r="O445" s="18">
        <f t="shared" si="15"/>
        <v>37.995299999999993</v>
      </c>
      <c r="P445" s="7"/>
      <c r="Q445" s="10"/>
      <c r="R445" s="11"/>
      <c r="S445" s="11"/>
      <c r="T445" s="26"/>
      <c r="U445" s="28">
        <f t="shared" si="13"/>
        <v>0.88937391621794293</v>
      </c>
    </row>
    <row r="446" spans="2:21" ht="16.5" hidden="1" thickBot="1" x14ac:dyDescent="0.3">
      <c r="B446" s="12"/>
      <c r="C446" s="19">
        <v>309.01</v>
      </c>
      <c r="D446" s="20">
        <v>33.024000000000001</v>
      </c>
      <c r="E446" s="20">
        <v>40.851999999999997</v>
      </c>
      <c r="F446" s="20">
        <v>40.384999999999998</v>
      </c>
      <c r="G446" s="20">
        <v>128.88999999999999</v>
      </c>
      <c r="H446" s="20">
        <f t="shared" si="14"/>
        <v>34.922625000000004</v>
      </c>
      <c r="I446" s="5"/>
      <c r="J446" s="19">
        <v>306.23869999999999</v>
      </c>
      <c r="K446" s="20">
        <v>33.3611</v>
      </c>
      <c r="L446" s="20">
        <v>41.4129</v>
      </c>
      <c r="M446" s="20">
        <v>40.912599999999998</v>
      </c>
      <c r="N446" s="20">
        <v>282.05130000000003</v>
      </c>
      <c r="O446" s="20">
        <f t="shared" si="15"/>
        <v>35.311512500000006</v>
      </c>
      <c r="P446" s="7"/>
      <c r="Q446" s="13"/>
      <c r="R446" s="14"/>
      <c r="S446" s="14"/>
      <c r="T446" s="27"/>
      <c r="U446" s="28">
        <f t="shared" si="13"/>
        <v>1.1883101869811472</v>
      </c>
    </row>
    <row r="447" spans="2:21" hidden="1" x14ac:dyDescent="0.25">
      <c r="B447" s="6" t="s">
        <v>129</v>
      </c>
      <c r="C447" s="29">
        <v>1506.74</v>
      </c>
      <c r="D447" s="30">
        <v>45.895000000000003</v>
      </c>
      <c r="E447" s="30">
        <v>50.887</v>
      </c>
      <c r="F447" s="30">
        <v>50.765000000000001</v>
      </c>
      <c r="G447" s="16">
        <v>82.85</v>
      </c>
      <c r="H447" s="16">
        <f t="shared" si="14"/>
        <v>47.127749999999999</v>
      </c>
      <c r="I447" s="5"/>
      <c r="J447" s="29">
        <v>1534.5637999999999</v>
      </c>
      <c r="K447" s="30">
        <v>46.380299999999998</v>
      </c>
      <c r="L447" s="30">
        <v>50.856200000000001</v>
      </c>
      <c r="M447" s="30">
        <v>50.668799999999997</v>
      </c>
      <c r="N447" s="16">
        <v>162.63740000000001</v>
      </c>
      <c r="O447" s="16">
        <f t="shared" si="15"/>
        <v>47.475849999999994</v>
      </c>
      <c r="P447" s="7"/>
      <c r="Q447" s="8">
        <f>bdrate(C447:C450,D447:D450,J447:J450,K447:K450)</f>
        <v>-0.26008904016961198</v>
      </c>
      <c r="R447" s="8">
        <f>bdrate(C447:C450,E447:E450,J447:J450,L447:L450)</f>
        <v>7.3080079318804891E-2</v>
      </c>
      <c r="S447" s="8">
        <f>bdrate(C447:C450,F447:F450,J447:J450,M447:M450)</f>
        <v>0.16034872928874311</v>
      </c>
      <c r="T447" s="25">
        <f>bdrate(C447:C450,H447:H450,J447:J450,O447:O450)</f>
        <v>-0.20243182082057753</v>
      </c>
      <c r="U447" s="28">
        <f t="shared" si="13"/>
        <v>0.96303439951720005</v>
      </c>
    </row>
    <row r="448" spans="2:21" hidden="1" x14ac:dyDescent="0.25">
      <c r="B448" s="9"/>
      <c r="C448" s="31">
        <v>1006.2</v>
      </c>
      <c r="D448" s="32">
        <v>45.067</v>
      </c>
      <c r="E448" s="32">
        <v>50.384999999999998</v>
      </c>
      <c r="F448" s="32">
        <v>50.345999999999997</v>
      </c>
      <c r="G448" s="18">
        <v>108.17</v>
      </c>
      <c r="H448" s="18">
        <f t="shared" si="14"/>
        <v>46.391624999999998</v>
      </c>
      <c r="I448" s="5"/>
      <c r="J448" s="31">
        <v>1019.9594</v>
      </c>
      <c r="K448" s="32">
        <v>45.658999999999999</v>
      </c>
      <c r="L448" s="32">
        <v>50.234000000000002</v>
      </c>
      <c r="M448" s="32">
        <v>50.142299999999999</v>
      </c>
      <c r="N448" s="18">
        <v>201.96100000000001</v>
      </c>
      <c r="O448" s="18">
        <f t="shared" si="15"/>
        <v>46.791287499999996</v>
      </c>
      <c r="P448" s="7"/>
      <c r="Q448" s="10"/>
      <c r="R448" s="11"/>
      <c r="S448" s="11"/>
      <c r="T448" s="26"/>
      <c r="U448" s="28">
        <f t="shared" si="13"/>
        <v>0.86707035222335227</v>
      </c>
    </row>
    <row r="449" spans="1:21" hidden="1" x14ac:dyDescent="0.25">
      <c r="B449" s="9"/>
      <c r="C449" s="31">
        <v>605.74</v>
      </c>
      <c r="D449" s="32">
        <v>43.927999999999997</v>
      </c>
      <c r="E449" s="32">
        <v>49.604999999999997</v>
      </c>
      <c r="F449" s="32">
        <v>49.692</v>
      </c>
      <c r="G449" s="18">
        <v>127.95</v>
      </c>
      <c r="H449" s="18">
        <f t="shared" si="14"/>
        <v>45.358125000000001</v>
      </c>
      <c r="I449" s="5"/>
      <c r="J449" s="31">
        <v>606.09119999999996</v>
      </c>
      <c r="K449" s="32">
        <v>44.654600000000002</v>
      </c>
      <c r="L449" s="32">
        <v>49.4223</v>
      </c>
      <c r="M449" s="32">
        <v>49.4559</v>
      </c>
      <c r="N449" s="18">
        <v>245.84719999999999</v>
      </c>
      <c r="O449" s="18">
        <f t="shared" si="15"/>
        <v>45.850724999999997</v>
      </c>
      <c r="P449" s="7"/>
      <c r="Q449" s="10"/>
      <c r="R449" s="11"/>
      <c r="S449" s="11"/>
      <c r="T449" s="26"/>
      <c r="U449" s="28">
        <f t="shared" si="13"/>
        <v>0.92143180930050783</v>
      </c>
    </row>
    <row r="450" spans="1:21" ht="16.5" hidden="1" thickBot="1" x14ac:dyDescent="0.3">
      <c r="B450" s="12"/>
      <c r="C450" s="33">
        <v>304.94</v>
      </c>
      <c r="D450" s="34">
        <v>41.999000000000002</v>
      </c>
      <c r="E450" s="34">
        <v>48.042000000000002</v>
      </c>
      <c r="F450" s="34">
        <v>48.636000000000003</v>
      </c>
      <c r="G450" s="20">
        <v>151.38999999999999</v>
      </c>
      <c r="H450" s="20">
        <f t="shared" si="14"/>
        <v>43.58400000000001</v>
      </c>
      <c r="I450" s="5"/>
      <c r="J450" s="33">
        <v>293.65190000000001</v>
      </c>
      <c r="K450" s="34">
        <v>42.763300000000001</v>
      </c>
      <c r="L450" s="34">
        <v>48.125</v>
      </c>
      <c r="M450" s="34">
        <v>48.5334</v>
      </c>
      <c r="N450" s="20">
        <v>303.46289999999999</v>
      </c>
      <c r="O450" s="20">
        <f t="shared" si="15"/>
        <v>44.154775000000001</v>
      </c>
      <c r="P450" s="7"/>
      <c r="Q450" s="13"/>
      <c r="R450" s="14"/>
      <c r="S450" s="14"/>
      <c r="T450" s="27"/>
      <c r="U450" s="28">
        <f t="shared" si="13"/>
        <v>1.0045108659752957</v>
      </c>
    </row>
    <row r="451" spans="1:21" hidden="1" x14ac:dyDescent="0.25">
      <c r="A451" s="6" t="s">
        <v>100</v>
      </c>
      <c r="B451" s="6" t="s">
        <v>77</v>
      </c>
      <c r="C451" s="15">
        <v>760.92</v>
      </c>
      <c r="D451" s="16">
        <v>39.636000000000003</v>
      </c>
      <c r="E451" s="16">
        <v>44.13</v>
      </c>
      <c r="F451" s="16">
        <v>44.673999999999999</v>
      </c>
      <c r="G451" s="16">
        <v>320.51</v>
      </c>
      <c r="H451" s="16">
        <f t="shared" si="14"/>
        <v>40.827500000000001</v>
      </c>
      <c r="I451" s="5"/>
      <c r="J451" s="15">
        <v>825.8442</v>
      </c>
      <c r="K451" s="16">
        <v>40.653799999999997</v>
      </c>
      <c r="L451" s="16">
        <v>44.698700000000002</v>
      </c>
      <c r="M451" s="16">
        <v>45.164299999999997</v>
      </c>
      <c r="N451" s="16">
        <v>388.7269</v>
      </c>
      <c r="O451" s="16">
        <f t="shared" si="15"/>
        <v>41.723224999999999</v>
      </c>
      <c r="P451" s="7"/>
      <c r="Q451" s="8">
        <f>bdrate(C451:C454,D451:D454,J451:J454,K451:K454)</f>
        <v>-0.11208764150632688</v>
      </c>
      <c r="R451" s="8">
        <f>bdrate(C451:C454,E451:E454,J451:J454,L451:L454)</f>
        <v>-7.5536596268546363E-2</v>
      </c>
      <c r="S451" s="8">
        <f>bdrate(C451:C454,F451:F454,J451:J454,M451:M454)</f>
        <v>-4.8569883301875061E-2</v>
      </c>
      <c r="T451" s="25">
        <f>bdrate(C451:C454,H451:H454,J451:J454,O451:O454)</f>
        <v>-0.10224139103054619</v>
      </c>
      <c r="U451" s="28">
        <f t="shared" si="13"/>
        <v>0.21283860097968865</v>
      </c>
    </row>
    <row r="452" spans="1:21" hidden="1" x14ac:dyDescent="0.25">
      <c r="A452" s="9"/>
      <c r="B452" s="9"/>
      <c r="C452" s="17">
        <v>472.43</v>
      </c>
      <c r="D452" s="18">
        <v>37.692999999999998</v>
      </c>
      <c r="E452" s="18">
        <v>42.41</v>
      </c>
      <c r="F452" s="18">
        <v>42.930999999999997</v>
      </c>
      <c r="G452" s="18">
        <v>371.4</v>
      </c>
      <c r="H452" s="18">
        <f t="shared" si="14"/>
        <v>38.937374999999996</v>
      </c>
      <c r="I452" s="5"/>
      <c r="J452" s="17">
        <v>516.07799999999997</v>
      </c>
      <c r="K452" s="18">
        <v>38.658999999999999</v>
      </c>
      <c r="L452" s="18">
        <v>42.957500000000003</v>
      </c>
      <c r="M452" s="18">
        <v>43.367400000000004</v>
      </c>
      <c r="N452" s="18">
        <v>466.20049999999998</v>
      </c>
      <c r="O452" s="18">
        <f t="shared" si="15"/>
        <v>39.784862500000003</v>
      </c>
      <c r="P452" s="7"/>
      <c r="Q452" s="10"/>
      <c r="R452" s="11"/>
      <c r="S452" s="11"/>
      <c r="T452" s="26"/>
      <c r="U452" s="28">
        <f t="shared" si="13"/>
        <v>0.25525175013462575</v>
      </c>
    </row>
    <row r="453" spans="1:21" hidden="1" x14ac:dyDescent="0.25">
      <c r="B453" s="9"/>
      <c r="C453" s="17">
        <v>285.07</v>
      </c>
      <c r="D453" s="18">
        <v>35.573</v>
      </c>
      <c r="E453" s="18">
        <v>40.610999999999997</v>
      </c>
      <c r="F453" s="18">
        <v>41.058</v>
      </c>
      <c r="G453" s="18">
        <v>434.31</v>
      </c>
      <c r="H453" s="18">
        <f t="shared" si="14"/>
        <v>36.888374999999996</v>
      </c>
      <c r="I453" s="5"/>
      <c r="J453" s="17">
        <v>310.01100000000002</v>
      </c>
      <c r="K453" s="18">
        <v>36.439300000000003</v>
      </c>
      <c r="L453" s="18">
        <v>41.130499999999998</v>
      </c>
      <c r="M453" s="18">
        <v>41.500300000000003</v>
      </c>
      <c r="N453" s="18">
        <v>557.88009999999997</v>
      </c>
      <c r="O453" s="18">
        <f t="shared" si="15"/>
        <v>37.658324999999998</v>
      </c>
      <c r="P453" s="7"/>
      <c r="Q453" s="10"/>
      <c r="R453" s="11"/>
      <c r="S453" s="11"/>
      <c r="T453" s="26"/>
      <c r="U453" s="28">
        <f t="shared" si="13"/>
        <v>0.28452050378761706</v>
      </c>
    </row>
    <row r="454" spans="1:21" ht="16.5" hidden="1" thickBot="1" x14ac:dyDescent="0.3">
      <c r="B454" s="12"/>
      <c r="C454" s="19">
        <v>142.99</v>
      </c>
      <c r="D454" s="20">
        <v>32.395000000000003</v>
      </c>
      <c r="E454" s="20">
        <v>38.286000000000001</v>
      </c>
      <c r="F454" s="20">
        <v>38.548000000000002</v>
      </c>
      <c r="G454" s="20">
        <v>512.82000000000005</v>
      </c>
      <c r="H454" s="20">
        <f t="shared" si="14"/>
        <v>33.900500000000001</v>
      </c>
      <c r="I454" s="5"/>
      <c r="J454" s="19">
        <v>154.89420000000001</v>
      </c>
      <c r="K454" s="20">
        <v>33.172800000000002</v>
      </c>
      <c r="L454" s="20">
        <v>39.060400000000001</v>
      </c>
      <c r="M454" s="20">
        <v>39.3125</v>
      </c>
      <c r="N454" s="20">
        <v>732.60069999999996</v>
      </c>
      <c r="O454" s="20">
        <f t="shared" si="15"/>
        <v>34.676212500000005</v>
      </c>
      <c r="P454" s="7"/>
      <c r="Q454" s="13"/>
      <c r="R454" s="14"/>
      <c r="S454" s="14"/>
      <c r="T454" s="27"/>
      <c r="U454" s="28">
        <f t="shared" si="13"/>
        <v>0.42857279357279338</v>
      </c>
    </row>
    <row r="455" spans="1:21" hidden="1" x14ac:dyDescent="0.25">
      <c r="B455" s="6" t="s">
        <v>78</v>
      </c>
      <c r="C455" s="15">
        <v>793.03</v>
      </c>
      <c r="D455" s="16">
        <v>41.055</v>
      </c>
      <c r="E455" s="16">
        <v>45.567</v>
      </c>
      <c r="F455" s="16">
        <v>46.503</v>
      </c>
      <c r="G455" s="16">
        <v>413.65</v>
      </c>
      <c r="H455" s="16">
        <f t="shared" si="14"/>
        <v>42.3</v>
      </c>
      <c r="I455" s="5"/>
      <c r="J455" s="15">
        <v>854.53679999999997</v>
      </c>
      <c r="K455" s="16">
        <v>42.677599999999998</v>
      </c>
      <c r="L455" s="16">
        <v>47.436700000000002</v>
      </c>
      <c r="M455" s="16">
        <v>48.020899999999997</v>
      </c>
      <c r="N455" s="16">
        <v>503.1447</v>
      </c>
      <c r="O455" s="16">
        <f t="shared" si="15"/>
        <v>43.940399999999997</v>
      </c>
      <c r="P455" s="7"/>
      <c r="Q455" s="8">
        <f>bdrate(C455:C458,D455:D458,J455:J458,K455:K458)</f>
        <v>-0.37676707787724806</v>
      </c>
      <c r="R455" s="8">
        <f>bdrate(C455:C458,E455:E458,J455:J458,L455:L458)</f>
        <v>-0.40370700877033694</v>
      </c>
      <c r="S455" s="8">
        <f>bdrate(C455:C458,F455:F458,J455:J458,M455:M458)</f>
        <v>-0.36676408369736113</v>
      </c>
      <c r="T455" s="25">
        <f>bdrate(C455:C458,H455:H458,J455:J458,O455:O458)</f>
        <v>-0.37899405833443678</v>
      </c>
      <c r="U455" s="28">
        <f t="shared" si="13"/>
        <v>0.21635368064789079</v>
      </c>
    </row>
    <row r="456" spans="1:21" hidden="1" x14ac:dyDescent="0.25">
      <c r="B456" s="9"/>
      <c r="C456" s="17">
        <v>491.51</v>
      </c>
      <c r="D456" s="18">
        <v>39.277999999999999</v>
      </c>
      <c r="E456" s="18">
        <v>44.073999999999998</v>
      </c>
      <c r="F456" s="18">
        <v>45.145000000000003</v>
      </c>
      <c r="G456" s="18">
        <v>502.51</v>
      </c>
      <c r="H456" s="18">
        <f t="shared" si="14"/>
        <v>40.610875</v>
      </c>
      <c r="I456" s="5"/>
      <c r="J456" s="17">
        <v>537.45060000000001</v>
      </c>
      <c r="K456" s="18">
        <v>41.272799999999997</v>
      </c>
      <c r="L456" s="18">
        <v>46.134</v>
      </c>
      <c r="M456" s="18">
        <v>46.844900000000003</v>
      </c>
      <c r="N456" s="18">
        <v>583.09040000000005</v>
      </c>
      <c r="O456" s="18">
        <f t="shared" si="15"/>
        <v>42.5769625</v>
      </c>
      <c r="P456" s="7"/>
      <c r="Q456" s="10"/>
      <c r="R456" s="11"/>
      <c r="S456" s="11"/>
      <c r="T456" s="26"/>
      <c r="U456" s="28">
        <f t="shared" si="13"/>
        <v>0.16035581381465056</v>
      </c>
    </row>
    <row r="457" spans="1:21" hidden="1" x14ac:dyDescent="0.25">
      <c r="B457" s="9"/>
      <c r="C457" s="17">
        <v>294.36</v>
      </c>
      <c r="D457" s="18">
        <v>37.259</v>
      </c>
      <c r="E457" s="18">
        <v>42.341000000000001</v>
      </c>
      <c r="F457" s="18">
        <v>43.43</v>
      </c>
      <c r="G457" s="18">
        <v>597.01</v>
      </c>
      <c r="H457" s="18">
        <f t="shared" si="14"/>
        <v>38.665624999999999</v>
      </c>
      <c r="I457" s="5"/>
      <c r="J457" s="17">
        <v>321.786</v>
      </c>
      <c r="K457" s="18">
        <v>39.466200000000001</v>
      </c>
      <c r="L457" s="18">
        <v>44.365900000000003</v>
      </c>
      <c r="M457" s="18">
        <v>45.25</v>
      </c>
      <c r="N457" s="18">
        <v>751.87969999999996</v>
      </c>
      <c r="O457" s="18">
        <f t="shared" si="15"/>
        <v>40.801637499999998</v>
      </c>
      <c r="P457" s="7"/>
      <c r="Q457" s="10"/>
      <c r="R457" s="11"/>
      <c r="S457" s="11"/>
      <c r="T457" s="26"/>
      <c r="U457" s="28">
        <f t="shared" si="13"/>
        <v>0.25940888762332281</v>
      </c>
    </row>
    <row r="458" spans="1:21" ht="16.5" hidden="1" thickBot="1" x14ac:dyDescent="0.3">
      <c r="B458" s="12"/>
      <c r="C458" s="19">
        <v>146.53</v>
      </c>
      <c r="D458" s="20">
        <v>34.329000000000001</v>
      </c>
      <c r="E458" s="20">
        <v>40.052999999999997</v>
      </c>
      <c r="F458" s="20">
        <v>41.168999999999997</v>
      </c>
      <c r="G458" s="20">
        <v>693.24</v>
      </c>
      <c r="H458" s="20">
        <f t="shared" si="14"/>
        <v>35.899499999999996</v>
      </c>
      <c r="I458" s="5"/>
      <c r="J458" s="19">
        <v>155.5926</v>
      </c>
      <c r="K458" s="20">
        <v>36.585000000000001</v>
      </c>
      <c r="L458" s="20">
        <v>41.909700000000001</v>
      </c>
      <c r="M458" s="20">
        <v>42.7134</v>
      </c>
      <c r="N458" s="20">
        <v>852.87850000000003</v>
      </c>
      <c r="O458" s="20">
        <f t="shared" si="15"/>
        <v>38.016637499999995</v>
      </c>
      <c r="P458" s="7"/>
      <c r="Q458" s="13"/>
      <c r="R458" s="14"/>
      <c r="S458" s="14"/>
      <c r="T458" s="27"/>
      <c r="U458" s="28">
        <f t="shared" si="13"/>
        <v>0.23027883561248633</v>
      </c>
    </row>
    <row r="459" spans="1:21" hidden="1" x14ac:dyDescent="0.25">
      <c r="B459" s="6" t="s">
        <v>79</v>
      </c>
      <c r="C459" s="15">
        <v>998.8</v>
      </c>
      <c r="D459" s="16">
        <v>39.311999999999998</v>
      </c>
      <c r="E459" s="16">
        <v>46.713000000000001</v>
      </c>
      <c r="F459" s="16">
        <v>46.607999999999997</v>
      </c>
      <c r="G459" s="16">
        <v>325.24</v>
      </c>
      <c r="H459" s="16">
        <f t="shared" si="14"/>
        <v>41.149124999999998</v>
      </c>
      <c r="I459" s="5"/>
      <c r="J459" s="15">
        <v>1027.0974000000001</v>
      </c>
      <c r="K459" s="16">
        <v>41.127000000000002</v>
      </c>
      <c r="L459" s="16">
        <v>47.6374</v>
      </c>
      <c r="M459" s="16">
        <v>47.2849</v>
      </c>
      <c r="N459" s="16">
        <v>444.64940000000001</v>
      </c>
      <c r="O459" s="16">
        <f t="shared" si="15"/>
        <v>42.710537500000001</v>
      </c>
      <c r="P459" s="7"/>
      <c r="Q459" s="8">
        <f>bdrate(C459:C462,D459:D462,J459:J462,K459:K462)</f>
        <v>-0.53895763035740596</v>
      </c>
      <c r="R459" s="8">
        <f>bdrate(C459:C462,E459:E462,J459:J462,L459:L462)</f>
        <v>-0.3920062571426568</v>
      </c>
      <c r="S459" s="8">
        <f>bdrate(C459:C462,F459:F462,J459:J462,M459:M462)</f>
        <v>-0.3800284868333208</v>
      </c>
      <c r="T459" s="25">
        <f>bdrate(C459:C462,H459:H462,J459:J462,O459:O462)</f>
        <v>-0.51663136944739829</v>
      </c>
      <c r="U459" s="28">
        <f t="shared" si="13"/>
        <v>0.36714241790677654</v>
      </c>
    </row>
    <row r="460" spans="1:21" hidden="1" x14ac:dyDescent="0.25">
      <c r="B460" s="9"/>
      <c r="C460" s="17">
        <v>597.91999999999996</v>
      </c>
      <c r="D460" s="18">
        <v>38.085000000000001</v>
      </c>
      <c r="E460" s="18">
        <v>46.003</v>
      </c>
      <c r="F460" s="18">
        <v>45.991999999999997</v>
      </c>
      <c r="G460" s="18">
        <v>383.91</v>
      </c>
      <c r="H460" s="18">
        <f t="shared" si="14"/>
        <v>40.063124999999999</v>
      </c>
      <c r="I460" s="5"/>
      <c r="J460" s="17">
        <v>608.62530000000004</v>
      </c>
      <c r="K460" s="18">
        <v>40.148299999999999</v>
      </c>
      <c r="L460" s="18">
        <v>46.882300000000001</v>
      </c>
      <c r="M460" s="18">
        <v>46.625100000000003</v>
      </c>
      <c r="N460" s="18">
        <v>532.59670000000006</v>
      </c>
      <c r="O460" s="18">
        <f t="shared" si="15"/>
        <v>41.79965</v>
      </c>
      <c r="P460" s="7"/>
      <c r="Q460" s="10"/>
      <c r="R460" s="11"/>
      <c r="S460" s="11"/>
      <c r="T460" s="26"/>
      <c r="U460" s="28">
        <f t="shared" si="13"/>
        <v>0.38729572035112403</v>
      </c>
    </row>
    <row r="461" spans="1:21" hidden="1" x14ac:dyDescent="0.25">
      <c r="B461" s="9"/>
      <c r="C461" s="17">
        <v>397.24</v>
      </c>
      <c r="D461" s="18">
        <v>36.722999999999999</v>
      </c>
      <c r="E461" s="18">
        <v>45.146000000000001</v>
      </c>
      <c r="F461" s="18">
        <v>45.25</v>
      </c>
      <c r="G461" s="18">
        <v>401.33</v>
      </c>
      <c r="H461" s="18">
        <f t="shared" si="14"/>
        <v>38.841749999999998</v>
      </c>
      <c r="I461" s="5"/>
      <c r="J461" s="17">
        <v>410.09480000000002</v>
      </c>
      <c r="K461" s="18">
        <v>39.234000000000002</v>
      </c>
      <c r="L461" s="18">
        <v>46.239100000000001</v>
      </c>
      <c r="M461" s="18">
        <v>46.148200000000003</v>
      </c>
      <c r="N461" s="18">
        <v>593.96180000000004</v>
      </c>
      <c r="O461" s="18">
        <f t="shared" si="15"/>
        <v>40.973912499999997</v>
      </c>
      <c r="P461" s="7"/>
      <c r="Q461" s="10"/>
      <c r="R461" s="11"/>
      <c r="S461" s="11"/>
      <c r="T461" s="26"/>
      <c r="U461" s="28">
        <f t="shared" si="13"/>
        <v>0.47998355468068687</v>
      </c>
    </row>
    <row r="462" spans="1:21" ht="16.5" hidden="1" thickBot="1" x14ac:dyDescent="0.3">
      <c r="B462" s="12"/>
      <c r="C462" s="19">
        <v>198.49</v>
      </c>
      <c r="D462" s="20">
        <v>34.055</v>
      </c>
      <c r="E462" s="20">
        <v>43.671999999999997</v>
      </c>
      <c r="F462" s="20">
        <v>43.795999999999999</v>
      </c>
      <c r="G462" s="20">
        <v>482.72</v>
      </c>
      <c r="H462" s="20">
        <f t="shared" si="14"/>
        <v>36.47475</v>
      </c>
      <c r="I462" s="5"/>
      <c r="J462" s="19">
        <v>202.4709</v>
      </c>
      <c r="K462" s="20">
        <v>36.852200000000003</v>
      </c>
      <c r="L462" s="20">
        <v>44.586300000000001</v>
      </c>
      <c r="M462" s="20">
        <v>44.722999999999999</v>
      </c>
      <c r="N462" s="20">
        <v>744.40150000000006</v>
      </c>
      <c r="O462" s="20">
        <f t="shared" si="15"/>
        <v>38.802812500000002</v>
      </c>
      <c r="P462" s="7"/>
      <c r="Q462" s="13"/>
      <c r="R462" s="14"/>
      <c r="S462" s="14"/>
      <c r="T462" s="27"/>
      <c r="U462" s="28">
        <f t="shared" si="13"/>
        <v>0.5420979035465695</v>
      </c>
    </row>
    <row r="463" spans="1:21" hidden="1" x14ac:dyDescent="0.25">
      <c r="B463" s="6" t="s">
        <v>80</v>
      </c>
      <c r="C463" s="15">
        <v>1012.56</v>
      </c>
      <c r="D463" s="16">
        <v>39.651000000000003</v>
      </c>
      <c r="E463" s="16">
        <v>46.368000000000002</v>
      </c>
      <c r="F463" s="16">
        <v>46.197000000000003</v>
      </c>
      <c r="G463" s="16">
        <v>190.72</v>
      </c>
      <c r="H463" s="16">
        <f t="shared" si="14"/>
        <v>41.308875</v>
      </c>
      <c r="I463" s="5"/>
      <c r="J463" s="15">
        <v>1026.2056</v>
      </c>
      <c r="K463" s="16">
        <v>39.808500000000002</v>
      </c>
      <c r="L463" s="16">
        <v>46.206099999999999</v>
      </c>
      <c r="M463" s="16">
        <v>46.040300000000002</v>
      </c>
      <c r="N463" s="16">
        <v>318.96550000000002</v>
      </c>
      <c r="O463" s="16">
        <f t="shared" si="15"/>
        <v>41.387174999999999</v>
      </c>
      <c r="P463" s="7"/>
      <c r="Q463" s="8">
        <f>bdrate(C463:C466,D463:D466,J463:J466,K463:K466)</f>
        <v>-1.7658710133733324E-3</v>
      </c>
      <c r="R463" s="8">
        <f>bdrate(C463:C466,E463:E466,J463:J466,L463:L466)</f>
        <v>5.0799691231575572E-3</v>
      </c>
      <c r="S463" s="8">
        <f>bdrate(C463:C466,F463:F466,J463:J466,M463:M466)</f>
        <v>-8.2059768804575439E-3</v>
      </c>
      <c r="T463" s="25">
        <f>bdrate(C463:C466,H463:H466,J463:J466,O463:O466)</f>
        <v>-2.7205488324314464E-3</v>
      </c>
      <c r="U463" s="28">
        <f t="shared" si="13"/>
        <v>0.6724281669463088</v>
      </c>
    </row>
    <row r="464" spans="1:21" hidden="1" x14ac:dyDescent="0.25">
      <c r="B464" s="9"/>
      <c r="C464" s="17">
        <v>605.78</v>
      </c>
      <c r="D464" s="18">
        <v>37.993000000000002</v>
      </c>
      <c r="E464" s="18">
        <v>45.228000000000002</v>
      </c>
      <c r="F464" s="18">
        <v>45.113</v>
      </c>
      <c r="G464" s="18">
        <v>226.39</v>
      </c>
      <c r="H464" s="18">
        <f t="shared" si="14"/>
        <v>39.787375000000004</v>
      </c>
      <c r="I464" s="5"/>
      <c r="J464" s="17">
        <v>614.04780000000005</v>
      </c>
      <c r="K464" s="18">
        <v>38.091999999999999</v>
      </c>
      <c r="L464" s="18">
        <v>45.204500000000003</v>
      </c>
      <c r="M464" s="18">
        <v>45.1203</v>
      </c>
      <c r="N464" s="18">
        <v>384.02530000000002</v>
      </c>
      <c r="O464" s="18">
        <f t="shared" si="15"/>
        <v>39.8596</v>
      </c>
      <c r="P464" s="7"/>
      <c r="Q464" s="10"/>
      <c r="R464" s="11"/>
      <c r="S464" s="11"/>
      <c r="T464" s="26"/>
      <c r="U464" s="28">
        <f t="shared" si="13"/>
        <v>0.69629974822209484</v>
      </c>
    </row>
    <row r="465" spans="2:21" hidden="1" x14ac:dyDescent="0.25">
      <c r="B465" s="9"/>
      <c r="C465" s="17">
        <v>399.53</v>
      </c>
      <c r="D465" s="18">
        <v>36.552999999999997</v>
      </c>
      <c r="E465" s="18">
        <v>44.268999999999998</v>
      </c>
      <c r="F465" s="18">
        <v>44.133000000000003</v>
      </c>
      <c r="G465" s="18">
        <v>261.04000000000002</v>
      </c>
      <c r="H465" s="18">
        <f t="shared" si="14"/>
        <v>38.464999999999996</v>
      </c>
      <c r="I465" s="5"/>
      <c r="J465" s="17">
        <v>409.5412</v>
      </c>
      <c r="K465" s="18">
        <v>36.6402</v>
      </c>
      <c r="L465" s="18">
        <v>44.286200000000001</v>
      </c>
      <c r="M465" s="18">
        <v>44.1813</v>
      </c>
      <c r="N465" s="18">
        <v>454.59399999999999</v>
      </c>
      <c r="O465" s="18">
        <f t="shared" si="15"/>
        <v>38.538587500000006</v>
      </c>
      <c r="P465" s="7"/>
      <c r="Q465" s="10"/>
      <c r="R465" s="11"/>
      <c r="S465" s="11"/>
      <c r="T465" s="26"/>
      <c r="U465" s="28">
        <f t="shared" si="13"/>
        <v>0.74147257125344757</v>
      </c>
    </row>
    <row r="466" spans="2:21" ht="16.5" hidden="1" thickBot="1" x14ac:dyDescent="0.3">
      <c r="B466" s="12"/>
      <c r="C466" s="19">
        <v>196.53</v>
      </c>
      <c r="D466" s="20">
        <v>33.841999999999999</v>
      </c>
      <c r="E466" s="20">
        <v>42.546999999999997</v>
      </c>
      <c r="F466" s="20">
        <v>42.359000000000002</v>
      </c>
      <c r="G466" s="20">
        <v>313.56</v>
      </c>
      <c r="H466" s="20">
        <f t="shared" si="14"/>
        <v>35.994749999999996</v>
      </c>
      <c r="I466" s="5"/>
      <c r="J466" s="19">
        <v>203.7259</v>
      </c>
      <c r="K466" s="20">
        <v>33.872500000000002</v>
      </c>
      <c r="L466" s="20">
        <v>42.944600000000001</v>
      </c>
      <c r="M466" s="20">
        <v>42.811300000000003</v>
      </c>
      <c r="N466" s="20">
        <v>574.22400000000005</v>
      </c>
      <c r="O466" s="20">
        <f t="shared" si="15"/>
        <v>36.123862500000001</v>
      </c>
      <c r="P466" s="7"/>
      <c r="Q466" s="13"/>
      <c r="R466" s="14"/>
      <c r="S466" s="14"/>
      <c r="T466" s="27"/>
      <c r="U466" s="28">
        <f t="shared" si="13"/>
        <v>0.83130501339456575</v>
      </c>
    </row>
    <row r="467" spans="2:21" hidden="1" x14ac:dyDescent="0.25">
      <c r="B467" s="6" t="s">
        <v>81</v>
      </c>
      <c r="C467" s="15">
        <v>1159.5</v>
      </c>
      <c r="D467" s="16">
        <v>41.308999999999997</v>
      </c>
      <c r="E467" s="16">
        <v>43.783999999999999</v>
      </c>
      <c r="F467" s="16">
        <v>44.176000000000002</v>
      </c>
      <c r="G467" s="16">
        <v>222.62</v>
      </c>
      <c r="H467" s="16">
        <f t="shared" si="14"/>
        <v>41.976749999999996</v>
      </c>
      <c r="I467" s="5"/>
      <c r="J467" s="15">
        <v>1030.6912</v>
      </c>
      <c r="K467" s="16">
        <v>41.803699999999999</v>
      </c>
      <c r="L467" s="16">
        <v>43.6646</v>
      </c>
      <c r="M467" s="16">
        <v>44.033900000000003</v>
      </c>
      <c r="N467" s="16">
        <v>311.33249999999998</v>
      </c>
      <c r="O467" s="16">
        <f t="shared" si="15"/>
        <v>42.315087500000004</v>
      </c>
      <c r="P467" s="7"/>
      <c r="Q467" s="8">
        <f>bdrate(C467:C470,D467:D470,J467:J470,K467:K470)</f>
        <v>-0.16965066441490673</v>
      </c>
      <c r="R467" s="8">
        <f>bdrate(C467:C470,E467:E470,J467:J470,L467:L470)</f>
        <v>-9.6662946127575089E-2</v>
      </c>
      <c r="S467" s="8">
        <f>bdrate(C467:C470,F467:F470,J467:J470,M467:M470)</f>
        <v>-7.787498755726685E-2</v>
      </c>
      <c r="T467" s="25">
        <f>bdrate(C467:C470,H467:H470,J467:J470,O467:O470)</f>
        <v>-0.15465896061402562</v>
      </c>
      <c r="U467" s="28">
        <f t="shared" si="13"/>
        <v>0.39849294762375337</v>
      </c>
    </row>
    <row r="468" spans="2:21" hidden="1" x14ac:dyDescent="0.25">
      <c r="B468" s="9"/>
      <c r="C468" s="17">
        <v>692.66</v>
      </c>
      <c r="D468" s="18">
        <v>39.087000000000003</v>
      </c>
      <c r="E468" s="18">
        <v>42.167000000000002</v>
      </c>
      <c r="F468" s="18">
        <v>42.517000000000003</v>
      </c>
      <c r="G468" s="18">
        <v>256.41000000000003</v>
      </c>
      <c r="H468" s="18">
        <f t="shared" si="14"/>
        <v>39.900750000000002</v>
      </c>
      <c r="I468" s="5"/>
      <c r="J468" s="17">
        <v>620.06079999999997</v>
      </c>
      <c r="K468" s="18">
        <v>39.570700000000002</v>
      </c>
      <c r="L468" s="18">
        <v>42.114400000000003</v>
      </c>
      <c r="M468" s="18">
        <v>42.424999999999997</v>
      </c>
      <c r="N468" s="18">
        <v>372.85610000000003</v>
      </c>
      <c r="O468" s="18">
        <f t="shared" si="15"/>
        <v>40.245450000000005</v>
      </c>
      <c r="P468" s="7"/>
      <c r="Q468" s="10"/>
      <c r="R468" s="11"/>
      <c r="S468" s="11"/>
      <c r="T468" s="26"/>
      <c r="U468" s="28">
        <f t="shared" si="13"/>
        <v>0.45414024414024412</v>
      </c>
    </row>
    <row r="469" spans="2:21" hidden="1" x14ac:dyDescent="0.25">
      <c r="B469" s="9"/>
      <c r="C469" s="17">
        <v>457.42</v>
      </c>
      <c r="D469" s="18">
        <v>37.29</v>
      </c>
      <c r="E469" s="18">
        <v>40.823</v>
      </c>
      <c r="F469" s="18">
        <v>41.142000000000003</v>
      </c>
      <c r="G469" s="18">
        <v>286.04000000000002</v>
      </c>
      <c r="H469" s="18">
        <f t="shared" si="14"/>
        <v>38.213124999999998</v>
      </c>
      <c r="I469" s="5"/>
      <c r="J469" s="17">
        <v>411.68200000000002</v>
      </c>
      <c r="K469" s="18">
        <v>37.661000000000001</v>
      </c>
      <c r="L469" s="18">
        <v>40.860100000000003</v>
      </c>
      <c r="M469" s="18">
        <v>41.105200000000004</v>
      </c>
      <c r="N469" s="18">
        <v>421.58519999999999</v>
      </c>
      <c r="O469" s="18">
        <f t="shared" si="15"/>
        <v>38.491412500000003</v>
      </c>
      <c r="P469" s="7"/>
      <c r="Q469" s="10"/>
      <c r="R469" s="11"/>
      <c r="S469" s="11"/>
      <c r="T469" s="26"/>
      <c r="U469" s="28">
        <f t="shared" si="13"/>
        <v>0.47386799049084027</v>
      </c>
    </row>
    <row r="470" spans="2:21" ht="16.5" hidden="1" thickBot="1" x14ac:dyDescent="0.3">
      <c r="B470" s="12"/>
      <c r="C470" s="19">
        <v>224.35</v>
      </c>
      <c r="D470" s="20">
        <v>34.11</v>
      </c>
      <c r="E470" s="20">
        <v>38.610999999999997</v>
      </c>
      <c r="F470" s="20">
        <v>38.792000000000002</v>
      </c>
      <c r="G470" s="20">
        <v>340.83</v>
      </c>
      <c r="H470" s="20">
        <f t="shared" si="14"/>
        <v>35.257874999999999</v>
      </c>
      <c r="I470" s="5"/>
      <c r="J470" s="19">
        <v>205.4384</v>
      </c>
      <c r="K470" s="20">
        <v>34.206699999999998</v>
      </c>
      <c r="L470" s="20">
        <v>38.615699999999997</v>
      </c>
      <c r="M470" s="20">
        <v>38.6539</v>
      </c>
      <c r="N470" s="20">
        <v>572.08240000000001</v>
      </c>
      <c r="O470" s="20">
        <f t="shared" si="15"/>
        <v>35.313724999999998</v>
      </c>
      <c r="P470" s="7"/>
      <c r="Q470" s="13"/>
      <c r="R470" s="14"/>
      <c r="S470" s="14"/>
      <c r="T470" s="27"/>
      <c r="U470" s="28">
        <f t="shared" si="13"/>
        <v>0.67849778481941159</v>
      </c>
    </row>
    <row r="471" spans="2:21" hidden="1" x14ac:dyDescent="0.25">
      <c r="B471" s="6" t="s">
        <v>82</v>
      </c>
      <c r="C471" s="29">
        <v>988.96</v>
      </c>
      <c r="D471" s="30">
        <v>39.057000000000002</v>
      </c>
      <c r="E471" s="30">
        <v>42.872</v>
      </c>
      <c r="F471" s="30">
        <v>43.86</v>
      </c>
      <c r="G471" s="16">
        <v>340.83</v>
      </c>
      <c r="H471" s="16">
        <f t="shared" si="14"/>
        <v>40.134250000000002</v>
      </c>
      <c r="I471" s="5"/>
      <c r="J471" s="29">
        <v>1029.9395999999999</v>
      </c>
      <c r="K471" s="30">
        <v>40.438699999999997</v>
      </c>
      <c r="L471" s="30">
        <v>43.9084</v>
      </c>
      <c r="M471" s="30">
        <v>45.056899999999999</v>
      </c>
      <c r="N471" s="16">
        <v>405.51499999999999</v>
      </c>
      <c r="O471" s="16">
        <f t="shared" si="15"/>
        <v>41.449687499999996</v>
      </c>
      <c r="P471" s="7"/>
      <c r="Q471" s="8">
        <f>bdrate(C471:C474,D471:D474,J471:J474,K471:K474)</f>
        <v>-0.41893129072835056</v>
      </c>
      <c r="R471" s="8">
        <f>bdrate(C471:C474,E471:E474,J471:J474,L471:L474)</f>
        <v>-0.41345046471993918</v>
      </c>
      <c r="S471" s="8">
        <f>bdrate(C471:C474,F471:F474,J471:J474,M471:M474)</f>
        <v>-0.41460853609140325</v>
      </c>
      <c r="T471" s="25">
        <f>bdrate(C471:C474,H471:H474,J471:J474,O471:O474)</f>
        <v>-0.41805677053128298</v>
      </c>
      <c r="U471" s="28">
        <f t="shared" si="13"/>
        <v>0.18978669718041255</v>
      </c>
    </row>
    <row r="472" spans="2:21" hidden="1" x14ac:dyDescent="0.25">
      <c r="B472" s="9"/>
      <c r="C472" s="31">
        <v>601.46</v>
      </c>
      <c r="D472" s="32">
        <v>37.552</v>
      </c>
      <c r="E472" s="32">
        <v>41.994999999999997</v>
      </c>
      <c r="F472" s="32">
        <v>42.780999999999999</v>
      </c>
      <c r="G472" s="18">
        <v>395.57</v>
      </c>
      <c r="H472" s="18">
        <f t="shared" si="14"/>
        <v>38.761000000000003</v>
      </c>
      <c r="I472" s="5"/>
      <c r="J472" s="31">
        <v>613.47360000000003</v>
      </c>
      <c r="K472" s="32">
        <v>39.161900000000003</v>
      </c>
      <c r="L472" s="32">
        <v>43.056199999999997</v>
      </c>
      <c r="M472" s="32">
        <v>44.058</v>
      </c>
      <c r="N472" s="18">
        <v>501.00200000000001</v>
      </c>
      <c r="O472" s="18">
        <f t="shared" si="15"/>
        <v>40.2607</v>
      </c>
      <c r="P472" s="7"/>
      <c r="Q472" s="10"/>
      <c r="R472" s="11"/>
      <c r="S472" s="11"/>
      <c r="T472" s="26"/>
      <c r="U472" s="28">
        <f t="shared" si="13"/>
        <v>0.26653184012943354</v>
      </c>
    </row>
    <row r="473" spans="2:21" hidden="1" x14ac:dyDescent="0.25">
      <c r="B473" s="9"/>
      <c r="C473" s="31">
        <v>404.63</v>
      </c>
      <c r="D473" s="32">
        <v>36.152000000000001</v>
      </c>
      <c r="E473" s="32">
        <v>41.119</v>
      </c>
      <c r="F473" s="32">
        <v>41.823</v>
      </c>
      <c r="G473" s="18">
        <v>444.84</v>
      </c>
      <c r="H473" s="18">
        <f t="shared" si="14"/>
        <v>37.481749999999998</v>
      </c>
      <c r="I473" s="5"/>
      <c r="J473" s="31">
        <v>390.70920000000001</v>
      </c>
      <c r="K473" s="32">
        <v>37.935299999999998</v>
      </c>
      <c r="L473" s="32">
        <v>42.200099999999999</v>
      </c>
      <c r="M473" s="32">
        <v>43.039200000000001</v>
      </c>
      <c r="N473" s="18">
        <v>572.73770000000002</v>
      </c>
      <c r="O473" s="18">
        <f t="shared" si="15"/>
        <v>39.106387499999997</v>
      </c>
      <c r="P473" s="7"/>
      <c r="Q473" s="10"/>
      <c r="R473" s="11"/>
      <c r="S473" s="11"/>
      <c r="T473" s="26"/>
      <c r="U473" s="28">
        <f t="shared" si="13"/>
        <v>0.28751393759554006</v>
      </c>
    </row>
    <row r="474" spans="2:21" ht="16.5" hidden="1" thickBot="1" x14ac:dyDescent="0.3">
      <c r="B474" s="12"/>
      <c r="C474" s="33">
        <v>201.93</v>
      </c>
      <c r="D474" s="34">
        <v>33.369999999999997</v>
      </c>
      <c r="E474" s="34">
        <v>39.319000000000003</v>
      </c>
      <c r="F474" s="34">
        <v>39.932000000000002</v>
      </c>
      <c r="G474" s="20">
        <v>478.47</v>
      </c>
      <c r="H474" s="20">
        <f t="shared" si="14"/>
        <v>34.933875</v>
      </c>
      <c r="I474" s="5"/>
      <c r="J474" s="33">
        <v>201.66640000000001</v>
      </c>
      <c r="K474" s="34">
        <v>35.472200000000001</v>
      </c>
      <c r="L474" s="34">
        <v>40.672600000000003</v>
      </c>
      <c r="M474" s="34">
        <v>41.328000000000003</v>
      </c>
      <c r="N474" s="20">
        <v>728.86300000000006</v>
      </c>
      <c r="O474" s="20">
        <f t="shared" si="15"/>
        <v>36.854225</v>
      </c>
      <c r="P474" s="7"/>
      <c r="Q474" s="13"/>
      <c r="R474" s="14"/>
      <c r="S474" s="14"/>
      <c r="T474" s="27"/>
      <c r="U474" s="28">
        <f t="shared" si="13"/>
        <v>0.52332016636361744</v>
      </c>
    </row>
    <row r="475" spans="2:21" hidden="1" x14ac:dyDescent="0.25">
      <c r="B475" s="6" t="s">
        <v>83</v>
      </c>
      <c r="C475" s="15">
        <v>1113.3800000000001</v>
      </c>
      <c r="D475" s="16">
        <v>42.341999999999999</v>
      </c>
      <c r="E475" s="16">
        <v>45.302</v>
      </c>
      <c r="F475" s="16">
        <v>45.326999999999998</v>
      </c>
      <c r="G475" s="16">
        <v>150.24</v>
      </c>
      <c r="H475" s="16">
        <f t="shared" si="14"/>
        <v>43.085124999999998</v>
      </c>
      <c r="I475" s="5"/>
      <c r="J475" s="15">
        <v>1183.0443</v>
      </c>
      <c r="K475" s="16">
        <v>43.170400000000001</v>
      </c>
      <c r="L475" s="16">
        <v>45.4315</v>
      </c>
      <c r="M475" s="16">
        <v>45.395899999999997</v>
      </c>
      <c r="N475" s="16">
        <v>235.6268</v>
      </c>
      <c r="O475" s="16">
        <f t="shared" si="15"/>
        <v>43.731224999999995</v>
      </c>
      <c r="P475" s="7"/>
      <c r="Q475" s="8">
        <f>bdrate(C475:C478,D475:D478,J475:J478,K475:K478)</f>
        <v>-0.13861705511897526</v>
      </c>
      <c r="R475" s="8">
        <f>bdrate(C475:C478,E475:E478,J475:J478,L475:L478)</f>
        <v>-7.9263121561153449E-2</v>
      </c>
      <c r="S475" s="8">
        <f>bdrate(C475:C478,F475:F478,J475:J478,M475:M478)</f>
        <v>-5.3960182622147967E-2</v>
      </c>
      <c r="T475" s="25">
        <f>bdrate(C475:C478,H475:H478,J475:J478,O475:O478)</f>
        <v>-0.12808110715231003</v>
      </c>
      <c r="U475" s="28">
        <f t="shared" si="13"/>
        <v>0.56833599574014904</v>
      </c>
    </row>
    <row r="476" spans="2:21" hidden="1" x14ac:dyDescent="0.25">
      <c r="B476" s="9"/>
      <c r="C476" s="17">
        <v>748.16</v>
      </c>
      <c r="D476" s="18">
        <v>40.737000000000002</v>
      </c>
      <c r="E476" s="18">
        <v>44.243000000000002</v>
      </c>
      <c r="F476" s="18">
        <v>44.267000000000003</v>
      </c>
      <c r="G476" s="18">
        <v>169.88</v>
      </c>
      <c r="H476" s="18">
        <f t="shared" si="14"/>
        <v>41.616500000000002</v>
      </c>
      <c r="I476" s="5"/>
      <c r="J476" s="17">
        <v>781.7808</v>
      </c>
      <c r="K476" s="18">
        <v>41.586599999999997</v>
      </c>
      <c r="L476" s="18">
        <v>44.470399999999998</v>
      </c>
      <c r="M476" s="18">
        <v>44.432200000000002</v>
      </c>
      <c r="N476" s="18">
        <v>277.88069999999999</v>
      </c>
      <c r="O476" s="18">
        <f t="shared" si="15"/>
        <v>42.302774999999997</v>
      </c>
      <c r="P476" s="7"/>
      <c r="Q476" s="10"/>
      <c r="R476" s="11"/>
      <c r="S476" s="11"/>
      <c r="T476" s="26"/>
      <c r="U476" s="28">
        <f t="shared" si="13"/>
        <v>0.63574699788085709</v>
      </c>
    </row>
    <row r="477" spans="2:21" hidden="1" x14ac:dyDescent="0.25">
      <c r="B477" s="9"/>
      <c r="C477" s="17">
        <v>472.16</v>
      </c>
      <c r="D477" s="18">
        <v>38.734000000000002</v>
      </c>
      <c r="E477" s="18">
        <v>42.966000000000001</v>
      </c>
      <c r="F477" s="18">
        <v>42.991</v>
      </c>
      <c r="G477" s="18">
        <v>192.31</v>
      </c>
      <c r="H477" s="18">
        <f t="shared" si="14"/>
        <v>39.795124999999999</v>
      </c>
      <c r="I477" s="5"/>
      <c r="J477" s="17">
        <v>488.4067</v>
      </c>
      <c r="K477" s="18">
        <v>39.545499999999997</v>
      </c>
      <c r="L477" s="18">
        <v>43.349499999999999</v>
      </c>
      <c r="M477" s="18">
        <v>43.296300000000002</v>
      </c>
      <c r="N477" s="18">
        <v>336.1721</v>
      </c>
      <c r="O477" s="18">
        <f t="shared" si="15"/>
        <v>40.48984999999999</v>
      </c>
      <c r="P477" s="7"/>
      <c r="Q477" s="10"/>
      <c r="R477" s="11"/>
      <c r="S477" s="11"/>
      <c r="T477" s="26"/>
      <c r="U477" s="28">
        <f t="shared" si="13"/>
        <v>0.7480739431126826</v>
      </c>
    </row>
    <row r="478" spans="2:21" ht="16.5" hidden="1" thickBot="1" x14ac:dyDescent="0.3">
      <c r="B478" s="12"/>
      <c r="C478" s="19">
        <v>286.31</v>
      </c>
      <c r="D478" s="20">
        <v>36.418999999999997</v>
      </c>
      <c r="E478" s="20">
        <v>41.576999999999998</v>
      </c>
      <c r="F478" s="20">
        <v>41.491999999999997</v>
      </c>
      <c r="G478" s="20">
        <v>218.53</v>
      </c>
      <c r="H478" s="20">
        <f t="shared" si="14"/>
        <v>37.697875000000003</v>
      </c>
      <c r="I478" s="5"/>
      <c r="J478" s="19">
        <v>294.48989999999998</v>
      </c>
      <c r="K478" s="20">
        <v>37.146999999999998</v>
      </c>
      <c r="L478" s="20">
        <v>42.118699999999997</v>
      </c>
      <c r="M478" s="20">
        <v>42.021000000000001</v>
      </c>
      <c r="N478" s="20">
        <v>407.38729999999998</v>
      </c>
      <c r="O478" s="20">
        <f t="shared" si="15"/>
        <v>38.377712500000001</v>
      </c>
      <c r="P478" s="7"/>
      <c r="Q478" s="13"/>
      <c r="R478" s="14"/>
      <c r="S478" s="14"/>
      <c r="T478" s="27"/>
      <c r="U478" s="28">
        <f t="shared" si="13"/>
        <v>0.86421681233697878</v>
      </c>
    </row>
    <row r="479" spans="2:21" hidden="1" x14ac:dyDescent="0.25">
      <c r="B479" s="6" t="s">
        <v>84</v>
      </c>
      <c r="C479" s="15">
        <v>1635.18</v>
      </c>
      <c r="D479" s="16">
        <v>45.448999999999998</v>
      </c>
      <c r="E479" s="16">
        <v>48.143000000000001</v>
      </c>
      <c r="F479" s="16">
        <v>48.296999999999997</v>
      </c>
      <c r="G479" s="16">
        <v>126.21</v>
      </c>
      <c r="H479" s="16">
        <f t="shared" si="14"/>
        <v>46.141750000000002</v>
      </c>
      <c r="I479" s="5"/>
      <c r="J479" s="15">
        <v>1607.5516</v>
      </c>
      <c r="K479" s="16">
        <v>47.709699999999998</v>
      </c>
      <c r="L479" s="16">
        <v>49.802500000000002</v>
      </c>
      <c r="M479" s="16">
        <v>49.951099999999997</v>
      </c>
      <c r="N479" s="16">
        <v>209.1062</v>
      </c>
      <c r="O479" s="16">
        <f t="shared" si="15"/>
        <v>48.251474999999999</v>
      </c>
      <c r="P479" s="7"/>
      <c r="Q479" s="8">
        <f>bdrate(C479:C482,D479:D482,J479:J482,K479:K482)</f>
        <v>-0.40768563885939924</v>
      </c>
      <c r="R479" s="8">
        <f>bdrate(C479:C482,E479:E482,J479:J482,L479:L482)</f>
        <v>-0.35046170376174257</v>
      </c>
      <c r="S479" s="8">
        <f>bdrate(C479:C482,F479:F482,J479:J482,M479:M482)</f>
        <v>-0.34801612234467127</v>
      </c>
      <c r="T479" s="25">
        <f>bdrate(C479:C482,H479:H482,J479:J482,O479:O482)</f>
        <v>-0.3959515500693751</v>
      </c>
      <c r="U479" s="28">
        <f t="shared" si="13"/>
        <v>0.65681166310118066</v>
      </c>
    </row>
    <row r="480" spans="2:21" hidden="1" x14ac:dyDescent="0.25">
      <c r="B480" s="9"/>
      <c r="C480" s="17">
        <v>1103.33</v>
      </c>
      <c r="D480" s="18">
        <v>43.021000000000001</v>
      </c>
      <c r="E480" s="18">
        <v>46.012999999999998</v>
      </c>
      <c r="F480" s="18">
        <v>46.241999999999997</v>
      </c>
      <c r="G480" s="18">
        <v>145.88</v>
      </c>
      <c r="H480" s="18">
        <f t="shared" si="14"/>
        <v>43.797624999999996</v>
      </c>
      <c r="I480" s="5"/>
      <c r="J480" s="17">
        <v>1071.2716</v>
      </c>
      <c r="K480" s="18">
        <v>45.663200000000003</v>
      </c>
      <c r="L480" s="18">
        <v>47.976300000000002</v>
      </c>
      <c r="M480" s="18">
        <v>48.155900000000003</v>
      </c>
      <c r="N480" s="18">
        <v>233.74180000000001</v>
      </c>
      <c r="O480" s="18">
        <f t="shared" si="15"/>
        <v>46.263925</v>
      </c>
      <c r="P480" s="7"/>
      <c r="Q480" s="10"/>
      <c r="R480" s="11"/>
      <c r="S480" s="11"/>
      <c r="T480" s="26"/>
      <c r="U480" s="28">
        <f t="shared" si="13"/>
        <v>0.60228818206745283</v>
      </c>
    </row>
    <row r="481" spans="2:21" hidden="1" x14ac:dyDescent="0.25">
      <c r="B481" s="9"/>
      <c r="C481" s="17">
        <v>666.75</v>
      </c>
      <c r="D481" s="18">
        <v>40.000999999999998</v>
      </c>
      <c r="E481" s="18">
        <v>43.584000000000003</v>
      </c>
      <c r="F481" s="18">
        <v>44.003999999999998</v>
      </c>
      <c r="G481" s="18">
        <v>154.32</v>
      </c>
      <c r="H481" s="18">
        <f t="shared" si="14"/>
        <v>40.949249999999999</v>
      </c>
      <c r="I481" s="5"/>
      <c r="J481" s="17">
        <v>644.73940000000005</v>
      </c>
      <c r="K481" s="18">
        <v>42.890099999999997</v>
      </c>
      <c r="L481" s="18">
        <v>45.519199999999998</v>
      </c>
      <c r="M481" s="18">
        <v>45.815199999999997</v>
      </c>
      <c r="N481" s="18">
        <v>274.03309999999999</v>
      </c>
      <c r="O481" s="18">
        <f t="shared" si="15"/>
        <v>43.584375000000001</v>
      </c>
      <c r="P481" s="7"/>
      <c r="Q481" s="10"/>
      <c r="R481" s="11"/>
      <c r="S481" s="11"/>
      <c r="T481" s="26"/>
      <c r="U481" s="28">
        <f t="shared" si="13"/>
        <v>0.77574585277345776</v>
      </c>
    </row>
    <row r="482" spans="2:21" ht="16.5" hidden="1" thickBot="1" x14ac:dyDescent="0.3">
      <c r="B482" s="12"/>
      <c r="C482" s="19">
        <v>332.1</v>
      </c>
      <c r="D482" s="20">
        <v>36.024000000000001</v>
      </c>
      <c r="E482" s="20">
        <v>40.645000000000003</v>
      </c>
      <c r="F482" s="20">
        <v>41.395000000000003</v>
      </c>
      <c r="G482" s="20">
        <v>163.80000000000001</v>
      </c>
      <c r="H482" s="20">
        <f t="shared" si="14"/>
        <v>37.272999999999996</v>
      </c>
      <c r="I482" s="5"/>
      <c r="J482" s="19">
        <v>326.47160000000002</v>
      </c>
      <c r="K482" s="20">
        <v>39.157699999999998</v>
      </c>
      <c r="L482" s="20">
        <v>42.317</v>
      </c>
      <c r="M482" s="20">
        <v>42.695</v>
      </c>
      <c r="N482" s="20">
        <v>324.18299999999999</v>
      </c>
      <c r="O482" s="20">
        <f t="shared" si="15"/>
        <v>39.994774999999997</v>
      </c>
      <c r="P482" s="7"/>
      <c r="Q482" s="13"/>
      <c r="R482" s="14"/>
      <c r="S482" s="14"/>
      <c r="T482" s="27"/>
      <c r="U482" s="28">
        <f t="shared" si="13"/>
        <v>0.97913919413919392</v>
      </c>
    </row>
    <row r="483" spans="2:21" hidden="1" x14ac:dyDescent="0.25">
      <c r="B483" s="6" t="s">
        <v>85</v>
      </c>
      <c r="C483" s="15">
        <v>1423.84</v>
      </c>
      <c r="D483" s="16">
        <v>45.774000000000001</v>
      </c>
      <c r="E483" s="16">
        <v>47.857999999999997</v>
      </c>
      <c r="F483" s="16">
        <v>48.091999999999999</v>
      </c>
      <c r="G483" s="16">
        <v>138.65</v>
      </c>
      <c r="H483" s="16">
        <f t="shared" si="14"/>
        <v>46.324249999999999</v>
      </c>
      <c r="I483" s="5"/>
      <c r="J483" s="15">
        <v>1573.0998</v>
      </c>
      <c r="K483" s="16">
        <v>47.561199999999999</v>
      </c>
      <c r="L483" s="16">
        <v>49.258000000000003</v>
      </c>
      <c r="M483" s="16">
        <v>49.539499999999997</v>
      </c>
      <c r="N483" s="16">
        <v>192.24809999999999</v>
      </c>
      <c r="O483" s="16">
        <f t="shared" si="15"/>
        <v>48.020587499999998</v>
      </c>
      <c r="P483" s="7"/>
      <c r="Q483" s="8">
        <f>bdrate(C483:C486,D483:D486,J483:J486,K483:K486)</f>
        <v>-0.23567759966840496</v>
      </c>
      <c r="R483" s="8">
        <f>bdrate(C483:C486,E483:E486,J483:J486,L483:L486)</f>
        <v>-0.19594231795600903</v>
      </c>
      <c r="S483" s="8">
        <f>bdrate(C483:C486,F483:F486,J483:J486,M483:M486)</f>
        <v>-0.20781164020673248</v>
      </c>
      <c r="T483" s="25">
        <f>bdrate(C483:C486,H483:H486,J483:J486,O483:O486)</f>
        <v>-0.22823216929956103</v>
      </c>
      <c r="U483" s="28">
        <f t="shared" si="13"/>
        <v>0.38657122250270454</v>
      </c>
    </row>
    <row r="484" spans="2:21" hidden="1" x14ac:dyDescent="0.25">
      <c r="B484" s="9"/>
      <c r="C484" s="17">
        <v>941.51</v>
      </c>
      <c r="D484" s="18">
        <v>43.813000000000002</v>
      </c>
      <c r="E484" s="18">
        <v>46.174999999999997</v>
      </c>
      <c r="F484" s="18">
        <v>46.311999999999998</v>
      </c>
      <c r="G484" s="18">
        <v>153.85</v>
      </c>
      <c r="H484" s="18">
        <f t="shared" si="14"/>
        <v>44.420625000000008</v>
      </c>
      <c r="I484" s="5"/>
      <c r="J484" s="17">
        <v>1049.76</v>
      </c>
      <c r="K484" s="18">
        <v>45.685000000000002</v>
      </c>
      <c r="L484" s="18">
        <v>47.553699999999999</v>
      </c>
      <c r="M484" s="18">
        <v>47.795200000000001</v>
      </c>
      <c r="N484" s="18">
        <v>240.77670000000001</v>
      </c>
      <c r="O484" s="18">
        <f t="shared" si="15"/>
        <v>46.182362500000004</v>
      </c>
      <c r="P484" s="7"/>
      <c r="Q484" s="10"/>
      <c r="R484" s="11"/>
      <c r="S484" s="11"/>
      <c r="T484" s="26"/>
      <c r="U484" s="28">
        <f t="shared" si="13"/>
        <v>0.56500942476438099</v>
      </c>
    </row>
    <row r="485" spans="2:21" hidden="1" x14ac:dyDescent="0.25">
      <c r="B485" s="9"/>
      <c r="C485" s="17">
        <v>561.71</v>
      </c>
      <c r="D485" s="18">
        <v>41.326000000000001</v>
      </c>
      <c r="E485" s="18">
        <v>43.991999999999997</v>
      </c>
      <c r="F485" s="18">
        <v>43.994999999999997</v>
      </c>
      <c r="G485" s="18">
        <v>166.74</v>
      </c>
      <c r="H485" s="18">
        <f t="shared" si="14"/>
        <v>41.992875000000005</v>
      </c>
      <c r="I485" s="5"/>
      <c r="J485" s="17">
        <v>629.6422</v>
      </c>
      <c r="K485" s="18">
        <v>43.153799999999997</v>
      </c>
      <c r="L485" s="18">
        <v>45.353200000000001</v>
      </c>
      <c r="M485" s="18">
        <v>45.491</v>
      </c>
      <c r="N485" s="18">
        <v>274.13409999999999</v>
      </c>
      <c r="O485" s="18">
        <f t="shared" si="15"/>
        <v>43.720874999999999</v>
      </c>
      <c r="P485" s="7"/>
      <c r="Q485" s="10"/>
      <c r="R485" s="11"/>
      <c r="S485" s="11"/>
      <c r="T485" s="26"/>
      <c r="U485" s="28">
        <f t="shared" si="13"/>
        <v>0.64408120427012094</v>
      </c>
    </row>
    <row r="486" spans="2:21" ht="16.5" hidden="1" thickBot="1" x14ac:dyDescent="0.3">
      <c r="B486" s="12"/>
      <c r="C486" s="19">
        <v>277.22000000000003</v>
      </c>
      <c r="D486" s="20">
        <v>37.923999999999999</v>
      </c>
      <c r="E486" s="20">
        <v>41.29</v>
      </c>
      <c r="F486" s="20">
        <v>41.113</v>
      </c>
      <c r="G486" s="20">
        <v>183.43</v>
      </c>
      <c r="H486" s="20">
        <f t="shared" si="14"/>
        <v>38.743375</v>
      </c>
      <c r="I486" s="5"/>
      <c r="J486" s="19">
        <v>314.07049999999998</v>
      </c>
      <c r="K486" s="20">
        <v>39.802599999999998</v>
      </c>
      <c r="L486" s="20">
        <v>42.592700000000001</v>
      </c>
      <c r="M486" s="20">
        <v>42.646700000000003</v>
      </c>
      <c r="N486" s="20">
        <v>317.94869999999997</v>
      </c>
      <c r="O486" s="20">
        <f t="shared" si="15"/>
        <v>40.506875000000001</v>
      </c>
      <c r="P486" s="7"/>
      <c r="Q486" s="13"/>
      <c r="R486" s="14"/>
      <c r="S486" s="14"/>
      <c r="T486" s="27"/>
      <c r="U486" s="28">
        <f t="shared" si="13"/>
        <v>0.73335168729215483</v>
      </c>
    </row>
    <row r="487" spans="2:21" hidden="1" x14ac:dyDescent="0.25">
      <c r="B487" s="6" t="s">
        <v>86</v>
      </c>
      <c r="C487" s="15">
        <v>1500.92</v>
      </c>
      <c r="D487" s="16">
        <v>36.457999999999998</v>
      </c>
      <c r="E487" s="16">
        <v>40.204000000000001</v>
      </c>
      <c r="F487" s="16">
        <v>38.524000000000001</v>
      </c>
      <c r="G487" s="16">
        <v>129.44</v>
      </c>
      <c r="H487" s="16">
        <f t="shared" si="14"/>
        <v>37.1845</v>
      </c>
      <c r="I487" s="5"/>
      <c r="J487" s="15">
        <v>1545.0088000000001</v>
      </c>
      <c r="K487" s="16">
        <v>37.874499999999998</v>
      </c>
      <c r="L487" s="16">
        <v>41.166600000000003</v>
      </c>
      <c r="M487" s="16">
        <v>39.720599999999997</v>
      </c>
      <c r="N487" s="16">
        <v>188.8235</v>
      </c>
      <c r="O487" s="16">
        <f t="shared" si="15"/>
        <v>38.516774999999996</v>
      </c>
      <c r="P487" s="7"/>
      <c r="Q487" s="8">
        <f>bdrate(C487:C490,D487:D490,J487:J490,K487:K490)</f>
        <v>-0.16972405245498146</v>
      </c>
      <c r="R487" s="8">
        <f>bdrate(C487:C490,E487:E490,J487:J490,L487:L490)</f>
        <v>-0.12727014904739642</v>
      </c>
      <c r="S487" s="8">
        <f>bdrate(C487:C490,F487:F490,J487:J490,M487:M490)</f>
        <v>-0.17425451055020158</v>
      </c>
      <c r="T487" s="25">
        <f>bdrate(C487:C490,H487:H490,J487:J490,O487:O490)</f>
        <v>-0.16610366872298654</v>
      </c>
      <c r="U487" s="28">
        <f t="shared" si="13"/>
        <v>0.45877240420271942</v>
      </c>
    </row>
    <row r="488" spans="2:21" hidden="1" x14ac:dyDescent="0.25">
      <c r="B488" s="9"/>
      <c r="C488" s="17">
        <v>1005.51</v>
      </c>
      <c r="D488" s="18">
        <v>34.344999999999999</v>
      </c>
      <c r="E488" s="18">
        <v>38.6</v>
      </c>
      <c r="F488" s="18">
        <v>36.938000000000002</v>
      </c>
      <c r="G488" s="18">
        <v>143.88</v>
      </c>
      <c r="H488" s="18">
        <f t="shared" si="14"/>
        <v>35.201000000000001</v>
      </c>
      <c r="I488" s="5"/>
      <c r="J488" s="17">
        <v>1043.7283</v>
      </c>
      <c r="K488" s="18">
        <v>35.634900000000002</v>
      </c>
      <c r="L488" s="18">
        <v>39.440300000000001</v>
      </c>
      <c r="M488" s="18">
        <v>37.991599999999998</v>
      </c>
      <c r="N488" s="18">
        <v>223.6934</v>
      </c>
      <c r="O488" s="18">
        <f t="shared" si="15"/>
        <v>36.405162500000003</v>
      </c>
      <c r="P488" s="7"/>
      <c r="Q488" s="10"/>
      <c r="R488" s="11"/>
      <c r="S488" s="11"/>
      <c r="T488" s="26"/>
      <c r="U488" s="28">
        <f t="shared" si="13"/>
        <v>0.55472199054767868</v>
      </c>
    </row>
    <row r="489" spans="2:21" hidden="1" x14ac:dyDescent="0.25">
      <c r="B489" s="9"/>
      <c r="C489" s="17">
        <v>599.20000000000005</v>
      </c>
      <c r="D489" s="18">
        <v>31.638999999999999</v>
      </c>
      <c r="E489" s="18">
        <v>36.701000000000001</v>
      </c>
      <c r="F489" s="18">
        <v>35.020000000000003</v>
      </c>
      <c r="G489" s="18">
        <v>146.97999999999999</v>
      </c>
      <c r="H489" s="18">
        <f t="shared" si="14"/>
        <v>32.694375000000001</v>
      </c>
      <c r="I489" s="5"/>
      <c r="J489" s="17">
        <v>624.84389999999996</v>
      </c>
      <c r="K489" s="18">
        <v>32.783000000000001</v>
      </c>
      <c r="L489" s="18">
        <v>37.329000000000001</v>
      </c>
      <c r="M489" s="18">
        <v>35.825099999999999</v>
      </c>
      <c r="N489" s="18">
        <v>250.78129999999999</v>
      </c>
      <c r="O489" s="18">
        <f t="shared" si="15"/>
        <v>33.731512500000001</v>
      </c>
      <c r="P489" s="7"/>
      <c r="Q489" s="10"/>
      <c r="R489" s="11"/>
      <c r="S489" s="11"/>
      <c r="T489" s="26"/>
      <c r="U489" s="28">
        <f t="shared" si="13"/>
        <v>0.70622737787454082</v>
      </c>
    </row>
    <row r="490" spans="2:21" ht="16.5" hidden="1" thickBot="1" x14ac:dyDescent="0.3">
      <c r="B490" s="12"/>
      <c r="C490" s="19">
        <v>300.62</v>
      </c>
      <c r="D490" s="20">
        <v>28.515999999999998</v>
      </c>
      <c r="E490" s="20">
        <v>34.356999999999999</v>
      </c>
      <c r="F490" s="20">
        <v>32.731999999999999</v>
      </c>
      <c r="G490" s="20">
        <v>161.96</v>
      </c>
      <c r="H490" s="20">
        <f t="shared" si="14"/>
        <v>29.773125</v>
      </c>
      <c r="I490" s="5"/>
      <c r="J490" s="19">
        <v>313.1026</v>
      </c>
      <c r="K490" s="20">
        <v>29.38</v>
      </c>
      <c r="L490" s="20">
        <v>34.748100000000001</v>
      </c>
      <c r="M490" s="20">
        <v>33.379300000000001</v>
      </c>
      <c r="N490" s="20">
        <v>298.05009999999999</v>
      </c>
      <c r="O490" s="20">
        <f t="shared" si="15"/>
        <v>30.550924999999999</v>
      </c>
      <c r="P490" s="7"/>
      <c r="Q490" s="13"/>
      <c r="R490" s="14"/>
      <c r="S490" s="14"/>
      <c r="T490" s="27"/>
      <c r="U490" s="28">
        <f t="shared" si="13"/>
        <v>0.84026981970856984</v>
      </c>
    </row>
    <row r="491" spans="2:21" hidden="1" x14ac:dyDescent="0.25">
      <c r="B491" s="6" t="s">
        <v>87</v>
      </c>
      <c r="C491" s="15">
        <v>1515.61</v>
      </c>
      <c r="D491" s="16">
        <v>35.859000000000002</v>
      </c>
      <c r="E491" s="16">
        <v>40.966999999999999</v>
      </c>
      <c r="F491" s="16">
        <v>41.171999999999997</v>
      </c>
      <c r="G491" s="16">
        <v>126.53</v>
      </c>
      <c r="H491" s="16">
        <f t="shared" si="14"/>
        <v>37.161625000000001</v>
      </c>
      <c r="I491" s="5"/>
      <c r="J491" s="15">
        <v>1554.0064</v>
      </c>
      <c r="K491" s="16">
        <v>37.222999999999999</v>
      </c>
      <c r="L491" s="16">
        <v>42.994199999999999</v>
      </c>
      <c r="M491" s="16">
        <v>43.044199999999996</v>
      </c>
      <c r="N491" s="16">
        <v>181.3785</v>
      </c>
      <c r="O491" s="16">
        <f t="shared" si="15"/>
        <v>38.672049999999999</v>
      </c>
      <c r="P491" s="7"/>
      <c r="Q491" s="8">
        <f>bdrate(C491:C494,D491:D494,J491:J494,K491:K494)</f>
        <v>-0.36183195508136834</v>
      </c>
      <c r="R491" s="8">
        <f>bdrate(C491:C494,E491:E494,J491:J494,L491:L494)</f>
        <v>-0.52956656909048283</v>
      </c>
      <c r="S491" s="8">
        <f>bdrate(C491:C494,F491:F494,J491:J494,M491:M494)</f>
        <v>-0.52998814324793475</v>
      </c>
      <c r="T491" s="25">
        <f>bdrate(C491:C494,H491:H494,J491:J494,O491:O494)</f>
        <v>-0.40470852806226554</v>
      </c>
      <c r="U491" s="28">
        <f t="shared" ref="U491:U518" si="16">(N491-G491)/G491</f>
        <v>0.43348217813957163</v>
      </c>
    </row>
    <row r="492" spans="2:21" hidden="1" x14ac:dyDescent="0.25">
      <c r="B492" s="9"/>
      <c r="C492" s="17">
        <v>1007.38</v>
      </c>
      <c r="D492" s="18">
        <v>34.835000000000001</v>
      </c>
      <c r="E492" s="18">
        <v>40.052</v>
      </c>
      <c r="F492" s="18">
        <v>40.378</v>
      </c>
      <c r="G492" s="18">
        <v>139.41</v>
      </c>
      <c r="H492" s="18">
        <f t="shared" si="14"/>
        <v>36.18</v>
      </c>
      <c r="I492" s="5"/>
      <c r="J492" s="17">
        <v>1026.6600000000001</v>
      </c>
      <c r="K492" s="18">
        <v>36.104199999999999</v>
      </c>
      <c r="L492" s="18">
        <v>42.014899999999997</v>
      </c>
      <c r="M492" s="18">
        <v>42.137900000000002</v>
      </c>
      <c r="N492" s="18">
        <v>226.24430000000001</v>
      </c>
      <c r="O492" s="18">
        <f t="shared" si="15"/>
        <v>37.597250000000003</v>
      </c>
      <c r="P492" s="7"/>
      <c r="Q492" s="10"/>
      <c r="R492" s="11"/>
      <c r="S492" s="11"/>
      <c r="T492" s="26"/>
      <c r="U492" s="28">
        <f t="shared" si="16"/>
        <v>0.62286995194032002</v>
      </c>
    </row>
    <row r="493" spans="2:21" hidden="1" x14ac:dyDescent="0.25">
      <c r="B493" s="9"/>
      <c r="C493" s="17">
        <v>602.46</v>
      </c>
      <c r="D493" s="18">
        <v>33.566000000000003</v>
      </c>
      <c r="E493" s="18">
        <v>38.844000000000001</v>
      </c>
      <c r="F493" s="18">
        <v>39.323</v>
      </c>
      <c r="G493" s="18">
        <v>153.85</v>
      </c>
      <c r="H493" s="18">
        <f t="shared" si="14"/>
        <v>34.945374999999999</v>
      </c>
      <c r="I493" s="5"/>
      <c r="J493" s="17">
        <v>597.01599999999996</v>
      </c>
      <c r="K493" s="18">
        <v>34.686500000000002</v>
      </c>
      <c r="L493" s="18">
        <v>40.645200000000003</v>
      </c>
      <c r="M493" s="18">
        <v>40.893500000000003</v>
      </c>
      <c r="N493" s="18">
        <v>267.14159999999998</v>
      </c>
      <c r="O493" s="18">
        <f t="shared" si="15"/>
        <v>36.207212500000004</v>
      </c>
      <c r="P493" s="7"/>
      <c r="Q493" s="10"/>
      <c r="R493" s="11"/>
      <c r="S493" s="11"/>
      <c r="T493" s="26"/>
      <c r="U493" s="28">
        <f t="shared" si="16"/>
        <v>0.73637699057523553</v>
      </c>
    </row>
    <row r="494" spans="2:21" ht="16.5" hidden="1" thickBot="1" x14ac:dyDescent="0.3">
      <c r="B494" s="12"/>
      <c r="C494" s="19">
        <v>297.02999999999997</v>
      </c>
      <c r="D494" s="20">
        <v>31.681999999999999</v>
      </c>
      <c r="E494" s="20">
        <v>37.340000000000003</v>
      </c>
      <c r="F494" s="20">
        <v>37.936999999999998</v>
      </c>
      <c r="G494" s="20">
        <v>167.22</v>
      </c>
      <c r="H494" s="20">
        <f t="shared" si="14"/>
        <v>33.171124999999996</v>
      </c>
      <c r="I494" s="5"/>
      <c r="J494" s="19">
        <v>296.52319999999997</v>
      </c>
      <c r="K494" s="20">
        <v>32.793500000000002</v>
      </c>
      <c r="L494" s="20">
        <v>38.85</v>
      </c>
      <c r="M494" s="20">
        <v>39.3504</v>
      </c>
      <c r="N494" s="20">
        <v>309.91739999999999</v>
      </c>
      <c r="O494" s="20">
        <f t="shared" si="15"/>
        <v>34.370175000000003</v>
      </c>
      <c r="P494" s="7"/>
      <c r="Q494" s="13"/>
      <c r="R494" s="14"/>
      <c r="S494" s="14"/>
      <c r="T494" s="27"/>
      <c r="U494" s="28">
        <f t="shared" si="16"/>
        <v>0.85335127377108</v>
      </c>
    </row>
    <row r="495" spans="2:21" hidden="1" x14ac:dyDescent="0.25">
      <c r="B495" s="6" t="s">
        <v>88</v>
      </c>
      <c r="C495" s="15">
        <v>1566.89</v>
      </c>
      <c r="D495" s="16">
        <v>32.962000000000003</v>
      </c>
      <c r="E495" s="16">
        <v>37.814999999999998</v>
      </c>
      <c r="F495" s="16">
        <v>40.533000000000001</v>
      </c>
      <c r="G495" s="16">
        <v>133.54</v>
      </c>
      <c r="H495" s="16">
        <f t="shared" si="14"/>
        <v>34.515000000000001</v>
      </c>
      <c r="I495" s="5"/>
      <c r="J495" s="15">
        <v>1536.4032</v>
      </c>
      <c r="K495" s="16">
        <v>34.185699999999997</v>
      </c>
      <c r="L495" s="16">
        <v>39.543900000000001</v>
      </c>
      <c r="M495" s="16">
        <v>41.866599999999998</v>
      </c>
      <c r="N495" s="16">
        <v>178.89089999999999</v>
      </c>
      <c r="O495" s="16">
        <f t="shared" si="15"/>
        <v>35.815587499999999</v>
      </c>
      <c r="P495" s="7"/>
      <c r="Q495" s="8">
        <f>bdrate(C495:C498,D495:D498,J495:J498,K495:K498)</f>
        <v>-0.32497840820472845</v>
      </c>
      <c r="R495" s="8">
        <f>bdrate(C495:C498,E495:E498,J495:J498,L495:L498)</f>
        <v>-0.59653739953126839</v>
      </c>
      <c r="S495" s="8">
        <f>bdrate(C495:C498,F495:F498,J495:J498,M495:M498)</f>
        <v>-0.52287140015583455</v>
      </c>
      <c r="T495" s="25">
        <f>bdrate(C495:C498,H495:H498,J495:J498,O495:O498)</f>
        <v>-0.36380214385267384</v>
      </c>
      <c r="U495" s="28">
        <f t="shared" si="16"/>
        <v>0.33960536168938144</v>
      </c>
    </row>
    <row r="496" spans="2:21" hidden="1" x14ac:dyDescent="0.25">
      <c r="B496" s="9"/>
      <c r="C496" s="17">
        <v>1034.72</v>
      </c>
      <c r="D496" s="18">
        <v>31.815000000000001</v>
      </c>
      <c r="E496" s="18">
        <v>37.119999999999997</v>
      </c>
      <c r="F496" s="18">
        <v>39.89</v>
      </c>
      <c r="G496" s="18">
        <v>148.47999999999999</v>
      </c>
      <c r="H496" s="18">
        <f t="shared" si="14"/>
        <v>33.487500000000004</v>
      </c>
      <c r="I496" s="5"/>
      <c r="J496" s="17">
        <v>1006.8896</v>
      </c>
      <c r="K496" s="18">
        <v>33.014400000000002</v>
      </c>
      <c r="L496" s="18">
        <v>38.667999999999999</v>
      </c>
      <c r="M496" s="18">
        <v>41.139899999999997</v>
      </c>
      <c r="N496" s="18">
        <v>274.7253</v>
      </c>
      <c r="O496" s="18">
        <f t="shared" si="15"/>
        <v>34.736787500000005</v>
      </c>
      <c r="P496" s="7"/>
      <c r="Q496" s="10"/>
      <c r="R496" s="11"/>
      <c r="S496" s="11"/>
      <c r="T496" s="26"/>
      <c r="U496" s="28">
        <f t="shared" si="16"/>
        <v>0.85025121228448286</v>
      </c>
    </row>
    <row r="497" spans="2:21" hidden="1" x14ac:dyDescent="0.25">
      <c r="B497" s="9"/>
      <c r="C497" s="17">
        <v>616.58000000000004</v>
      </c>
      <c r="D497" s="18">
        <v>30.408000000000001</v>
      </c>
      <c r="E497" s="18">
        <v>36.511000000000003</v>
      </c>
      <c r="F497" s="18">
        <v>39.374000000000002</v>
      </c>
      <c r="G497" s="18">
        <v>160.26</v>
      </c>
      <c r="H497" s="18">
        <f t="shared" si="14"/>
        <v>32.291625000000003</v>
      </c>
      <c r="I497" s="5"/>
      <c r="J497" s="17">
        <v>596.86800000000005</v>
      </c>
      <c r="K497" s="18">
        <v>31.438300000000002</v>
      </c>
      <c r="L497" s="18">
        <v>37.759300000000003</v>
      </c>
      <c r="M497" s="18">
        <v>40.263100000000001</v>
      </c>
      <c r="N497" s="18">
        <v>312.6628</v>
      </c>
      <c r="O497" s="18">
        <f t="shared" si="15"/>
        <v>33.331524999999999</v>
      </c>
      <c r="P497" s="7"/>
      <c r="Q497" s="10"/>
      <c r="R497" s="11"/>
      <c r="S497" s="11"/>
      <c r="T497" s="26"/>
      <c r="U497" s="28">
        <f t="shared" si="16"/>
        <v>0.95097217022338709</v>
      </c>
    </row>
    <row r="498" spans="2:21" ht="16.5" hidden="1" thickBot="1" x14ac:dyDescent="0.3">
      <c r="B498" s="12"/>
      <c r="C498" s="19">
        <v>305.60000000000002</v>
      </c>
      <c r="D498" s="20">
        <v>28.385999999999999</v>
      </c>
      <c r="E498" s="20">
        <v>35.734000000000002</v>
      </c>
      <c r="F498" s="20">
        <v>38.512</v>
      </c>
      <c r="G498" s="20">
        <v>176.42</v>
      </c>
      <c r="H498" s="20">
        <f t="shared" si="14"/>
        <v>30.570250000000001</v>
      </c>
      <c r="I498" s="5"/>
      <c r="J498" s="19">
        <v>290.36160000000001</v>
      </c>
      <c r="K498" s="20">
        <v>29.168700000000001</v>
      </c>
      <c r="L498" s="20">
        <v>36.547800000000002</v>
      </c>
      <c r="M498" s="20">
        <v>39.178800000000003</v>
      </c>
      <c r="N498" s="20">
        <v>352.94119999999998</v>
      </c>
      <c r="O498" s="20">
        <f t="shared" si="15"/>
        <v>31.34235</v>
      </c>
      <c r="P498" s="7"/>
      <c r="Q498" s="13"/>
      <c r="R498" s="14"/>
      <c r="S498" s="14"/>
      <c r="T498" s="27"/>
      <c r="U498" s="28">
        <f t="shared" si="16"/>
        <v>1.0005736311075841</v>
      </c>
    </row>
    <row r="499" spans="2:21" hidden="1" x14ac:dyDescent="0.25">
      <c r="B499" s="6" t="s">
        <v>89</v>
      </c>
      <c r="C499" s="15">
        <v>1600.46</v>
      </c>
      <c r="D499" s="16">
        <v>35.790999999999997</v>
      </c>
      <c r="E499" s="16">
        <v>41.485999999999997</v>
      </c>
      <c r="F499" s="16">
        <v>41.039000000000001</v>
      </c>
      <c r="G499" s="16">
        <v>102.56</v>
      </c>
      <c r="H499" s="16">
        <f t="shared" ref="H499:H518" si="17">(6*D499+E499+F499)/8</f>
        <v>37.158874999999995</v>
      </c>
      <c r="I499" s="5"/>
      <c r="J499" s="15">
        <v>1530.5512000000001</v>
      </c>
      <c r="K499" s="16">
        <v>36.177999999999997</v>
      </c>
      <c r="L499" s="16">
        <v>41.843200000000003</v>
      </c>
      <c r="M499" s="16">
        <v>41.55</v>
      </c>
      <c r="N499" s="16">
        <v>194.23759999999999</v>
      </c>
      <c r="O499" s="16">
        <f t="shared" ref="O499:O518" si="18">(6*K499+L499+M499)/8</f>
        <v>37.557650000000002</v>
      </c>
      <c r="P499" s="7"/>
      <c r="Q499" s="8">
        <f>bdrate(C499:C502,D499:D502,J499:J502,K499:K502)</f>
        <v>-0.16335045153435879</v>
      </c>
      <c r="R499" s="8">
        <f>bdrate(C499:C502,E499:E502,J499:J502,L499:L502)</f>
        <v>-0.24442646589874151</v>
      </c>
      <c r="S499" s="8">
        <f>bdrate(C499:C502,F499:F502,J499:J502,M499:M502)</f>
        <v>-0.23071304761652911</v>
      </c>
      <c r="T499" s="25">
        <f>bdrate(C499:C502,H499:H502,J499:J502,O499:O502)</f>
        <v>-0.18096765408855053</v>
      </c>
      <c r="U499" s="28">
        <f t="shared" si="16"/>
        <v>0.89389235569422765</v>
      </c>
    </row>
    <row r="500" spans="2:21" hidden="1" x14ac:dyDescent="0.25">
      <c r="B500" s="9"/>
      <c r="C500" s="17">
        <v>1072.32</v>
      </c>
      <c r="D500" s="18">
        <v>34.554000000000002</v>
      </c>
      <c r="E500" s="18">
        <v>40.643000000000001</v>
      </c>
      <c r="F500" s="18">
        <v>39.860999999999997</v>
      </c>
      <c r="G500" s="18">
        <v>114.81</v>
      </c>
      <c r="H500" s="18">
        <f t="shared" si="17"/>
        <v>35.978500000000004</v>
      </c>
      <c r="I500" s="5"/>
      <c r="J500" s="17">
        <v>1015.3271999999999</v>
      </c>
      <c r="K500" s="18">
        <v>34.950600000000001</v>
      </c>
      <c r="L500" s="18">
        <v>41.085000000000001</v>
      </c>
      <c r="M500" s="18">
        <v>40.427</v>
      </c>
      <c r="N500" s="18">
        <v>248.13900000000001</v>
      </c>
      <c r="O500" s="18">
        <f t="shared" si="18"/>
        <v>36.401949999999999</v>
      </c>
      <c r="P500" s="7"/>
      <c r="Q500" s="10"/>
      <c r="R500" s="11"/>
      <c r="S500" s="11"/>
      <c r="T500" s="26"/>
      <c r="U500" s="28">
        <f t="shared" si="16"/>
        <v>1.1613012803762739</v>
      </c>
    </row>
    <row r="501" spans="2:21" hidden="1" x14ac:dyDescent="0.25">
      <c r="B501" s="9"/>
      <c r="C501" s="17">
        <v>646.16</v>
      </c>
      <c r="D501" s="18">
        <v>32.853999999999999</v>
      </c>
      <c r="E501" s="18">
        <v>39.344000000000001</v>
      </c>
      <c r="F501" s="18">
        <v>38.161999999999999</v>
      </c>
      <c r="G501" s="18">
        <v>129.93</v>
      </c>
      <c r="H501" s="18">
        <f t="shared" si="17"/>
        <v>34.328749999999999</v>
      </c>
      <c r="I501" s="5"/>
      <c r="J501" s="17">
        <v>605.26400000000001</v>
      </c>
      <c r="K501" s="18">
        <v>33.230699999999999</v>
      </c>
      <c r="L501" s="18">
        <v>39.915700000000001</v>
      </c>
      <c r="M501" s="18">
        <v>38.797699999999999</v>
      </c>
      <c r="N501" s="18">
        <v>284.90030000000002</v>
      </c>
      <c r="O501" s="18">
        <f t="shared" si="18"/>
        <v>34.7622</v>
      </c>
      <c r="P501" s="7"/>
      <c r="Q501" s="10"/>
      <c r="R501" s="11"/>
      <c r="S501" s="11"/>
      <c r="T501" s="26"/>
      <c r="U501" s="28">
        <f t="shared" si="16"/>
        <v>1.1927214654044485</v>
      </c>
    </row>
    <row r="502" spans="2:21" ht="16.5" hidden="1" thickBot="1" x14ac:dyDescent="0.3">
      <c r="B502" s="12"/>
      <c r="C502" s="19">
        <v>321.72000000000003</v>
      </c>
      <c r="D502" s="20">
        <v>30.411000000000001</v>
      </c>
      <c r="E502" s="20">
        <v>37.08</v>
      </c>
      <c r="F502" s="20">
        <v>35.305999999999997</v>
      </c>
      <c r="G502" s="20">
        <v>150.22999999999999</v>
      </c>
      <c r="H502" s="20">
        <f t="shared" si="17"/>
        <v>31.856499999999997</v>
      </c>
      <c r="I502" s="5"/>
      <c r="J502" s="19">
        <v>301.78399999999999</v>
      </c>
      <c r="K502" s="20">
        <v>30.838899999999999</v>
      </c>
      <c r="L502" s="20">
        <v>37.953400000000002</v>
      </c>
      <c r="M502" s="20">
        <v>36.4953</v>
      </c>
      <c r="N502" s="20">
        <v>343.44589999999999</v>
      </c>
      <c r="O502" s="20">
        <f t="shared" si="18"/>
        <v>32.4352625</v>
      </c>
      <c r="P502" s="7"/>
      <c r="Q502" s="13"/>
      <c r="R502" s="14"/>
      <c r="S502" s="14"/>
      <c r="T502" s="27"/>
      <c r="U502" s="28">
        <f t="shared" si="16"/>
        <v>1.2861339279771018</v>
      </c>
    </row>
    <row r="503" spans="2:21" hidden="1" x14ac:dyDescent="0.25">
      <c r="B503" s="6" t="s">
        <v>90</v>
      </c>
      <c r="C503" s="29">
        <v>1548.68</v>
      </c>
      <c r="D503" s="30">
        <v>45.646999999999998</v>
      </c>
      <c r="E503" s="30">
        <v>50.951000000000001</v>
      </c>
      <c r="F503" s="30">
        <v>51.087000000000003</v>
      </c>
      <c r="G503" s="16">
        <v>112.79</v>
      </c>
      <c r="H503" s="16">
        <f t="shared" si="17"/>
        <v>46.99</v>
      </c>
      <c r="I503" s="5"/>
      <c r="J503" s="29">
        <v>1503.7107000000001</v>
      </c>
      <c r="K503" s="30">
        <v>46.9193</v>
      </c>
      <c r="L503" s="30">
        <v>51.686</v>
      </c>
      <c r="M503" s="30">
        <v>51.856000000000002</v>
      </c>
      <c r="N503" s="16">
        <v>171.69069999999999</v>
      </c>
      <c r="O503" s="16">
        <f t="shared" si="18"/>
        <v>48.132224999999998</v>
      </c>
      <c r="P503" s="7"/>
      <c r="Q503" s="8">
        <f>bdrate(C503:C506,D503:D506,J503:J506,K503:K506)</f>
        <v>-0.39764144830132153</v>
      </c>
      <c r="R503" s="8">
        <f>bdrate(C503:C506,E503:E506,J503:J506,L503:L506)</f>
        <v>-0.37099605759933196</v>
      </c>
      <c r="S503" s="8">
        <f>bdrate(C503:C506,F503:F506,J503:J506,M503:M506)</f>
        <v>-0.37761079871225023</v>
      </c>
      <c r="T503" s="25">
        <f>bdrate(C503:C506,H503:H506,J503:J506,O503:O506)</f>
        <v>-0.39353734092906723</v>
      </c>
      <c r="U503" s="28">
        <f t="shared" si="16"/>
        <v>0.52221562195230053</v>
      </c>
    </row>
    <row r="504" spans="2:21" hidden="1" x14ac:dyDescent="0.25">
      <c r="B504" s="9"/>
      <c r="C504" s="31">
        <v>1024.03</v>
      </c>
      <c r="D504" s="32">
        <v>44.267000000000003</v>
      </c>
      <c r="E504" s="32">
        <v>50.116</v>
      </c>
      <c r="F504" s="32">
        <v>50.167000000000002</v>
      </c>
      <c r="G504" s="18">
        <v>127.06</v>
      </c>
      <c r="H504" s="18">
        <f t="shared" si="17"/>
        <v>45.735624999999999</v>
      </c>
      <c r="I504" s="5"/>
      <c r="J504" s="31">
        <v>1002.4079</v>
      </c>
      <c r="K504" s="32">
        <v>45.842100000000002</v>
      </c>
      <c r="L504" s="32">
        <v>50.990299999999998</v>
      </c>
      <c r="M504" s="32">
        <v>51.129199999999997</v>
      </c>
      <c r="N504" s="18">
        <v>208.47800000000001</v>
      </c>
      <c r="O504" s="18">
        <f t="shared" si="18"/>
        <v>47.1465125</v>
      </c>
      <c r="P504" s="7"/>
      <c r="Q504" s="10"/>
      <c r="R504" s="11"/>
      <c r="S504" s="11"/>
      <c r="T504" s="26"/>
      <c r="U504" s="28">
        <f t="shared" si="16"/>
        <v>0.64078388163072564</v>
      </c>
    </row>
    <row r="505" spans="2:21" hidden="1" x14ac:dyDescent="0.25">
      <c r="B505" s="9"/>
      <c r="C505" s="31">
        <v>608.08000000000004</v>
      </c>
      <c r="D505" s="32">
        <v>42.378</v>
      </c>
      <c r="E505" s="32">
        <v>48.895000000000003</v>
      </c>
      <c r="F505" s="32">
        <v>48.832000000000001</v>
      </c>
      <c r="G505" s="18">
        <v>139.96</v>
      </c>
      <c r="H505" s="18">
        <f t="shared" si="17"/>
        <v>43.999375000000001</v>
      </c>
      <c r="I505" s="5"/>
      <c r="J505" s="31">
        <v>598.60360000000003</v>
      </c>
      <c r="K505" s="32">
        <v>44.190600000000003</v>
      </c>
      <c r="L505" s="32">
        <v>49.941400000000002</v>
      </c>
      <c r="M505" s="32">
        <v>50.006300000000003</v>
      </c>
      <c r="N505" s="18">
        <v>245.0264</v>
      </c>
      <c r="O505" s="18">
        <f t="shared" si="18"/>
        <v>45.636412499999999</v>
      </c>
      <c r="P505" s="7"/>
      <c r="Q505" s="10"/>
      <c r="R505" s="11"/>
      <c r="S505" s="11"/>
      <c r="T505" s="26"/>
      <c r="U505" s="28">
        <f t="shared" si="16"/>
        <v>0.75068876821949115</v>
      </c>
    </row>
    <row r="506" spans="2:21" ht="16.5" hidden="1" thickBot="1" x14ac:dyDescent="0.3">
      <c r="B506" s="12"/>
      <c r="C506" s="33">
        <v>296.85000000000002</v>
      </c>
      <c r="D506" s="34">
        <v>39.512</v>
      </c>
      <c r="E506" s="34">
        <v>46.957000000000001</v>
      </c>
      <c r="F506" s="34">
        <v>46.76</v>
      </c>
      <c r="G506" s="20">
        <v>156.56</v>
      </c>
      <c r="H506" s="20">
        <f t="shared" si="17"/>
        <v>41.348624999999998</v>
      </c>
      <c r="I506" s="5"/>
      <c r="J506" s="33">
        <v>292.40410000000003</v>
      </c>
      <c r="K506" s="34">
        <v>41.409799999999997</v>
      </c>
      <c r="L506" s="34">
        <v>48.234200000000001</v>
      </c>
      <c r="M506" s="34">
        <v>48.132599999999996</v>
      </c>
      <c r="N506" s="20">
        <v>305.81490000000002</v>
      </c>
      <c r="O506" s="20">
        <f t="shared" si="18"/>
        <v>43.103200000000001</v>
      </c>
      <c r="P506" s="7"/>
      <c r="Q506" s="13"/>
      <c r="R506" s="14"/>
      <c r="S506" s="14"/>
      <c r="T506" s="27"/>
      <c r="U506" s="28">
        <f t="shared" si="16"/>
        <v>0.9533399335717937</v>
      </c>
    </row>
    <row r="507" spans="2:21" hidden="1" x14ac:dyDescent="0.25">
      <c r="B507" s="6" t="s">
        <v>91</v>
      </c>
      <c r="C507" s="15">
        <v>2339.15</v>
      </c>
      <c r="D507" s="16">
        <v>42.404000000000003</v>
      </c>
      <c r="E507" s="16">
        <v>46.61</v>
      </c>
      <c r="F507" s="16">
        <v>48.502000000000002</v>
      </c>
      <c r="G507" s="16">
        <v>40.020000000000003</v>
      </c>
      <c r="H507" s="16">
        <f t="shared" si="17"/>
        <v>43.692000000000007</v>
      </c>
      <c r="I507" s="5"/>
      <c r="J507" s="15">
        <v>2432.4096</v>
      </c>
      <c r="K507" s="16">
        <v>43.3917</v>
      </c>
      <c r="L507" s="16">
        <v>47.471499999999999</v>
      </c>
      <c r="M507" s="16">
        <v>49.4557</v>
      </c>
      <c r="N507" s="16">
        <v>72.836600000000004</v>
      </c>
      <c r="O507" s="16">
        <f t="shared" si="18"/>
        <v>44.659674999999993</v>
      </c>
      <c r="P507" s="7"/>
      <c r="Q507" s="8">
        <f>bdrate(C507:C510,D507:D510,J507:J510,K507:K510)</f>
        <v>-0.18159724079074369</v>
      </c>
      <c r="R507" s="8">
        <f>bdrate(C507:C510,E507:E510,J507:J510,L507:L510)</f>
        <v>-0.27995512820637092</v>
      </c>
      <c r="S507" s="8">
        <f>bdrate(C507:C510,F507:F510,J507:J510,M507:M510)</f>
        <v>-0.31886969689495959</v>
      </c>
      <c r="T507" s="25">
        <f>bdrate(C507:C510,H507:H510,J507:J510,O507:O510)</f>
        <v>-0.20550195136691662</v>
      </c>
      <c r="U507" s="28">
        <f t="shared" si="16"/>
        <v>0.82000499750124933</v>
      </c>
    </row>
    <row r="508" spans="2:21" hidden="1" x14ac:dyDescent="0.25">
      <c r="B508" s="9"/>
      <c r="C508" s="17">
        <v>1563.56</v>
      </c>
      <c r="D508" s="18">
        <v>40.896999999999998</v>
      </c>
      <c r="E508" s="18">
        <v>45.453000000000003</v>
      </c>
      <c r="F508" s="18">
        <v>47.183999999999997</v>
      </c>
      <c r="G508" s="18">
        <v>45.84</v>
      </c>
      <c r="H508" s="18">
        <f t="shared" si="17"/>
        <v>42.252375000000001</v>
      </c>
      <c r="I508" s="5"/>
      <c r="J508" s="17">
        <v>1608.259</v>
      </c>
      <c r="K508" s="18">
        <v>41.808300000000003</v>
      </c>
      <c r="L508" s="18">
        <v>46.381900000000002</v>
      </c>
      <c r="M508" s="18">
        <v>48.436799999999998</v>
      </c>
      <c r="N508" s="18">
        <v>94.343299999999999</v>
      </c>
      <c r="O508" s="18">
        <f t="shared" si="18"/>
        <v>43.208562500000006</v>
      </c>
      <c r="P508" s="7"/>
      <c r="Q508" s="10"/>
      <c r="R508" s="11"/>
      <c r="S508" s="11"/>
      <c r="T508" s="26"/>
      <c r="U508" s="28">
        <f t="shared" si="16"/>
        <v>1.0580999127399648</v>
      </c>
    </row>
    <row r="509" spans="2:21" hidden="1" x14ac:dyDescent="0.25">
      <c r="B509" s="9"/>
      <c r="C509" s="17">
        <v>981.77</v>
      </c>
      <c r="D509" s="18">
        <v>39.002000000000002</v>
      </c>
      <c r="E509" s="18">
        <v>43.865000000000002</v>
      </c>
      <c r="F509" s="18">
        <v>46.036000000000001</v>
      </c>
      <c r="G509" s="18">
        <v>50.92</v>
      </c>
      <c r="H509" s="18">
        <f t="shared" si="17"/>
        <v>40.489125000000001</v>
      </c>
      <c r="I509" s="5"/>
      <c r="J509" s="17">
        <v>998.29259999999999</v>
      </c>
      <c r="K509" s="18">
        <v>39.868099999999998</v>
      </c>
      <c r="L509" s="18">
        <v>45.005299999999998</v>
      </c>
      <c r="M509" s="18">
        <v>47.052500000000002</v>
      </c>
      <c r="N509" s="18">
        <v>108.8862</v>
      </c>
      <c r="O509" s="18">
        <f t="shared" si="18"/>
        <v>41.408299999999997</v>
      </c>
      <c r="P509" s="7"/>
      <c r="Q509" s="10"/>
      <c r="R509" s="11"/>
      <c r="S509" s="11"/>
      <c r="T509" s="26"/>
      <c r="U509" s="28">
        <f t="shared" si="16"/>
        <v>1.1383778476040849</v>
      </c>
    </row>
    <row r="510" spans="2:21" ht="16.5" hidden="1" thickBot="1" x14ac:dyDescent="0.3">
      <c r="B510" s="12"/>
      <c r="C510" s="19">
        <v>590.20000000000005</v>
      </c>
      <c r="D510" s="20">
        <v>36.805</v>
      </c>
      <c r="E510" s="20">
        <v>42.58</v>
      </c>
      <c r="F510" s="20">
        <v>44.433999999999997</v>
      </c>
      <c r="G510" s="20">
        <v>56.32</v>
      </c>
      <c r="H510" s="20">
        <f t="shared" si="17"/>
        <v>38.480499999999992</v>
      </c>
      <c r="I510" s="5"/>
      <c r="J510" s="19">
        <v>594.62710000000004</v>
      </c>
      <c r="K510" s="20">
        <v>37.744999999999997</v>
      </c>
      <c r="L510" s="20">
        <v>43.577399999999997</v>
      </c>
      <c r="M510" s="20">
        <v>45.6877</v>
      </c>
      <c r="N510" s="20">
        <v>123.10980000000001</v>
      </c>
      <c r="O510" s="20">
        <f t="shared" si="18"/>
        <v>39.466887499999999</v>
      </c>
      <c r="P510" s="7"/>
      <c r="Q510" s="13"/>
      <c r="R510" s="14"/>
      <c r="S510" s="14"/>
      <c r="T510" s="27"/>
      <c r="U510" s="28">
        <f t="shared" si="16"/>
        <v>1.1858984375000003</v>
      </c>
    </row>
    <row r="511" spans="2:21" hidden="1" x14ac:dyDescent="0.25">
      <c r="B511" s="6" t="s">
        <v>92</v>
      </c>
      <c r="C511" s="15">
        <v>2289.48</v>
      </c>
      <c r="D511" s="16">
        <v>39.012</v>
      </c>
      <c r="E511" s="16">
        <v>41.277999999999999</v>
      </c>
      <c r="F511" s="16">
        <v>42.896999999999998</v>
      </c>
      <c r="G511" s="16">
        <v>45.99</v>
      </c>
      <c r="H511" s="16">
        <f t="shared" si="17"/>
        <v>39.780875000000002</v>
      </c>
      <c r="I511" s="5"/>
      <c r="J511" s="15">
        <v>2381.5699</v>
      </c>
      <c r="K511" s="16">
        <v>39.777799999999999</v>
      </c>
      <c r="L511" s="16">
        <v>41.846800000000002</v>
      </c>
      <c r="M511" s="16">
        <v>43.439599999999999</v>
      </c>
      <c r="N511" s="16">
        <v>78.472899999999996</v>
      </c>
      <c r="O511" s="16">
        <f t="shared" si="18"/>
        <v>40.494149999999998</v>
      </c>
      <c r="P511" s="7"/>
      <c r="Q511" s="8">
        <f>bdrate(C511:C514,D511:D514,J511:J514,K511:K514)</f>
        <v>-0.4323701528604097</v>
      </c>
      <c r="R511" s="8">
        <f>bdrate(C511:C514,E511:E514,J511:J514,L511:L514)</f>
        <v>-0.52447209273371831</v>
      </c>
      <c r="S511" s="8">
        <f>bdrate(C511:C514,F511:F514,J511:J514,M511:M514)</f>
        <v>-0.51596990814025956</v>
      </c>
      <c r="T511" s="25">
        <f>bdrate(C511:C514,H511:H514,J511:J514,O511:O514)</f>
        <v>-0.44516309647830987</v>
      </c>
      <c r="U511" s="28">
        <f t="shared" si="16"/>
        <v>0.70630354424874953</v>
      </c>
    </row>
    <row r="512" spans="2:21" hidden="1" x14ac:dyDescent="0.25">
      <c r="B512" s="9"/>
      <c r="C512" s="17">
        <v>1526.05</v>
      </c>
      <c r="D512" s="18">
        <v>38.316000000000003</v>
      </c>
      <c r="E512" s="18">
        <v>40.957999999999998</v>
      </c>
      <c r="F512" s="18">
        <v>42.575000000000003</v>
      </c>
      <c r="G512" s="18">
        <v>52.33</v>
      </c>
      <c r="H512" s="18">
        <f t="shared" si="17"/>
        <v>39.178625000000004</v>
      </c>
      <c r="I512" s="5"/>
      <c r="J512" s="17">
        <v>1547.4409000000001</v>
      </c>
      <c r="K512" s="18">
        <v>39.221800000000002</v>
      </c>
      <c r="L512" s="18">
        <v>41.536099999999998</v>
      </c>
      <c r="M512" s="18">
        <v>43.160699999999999</v>
      </c>
      <c r="N512" s="18">
        <v>108.29649999999999</v>
      </c>
      <c r="O512" s="18">
        <f t="shared" si="18"/>
        <v>40.003450000000001</v>
      </c>
      <c r="P512" s="7"/>
      <c r="Q512" s="10"/>
      <c r="R512" s="11"/>
      <c r="S512" s="11"/>
      <c r="T512" s="26"/>
      <c r="U512" s="28">
        <f t="shared" si="16"/>
        <v>1.0694916873686222</v>
      </c>
    </row>
    <row r="513" spans="2:21" hidden="1" x14ac:dyDescent="0.25">
      <c r="B513" s="9"/>
      <c r="C513" s="17">
        <v>955.54</v>
      </c>
      <c r="D513" s="18">
        <v>37.460999999999999</v>
      </c>
      <c r="E513" s="18">
        <v>40.582000000000001</v>
      </c>
      <c r="F513" s="18">
        <v>42.16</v>
      </c>
      <c r="G513" s="18">
        <v>58.07</v>
      </c>
      <c r="H513" s="18">
        <f t="shared" si="17"/>
        <v>38.438500000000005</v>
      </c>
      <c r="I513" s="5"/>
      <c r="J513" s="17">
        <v>941.32219999999995</v>
      </c>
      <c r="K513" s="18">
        <v>38.459299999999999</v>
      </c>
      <c r="L513" s="18">
        <v>41.162199999999999</v>
      </c>
      <c r="M513" s="18">
        <v>42.770899999999997</v>
      </c>
      <c r="N513" s="18">
        <v>123.5993</v>
      </c>
      <c r="O513" s="18">
        <f t="shared" si="18"/>
        <v>39.336112499999999</v>
      </c>
      <c r="P513" s="7"/>
      <c r="Q513" s="10"/>
      <c r="R513" s="11"/>
      <c r="S513" s="11"/>
      <c r="T513" s="26"/>
      <c r="U513" s="28">
        <f t="shared" si="16"/>
        <v>1.1284535904942312</v>
      </c>
    </row>
    <row r="514" spans="2:21" ht="16.5" hidden="1" thickBot="1" x14ac:dyDescent="0.3">
      <c r="B514" s="12"/>
      <c r="C514" s="19">
        <v>579.99</v>
      </c>
      <c r="D514" s="20">
        <v>36.408000000000001</v>
      </c>
      <c r="E514" s="20">
        <v>40.101999999999997</v>
      </c>
      <c r="F514" s="20">
        <v>41.63</v>
      </c>
      <c r="G514" s="20">
        <v>62.88</v>
      </c>
      <c r="H514" s="20">
        <f t="shared" si="17"/>
        <v>37.522500000000001</v>
      </c>
      <c r="I514" s="5"/>
      <c r="J514" s="19">
        <v>542.00869999999998</v>
      </c>
      <c r="K514" s="20">
        <v>37.480600000000003</v>
      </c>
      <c r="L514" s="20">
        <v>40.728099999999998</v>
      </c>
      <c r="M514" s="20">
        <v>42.311900000000001</v>
      </c>
      <c r="N514" s="20">
        <v>138.87549999999999</v>
      </c>
      <c r="O514" s="20">
        <f t="shared" si="18"/>
        <v>38.490449999999996</v>
      </c>
      <c r="P514" s="7"/>
      <c r="Q514" s="13"/>
      <c r="R514" s="14"/>
      <c r="S514" s="14"/>
      <c r="T514" s="27"/>
      <c r="U514" s="28">
        <f t="shared" si="16"/>
        <v>1.2085798346055978</v>
      </c>
    </row>
    <row r="515" spans="2:21" hidden="1" x14ac:dyDescent="0.25">
      <c r="B515" s="6" t="s">
        <v>93</v>
      </c>
      <c r="C515" s="15">
        <v>2321.7199999999998</v>
      </c>
      <c r="D515" s="16">
        <v>33.694000000000003</v>
      </c>
      <c r="E515" s="16">
        <v>38.381</v>
      </c>
      <c r="F515" s="16">
        <v>39.823999999999998</v>
      </c>
      <c r="G515" s="16">
        <v>55.08</v>
      </c>
      <c r="H515" s="16">
        <f t="shared" si="17"/>
        <v>35.046125000000004</v>
      </c>
      <c r="I515" s="5"/>
      <c r="J515" s="15">
        <v>2404.7278999999999</v>
      </c>
      <c r="K515" s="16">
        <v>35.818100000000001</v>
      </c>
      <c r="L515" s="16">
        <v>40.466999999999999</v>
      </c>
      <c r="M515" s="16">
        <v>41.533999999999999</v>
      </c>
      <c r="N515" s="16">
        <v>85.034800000000004</v>
      </c>
      <c r="O515" s="16">
        <f t="shared" si="18"/>
        <v>37.113700000000001</v>
      </c>
      <c r="P515" s="7"/>
      <c r="Q515" s="8">
        <f>bdrate(C515:C518,D515:D518,J515:J518,K515:K518)</f>
        <v>-0.44071863699561908</v>
      </c>
      <c r="R515" s="8">
        <f>bdrate(C515:C518,E515:E518,J515:J518,L515:L518)</f>
        <v>-0.55273927283237279</v>
      </c>
      <c r="S515" s="8">
        <f>bdrate(C515:C518,F515:F518,J515:J518,M515:M518)</f>
        <v>-0.4793296033477713</v>
      </c>
      <c r="T515" s="25">
        <f>bdrate(C515:C518,H515:H518,J515:J518,O515:O518)</f>
        <v>-0.45667827529584404</v>
      </c>
      <c r="U515" s="28">
        <f t="shared" si="16"/>
        <v>0.54384168482207706</v>
      </c>
    </row>
    <row r="516" spans="2:21" hidden="1" x14ac:dyDescent="0.25">
      <c r="B516" s="9"/>
      <c r="C516" s="17">
        <v>1552.75</v>
      </c>
      <c r="D516" s="18">
        <v>32.234999999999999</v>
      </c>
      <c r="E516" s="18">
        <v>37.277000000000001</v>
      </c>
      <c r="F516" s="18">
        <v>38.780999999999999</v>
      </c>
      <c r="G516" s="18">
        <v>61.21</v>
      </c>
      <c r="H516" s="18">
        <f t="shared" si="17"/>
        <v>33.683500000000002</v>
      </c>
      <c r="I516" s="5"/>
      <c r="J516" s="17">
        <v>1602.8681999999999</v>
      </c>
      <c r="K516" s="18">
        <v>34.360399999999998</v>
      </c>
      <c r="L516" s="18">
        <v>39.377099999999999</v>
      </c>
      <c r="M516" s="18">
        <v>40.470799999999997</v>
      </c>
      <c r="N516" s="18">
        <v>112.7102</v>
      </c>
      <c r="O516" s="18">
        <f t="shared" si="18"/>
        <v>35.751287499999997</v>
      </c>
      <c r="P516" s="7"/>
      <c r="Q516" s="10"/>
      <c r="R516" s="11"/>
      <c r="S516" s="11"/>
      <c r="T516" s="26"/>
      <c r="U516" s="28">
        <f t="shared" si="16"/>
        <v>0.84136905734357126</v>
      </c>
    </row>
    <row r="517" spans="2:21" hidden="1" x14ac:dyDescent="0.25">
      <c r="B517" s="9"/>
      <c r="C517" s="17">
        <v>974.09</v>
      </c>
      <c r="D517" s="18">
        <v>30.667999999999999</v>
      </c>
      <c r="E517" s="18">
        <v>36.122</v>
      </c>
      <c r="F517" s="18">
        <v>37.64</v>
      </c>
      <c r="G517" s="18">
        <v>66.03</v>
      </c>
      <c r="H517" s="18">
        <f t="shared" si="17"/>
        <v>32.221249999999998</v>
      </c>
      <c r="I517" s="5"/>
      <c r="J517" s="17">
        <v>999.19029999999998</v>
      </c>
      <c r="K517" s="18">
        <v>32.713700000000003</v>
      </c>
      <c r="L517" s="18">
        <v>38.193399999999997</v>
      </c>
      <c r="M517" s="18">
        <v>39.3108</v>
      </c>
      <c r="N517" s="18">
        <v>129.69130000000001</v>
      </c>
      <c r="O517" s="18">
        <f t="shared" si="18"/>
        <v>34.223300000000002</v>
      </c>
      <c r="P517" s="7"/>
      <c r="Q517" s="10"/>
      <c r="R517" s="11"/>
      <c r="S517" s="11"/>
      <c r="T517" s="26"/>
      <c r="U517" s="28">
        <f t="shared" si="16"/>
        <v>0.96412691200969269</v>
      </c>
    </row>
    <row r="518" spans="2:21" ht="16.5" hidden="1" thickBot="1" x14ac:dyDescent="0.3">
      <c r="B518" s="12"/>
      <c r="C518" s="19">
        <v>585.07000000000005</v>
      </c>
      <c r="D518" s="20">
        <v>29.137</v>
      </c>
      <c r="E518" s="20">
        <v>34.978000000000002</v>
      </c>
      <c r="F518" s="20">
        <v>36.514000000000003</v>
      </c>
      <c r="G518" s="20">
        <v>71</v>
      </c>
      <c r="H518" s="20">
        <f t="shared" si="17"/>
        <v>30.789250000000003</v>
      </c>
      <c r="I518" s="5"/>
      <c r="J518" s="19">
        <v>592.91719999999998</v>
      </c>
      <c r="K518" s="20">
        <v>30.998799999999999</v>
      </c>
      <c r="L518" s="20">
        <v>36.954300000000003</v>
      </c>
      <c r="M518" s="20">
        <v>38.033900000000003</v>
      </c>
      <c r="N518" s="20">
        <v>144.98439999999999</v>
      </c>
      <c r="O518" s="20">
        <f t="shared" si="18"/>
        <v>32.622624999999999</v>
      </c>
      <c r="P518" s="7"/>
      <c r="Q518" s="13"/>
      <c r="R518" s="14"/>
      <c r="S518" s="14"/>
      <c r="T518" s="27"/>
      <c r="U518" s="28">
        <f t="shared" si="16"/>
        <v>1.0420338028169014</v>
      </c>
    </row>
    <row r="519" spans="2:21" ht="16.5" thickBot="1" x14ac:dyDescent="0.3">
      <c r="B519" s="22" t="s">
        <v>22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1">
        <f>AVERAGE(Q267:Q338)</f>
        <v>-0.33531402450574987</v>
      </c>
      <c r="R519" s="21">
        <f t="shared" ref="R519:T519" si="19">AVERAGE(R267:R338)</f>
        <v>-0.4666028090584054</v>
      </c>
      <c r="S519" s="21">
        <f t="shared" si="19"/>
        <v>-0.44692020574316754</v>
      </c>
      <c r="T519" s="21">
        <f t="shared" si="19"/>
        <v>-0.35738687996304652</v>
      </c>
      <c r="U519" s="21">
        <f>AVERAGE(U267:U338)</f>
        <v>0.53565069120233566</v>
      </c>
    </row>
  </sheetData>
  <mergeCells count="12">
    <mergeCell ref="B5:B6"/>
    <mergeCell ref="C5:U6"/>
    <mergeCell ref="C7:H7"/>
    <mergeCell ref="J7:O7"/>
    <mergeCell ref="Q7:S7"/>
    <mergeCell ref="U7:U8"/>
    <mergeCell ref="B263:B264"/>
    <mergeCell ref="C263:U264"/>
    <mergeCell ref="C265:H265"/>
    <mergeCell ref="J265:O265"/>
    <mergeCell ref="Q265:S265"/>
    <mergeCell ref="U265:U266"/>
  </mergeCells>
  <phoneticPr fontId="5" type="noConversion"/>
  <conditionalFormatting sqref="Q29:T32 Q37:T44 Q9:T20">
    <cfRule type="cellIs" dxfId="485" priority="289" operator="greaterThan">
      <formula>0.03</formula>
    </cfRule>
    <cfRule type="cellIs" dxfId="484" priority="290" stopIfTrue="1" operator="lessThan">
      <formula>-0.03</formula>
    </cfRule>
  </conditionalFormatting>
  <conditionalFormatting sqref="Q33:T36">
    <cfRule type="cellIs" dxfId="483" priority="287" operator="greaterThan">
      <formula>0.03</formula>
    </cfRule>
    <cfRule type="cellIs" dxfId="482" priority="288" stopIfTrue="1" operator="lessThan">
      <formula>-0.03</formula>
    </cfRule>
  </conditionalFormatting>
  <conditionalFormatting sqref="Q46:T48 Q62:T64">
    <cfRule type="cellIs" dxfId="481" priority="285" operator="greaterThan">
      <formula>0.03</formula>
    </cfRule>
    <cfRule type="cellIs" dxfId="480" priority="286" stopIfTrue="1" operator="lessThan">
      <formula>-0.03</formula>
    </cfRule>
  </conditionalFormatting>
  <conditionalFormatting sqref="Q50:T52 Q54:T56 Q58:T60">
    <cfRule type="cellIs" dxfId="479" priority="283" operator="greaterThan">
      <formula>0.03</formula>
    </cfRule>
    <cfRule type="cellIs" dxfId="478" priority="284" stopIfTrue="1" operator="lessThan">
      <formula>-0.03</formula>
    </cfRule>
  </conditionalFormatting>
  <conditionalFormatting sqref="Q70:T72 Q74:T76">
    <cfRule type="cellIs" dxfId="477" priority="281" operator="greaterThan">
      <formula>0.03</formula>
    </cfRule>
    <cfRule type="cellIs" dxfId="476" priority="282" stopIfTrue="1" operator="lessThan">
      <formula>-0.03</formula>
    </cfRule>
  </conditionalFormatting>
  <conditionalFormatting sqref="Q66:T68">
    <cfRule type="cellIs" dxfId="475" priority="279" operator="greaterThan">
      <formula>0.03</formula>
    </cfRule>
    <cfRule type="cellIs" dxfId="474" priority="280" stopIfTrue="1" operator="lessThan">
      <formula>-0.03</formula>
    </cfRule>
  </conditionalFormatting>
  <conditionalFormatting sqref="Q78:T80">
    <cfRule type="cellIs" dxfId="473" priority="277" operator="greaterThan">
      <formula>0.03</formula>
    </cfRule>
    <cfRule type="cellIs" dxfId="472" priority="278" stopIfTrue="1" operator="lessThan">
      <formula>-0.03</formula>
    </cfRule>
  </conditionalFormatting>
  <conditionalFormatting sqref="Q21:T28">
    <cfRule type="cellIs" dxfId="471" priority="259" operator="greaterThan">
      <formula>0.03</formula>
    </cfRule>
    <cfRule type="cellIs" dxfId="470" priority="260" stopIfTrue="1" operator="lessThan">
      <formula>-0.03</formula>
    </cfRule>
  </conditionalFormatting>
  <conditionalFormatting sqref="Q287:T290 Q295:T302 Q267:T278">
    <cfRule type="cellIs" dxfId="469" priority="255" operator="greaterThan">
      <formula>0.03</formula>
    </cfRule>
    <cfRule type="cellIs" dxfId="468" priority="256" stopIfTrue="1" operator="lessThan">
      <formula>-0.03</formula>
    </cfRule>
  </conditionalFormatting>
  <conditionalFormatting sqref="Q291:T294">
    <cfRule type="cellIs" dxfId="467" priority="253" operator="greaterThan">
      <formula>0.03</formula>
    </cfRule>
    <cfRule type="cellIs" dxfId="466" priority="254" stopIfTrue="1" operator="lessThan">
      <formula>-0.03</formula>
    </cfRule>
  </conditionalFormatting>
  <conditionalFormatting sqref="Q303:T306 Q319:T322">
    <cfRule type="cellIs" dxfId="465" priority="251" operator="greaterThan">
      <formula>0.03</formula>
    </cfRule>
    <cfRule type="cellIs" dxfId="464" priority="252" stopIfTrue="1" operator="lessThan">
      <formula>-0.03</formula>
    </cfRule>
  </conditionalFormatting>
  <conditionalFormatting sqref="Q307:T318">
    <cfRule type="cellIs" dxfId="463" priority="249" operator="greaterThan">
      <formula>0.03</formula>
    </cfRule>
    <cfRule type="cellIs" dxfId="462" priority="250" stopIfTrue="1" operator="lessThan">
      <formula>-0.03</formula>
    </cfRule>
  </conditionalFormatting>
  <conditionalFormatting sqref="Q327:T334">
    <cfRule type="cellIs" dxfId="461" priority="247" operator="greaterThan">
      <formula>0.03</formula>
    </cfRule>
    <cfRule type="cellIs" dxfId="460" priority="248" stopIfTrue="1" operator="lessThan">
      <formula>-0.03</formula>
    </cfRule>
  </conditionalFormatting>
  <conditionalFormatting sqref="Q323:T326">
    <cfRule type="cellIs" dxfId="459" priority="245" operator="greaterThan">
      <formula>0.03</formula>
    </cfRule>
    <cfRule type="cellIs" dxfId="458" priority="246" stopIfTrue="1" operator="lessThan">
      <formula>-0.03</formula>
    </cfRule>
  </conditionalFormatting>
  <conditionalFormatting sqref="Q335:T338">
    <cfRule type="cellIs" dxfId="457" priority="243" operator="greaterThan">
      <formula>0.03</formula>
    </cfRule>
    <cfRule type="cellIs" dxfId="456" priority="244" stopIfTrue="1" operator="lessThan">
      <formula>-0.03</formula>
    </cfRule>
  </conditionalFormatting>
  <conditionalFormatting sqref="Q279:T286">
    <cfRule type="cellIs" dxfId="455" priority="241" operator="greaterThan">
      <formula>0.03</formula>
    </cfRule>
    <cfRule type="cellIs" dxfId="454" priority="242" stopIfTrue="1" operator="lessThan">
      <formula>-0.03</formula>
    </cfRule>
  </conditionalFormatting>
  <conditionalFormatting sqref="Q45:T45">
    <cfRule type="cellIs" dxfId="453" priority="239" operator="greaterThan">
      <formula>0.03</formula>
    </cfRule>
    <cfRule type="cellIs" dxfId="452" priority="240" stopIfTrue="1" operator="lessThan">
      <formula>-0.03</formula>
    </cfRule>
  </conditionalFormatting>
  <conditionalFormatting sqref="Q49:T49">
    <cfRule type="cellIs" dxfId="451" priority="237" operator="greaterThan">
      <formula>0.03</formula>
    </cfRule>
    <cfRule type="cellIs" dxfId="450" priority="238" stopIfTrue="1" operator="lessThan">
      <formula>-0.03</formula>
    </cfRule>
  </conditionalFormatting>
  <conditionalFormatting sqref="Q53:T53">
    <cfRule type="cellIs" dxfId="449" priority="235" operator="greaterThan">
      <formula>0.03</formula>
    </cfRule>
    <cfRule type="cellIs" dxfId="448" priority="236" stopIfTrue="1" operator="lessThan">
      <formula>-0.03</formula>
    </cfRule>
  </conditionalFormatting>
  <conditionalFormatting sqref="Q57:T57">
    <cfRule type="cellIs" dxfId="447" priority="233" operator="greaterThan">
      <formula>0.03</formula>
    </cfRule>
    <cfRule type="cellIs" dxfId="446" priority="234" stopIfTrue="1" operator="lessThan">
      <formula>-0.03</formula>
    </cfRule>
  </conditionalFormatting>
  <conditionalFormatting sqref="Q61:T61">
    <cfRule type="cellIs" dxfId="445" priority="231" operator="greaterThan">
      <formula>0.03</formula>
    </cfRule>
    <cfRule type="cellIs" dxfId="444" priority="232" stopIfTrue="1" operator="lessThan">
      <formula>-0.03</formula>
    </cfRule>
  </conditionalFormatting>
  <conditionalFormatting sqref="Q65:T65">
    <cfRule type="cellIs" dxfId="443" priority="229" operator="greaterThan">
      <formula>0.03</formula>
    </cfRule>
    <cfRule type="cellIs" dxfId="442" priority="230" stopIfTrue="1" operator="lessThan">
      <formula>-0.03</formula>
    </cfRule>
  </conditionalFormatting>
  <conditionalFormatting sqref="Q69:T69">
    <cfRule type="cellIs" dxfId="441" priority="227" operator="greaterThan">
      <formula>0.03</formula>
    </cfRule>
    <cfRule type="cellIs" dxfId="440" priority="228" stopIfTrue="1" operator="lessThan">
      <formula>-0.03</formula>
    </cfRule>
  </conditionalFormatting>
  <conditionalFormatting sqref="Q73:T73">
    <cfRule type="cellIs" dxfId="439" priority="225" operator="greaterThan">
      <formula>0.03</formula>
    </cfRule>
    <cfRule type="cellIs" dxfId="438" priority="226" stopIfTrue="1" operator="lessThan">
      <formula>-0.03</formula>
    </cfRule>
  </conditionalFormatting>
  <conditionalFormatting sqref="Q77:T77">
    <cfRule type="cellIs" dxfId="437" priority="223" operator="greaterThan">
      <formula>0.03</formula>
    </cfRule>
    <cfRule type="cellIs" dxfId="436" priority="224" stopIfTrue="1" operator="lessThan">
      <formula>-0.03</formula>
    </cfRule>
  </conditionalFormatting>
  <conditionalFormatting sqref="Q93:T96">
    <cfRule type="cellIs" dxfId="435" priority="221" operator="greaterThan">
      <formula>0.03</formula>
    </cfRule>
    <cfRule type="cellIs" dxfId="434" priority="222" stopIfTrue="1" operator="lessThan">
      <formula>-0.03</formula>
    </cfRule>
  </conditionalFormatting>
  <conditionalFormatting sqref="Q81:T92">
    <cfRule type="cellIs" dxfId="433" priority="219" operator="greaterThan">
      <formula>0.03</formula>
    </cfRule>
    <cfRule type="cellIs" dxfId="432" priority="220" stopIfTrue="1" operator="lessThan">
      <formula>-0.03</formula>
    </cfRule>
  </conditionalFormatting>
  <conditionalFormatting sqref="Q351:T354">
    <cfRule type="cellIs" dxfId="431" priority="213" operator="greaterThan">
      <formula>0.03</formula>
    </cfRule>
    <cfRule type="cellIs" dxfId="430" priority="214" stopIfTrue="1" operator="lessThan">
      <formula>-0.03</formula>
    </cfRule>
  </conditionalFormatting>
  <conditionalFormatting sqref="Q339:T350">
    <cfRule type="cellIs" dxfId="429" priority="211" operator="greaterThan">
      <formula>0.03</formula>
    </cfRule>
    <cfRule type="cellIs" dxfId="428" priority="212" stopIfTrue="1" operator="lessThan">
      <formula>-0.03</formula>
    </cfRule>
  </conditionalFormatting>
  <conditionalFormatting sqref="Q213:T216 Q221:T228 Q193:T204">
    <cfRule type="cellIs" dxfId="427" priority="209" operator="greaterThan">
      <formula>0.03</formula>
    </cfRule>
    <cfRule type="cellIs" dxfId="426" priority="210" stopIfTrue="1" operator="lessThan">
      <formula>-0.03</formula>
    </cfRule>
  </conditionalFormatting>
  <conditionalFormatting sqref="Q217:T220">
    <cfRule type="cellIs" dxfId="425" priority="207" operator="greaterThan">
      <formula>0.03</formula>
    </cfRule>
    <cfRule type="cellIs" dxfId="424" priority="208" stopIfTrue="1" operator="lessThan">
      <formula>-0.03</formula>
    </cfRule>
  </conditionalFormatting>
  <conditionalFormatting sqref="Q230:T232 Q246:T248">
    <cfRule type="cellIs" dxfId="423" priority="205" operator="greaterThan">
      <formula>0.03</formula>
    </cfRule>
    <cfRule type="cellIs" dxfId="422" priority="206" stopIfTrue="1" operator="lessThan">
      <formula>-0.03</formula>
    </cfRule>
  </conditionalFormatting>
  <conditionalFormatting sqref="Q234:T236 Q238:T240 Q242:T244">
    <cfRule type="cellIs" dxfId="421" priority="203" operator="greaterThan">
      <formula>0.03</formula>
    </cfRule>
    <cfRule type="cellIs" dxfId="420" priority="204" stopIfTrue="1" operator="lessThan">
      <formula>-0.03</formula>
    </cfRule>
  </conditionalFormatting>
  <conditionalFormatting sqref="Q254:T256 Q258:T260">
    <cfRule type="cellIs" dxfId="419" priority="201" operator="greaterThan">
      <formula>0.03</formula>
    </cfRule>
    <cfRule type="cellIs" dxfId="418" priority="202" stopIfTrue="1" operator="lessThan">
      <formula>-0.03</formula>
    </cfRule>
  </conditionalFormatting>
  <conditionalFormatting sqref="Q250:T252">
    <cfRule type="cellIs" dxfId="417" priority="199" operator="greaterThan">
      <formula>0.03</formula>
    </cfRule>
    <cfRule type="cellIs" dxfId="416" priority="200" stopIfTrue="1" operator="lessThan">
      <formula>-0.03</formula>
    </cfRule>
  </conditionalFormatting>
  <conditionalFormatting sqref="Q205:T212">
    <cfRule type="cellIs" dxfId="415" priority="197" operator="greaterThan">
      <formula>0.03</formula>
    </cfRule>
    <cfRule type="cellIs" dxfId="414" priority="198" stopIfTrue="1" operator="lessThan">
      <formula>-0.03</formula>
    </cfRule>
  </conditionalFormatting>
  <conditionalFormatting sqref="Q229:T229">
    <cfRule type="cellIs" dxfId="413" priority="195" operator="greaterThan">
      <formula>0.03</formula>
    </cfRule>
    <cfRule type="cellIs" dxfId="412" priority="196" stopIfTrue="1" operator="lessThan">
      <formula>-0.03</formula>
    </cfRule>
  </conditionalFormatting>
  <conditionalFormatting sqref="Q233:T233">
    <cfRule type="cellIs" dxfId="411" priority="193" operator="greaterThan">
      <formula>0.03</formula>
    </cfRule>
    <cfRule type="cellIs" dxfId="410" priority="194" stopIfTrue="1" operator="lessThan">
      <formula>-0.03</formula>
    </cfRule>
  </conditionalFormatting>
  <conditionalFormatting sqref="Q237:T237">
    <cfRule type="cellIs" dxfId="409" priority="191" operator="greaterThan">
      <formula>0.03</formula>
    </cfRule>
    <cfRule type="cellIs" dxfId="408" priority="192" stopIfTrue="1" operator="lessThan">
      <formula>-0.03</formula>
    </cfRule>
  </conditionalFormatting>
  <conditionalFormatting sqref="Q241:T241">
    <cfRule type="cellIs" dxfId="407" priority="189" operator="greaterThan">
      <formula>0.03</formula>
    </cfRule>
    <cfRule type="cellIs" dxfId="406" priority="190" stopIfTrue="1" operator="lessThan">
      <formula>-0.03</formula>
    </cfRule>
  </conditionalFormatting>
  <conditionalFormatting sqref="Q245:T245">
    <cfRule type="cellIs" dxfId="405" priority="187" operator="greaterThan">
      <formula>0.03</formula>
    </cfRule>
    <cfRule type="cellIs" dxfId="404" priority="188" stopIfTrue="1" operator="lessThan">
      <formula>-0.03</formula>
    </cfRule>
  </conditionalFormatting>
  <conditionalFormatting sqref="Q249:T249">
    <cfRule type="cellIs" dxfId="403" priority="185" operator="greaterThan">
      <formula>0.03</formula>
    </cfRule>
    <cfRule type="cellIs" dxfId="402" priority="186" stopIfTrue="1" operator="lessThan">
      <formula>-0.03</formula>
    </cfRule>
  </conditionalFormatting>
  <conditionalFormatting sqref="Q253:T253">
    <cfRule type="cellIs" dxfId="401" priority="183" operator="greaterThan">
      <formula>0.03</formula>
    </cfRule>
    <cfRule type="cellIs" dxfId="400" priority="184" stopIfTrue="1" operator="lessThan">
      <formula>-0.03</formula>
    </cfRule>
  </conditionalFormatting>
  <conditionalFormatting sqref="Q257:T257">
    <cfRule type="cellIs" dxfId="399" priority="181" operator="greaterThan">
      <formula>0.03</formula>
    </cfRule>
    <cfRule type="cellIs" dxfId="398" priority="182" stopIfTrue="1" operator="lessThan">
      <formula>-0.03</formula>
    </cfRule>
  </conditionalFormatting>
  <conditionalFormatting sqref="Q471:T474 Q479:T486 Q451:T462">
    <cfRule type="cellIs" dxfId="397" priority="149" operator="greaterThan">
      <formula>0.03</formula>
    </cfRule>
    <cfRule type="cellIs" dxfId="396" priority="150" stopIfTrue="1" operator="lessThan">
      <formula>-0.03</formula>
    </cfRule>
  </conditionalFormatting>
  <conditionalFormatting sqref="Q475:T478">
    <cfRule type="cellIs" dxfId="395" priority="147" operator="greaterThan">
      <formula>0.03</formula>
    </cfRule>
    <cfRule type="cellIs" dxfId="394" priority="148" stopIfTrue="1" operator="lessThan">
      <formula>-0.03</formula>
    </cfRule>
  </conditionalFormatting>
  <conditionalFormatting sqref="Q488:T490 Q504:T506">
    <cfRule type="cellIs" dxfId="393" priority="145" operator="greaterThan">
      <formula>0.03</formula>
    </cfRule>
    <cfRule type="cellIs" dxfId="392" priority="146" stopIfTrue="1" operator="lessThan">
      <formula>-0.03</formula>
    </cfRule>
  </conditionalFormatting>
  <conditionalFormatting sqref="Q492:T494 Q496:T498 Q500:T502">
    <cfRule type="cellIs" dxfId="391" priority="143" operator="greaterThan">
      <formula>0.03</formula>
    </cfRule>
    <cfRule type="cellIs" dxfId="390" priority="144" stopIfTrue="1" operator="lessThan">
      <formula>-0.03</formula>
    </cfRule>
  </conditionalFormatting>
  <conditionalFormatting sqref="Q512:T514 Q516:T518">
    <cfRule type="cellIs" dxfId="389" priority="141" operator="greaterThan">
      <formula>0.03</formula>
    </cfRule>
    <cfRule type="cellIs" dxfId="388" priority="142" stopIfTrue="1" operator="lessThan">
      <formula>-0.03</formula>
    </cfRule>
  </conditionalFormatting>
  <conditionalFormatting sqref="Q508:T510">
    <cfRule type="cellIs" dxfId="387" priority="139" operator="greaterThan">
      <formula>0.03</formula>
    </cfRule>
    <cfRule type="cellIs" dxfId="386" priority="140" stopIfTrue="1" operator="lessThan">
      <formula>-0.03</formula>
    </cfRule>
  </conditionalFormatting>
  <conditionalFormatting sqref="Q463:T470">
    <cfRule type="cellIs" dxfId="385" priority="137" operator="greaterThan">
      <formula>0.03</formula>
    </cfRule>
    <cfRule type="cellIs" dxfId="384" priority="138" stopIfTrue="1" operator="lessThan">
      <formula>-0.03</formula>
    </cfRule>
  </conditionalFormatting>
  <conditionalFormatting sqref="Q487:T487">
    <cfRule type="cellIs" dxfId="383" priority="135" operator="greaterThan">
      <formula>0.03</formula>
    </cfRule>
    <cfRule type="cellIs" dxfId="382" priority="136" stopIfTrue="1" operator="lessThan">
      <formula>-0.03</formula>
    </cfRule>
  </conditionalFormatting>
  <conditionalFormatting sqref="Q491:T491">
    <cfRule type="cellIs" dxfId="381" priority="133" operator="greaterThan">
      <formula>0.03</formula>
    </cfRule>
    <cfRule type="cellIs" dxfId="380" priority="134" stopIfTrue="1" operator="lessThan">
      <formula>-0.03</formula>
    </cfRule>
  </conditionalFormatting>
  <conditionalFormatting sqref="Q495:T495">
    <cfRule type="cellIs" dxfId="379" priority="131" operator="greaterThan">
      <formula>0.03</formula>
    </cfRule>
    <cfRule type="cellIs" dxfId="378" priority="132" stopIfTrue="1" operator="lessThan">
      <formula>-0.03</formula>
    </cfRule>
  </conditionalFormatting>
  <conditionalFormatting sqref="Q499:T499">
    <cfRule type="cellIs" dxfId="377" priority="129" operator="greaterThan">
      <formula>0.03</formula>
    </cfRule>
    <cfRule type="cellIs" dxfId="376" priority="130" stopIfTrue="1" operator="lessThan">
      <formula>-0.03</formula>
    </cfRule>
  </conditionalFormatting>
  <conditionalFormatting sqref="Q503:T503">
    <cfRule type="cellIs" dxfId="375" priority="127" operator="greaterThan">
      <formula>0.03</formula>
    </cfRule>
    <cfRule type="cellIs" dxfId="374" priority="128" stopIfTrue="1" operator="lessThan">
      <formula>-0.03</formula>
    </cfRule>
  </conditionalFormatting>
  <conditionalFormatting sqref="Q507:T507">
    <cfRule type="cellIs" dxfId="373" priority="125" operator="greaterThan">
      <formula>0.03</formula>
    </cfRule>
    <cfRule type="cellIs" dxfId="372" priority="126" stopIfTrue="1" operator="lessThan">
      <formula>-0.03</formula>
    </cfRule>
  </conditionalFormatting>
  <conditionalFormatting sqref="Q511:T511">
    <cfRule type="cellIs" dxfId="371" priority="123" operator="greaterThan">
      <formula>0.03</formula>
    </cfRule>
    <cfRule type="cellIs" dxfId="370" priority="124" stopIfTrue="1" operator="lessThan">
      <formula>-0.03</formula>
    </cfRule>
  </conditionalFormatting>
  <conditionalFormatting sqref="Q515:T515">
    <cfRule type="cellIs" dxfId="369" priority="121" operator="greaterThan">
      <formula>0.03</formula>
    </cfRule>
    <cfRule type="cellIs" dxfId="368" priority="122" stopIfTrue="1" operator="lessThan">
      <formula>-0.03</formula>
    </cfRule>
  </conditionalFormatting>
  <conditionalFormatting sqref="Q109:T112 Q117:T124 Q97:T100">
    <cfRule type="cellIs" dxfId="367" priority="119" operator="greaterThan">
      <formula>0.03</formula>
    </cfRule>
    <cfRule type="cellIs" dxfId="366" priority="120" stopIfTrue="1" operator="lessThan">
      <formula>-0.03</formula>
    </cfRule>
  </conditionalFormatting>
  <conditionalFormatting sqref="Q113:T116">
    <cfRule type="cellIs" dxfId="365" priority="117" operator="greaterThan">
      <formula>0.03</formula>
    </cfRule>
    <cfRule type="cellIs" dxfId="364" priority="118" stopIfTrue="1" operator="lessThan">
      <formula>-0.03</formula>
    </cfRule>
  </conditionalFormatting>
  <conditionalFormatting sqref="Q126:T128 Q142:T144">
    <cfRule type="cellIs" dxfId="363" priority="115" operator="greaterThan">
      <formula>0.03</formula>
    </cfRule>
    <cfRule type="cellIs" dxfId="362" priority="116" stopIfTrue="1" operator="lessThan">
      <formula>-0.03</formula>
    </cfRule>
  </conditionalFormatting>
  <conditionalFormatting sqref="Q130:T132 Q134:T136 Q138:T140">
    <cfRule type="cellIs" dxfId="361" priority="113" operator="greaterThan">
      <formula>0.03</formula>
    </cfRule>
    <cfRule type="cellIs" dxfId="360" priority="114" stopIfTrue="1" operator="lessThan">
      <formula>-0.03</formula>
    </cfRule>
  </conditionalFormatting>
  <conditionalFormatting sqref="Q101:T108">
    <cfRule type="cellIs" dxfId="359" priority="111" operator="greaterThan">
      <formula>0.03</formula>
    </cfRule>
    <cfRule type="cellIs" dxfId="358" priority="112" stopIfTrue="1" operator="lessThan">
      <formula>-0.03</formula>
    </cfRule>
  </conditionalFormatting>
  <conditionalFormatting sqref="Q125:T125">
    <cfRule type="cellIs" dxfId="357" priority="109" operator="greaterThan">
      <formula>0.03</formula>
    </cfRule>
    <cfRule type="cellIs" dxfId="356" priority="110" stopIfTrue="1" operator="lessThan">
      <formula>-0.03</formula>
    </cfRule>
  </conditionalFormatting>
  <conditionalFormatting sqref="Q129:T129">
    <cfRule type="cellIs" dxfId="355" priority="107" operator="greaterThan">
      <formula>0.03</formula>
    </cfRule>
    <cfRule type="cellIs" dxfId="354" priority="108" stopIfTrue="1" operator="lessThan">
      <formula>-0.03</formula>
    </cfRule>
  </conditionalFormatting>
  <conditionalFormatting sqref="Q133:T133">
    <cfRule type="cellIs" dxfId="353" priority="105" operator="greaterThan">
      <formula>0.03</formula>
    </cfRule>
    <cfRule type="cellIs" dxfId="352" priority="106" stopIfTrue="1" operator="lessThan">
      <formula>-0.03</formula>
    </cfRule>
  </conditionalFormatting>
  <conditionalFormatting sqref="Q137:T137">
    <cfRule type="cellIs" dxfId="351" priority="103" operator="greaterThan">
      <formula>0.03</formula>
    </cfRule>
    <cfRule type="cellIs" dxfId="350" priority="104" stopIfTrue="1" operator="lessThan">
      <formula>-0.03</formula>
    </cfRule>
  </conditionalFormatting>
  <conditionalFormatting sqref="Q141:T141">
    <cfRule type="cellIs" dxfId="349" priority="101" operator="greaterThan">
      <formula>0.03</formula>
    </cfRule>
    <cfRule type="cellIs" dxfId="348" priority="102" stopIfTrue="1" operator="lessThan">
      <formula>-0.03</formula>
    </cfRule>
  </conditionalFormatting>
  <conditionalFormatting sqref="Q157:T160 Q165:T172 Q145:T148">
    <cfRule type="cellIs" dxfId="347" priority="99" operator="greaterThan">
      <formula>0.03</formula>
    </cfRule>
    <cfRule type="cellIs" dxfId="346" priority="100" stopIfTrue="1" operator="lessThan">
      <formula>-0.03</formula>
    </cfRule>
  </conditionalFormatting>
  <conditionalFormatting sqref="Q161:T164">
    <cfRule type="cellIs" dxfId="345" priority="97" operator="greaterThan">
      <formula>0.03</formula>
    </cfRule>
    <cfRule type="cellIs" dxfId="344" priority="98" stopIfTrue="1" operator="lessThan">
      <formula>-0.03</formula>
    </cfRule>
  </conditionalFormatting>
  <conditionalFormatting sqref="Q174:T176 Q190:T192">
    <cfRule type="cellIs" dxfId="343" priority="95" operator="greaterThan">
      <formula>0.03</formula>
    </cfRule>
    <cfRule type="cellIs" dxfId="342" priority="96" stopIfTrue="1" operator="lessThan">
      <formula>-0.03</formula>
    </cfRule>
  </conditionalFormatting>
  <conditionalFormatting sqref="Q178:T180 Q182:T184 Q186:T188">
    <cfRule type="cellIs" dxfId="341" priority="93" operator="greaterThan">
      <formula>0.03</formula>
    </cfRule>
    <cfRule type="cellIs" dxfId="340" priority="94" stopIfTrue="1" operator="lessThan">
      <formula>-0.03</formula>
    </cfRule>
  </conditionalFormatting>
  <conditionalFormatting sqref="Q149:T156">
    <cfRule type="cellIs" dxfId="339" priority="91" operator="greaterThan">
      <formula>0.03</formula>
    </cfRule>
    <cfRule type="cellIs" dxfId="338" priority="92" stopIfTrue="1" operator="lessThan">
      <formula>-0.03</formula>
    </cfRule>
  </conditionalFormatting>
  <conditionalFormatting sqref="Q173:T173">
    <cfRule type="cellIs" dxfId="337" priority="89" operator="greaterThan">
      <formula>0.03</formula>
    </cfRule>
    <cfRule type="cellIs" dxfId="336" priority="90" stopIfTrue="1" operator="lessThan">
      <formula>-0.03</formula>
    </cfRule>
  </conditionalFormatting>
  <conditionalFormatting sqref="Q177:T177">
    <cfRule type="cellIs" dxfId="335" priority="87" operator="greaterThan">
      <formula>0.03</formula>
    </cfRule>
    <cfRule type="cellIs" dxfId="334" priority="88" stopIfTrue="1" operator="lessThan">
      <formula>-0.03</formula>
    </cfRule>
  </conditionalFormatting>
  <conditionalFormatting sqref="Q181:T181">
    <cfRule type="cellIs" dxfId="333" priority="85" operator="greaterThan">
      <formula>0.03</formula>
    </cfRule>
    <cfRule type="cellIs" dxfId="332" priority="86" stopIfTrue="1" operator="lessThan">
      <formula>-0.03</formula>
    </cfRule>
  </conditionalFormatting>
  <conditionalFormatting sqref="Q185:T185">
    <cfRule type="cellIs" dxfId="331" priority="83" operator="greaterThan">
      <formula>0.03</formula>
    </cfRule>
    <cfRule type="cellIs" dxfId="330" priority="84" stopIfTrue="1" operator="lessThan">
      <formula>-0.03</formula>
    </cfRule>
  </conditionalFormatting>
  <conditionalFormatting sqref="Q189:T189">
    <cfRule type="cellIs" dxfId="329" priority="81" operator="greaterThan">
      <formula>0.03</formula>
    </cfRule>
    <cfRule type="cellIs" dxfId="328" priority="82" stopIfTrue="1" operator="lessThan">
      <formula>-0.03</formula>
    </cfRule>
  </conditionalFormatting>
  <conditionalFormatting sqref="Q367:T370 Q375:T382 Q355:T358">
    <cfRule type="cellIs" dxfId="327" priority="39" operator="greaterThan">
      <formula>0.03</formula>
    </cfRule>
    <cfRule type="cellIs" dxfId="326" priority="40" stopIfTrue="1" operator="lessThan">
      <formula>-0.03</formula>
    </cfRule>
  </conditionalFormatting>
  <conditionalFormatting sqref="Q371:T374">
    <cfRule type="cellIs" dxfId="325" priority="37" operator="greaterThan">
      <formula>0.03</formula>
    </cfRule>
    <cfRule type="cellIs" dxfId="324" priority="38" stopIfTrue="1" operator="lessThan">
      <formula>-0.03</formula>
    </cfRule>
  </conditionalFormatting>
  <conditionalFormatting sqref="Q384:T386 Q400:T402">
    <cfRule type="cellIs" dxfId="323" priority="35" operator="greaterThan">
      <formula>0.03</formula>
    </cfRule>
    <cfRule type="cellIs" dxfId="322" priority="36" stopIfTrue="1" operator="lessThan">
      <formula>-0.03</formula>
    </cfRule>
  </conditionalFormatting>
  <conditionalFormatting sqref="Q388:T390 Q392:T394 Q396:T398">
    <cfRule type="cellIs" dxfId="321" priority="33" operator="greaterThan">
      <formula>0.03</formula>
    </cfRule>
    <cfRule type="cellIs" dxfId="320" priority="34" stopIfTrue="1" operator="lessThan">
      <formula>-0.03</formula>
    </cfRule>
  </conditionalFormatting>
  <conditionalFormatting sqref="Q359:T366">
    <cfRule type="cellIs" dxfId="319" priority="31" operator="greaterThan">
      <formula>0.03</formula>
    </cfRule>
    <cfRule type="cellIs" dxfId="318" priority="32" stopIfTrue="1" operator="lessThan">
      <formula>-0.03</formula>
    </cfRule>
  </conditionalFormatting>
  <conditionalFormatting sqref="Q383:T383">
    <cfRule type="cellIs" dxfId="317" priority="29" operator="greaterThan">
      <formula>0.03</formula>
    </cfRule>
    <cfRule type="cellIs" dxfId="316" priority="30" stopIfTrue="1" operator="lessThan">
      <formula>-0.03</formula>
    </cfRule>
  </conditionalFormatting>
  <conditionalFormatting sqref="Q387:T387">
    <cfRule type="cellIs" dxfId="315" priority="27" operator="greaterThan">
      <formula>0.03</formula>
    </cfRule>
    <cfRule type="cellIs" dxfId="314" priority="28" stopIfTrue="1" operator="lessThan">
      <formula>-0.03</formula>
    </cfRule>
  </conditionalFormatting>
  <conditionalFormatting sqref="Q391:T391">
    <cfRule type="cellIs" dxfId="313" priority="25" operator="greaterThan">
      <formula>0.03</formula>
    </cfRule>
    <cfRule type="cellIs" dxfId="312" priority="26" stopIfTrue="1" operator="lessThan">
      <formula>-0.03</formula>
    </cfRule>
  </conditionalFormatting>
  <conditionalFormatting sqref="Q395:T395">
    <cfRule type="cellIs" dxfId="311" priority="23" operator="greaterThan">
      <formula>0.03</formula>
    </cfRule>
    <cfRule type="cellIs" dxfId="310" priority="24" stopIfTrue="1" operator="lessThan">
      <formula>-0.03</formula>
    </cfRule>
  </conditionalFormatting>
  <conditionalFormatting sqref="Q399:T399">
    <cfRule type="cellIs" dxfId="309" priority="21" operator="greaterThan">
      <formula>0.03</formula>
    </cfRule>
    <cfRule type="cellIs" dxfId="308" priority="22" stopIfTrue="1" operator="lessThan">
      <formula>-0.03</formula>
    </cfRule>
  </conditionalFormatting>
  <conditionalFormatting sqref="Q415:T418 Q423:T430 Q403:T406">
    <cfRule type="cellIs" dxfId="307" priority="19" operator="greaterThan">
      <formula>0.03</formula>
    </cfRule>
    <cfRule type="cellIs" dxfId="306" priority="20" stopIfTrue="1" operator="lessThan">
      <formula>-0.03</formula>
    </cfRule>
  </conditionalFormatting>
  <conditionalFormatting sqref="Q419:T422">
    <cfRule type="cellIs" dxfId="305" priority="17" operator="greaterThan">
      <formula>0.03</formula>
    </cfRule>
    <cfRule type="cellIs" dxfId="304" priority="18" stopIfTrue="1" operator="lessThan">
      <formula>-0.03</formula>
    </cfRule>
  </conditionalFormatting>
  <conditionalFormatting sqref="Q432:T434 Q448:T450">
    <cfRule type="cellIs" dxfId="303" priority="15" operator="greaterThan">
      <formula>0.03</formula>
    </cfRule>
    <cfRule type="cellIs" dxfId="302" priority="16" stopIfTrue="1" operator="lessThan">
      <formula>-0.03</formula>
    </cfRule>
  </conditionalFormatting>
  <conditionalFormatting sqref="Q436:T438 Q440:T442 Q444:T446">
    <cfRule type="cellIs" dxfId="301" priority="13" operator="greaterThan">
      <formula>0.03</formula>
    </cfRule>
    <cfRule type="cellIs" dxfId="300" priority="14" stopIfTrue="1" operator="lessThan">
      <formula>-0.03</formula>
    </cfRule>
  </conditionalFormatting>
  <conditionalFormatting sqref="Q407:T414">
    <cfRule type="cellIs" dxfId="299" priority="11" operator="greaterThan">
      <formula>0.03</formula>
    </cfRule>
    <cfRule type="cellIs" dxfId="298" priority="12" stopIfTrue="1" operator="lessThan">
      <formula>-0.03</formula>
    </cfRule>
  </conditionalFormatting>
  <conditionalFormatting sqref="Q431:T431">
    <cfRule type="cellIs" dxfId="297" priority="9" operator="greaterThan">
      <formula>0.03</formula>
    </cfRule>
    <cfRule type="cellIs" dxfId="296" priority="10" stopIfTrue="1" operator="lessThan">
      <formula>-0.03</formula>
    </cfRule>
  </conditionalFormatting>
  <conditionalFormatting sqref="Q435:T435">
    <cfRule type="cellIs" dxfId="295" priority="7" operator="greaterThan">
      <formula>0.03</formula>
    </cfRule>
    <cfRule type="cellIs" dxfId="294" priority="8" stopIfTrue="1" operator="lessThan">
      <formula>-0.03</formula>
    </cfRule>
  </conditionalFormatting>
  <conditionalFormatting sqref="Q439:T439">
    <cfRule type="cellIs" dxfId="293" priority="5" operator="greaterThan">
      <formula>0.03</formula>
    </cfRule>
    <cfRule type="cellIs" dxfId="292" priority="6" stopIfTrue="1" operator="lessThan">
      <formula>-0.03</formula>
    </cfRule>
  </conditionalFormatting>
  <conditionalFormatting sqref="Q443:T443">
    <cfRule type="cellIs" dxfId="291" priority="3" operator="greaterThan">
      <formula>0.03</formula>
    </cfRule>
    <cfRule type="cellIs" dxfId="290" priority="4" stopIfTrue="1" operator="lessThan">
      <formula>-0.03</formula>
    </cfRule>
  </conditionalFormatting>
  <conditionalFormatting sqref="Q447:T447">
    <cfRule type="cellIs" dxfId="289" priority="1" operator="greaterThan">
      <formula>0.03</formula>
    </cfRule>
    <cfRule type="cellIs" dxfId="288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19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176</v>
      </c>
    </row>
    <row r="2" spans="1:21" x14ac:dyDescent="0.25">
      <c r="A2" t="s">
        <v>159</v>
      </c>
    </row>
    <row r="3" spans="1:21" x14ac:dyDescent="0.25">
      <c r="A3" t="s">
        <v>174</v>
      </c>
    </row>
    <row r="4" spans="1:21" x14ac:dyDescent="0.25">
      <c r="A4" t="s">
        <v>103</v>
      </c>
    </row>
    <row r="5" spans="1:21" s="35" customFormat="1" ht="15.75" customHeight="1" x14ac:dyDescent="0.25">
      <c r="B5" s="68" t="s">
        <v>29</v>
      </c>
      <c r="C5" s="73" t="s">
        <v>163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5"/>
    </row>
    <row r="6" spans="1:21" s="35" customFormat="1" x14ac:dyDescent="0.25">
      <c r="B6" s="69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8"/>
    </row>
    <row r="7" spans="1:21" ht="16.5" customHeight="1" thickBot="1" x14ac:dyDescent="0.3">
      <c r="C7" s="70" t="s">
        <v>95</v>
      </c>
      <c r="D7" s="71"/>
      <c r="E7" s="71"/>
      <c r="F7" s="71"/>
      <c r="G7" s="71"/>
      <c r="H7" s="71"/>
      <c r="I7" s="5"/>
      <c r="J7" s="70" t="s">
        <v>138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</row>
    <row r="9" spans="1:21" x14ac:dyDescent="0.25">
      <c r="A9" s="6" t="s">
        <v>35</v>
      </c>
      <c r="B9" s="6" t="s">
        <v>46</v>
      </c>
      <c r="C9" s="15">
        <v>3660.42</v>
      </c>
      <c r="D9" s="16">
        <v>37.607999999999997</v>
      </c>
      <c r="E9" s="16">
        <v>38.905000000000001</v>
      </c>
      <c r="F9" s="16">
        <v>41.252000000000002</v>
      </c>
      <c r="G9" s="16">
        <v>1.54</v>
      </c>
      <c r="H9" s="16">
        <f t="shared" ref="H9:H80" si="0">(6*D9+E9+F9)/8</f>
        <v>38.225625000000001</v>
      </c>
      <c r="I9" s="5"/>
      <c r="J9" s="15">
        <v>4086.1327999999999</v>
      </c>
      <c r="K9" s="16">
        <v>38.647599999999997</v>
      </c>
      <c r="L9" s="16">
        <v>39.969700000000003</v>
      </c>
      <c r="M9" s="16">
        <v>42.600999999999999</v>
      </c>
      <c r="N9" s="16">
        <v>3.4352999999999998</v>
      </c>
      <c r="O9" s="16">
        <f t="shared" ref="O9:O80" si="1">(6*K9+L9+M9)/8</f>
        <v>39.3070375</v>
      </c>
      <c r="P9" s="7"/>
      <c r="Q9" s="8">
        <f>bdrate(C9:C12,D9:D12,J9:J12,K9:K12)</f>
        <v>-0.21205324404334813</v>
      </c>
      <c r="R9" s="8">
        <f>bdrate(C9:C12,E9:E12,J9:J12,L9:L12)</f>
        <v>-0.44699957016399727</v>
      </c>
      <c r="S9" s="8">
        <f>bdrate(C9:C12,F9:F12,J9:J12,M9:M12)</f>
        <v>-0.42425863625986004</v>
      </c>
      <c r="T9" s="25">
        <f>bdrate(C9:C12,H9:H12,J9:J12,O9:O12)</f>
        <v>-0.25452045240203325</v>
      </c>
      <c r="U9" s="28">
        <f t="shared" ref="U9:U72" si="2">(N9-G9)/G9</f>
        <v>1.2307142857142854</v>
      </c>
    </row>
    <row r="10" spans="1:21" x14ac:dyDescent="0.25">
      <c r="A10" s="9" t="s">
        <v>36</v>
      </c>
      <c r="B10" s="9"/>
      <c r="C10" s="17">
        <v>2708.09</v>
      </c>
      <c r="D10" s="18">
        <v>36.601999999999997</v>
      </c>
      <c r="E10" s="18">
        <v>38.222000000000001</v>
      </c>
      <c r="F10" s="18">
        <v>40.558</v>
      </c>
      <c r="G10" s="18">
        <v>1.67</v>
      </c>
      <c r="H10" s="18">
        <f t="shared" si="0"/>
        <v>37.298999999999992</v>
      </c>
      <c r="I10" s="5"/>
      <c r="J10" s="17">
        <v>2964.2944000000002</v>
      </c>
      <c r="K10" s="18">
        <v>37.649099999999997</v>
      </c>
      <c r="L10" s="18">
        <v>39.4255</v>
      </c>
      <c r="M10" s="18">
        <v>41.885899999999999</v>
      </c>
      <c r="N10" s="18">
        <v>4.1090999999999998</v>
      </c>
      <c r="O10" s="18">
        <f t="shared" si="1"/>
        <v>38.400749999999995</v>
      </c>
      <c r="P10" s="7"/>
      <c r="Q10" s="10"/>
      <c r="R10" s="11"/>
      <c r="S10" s="11"/>
      <c r="T10" s="26"/>
      <c r="U10" s="28">
        <f t="shared" si="2"/>
        <v>1.4605389221556886</v>
      </c>
    </row>
    <row r="11" spans="1:21" x14ac:dyDescent="0.25">
      <c r="B11" s="9"/>
      <c r="C11" s="17">
        <v>1781.76</v>
      </c>
      <c r="D11" s="18">
        <v>35.107999999999997</v>
      </c>
      <c r="E11" s="18">
        <v>37.277000000000001</v>
      </c>
      <c r="F11" s="18">
        <v>39.640999999999998</v>
      </c>
      <c r="G11" s="18">
        <v>1.83</v>
      </c>
      <c r="H11" s="18">
        <f t="shared" si="0"/>
        <v>35.945749999999997</v>
      </c>
      <c r="I11" s="5"/>
      <c r="J11" s="17">
        <v>1928.1296</v>
      </c>
      <c r="K11" s="18">
        <v>36.256799999999998</v>
      </c>
      <c r="L11" s="18">
        <v>38.698</v>
      </c>
      <c r="M11" s="18">
        <v>41.022100000000002</v>
      </c>
      <c r="N11" s="18">
        <v>5.0183999999999997</v>
      </c>
      <c r="O11" s="18">
        <f t="shared" si="1"/>
        <v>37.157612499999999</v>
      </c>
      <c r="P11" s="7"/>
      <c r="Q11" s="10"/>
      <c r="R11" s="11"/>
      <c r="S11" s="11"/>
      <c r="T11" s="26"/>
      <c r="U11" s="28">
        <f t="shared" si="2"/>
        <v>1.7422950819672129</v>
      </c>
    </row>
    <row r="12" spans="1:21" ht="16.5" thickBot="1" x14ac:dyDescent="0.3">
      <c r="B12" s="12"/>
      <c r="C12" s="19">
        <v>879.92</v>
      </c>
      <c r="D12" s="20">
        <v>32.707000000000001</v>
      </c>
      <c r="E12" s="20">
        <v>36.03</v>
      </c>
      <c r="F12" s="20">
        <v>38.387</v>
      </c>
      <c r="G12" s="20">
        <v>2.15</v>
      </c>
      <c r="H12" s="20">
        <f t="shared" si="0"/>
        <v>33.832374999999999</v>
      </c>
      <c r="I12" s="5"/>
      <c r="J12" s="19">
        <v>920.91359999999997</v>
      </c>
      <c r="K12" s="20">
        <v>33.575499999999998</v>
      </c>
      <c r="L12" s="20">
        <v>37.168300000000002</v>
      </c>
      <c r="M12" s="20">
        <v>39.380899999999997</v>
      </c>
      <c r="N12" s="20">
        <v>6.9930000000000003</v>
      </c>
      <c r="O12" s="20">
        <f t="shared" si="1"/>
        <v>34.750274999999995</v>
      </c>
      <c r="P12" s="7"/>
      <c r="Q12" s="13"/>
      <c r="R12" s="14"/>
      <c r="S12" s="14"/>
      <c r="T12" s="27"/>
      <c r="U12" s="28">
        <f t="shared" si="2"/>
        <v>2.2525581395348837</v>
      </c>
    </row>
    <row r="13" spans="1:21" x14ac:dyDescent="0.25">
      <c r="B13" s="6" t="s">
        <v>47</v>
      </c>
      <c r="C13" s="15">
        <v>4128.1400000000003</v>
      </c>
      <c r="D13" s="16">
        <v>30.364000000000001</v>
      </c>
      <c r="E13" s="16">
        <v>38.268000000000001</v>
      </c>
      <c r="F13" s="16">
        <v>39.478000000000002</v>
      </c>
      <c r="G13" s="16">
        <v>0.97</v>
      </c>
      <c r="H13" s="16">
        <f t="shared" si="0"/>
        <v>32.491250000000001</v>
      </c>
      <c r="I13" s="5"/>
      <c r="J13" s="15">
        <v>4166.4960000000001</v>
      </c>
      <c r="K13" s="16">
        <v>30.0869</v>
      </c>
      <c r="L13" s="16">
        <v>40.119900000000001</v>
      </c>
      <c r="M13" s="16">
        <v>41.019599999999997</v>
      </c>
      <c r="N13" s="16">
        <v>2.2791000000000001</v>
      </c>
      <c r="O13" s="16">
        <f t="shared" si="1"/>
        <v>32.707612499999996</v>
      </c>
      <c r="P13" s="7"/>
      <c r="Q13" s="8">
        <f>bdrate(C13:C16,D13:D16,J13:J16,K13:K16)</f>
        <v>3.872157467155346E-2</v>
      </c>
      <c r="R13" s="8">
        <f>bdrate(C13:C16,E13:E16,J13:J16,L13:L16)</f>
        <v>-0.54577709332068403</v>
      </c>
      <c r="S13" s="8">
        <f>bdrate(C13:C16,F13:F16,J13:J16,M13:M16)</f>
        <v>-0.51815349802426258</v>
      </c>
      <c r="T13" s="25">
        <f>bdrate(C13:C16,H13:H16,J13:J16,O13:O16)</f>
        <v>-8.1190740437796949E-2</v>
      </c>
      <c r="U13" s="28">
        <f t="shared" si="2"/>
        <v>1.3495876288659796</v>
      </c>
    </row>
    <row r="14" spans="1:21" x14ac:dyDescent="0.25">
      <c r="B14" s="9"/>
      <c r="C14" s="17">
        <v>3062.83</v>
      </c>
      <c r="D14" s="18">
        <v>28.957000000000001</v>
      </c>
      <c r="E14" s="18">
        <v>37.481000000000002</v>
      </c>
      <c r="F14" s="18">
        <v>38.802</v>
      </c>
      <c r="G14" s="18">
        <v>1.1000000000000001</v>
      </c>
      <c r="H14" s="18">
        <f t="shared" si="0"/>
        <v>31.253125000000001</v>
      </c>
      <c r="I14" s="5"/>
      <c r="J14" s="17">
        <v>3142.7919999999999</v>
      </c>
      <c r="K14" s="18">
        <v>28.8279</v>
      </c>
      <c r="L14" s="18">
        <v>39.541600000000003</v>
      </c>
      <c r="M14" s="18">
        <v>40.4878</v>
      </c>
      <c r="N14" s="18">
        <v>2.6760999999999999</v>
      </c>
      <c r="O14" s="18">
        <f t="shared" si="1"/>
        <v>31.624600000000001</v>
      </c>
      <c r="P14" s="7"/>
      <c r="Q14" s="10"/>
      <c r="R14" s="11"/>
      <c r="S14" s="11"/>
      <c r="T14" s="26"/>
      <c r="U14" s="28">
        <f t="shared" si="2"/>
        <v>1.4328181818181815</v>
      </c>
    </row>
    <row r="15" spans="1:21" x14ac:dyDescent="0.25">
      <c r="B15" s="9"/>
      <c r="C15" s="17">
        <v>2032.04</v>
      </c>
      <c r="D15" s="18">
        <v>27.170999999999999</v>
      </c>
      <c r="E15" s="18">
        <v>36.362000000000002</v>
      </c>
      <c r="F15" s="18">
        <v>37.814999999999998</v>
      </c>
      <c r="G15" s="18">
        <v>1.26</v>
      </c>
      <c r="H15" s="18">
        <f t="shared" si="0"/>
        <v>29.650375</v>
      </c>
      <c r="I15" s="5"/>
      <c r="J15" s="17">
        <v>2092.1504</v>
      </c>
      <c r="K15" s="18">
        <v>27.037400000000002</v>
      </c>
      <c r="L15" s="18">
        <v>38.618899999999996</v>
      </c>
      <c r="M15" s="18">
        <v>39.677300000000002</v>
      </c>
      <c r="N15" s="18">
        <v>3.3111000000000002</v>
      </c>
      <c r="O15" s="18">
        <f t="shared" si="1"/>
        <v>30.065075</v>
      </c>
      <c r="P15" s="7"/>
      <c r="Q15" s="10"/>
      <c r="R15" s="11"/>
      <c r="S15" s="11"/>
      <c r="T15" s="26"/>
      <c r="U15" s="28">
        <f t="shared" si="2"/>
        <v>1.6278571428571429</v>
      </c>
    </row>
    <row r="16" spans="1:21" ht="16.5" thickBot="1" x14ac:dyDescent="0.3">
      <c r="B16" s="12"/>
      <c r="C16" s="19">
        <v>1294.8499999999999</v>
      </c>
      <c r="D16" s="20">
        <v>24.63</v>
      </c>
      <c r="E16" s="20">
        <v>34.875999999999998</v>
      </c>
      <c r="F16" s="20">
        <v>36.576000000000001</v>
      </c>
      <c r="G16" s="20">
        <v>1.88</v>
      </c>
      <c r="H16" s="20">
        <f t="shared" si="0"/>
        <v>27.404</v>
      </c>
      <c r="I16" s="5"/>
      <c r="J16" s="19">
        <v>1351.1551999999999</v>
      </c>
      <c r="K16" s="20">
        <v>25.563600000000001</v>
      </c>
      <c r="L16" s="20">
        <v>37.313000000000002</v>
      </c>
      <c r="M16" s="20">
        <v>38.479799999999997</v>
      </c>
      <c r="N16" s="20">
        <v>3.8662999999999998</v>
      </c>
      <c r="O16" s="20">
        <f t="shared" si="1"/>
        <v>28.646799999999999</v>
      </c>
      <c r="P16" s="7"/>
      <c r="Q16" s="13"/>
      <c r="R16" s="14"/>
      <c r="S16" s="14"/>
      <c r="T16" s="27"/>
      <c r="U16" s="28">
        <f t="shared" si="2"/>
        <v>1.0565425531914894</v>
      </c>
    </row>
    <row r="17" spans="1:21" x14ac:dyDescent="0.25">
      <c r="A17" s="6" t="s">
        <v>37</v>
      </c>
      <c r="B17" s="6" t="s">
        <v>48</v>
      </c>
      <c r="C17" s="15">
        <v>2002.07</v>
      </c>
      <c r="D17" s="16">
        <v>39.279000000000003</v>
      </c>
      <c r="E17" s="16">
        <v>41.527000000000001</v>
      </c>
      <c r="F17" s="16">
        <v>42.765999999999998</v>
      </c>
      <c r="G17" s="16">
        <v>1.82</v>
      </c>
      <c r="H17" s="16">
        <f t="shared" si="0"/>
        <v>39.995875000000005</v>
      </c>
      <c r="I17" s="5"/>
      <c r="J17" s="15">
        <v>2473.4232000000002</v>
      </c>
      <c r="K17" s="16">
        <v>39.506999999999998</v>
      </c>
      <c r="L17" s="16">
        <v>42.130499999999998</v>
      </c>
      <c r="M17" s="16">
        <v>43.628300000000003</v>
      </c>
      <c r="N17" s="16">
        <v>4.8364000000000003</v>
      </c>
      <c r="O17" s="16">
        <f t="shared" si="1"/>
        <v>40.350099999999998</v>
      </c>
      <c r="P17" s="7"/>
      <c r="Q17" s="8">
        <f>bdrate(C17:C20,D17:D20,J17:J20,K17:K20)</f>
        <v>5.3443891815751154E-2</v>
      </c>
      <c r="R17" s="8">
        <f>bdrate(C17:C20,E17:E20,J17:J20,L17:L20)</f>
        <v>-0.27233413132518158</v>
      </c>
      <c r="S17" s="8">
        <f>bdrate(C17:C20,F17:F20,J17:J20,M17:M20)</f>
        <v>-0.29187553110106845</v>
      </c>
      <c r="T17" s="25">
        <f>bdrate(C17:C20,H17:H20,J17:J20,O17:O20)</f>
        <v>-9.034320139946872E-3</v>
      </c>
      <c r="U17" s="28">
        <f t="shared" si="2"/>
        <v>1.6573626373626373</v>
      </c>
    </row>
    <row r="18" spans="1:21" x14ac:dyDescent="0.25">
      <c r="A18" s="9" t="s">
        <v>38</v>
      </c>
      <c r="B18" s="9"/>
      <c r="C18" s="17">
        <v>1316.38</v>
      </c>
      <c r="D18" s="18">
        <v>37.935000000000002</v>
      </c>
      <c r="E18" s="18">
        <v>40.633000000000003</v>
      </c>
      <c r="F18" s="18">
        <v>41.853000000000002</v>
      </c>
      <c r="G18" s="18">
        <v>2.11</v>
      </c>
      <c r="H18" s="18">
        <f t="shared" si="0"/>
        <v>38.762</v>
      </c>
      <c r="I18" s="5"/>
      <c r="J18" s="17">
        <v>1636.7568000000001</v>
      </c>
      <c r="K18" s="18">
        <v>38.368200000000002</v>
      </c>
      <c r="L18" s="18">
        <v>41.491700000000002</v>
      </c>
      <c r="M18" s="18">
        <v>42.849600000000002</v>
      </c>
      <c r="N18" s="18">
        <v>5.8764000000000003</v>
      </c>
      <c r="O18" s="18">
        <f t="shared" si="1"/>
        <v>39.3188125</v>
      </c>
      <c r="P18" s="7"/>
      <c r="Q18" s="10"/>
      <c r="R18" s="11"/>
      <c r="S18" s="11"/>
      <c r="T18" s="26"/>
      <c r="U18" s="28">
        <f t="shared" si="2"/>
        <v>1.7850236966824649</v>
      </c>
    </row>
    <row r="19" spans="1:21" x14ac:dyDescent="0.25">
      <c r="B19" s="9"/>
      <c r="C19" s="17">
        <v>815.57</v>
      </c>
      <c r="D19" s="18">
        <v>36.334000000000003</v>
      </c>
      <c r="E19" s="18">
        <v>39.704999999999998</v>
      </c>
      <c r="F19" s="18">
        <v>40.984000000000002</v>
      </c>
      <c r="G19" s="18">
        <v>2.4500000000000002</v>
      </c>
      <c r="H19" s="18">
        <f t="shared" si="0"/>
        <v>37.336624999999998</v>
      </c>
      <c r="I19" s="5"/>
      <c r="J19" s="17">
        <v>996.92079999999999</v>
      </c>
      <c r="K19" s="18">
        <v>36.884599999999999</v>
      </c>
      <c r="L19" s="18">
        <v>40.7117</v>
      </c>
      <c r="M19" s="18">
        <v>41.978299999999997</v>
      </c>
      <c r="N19" s="18">
        <v>7.2811000000000003</v>
      </c>
      <c r="O19" s="18">
        <f t="shared" si="1"/>
        <v>37.999699999999997</v>
      </c>
      <c r="P19" s="7"/>
      <c r="Q19" s="10"/>
      <c r="R19" s="11"/>
      <c r="S19" s="11"/>
      <c r="T19" s="26"/>
      <c r="U19" s="28">
        <f t="shared" si="2"/>
        <v>1.9718775510204081</v>
      </c>
    </row>
    <row r="20" spans="1:21" ht="16.5" thickBot="1" x14ac:dyDescent="0.3">
      <c r="B20" s="12"/>
      <c r="C20" s="19">
        <v>485.75</v>
      </c>
      <c r="D20" s="20">
        <v>34.546999999999997</v>
      </c>
      <c r="E20" s="20">
        <v>38.722000000000001</v>
      </c>
      <c r="F20" s="20">
        <v>40.125999999999998</v>
      </c>
      <c r="G20" s="20">
        <v>2.86</v>
      </c>
      <c r="H20" s="20">
        <f t="shared" si="0"/>
        <v>35.766249999999999</v>
      </c>
      <c r="I20" s="5"/>
      <c r="J20" s="19">
        <v>569.81119999999999</v>
      </c>
      <c r="K20" s="20">
        <v>35.085599999999999</v>
      </c>
      <c r="L20" s="20">
        <v>39.892400000000002</v>
      </c>
      <c r="M20" s="20">
        <v>41.134500000000003</v>
      </c>
      <c r="N20" s="20">
        <v>9.3577999999999992</v>
      </c>
      <c r="O20" s="20">
        <f t="shared" si="1"/>
        <v>36.442562500000001</v>
      </c>
      <c r="P20" s="7"/>
      <c r="Q20" s="13"/>
      <c r="R20" s="14"/>
      <c r="S20" s="14"/>
      <c r="T20" s="27"/>
      <c r="U20" s="28">
        <f t="shared" si="2"/>
        <v>2.2719580419580421</v>
      </c>
    </row>
    <row r="21" spans="1:21" x14ac:dyDescent="0.25">
      <c r="B21" s="6" t="s">
        <v>49</v>
      </c>
      <c r="C21" s="15">
        <v>2243.06</v>
      </c>
      <c r="D21" s="16">
        <v>36.238999999999997</v>
      </c>
      <c r="E21" s="16">
        <v>39.317999999999998</v>
      </c>
      <c r="F21" s="16">
        <v>40.341000000000001</v>
      </c>
      <c r="G21" s="16">
        <v>2.4</v>
      </c>
      <c r="H21" s="16">
        <f t="shared" si="0"/>
        <v>37.136624999999995</v>
      </c>
      <c r="I21" s="5"/>
      <c r="J21" s="15">
        <v>2533.3735999999999</v>
      </c>
      <c r="K21" s="16">
        <v>36.728200000000001</v>
      </c>
      <c r="L21" s="16">
        <v>40.328600000000002</v>
      </c>
      <c r="M21" s="16">
        <v>41.547499999999999</v>
      </c>
      <c r="N21" s="16">
        <v>5.1696</v>
      </c>
      <c r="O21" s="16">
        <f t="shared" si="1"/>
        <v>37.780662500000005</v>
      </c>
      <c r="P21" s="7"/>
      <c r="Q21" s="8">
        <f>bdrate(C21:C24,D21:D24,J21:J24,K21:K24)</f>
        <v>-8.0943687732025538E-2</v>
      </c>
      <c r="R21" s="8">
        <f>bdrate(C21:C24,E21:E24,J21:J24,L21:L24)</f>
        <v>-0.363071627278021</v>
      </c>
      <c r="S21" s="8">
        <f>bdrate(C21:C24,F21:F24,J21:J24,M21:M24)</f>
        <v>-0.4031031493165721</v>
      </c>
      <c r="T21" s="25">
        <f>bdrate(C21:C24,H21:H24,J21:J24,O21:O24)</f>
        <v>-0.14016015940432691</v>
      </c>
      <c r="U21" s="28">
        <f t="shared" si="2"/>
        <v>1.1540000000000001</v>
      </c>
    </row>
    <row r="22" spans="1:21" x14ac:dyDescent="0.25">
      <c r="B22" s="9"/>
      <c r="C22" s="17">
        <v>1492.14</v>
      </c>
      <c r="D22" s="18">
        <v>34.798000000000002</v>
      </c>
      <c r="E22" s="18">
        <v>38.322000000000003</v>
      </c>
      <c r="F22" s="18">
        <v>39.487000000000002</v>
      </c>
      <c r="G22" s="18">
        <v>2.66</v>
      </c>
      <c r="H22" s="18">
        <f t="shared" si="0"/>
        <v>35.824625000000005</v>
      </c>
      <c r="I22" s="5"/>
      <c r="J22" s="17">
        <v>1687.4831999999999</v>
      </c>
      <c r="K22" s="18">
        <v>35.467100000000002</v>
      </c>
      <c r="L22" s="18">
        <v>39.504199999999997</v>
      </c>
      <c r="M22" s="18">
        <v>40.701700000000002</v>
      </c>
      <c r="N22" s="18">
        <v>6.3362999999999996</v>
      </c>
      <c r="O22" s="18">
        <f t="shared" si="1"/>
        <v>36.626062500000003</v>
      </c>
      <c r="P22" s="7"/>
      <c r="Q22" s="10"/>
      <c r="R22" s="11"/>
      <c r="S22" s="11"/>
      <c r="T22" s="26"/>
      <c r="U22" s="28">
        <f t="shared" si="2"/>
        <v>1.3820676691729321</v>
      </c>
    </row>
    <row r="23" spans="1:21" x14ac:dyDescent="0.25">
      <c r="B23" s="9"/>
      <c r="C23" s="17">
        <v>930.57</v>
      </c>
      <c r="D23" s="18">
        <v>33.322000000000003</v>
      </c>
      <c r="E23" s="18">
        <v>37.305</v>
      </c>
      <c r="F23" s="18">
        <v>38.802</v>
      </c>
      <c r="G23" s="18">
        <v>2.96</v>
      </c>
      <c r="H23" s="18">
        <f t="shared" si="0"/>
        <v>34.504875000000006</v>
      </c>
      <c r="I23" s="5"/>
      <c r="J23" s="17">
        <v>1036.8496</v>
      </c>
      <c r="K23" s="18">
        <v>33.957700000000003</v>
      </c>
      <c r="L23" s="18">
        <v>38.528300000000002</v>
      </c>
      <c r="M23" s="18">
        <v>39.794400000000003</v>
      </c>
      <c r="N23" s="18">
        <v>8.1441999999999997</v>
      </c>
      <c r="O23" s="18">
        <f t="shared" si="1"/>
        <v>35.258612500000005</v>
      </c>
      <c r="P23" s="7"/>
      <c r="Q23" s="10"/>
      <c r="R23" s="11"/>
      <c r="S23" s="11"/>
      <c r="T23" s="26"/>
      <c r="U23" s="28">
        <f t="shared" si="2"/>
        <v>1.7514189189189189</v>
      </c>
    </row>
    <row r="24" spans="1:21" ht="16.5" thickBot="1" x14ac:dyDescent="0.3">
      <c r="B24" s="12"/>
      <c r="C24" s="19">
        <v>558.12</v>
      </c>
      <c r="D24" s="20">
        <v>31.824999999999999</v>
      </c>
      <c r="E24" s="20">
        <v>36.369999999999997</v>
      </c>
      <c r="F24" s="20">
        <v>38.186999999999998</v>
      </c>
      <c r="G24" s="20">
        <v>3.31</v>
      </c>
      <c r="H24" s="20">
        <f t="shared" si="0"/>
        <v>33.188375000000001</v>
      </c>
      <c r="I24" s="5"/>
      <c r="J24" s="19">
        <v>613.81759999999997</v>
      </c>
      <c r="K24" s="20">
        <v>32.311700000000002</v>
      </c>
      <c r="L24" s="20">
        <v>37.436</v>
      </c>
      <c r="M24" s="20">
        <v>38.8812</v>
      </c>
      <c r="N24" s="20">
        <v>10.4872</v>
      </c>
      <c r="O24" s="20">
        <f t="shared" si="1"/>
        <v>33.773425000000003</v>
      </c>
      <c r="P24" s="7"/>
      <c r="Q24" s="13"/>
      <c r="R24" s="14"/>
      <c r="S24" s="14"/>
      <c r="T24" s="27"/>
      <c r="U24" s="28">
        <f t="shared" si="2"/>
        <v>2.1683383685800601</v>
      </c>
    </row>
    <row r="25" spans="1:21" x14ac:dyDescent="0.25">
      <c r="B25" s="6" t="s">
        <v>50</v>
      </c>
      <c r="C25" s="15">
        <v>2360.84</v>
      </c>
      <c r="D25" s="16">
        <v>34.043999999999997</v>
      </c>
      <c r="E25" s="16">
        <v>37.442</v>
      </c>
      <c r="F25" s="16">
        <v>38.911000000000001</v>
      </c>
      <c r="G25" s="16">
        <v>2.83</v>
      </c>
      <c r="H25" s="16">
        <f t="shared" si="0"/>
        <v>35.077124999999995</v>
      </c>
      <c r="I25" s="5"/>
      <c r="J25" s="15">
        <v>2468.5623999999998</v>
      </c>
      <c r="K25" s="16">
        <v>35.000799999999998</v>
      </c>
      <c r="L25" s="16">
        <v>38.379899999999999</v>
      </c>
      <c r="M25" s="16">
        <v>40.642200000000003</v>
      </c>
      <c r="N25" s="16">
        <v>6.4985999999999997</v>
      </c>
      <c r="O25" s="16">
        <f t="shared" si="1"/>
        <v>36.128362499999994</v>
      </c>
      <c r="P25" s="7"/>
      <c r="Q25" s="8">
        <f>bdrate(C25:C28,D25:D28,J25:J28,K25:K28)</f>
        <v>-0.27939455822465642</v>
      </c>
      <c r="R25" s="8">
        <f>bdrate(C25:C28,E25:E28,J25:J28,L25:L28)</f>
        <v>-0.54137925321241087</v>
      </c>
      <c r="S25" s="8">
        <f>bdrate(C25:C28,F25:F28,J25:J28,M25:M28)</f>
        <v>-0.5017324083684418</v>
      </c>
      <c r="T25" s="25">
        <f>bdrate(C25:C28,H25:H28,J25:J28,O25:O28)</f>
        <v>-0.32759734590998935</v>
      </c>
      <c r="U25" s="28">
        <f t="shared" si="2"/>
        <v>1.2963250883392226</v>
      </c>
    </row>
    <row r="26" spans="1:21" x14ac:dyDescent="0.25">
      <c r="B26" s="9"/>
      <c r="C26" s="17">
        <v>1577.68</v>
      </c>
      <c r="D26" s="18">
        <v>32.762999999999998</v>
      </c>
      <c r="E26" s="18">
        <v>36.774999999999999</v>
      </c>
      <c r="F26" s="18">
        <v>37.927999999999997</v>
      </c>
      <c r="G26" s="18">
        <v>3.12</v>
      </c>
      <c r="H26" s="18">
        <f t="shared" si="0"/>
        <v>33.910124999999994</v>
      </c>
      <c r="I26" s="5"/>
      <c r="J26" s="17">
        <v>1642.3416</v>
      </c>
      <c r="K26" s="18">
        <v>33.930900000000001</v>
      </c>
      <c r="L26" s="18">
        <v>37.940899999999999</v>
      </c>
      <c r="M26" s="18">
        <v>39.741300000000003</v>
      </c>
      <c r="N26" s="18">
        <v>7.875</v>
      </c>
      <c r="O26" s="18">
        <f t="shared" si="1"/>
        <v>35.158450000000002</v>
      </c>
      <c r="P26" s="7"/>
      <c r="Q26" s="10"/>
      <c r="R26" s="11"/>
      <c r="S26" s="11"/>
      <c r="T26" s="26"/>
      <c r="U26" s="28">
        <f t="shared" si="2"/>
        <v>1.5240384615384615</v>
      </c>
    </row>
    <row r="27" spans="1:21" x14ac:dyDescent="0.25">
      <c r="B27" s="9"/>
      <c r="C27" s="17">
        <v>984.35</v>
      </c>
      <c r="D27" s="18">
        <v>31.327999999999999</v>
      </c>
      <c r="E27" s="18">
        <v>36.079000000000001</v>
      </c>
      <c r="F27" s="18">
        <v>36.911000000000001</v>
      </c>
      <c r="G27" s="18">
        <v>3.46</v>
      </c>
      <c r="H27" s="18">
        <f t="shared" si="0"/>
        <v>32.619749999999996</v>
      </c>
      <c r="I27" s="5"/>
      <c r="J27" s="17">
        <v>1023.7304</v>
      </c>
      <c r="K27" s="18">
        <v>32.460799999999999</v>
      </c>
      <c r="L27" s="18">
        <v>37.297800000000002</v>
      </c>
      <c r="M27" s="18">
        <v>38.539700000000003</v>
      </c>
      <c r="N27" s="18">
        <v>9.9971999999999994</v>
      </c>
      <c r="O27" s="18">
        <f t="shared" si="1"/>
        <v>33.825287499999995</v>
      </c>
      <c r="P27" s="7"/>
      <c r="Q27" s="10"/>
      <c r="R27" s="11"/>
      <c r="S27" s="11"/>
      <c r="T27" s="26"/>
      <c r="U27" s="28">
        <f t="shared" si="2"/>
        <v>1.8893641618497108</v>
      </c>
    </row>
    <row r="28" spans="1:21" ht="16.5" thickBot="1" x14ac:dyDescent="0.3">
      <c r="B28" s="12"/>
      <c r="C28" s="19">
        <v>586.16</v>
      </c>
      <c r="D28" s="20">
        <v>29.981999999999999</v>
      </c>
      <c r="E28" s="20">
        <v>35.344999999999999</v>
      </c>
      <c r="F28" s="20">
        <v>35.814999999999998</v>
      </c>
      <c r="G28" s="20">
        <v>3.9</v>
      </c>
      <c r="H28" s="20">
        <f t="shared" si="0"/>
        <v>31.381499999999999</v>
      </c>
      <c r="I28" s="5"/>
      <c r="J28" s="19">
        <v>590.75919999999996</v>
      </c>
      <c r="K28" s="20">
        <v>30.703600000000002</v>
      </c>
      <c r="L28" s="20">
        <v>36.500300000000003</v>
      </c>
      <c r="M28" s="20">
        <v>37.326900000000002</v>
      </c>
      <c r="N28" s="20">
        <v>13.2883</v>
      </c>
      <c r="O28" s="20">
        <f t="shared" si="1"/>
        <v>32.256100000000004</v>
      </c>
      <c r="P28" s="7"/>
      <c r="Q28" s="13"/>
      <c r="R28" s="14"/>
      <c r="S28" s="14"/>
      <c r="T28" s="27"/>
      <c r="U28" s="28">
        <f t="shared" si="2"/>
        <v>2.40725641025641</v>
      </c>
    </row>
    <row r="29" spans="1:21" x14ac:dyDescent="0.25">
      <c r="B29" s="6" t="s">
        <v>51</v>
      </c>
      <c r="C29" s="29">
        <v>2406.9299999999998</v>
      </c>
      <c r="D29" s="30">
        <v>34.543999999999997</v>
      </c>
      <c r="E29" s="30">
        <v>39.798999999999999</v>
      </c>
      <c r="F29" s="30">
        <v>39.390999999999998</v>
      </c>
      <c r="G29" s="16">
        <v>2.2599999999999998</v>
      </c>
      <c r="H29" s="16">
        <f t="shared" si="0"/>
        <v>35.806750000000001</v>
      </c>
      <c r="I29" s="5"/>
      <c r="J29" s="29">
        <v>2484.44</v>
      </c>
      <c r="K29" s="30">
        <v>34.774299999999997</v>
      </c>
      <c r="L29" s="30">
        <v>40.5702</v>
      </c>
      <c r="M29" s="30">
        <v>40.0715</v>
      </c>
      <c r="N29" s="16">
        <v>5.8022</v>
      </c>
      <c r="O29" s="16">
        <f t="shared" si="1"/>
        <v>36.160937499999996</v>
      </c>
      <c r="P29" s="7"/>
      <c r="Q29" s="8">
        <f>bdrate(C29:C32,D29:D32,J29:J32,K29:K32)</f>
        <v>-5.326541101274973E-2</v>
      </c>
      <c r="R29" s="8">
        <f>bdrate(C29:C32,E29:E32,J29:J32,L29:L32)</f>
        <v>-0.36322817723951684</v>
      </c>
      <c r="S29" s="8">
        <f>bdrate(C29:C32,F29:F32,J29:J32,M29:M32)</f>
        <v>-0.2408520549041363</v>
      </c>
      <c r="T29" s="25">
        <f>bdrate(C29:C32,H29:H32,J29:J32,O29:O32)</f>
        <v>-0.11219793725516503</v>
      </c>
      <c r="U29" s="28">
        <f t="shared" si="2"/>
        <v>1.5673451327433632</v>
      </c>
    </row>
    <row r="30" spans="1:21" x14ac:dyDescent="0.25">
      <c r="B30" s="9"/>
      <c r="C30" s="31">
        <v>1600.35</v>
      </c>
      <c r="D30" s="32">
        <v>33.255000000000003</v>
      </c>
      <c r="E30" s="32">
        <v>38.845999999999997</v>
      </c>
      <c r="F30" s="32">
        <v>38.11</v>
      </c>
      <c r="G30" s="18">
        <v>2.5</v>
      </c>
      <c r="H30" s="18">
        <f t="shared" si="0"/>
        <v>34.560750000000006</v>
      </c>
      <c r="I30" s="5"/>
      <c r="J30" s="31">
        <v>1655.7375999999999</v>
      </c>
      <c r="K30" s="32">
        <v>33.536700000000003</v>
      </c>
      <c r="L30" s="32">
        <v>39.799500000000002</v>
      </c>
      <c r="M30" s="32">
        <v>38.946800000000003</v>
      </c>
      <c r="N30" s="18">
        <v>7.0987999999999998</v>
      </c>
      <c r="O30" s="18">
        <f t="shared" si="1"/>
        <v>34.995812500000007</v>
      </c>
      <c r="P30" s="7"/>
      <c r="Q30" s="10"/>
      <c r="R30" s="11"/>
      <c r="S30" s="11"/>
      <c r="T30" s="26"/>
      <c r="U30" s="28">
        <f t="shared" si="2"/>
        <v>1.8395199999999998</v>
      </c>
    </row>
    <row r="31" spans="1:21" x14ac:dyDescent="0.25">
      <c r="B31" s="9"/>
      <c r="C31" s="31">
        <v>996.51</v>
      </c>
      <c r="D31" s="32">
        <v>31.684999999999999</v>
      </c>
      <c r="E31" s="32">
        <v>37.643999999999998</v>
      </c>
      <c r="F31" s="32">
        <v>36.625</v>
      </c>
      <c r="G31" s="18">
        <v>2.8</v>
      </c>
      <c r="H31" s="18">
        <f t="shared" si="0"/>
        <v>33.047375000000002</v>
      </c>
      <c r="I31" s="5"/>
      <c r="J31" s="31">
        <v>1036.3016</v>
      </c>
      <c r="K31" s="32">
        <v>32.003</v>
      </c>
      <c r="L31" s="32">
        <v>38.879800000000003</v>
      </c>
      <c r="M31" s="32">
        <v>37.627200000000002</v>
      </c>
      <c r="N31" s="18">
        <v>8.8440999999999992</v>
      </c>
      <c r="O31" s="18">
        <f t="shared" si="1"/>
        <v>33.565625000000004</v>
      </c>
      <c r="P31" s="7"/>
      <c r="Q31" s="10"/>
      <c r="R31" s="11"/>
      <c r="S31" s="11"/>
      <c r="T31" s="26"/>
      <c r="U31" s="28">
        <f t="shared" si="2"/>
        <v>2.1586071428571429</v>
      </c>
    </row>
    <row r="32" spans="1:21" ht="16.5" thickBot="1" x14ac:dyDescent="0.3">
      <c r="B32" s="12"/>
      <c r="C32" s="33">
        <v>594</v>
      </c>
      <c r="D32" s="34">
        <v>29.946000000000002</v>
      </c>
      <c r="E32" s="34">
        <v>35.957000000000001</v>
      </c>
      <c r="F32" s="34">
        <v>34.9</v>
      </c>
      <c r="G32" s="20">
        <v>3.15</v>
      </c>
      <c r="H32" s="20">
        <f t="shared" si="0"/>
        <v>31.316625000000002</v>
      </c>
      <c r="I32" s="5"/>
      <c r="J32" s="33">
        <v>617.06240000000003</v>
      </c>
      <c r="K32" s="34">
        <v>30.270299999999999</v>
      </c>
      <c r="L32" s="34">
        <v>37.756799999999998</v>
      </c>
      <c r="M32" s="34">
        <v>36.185099999999998</v>
      </c>
      <c r="N32" s="20">
        <v>11.210800000000001</v>
      </c>
      <c r="O32" s="20">
        <f t="shared" si="1"/>
        <v>31.945462500000001</v>
      </c>
      <c r="P32" s="7"/>
      <c r="Q32" s="13"/>
      <c r="R32" s="14"/>
      <c r="S32" s="14"/>
      <c r="T32" s="27"/>
      <c r="U32" s="28">
        <f t="shared" si="2"/>
        <v>2.5589841269841274</v>
      </c>
    </row>
    <row r="33" spans="1:21" x14ac:dyDescent="0.25">
      <c r="B33" s="6" t="s">
        <v>52</v>
      </c>
      <c r="C33" s="15">
        <v>2334.0300000000002</v>
      </c>
      <c r="D33" s="16">
        <v>33.506999999999998</v>
      </c>
      <c r="E33" s="16">
        <v>39.061</v>
      </c>
      <c r="F33" s="16">
        <v>41.676000000000002</v>
      </c>
      <c r="G33" s="16">
        <v>3.41</v>
      </c>
      <c r="H33" s="16">
        <f t="shared" si="0"/>
        <v>35.222375</v>
      </c>
      <c r="I33" s="5"/>
      <c r="J33" s="15">
        <v>2450.6120000000001</v>
      </c>
      <c r="K33" s="16">
        <v>34.018999999999998</v>
      </c>
      <c r="L33" s="16">
        <v>40.006500000000003</v>
      </c>
      <c r="M33" s="16">
        <v>42.459499999999998</v>
      </c>
      <c r="N33" s="16">
        <v>8.7772000000000006</v>
      </c>
      <c r="O33" s="16">
        <f t="shared" si="1"/>
        <v>35.822499999999998</v>
      </c>
      <c r="P33" s="7"/>
      <c r="Q33" s="8">
        <f>bdrate(C33:C36,D33:D36,J33:J36,K33:K36)</f>
        <v>-0.22911710834611199</v>
      </c>
      <c r="R33" s="8">
        <f>bdrate(C33:C36,E33:E36,J33:J36,L33:L36)</f>
        <v>-0.43053900610339046</v>
      </c>
      <c r="S33" s="8">
        <f>bdrate(C33:C36,F33:F36,J33:J36,M33:M36)</f>
        <v>-0.38264463454735631</v>
      </c>
      <c r="T33" s="25">
        <f>bdrate(C33:C36,H33:H36,J33:J36,O33:O36)</f>
        <v>-0.26338695683825175</v>
      </c>
      <c r="U33" s="28">
        <f t="shared" si="2"/>
        <v>1.5739589442815249</v>
      </c>
    </row>
    <row r="34" spans="1:21" x14ac:dyDescent="0.25">
      <c r="B34" s="9"/>
      <c r="C34" s="17">
        <v>1544.04</v>
      </c>
      <c r="D34" s="18">
        <v>32.802999999999997</v>
      </c>
      <c r="E34" s="18">
        <v>38.601999999999997</v>
      </c>
      <c r="F34" s="18">
        <v>41.249000000000002</v>
      </c>
      <c r="G34" s="18">
        <v>3.72</v>
      </c>
      <c r="H34" s="18">
        <f t="shared" si="0"/>
        <v>34.583624999999998</v>
      </c>
      <c r="I34" s="5"/>
      <c r="J34" s="17">
        <v>1614.4752000000001</v>
      </c>
      <c r="K34" s="18">
        <v>33.421599999999998</v>
      </c>
      <c r="L34" s="18">
        <v>39.5017</v>
      </c>
      <c r="M34" s="18">
        <v>41.9771</v>
      </c>
      <c r="N34" s="18">
        <v>11.1</v>
      </c>
      <c r="O34" s="18">
        <f t="shared" si="1"/>
        <v>35.251049999999999</v>
      </c>
      <c r="P34" s="7"/>
      <c r="Q34" s="10"/>
      <c r="R34" s="11"/>
      <c r="S34" s="11"/>
      <c r="T34" s="26"/>
      <c r="U34" s="28">
        <f t="shared" si="2"/>
        <v>1.9838709677419351</v>
      </c>
    </row>
    <row r="35" spans="1:21" x14ac:dyDescent="0.25">
      <c r="B35" s="9"/>
      <c r="C35" s="17">
        <v>958.33</v>
      </c>
      <c r="D35" s="18">
        <v>31.83</v>
      </c>
      <c r="E35" s="18">
        <v>38.017000000000003</v>
      </c>
      <c r="F35" s="18">
        <v>40.68</v>
      </c>
      <c r="G35" s="18">
        <v>4.04</v>
      </c>
      <c r="H35" s="18">
        <f t="shared" si="0"/>
        <v>33.709624999999996</v>
      </c>
      <c r="I35" s="5"/>
      <c r="J35" s="17">
        <v>991.27599999999995</v>
      </c>
      <c r="K35" s="18">
        <v>32.481299999999997</v>
      </c>
      <c r="L35" s="18">
        <v>38.766800000000003</v>
      </c>
      <c r="M35" s="18">
        <v>41.304699999999997</v>
      </c>
      <c r="N35" s="18">
        <v>14.1975</v>
      </c>
      <c r="O35" s="18">
        <f t="shared" si="1"/>
        <v>34.369912499999998</v>
      </c>
      <c r="P35" s="7"/>
      <c r="Q35" s="10"/>
      <c r="R35" s="11"/>
      <c r="S35" s="11"/>
      <c r="T35" s="26"/>
      <c r="U35" s="28">
        <f t="shared" si="2"/>
        <v>2.5142326732673266</v>
      </c>
    </row>
    <row r="36" spans="1:21" ht="16.5" thickBot="1" x14ac:dyDescent="0.3">
      <c r="B36" s="12"/>
      <c r="C36" s="19">
        <v>563.79999999999995</v>
      </c>
      <c r="D36" s="20">
        <v>30.573</v>
      </c>
      <c r="E36" s="20">
        <v>37.347999999999999</v>
      </c>
      <c r="F36" s="20">
        <v>40.026000000000003</v>
      </c>
      <c r="G36" s="20">
        <v>4.4000000000000004</v>
      </c>
      <c r="H36" s="20">
        <f t="shared" si="0"/>
        <v>32.601500000000001</v>
      </c>
      <c r="I36" s="5"/>
      <c r="J36" s="19">
        <v>614.62800000000004</v>
      </c>
      <c r="K36" s="20">
        <v>31.192399999999999</v>
      </c>
      <c r="L36" s="20">
        <v>38.089199999999998</v>
      </c>
      <c r="M36" s="20">
        <v>40.646000000000001</v>
      </c>
      <c r="N36" s="20">
        <v>18.023399999999999</v>
      </c>
      <c r="O36" s="20">
        <f t="shared" si="1"/>
        <v>33.236200000000004</v>
      </c>
      <c r="P36" s="7"/>
      <c r="Q36" s="13"/>
      <c r="R36" s="14"/>
      <c r="S36" s="14"/>
      <c r="T36" s="27"/>
      <c r="U36" s="28">
        <f t="shared" si="2"/>
        <v>3.0962272727272722</v>
      </c>
    </row>
    <row r="37" spans="1:21" x14ac:dyDescent="0.25">
      <c r="A37" s="6" t="s">
        <v>39</v>
      </c>
      <c r="B37" s="6" t="s">
        <v>53</v>
      </c>
      <c r="C37" s="15">
        <v>1222.95</v>
      </c>
      <c r="D37" s="16">
        <v>35.664000000000001</v>
      </c>
      <c r="E37" s="16">
        <v>38.909999999999997</v>
      </c>
      <c r="F37" s="16">
        <v>38.841999999999999</v>
      </c>
      <c r="G37" s="16">
        <v>9.41</v>
      </c>
      <c r="H37" s="16">
        <f t="shared" si="0"/>
        <v>36.466999999999999</v>
      </c>
      <c r="I37" s="5"/>
      <c r="J37" s="15">
        <v>1264.5896</v>
      </c>
      <c r="K37" s="16">
        <v>36.816400000000002</v>
      </c>
      <c r="L37" s="16">
        <v>40.357599999999998</v>
      </c>
      <c r="M37" s="16">
        <v>40.310600000000001</v>
      </c>
      <c r="N37" s="16">
        <v>17.687799999999999</v>
      </c>
      <c r="O37" s="16">
        <f t="shared" si="1"/>
        <v>37.695825000000006</v>
      </c>
      <c r="P37" s="7"/>
      <c r="Q37" s="8">
        <f>bdrate(C37:C40,D37:D40,J37:J40,K37:K40)</f>
        <v>-0.19777332408034054</v>
      </c>
      <c r="R37" s="8">
        <f>bdrate(C37:C40,E37:E40,J37:J40,L37:L40)</f>
        <v>-0.32974946401744076</v>
      </c>
      <c r="S37" s="8">
        <f>bdrate(C37:C40,F37:F40,J37:J40,M37:M40)</f>
        <v>-0.2914897870414358</v>
      </c>
      <c r="T37" s="25">
        <f>bdrate(C37:C40,H37:H40,J37:J40,O37:O40)</f>
        <v>-0.22369383065750104</v>
      </c>
      <c r="U37" s="28">
        <f t="shared" si="2"/>
        <v>0.87968119022316671</v>
      </c>
    </row>
    <row r="38" spans="1:21" x14ac:dyDescent="0.25">
      <c r="A38" s="9" t="s">
        <v>40</v>
      </c>
      <c r="B38" s="9"/>
      <c r="C38" s="17">
        <v>815.25</v>
      </c>
      <c r="D38" s="18">
        <v>34.003999999999998</v>
      </c>
      <c r="E38" s="18">
        <v>37.558</v>
      </c>
      <c r="F38" s="18">
        <v>37.351999999999997</v>
      </c>
      <c r="G38" s="18">
        <v>10.52</v>
      </c>
      <c r="H38" s="18">
        <f t="shared" si="0"/>
        <v>34.866749999999996</v>
      </c>
      <c r="I38" s="5"/>
      <c r="J38" s="17">
        <v>845.17679999999996</v>
      </c>
      <c r="K38" s="18">
        <v>35.073099999999997</v>
      </c>
      <c r="L38" s="18">
        <v>38.925699999999999</v>
      </c>
      <c r="M38" s="18">
        <v>38.6768</v>
      </c>
      <c r="N38" s="18">
        <v>21.031400000000001</v>
      </c>
      <c r="O38" s="18">
        <f t="shared" si="1"/>
        <v>36.005137499999996</v>
      </c>
      <c r="P38" s="7"/>
      <c r="Q38" s="10"/>
      <c r="R38" s="11"/>
      <c r="S38" s="11"/>
      <c r="T38" s="26"/>
      <c r="U38" s="28">
        <f t="shared" si="2"/>
        <v>0.99918250950570364</v>
      </c>
    </row>
    <row r="39" spans="1:21" x14ac:dyDescent="0.25">
      <c r="B39" s="9"/>
      <c r="C39" s="17">
        <v>509.12</v>
      </c>
      <c r="D39" s="18">
        <v>32.292000000000002</v>
      </c>
      <c r="E39" s="18">
        <v>36.18</v>
      </c>
      <c r="F39" s="18">
        <v>35.781999999999996</v>
      </c>
      <c r="G39" s="18">
        <v>12.3</v>
      </c>
      <c r="H39" s="18">
        <f t="shared" si="0"/>
        <v>33.21425</v>
      </c>
      <c r="I39" s="5"/>
      <c r="J39" s="17">
        <v>524.47839999999997</v>
      </c>
      <c r="K39" s="18">
        <v>33.192700000000002</v>
      </c>
      <c r="L39" s="18">
        <v>37.439799999999998</v>
      </c>
      <c r="M39" s="18">
        <v>37.013300000000001</v>
      </c>
      <c r="N39" s="18">
        <v>25.7852</v>
      </c>
      <c r="O39" s="18">
        <f t="shared" si="1"/>
        <v>34.201162500000002</v>
      </c>
      <c r="P39" s="7"/>
      <c r="Q39" s="10"/>
      <c r="R39" s="11"/>
      <c r="S39" s="11"/>
      <c r="T39" s="26"/>
      <c r="U39" s="28">
        <f t="shared" si="2"/>
        <v>1.0963577235772357</v>
      </c>
    </row>
    <row r="40" spans="1:21" ht="16.5" thickBot="1" x14ac:dyDescent="0.3">
      <c r="B40" s="12"/>
      <c r="C40" s="19">
        <v>305.33</v>
      </c>
      <c r="D40" s="20">
        <v>30.556000000000001</v>
      </c>
      <c r="E40" s="20">
        <v>34.917000000000002</v>
      </c>
      <c r="F40" s="20">
        <v>34.46</v>
      </c>
      <c r="G40" s="20">
        <v>14.26</v>
      </c>
      <c r="H40" s="20">
        <f t="shared" si="0"/>
        <v>31.589125000000003</v>
      </c>
      <c r="I40" s="5"/>
      <c r="J40" s="19">
        <v>314.56799999999998</v>
      </c>
      <c r="K40" s="20">
        <v>31.292999999999999</v>
      </c>
      <c r="L40" s="20">
        <v>35.996699999999997</v>
      </c>
      <c r="M40" s="20">
        <v>35.433900000000001</v>
      </c>
      <c r="N40" s="20">
        <v>31.9877</v>
      </c>
      <c r="O40" s="20">
        <f t="shared" si="1"/>
        <v>32.398575000000001</v>
      </c>
      <c r="P40" s="7"/>
      <c r="Q40" s="13"/>
      <c r="R40" s="14"/>
      <c r="S40" s="14"/>
      <c r="T40" s="27"/>
      <c r="U40" s="28">
        <f t="shared" si="2"/>
        <v>1.2431767180925666</v>
      </c>
    </row>
    <row r="41" spans="1:21" x14ac:dyDescent="0.25">
      <c r="B41" s="6" t="s">
        <v>54</v>
      </c>
      <c r="C41" s="15">
        <v>1230.2</v>
      </c>
      <c r="D41" s="16">
        <v>35.591999999999999</v>
      </c>
      <c r="E41" s="16">
        <v>40.006</v>
      </c>
      <c r="F41" s="16">
        <v>40.883000000000003</v>
      </c>
      <c r="G41" s="16">
        <v>11.54</v>
      </c>
      <c r="H41" s="16">
        <f t="shared" si="0"/>
        <v>36.805124999999997</v>
      </c>
      <c r="I41" s="5"/>
      <c r="J41" s="15">
        <v>1278.7256</v>
      </c>
      <c r="K41" s="16">
        <v>36.3581</v>
      </c>
      <c r="L41" s="16">
        <v>41.174199999999999</v>
      </c>
      <c r="M41" s="16">
        <v>42.047199999999997</v>
      </c>
      <c r="N41" s="16">
        <v>22.772099999999998</v>
      </c>
      <c r="O41" s="16">
        <f t="shared" si="1"/>
        <v>37.671249999999993</v>
      </c>
      <c r="P41" s="7"/>
      <c r="Q41" s="8">
        <f>bdrate(C41:C44,D41:D44,J41:J44,K41:K44)</f>
        <v>-0.17325269516724351</v>
      </c>
      <c r="R41" s="8">
        <f>bdrate(C41:C44,E41:E44,J41:J44,L41:L44)</f>
        <v>-0.35858896503954107</v>
      </c>
      <c r="S41" s="8">
        <f>bdrate(C41:C44,F41:F44,J41:J44,M41:M44)</f>
        <v>-0.31656268951114896</v>
      </c>
      <c r="T41" s="25">
        <f>bdrate(C41:C44,H41:H44,J41:J44,O41:O44)</f>
        <v>-0.20732873254445872</v>
      </c>
      <c r="U41" s="28">
        <f t="shared" si="2"/>
        <v>0.97331889081455802</v>
      </c>
    </row>
    <row r="42" spans="1:21" x14ac:dyDescent="0.25">
      <c r="B42" s="9"/>
      <c r="C42" s="17">
        <v>821.84</v>
      </c>
      <c r="D42" s="18">
        <v>33.975999999999999</v>
      </c>
      <c r="E42" s="18">
        <v>38.834000000000003</v>
      </c>
      <c r="F42" s="18">
        <v>39.616</v>
      </c>
      <c r="G42" s="18">
        <v>12.92</v>
      </c>
      <c r="H42" s="18">
        <f t="shared" si="0"/>
        <v>35.288249999999998</v>
      </c>
      <c r="I42" s="5"/>
      <c r="J42" s="17">
        <v>852.12800000000004</v>
      </c>
      <c r="K42" s="18">
        <v>34.851399999999998</v>
      </c>
      <c r="L42" s="18">
        <v>40.075899999999997</v>
      </c>
      <c r="M42" s="18">
        <v>40.810699999999997</v>
      </c>
      <c r="N42" s="18">
        <v>27.201000000000001</v>
      </c>
      <c r="O42" s="18">
        <f t="shared" si="1"/>
        <v>36.249375000000001</v>
      </c>
      <c r="P42" s="7"/>
      <c r="Q42" s="10"/>
      <c r="R42" s="11"/>
      <c r="S42" s="11"/>
      <c r="T42" s="26"/>
      <c r="U42" s="28">
        <f t="shared" si="2"/>
        <v>1.1053405572755419</v>
      </c>
    </row>
    <row r="43" spans="1:21" x14ac:dyDescent="0.25">
      <c r="B43" s="9"/>
      <c r="C43" s="17">
        <v>514.16999999999996</v>
      </c>
      <c r="D43" s="18">
        <v>32.095999999999997</v>
      </c>
      <c r="E43" s="18">
        <v>37.584000000000003</v>
      </c>
      <c r="F43" s="18">
        <v>38.26</v>
      </c>
      <c r="G43" s="18">
        <v>14.72</v>
      </c>
      <c r="H43" s="18">
        <f t="shared" si="0"/>
        <v>33.552499999999995</v>
      </c>
      <c r="I43" s="5"/>
      <c r="J43" s="17">
        <v>532.48400000000004</v>
      </c>
      <c r="K43" s="18">
        <v>33.010800000000003</v>
      </c>
      <c r="L43" s="18">
        <v>38.858199999999997</v>
      </c>
      <c r="M43" s="18">
        <v>39.462200000000003</v>
      </c>
      <c r="N43" s="18">
        <v>33.272300000000001</v>
      </c>
      <c r="O43" s="18">
        <f t="shared" si="1"/>
        <v>34.54815</v>
      </c>
      <c r="P43" s="7"/>
      <c r="Q43" s="10"/>
      <c r="R43" s="11"/>
      <c r="S43" s="11"/>
      <c r="T43" s="26"/>
      <c r="U43" s="28">
        <f t="shared" si="2"/>
        <v>1.2603464673913045</v>
      </c>
    </row>
    <row r="44" spans="1:21" ht="16.5" thickBot="1" x14ac:dyDescent="0.3">
      <c r="B44" s="12"/>
      <c r="C44" s="19">
        <v>308.91000000000003</v>
      </c>
      <c r="D44" s="20">
        <v>30.079000000000001</v>
      </c>
      <c r="E44" s="20">
        <v>36.186999999999998</v>
      </c>
      <c r="F44" s="20">
        <v>36.686</v>
      </c>
      <c r="G44" s="20">
        <v>16.87</v>
      </c>
      <c r="H44" s="20">
        <f t="shared" si="0"/>
        <v>31.668375000000001</v>
      </c>
      <c r="I44" s="5"/>
      <c r="J44" s="19">
        <v>319.23840000000001</v>
      </c>
      <c r="K44" s="20">
        <v>30.984400000000001</v>
      </c>
      <c r="L44" s="20">
        <v>37.640900000000002</v>
      </c>
      <c r="M44" s="20">
        <v>38.102899999999998</v>
      </c>
      <c r="N44" s="20">
        <v>41.7624</v>
      </c>
      <c r="O44" s="20">
        <f t="shared" si="1"/>
        <v>32.706274999999998</v>
      </c>
      <c r="P44" s="7"/>
      <c r="Q44" s="13"/>
      <c r="R44" s="14"/>
      <c r="S44" s="14"/>
      <c r="T44" s="27"/>
      <c r="U44" s="28">
        <f t="shared" si="2"/>
        <v>1.4755423829282748</v>
      </c>
    </row>
    <row r="45" spans="1:21" x14ac:dyDescent="0.25">
      <c r="B45" s="6" t="s">
        <v>55</v>
      </c>
      <c r="C45" s="15">
        <v>1095.52</v>
      </c>
      <c r="D45" s="16">
        <v>30.207000000000001</v>
      </c>
      <c r="E45" s="16">
        <v>35.656999999999996</v>
      </c>
      <c r="F45" s="16">
        <v>36.429000000000002</v>
      </c>
      <c r="G45" s="16">
        <v>11.48</v>
      </c>
      <c r="H45" s="16">
        <f t="shared" si="0"/>
        <v>31.666</v>
      </c>
      <c r="I45" s="5"/>
      <c r="J45" s="15">
        <v>1258.0840000000001</v>
      </c>
      <c r="K45" s="16">
        <v>31.302499999999998</v>
      </c>
      <c r="L45" s="16">
        <v>37.075200000000002</v>
      </c>
      <c r="M45" s="16">
        <v>37.854199999999999</v>
      </c>
      <c r="N45" s="16">
        <v>22.150400000000001</v>
      </c>
      <c r="O45" s="16">
        <f t="shared" si="1"/>
        <v>32.843049999999998</v>
      </c>
      <c r="P45" s="7"/>
      <c r="Q45" s="8">
        <f>bdrate(C45:C48,D45:D48,J45:J48,K45:K48)</f>
        <v>-0.18365037789001504</v>
      </c>
      <c r="R45" s="8">
        <f>bdrate(C45:C48,E45:E48,J45:J48,L45:L48)</f>
        <v>-0.41097205046821583</v>
      </c>
      <c r="S45" s="8">
        <f>bdrate(C45:C48,F45:F48,J45:J48,M45:M48)</f>
        <v>-0.396365039425569</v>
      </c>
      <c r="T45" s="25">
        <f>bdrate(C45:C48,H45:H48,J45:J48,O45:O48)</f>
        <v>-0.22698012670127776</v>
      </c>
      <c r="U45" s="28">
        <f t="shared" si="2"/>
        <v>0.92947735191637637</v>
      </c>
    </row>
    <row r="46" spans="1:21" x14ac:dyDescent="0.25">
      <c r="B46" s="9"/>
      <c r="C46" s="17">
        <v>733.44</v>
      </c>
      <c r="D46" s="18">
        <v>28.911999999999999</v>
      </c>
      <c r="E46" s="18">
        <v>34.796999999999997</v>
      </c>
      <c r="F46" s="18">
        <v>35.524000000000001</v>
      </c>
      <c r="G46" s="18">
        <v>12.88</v>
      </c>
      <c r="H46" s="18">
        <f t="shared" si="0"/>
        <v>30.474124999999997</v>
      </c>
      <c r="I46" s="5"/>
      <c r="J46" s="17">
        <v>840.66560000000004</v>
      </c>
      <c r="K46" s="18">
        <v>29.972200000000001</v>
      </c>
      <c r="L46" s="18">
        <v>36.130800000000001</v>
      </c>
      <c r="M46" s="18">
        <v>36.942900000000002</v>
      </c>
      <c r="N46" s="18">
        <v>26.978899999999999</v>
      </c>
      <c r="O46" s="18">
        <f t="shared" si="1"/>
        <v>31.613362500000001</v>
      </c>
      <c r="P46" s="7"/>
      <c r="Q46" s="10"/>
      <c r="R46" s="11"/>
      <c r="S46" s="11"/>
      <c r="T46" s="26"/>
      <c r="U46" s="28">
        <f t="shared" si="2"/>
        <v>1.0946350931677018</v>
      </c>
    </row>
    <row r="47" spans="1:21" x14ac:dyDescent="0.25">
      <c r="B47" s="9"/>
      <c r="C47" s="17">
        <v>461.55</v>
      </c>
      <c r="D47" s="18">
        <v>27.358000000000001</v>
      </c>
      <c r="E47" s="18">
        <v>33.890999999999998</v>
      </c>
      <c r="F47" s="18">
        <v>34.627000000000002</v>
      </c>
      <c r="G47" s="18">
        <v>14.51</v>
      </c>
      <c r="H47" s="18">
        <f t="shared" si="0"/>
        <v>29.08325</v>
      </c>
      <c r="I47" s="5"/>
      <c r="J47" s="17">
        <v>523.29520000000002</v>
      </c>
      <c r="K47" s="18">
        <v>28.430900000000001</v>
      </c>
      <c r="L47" s="18">
        <v>35.166800000000002</v>
      </c>
      <c r="M47" s="18">
        <v>35.863399999999999</v>
      </c>
      <c r="N47" s="18">
        <v>34.1693</v>
      </c>
      <c r="O47" s="18">
        <f t="shared" si="1"/>
        <v>30.201949999999997</v>
      </c>
      <c r="P47" s="7"/>
      <c r="Q47" s="10"/>
      <c r="R47" s="11"/>
      <c r="S47" s="11"/>
      <c r="T47" s="26"/>
      <c r="U47" s="28">
        <f t="shared" si="2"/>
        <v>1.3548793935217094</v>
      </c>
    </row>
    <row r="48" spans="1:21" ht="16.5" thickBot="1" x14ac:dyDescent="0.3">
      <c r="B48" s="12"/>
      <c r="C48" s="19">
        <v>277.24</v>
      </c>
      <c r="D48" s="20">
        <v>26.007999999999999</v>
      </c>
      <c r="E48" s="20">
        <v>33.06</v>
      </c>
      <c r="F48" s="20">
        <v>33.765999999999998</v>
      </c>
      <c r="G48" s="20">
        <v>16.399999999999999</v>
      </c>
      <c r="H48" s="20">
        <f t="shared" si="0"/>
        <v>27.859249999999999</v>
      </c>
      <c r="I48" s="5"/>
      <c r="J48" s="19">
        <v>312.82080000000002</v>
      </c>
      <c r="K48" s="20">
        <v>26.8917</v>
      </c>
      <c r="L48" s="20">
        <v>34.243400000000001</v>
      </c>
      <c r="M48" s="20">
        <v>34.892800000000001</v>
      </c>
      <c r="N48" s="20">
        <v>44.267400000000002</v>
      </c>
      <c r="O48" s="20">
        <f t="shared" si="1"/>
        <v>28.8108</v>
      </c>
      <c r="P48" s="7"/>
      <c r="Q48" s="13"/>
      <c r="R48" s="14"/>
      <c r="S48" s="14"/>
      <c r="T48" s="27"/>
      <c r="U48" s="28">
        <f t="shared" si="2"/>
        <v>1.6992317073170735</v>
      </c>
    </row>
    <row r="49" spans="1:21" x14ac:dyDescent="0.25">
      <c r="B49" s="6" t="s">
        <v>56</v>
      </c>
      <c r="C49" s="15">
        <v>1110.08</v>
      </c>
      <c r="D49" s="16">
        <v>33.356999999999999</v>
      </c>
      <c r="E49" s="16">
        <v>36.889000000000003</v>
      </c>
      <c r="F49" s="16">
        <v>38.57</v>
      </c>
      <c r="G49" s="16">
        <v>6.8</v>
      </c>
      <c r="H49" s="16">
        <f t="shared" si="0"/>
        <v>34.450125</v>
      </c>
      <c r="I49" s="5"/>
      <c r="J49" s="15">
        <v>1263.088</v>
      </c>
      <c r="K49" s="16">
        <v>33.4298</v>
      </c>
      <c r="L49" s="16">
        <v>37.468000000000004</v>
      </c>
      <c r="M49" s="16">
        <v>39.014899999999997</v>
      </c>
      <c r="N49" s="16">
        <v>12.3513</v>
      </c>
      <c r="O49" s="16">
        <f t="shared" si="1"/>
        <v>34.632712500000004</v>
      </c>
      <c r="P49" s="7"/>
      <c r="Q49" s="8">
        <f>bdrate(C49:C52,D49:D52,J49:J52,K49:K52)</f>
        <v>8.9454205753327187E-2</v>
      </c>
      <c r="R49" s="8">
        <f>bdrate(C49:C52,E49:E52,J49:J52,L49:L52)</f>
        <v>-0.12309733095617326</v>
      </c>
      <c r="S49" s="8">
        <f>bdrate(C49:C52,F49:F52,J49:J52,M49:M52)</f>
        <v>-7.8325722914093454E-2</v>
      </c>
      <c r="T49" s="25">
        <f>bdrate(C49:C52,H49:H52,J49:J52,O49:O52)</f>
        <v>5.1476058289042781E-2</v>
      </c>
      <c r="U49" s="28">
        <f t="shared" si="2"/>
        <v>0.81636764705882359</v>
      </c>
    </row>
    <row r="50" spans="1:21" x14ac:dyDescent="0.25">
      <c r="B50" s="9"/>
      <c r="C50" s="17">
        <v>746.8</v>
      </c>
      <c r="D50" s="18">
        <v>31.898</v>
      </c>
      <c r="E50" s="18">
        <v>35.883000000000003</v>
      </c>
      <c r="F50" s="18">
        <v>37.564</v>
      </c>
      <c r="G50" s="18">
        <v>7.66</v>
      </c>
      <c r="H50" s="18">
        <f t="shared" si="0"/>
        <v>33.104375000000005</v>
      </c>
      <c r="I50" s="5"/>
      <c r="J50" s="17">
        <v>839.91039999999998</v>
      </c>
      <c r="K50" s="18">
        <v>31.956600000000002</v>
      </c>
      <c r="L50" s="18">
        <v>36.442799999999998</v>
      </c>
      <c r="M50" s="18">
        <v>38.001600000000003</v>
      </c>
      <c r="N50" s="18">
        <v>14.792899999999999</v>
      </c>
      <c r="O50" s="18">
        <f t="shared" si="1"/>
        <v>33.273000000000003</v>
      </c>
      <c r="P50" s="7"/>
      <c r="Q50" s="10"/>
      <c r="R50" s="11"/>
      <c r="S50" s="11"/>
      <c r="T50" s="26"/>
      <c r="U50" s="28">
        <f t="shared" si="2"/>
        <v>0.93118798955613569</v>
      </c>
    </row>
    <row r="51" spans="1:21" x14ac:dyDescent="0.25">
      <c r="B51" s="9"/>
      <c r="C51" s="17">
        <v>476.52</v>
      </c>
      <c r="D51" s="18">
        <v>30.192</v>
      </c>
      <c r="E51" s="18">
        <v>34.884999999999998</v>
      </c>
      <c r="F51" s="18">
        <v>36.493000000000002</v>
      </c>
      <c r="G51" s="18">
        <v>8.82</v>
      </c>
      <c r="H51" s="18">
        <f t="shared" si="0"/>
        <v>31.566249999999997</v>
      </c>
      <c r="I51" s="5"/>
      <c r="J51" s="17">
        <v>523.40239999999994</v>
      </c>
      <c r="K51" s="18">
        <v>30.2836</v>
      </c>
      <c r="L51" s="18">
        <v>35.389800000000001</v>
      </c>
      <c r="M51" s="18">
        <v>36.918700000000001</v>
      </c>
      <c r="N51" s="18">
        <v>18.928599999999999</v>
      </c>
      <c r="O51" s="18">
        <f t="shared" si="1"/>
        <v>31.751262499999999</v>
      </c>
      <c r="P51" s="7"/>
      <c r="Q51" s="10"/>
      <c r="R51" s="11"/>
      <c r="S51" s="11"/>
      <c r="T51" s="26"/>
      <c r="U51" s="28">
        <f t="shared" si="2"/>
        <v>1.1460997732426303</v>
      </c>
    </row>
    <row r="52" spans="1:21" ht="16.5" thickBot="1" x14ac:dyDescent="0.3">
      <c r="B52" s="12"/>
      <c r="C52" s="19">
        <v>292.02999999999997</v>
      </c>
      <c r="D52" s="20">
        <v>28.663</v>
      </c>
      <c r="E52" s="20">
        <v>33.756999999999998</v>
      </c>
      <c r="F52" s="20">
        <v>35.259</v>
      </c>
      <c r="G52" s="20">
        <v>10.08</v>
      </c>
      <c r="H52" s="20">
        <f t="shared" si="0"/>
        <v>30.124250000000004</v>
      </c>
      <c r="I52" s="5"/>
      <c r="J52" s="19">
        <v>315.30720000000002</v>
      </c>
      <c r="K52" s="20">
        <v>28.663699999999999</v>
      </c>
      <c r="L52" s="20">
        <v>34.339100000000002</v>
      </c>
      <c r="M52" s="20">
        <v>35.807499999999997</v>
      </c>
      <c r="N52" s="20">
        <v>24.342700000000001</v>
      </c>
      <c r="O52" s="20">
        <f t="shared" si="1"/>
        <v>30.266099999999998</v>
      </c>
      <c r="P52" s="7"/>
      <c r="Q52" s="13"/>
      <c r="R52" s="14"/>
      <c r="S52" s="14"/>
      <c r="T52" s="27"/>
      <c r="U52" s="28">
        <f t="shared" si="2"/>
        <v>1.4149503968253969</v>
      </c>
    </row>
    <row r="53" spans="1:21" x14ac:dyDescent="0.25">
      <c r="A53" s="6" t="s">
        <v>41</v>
      </c>
      <c r="B53" s="6" t="s">
        <v>57</v>
      </c>
      <c r="C53" s="15">
        <v>639.57000000000005</v>
      </c>
      <c r="D53" s="16">
        <v>35.482999999999997</v>
      </c>
      <c r="E53" s="16">
        <v>39.820999999999998</v>
      </c>
      <c r="F53" s="16">
        <v>38.564</v>
      </c>
      <c r="G53" s="16">
        <v>29.22</v>
      </c>
      <c r="H53" s="16">
        <f t="shared" si="0"/>
        <v>36.410374999999995</v>
      </c>
      <c r="I53" s="5"/>
      <c r="J53" s="15">
        <v>631.55039999999997</v>
      </c>
      <c r="K53" s="16">
        <v>35.584400000000002</v>
      </c>
      <c r="L53" s="16">
        <v>40.457599999999999</v>
      </c>
      <c r="M53" s="16">
        <v>38.877400000000002</v>
      </c>
      <c r="N53" s="16">
        <v>54.4129</v>
      </c>
      <c r="O53" s="16">
        <f t="shared" si="1"/>
        <v>36.605175000000003</v>
      </c>
      <c r="P53" s="7"/>
      <c r="Q53" s="8">
        <f>bdrate(C53:C56,D53:D56,J53:J56,K53:K56)</f>
        <v>-1.133671929475788E-2</v>
      </c>
      <c r="R53" s="8">
        <f>bdrate(C53:C56,E53:E56,J53:J56,L53:L56)</f>
        <v>-0.24180125019072829</v>
      </c>
      <c r="S53" s="8">
        <f>bdrate(C53:C56,F53:F56,J53:J56,M53:M56)</f>
        <v>-0.10882729837297556</v>
      </c>
      <c r="T53" s="25">
        <f>bdrate(C53:C56,H53:H56,J53:J56,O53:O56)</f>
        <v>-4.5652321844097288E-2</v>
      </c>
      <c r="U53" s="28">
        <f t="shared" si="2"/>
        <v>0.86218001368925401</v>
      </c>
    </row>
    <row r="54" spans="1:21" x14ac:dyDescent="0.25">
      <c r="A54" s="9" t="s">
        <v>42</v>
      </c>
      <c r="B54" s="9"/>
      <c r="C54" s="17">
        <v>425.7</v>
      </c>
      <c r="D54" s="18">
        <v>33.656999999999996</v>
      </c>
      <c r="E54" s="18">
        <v>38.473999999999997</v>
      </c>
      <c r="F54" s="18">
        <v>37.082000000000001</v>
      </c>
      <c r="G54" s="18">
        <v>33.01</v>
      </c>
      <c r="H54" s="18">
        <f t="shared" si="0"/>
        <v>34.687249999999999</v>
      </c>
      <c r="I54" s="5"/>
      <c r="J54" s="17">
        <v>420.68079999999998</v>
      </c>
      <c r="K54" s="18">
        <v>33.696300000000001</v>
      </c>
      <c r="L54" s="18">
        <v>39.216900000000003</v>
      </c>
      <c r="M54" s="18">
        <v>37.417999999999999</v>
      </c>
      <c r="N54" s="18">
        <v>65.146600000000007</v>
      </c>
      <c r="O54" s="18">
        <f t="shared" si="1"/>
        <v>34.851587500000001</v>
      </c>
      <c r="P54" s="7"/>
      <c r="Q54" s="10"/>
      <c r="R54" s="11"/>
      <c r="S54" s="11"/>
      <c r="T54" s="26"/>
      <c r="U54" s="28">
        <f t="shared" si="2"/>
        <v>0.97354135110572582</v>
      </c>
    </row>
    <row r="55" spans="1:21" x14ac:dyDescent="0.25">
      <c r="B55" s="9"/>
      <c r="C55" s="17">
        <v>264.81</v>
      </c>
      <c r="D55" s="18">
        <v>31.675999999999998</v>
      </c>
      <c r="E55" s="18">
        <v>37.168999999999997</v>
      </c>
      <c r="F55" s="18">
        <v>35.521999999999998</v>
      </c>
      <c r="G55" s="18">
        <v>38.520000000000003</v>
      </c>
      <c r="H55" s="18">
        <f t="shared" si="0"/>
        <v>32.843374999999995</v>
      </c>
      <c r="I55" s="5"/>
      <c r="J55" s="17">
        <v>261.10559999999998</v>
      </c>
      <c r="K55" s="18">
        <v>31.667999999999999</v>
      </c>
      <c r="L55" s="18">
        <v>37.871400000000001</v>
      </c>
      <c r="M55" s="18">
        <v>35.820099999999996</v>
      </c>
      <c r="N55" s="18">
        <v>80.723299999999995</v>
      </c>
      <c r="O55" s="18">
        <f t="shared" si="1"/>
        <v>32.962437499999993</v>
      </c>
      <c r="P55" s="7"/>
      <c r="Q55" s="10"/>
      <c r="R55" s="11"/>
      <c r="S55" s="11"/>
      <c r="T55" s="26"/>
      <c r="U55" s="28">
        <f t="shared" si="2"/>
        <v>1.0956204569055032</v>
      </c>
    </row>
    <row r="56" spans="1:21" ht="16.5" thickBot="1" x14ac:dyDescent="0.3">
      <c r="B56" s="12"/>
      <c r="C56" s="19">
        <v>127.46</v>
      </c>
      <c r="D56" s="20">
        <v>28.971</v>
      </c>
      <c r="E56" s="20">
        <v>35.168999999999997</v>
      </c>
      <c r="F56" s="20">
        <v>33.145000000000003</v>
      </c>
      <c r="G56" s="20">
        <v>48.71</v>
      </c>
      <c r="H56" s="20">
        <f t="shared" si="0"/>
        <v>30.267500000000002</v>
      </c>
      <c r="I56" s="5"/>
      <c r="J56" s="19">
        <v>123.6456</v>
      </c>
      <c r="K56" s="20">
        <v>28.776800000000001</v>
      </c>
      <c r="L56" s="20">
        <v>36.028799999999997</v>
      </c>
      <c r="M56" s="20">
        <v>33.567900000000002</v>
      </c>
      <c r="N56" s="20">
        <v>114.8633</v>
      </c>
      <c r="O56" s="20">
        <f t="shared" si="1"/>
        <v>30.282187499999999</v>
      </c>
      <c r="P56" s="7"/>
      <c r="Q56" s="13"/>
      <c r="R56" s="14"/>
      <c r="S56" s="14"/>
      <c r="T56" s="27"/>
      <c r="U56" s="28">
        <f t="shared" si="2"/>
        <v>1.3581051118866763</v>
      </c>
    </row>
    <row r="57" spans="1:21" x14ac:dyDescent="0.25">
      <c r="B57" s="6" t="s">
        <v>58</v>
      </c>
      <c r="C57" s="15">
        <v>552.78</v>
      </c>
      <c r="D57" s="16">
        <v>33.277000000000001</v>
      </c>
      <c r="E57" s="16">
        <v>40.012999999999998</v>
      </c>
      <c r="F57" s="16">
        <v>40.802</v>
      </c>
      <c r="G57" s="16">
        <v>48.08</v>
      </c>
      <c r="H57" s="16">
        <f t="shared" si="0"/>
        <v>35.059625000000004</v>
      </c>
      <c r="I57" s="5"/>
      <c r="J57" s="15">
        <v>624.05920000000003</v>
      </c>
      <c r="K57" s="16">
        <v>34.537599999999998</v>
      </c>
      <c r="L57" s="16">
        <v>41.6586</v>
      </c>
      <c r="M57" s="16">
        <v>42.5169</v>
      </c>
      <c r="N57" s="16">
        <v>85.094300000000004</v>
      </c>
      <c r="O57" s="16">
        <f t="shared" si="1"/>
        <v>36.425137499999998</v>
      </c>
      <c r="P57" s="7"/>
      <c r="Q57" s="8">
        <f>bdrate(C57:C60,D57:D60,J57:J60,K57:K60)</f>
        <v>-0.23329969289348085</v>
      </c>
      <c r="R57" s="8">
        <f>bdrate(C57:C60,E57:E60,J57:J60,L57:L60)</f>
        <v>-0.41030005429533178</v>
      </c>
      <c r="S57" s="8">
        <f>bdrate(C57:C60,F57:F60,J57:J60,M57:M60)</f>
        <v>-0.41754026604911909</v>
      </c>
      <c r="T57" s="25">
        <f>bdrate(C57:C60,H57:H60,J57:J60,O57:O60)</f>
        <v>-0.26540218968822171</v>
      </c>
      <c r="U57" s="28">
        <f t="shared" si="2"/>
        <v>0.76984816971713821</v>
      </c>
    </row>
    <row r="58" spans="1:21" x14ac:dyDescent="0.25">
      <c r="B58" s="9"/>
      <c r="C58" s="17">
        <v>363.25</v>
      </c>
      <c r="D58" s="18">
        <v>31.881</v>
      </c>
      <c r="E58" s="18">
        <v>39.246000000000002</v>
      </c>
      <c r="F58" s="18">
        <v>39.945999999999998</v>
      </c>
      <c r="G58" s="18">
        <v>53.57</v>
      </c>
      <c r="H58" s="18">
        <f t="shared" si="0"/>
        <v>33.809750000000001</v>
      </c>
      <c r="I58" s="5"/>
      <c r="J58" s="17">
        <v>414.78960000000001</v>
      </c>
      <c r="K58" s="18">
        <v>33.208199999999998</v>
      </c>
      <c r="L58" s="18">
        <v>40.727600000000002</v>
      </c>
      <c r="M58" s="18">
        <v>41.521999999999998</v>
      </c>
      <c r="N58" s="18">
        <v>105.9509</v>
      </c>
      <c r="O58" s="18">
        <f t="shared" si="1"/>
        <v>35.187349999999995</v>
      </c>
      <c r="P58" s="7"/>
      <c r="Q58" s="10"/>
      <c r="R58" s="11"/>
      <c r="S58" s="11"/>
      <c r="T58" s="26"/>
      <c r="U58" s="28">
        <f t="shared" si="2"/>
        <v>0.97780287474332661</v>
      </c>
    </row>
    <row r="59" spans="1:21" x14ac:dyDescent="0.25">
      <c r="B59" s="9"/>
      <c r="C59" s="17">
        <v>225</v>
      </c>
      <c r="D59" s="18">
        <v>30.283000000000001</v>
      </c>
      <c r="E59" s="18">
        <v>38.529000000000003</v>
      </c>
      <c r="F59" s="18">
        <v>39.15</v>
      </c>
      <c r="G59" s="18">
        <v>58.81</v>
      </c>
      <c r="H59" s="18">
        <f t="shared" si="0"/>
        <v>32.422125000000001</v>
      </c>
      <c r="I59" s="5"/>
      <c r="J59" s="17">
        <v>257.79680000000002</v>
      </c>
      <c r="K59" s="18">
        <v>31.639099999999999</v>
      </c>
      <c r="L59" s="18">
        <v>39.659199999999998</v>
      </c>
      <c r="M59" s="18">
        <v>40.401699999999998</v>
      </c>
      <c r="N59" s="18">
        <v>141.40940000000001</v>
      </c>
      <c r="O59" s="18">
        <f t="shared" si="1"/>
        <v>33.736937499999996</v>
      </c>
      <c r="P59" s="7"/>
      <c r="Q59" s="10"/>
      <c r="R59" s="11"/>
      <c r="S59" s="11"/>
      <c r="T59" s="26"/>
      <c r="U59" s="28">
        <f t="shared" si="2"/>
        <v>1.4045128379527292</v>
      </c>
    </row>
    <row r="60" spans="1:21" ht="16.5" thickBot="1" x14ac:dyDescent="0.3">
      <c r="B60" s="12"/>
      <c r="C60" s="19">
        <v>106.1</v>
      </c>
      <c r="D60" s="20">
        <v>27.815000000000001</v>
      </c>
      <c r="E60" s="20">
        <v>37.334000000000003</v>
      </c>
      <c r="F60" s="20">
        <v>37.917999999999999</v>
      </c>
      <c r="G60" s="20">
        <v>72.430000000000007</v>
      </c>
      <c r="H60" s="20">
        <f t="shared" si="0"/>
        <v>30.267750000000003</v>
      </c>
      <c r="I60" s="5"/>
      <c r="J60" s="19">
        <v>123.08240000000001</v>
      </c>
      <c r="K60" s="20">
        <v>29.114100000000001</v>
      </c>
      <c r="L60" s="20">
        <v>38.277799999999999</v>
      </c>
      <c r="M60" s="20">
        <v>38.925899999999999</v>
      </c>
      <c r="N60" s="20">
        <v>224.88759999999999</v>
      </c>
      <c r="O60" s="20">
        <f t="shared" si="1"/>
        <v>31.486037500000002</v>
      </c>
      <c r="P60" s="7"/>
      <c r="Q60" s="13"/>
      <c r="R60" s="14"/>
      <c r="S60" s="14"/>
      <c r="T60" s="27"/>
      <c r="U60" s="28">
        <f t="shared" si="2"/>
        <v>2.1048957614248236</v>
      </c>
    </row>
    <row r="61" spans="1:21" x14ac:dyDescent="0.25">
      <c r="B61" s="6" t="s">
        <v>59</v>
      </c>
      <c r="C61" s="29">
        <v>627.91</v>
      </c>
      <c r="D61" s="30">
        <v>33.427</v>
      </c>
      <c r="E61" s="30">
        <v>37.43</v>
      </c>
      <c r="F61" s="30">
        <v>38.011000000000003</v>
      </c>
      <c r="G61" s="16">
        <v>39.229999999999997</v>
      </c>
      <c r="H61" s="16">
        <f t="shared" si="0"/>
        <v>34.500375000000005</v>
      </c>
      <c r="I61" s="5"/>
      <c r="J61" s="29">
        <v>646.80799999999999</v>
      </c>
      <c r="K61" s="30">
        <v>34.126899999999999</v>
      </c>
      <c r="L61" s="30">
        <v>38.616399999999999</v>
      </c>
      <c r="M61" s="30">
        <v>39.447200000000002</v>
      </c>
      <c r="N61" s="16">
        <v>74.194999999999993</v>
      </c>
      <c r="O61" s="16">
        <f t="shared" si="1"/>
        <v>35.353124999999999</v>
      </c>
      <c r="P61" s="7"/>
      <c r="Q61" s="8">
        <f>bdrate(C61:C64,D61:D64,J61:J64,K61:K64)</f>
        <v>-0.16092936252190604</v>
      </c>
      <c r="R61" s="8">
        <f>bdrate(C61:C64,E61:E64,J61:J64,L61:L64)</f>
        <v>-0.30190561044318343</v>
      </c>
      <c r="S61" s="8">
        <f>bdrate(C61:C64,F61:F64,J61:J64,M61:M64)</f>
        <v>-0.35931834886174741</v>
      </c>
      <c r="T61" s="25">
        <f>bdrate(C61:C64,H61:H64,J61:J64,O61:O64)</f>
        <v>-0.19644673847783656</v>
      </c>
      <c r="U61" s="28">
        <f t="shared" si="2"/>
        <v>0.89128218200356868</v>
      </c>
    </row>
    <row r="62" spans="1:21" x14ac:dyDescent="0.25">
      <c r="B62" s="9"/>
      <c r="C62" s="31">
        <v>418.15</v>
      </c>
      <c r="D62" s="32">
        <v>31.821999999999999</v>
      </c>
      <c r="E62" s="32">
        <v>36.308999999999997</v>
      </c>
      <c r="F62" s="32">
        <v>36.875999999999998</v>
      </c>
      <c r="G62" s="18">
        <v>44.39</v>
      </c>
      <c r="H62" s="18">
        <f t="shared" si="0"/>
        <v>33.014624999999995</v>
      </c>
      <c r="I62" s="5"/>
      <c r="J62" s="31">
        <v>428.92320000000001</v>
      </c>
      <c r="K62" s="32">
        <v>32.540100000000002</v>
      </c>
      <c r="L62" s="32">
        <v>37.365400000000001</v>
      </c>
      <c r="M62" s="32">
        <v>38.168300000000002</v>
      </c>
      <c r="N62" s="18">
        <v>91.307500000000005</v>
      </c>
      <c r="O62" s="18">
        <f t="shared" si="1"/>
        <v>33.846787500000005</v>
      </c>
      <c r="P62" s="7"/>
      <c r="Q62" s="10"/>
      <c r="R62" s="11"/>
      <c r="S62" s="11"/>
      <c r="T62" s="26"/>
      <c r="U62" s="28">
        <f t="shared" si="2"/>
        <v>1.0569384996620861</v>
      </c>
    </row>
    <row r="63" spans="1:21" x14ac:dyDescent="0.25">
      <c r="B63" s="9"/>
      <c r="C63" s="31">
        <v>261.22000000000003</v>
      </c>
      <c r="D63" s="32">
        <v>30.109000000000002</v>
      </c>
      <c r="E63" s="32">
        <v>35.174999999999997</v>
      </c>
      <c r="F63" s="32">
        <v>35.747</v>
      </c>
      <c r="G63" s="18">
        <v>51.28</v>
      </c>
      <c r="H63" s="18">
        <f t="shared" si="0"/>
        <v>31.447000000000003</v>
      </c>
      <c r="I63" s="5"/>
      <c r="J63" s="31">
        <v>267.476</v>
      </c>
      <c r="K63" s="32">
        <v>30.8367</v>
      </c>
      <c r="L63" s="32">
        <v>36.087200000000003</v>
      </c>
      <c r="M63" s="32">
        <v>36.876300000000001</v>
      </c>
      <c r="N63" s="18">
        <v>112.8668</v>
      </c>
      <c r="O63" s="18">
        <f t="shared" si="1"/>
        <v>32.2479625</v>
      </c>
      <c r="P63" s="7"/>
      <c r="Q63" s="10"/>
      <c r="R63" s="11"/>
      <c r="S63" s="11"/>
      <c r="T63" s="26"/>
      <c r="U63" s="28">
        <f t="shared" si="2"/>
        <v>1.2009906396255849</v>
      </c>
    </row>
    <row r="64" spans="1:21" ht="16.5" thickBot="1" x14ac:dyDescent="0.3">
      <c r="B64" s="12"/>
      <c r="C64" s="33">
        <v>124.42</v>
      </c>
      <c r="D64" s="34">
        <v>27.7</v>
      </c>
      <c r="E64" s="34">
        <v>33.533999999999999</v>
      </c>
      <c r="F64" s="34">
        <v>34.143999999999998</v>
      </c>
      <c r="G64" s="20">
        <v>62.24</v>
      </c>
      <c r="H64" s="20">
        <f t="shared" si="0"/>
        <v>29.234749999999998</v>
      </c>
      <c r="I64" s="5"/>
      <c r="J64" s="33">
        <v>125.7912</v>
      </c>
      <c r="K64" s="34">
        <v>28.297599999999999</v>
      </c>
      <c r="L64" s="34">
        <v>34.350099999999998</v>
      </c>
      <c r="M64" s="34">
        <v>35.118000000000002</v>
      </c>
      <c r="N64" s="20">
        <v>157.87809999999999</v>
      </c>
      <c r="O64" s="20">
        <f t="shared" si="1"/>
        <v>29.906712499999998</v>
      </c>
      <c r="P64" s="7"/>
      <c r="Q64" s="13"/>
      <c r="R64" s="14"/>
      <c r="S64" s="14"/>
      <c r="T64" s="27"/>
      <c r="U64" s="28">
        <f t="shared" si="2"/>
        <v>1.5366018637532131</v>
      </c>
    </row>
    <row r="65" spans="1:21" x14ac:dyDescent="0.25">
      <c r="B65" s="6" t="s">
        <v>60</v>
      </c>
      <c r="C65" s="15">
        <v>578.1</v>
      </c>
      <c r="D65" s="16">
        <v>35.051000000000002</v>
      </c>
      <c r="E65" s="16">
        <v>38.046999999999997</v>
      </c>
      <c r="F65" s="16">
        <v>39.194000000000003</v>
      </c>
      <c r="G65" s="16">
        <v>21.9</v>
      </c>
      <c r="H65" s="16">
        <f t="shared" si="0"/>
        <v>35.943375000000003</v>
      </c>
      <c r="I65" s="5"/>
      <c r="J65" s="15">
        <v>638.23440000000005</v>
      </c>
      <c r="K65" s="16">
        <v>35.3523</v>
      </c>
      <c r="L65" s="16">
        <v>38.7271</v>
      </c>
      <c r="M65" s="16">
        <v>39.814399999999999</v>
      </c>
      <c r="N65" s="16">
        <v>41.533999999999999</v>
      </c>
      <c r="O65" s="16">
        <f t="shared" si="1"/>
        <v>36.331912500000001</v>
      </c>
      <c r="P65" s="7"/>
      <c r="Q65" s="8">
        <f>bdrate(C65:C68,D65:D68,J65:J68,K65:K68)</f>
        <v>4.7798414743039475E-2</v>
      </c>
      <c r="R65" s="8">
        <f>bdrate(C65:C68,E65:E68,J65:J68,L65:L68)</f>
        <v>-0.12850972171454722</v>
      </c>
      <c r="S65" s="8">
        <f>bdrate(C65:C68,F65:F68,J65:J68,M65:M68)</f>
        <v>-0.11266552095849458</v>
      </c>
      <c r="T65" s="25">
        <f>bdrate(C65:C68,H65:H68,J65:J68,O65:O68)</f>
        <v>1.2153570616783238E-2</v>
      </c>
      <c r="U65" s="28">
        <f t="shared" si="2"/>
        <v>0.8965296803652969</v>
      </c>
    </row>
    <row r="66" spans="1:21" x14ac:dyDescent="0.25">
      <c r="B66" s="9"/>
      <c r="C66" s="17">
        <v>387.4</v>
      </c>
      <c r="D66" s="18">
        <v>33.19</v>
      </c>
      <c r="E66" s="18">
        <v>36.758000000000003</v>
      </c>
      <c r="F66" s="18">
        <v>37.93</v>
      </c>
      <c r="G66" s="18">
        <v>25.07</v>
      </c>
      <c r="H66" s="18">
        <f t="shared" si="0"/>
        <v>34.228499999999997</v>
      </c>
      <c r="I66" s="5"/>
      <c r="J66" s="17">
        <v>425.48480000000001</v>
      </c>
      <c r="K66" s="18">
        <v>33.446800000000003</v>
      </c>
      <c r="L66" s="18">
        <v>37.375500000000002</v>
      </c>
      <c r="M66" s="18">
        <v>38.491799999999998</v>
      </c>
      <c r="N66" s="18">
        <v>49.309699999999999</v>
      </c>
      <c r="O66" s="18">
        <f t="shared" si="1"/>
        <v>34.568512500000004</v>
      </c>
      <c r="P66" s="7"/>
      <c r="Q66" s="10"/>
      <c r="R66" s="11"/>
      <c r="S66" s="11"/>
      <c r="T66" s="26"/>
      <c r="U66" s="28">
        <f t="shared" si="2"/>
        <v>0.96688073394495411</v>
      </c>
    </row>
    <row r="67" spans="1:21" x14ac:dyDescent="0.25">
      <c r="B67" s="9"/>
      <c r="C67" s="17">
        <v>244.22</v>
      </c>
      <c r="D67" s="18">
        <v>31.277999999999999</v>
      </c>
      <c r="E67" s="18">
        <v>35.411999999999999</v>
      </c>
      <c r="F67" s="18">
        <v>36.485999999999997</v>
      </c>
      <c r="G67" s="18">
        <v>29.68</v>
      </c>
      <c r="H67" s="18">
        <f t="shared" si="0"/>
        <v>32.445750000000004</v>
      </c>
      <c r="I67" s="5"/>
      <c r="J67" s="17">
        <v>263.7808</v>
      </c>
      <c r="K67" s="18">
        <v>31.376100000000001</v>
      </c>
      <c r="L67" s="18">
        <v>36.007300000000001</v>
      </c>
      <c r="M67" s="18">
        <v>37.051200000000001</v>
      </c>
      <c r="N67" s="18">
        <v>60.483899999999998</v>
      </c>
      <c r="O67" s="18">
        <f t="shared" si="1"/>
        <v>32.664387499999997</v>
      </c>
      <c r="P67" s="7"/>
      <c r="Q67" s="10"/>
      <c r="R67" s="11"/>
      <c r="S67" s="11"/>
      <c r="T67" s="26"/>
      <c r="U67" s="28">
        <f t="shared" si="2"/>
        <v>1.0378672506738544</v>
      </c>
    </row>
    <row r="68" spans="1:21" ht="16.5" thickBot="1" x14ac:dyDescent="0.3">
      <c r="B68" s="12"/>
      <c r="C68" s="19">
        <v>117.95</v>
      </c>
      <c r="D68" s="20">
        <v>28.664999999999999</v>
      </c>
      <c r="E68" s="20">
        <v>33.401000000000003</v>
      </c>
      <c r="F68" s="20">
        <v>34.368000000000002</v>
      </c>
      <c r="G68" s="20">
        <v>38.93</v>
      </c>
      <c r="H68" s="20">
        <f t="shared" si="0"/>
        <v>29.969875000000002</v>
      </c>
      <c r="I68" s="5"/>
      <c r="J68" s="19">
        <v>125.6144</v>
      </c>
      <c r="K68" s="20">
        <v>28.685500000000001</v>
      </c>
      <c r="L68" s="20">
        <v>34.1601</v>
      </c>
      <c r="M68" s="20">
        <v>35.158200000000001</v>
      </c>
      <c r="N68" s="20">
        <v>84.721800000000002</v>
      </c>
      <c r="O68" s="20">
        <f t="shared" si="1"/>
        <v>30.178912499999999</v>
      </c>
      <c r="P68" s="7"/>
      <c r="Q68" s="13"/>
      <c r="R68" s="14"/>
      <c r="S68" s="14"/>
      <c r="T68" s="27"/>
      <c r="U68" s="28">
        <f t="shared" si="2"/>
        <v>1.1762599537631646</v>
      </c>
    </row>
    <row r="69" spans="1:21" x14ac:dyDescent="0.25">
      <c r="A69" s="6" t="s">
        <v>43</v>
      </c>
      <c r="B69" s="6" t="s">
        <v>61</v>
      </c>
      <c r="C69" s="15">
        <v>1379.31</v>
      </c>
      <c r="D69" s="16">
        <v>40.932000000000002</v>
      </c>
      <c r="E69" s="16">
        <v>44.856000000000002</v>
      </c>
      <c r="F69" s="16">
        <v>46.05</v>
      </c>
      <c r="G69" s="16">
        <v>8.8800000000000008</v>
      </c>
      <c r="H69" s="16">
        <f t="shared" si="0"/>
        <v>42.062250000000006</v>
      </c>
      <c r="I69" s="5"/>
      <c r="J69" s="15">
        <v>1532.2112</v>
      </c>
      <c r="K69" s="16">
        <v>41.968400000000003</v>
      </c>
      <c r="L69" s="16">
        <v>46.115600000000001</v>
      </c>
      <c r="M69" s="16">
        <v>47.303100000000001</v>
      </c>
      <c r="N69" s="16">
        <v>19.154</v>
      </c>
      <c r="O69" s="16">
        <f t="shared" si="1"/>
        <v>43.153637500000002</v>
      </c>
      <c r="P69" s="7"/>
      <c r="Q69" s="8">
        <f>bdrate(C69:C72,D69:D72,J69:J72,K69:K72)</f>
        <v>-0.24879268138295174</v>
      </c>
      <c r="R69" s="8">
        <f>bdrate(C69:C72,E69:E72,J69:J72,L69:L72)</f>
        <v>-0.33442768057340877</v>
      </c>
      <c r="S69" s="8">
        <f>bdrate(C69:C72,F69:F72,J69:J72,M69:M72)</f>
        <v>-0.28748436842394154</v>
      </c>
      <c r="T69" s="25">
        <f>bdrate(C69:C72,H69:H72,J69:J72,O69:O72)</f>
        <v>-0.26191860925266153</v>
      </c>
      <c r="U69" s="28">
        <f t="shared" si="2"/>
        <v>1.1569819819819818</v>
      </c>
    </row>
    <row r="70" spans="1:21" x14ac:dyDescent="0.25">
      <c r="A70" s="9" t="s">
        <v>44</v>
      </c>
      <c r="B70" s="9"/>
      <c r="C70" s="17">
        <v>903.79</v>
      </c>
      <c r="D70" s="18">
        <v>39.656999999999996</v>
      </c>
      <c r="E70" s="18">
        <v>43.704999999999998</v>
      </c>
      <c r="F70" s="18">
        <v>44.996000000000002</v>
      </c>
      <c r="G70" s="18">
        <v>9.94</v>
      </c>
      <c r="H70" s="18">
        <f t="shared" si="0"/>
        <v>40.830374999999997</v>
      </c>
      <c r="I70" s="5"/>
      <c r="J70" s="17">
        <v>1009.9023999999999</v>
      </c>
      <c r="K70" s="18">
        <v>40.950000000000003</v>
      </c>
      <c r="L70" s="18">
        <v>45.138100000000001</v>
      </c>
      <c r="M70" s="18">
        <v>46.2517</v>
      </c>
      <c r="N70" s="18">
        <v>24.2807</v>
      </c>
      <c r="O70" s="18">
        <f t="shared" si="1"/>
        <v>42.136224999999996</v>
      </c>
      <c r="P70" s="7"/>
      <c r="Q70" s="10"/>
      <c r="R70" s="11"/>
      <c r="S70" s="11"/>
      <c r="T70" s="26"/>
      <c r="U70" s="28">
        <f t="shared" si="2"/>
        <v>1.4427263581488934</v>
      </c>
    </row>
    <row r="71" spans="1:21" x14ac:dyDescent="0.25">
      <c r="B71" s="9"/>
      <c r="C71" s="17">
        <v>536.33000000000004</v>
      </c>
      <c r="D71" s="18">
        <v>37.715000000000003</v>
      </c>
      <c r="E71" s="18">
        <v>42.216999999999999</v>
      </c>
      <c r="F71" s="18">
        <v>43.491</v>
      </c>
      <c r="G71" s="18">
        <v>10.84</v>
      </c>
      <c r="H71" s="18">
        <f t="shared" si="0"/>
        <v>38.999749999999999</v>
      </c>
      <c r="I71" s="5"/>
      <c r="J71" s="17">
        <v>586.25840000000005</v>
      </c>
      <c r="K71" s="18">
        <v>39.178899999999999</v>
      </c>
      <c r="L71" s="18">
        <v>43.638100000000001</v>
      </c>
      <c r="M71" s="18">
        <v>44.770600000000002</v>
      </c>
      <c r="N71" s="18">
        <v>31.7864</v>
      </c>
      <c r="O71" s="18">
        <f t="shared" si="1"/>
        <v>40.4352625</v>
      </c>
      <c r="P71" s="7"/>
      <c r="Q71" s="10"/>
      <c r="R71" s="11"/>
      <c r="S71" s="11"/>
      <c r="T71" s="26"/>
      <c r="U71" s="28">
        <f t="shared" si="2"/>
        <v>1.9323247232472325</v>
      </c>
    </row>
    <row r="72" spans="1:21" ht="16.5" thickBot="1" x14ac:dyDescent="0.3">
      <c r="B72" s="12"/>
      <c r="C72" s="19">
        <v>267.23</v>
      </c>
      <c r="D72" s="20">
        <v>34.896999999999998</v>
      </c>
      <c r="E72" s="20">
        <v>40.274999999999999</v>
      </c>
      <c r="F72" s="20">
        <v>41.484999999999999</v>
      </c>
      <c r="G72" s="20">
        <v>12.12</v>
      </c>
      <c r="H72" s="20">
        <f t="shared" si="0"/>
        <v>36.392749999999999</v>
      </c>
      <c r="I72" s="5"/>
      <c r="J72" s="19">
        <v>282.27519999999998</v>
      </c>
      <c r="K72" s="20">
        <v>36.0548</v>
      </c>
      <c r="L72" s="20">
        <v>41.495800000000003</v>
      </c>
      <c r="M72" s="20">
        <v>42.425699999999999</v>
      </c>
      <c r="N72" s="20">
        <v>44.411499999999997</v>
      </c>
      <c r="O72" s="20">
        <f t="shared" si="1"/>
        <v>37.531287500000005</v>
      </c>
      <c r="P72" s="7"/>
      <c r="Q72" s="13"/>
      <c r="R72" s="14"/>
      <c r="S72" s="14"/>
      <c r="T72" s="27"/>
      <c r="U72" s="28">
        <f t="shared" si="2"/>
        <v>2.6643151815181518</v>
      </c>
    </row>
    <row r="73" spans="1:21" x14ac:dyDescent="0.25">
      <c r="B73" s="6" t="s">
        <v>62</v>
      </c>
      <c r="C73" s="15">
        <v>1424.35</v>
      </c>
      <c r="D73" s="16">
        <v>42.523000000000003</v>
      </c>
      <c r="E73" s="16">
        <v>47.040999999999997</v>
      </c>
      <c r="F73" s="16">
        <v>47.694000000000003</v>
      </c>
      <c r="G73" s="16">
        <v>9.09</v>
      </c>
      <c r="H73" s="16">
        <f t="shared" si="0"/>
        <v>43.734125000000006</v>
      </c>
      <c r="I73" s="5"/>
      <c r="J73" s="15">
        <v>1519.2231999999999</v>
      </c>
      <c r="K73" s="16">
        <v>42.925800000000002</v>
      </c>
      <c r="L73" s="16">
        <v>48.134900000000002</v>
      </c>
      <c r="M73" s="16">
        <v>48.815800000000003</v>
      </c>
      <c r="N73" s="16">
        <v>20.1052</v>
      </c>
      <c r="O73" s="16">
        <f t="shared" si="1"/>
        <v>44.313187500000005</v>
      </c>
      <c r="P73" s="7"/>
      <c r="Q73" s="8">
        <f>bdrate(C73:C76,D73:D76,J73:J76,K73:K76)</f>
        <v>-0.24788877082899397</v>
      </c>
      <c r="R73" s="8">
        <f>bdrate(C73:C76,E73:E76,J73:J76,L73:L76)</f>
        <v>-0.4489291408447964</v>
      </c>
      <c r="S73" s="8">
        <f>bdrate(C73:C76,F73:F76,J73:J76,M73:M76)</f>
        <v>-0.39337685317435322</v>
      </c>
      <c r="T73" s="25">
        <f>bdrate(C73:C76,H73:H76,J73:J76,O73:O76)</f>
        <v>-0.30162247302824929</v>
      </c>
      <c r="U73" s="28">
        <f t="shared" ref="U73:U232" si="3">(N73-G73)/G73</f>
        <v>1.2117931793179317</v>
      </c>
    </row>
    <row r="74" spans="1:21" x14ac:dyDescent="0.25">
      <c r="B74" s="9"/>
      <c r="C74" s="17">
        <v>935.22</v>
      </c>
      <c r="D74" s="18">
        <v>41.930999999999997</v>
      </c>
      <c r="E74" s="18">
        <v>46.377000000000002</v>
      </c>
      <c r="F74" s="18">
        <v>47.048000000000002</v>
      </c>
      <c r="G74" s="18">
        <v>10.039999999999999</v>
      </c>
      <c r="H74" s="18">
        <f t="shared" si="0"/>
        <v>43.126374999999996</v>
      </c>
      <c r="I74" s="5"/>
      <c r="J74" s="17">
        <v>997.18399999999997</v>
      </c>
      <c r="K74" s="18">
        <v>42.4664</v>
      </c>
      <c r="L74" s="18">
        <v>47.623399999999997</v>
      </c>
      <c r="M74" s="18">
        <v>48.270499999999998</v>
      </c>
      <c r="N74" s="18">
        <v>26.057500000000001</v>
      </c>
      <c r="O74" s="18">
        <f t="shared" si="1"/>
        <v>43.836537500000006</v>
      </c>
      <c r="P74" s="7"/>
      <c r="Q74" s="10"/>
      <c r="R74" s="11"/>
      <c r="S74" s="11"/>
      <c r="T74" s="26"/>
      <c r="U74" s="28">
        <f t="shared" si="3"/>
        <v>1.5953685258964148</v>
      </c>
    </row>
    <row r="75" spans="1:21" x14ac:dyDescent="0.25">
      <c r="B75" s="9"/>
      <c r="C75" s="17">
        <v>550.29999999999995</v>
      </c>
      <c r="D75" s="18">
        <v>41.055999999999997</v>
      </c>
      <c r="E75" s="18">
        <v>45.332999999999998</v>
      </c>
      <c r="F75" s="18">
        <v>46.094999999999999</v>
      </c>
      <c r="G75" s="18">
        <v>10.87</v>
      </c>
      <c r="H75" s="18">
        <f t="shared" si="0"/>
        <v>42.220500000000001</v>
      </c>
      <c r="I75" s="5"/>
      <c r="J75" s="17">
        <v>583.76239999999996</v>
      </c>
      <c r="K75" s="18">
        <v>41.663400000000003</v>
      </c>
      <c r="L75" s="18">
        <v>46.715200000000003</v>
      </c>
      <c r="M75" s="18">
        <v>47.222099999999998</v>
      </c>
      <c r="N75" s="18">
        <v>34.902000000000001</v>
      </c>
      <c r="O75" s="18">
        <f t="shared" si="1"/>
        <v>42.989712500000003</v>
      </c>
      <c r="P75" s="7"/>
      <c r="Q75" s="10"/>
      <c r="R75" s="11"/>
      <c r="S75" s="11"/>
      <c r="T75" s="26"/>
      <c r="U75" s="28">
        <f t="shared" si="3"/>
        <v>2.2108555657773694</v>
      </c>
    </row>
    <row r="76" spans="1:21" ht="16.5" thickBot="1" x14ac:dyDescent="0.3">
      <c r="B76" s="12"/>
      <c r="C76" s="19">
        <v>265.91000000000003</v>
      </c>
      <c r="D76" s="20">
        <v>39.314</v>
      </c>
      <c r="E76" s="20">
        <v>43.603000000000002</v>
      </c>
      <c r="F76" s="20">
        <v>44.476999999999997</v>
      </c>
      <c r="G76" s="20">
        <v>11.95</v>
      </c>
      <c r="H76" s="20">
        <f t="shared" si="0"/>
        <v>40.4955</v>
      </c>
      <c r="I76" s="5"/>
      <c r="J76" s="19">
        <v>277.60399999999998</v>
      </c>
      <c r="K76" s="20">
        <v>40.117699999999999</v>
      </c>
      <c r="L76" s="20">
        <v>44.8626</v>
      </c>
      <c r="M76" s="20">
        <v>45.455100000000002</v>
      </c>
      <c r="N76" s="20">
        <v>51.011699999999998</v>
      </c>
      <c r="O76" s="20">
        <f t="shared" si="1"/>
        <v>41.377987500000003</v>
      </c>
      <c r="P76" s="7"/>
      <c r="Q76" s="13"/>
      <c r="R76" s="14"/>
      <c r="S76" s="14"/>
      <c r="T76" s="27"/>
      <c r="U76" s="28">
        <f t="shared" si="3"/>
        <v>3.2687615062761508</v>
      </c>
    </row>
    <row r="77" spans="1:21" x14ac:dyDescent="0.25">
      <c r="B77" s="6" t="s">
        <v>63</v>
      </c>
      <c r="C77" s="15">
        <v>1485.43</v>
      </c>
      <c r="D77" s="16">
        <v>42.372</v>
      </c>
      <c r="E77" s="16">
        <v>46.363</v>
      </c>
      <c r="F77" s="16">
        <v>47.24</v>
      </c>
      <c r="G77" s="16">
        <v>7.94</v>
      </c>
      <c r="H77" s="16">
        <f t="shared" si="0"/>
        <v>43.479375000000005</v>
      </c>
      <c r="I77" s="5"/>
      <c r="J77" s="15">
        <v>1540.2568000000001</v>
      </c>
      <c r="K77" s="16">
        <v>42.8889</v>
      </c>
      <c r="L77" s="16">
        <v>47.249000000000002</v>
      </c>
      <c r="M77" s="16">
        <v>48.085900000000002</v>
      </c>
      <c r="N77" s="16">
        <v>18.771100000000001</v>
      </c>
      <c r="O77" s="16">
        <f t="shared" si="1"/>
        <v>44.083537499999998</v>
      </c>
      <c r="P77" s="7"/>
      <c r="Q77" s="8">
        <f>bdrate(C77:C80,D77:D80,J77:J80,K77:K80)</f>
        <v>-0.20984955254586446</v>
      </c>
      <c r="R77" s="8">
        <f>bdrate(C77:C80,E77:E80,J77:J80,L77:L80)</f>
        <v>-0.34358955420401494</v>
      </c>
      <c r="S77" s="8">
        <f>bdrate(C77:C80,F77:F80,J77:J80,M77:M80)</f>
        <v>-0.31221639136106116</v>
      </c>
      <c r="T77" s="25">
        <f>bdrate(C77:C80,H77:H80,J77:J80,O77:O80)</f>
        <v>-0.24008235188175275</v>
      </c>
      <c r="U77" s="28">
        <f t="shared" si="3"/>
        <v>1.3641183879093197</v>
      </c>
    </row>
    <row r="78" spans="1:21" x14ac:dyDescent="0.25">
      <c r="B78" s="9"/>
      <c r="C78" s="17">
        <v>981.85</v>
      </c>
      <c r="D78" s="18">
        <v>41.485999999999997</v>
      </c>
      <c r="E78" s="18">
        <v>45.44</v>
      </c>
      <c r="F78" s="18">
        <v>46.323</v>
      </c>
      <c r="G78" s="18">
        <v>8.81</v>
      </c>
      <c r="H78" s="18">
        <f t="shared" si="0"/>
        <v>42.584874999999997</v>
      </c>
      <c r="I78" s="5"/>
      <c r="J78" s="17">
        <v>1039.6288</v>
      </c>
      <c r="K78" s="18">
        <v>42.1233</v>
      </c>
      <c r="L78" s="18">
        <v>46.486800000000002</v>
      </c>
      <c r="M78" s="18">
        <v>47.308999999999997</v>
      </c>
      <c r="N78" s="18">
        <v>24.846800000000002</v>
      </c>
      <c r="O78" s="18">
        <f t="shared" si="1"/>
        <v>43.316950000000006</v>
      </c>
      <c r="P78" s="7"/>
      <c r="Q78" s="10"/>
      <c r="R78" s="11"/>
      <c r="S78" s="11"/>
      <c r="T78" s="26"/>
      <c r="U78" s="28">
        <f t="shared" si="3"/>
        <v>1.8202951191827468</v>
      </c>
    </row>
    <row r="79" spans="1:21" x14ac:dyDescent="0.25">
      <c r="B79" s="9"/>
      <c r="C79" s="17">
        <v>584.47</v>
      </c>
      <c r="D79" s="18">
        <v>40.122</v>
      </c>
      <c r="E79" s="18">
        <v>43.997999999999998</v>
      </c>
      <c r="F79" s="18">
        <v>44.954000000000001</v>
      </c>
      <c r="G79" s="18">
        <v>9.83</v>
      </c>
      <c r="H79" s="18">
        <f t="shared" si="0"/>
        <v>41.210500000000003</v>
      </c>
      <c r="I79" s="5"/>
      <c r="J79" s="17">
        <v>595.84159999999997</v>
      </c>
      <c r="K79" s="18">
        <v>40.885100000000001</v>
      </c>
      <c r="L79" s="18">
        <v>45.236199999999997</v>
      </c>
      <c r="M79" s="18">
        <v>46.0199</v>
      </c>
      <c r="N79" s="18">
        <v>32.131999999999998</v>
      </c>
      <c r="O79" s="18">
        <f t="shared" si="1"/>
        <v>42.070837500000003</v>
      </c>
      <c r="P79" s="7"/>
      <c r="Q79" s="10"/>
      <c r="R79" s="11"/>
      <c r="S79" s="11"/>
      <c r="T79" s="26"/>
      <c r="U79" s="28">
        <f t="shared" si="3"/>
        <v>2.2687690742624618</v>
      </c>
    </row>
    <row r="80" spans="1:21" ht="16.5" thickBot="1" x14ac:dyDescent="0.3">
      <c r="B80" s="12"/>
      <c r="C80" s="19">
        <v>289.44</v>
      </c>
      <c r="D80" s="20">
        <v>37.795999999999999</v>
      </c>
      <c r="E80" s="20">
        <v>42.081000000000003</v>
      </c>
      <c r="F80" s="20">
        <v>43</v>
      </c>
      <c r="G80" s="20">
        <v>11.02</v>
      </c>
      <c r="H80" s="20">
        <f t="shared" si="0"/>
        <v>38.982125000000003</v>
      </c>
      <c r="I80" s="5"/>
      <c r="J80" s="19">
        <v>290.97519999999997</v>
      </c>
      <c r="K80" s="20">
        <v>38.446899999999999</v>
      </c>
      <c r="L80" s="20">
        <v>43.139499999999998</v>
      </c>
      <c r="M80" s="20">
        <v>43.968800000000002</v>
      </c>
      <c r="N80" s="20">
        <v>46.339199999999998</v>
      </c>
      <c r="O80" s="20">
        <f t="shared" si="1"/>
        <v>39.723712499999998</v>
      </c>
      <c r="P80" s="7"/>
      <c r="Q80" s="13"/>
      <c r="R80" s="14"/>
      <c r="S80" s="14"/>
      <c r="T80" s="27"/>
      <c r="U80" s="28">
        <f t="shared" si="3"/>
        <v>3.2050090744101629</v>
      </c>
    </row>
    <row r="81" spans="1:21" hidden="1" x14ac:dyDescent="0.25">
      <c r="A81" s="6" t="s">
        <v>69</v>
      </c>
      <c r="B81" s="6" t="s">
        <v>73</v>
      </c>
      <c r="C81" s="15">
        <v>1248.18</v>
      </c>
      <c r="D81" s="16">
        <v>35.363</v>
      </c>
      <c r="E81" s="16">
        <v>38.146999999999998</v>
      </c>
      <c r="F81" s="16">
        <v>38.137999999999998</v>
      </c>
      <c r="G81" s="16">
        <v>9.7200000000000006</v>
      </c>
      <c r="H81" s="16">
        <f t="shared" ref="H81:H240" si="4">(6*D81+E81+F81)/8</f>
        <v>36.057874999999996</v>
      </c>
      <c r="I81" s="5"/>
      <c r="J81" s="15">
        <v>1271.1024</v>
      </c>
      <c r="K81" s="16">
        <v>36.604500000000002</v>
      </c>
      <c r="L81" s="16">
        <v>39.835700000000003</v>
      </c>
      <c r="M81" s="16">
        <v>39.8508</v>
      </c>
      <c r="N81" s="16">
        <v>18.128399999999999</v>
      </c>
      <c r="O81" s="16">
        <f t="shared" ref="O81:O240" si="5">(6*K81+L81+M81)/8</f>
        <v>37.414187500000004</v>
      </c>
      <c r="P81" s="7"/>
      <c r="Q81" s="8">
        <f>bdrate(C81:C84,D81:D84,J81:J84,K81:K84)</f>
        <v>-0.22393468549926898</v>
      </c>
      <c r="R81" s="8">
        <f>bdrate(C81:C84,E81:E84,J81:J84,L81:L84)</f>
        <v>-0.36416244399815878</v>
      </c>
      <c r="S81" s="8">
        <f>bdrate(C81:C84,F81:F84,J81:J84,M81:M84)</f>
        <v>-0.32327713800848623</v>
      </c>
      <c r="T81" s="25">
        <f>bdrate(C81:C84,H81:H84,J81:J84,O81:O84)</f>
        <v>-0.25315951579222973</v>
      </c>
      <c r="U81" s="28">
        <f t="shared" si="3"/>
        <v>0.86506172839506157</v>
      </c>
    </row>
    <row r="82" spans="1:21" hidden="1" x14ac:dyDescent="0.25">
      <c r="A82" s="9" t="s">
        <v>70</v>
      </c>
      <c r="B82" s="9"/>
      <c r="C82" s="17">
        <v>830.73</v>
      </c>
      <c r="D82" s="18">
        <v>33.591999999999999</v>
      </c>
      <c r="E82" s="18">
        <v>36.618000000000002</v>
      </c>
      <c r="F82" s="18">
        <v>36.524000000000001</v>
      </c>
      <c r="G82" s="18">
        <v>11.05</v>
      </c>
      <c r="H82" s="18">
        <f t="shared" si="4"/>
        <v>34.336749999999995</v>
      </c>
      <c r="I82" s="5"/>
      <c r="J82" s="17">
        <v>843.26559999999995</v>
      </c>
      <c r="K82" s="18">
        <v>34.7577</v>
      </c>
      <c r="L82" s="18">
        <v>38.252800000000001</v>
      </c>
      <c r="M82" s="18">
        <v>38.053600000000003</v>
      </c>
      <c r="N82" s="18">
        <v>21.598299999999998</v>
      </c>
      <c r="O82" s="18">
        <f t="shared" si="5"/>
        <v>35.606574999999999</v>
      </c>
      <c r="P82" s="7"/>
      <c r="Q82" s="10"/>
      <c r="R82" s="11"/>
      <c r="S82" s="11"/>
      <c r="T82" s="26"/>
      <c r="U82" s="28">
        <f t="shared" si="3"/>
        <v>0.954597285067873</v>
      </c>
    </row>
    <row r="83" spans="1:21" hidden="1" x14ac:dyDescent="0.25">
      <c r="B83" s="9"/>
      <c r="C83" s="17">
        <v>516.48</v>
      </c>
      <c r="D83" s="18">
        <v>31.736000000000001</v>
      </c>
      <c r="E83" s="18">
        <v>34.908000000000001</v>
      </c>
      <c r="F83" s="18">
        <v>34.793999999999997</v>
      </c>
      <c r="G83" s="18">
        <v>12.66</v>
      </c>
      <c r="H83" s="18">
        <f t="shared" si="4"/>
        <v>32.514749999999999</v>
      </c>
      <c r="I83" s="5"/>
      <c r="J83" s="17">
        <v>524.4896</v>
      </c>
      <c r="K83" s="18">
        <v>32.784500000000001</v>
      </c>
      <c r="L83" s="18">
        <v>36.564</v>
      </c>
      <c r="M83" s="18">
        <v>36.255600000000001</v>
      </c>
      <c r="N83" s="18">
        <v>25.952500000000001</v>
      </c>
      <c r="O83" s="18">
        <f t="shared" si="5"/>
        <v>33.690824999999997</v>
      </c>
      <c r="P83" s="7"/>
      <c r="Q83" s="10"/>
      <c r="R83" s="11"/>
      <c r="S83" s="11"/>
      <c r="T83" s="26"/>
      <c r="U83" s="28">
        <f t="shared" si="3"/>
        <v>1.049960505529226</v>
      </c>
    </row>
    <row r="84" spans="1:21" ht="16.5" hidden="1" thickBot="1" x14ac:dyDescent="0.3">
      <c r="B84" s="12"/>
      <c r="C84" s="19">
        <v>308.61</v>
      </c>
      <c r="D84" s="20">
        <v>29.858000000000001</v>
      </c>
      <c r="E84" s="20">
        <v>33.494</v>
      </c>
      <c r="F84" s="20">
        <v>33.302</v>
      </c>
      <c r="G84" s="20">
        <v>14.77</v>
      </c>
      <c r="H84" s="20">
        <f t="shared" si="4"/>
        <v>30.742999999999999</v>
      </c>
      <c r="I84" s="5"/>
      <c r="J84" s="19">
        <v>314.74400000000003</v>
      </c>
      <c r="K84" s="20">
        <v>30.7561</v>
      </c>
      <c r="L84" s="20">
        <v>34.912500000000001</v>
      </c>
      <c r="M84" s="20">
        <v>34.515799999999999</v>
      </c>
      <c r="N84" s="20">
        <v>32.084200000000003</v>
      </c>
      <c r="O84" s="20">
        <f t="shared" si="5"/>
        <v>31.7456125</v>
      </c>
      <c r="P84" s="7"/>
      <c r="Q84" s="13"/>
      <c r="R84" s="14"/>
      <c r="S84" s="14"/>
      <c r="T84" s="27"/>
      <c r="U84" s="28">
        <f t="shared" si="3"/>
        <v>1.1722545700744755</v>
      </c>
    </row>
    <row r="85" spans="1:21" hidden="1" x14ac:dyDescent="0.25">
      <c r="B85" s="6" t="s">
        <v>74</v>
      </c>
      <c r="C85" s="15">
        <v>1136.49</v>
      </c>
      <c r="D85" s="16">
        <v>34.204000000000001</v>
      </c>
      <c r="E85" s="16">
        <v>40.073</v>
      </c>
      <c r="F85" s="16">
        <v>39.619</v>
      </c>
      <c r="G85" s="16">
        <v>5.79</v>
      </c>
      <c r="H85" s="16">
        <f t="shared" si="4"/>
        <v>35.6145</v>
      </c>
      <c r="I85" s="5"/>
      <c r="J85" s="15">
        <v>1242.287</v>
      </c>
      <c r="K85" s="16">
        <v>34.378300000000003</v>
      </c>
      <c r="L85" s="16">
        <v>41.247</v>
      </c>
      <c r="M85" s="16">
        <v>40.635100000000001</v>
      </c>
      <c r="N85" s="16">
        <v>11.3217</v>
      </c>
      <c r="O85" s="16">
        <f t="shared" si="5"/>
        <v>36.018987500000009</v>
      </c>
      <c r="P85" s="7"/>
      <c r="Q85" s="8">
        <f>bdrate(C85:C88,D85:D88,J85:J88,K85:K88)</f>
        <v>-5.3743527809857472E-3</v>
      </c>
      <c r="R85" s="8">
        <f>bdrate(C85:C88,E85:E88,J85:J88,L85:L88)</f>
        <v>-0.31929993541694435</v>
      </c>
      <c r="S85" s="8">
        <f>bdrate(C85:C88,F85:F88,J85:J88,M85:M88)</f>
        <v>-0.24328359003283151</v>
      </c>
      <c r="T85" s="25">
        <f>bdrate(C85:C88,H85:H88,J85:J88,O85:O88)</f>
        <v>-7.1490860062964567E-2</v>
      </c>
      <c r="U85" s="28">
        <f t="shared" si="3"/>
        <v>0.95538860103626944</v>
      </c>
    </row>
    <row r="86" spans="1:21" hidden="1" x14ac:dyDescent="0.25">
      <c r="B86" s="9"/>
      <c r="C86" s="17">
        <v>750.88</v>
      </c>
      <c r="D86" s="18">
        <v>32.573</v>
      </c>
      <c r="E86" s="18">
        <v>38.844000000000001</v>
      </c>
      <c r="F86" s="18">
        <v>38.207000000000001</v>
      </c>
      <c r="G86" s="18">
        <v>6.58</v>
      </c>
      <c r="H86" s="18">
        <f t="shared" si="4"/>
        <v>34.061124999999997</v>
      </c>
      <c r="I86" s="5"/>
      <c r="J86" s="17">
        <v>827.88430000000005</v>
      </c>
      <c r="K86" s="18">
        <v>32.855400000000003</v>
      </c>
      <c r="L86" s="18">
        <v>40.0946</v>
      </c>
      <c r="M86" s="18">
        <v>39.352200000000003</v>
      </c>
      <c r="N86" s="18">
        <v>13.8931</v>
      </c>
      <c r="O86" s="18">
        <f t="shared" si="5"/>
        <v>34.572400000000002</v>
      </c>
      <c r="P86" s="7"/>
      <c r="Q86" s="10"/>
      <c r="R86" s="11"/>
      <c r="S86" s="11"/>
      <c r="T86" s="26"/>
      <c r="U86" s="28">
        <f t="shared" si="3"/>
        <v>1.1114133738601824</v>
      </c>
    </row>
    <row r="87" spans="1:21" hidden="1" x14ac:dyDescent="0.25">
      <c r="B87" s="9"/>
      <c r="C87" s="17">
        <v>468.63</v>
      </c>
      <c r="D87" s="18">
        <v>30.876999999999999</v>
      </c>
      <c r="E87" s="18">
        <v>37.584000000000003</v>
      </c>
      <c r="F87" s="18">
        <v>36.752000000000002</v>
      </c>
      <c r="G87" s="18">
        <v>7.6</v>
      </c>
      <c r="H87" s="18">
        <f t="shared" si="4"/>
        <v>32.449750000000002</v>
      </c>
      <c r="I87" s="5"/>
      <c r="J87" s="17">
        <v>516.11659999999995</v>
      </c>
      <c r="K87" s="18">
        <v>31.3018</v>
      </c>
      <c r="L87" s="18">
        <v>38.8566</v>
      </c>
      <c r="M87" s="18">
        <v>37.896299999999997</v>
      </c>
      <c r="N87" s="18">
        <v>17.185700000000001</v>
      </c>
      <c r="O87" s="18">
        <f t="shared" si="5"/>
        <v>33.070462499999998</v>
      </c>
      <c r="P87" s="7"/>
      <c r="Q87" s="10"/>
      <c r="R87" s="11"/>
      <c r="S87" s="11"/>
      <c r="T87" s="26"/>
      <c r="U87" s="28">
        <f t="shared" si="3"/>
        <v>1.261276315789474</v>
      </c>
    </row>
    <row r="88" spans="1:21" ht="16.5" hidden="1" thickBot="1" x14ac:dyDescent="0.3">
      <c r="B88" s="12"/>
      <c r="C88" s="19">
        <v>280.19</v>
      </c>
      <c r="D88" s="20">
        <v>29.18</v>
      </c>
      <c r="E88" s="20">
        <v>36.343000000000004</v>
      </c>
      <c r="F88" s="20">
        <v>35.372999999999998</v>
      </c>
      <c r="G88" s="20">
        <v>8.92</v>
      </c>
      <c r="H88" s="20">
        <f t="shared" si="4"/>
        <v>30.849499999999999</v>
      </c>
      <c r="I88" s="5"/>
      <c r="J88" s="19">
        <v>312.25970000000001</v>
      </c>
      <c r="K88" s="20">
        <v>29.732299999999999</v>
      </c>
      <c r="L88" s="20">
        <v>37.7545</v>
      </c>
      <c r="M88" s="20">
        <v>36.559100000000001</v>
      </c>
      <c r="N88" s="20">
        <v>21.127400000000002</v>
      </c>
      <c r="O88" s="20">
        <f t="shared" si="5"/>
        <v>31.588425000000001</v>
      </c>
      <c r="P88" s="7"/>
      <c r="Q88" s="13"/>
      <c r="R88" s="14"/>
      <c r="S88" s="14"/>
      <c r="T88" s="27"/>
      <c r="U88" s="28">
        <f t="shared" si="3"/>
        <v>1.3685426008968611</v>
      </c>
    </row>
    <row r="89" spans="1:21" hidden="1" x14ac:dyDescent="0.25">
      <c r="B89" s="6" t="s">
        <v>75</v>
      </c>
      <c r="C89" s="15">
        <v>923.54</v>
      </c>
      <c r="D89" s="16">
        <v>50.787999999999997</v>
      </c>
      <c r="E89" s="16">
        <v>50.319000000000003</v>
      </c>
      <c r="F89" s="16">
        <v>50.215000000000003</v>
      </c>
      <c r="G89" s="16">
        <v>11.89</v>
      </c>
      <c r="H89" s="16">
        <f t="shared" si="4"/>
        <v>50.657749999999993</v>
      </c>
      <c r="I89" s="5"/>
      <c r="J89" s="15">
        <v>846.5752</v>
      </c>
      <c r="K89" s="16">
        <v>50.057000000000002</v>
      </c>
      <c r="L89" s="16">
        <v>49.683900000000001</v>
      </c>
      <c r="M89" s="16">
        <v>49.579099999999997</v>
      </c>
      <c r="N89" s="16">
        <v>15.459099999999999</v>
      </c>
      <c r="O89" s="16">
        <f t="shared" si="5"/>
        <v>49.950624999999995</v>
      </c>
      <c r="P89" s="7"/>
      <c r="Q89" s="8">
        <f>bdrate(C89:C92,D89:D92,J89:J92,K89:K92)</f>
        <v>2.8162414385252132E-2</v>
      </c>
      <c r="R89" s="8">
        <f>bdrate(C89:C92,E89:E92,J89:J92,L89:L92)</f>
        <v>-3.0133667143966369E-2</v>
      </c>
      <c r="S89" s="8">
        <f>bdrate(C89:C92,F89:F92,J89:J92,M89:M92)</f>
        <v>-2.184607954552642E-2</v>
      </c>
      <c r="T89" s="25">
        <f>bdrate(C89:C92,H89:H92,J89:J92,O89:O92)</f>
        <v>1.6682340920989747E-2</v>
      </c>
      <c r="U89" s="28">
        <f t="shared" si="3"/>
        <v>0.30017661900756926</v>
      </c>
    </row>
    <row r="90" spans="1:21" hidden="1" x14ac:dyDescent="0.25">
      <c r="B90" s="9"/>
      <c r="C90" s="17">
        <v>583.05999999999995</v>
      </c>
      <c r="D90" s="18">
        <v>46.18</v>
      </c>
      <c r="E90" s="18">
        <v>45.914999999999999</v>
      </c>
      <c r="F90" s="18">
        <v>45.835000000000001</v>
      </c>
      <c r="G90" s="18">
        <v>13.56</v>
      </c>
      <c r="H90" s="18">
        <f t="shared" si="4"/>
        <v>46.103749999999998</v>
      </c>
      <c r="I90" s="5"/>
      <c r="J90" s="17">
        <v>716.428</v>
      </c>
      <c r="K90" s="18">
        <v>48.6586</v>
      </c>
      <c r="L90" s="18">
        <v>48.471800000000002</v>
      </c>
      <c r="M90" s="18">
        <v>48.326999999999998</v>
      </c>
      <c r="N90" s="18">
        <v>24.0077</v>
      </c>
      <c r="O90" s="18">
        <f t="shared" si="5"/>
        <v>48.593800000000002</v>
      </c>
      <c r="P90" s="7"/>
      <c r="Q90" s="10"/>
      <c r="R90" s="11"/>
      <c r="S90" s="11"/>
      <c r="T90" s="26"/>
      <c r="U90" s="28">
        <f t="shared" si="3"/>
        <v>0.77047935103244825</v>
      </c>
    </row>
    <row r="91" spans="1:21" hidden="1" x14ac:dyDescent="0.25">
      <c r="B91" s="9"/>
      <c r="C91" s="17">
        <v>368.35</v>
      </c>
      <c r="D91" s="18">
        <v>40.372999999999998</v>
      </c>
      <c r="E91" s="18">
        <v>41.362000000000002</v>
      </c>
      <c r="F91" s="18">
        <v>41.209000000000003</v>
      </c>
      <c r="G91" s="18">
        <v>15.32</v>
      </c>
      <c r="H91" s="18">
        <f t="shared" si="4"/>
        <v>40.601125000000003</v>
      </c>
      <c r="I91" s="5"/>
      <c r="J91" s="17">
        <v>539.03840000000002</v>
      </c>
      <c r="K91" s="18">
        <v>44.747199999999999</v>
      </c>
      <c r="L91" s="18">
        <v>45.326799999999999</v>
      </c>
      <c r="M91" s="18">
        <v>45.144799999999996</v>
      </c>
      <c r="N91" s="18">
        <v>43.802</v>
      </c>
      <c r="O91" s="18">
        <f t="shared" si="5"/>
        <v>44.869349999999997</v>
      </c>
      <c r="P91" s="7"/>
      <c r="Q91" s="10"/>
      <c r="R91" s="11"/>
      <c r="S91" s="11"/>
      <c r="T91" s="26"/>
      <c r="U91" s="28">
        <f t="shared" si="3"/>
        <v>1.8591383812010442</v>
      </c>
    </row>
    <row r="92" spans="1:21" ht="16.5" hidden="1" thickBot="1" x14ac:dyDescent="0.3">
      <c r="B92" s="12"/>
      <c r="C92" s="19">
        <v>198.69</v>
      </c>
      <c r="D92" s="20">
        <v>33.042999999999999</v>
      </c>
      <c r="E92" s="20">
        <v>37.542999999999999</v>
      </c>
      <c r="F92" s="20">
        <v>37.021999999999998</v>
      </c>
      <c r="G92" s="20">
        <v>17.02</v>
      </c>
      <c r="H92" s="20">
        <f t="shared" si="4"/>
        <v>34.102874999999997</v>
      </c>
      <c r="I92" s="5"/>
      <c r="J92" s="19">
        <v>321.12400000000002</v>
      </c>
      <c r="K92" s="20">
        <v>37.947499999999998</v>
      </c>
      <c r="L92" s="20">
        <v>40.253599999999999</v>
      </c>
      <c r="M92" s="20">
        <v>40.013800000000003</v>
      </c>
      <c r="N92" s="20">
        <v>51.564100000000003</v>
      </c>
      <c r="O92" s="20">
        <f t="shared" si="5"/>
        <v>38.494050000000001</v>
      </c>
      <c r="P92" s="7"/>
      <c r="Q92" s="13"/>
      <c r="R92" s="14"/>
      <c r="S92" s="14"/>
      <c r="T92" s="27"/>
      <c r="U92" s="28">
        <f t="shared" si="3"/>
        <v>2.0296180963572268</v>
      </c>
    </row>
    <row r="93" spans="1:21" hidden="1" x14ac:dyDescent="0.25">
      <c r="B93" s="6" t="s">
        <v>76</v>
      </c>
      <c r="C93" s="15">
        <v>1182.1199999999999</v>
      </c>
      <c r="D93" s="16">
        <v>54.689</v>
      </c>
      <c r="E93" s="16">
        <v>57.503</v>
      </c>
      <c r="F93" s="16">
        <v>58.387999999999998</v>
      </c>
      <c r="G93" s="16">
        <v>8.84</v>
      </c>
      <c r="H93" s="16">
        <f t="shared" si="4"/>
        <v>55.503124999999997</v>
      </c>
      <c r="I93" s="5"/>
      <c r="J93" s="15">
        <v>1099.3533</v>
      </c>
      <c r="K93" s="16">
        <v>53.108499999999999</v>
      </c>
      <c r="L93" s="16">
        <v>56.023000000000003</v>
      </c>
      <c r="M93" s="16">
        <v>56.905000000000001</v>
      </c>
      <c r="N93" s="16">
        <v>17.066600000000001</v>
      </c>
      <c r="O93" s="16">
        <f t="shared" si="5"/>
        <v>53.947375000000008</v>
      </c>
      <c r="P93" s="7"/>
      <c r="Q93" s="8">
        <f>bdrate(C93:C96,D93:D96,J93:J96,K93:K96)</f>
        <v>-3.51437248896036E-2</v>
      </c>
      <c r="R93" s="8">
        <f>bdrate(C93:C96,E93:E96,J93:J96,L93:L96)</f>
        <v>-6.7115134312727864E-2</v>
      </c>
      <c r="S93" s="8">
        <f>bdrate(C93:C96,F93:F96,J93:J96,M93:M96)</f>
        <v>-5.4032337275409903E-2</v>
      </c>
      <c r="T93" s="25">
        <f>bdrate(C93:C96,H93:H96,J93:J96,O93:O96)</f>
        <v>-4.0841241071096102E-2</v>
      </c>
      <c r="U93" s="28">
        <f t="shared" si="3"/>
        <v>0.93061085972850699</v>
      </c>
    </row>
    <row r="94" spans="1:21" hidden="1" x14ac:dyDescent="0.25">
      <c r="B94" s="9"/>
      <c r="C94" s="17">
        <v>796.88</v>
      </c>
      <c r="D94" s="18">
        <v>50.956000000000003</v>
      </c>
      <c r="E94" s="18">
        <v>54.204000000000001</v>
      </c>
      <c r="F94" s="18">
        <v>55.167000000000002</v>
      </c>
      <c r="G94" s="18">
        <v>9.65</v>
      </c>
      <c r="H94" s="18">
        <f t="shared" si="4"/>
        <v>51.888374999999996</v>
      </c>
      <c r="I94" s="5"/>
      <c r="J94" s="17">
        <v>755.60900000000004</v>
      </c>
      <c r="K94" s="18">
        <v>50.459099999999999</v>
      </c>
      <c r="L94" s="18">
        <v>53.796599999999998</v>
      </c>
      <c r="M94" s="18">
        <v>54.793199999999999</v>
      </c>
      <c r="N94" s="18">
        <v>19.627099999999999</v>
      </c>
      <c r="O94" s="18">
        <f t="shared" si="5"/>
        <v>51.418050000000001</v>
      </c>
      <c r="P94" s="7"/>
      <c r="Q94" s="10"/>
      <c r="R94" s="11"/>
      <c r="S94" s="11"/>
      <c r="T94" s="26"/>
      <c r="U94" s="28">
        <f t="shared" si="3"/>
        <v>1.0338963730569946</v>
      </c>
    </row>
    <row r="95" spans="1:21" hidden="1" x14ac:dyDescent="0.25">
      <c r="B95" s="9"/>
      <c r="C95" s="17">
        <v>492.97</v>
      </c>
      <c r="D95" s="18">
        <v>46.99</v>
      </c>
      <c r="E95" s="18">
        <v>50.558999999999997</v>
      </c>
      <c r="F95" s="18">
        <v>51.73</v>
      </c>
      <c r="G95" s="18">
        <v>10.51</v>
      </c>
      <c r="H95" s="18">
        <f t="shared" si="4"/>
        <v>48.028625000000005</v>
      </c>
      <c r="I95" s="5"/>
      <c r="J95" s="17">
        <v>473.36</v>
      </c>
      <c r="K95" s="18">
        <v>47.160600000000002</v>
      </c>
      <c r="L95" s="18">
        <v>51.0548</v>
      </c>
      <c r="M95" s="18">
        <v>52.092599999999997</v>
      </c>
      <c r="N95" s="18">
        <v>24.189599999999999</v>
      </c>
      <c r="O95" s="18">
        <f t="shared" si="5"/>
        <v>48.263875000000006</v>
      </c>
      <c r="P95" s="7"/>
      <c r="Q95" s="10"/>
      <c r="R95" s="11"/>
      <c r="S95" s="11"/>
      <c r="T95" s="26"/>
      <c r="U95" s="28">
        <f t="shared" si="3"/>
        <v>1.3015794481446241</v>
      </c>
    </row>
    <row r="96" spans="1:21" ht="16.5" hidden="1" thickBot="1" x14ac:dyDescent="0.3">
      <c r="B96" s="12"/>
      <c r="C96" s="19">
        <v>255.38</v>
      </c>
      <c r="D96" s="20">
        <v>41.293999999999997</v>
      </c>
      <c r="E96" s="20">
        <v>45.918999999999997</v>
      </c>
      <c r="F96" s="20">
        <v>47.436</v>
      </c>
      <c r="G96" s="20">
        <v>12.01</v>
      </c>
      <c r="H96" s="20">
        <f t="shared" si="4"/>
        <v>42.639874999999996</v>
      </c>
      <c r="I96" s="5"/>
      <c r="J96" s="19">
        <v>257.10849999999999</v>
      </c>
      <c r="K96" s="20">
        <v>42.090299999999999</v>
      </c>
      <c r="L96" s="20">
        <v>47.027799999999999</v>
      </c>
      <c r="M96" s="20">
        <v>48.154800000000002</v>
      </c>
      <c r="N96" s="20">
        <v>31.027000000000001</v>
      </c>
      <c r="O96" s="20">
        <f t="shared" si="5"/>
        <v>43.46555</v>
      </c>
      <c r="P96" s="7"/>
      <c r="Q96" s="13"/>
      <c r="R96" s="14"/>
      <c r="S96" s="14"/>
      <c r="T96" s="27"/>
      <c r="U96" s="28">
        <f t="shared" si="3"/>
        <v>1.5834304746044965</v>
      </c>
    </row>
    <row r="97" spans="1:21" hidden="1" x14ac:dyDescent="0.25">
      <c r="A97" s="6" t="s">
        <v>104</v>
      </c>
      <c r="B97" s="6" t="s">
        <v>105</v>
      </c>
      <c r="C97" s="15">
        <v>1018.2</v>
      </c>
      <c r="D97" s="16">
        <v>42.088999999999999</v>
      </c>
      <c r="E97" s="16">
        <v>48.296999999999997</v>
      </c>
      <c r="F97" s="16">
        <v>48.264000000000003</v>
      </c>
      <c r="G97" s="16">
        <v>6.57</v>
      </c>
      <c r="H97" s="16">
        <f t="shared" si="4"/>
        <v>43.636875000000003</v>
      </c>
      <c r="I97" s="5"/>
      <c r="J97" s="15">
        <v>1042.6488999999999</v>
      </c>
      <c r="K97" s="16">
        <v>41.972999999999999</v>
      </c>
      <c r="L97" s="16">
        <v>48.118200000000002</v>
      </c>
      <c r="M97" s="16">
        <v>48.058900000000001</v>
      </c>
      <c r="N97" s="16">
        <v>10.217000000000001</v>
      </c>
      <c r="O97" s="16">
        <f t="shared" si="5"/>
        <v>43.501887499999995</v>
      </c>
      <c r="P97" s="7"/>
      <c r="Q97" s="8">
        <f>bdrate(C97:C100,D97:D100,J97:J100,K97:K100)</f>
        <v>7.3908512134402971E-2</v>
      </c>
      <c r="R97" s="8">
        <f>bdrate(C97:C100,E97:E100,J97:J100,L97:L100)</f>
        <v>1.6495127930923115E-2</v>
      </c>
      <c r="S97" s="8">
        <f>bdrate(C97:C100,F97:F100,J97:J100,M97:M100)</f>
        <v>2.7571407547661853E-2</v>
      </c>
      <c r="T97" s="25">
        <f>bdrate(C97:C100,H97:H100,J97:J100,O97:O100)</f>
        <v>6.3329597601540888E-2</v>
      </c>
      <c r="U97" s="28">
        <f t="shared" si="3"/>
        <v>0.55509893455098935</v>
      </c>
    </row>
    <row r="98" spans="1:21" hidden="1" x14ac:dyDescent="0.25">
      <c r="A98" s="9"/>
      <c r="B98" s="9"/>
      <c r="C98" s="17">
        <v>604.91</v>
      </c>
      <c r="D98" s="18">
        <v>39.747</v>
      </c>
      <c r="E98" s="18">
        <v>46.530999999999999</v>
      </c>
      <c r="F98" s="18">
        <v>46.378</v>
      </c>
      <c r="G98" s="18">
        <v>7.57</v>
      </c>
      <c r="H98" s="18">
        <f t="shared" si="4"/>
        <v>41.423874999999995</v>
      </c>
      <c r="I98" s="5"/>
      <c r="J98" s="17">
        <v>622.23230000000001</v>
      </c>
      <c r="K98" s="18">
        <v>39.585299999999997</v>
      </c>
      <c r="L98" s="18">
        <v>46.454500000000003</v>
      </c>
      <c r="M98" s="18">
        <v>46.252000000000002</v>
      </c>
      <c r="N98" s="18">
        <v>13.0852</v>
      </c>
      <c r="O98" s="18">
        <f t="shared" si="5"/>
        <v>41.2772875</v>
      </c>
      <c r="P98" s="7"/>
      <c r="Q98" s="10"/>
      <c r="R98" s="11"/>
      <c r="S98" s="11"/>
      <c r="T98" s="26"/>
      <c r="U98" s="28">
        <f t="shared" si="3"/>
        <v>0.72856010568031704</v>
      </c>
    </row>
    <row r="99" spans="1:21" hidden="1" x14ac:dyDescent="0.25">
      <c r="B99" s="9"/>
      <c r="C99" s="17">
        <v>400.17</v>
      </c>
      <c r="D99" s="18">
        <v>37.893999999999998</v>
      </c>
      <c r="E99" s="18">
        <v>45.113</v>
      </c>
      <c r="F99" s="18">
        <v>44.869</v>
      </c>
      <c r="G99" s="18">
        <v>8.34</v>
      </c>
      <c r="H99" s="18">
        <f t="shared" si="4"/>
        <v>39.66825</v>
      </c>
      <c r="I99" s="5"/>
      <c r="J99" s="17">
        <v>412.0847</v>
      </c>
      <c r="K99" s="18">
        <v>37.653599999999997</v>
      </c>
      <c r="L99" s="18">
        <v>45.195599999999999</v>
      </c>
      <c r="M99" s="18">
        <v>44.9129</v>
      </c>
      <c r="N99" s="18">
        <v>16.0657</v>
      </c>
      <c r="O99" s="18">
        <f t="shared" si="5"/>
        <v>39.503762499999993</v>
      </c>
      <c r="P99" s="7"/>
      <c r="Q99" s="10"/>
      <c r="R99" s="11"/>
      <c r="S99" s="11"/>
      <c r="T99" s="26"/>
      <c r="U99" s="28">
        <f t="shared" si="3"/>
        <v>0.9263429256594724</v>
      </c>
    </row>
    <row r="100" spans="1:21" ht="16.5" hidden="1" thickBot="1" x14ac:dyDescent="0.3">
      <c r="B100" s="12"/>
      <c r="C100" s="19">
        <v>198.3</v>
      </c>
      <c r="D100" s="20">
        <v>34.685000000000002</v>
      </c>
      <c r="E100" s="20">
        <v>42.817999999999998</v>
      </c>
      <c r="F100" s="20">
        <v>42.381999999999998</v>
      </c>
      <c r="G100" s="20">
        <v>10.220000000000001</v>
      </c>
      <c r="H100" s="20">
        <f t="shared" si="4"/>
        <v>36.66375</v>
      </c>
      <c r="I100" s="5"/>
      <c r="J100" s="19">
        <v>203.6978</v>
      </c>
      <c r="K100" s="20">
        <v>34.477200000000003</v>
      </c>
      <c r="L100" s="20">
        <v>43.118200000000002</v>
      </c>
      <c r="M100" s="20">
        <v>42.677500000000002</v>
      </c>
      <c r="N100" s="20">
        <v>22.169899999999998</v>
      </c>
      <c r="O100" s="20">
        <f t="shared" si="5"/>
        <v>36.582362500000002</v>
      </c>
      <c r="P100" s="7"/>
      <c r="Q100" s="13"/>
      <c r="R100" s="14"/>
      <c r="S100" s="14"/>
      <c r="T100" s="27"/>
      <c r="U100" s="28">
        <f t="shared" si="3"/>
        <v>1.1692661448140897</v>
      </c>
    </row>
    <row r="101" spans="1:21" hidden="1" x14ac:dyDescent="0.25">
      <c r="B101" s="6" t="s">
        <v>106</v>
      </c>
      <c r="C101" s="15">
        <v>986.85</v>
      </c>
      <c r="D101" s="16">
        <v>40.808</v>
      </c>
      <c r="E101" s="16">
        <v>50.261000000000003</v>
      </c>
      <c r="F101" s="16">
        <v>48.064999999999998</v>
      </c>
      <c r="G101" s="16">
        <v>7.74</v>
      </c>
      <c r="H101" s="16">
        <f t="shared" si="4"/>
        <v>42.896750000000004</v>
      </c>
      <c r="I101" s="5"/>
      <c r="J101" s="15">
        <v>1027.7199000000001</v>
      </c>
      <c r="K101" s="16">
        <v>40.766300000000001</v>
      </c>
      <c r="L101" s="16">
        <v>50.004600000000003</v>
      </c>
      <c r="M101" s="16">
        <v>47.947800000000001</v>
      </c>
      <c r="N101" s="16">
        <v>12.841100000000001</v>
      </c>
      <c r="O101" s="16">
        <f t="shared" si="5"/>
        <v>42.818775000000002</v>
      </c>
      <c r="P101" s="7"/>
      <c r="Q101" s="8">
        <f>bdrate(C101:C104,D101:D104,J101:J104,K101:K104)</f>
        <v>5.0493830826406461E-2</v>
      </c>
      <c r="R101" s="8">
        <f>bdrate(C101:C104,E101:E104,J101:J104,L101:L104)</f>
        <v>1.7048152485648282E-2</v>
      </c>
      <c r="S101" s="8">
        <f>bdrate(C101:C104,F101:F104,J101:J104,M101:M104)</f>
        <v>-2.3903035388809557E-2</v>
      </c>
      <c r="T101" s="25">
        <f>bdrate(C101:C104,H101:H104,J101:J104,O101:O104)</f>
        <v>3.9603341518966717E-2</v>
      </c>
      <c r="U101" s="28">
        <f t="shared" si="3"/>
        <v>0.65905684754521965</v>
      </c>
    </row>
    <row r="102" spans="1:21" hidden="1" x14ac:dyDescent="0.25">
      <c r="B102" s="9"/>
      <c r="C102" s="17">
        <v>589.19000000000005</v>
      </c>
      <c r="D102" s="18">
        <v>38.606000000000002</v>
      </c>
      <c r="E102" s="18">
        <v>48.874000000000002</v>
      </c>
      <c r="F102" s="18">
        <v>46.347999999999999</v>
      </c>
      <c r="G102" s="18">
        <v>8.9700000000000006</v>
      </c>
      <c r="H102" s="18">
        <f t="shared" si="4"/>
        <v>40.857250000000008</v>
      </c>
      <c r="I102" s="5"/>
      <c r="J102" s="17">
        <v>615.68960000000004</v>
      </c>
      <c r="K102" s="18">
        <v>38.5364</v>
      </c>
      <c r="L102" s="18">
        <v>48.7654</v>
      </c>
      <c r="M102" s="18">
        <v>46.416899999999998</v>
      </c>
      <c r="N102" s="18">
        <v>16.548999999999999</v>
      </c>
      <c r="O102" s="18">
        <f t="shared" si="5"/>
        <v>40.800087499999997</v>
      </c>
      <c r="P102" s="7"/>
      <c r="Q102" s="10"/>
      <c r="R102" s="11"/>
      <c r="S102" s="11"/>
      <c r="T102" s="26"/>
      <c r="U102" s="28">
        <f t="shared" si="3"/>
        <v>0.84492753623188388</v>
      </c>
    </row>
    <row r="103" spans="1:21" hidden="1" x14ac:dyDescent="0.25">
      <c r="B103" s="9"/>
      <c r="C103" s="17">
        <v>391.48</v>
      </c>
      <c r="D103" s="18">
        <v>36.837000000000003</v>
      </c>
      <c r="E103" s="18">
        <v>47.677</v>
      </c>
      <c r="F103" s="18">
        <v>45.006</v>
      </c>
      <c r="G103" s="18">
        <v>10.16</v>
      </c>
      <c r="H103" s="18">
        <f t="shared" si="4"/>
        <v>39.213125000000005</v>
      </c>
      <c r="I103" s="5"/>
      <c r="J103" s="17">
        <v>410.3956</v>
      </c>
      <c r="K103" s="18">
        <v>36.857399999999998</v>
      </c>
      <c r="L103" s="18">
        <v>47.875700000000002</v>
      </c>
      <c r="M103" s="18">
        <v>45.313800000000001</v>
      </c>
      <c r="N103" s="18">
        <v>20.0914</v>
      </c>
      <c r="O103" s="18">
        <f t="shared" si="5"/>
        <v>39.291737500000004</v>
      </c>
      <c r="P103" s="7"/>
      <c r="Q103" s="10"/>
      <c r="R103" s="11"/>
      <c r="S103" s="11"/>
      <c r="T103" s="26"/>
      <c r="U103" s="28">
        <f t="shared" si="3"/>
        <v>0.97750000000000004</v>
      </c>
    </row>
    <row r="104" spans="1:21" ht="16.5" hidden="1" thickBot="1" x14ac:dyDescent="0.3">
      <c r="B104" s="12"/>
      <c r="C104" s="19">
        <v>195.95</v>
      </c>
      <c r="D104" s="20">
        <v>34.22</v>
      </c>
      <c r="E104" s="20">
        <v>45.923999999999999</v>
      </c>
      <c r="F104" s="20">
        <v>42.862000000000002</v>
      </c>
      <c r="G104" s="20">
        <v>12.47</v>
      </c>
      <c r="H104" s="20">
        <f t="shared" si="4"/>
        <v>36.763249999999999</v>
      </c>
      <c r="I104" s="5"/>
      <c r="J104" s="19">
        <v>205.21379999999999</v>
      </c>
      <c r="K104" s="20">
        <v>34.227499999999999</v>
      </c>
      <c r="L104" s="20">
        <v>46.226300000000002</v>
      </c>
      <c r="M104" s="20">
        <v>43.392600000000002</v>
      </c>
      <c r="N104" s="20">
        <v>27.984400000000001</v>
      </c>
      <c r="O104" s="20">
        <f t="shared" si="5"/>
        <v>36.872987500000001</v>
      </c>
      <c r="P104" s="7"/>
      <c r="Q104" s="13"/>
      <c r="R104" s="14"/>
      <c r="S104" s="14"/>
      <c r="T104" s="27"/>
      <c r="U104" s="28">
        <f t="shared" si="3"/>
        <v>1.2441379310344827</v>
      </c>
    </row>
    <row r="105" spans="1:21" hidden="1" x14ac:dyDescent="0.25">
      <c r="B105" s="6" t="s">
        <v>107</v>
      </c>
      <c r="C105" s="15">
        <v>1051.08</v>
      </c>
      <c r="D105" s="16">
        <v>44.518000000000001</v>
      </c>
      <c r="E105" s="16">
        <v>48.268999999999998</v>
      </c>
      <c r="F105" s="16">
        <v>48.57</v>
      </c>
      <c r="G105" s="16">
        <v>6.55</v>
      </c>
      <c r="H105" s="16">
        <f t="shared" si="4"/>
        <v>45.493375</v>
      </c>
      <c r="I105" s="5"/>
      <c r="J105" s="15">
        <v>1034.0628999999999</v>
      </c>
      <c r="K105" s="16">
        <v>44.258899999999997</v>
      </c>
      <c r="L105" s="16">
        <v>48.0428</v>
      </c>
      <c r="M105" s="16">
        <v>48.349200000000003</v>
      </c>
      <c r="N105" s="16">
        <v>11.104200000000001</v>
      </c>
      <c r="O105" s="16">
        <f t="shared" si="5"/>
        <v>45.243175000000001</v>
      </c>
      <c r="P105" s="7"/>
      <c r="Q105" s="8">
        <f>bdrate(C105:C108,D105:D108,J105:J108,K105:K108)</f>
        <v>8.9366755655386321E-2</v>
      </c>
      <c r="R105" s="8">
        <f>bdrate(C105:C108,E105:E108,J105:J108,L105:L108)</f>
        <v>7.0283140995945681E-2</v>
      </c>
      <c r="S105" s="8">
        <f>bdrate(C105:C108,F105:F108,J105:J108,M105:M108)</f>
        <v>8.9354574260874564E-2</v>
      </c>
      <c r="T105" s="25">
        <f>bdrate(C105:C108,H105:H108,J105:J108,O105:O108)</f>
        <v>8.7773642845349276E-2</v>
      </c>
      <c r="U105" s="28">
        <f t="shared" si="3"/>
        <v>0.69529770992366424</v>
      </c>
    </row>
    <row r="106" spans="1:21" hidden="1" x14ac:dyDescent="0.25">
      <c r="B106" s="9"/>
      <c r="C106" s="17">
        <v>625.70000000000005</v>
      </c>
      <c r="D106" s="18">
        <v>42.603000000000002</v>
      </c>
      <c r="E106" s="18">
        <v>46.91</v>
      </c>
      <c r="F106" s="18">
        <v>47.314999999999998</v>
      </c>
      <c r="G106" s="18">
        <v>7.59</v>
      </c>
      <c r="H106" s="18">
        <f t="shared" si="4"/>
        <v>43.730375000000002</v>
      </c>
      <c r="I106" s="5"/>
      <c r="J106" s="17">
        <v>618.91629999999998</v>
      </c>
      <c r="K106" s="18">
        <v>42.252800000000001</v>
      </c>
      <c r="L106" s="18">
        <v>46.655099999999997</v>
      </c>
      <c r="M106" s="18">
        <v>47.0364</v>
      </c>
      <c r="N106" s="18">
        <v>14.078799999999999</v>
      </c>
      <c r="O106" s="18">
        <f t="shared" si="5"/>
        <v>43.401037500000001</v>
      </c>
      <c r="P106" s="7"/>
      <c r="Q106" s="10"/>
      <c r="R106" s="11"/>
      <c r="S106" s="11"/>
      <c r="T106" s="26"/>
      <c r="U106" s="28">
        <f t="shared" si="3"/>
        <v>0.85491436100131746</v>
      </c>
    </row>
    <row r="107" spans="1:21" hidden="1" x14ac:dyDescent="0.25">
      <c r="B107" s="9"/>
      <c r="C107" s="17">
        <v>414.85</v>
      </c>
      <c r="D107" s="18">
        <v>41.034999999999997</v>
      </c>
      <c r="E107" s="18">
        <v>45.814999999999998</v>
      </c>
      <c r="F107" s="18">
        <v>46.284999999999997</v>
      </c>
      <c r="G107" s="18">
        <v>8.4700000000000006</v>
      </c>
      <c r="H107" s="18">
        <f t="shared" si="4"/>
        <v>42.288749999999993</v>
      </c>
      <c r="I107" s="5"/>
      <c r="J107" s="17">
        <v>411.76</v>
      </c>
      <c r="K107" s="18">
        <v>40.61</v>
      </c>
      <c r="L107" s="18">
        <v>45.576799999999999</v>
      </c>
      <c r="M107" s="18">
        <v>46.0092</v>
      </c>
      <c r="N107" s="18">
        <v>17.238700000000001</v>
      </c>
      <c r="O107" s="18">
        <f t="shared" si="5"/>
        <v>41.905750000000005</v>
      </c>
      <c r="P107" s="7"/>
      <c r="Q107" s="10"/>
      <c r="R107" s="11"/>
      <c r="S107" s="11"/>
      <c r="T107" s="26"/>
      <c r="U107" s="28">
        <f t="shared" si="3"/>
        <v>1.0352656434474616</v>
      </c>
    </row>
    <row r="108" spans="1:21" ht="16.5" hidden="1" thickBot="1" x14ac:dyDescent="0.3">
      <c r="B108" s="12"/>
      <c r="C108" s="19">
        <v>204.77</v>
      </c>
      <c r="D108" s="20">
        <v>38.030999999999999</v>
      </c>
      <c r="E108" s="20">
        <v>43.747</v>
      </c>
      <c r="F108" s="20">
        <v>44.283999999999999</v>
      </c>
      <c r="G108" s="20">
        <v>10.53</v>
      </c>
      <c r="H108" s="20">
        <f t="shared" si="4"/>
        <v>39.527124999999998</v>
      </c>
      <c r="I108" s="5"/>
      <c r="J108" s="19">
        <v>204.58320000000001</v>
      </c>
      <c r="K108" s="20">
        <v>37.670200000000001</v>
      </c>
      <c r="L108" s="20">
        <v>43.719700000000003</v>
      </c>
      <c r="M108" s="20">
        <v>44.184600000000003</v>
      </c>
      <c r="N108" s="20">
        <v>23.979199999999999</v>
      </c>
      <c r="O108" s="20">
        <f t="shared" si="5"/>
        <v>39.2406875</v>
      </c>
      <c r="P108" s="7"/>
      <c r="Q108" s="13"/>
      <c r="R108" s="14"/>
      <c r="S108" s="14"/>
      <c r="T108" s="27"/>
      <c r="U108" s="28">
        <f t="shared" si="3"/>
        <v>1.2772269705603039</v>
      </c>
    </row>
    <row r="109" spans="1:21" hidden="1" x14ac:dyDescent="0.25">
      <c r="B109" s="6" t="s">
        <v>108</v>
      </c>
      <c r="C109" s="29">
        <v>977.36</v>
      </c>
      <c r="D109" s="30">
        <v>39.994999999999997</v>
      </c>
      <c r="E109" s="30">
        <v>46.698999999999998</v>
      </c>
      <c r="F109" s="30">
        <v>46.548000000000002</v>
      </c>
      <c r="G109" s="16">
        <v>7.6</v>
      </c>
      <c r="H109" s="16">
        <f t="shared" si="4"/>
        <v>41.652124999999998</v>
      </c>
      <c r="I109" s="5"/>
      <c r="J109" s="29">
        <v>1038.1862000000001</v>
      </c>
      <c r="K109" s="30">
        <v>40.355899999999998</v>
      </c>
      <c r="L109" s="30">
        <v>46.862099999999998</v>
      </c>
      <c r="M109" s="30">
        <v>46.7224</v>
      </c>
      <c r="N109" s="16">
        <v>13.067600000000001</v>
      </c>
      <c r="O109" s="16">
        <f t="shared" si="5"/>
        <v>41.964987499999999</v>
      </c>
      <c r="P109" s="7"/>
      <c r="Q109" s="8">
        <f>bdrate(C109:C112,D109:D112,J109:J112,K109:K112)</f>
        <v>-1.3406366157876159E-2</v>
      </c>
      <c r="R109" s="8">
        <f>bdrate(C109:C112,E109:E112,J109:J112,L109:L112)</f>
        <v>-8.0117365077619573E-2</v>
      </c>
      <c r="S109" s="8">
        <f>bdrate(C109:C112,F109:F112,J109:J112,M109:M112)</f>
        <v>-7.9863794030112345E-2</v>
      </c>
      <c r="T109" s="25">
        <f>bdrate(C109:C112,H109:H112,J109:J112,O109:O112)</f>
        <v>-2.6188926110786159E-2</v>
      </c>
      <c r="U109" s="28">
        <f t="shared" si="3"/>
        <v>0.71942105263157907</v>
      </c>
    </row>
    <row r="110" spans="1:21" hidden="1" x14ac:dyDescent="0.25">
      <c r="B110" s="9"/>
      <c r="C110" s="31">
        <v>584.44000000000005</v>
      </c>
      <c r="D110" s="32">
        <v>37.755000000000003</v>
      </c>
      <c r="E110" s="32">
        <v>45.265999999999998</v>
      </c>
      <c r="F110" s="32">
        <v>45.122</v>
      </c>
      <c r="G110" s="18">
        <v>9.0299999999999994</v>
      </c>
      <c r="H110" s="18">
        <f t="shared" si="4"/>
        <v>39.614750000000008</v>
      </c>
      <c r="I110" s="5"/>
      <c r="J110" s="31">
        <v>620.55920000000003</v>
      </c>
      <c r="K110" s="32">
        <v>38.061100000000003</v>
      </c>
      <c r="L110" s="32">
        <v>45.567599999999999</v>
      </c>
      <c r="M110" s="32">
        <v>45.416699999999999</v>
      </c>
      <c r="N110" s="18">
        <v>16.447600000000001</v>
      </c>
      <c r="O110" s="18">
        <f t="shared" si="5"/>
        <v>39.918862500000003</v>
      </c>
      <c r="P110" s="7"/>
      <c r="Q110" s="10"/>
      <c r="R110" s="11"/>
      <c r="S110" s="11"/>
      <c r="T110" s="26"/>
      <c r="U110" s="28">
        <f t="shared" si="3"/>
        <v>0.82143964562569238</v>
      </c>
    </row>
    <row r="111" spans="1:21" hidden="1" x14ac:dyDescent="0.25">
      <c r="B111" s="9"/>
      <c r="C111" s="31">
        <v>388.75</v>
      </c>
      <c r="D111" s="32">
        <v>36.094999999999999</v>
      </c>
      <c r="E111" s="32">
        <v>44.167999999999999</v>
      </c>
      <c r="F111" s="32">
        <v>43.988999999999997</v>
      </c>
      <c r="G111" s="18">
        <v>10.36</v>
      </c>
      <c r="H111" s="18">
        <f t="shared" si="4"/>
        <v>38.090874999999997</v>
      </c>
      <c r="I111" s="5"/>
      <c r="J111" s="31">
        <v>412.44060000000002</v>
      </c>
      <c r="K111" s="32">
        <v>36.369100000000003</v>
      </c>
      <c r="L111" s="32">
        <v>44.558300000000003</v>
      </c>
      <c r="M111" s="32">
        <v>44.396799999999999</v>
      </c>
      <c r="N111" s="18">
        <v>19.808900000000001</v>
      </c>
      <c r="O111" s="18">
        <f t="shared" si="5"/>
        <v>38.396212500000004</v>
      </c>
      <c r="P111" s="7"/>
      <c r="Q111" s="10"/>
      <c r="R111" s="11"/>
      <c r="S111" s="11"/>
      <c r="T111" s="26"/>
      <c r="U111" s="28">
        <f t="shared" si="3"/>
        <v>0.9120559845559848</v>
      </c>
    </row>
    <row r="112" spans="1:21" ht="16.5" hidden="1" thickBot="1" x14ac:dyDescent="0.3">
      <c r="B112" s="12"/>
      <c r="C112" s="33">
        <v>194.41</v>
      </c>
      <c r="D112" s="34">
        <v>33.192999999999998</v>
      </c>
      <c r="E112" s="34">
        <v>42.067</v>
      </c>
      <c r="F112" s="34">
        <v>41.91</v>
      </c>
      <c r="G112" s="20">
        <v>13.03</v>
      </c>
      <c r="H112" s="20">
        <f t="shared" si="4"/>
        <v>35.391874999999999</v>
      </c>
      <c r="I112" s="5"/>
      <c r="J112" s="33">
        <v>205.5872</v>
      </c>
      <c r="K112" s="34">
        <v>33.546700000000001</v>
      </c>
      <c r="L112" s="34">
        <v>42.853299999999997</v>
      </c>
      <c r="M112" s="34">
        <v>42.646000000000001</v>
      </c>
      <c r="N112" s="20">
        <v>26.738299999999999</v>
      </c>
      <c r="O112" s="20">
        <f t="shared" si="5"/>
        <v>35.847437499999998</v>
      </c>
      <c r="P112" s="7"/>
      <c r="Q112" s="13"/>
      <c r="R112" s="14"/>
      <c r="S112" s="14"/>
      <c r="T112" s="27"/>
      <c r="U112" s="28">
        <f t="shared" si="3"/>
        <v>1.052056792018419</v>
      </c>
    </row>
    <row r="113" spans="2:21" hidden="1" x14ac:dyDescent="0.25">
      <c r="B113" s="6" t="s">
        <v>109</v>
      </c>
      <c r="C113" s="15">
        <v>1003.66</v>
      </c>
      <c r="D113" s="16">
        <v>39.517000000000003</v>
      </c>
      <c r="E113" s="16">
        <v>47.655000000000001</v>
      </c>
      <c r="F113" s="16">
        <v>46.356000000000002</v>
      </c>
      <c r="G113" s="16">
        <v>8.31</v>
      </c>
      <c r="H113" s="16">
        <f t="shared" si="4"/>
        <v>41.389125000000007</v>
      </c>
      <c r="I113" s="5"/>
      <c r="J113" s="15">
        <v>1028.5533</v>
      </c>
      <c r="K113" s="16">
        <v>39.533999999999999</v>
      </c>
      <c r="L113" s="16">
        <v>47.676400000000001</v>
      </c>
      <c r="M113" s="16">
        <v>46.386200000000002</v>
      </c>
      <c r="N113" s="16">
        <v>12.751200000000001</v>
      </c>
      <c r="O113" s="16">
        <f t="shared" si="5"/>
        <v>41.408325000000005</v>
      </c>
      <c r="P113" s="7"/>
      <c r="Q113" s="8">
        <f>bdrate(C113:C116,D113:D116,J113:J116,K113:K116)</f>
        <v>6.081005465217082E-2</v>
      </c>
      <c r="R113" s="8">
        <f>bdrate(C113:C116,E113:E116,J113:J116,L113:L116)</f>
        <v>-2.8664932303062995E-3</v>
      </c>
      <c r="S113" s="8">
        <f>bdrate(C113:C116,F113:F116,J113:J116,M113:M116)</f>
        <v>-2.7414205104555167E-2</v>
      </c>
      <c r="T113" s="25">
        <f>bdrate(C113:C116,H113:H116,J113:J116,O113:O116)</f>
        <v>4.487584811515144E-2</v>
      </c>
      <c r="U113" s="28">
        <f t="shared" si="3"/>
        <v>0.53444043321299639</v>
      </c>
    </row>
    <row r="114" spans="2:21" hidden="1" x14ac:dyDescent="0.25">
      <c r="B114" s="9"/>
      <c r="C114" s="17">
        <v>603.69000000000005</v>
      </c>
      <c r="D114" s="18">
        <v>38.164999999999999</v>
      </c>
      <c r="E114" s="18">
        <v>46.829000000000001</v>
      </c>
      <c r="F114" s="18">
        <v>45.378999999999998</v>
      </c>
      <c r="G114" s="18">
        <v>9.5500000000000007</v>
      </c>
      <c r="H114" s="18">
        <f t="shared" si="4"/>
        <v>40.149750000000004</v>
      </c>
      <c r="I114" s="5"/>
      <c r="J114" s="17">
        <v>616.1866</v>
      </c>
      <c r="K114" s="18">
        <v>38.107900000000001</v>
      </c>
      <c r="L114" s="18">
        <v>46.839300000000001</v>
      </c>
      <c r="M114" s="18">
        <v>45.441699999999997</v>
      </c>
      <c r="N114" s="18">
        <v>16.255299999999998</v>
      </c>
      <c r="O114" s="18">
        <f t="shared" si="5"/>
        <v>40.116050000000001</v>
      </c>
      <c r="P114" s="7"/>
      <c r="Q114" s="10"/>
      <c r="R114" s="11"/>
      <c r="S114" s="11"/>
      <c r="T114" s="26"/>
      <c r="U114" s="28">
        <f t="shared" si="3"/>
        <v>0.70212565445026143</v>
      </c>
    </row>
    <row r="115" spans="2:21" hidden="1" x14ac:dyDescent="0.25">
      <c r="B115" s="9"/>
      <c r="C115" s="17">
        <v>402.28</v>
      </c>
      <c r="D115" s="18">
        <v>37.273000000000003</v>
      </c>
      <c r="E115" s="18">
        <v>46.101999999999997</v>
      </c>
      <c r="F115" s="18">
        <v>44.555</v>
      </c>
      <c r="G115" s="18">
        <v>10.72</v>
      </c>
      <c r="H115" s="18">
        <f t="shared" si="4"/>
        <v>39.286875000000002</v>
      </c>
      <c r="I115" s="5"/>
      <c r="J115" s="17">
        <v>410.75409999999999</v>
      </c>
      <c r="K115" s="18">
        <v>37.1312</v>
      </c>
      <c r="L115" s="18">
        <v>46.145600000000002</v>
      </c>
      <c r="M115" s="18">
        <v>44.6768</v>
      </c>
      <c r="N115" s="18">
        <v>19.859300000000001</v>
      </c>
      <c r="O115" s="18">
        <f t="shared" si="5"/>
        <v>39.2012</v>
      </c>
      <c r="P115" s="7"/>
      <c r="Q115" s="10"/>
      <c r="R115" s="11"/>
      <c r="S115" s="11"/>
      <c r="T115" s="26"/>
      <c r="U115" s="28">
        <f t="shared" si="3"/>
        <v>0.85254664179104478</v>
      </c>
    </row>
    <row r="116" spans="2:21" ht="16.5" hidden="1" thickBot="1" x14ac:dyDescent="0.3">
      <c r="B116" s="12"/>
      <c r="C116" s="19">
        <v>200.62</v>
      </c>
      <c r="D116" s="20">
        <v>35.585000000000001</v>
      </c>
      <c r="E116" s="20">
        <v>44.692999999999998</v>
      </c>
      <c r="F116" s="20">
        <v>43.052</v>
      </c>
      <c r="G116" s="20">
        <v>12.94</v>
      </c>
      <c r="H116" s="20">
        <f t="shared" si="4"/>
        <v>37.656874999999999</v>
      </c>
      <c r="I116" s="5"/>
      <c r="J116" s="19">
        <v>204.85669999999999</v>
      </c>
      <c r="K116" s="20">
        <v>35.471699999999998</v>
      </c>
      <c r="L116" s="20">
        <v>44.814599999999999</v>
      </c>
      <c r="M116" s="20">
        <v>43.200899999999997</v>
      </c>
      <c r="N116" s="20">
        <v>27.805199999999999</v>
      </c>
      <c r="O116" s="20">
        <f t="shared" si="5"/>
        <v>37.605712499999996</v>
      </c>
      <c r="P116" s="7"/>
      <c r="Q116" s="13"/>
      <c r="R116" s="14"/>
      <c r="S116" s="14"/>
      <c r="T116" s="27"/>
      <c r="U116" s="28">
        <f t="shared" si="3"/>
        <v>1.1487789799072643</v>
      </c>
    </row>
    <row r="117" spans="2:21" hidden="1" x14ac:dyDescent="0.25">
      <c r="B117" s="6" t="s">
        <v>110</v>
      </c>
      <c r="C117" s="15">
        <v>1567.89</v>
      </c>
      <c r="D117" s="16">
        <v>39.283999999999999</v>
      </c>
      <c r="E117" s="16">
        <v>45.024999999999999</v>
      </c>
      <c r="F117" s="16">
        <v>44.447000000000003</v>
      </c>
      <c r="G117" s="16">
        <v>3.42</v>
      </c>
      <c r="H117" s="16">
        <f t="shared" si="4"/>
        <v>40.646999999999998</v>
      </c>
      <c r="I117" s="5"/>
      <c r="J117" s="15">
        <v>1536.2936</v>
      </c>
      <c r="K117" s="16">
        <v>39.423699999999997</v>
      </c>
      <c r="L117" s="16">
        <v>45.276400000000002</v>
      </c>
      <c r="M117" s="16">
        <v>44.691200000000002</v>
      </c>
      <c r="N117" s="16">
        <v>6.2762000000000002</v>
      </c>
      <c r="O117" s="16">
        <f t="shared" si="5"/>
        <v>40.813724999999998</v>
      </c>
      <c r="P117" s="7"/>
      <c r="Q117" s="8">
        <f>bdrate(C117:C120,D117:D120,J117:J120,K117:K120)</f>
        <v>-6.2036425944555607E-2</v>
      </c>
      <c r="R117" s="8">
        <f>bdrate(C117:C120,E117:E120,J117:J120,L117:L120)</f>
        <v>-0.14837104798012923</v>
      </c>
      <c r="S117" s="8">
        <f>bdrate(C117:C120,F117:F120,J117:J120,M117:M120)</f>
        <v>-0.10587966629945056</v>
      </c>
      <c r="T117" s="25">
        <f>bdrate(C117:C120,H117:H120,J117:J120,O117:O120)</f>
        <v>-7.5167568660735595E-2</v>
      </c>
      <c r="U117" s="28">
        <f t="shared" si="3"/>
        <v>0.83514619883040941</v>
      </c>
    </row>
    <row r="118" spans="2:21" hidden="1" x14ac:dyDescent="0.25">
      <c r="B118" s="9"/>
      <c r="C118" s="17">
        <v>1045</v>
      </c>
      <c r="D118" s="18">
        <v>37.563000000000002</v>
      </c>
      <c r="E118" s="18">
        <v>43.851999999999997</v>
      </c>
      <c r="F118" s="18">
        <v>43.180999999999997</v>
      </c>
      <c r="G118" s="18">
        <v>3.88</v>
      </c>
      <c r="H118" s="18">
        <f t="shared" si="4"/>
        <v>39.051375</v>
      </c>
      <c r="I118" s="5"/>
      <c r="J118" s="17">
        <v>1020.2545</v>
      </c>
      <c r="K118" s="18">
        <v>37.703299999999999</v>
      </c>
      <c r="L118" s="18">
        <v>44.1447</v>
      </c>
      <c r="M118" s="18">
        <v>43.413400000000003</v>
      </c>
      <c r="N118" s="18">
        <v>7.8197999999999999</v>
      </c>
      <c r="O118" s="18">
        <f t="shared" si="5"/>
        <v>39.222237500000006</v>
      </c>
      <c r="P118" s="7"/>
      <c r="Q118" s="10"/>
      <c r="R118" s="11"/>
      <c r="S118" s="11"/>
      <c r="T118" s="26"/>
      <c r="U118" s="28">
        <f t="shared" si="3"/>
        <v>1.0154123711340206</v>
      </c>
    </row>
    <row r="119" spans="2:21" hidden="1" x14ac:dyDescent="0.25">
      <c r="B119" s="9"/>
      <c r="C119" s="17">
        <v>624.69000000000005</v>
      </c>
      <c r="D119" s="18">
        <v>35.359000000000002</v>
      </c>
      <c r="E119" s="18">
        <v>42.392000000000003</v>
      </c>
      <c r="F119" s="18">
        <v>41.591999999999999</v>
      </c>
      <c r="G119" s="18">
        <v>4.5199999999999996</v>
      </c>
      <c r="H119" s="18">
        <f t="shared" si="4"/>
        <v>37.017249999999997</v>
      </c>
      <c r="I119" s="5"/>
      <c r="J119" s="17">
        <v>605.63670000000002</v>
      </c>
      <c r="K119" s="18">
        <v>35.528799999999997</v>
      </c>
      <c r="L119" s="18">
        <v>42.755200000000002</v>
      </c>
      <c r="M119" s="18">
        <v>41.8264</v>
      </c>
      <c r="N119" s="18">
        <v>10.037000000000001</v>
      </c>
      <c r="O119" s="18">
        <f t="shared" si="5"/>
        <v>37.219299999999997</v>
      </c>
      <c r="P119" s="7"/>
      <c r="Q119" s="10"/>
      <c r="R119" s="11"/>
      <c r="S119" s="11"/>
      <c r="T119" s="26"/>
      <c r="U119" s="28">
        <f t="shared" si="3"/>
        <v>1.2205752212389385</v>
      </c>
    </row>
    <row r="120" spans="2:21" ht="16.5" hidden="1" thickBot="1" x14ac:dyDescent="0.3">
      <c r="B120" s="12"/>
      <c r="C120" s="19">
        <v>313.27999999999997</v>
      </c>
      <c r="D120" s="20">
        <v>32.558999999999997</v>
      </c>
      <c r="E120" s="20">
        <v>40.281999999999996</v>
      </c>
      <c r="F120" s="20">
        <v>39.328000000000003</v>
      </c>
      <c r="G120" s="20">
        <v>5.48</v>
      </c>
      <c r="H120" s="20">
        <f t="shared" si="4"/>
        <v>34.370499999999993</v>
      </c>
      <c r="I120" s="5"/>
      <c r="J120" s="19">
        <v>304.09980000000002</v>
      </c>
      <c r="K120" s="20">
        <v>32.682200000000002</v>
      </c>
      <c r="L120" s="20">
        <v>40.973700000000001</v>
      </c>
      <c r="M120" s="20">
        <v>39.757800000000003</v>
      </c>
      <c r="N120" s="20">
        <v>13.909700000000001</v>
      </c>
      <c r="O120" s="20">
        <f t="shared" si="5"/>
        <v>34.603087500000001</v>
      </c>
      <c r="P120" s="7"/>
      <c r="Q120" s="13"/>
      <c r="R120" s="14"/>
      <c r="S120" s="14"/>
      <c r="T120" s="27"/>
      <c r="U120" s="28">
        <f t="shared" si="3"/>
        <v>1.5382664233576642</v>
      </c>
    </row>
    <row r="121" spans="2:21" hidden="1" x14ac:dyDescent="0.25">
      <c r="B121" s="6" t="s">
        <v>111</v>
      </c>
      <c r="C121" s="15">
        <v>1030.26</v>
      </c>
      <c r="D121" s="16">
        <v>40.886000000000003</v>
      </c>
      <c r="E121" s="16">
        <v>46.040999999999997</v>
      </c>
      <c r="F121" s="16">
        <v>45.552999999999997</v>
      </c>
      <c r="G121" s="16">
        <v>6.76</v>
      </c>
      <c r="H121" s="16">
        <f t="shared" si="4"/>
        <v>42.113750000000003</v>
      </c>
      <c r="I121" s="5"/>
      <c r="J121" s="15">
        <v>1038.6632</v>
      </c>
      <c r="K121" s="16">
        <v>40.960799999999999</v>
      </c>
      <c r="L121" s="16">
        <v>46.0593</v>
      </c>
      <c r="M121" s="16">
        <v>45.5914</v>
      </c>
      <c r="N121" s="16">
        <v>11.885</v>
      </c>
      <c r="O121" s="16">
        <f t="shared" si="5"/>
        <v>42.176937500000001</v>
      </c>
      <c r="P121" s="7"/>
      <c r="Q121" s="8">
        <f>bdrate(C121:C124,D121:D124,J121:J124,K121:K124)</f>
        <v>1.35966189294352E-2</v>
      </c>
      <c r="R121" s="8">
        <f>bdrate(C121:C124,E121:E124,J121:J124,L121:L124)</f>
        <v>-2.3635879881717559E-2</v>
      </c>
      <c r="S121" s="8">
        <f>bdrate(C121:C124,F121:F124,J121:J124,M121:M124)</f>
        <v>-3.7552408754547462E-2</v>
      </c>
      <c r="T121" s="25">
        <f>bdrate(C121:C124,H121:H124,J121:J124,O121:O124)</f>
        <v>4.468109651975638E-3</v>
      </c>
      <c r="U121" s="28">
        <f t="shared" si="3"/>
        <v>0.75813609467455623</v>
      </c>
    </row>
    <row r="122" spans="2:21" hidden="1" x14ac:dyDescent="0.25">
      <c r="B122" s="9"/>
      <c r="C122" s="17">
        <v>612.73</v>
      </c>
      <c r="D122" s="18">
        <v>39.005000000000003</v>
      </c>
      <c r="E122" s="18">
        <v>44.695999999999998</v>
      </c>
      <c r="F122" s="18">
        <v>44.183999999999997</v>
      </c>
      <c r="G122" s="18">
        <v>8.23</v>
      </c>
      <c r="H122" s="18">
        <f t="shared" si="4"/>
        <v>40.363749999999996</v>
      </c>
      <c r="I122" s="5"/>
      <c r="J122" s="17">
        <v>619.71019999999999</v>
      </c>
      <c r="K122" s="18">
        <v>38.992100000000001</v>
      </c>
      <c r="L122" s="18">
        <v>44.753</v>
      </c>
      <c r="M122" s="18">
        <v>44.254100000000001</v>
      </c>
      <c r="N122" s="18">
        <v>14.965</v>
      </c>
      <c r="O122" s="18">
        <f t="shared" si="5"/>
        <v>40.3699625</v>
      </c>
      <c r="P122" s="7"/>
      <c r="Q122" s="10"/>
      <c r="R122" s="11"/>
      <c r="S122" s="11"/>
      <c r="T122" s="26"/>
      <c r="U122" s="28">
        <f t="shared" si="3"/>
        <v>0.81834750911300114</v>
      </c>
    </row>
    <row r="123" spans="2:21" hidden="1" x14ac:dyDescent="0.25">
      <c r="B123" s="9"/>
      <c r="C123" s="17">
        <v>404.84</v>
      </c>
      <c r="D123" s="18">
        <v>37.506</v>
      </c>
      <c r="E123" s="18">
        <v>43.621000000000002</v>
      </c>
      <c r="F123" s="18">
        <v>43.055</v>
      </c>
      <c r="G123" s="18">
        <v>9.33</v>
      </c>
      <c r="H123" s="18">
        <f t="shared" si="4"/>
        <v>38.963999999999999</v>
      </c>
      <c r="I123" s="5"/>
      <c r="J123" s="17">
        <v>413.06369999999998</v>
      </c>
      <c r="K123" s="18">
        <v>37.516599999999997</v>
      </c>
      <c r="L123" s="18">
        <v>43.727400000000003</v>
      </c>
      <c r="M123" s="18">
        <v>43.223199999999999</v>
      </c>
      <c r="N123" s="18">
        <v>18.035599999999999</v>
      </c>
      <c r="O123" s="18">
        <f t="shared" si="5"/>
        <v>39.006275000000002</v>
      </c>
      <c r="P123" s="7"/>
      <c r="Q123" s="10"/>
      <c r="R123" s="11"/>
      <c r="S123" s="11"/>
      <c r="T123" s="26"/>
      <c r="U123" s="28">
        <f t="shared" si="3"/>
        <v>0.93307609860664509</v>
      </c>
    </row>
    <row r="124" spans="2:21" ht="16.5" hidden="1" thickBot="1" x14ac:dyDescent="0.3">
      <c r="B124" s="12"/>
      <c r="C124" s="19">
        <v>199.9</v>
      </c>
      <c r="D124" s="20">
        <v>34.966999999999999</v>
      </c>
      <c r="E124" s="20">
        <v>41.640999999999998</v>
      </c>
      <c r="F124" s="20">
        <v>41.043999999999997</v>
      </c>
      <c r="G124" s="20">
        <v>11.47</v>
      </c>
      <c r="H124" s="20">
        <f t="shared" si="4"/>
        <v>36.560874999999996</v>
      </c>
      <c r="I124" s="5"/>
      <c r="J124" s="19">
        <v>206.44829999999999</v>
      </c>
      <c r="K124" s="20">
        <v>35.010199999999998</v>
      </c>
      <c r="L124" s="20">
        <v>41.951000000000001</v>
      </c>
      <c r="M124" s="20">
        <v>41.407600000000002</v>
      </c>
      <c r="N124" s="20">
        <v>25.097000000000001</v>
      </c>
      <c r="O124" s="20">
        <f t="shared" si="5"/>
        <v>36.677475000000001</v>
      </c>
      <c r="P124" s="7"/>
      <c r="Q124" s="13"/>
      <c r="R124" s="14"/>
      <c r="S124" s="14"/>
      <c r="T124" s="27"/>
      <c r="U124" s="28">
        <f t="shared" si="3"/>
        <v>1.1880557977332171</v>
      </c>
    </row>
    <row r="125" spans="2:21" hidden="1" x14ac:dyDescent="0.25">
      <c r="B125" s="6" t="s">
        <v>112</v>
      </c>
      <c r="C125" s="15">
        <v>984.52</v>
      </c>
      <c r="D125" s="16">
        <v>44.454000000000001</v>
      </c>
      <c r="E125" s="16">
        <v>48.555</v>
      </c>
      <c r="F125" s="16">
        <v>47.767000000000003</v>
      </c>
      <c r="G125" s="16">
        <v>7.28</v>
      </c>
      <c r="H125" s="16">
        <f t="shared" si="4"/>
        <v>45.380749999999999</v>
      </c>
      <c r="I125" s="5"/>
      <c r="J125" s="15">
        <v>1033.6714999999999</v>
      </c>
      <c r="K125" s="16">
        <v>44.582099999999997</v>
      </c>
      <c r="L125" s="16">
        <v>48.553199999999997</v>
      </c>
      <c r="M125" s="16">
        <v>47.803400000000003</v>
      </c>
      <c r="N125" s="16">
        <v>13.031599999999999</v>
      </c>
      <c r="O125" s="16">
        <f t="shared" si="5"/>
        <v>45.48115</v>
      </c>
      <c r="P125" s="7"/>
      <c r="Q125" s="8">
        <f>bdrate(C125:C128,D125:D128,J125:J128,K125:K128)</f>
        <v>1.7703803389224948E-2</v>
      </c>
      <c r="R125" s="8">
        <f>bdrate(C125:C128,E125:E128,J125:J128,L125:L128)</f>
        <v>4.3558009653984486E-2</v>
      </c>
      <c r="S125" s="8">
        <f>bdrate(C125:C128,F125:F128,J125:J128,M125:M128)</f>
        <v>2.9661617347722657E-2</v>
      </c>
      <c r="T125" s="25">
        <f>bdrate(C125:C128,H125:H128,J125:J128,O125:O128)</f>
        <v>2.1562465598193414E-2</v>
      </c>
      <c r="U125" s="28">
        <f t="shared" si="3"/>
        <v>0.79005494505494489</v>
      </c>
    </row>
    <row r="126" spans="2:21" hidden="1" x14ac:dyDescent="0.25">
      <c r="B126" s="9"/>
      <c r="C126" s="17">
        <v>590.44000000000005</v>
      </c>
      <c r="D126" s="18">
        <v>42.613999999999997</v>
      </c>
      <c r="E126" s="18">
        <v>47.122999999999998</v>
      </c>
      <c r="F126" s="18">
        <v>46.274000000000001</v>
      </c>
      <c r="G126" s="18">
        <v>8.61</v>
      </c>
      <c r="H126" s="18">
        <f t="shared" si="4"/>
        <v>43.635124999999995</v>
      </c>
      <c r="I126" s="5"/>
      <c r="J126" s="17">
        <v>618.98450000000003</v>
      </c>
      <c r="K126" s="18">
        <v>42.742199999999997</v>
      </c>
      <c r="L126" s="18">
        <v>47.1203</v>
      </c>
      <c r="M126" s="18">
        <v>46.311700000000002</v>
      </c>
      <c r="N126" s="18">
        <v>16.500599999999999</v>
      </c>
      <c r="O126" s="18">
        <f t="shared" si="5"/>
        <v>43.735649999999993</v>
      </c>
      <c r="P126" s="7"/>
      <c r="Q126" s="10"/>
      <c r="R126" s="11"/>
      <c r="S126" s="11"/>
      <c r="T126" s="26"/>
      <c r="U126" s="28">
        <f t="shared" si="3"/>
        <v>0.91644599303135887</v>
      </c>
    </row>
    <row r="127" spans="2:21" hidden="1" x14ac:dyDescent="0.25">
      <c r="B127" s="9"/>
      <c r="C127" s="17">
        <v>394.83</v>
      </c>
      <c r="D127" s="18">
        <v>41.183</v>
      </c>
      <c r="E127" s="18">
        <v>45.981999999999999</v>
      </c>
      <c r="F127" s="18">
        <v>45.082000000000001</v>
      </c>
      <c r="G127" s="18">
        <v>9.66</v>
      </c>
      <c r="H127" s="18">
        <f t="shared" si="4"/>
        <v>42.270250000000004</v>
      </c>
      <c r="I127" s="5"/>
      <c r="J127" s="17">
        <v>411.86880000000002</v>
      </c>
      <c r="K127" s="18">
        <v>41.255200000000002</v>
      </c>
      <c r="L127" s="18">
        <v>45.964599999999997</v>
      </c>
      <c r="M127" s="18">
        <v>45.112000000000002</v>
      </c>
      <c r="N127" s="18">
        <v>19.973600000000001</v>
      </c>
      <c r="O127" s="18">
        <f t="shared" si="5"/>
        <v>42.325975000000007</v>
      </c>
      <c r="P127" s="7"/>
      <c r="Q127" s="10"/>
      <c r="R127" s="11"/>
      <c r="S127" s="11"/>
      <c r="T127" s="26"/>
      <c r="U127" s="28">
        <f t="shared" si="3"/>
        <v>1.0676604554865425</v>
      </c>
    </row>
    <row r="128" spans="2:21" ht="16.5" hidden="1" thickBot="1" x14ac:dyDescent="0.3">
      <c r="B128" s="12"/>
      <c r="C128" s="19">
        <v>199.23</v>
      </c>
      <c r="D128" s="20">
        <v>38.335999999999999</v>
      </c>
      <c r="E128" s="20">
        <v>43.781999999999996</v>
      </c>
      <c r="F128" s="20">
        <v>42.781999999999996</v>
      </c>
      <c r="G128" s="20">
        <v>11.77</v>
      </c>
      <c r="H128" s="20">
        <f t="shared" si="4"/>
        <v>39.572499999999998</v>
      </c>
      <c r="I128" s="5"/>
      <c r="J128" s="19">
        <v>204.91849999999999</v>
      </c>
      <c r="K128" s="20">
        <v>38.3992</v>
      </c>
      <c r="L128" s="20">
        <v>43.822800000000001</v>
      </c>
      <c r="M128" s="20">
        <v>42.8506</v>
      </c>
      <c r="N128" s="20">
        <v>27.860900000000001</v>
      </c>
      <c r="O128" s="20">
        <f t="shared" si="5"/>
        <v>39.633574999999993</v>
      </c>
      <c r="P128" s="7"/>
      <c r="Q128" s="13"/>
      <c r="R128" s="14"/>
      <c r="S128" s="14"/>
      <c r="T128" s="27"/>
      <c r="U128" s="28">
        <f t="shared" si="3"/>
        <v>1.3671112999150383</v>
      </c>
    </row>
    <row r="129" spans="2:21" hidden="1" x14ac:dyDescent="0.25">
      <c r="B129" s="6" t="s">
        <v>113</v>
      </c>
      <c r="C129" s="15">
        <v>1465.65</v>
      </c>
      <c r="D129" s="16">
        <v>38.415999999999997</v>
      </c>
      <c r="E129" s="16">
        <v>43.512999999999998</v>
      </c>
      <c r="F129" s="16">
        <v>44.222000000000001</v>
      </c>
      <c r="G129" s="16">
        <v>2.31</v>
      </c>
      <c r="H129" s="16">
        <f t="shared" si="4"/>
        <v>39.778874999999992</v>
      </c>
      <c r="I129" s="5"/>
      <c r="J129" s="15">
        <v>1546.7806</v>
      </c>
      <c r="K129" s="16">
        <v>38.2746</v>
      </c>
      <c r="L129" s="16">
        <v>43.703299999999999</v>
      </c>
      <c r="M129" s="16">
        <v>44.372700000000002</v>
      </c>
      <c r="N129" s="16">
        <v>5.2072000000000003</v>
      </c>
      <c r="O129" s="16">
        <f t="shared" si="5"/>
        <v>39.715450000000004</v>
      </c>
      <c r="P129" s="7"/>
      <c r="Q129" s="8">
        <f>bdrate(C129:C132,D129:D132,J129:J132,K129:K132)</f>
        <v>8.0056310391377394E-2</v>
      </c>
      <c r="R129" s="8">
        <f>bdrate(C129:C132,E129:E132,J129:J132,L129:L132)</f>
        <v>-0.10949615003721247</v>
      </c>
      <c r="S129" s="8">
        <f>bdrate(C129:C132,F129:F132,J129:J132,M129:M132)</f>
        <v>-9.2528962313519258E-2</v>
      </c>
      <c r="T129" s="25">
        <f>bdrate(C129:C132,H129:H132,J129:J132,O129:O132)</f>
        <v>4.5655232311384131E-2</v>
      </c>
      <c r="U129" s="28">
        <f t="shared" si="3"/>
        <v>1.2541991341991343</v>
      </c>
    </row>
    <row r="130" spans="2:21" hidden="1" x14ac:dyDescent="0.25">
      <c r="B130" s="9"/>
      <c r="C130" s="17">
        <v>974.63</v>
      </c>
      <c r="D130" s="18">
        <v>36.655000000000001</v>
      </c>
      <c r="E130" s="18">
        <v>42.271999999999998</v>
      </c>
      <c r="F130" s="18">
        <v>43.042000000000002</v>
      </c>
      <c r="G130" s="18">
        <v>2.61</v>
      </c>
      <c r="H130" s="18">
        <f t="shared" si="4"/>
        <v>38.155500000000004</v>
      </c>
      <c r="I130" s="5"/>
      <c r="J130" s="17">
        <v>1029.8733</v>
      </c>
      <c r="K130" s="18">
        <v>36.547600000000003</v>
      </c>
      <c r="L130" s="18">
        <v>42.608199999999997</v>
      </c>
      <c r="M130" s="18">
        <v>43.323099999999997</v>
      </c>
      <c r="N130" s="18">
        <v>6.7563000000000004</v>
      </c>
      <c r="O130" s="18">
        <f t="shared" si="5"/>
        <v>38.152112500000001</v>
      </c>
      <c r="P130" s="7"/>
      <c r="Q130" s="10"/>
      <c r="R130" s="11"/>
      <c r="S130" s="11"/>
      <c r="T130" s="26"/>
      <c r="U130" s="28">
        <f t="shared" si="3"/>
        <v>1.5886206896551724</v>
      </c>
    </row>
    <row r="131" spans="2:21" hidden="1" x14ac:dyDescent="0.25">
      <c r="B131" s="9"/>
      <c r="C131" s="17">
        <v>583.82000000000005</v>
      </c>
      <c r="D131" s="18">
        <v>34.497</v>
      </c>
      <c r="E131" s="18">
        <v>40.776000000000003</v>
      </c>
      <c r="F131" s="18">
        <v>41.613999999999997</v>
      </c>
      <c r="G131" s="18">
        <v>3.14</v>
      </c>
      <c r="H131" s="18">
        <f t="shared" si="4"/>
        <v>36.171500000000002</v>
      </c>
      <c r="I131" s="5"/>
      <c r="J131" s="17">
        <v>615.60080000000005</v>
      </c>
      <c r="K131" s="18">
        <v>34.400799999999997</v>
      </c>
      <c r="L131" s="18">
        <v>41.294899999999998</v>
      </c>
      <c r="M131" s="18">
        <v>42.055100000000003</v>
      </c>
      <c r="N131" s="18">
        <v>8.4248999999999992</v>
      </c>
      <c r="O131" s="18">
        <f t="shared" si="5"/>
        <v>36.219349999999991</v>
      </c>
      <c r="P131" s="7"/>
      <c r="Q131" s="10"/>
      <c r="R131" s="11"/>
      <c r="S131" s="11"/>
      <c r="T131" s="26"/>
      <c r="U131" s="28">
        <f t="shared" si="3"/>
        <v>1.6830891719745218</v>
      </c>
    </row>
    <row r="132" spans="2:21" ht="16.5" hidden="1" thickBot="1" x14ac:dyDescent="0.3">
      <c r="B132" s="12"/>
      <c r="C132" s="19">
        <v>292.16000000000003</v>
      </c>
      <c r="D132" s="20">
        <v>31.667999999999999</v>
      </c>
      <c r="E132" s="20">
        <v>39.043999999999997</v>
      </c>
      <c r="F132" s="20">
        <v>39.96</v>
      </c>
      <c r="G132" s="20">
        <v>4.12</v>
      </c>
      <c r="H132" s="20">
        <f t="shared" si="4"/>
        <v>33.626499999999993</v>
      </c>
      <c r="I132" s="5"/>
      <c r="J132" s="19">
        <v>307.59800000000001</v>
      </c>
      <c r="K132" s="20">
        <v>31.6037</v>
      </c>
      <c r="L132" s="20">
        <v>39.719299999999997</v>
      </c>
      <c r="M132" s="20">
        <v>40.548900000000003</v>
      </c>
      <c r="N132" s="20">
        <v>11.749700000000001</v>
      </c>
      <c r="O132" s="20">
        <f t="shared" si="5"/>
        <v>33.7363</v>
      </c>
      <c r="P132" s="7"/>
      <c r="Q132" s="13"/>
      <c r="R132" s="14"/>
      <c r="S132" s="14"/>
      <c r="T132" s="27"/>
      <c r="U132" s="28">
        <f t="shared" si="3"/>
        <v>1.8518689320388351</v>
      </c>
    </row>
    <row r="133" spans="2:21" hidden="1" x14ac:dyDescent="0.25">
      <c r="B133" s="6" t="s">
        <v>114</v>
      </c>
      <c r="C133" s="15">
        <v>1565.83</v>
      </c>
      <c r="D133" s="16">
        <v>36.493000000000002</v>
      </c>
      <c r="E133" s="16">
        <v>41.165999999999997</v>
      </c>
      <c r="F133" s="16">
        <v>39.567999999999998</v>
      </c>
      <c r="G133" s="16">
        <v>2.81</v>
      </c>
      <c r="H133" s="16">
        <f t="shared" si="4"/>
        <v>37.461500000000001</v>
      </c>
      <c r="I133" s="5"/>
      <c r="J133" s="15">
        <v>1553.075</v>
      </c>
      <c r="K133" s="16">
        <v>36.2532</v>
      </c>
      <c r="L133" s="16">
        <v>41.152500000000003</v>
      </c>
      <c r="M133" s="16">
        <v>39.4221</v>
      </c>
      <c r="N133" s="16">
        <v>5.1435000000000004</v>
      </c>
      <c r="O133" s="16">
        <f t="shared" si="5"/>
        <v>37.261724999999998</v>
      </c>
      <c r="P133" s="7"/>
      <c r="Q133" s="8">
        <f>bdrate(C133:C136,D133:D136,J133:J136,K133:K136)</f>
        <v>4.6520821980738258E-2</v>
      </c>
      <c r="R133" s="8">
        <f>bdrate(C133:C136,E133:E136,J133:J136,L133:L136)</f>
        <v>-1.2637529109131074E-2</v>
      </c>
      <c r="S133" s="8">
        <f>bdrate(C133:C136,F133:F136,J133:J136,M133:M136)</f>
        <v>6.0854319603441009E-2</v>
      </c>
      <c r="T133" s="25">
        <f>bdrate(C133:C136,H133:H136,J133:J136,O133:O136)</f>
        <v>4.2283206476608992E-2</v>
      </c>
      <c r="U133" s="28">
        <f t="shared" si="3"/>
        <v>0.83042704626334529</v>
      </c>
    </row>
    <row r="134" spans="2:21" hidden="1" x14ac:dyDescent="0.25">
      <c r="B134" s="9"/>
      <c r="C134" s="17">
        <v>1044.31</v>
      </c>
      <c r="D134" s="18">
        <v>34.491</v>
      </c>
      <c r="E134" s="18">
        <v>39.777999999999999</v>
      </c>
      <c r="F134" s="18">
        <v>38.085000000000001</v>
      </c>
      <c r="G134" s="18">
        <v>3.16</v>
      </c>
      <c r="H134" s="18">
        <f t="shared" si="4"/>
        <v>35.601124999999996</v>
      </c>
      <c r="I134" s="5"/>
      <c r="J134" s="17">
        <v>1033.0799</v>
      </c>
      <c r="K134" s="18">
        <v>34.302199999999999</v>
      </c>
      <c r="L134" s="18">
        <v>39.710599999999999</v>
      </c>
      <c r="M134" s="18">
        <v>37.766800000000003</v>
      </c>
      <c r="N134" s="18">
        <v>6.1086</v>
      </c>
      <c r="O134" s="18">
        <f t="shared" si="5"/>
        <v>35.411324999999998</v>
      </c>
      <c r="P134" s="7"/>
      <c r="Q134" s="10"/>
      <c r="R134" s="11"/>
      <c r="S134" s="11"/>
      <c r="T134" s="26"/>
      <c r="U134" s="28">
        <f t="shared" si="3"/>
        <v>0.93310126582278474</v>
      </c>
    </row>
    <row r="135" spans="2:21" hidden="1" x14ac:dyDescent="0.25">
      <c r="B135" s="9"/>
      <c r="C135" s="17">
        <v>623.27</v>
      </c>
      <c r="D135" s="18">
        <v>32.332999999999998</v>
      </c>
      <c r="E135" s="18">
        <v>38.034999999999997</v>
      </c>
      <c r="F135" s="18">
        <v>36.142000000000003</v>
      </c>
      <c r="G135" s="18">
        <v>3.62</v>
      </c>
      <c r="H135" s="18">
        <f t="shared" si="4"/>
        <v>33.521875000000001</v>
      </c>
      <c r="I135" s="5"/>
      <c r="J135" s="17">
        <v>617.56880000000001</v>
      </c>
      <c r="K135" s="18">
        <v>32.1038</v>
      </c>
      <c r="L135" s="18">
        <v>38.031799999999997</v>
      </c>
      <c r="M135" s="18">
        <v>35.842500000000001</v>
      </c>
      <c r="N135" s="18">
        <v>7.9885000000000002</v>
      </c>
      <c r="O135" s="18">
        <f t="shared" si="5"/>
        <v>33.312137499999999</v>
      </c>
      <c r="P135" s="7"/>
      <c r="Q135" s="10"/>
      <c r="R135" s="11"/>
      <c r="S135" s="11"/>
      <c r="T135" s="26"/>
      <c r="U135" s="28">
        <f t="shared" si="3"/>
        <v>1.2067679558011049</v>
      </c>
    </row>
    <row r="136" spans="2:21" ht="16.5" hidden="1" thickBot="1" x14ac:dyDescent="0.3">
      <c r="B136" s="12"/>
      <c r="C136" s="19">
        <v>309.51</v>
      </c>
      <c r="D136" s="20">
        <v>29.841000000000001</v>
      </c>
      <c r="E136" s="20">
        <v>35.979999999999997</v>
      </c>
      <c r="F136" s="20">
        <v>33.656999999999996</v>
      </c>
      <c r="G136" s="20">
        <v>4.3499999999999996</v>
      </c>
      <c r="H136" s="20">
        <f t="shared" si="4"/>
        <v>31.085374999999999</v>
      </c>
      <c r="I136" s="5"/>
      <c r="J136" s="19">
        <v>307.7201</v>
      </c>
      <c r="K136" s="20">
        <v>29.560500000000001</v>
      </c>
      <c r="L136" s="20">
        <v>36.198399999999999</v>
      </c>
      <c r="M136" s="20">
        <v>33.627400000000002</v>
      </c>
      <c r="N136" s="20">
        <v>10.969099999999999</v>
      </c>
      <c r="O136" s="20">
        <f t="shared" si="5"/>
        <v>30.898599999999998</v>
      </c>
      <c r="P136" s="7"/>
      <c r="Q136" s="13"/>
      <c r="R136" s="14"/>
      <c r="S136" s="14"/>
      <c r="T136" s="27"/>
      <c r="U136" s="28">
        <f t="shared" si="3"/>
        <v>1.521632183908046</v>
      </c>
    </row>
    <row r="137" spans="2:21" hidden="1" x14ac:dyDescent="0.25">
      <c r="B137" s="6" t="s">
        <v>115</v>
      </c>
      <c r="C137" s="15">
        <v>1554.72</v>
      </c>
      <c r="D137" s="16">
        <v>41.097000000000001</v>
      </c>
      <c r="E137" s="16">
        <v>47.347999999999999</v>
      </c>
      <c r="F137" s="16">
        <v>47.279000000000003</v>
      </c>
      <c r="G137" s="16">
        <v>2.5</v>
      </c>
      <c r="H137" s="16">
        <f t="shared" si="4"/>
        <v>42.651125</v>
      </c>
      <c r="I137" s="5"/>
      <c r="J137" s="15">
        <v>1549.3552</v>
      </c>
      <c r="K137" s="16">
        <v>40.832599999999999</v>
      </c>
      <c r="L137" s="16">
        <v>47.036700000000003</v>
      </c>
      <c r="M137" s="16">
        <v>46.927599999999998</v>
      </c>
      <c r="N137" s="16">
        <v>4.6999000000000004</v>
      </c>
      <c r="O137" s="16">
        <f t="shared" si="5"/>
        <v>42.369987500000001</v>
      </c>
      <c r="P137" s="7"/>
      <c r="Q137" s="8">
        <f>bdrate(C137:C140,D137:D140,J137:J140,K137:K140)</f>
        <v>8.3308925547597834E-2</v>
      </c>
      <c r="R137" s="8">
        <f>bdrate(C137:C140,E137:E140,J137:J140,L137:L140)</f>
        <v>5.4827389415645911E-3</v>
      </c>
      <c r="S137" s="8">
        <f>bdrate(C137:C140,F137:F140,J137:J140,M137:M140)</f>
        <v>2.3137448771629376E-2</v>
      </c>
      <c r="T137" s="25">
        <f>bdrate(C137:C140,H137:H140,J137:J140,O137:O140)</f>
        <v>6.7437689468606843E-2</v>
      </c>
      <c r="U137" s="28">
        <f t="shared" si="3"/>
        <v>0.87996000000000019</v>
      </c>
    </row>
    <row r="138" spans="2:21" hidden="1" x14ac:dyDescent="0.25">
      <c r="B138" s="9"/>
      <c r="C138" s="17">
        <v>1038.24</v>
      </c>
      <c r="D138" s="18">
        <v>39.883000000000003</v>
      </c>
      <c r="E138" s="18">
        <v>46.228000000000002</v>
      </c>
      <c r="F138" s="18">
        <v>46.107999999999997</v>
      </c>
      <c r="G138" s="18">
        <v>2.78</v>
      </c>
      <c r="H138" s="18">
        <f t="shared" si="4"/>
        <v>41.454250000000002</v>
      </c>
      <c r="I138" s="5"/>
      <c r="J138" s="17">
        <v>1029.7406000000001</v>
      </c>
      <c r="K138" s="18">
        <v>39.541899999999998</v>
      </c>
      <c r="L138" s="18">
        <v>46.039000000000001</v>
      </c>
      <c r="M138" s="18">
        <v>45.878900000000002</v>
      </c>
      <c r="N138" s="18">
        <v>5.8071999999999999</v>
      </c>
      <c r="O138" s="18">
        <f t="shared" si="5"/>
        <v>41.146162499999996</v>
      </c>
      <c r="P138" s="7"/>
      <c r="Q138" s="10"/>
      <c r="R138" s="11"/>
      <c r="S138" s="11"/>
      <c r="T138" s="26"/>
      <c r="U138" s="28">
        <f t="shared" si="3"/>
        <v>1.0889208633093526</v>
      </c>
    </row>
    <row r="139" spans="2:21" hidden="1" x14ac:dyDescent="0.25">
      <c r="B139" s="9"/>
      <c r="C139" s="17">
        <v>623.69000000000005</v>
      </c>
      <c r="D139" s="18">
        <v>38.128</v>
      </c>
      <c r="E139" s="18">
        <v>44.661000000000001</v>
      </c>
      <c r="F139" s="18">
        <v>44.478999999999999</v>
      </c>
      <c r="G139" s="18">
        <v>3.19</v>
      </c>
      <c r="H139" s="18">
        <f t="shared" si="4"/>
        <v>39.738499999999995</v>
      </c>
      <c r="I139" s="5"/>
      <c r="J139" s="17">
        <v>614.79290000000003</v>
      </c>
      <c r="K139" s="18">
        <v>37.802700000000002</v>
      </c>
      <c r="L139" s="18">
        <v>44.635800000000003</v>
      </c>
      <c r="M139" s="18">
        <v>44.392400000000002</v>
      </c>
      <c r="N139" s="18">
        <v>7.5704000000000002</v>
      </c>
      <c r="O139" s="18">
        <f t="shared" si="5"/>
        <v>39.480550000000001</v>
      </c>
      <c r="P139" s="7"/>
      <c r="Q139" s="10"/>
      <c r="R139" s="11"/>
      <c r="S139" s="11"/>
      <c r="T139" s="26"/>
      <c r="U139" s="28">
        <f t="shared" si="3"/>
        <v>1.3731661442006269</v>
      </c>
    </row>
    <row r="140" spans="2:21" ht="16.5" hidden="1" thickBot="1" x14ac:dyDescent="0.3">
      <c r="B140" s="12"/>
      <c r="C140" s="19">
        <v>311.47000000000003</v>
      </c>
      <c r="D140" s="20">
        <v>35.542999999999999</v>
      </c>
      <c r="E140" s="20">
        <v>42.392000000000003</v>
      </c>
      <c r="F140" s="20">
        <v>42.085000000000001</v>
      </c>
      <c r="G140" s="20">
        <v>3.74</v>
      </c>
      <c r="H140" s="20">
        <f t="shared" si="4"/>
        <v>37.216874999999995</v>
      </c>
      <c r="I140" s="5"/>
      <c r="J140" s="19">
        <v>306.03050000000002</v>
      </c>
      <c r="K140" s="20">
        <v>35.258200000000002</v>
      </c>
      <c r="L140" s="20">
        <v>42.610599999999998</v>
      </c>
      <c r="M140" s="20">
        <v>42.200600000000001</v>
      </c>
      <c r="N140" s="20">
        <v>11.0311</v>
      </c>
      <c r="O140" s="20">
        <f t="shared" si="5"/>
        <v>37.045050000000003</v>
      </c>
      <c r="P140" s="7"/>
      <c r="Q140" s="13"/>
      <c r="R140" s="14"/>
      <c r="S140" s="14"/>
      <c r="T140" s="27"/>
      <c r="U140" s="28">
        <f t="shared" si="3"/>
        <v>1.9494919786096256</v>
      </c>
    </row>
    <row r="141" spans="2:21" hidden="1" x14ac:dyDescent="0.25">
      <c r="B141" s="6" t="s">
        <v>116</v>
      </c>
      <c r="C141" s="29">
        <v>1506.23</v>
      </c>
      <c r="D141" s="30">
        <v>47.597000000000001</v>
      </c>
      <c r="E141" s="30">
        <v>52.103000000000002</v>
      </c>
      <c r="F141" s="30">
        <v>51.991999999999997</v>
      </c>
      <c r="G141" s="16">
        <v>2.82</v>
      </c>
      <c r="H141" s="16">
        <f t="shared" si="4"/>
        <v>48.709625000000003</v>
      </c>
      <c r="I141" s="5"/>
      <c r="J141" s="29">
        <v>1555.3486</v>
      </c>
      <c r="K141" s="30">
        <v>47.398600000000002</v>
      </c>
      <c r="L141" s="30">
        <v>51.862099999999998</v>
      </c>
      <c r="M141" s="30">
        <v>51.713299999999997</v>
      </c>
      <c r="N141" s="16">
        <v>6.7976999999999999</v>
      </c>
      <c r="O141" s="16">
        <f t="shared" si="5"/>
        <v>48.495875000000005</v>
      </c>
      <c r="P141" s="7"/>
      <c r="Q141" s="8">
        <f>bdrate(C141:C144,D141:D144,J141:J144,K141:K144)</f>
        <v>5.2734538755614624E-2</v>
      </c>
      <c r="R141" s="8">
        <f>bdrate(C141:C144,E141:E144,J141:J144,L141:L144)</f>
        <v>0.15338568708061162</v>
      </c>
      <c r="S141" s="8">
        <f>bdrate(C141:C144,F141:F144,J141:J144,M141:M144)</f>
        <v>0.18934226786988506</v>
      </c>
      <c r="T141" s="25">
        <f>bdrate(C141:C144,H141:H144,J141:J144,O141:O144)</f>
        <v>7.4433780200394262E-2</v>
      </c>
      <c r="U141" s="28">
        <f t="shared" si="3"/>
        <v>1.4105319148936171</v>
      </c>
    </row>
    <row r="142" spans="2:21" hidden="1" x14ac:dyDescent="0.25">
      <c r="B142" s="9"/>
      <c r="C142" s="31">
        <v>1002.46</v>
      </c>
      <c r="D142" s="32">
        <v>46.734000000000002</v>
      </c>
      <c r="E142" s="32">
        <v>51.470999999999997</v>
      </c>
      <c r="F142" s="32">
        <v>51.377000000000002</v>
      </c>
      <c r="G142" s="18">
        <v>3.22</v>
      </c>
      <c r="H142" s="18">
        <f t="shared" si="4"/>
        <v>47.906500000000001</v>
      </c>
      <c r="I142" s="5"/>
      <c r="J142" s="31">
        <v>1029.144</v>
      </c>
      <c r="K142" s="32">
        <v>46.631399999999999</v>
      </c>
      <c r="L142" s="32">
        <v>51.188000000000002</v>
      </c>
      <c r="M142" s="32">
        <v>51.063800000000001</v>
      </c>
      <c r="N142" s="18">
        <v>8.5016999999999996</v>
      </c>
      <c r="O142" s="18">
        <f t="shared" si="5"/>
        <v>47.755025000000003</v>
      </c>
      <c r="P142" s="7"/>
      <c r="Q142" s="10"/>
      <c r="R142" s="11"/>
      <c r="S142" s="11"/>
      <c r="T142" s="26"/>
      <c r="U142" s="28">
        <f t="shared" si="3"/>
        <v>1.6402795031055897</v>
      </c>
    </row>
    <row r="143" spans="2:21" hidden="1" x14ac:dyDescent="0.25">
      <c r="B143" s="9"/>
      <c r="C143" s="31">
        <v>602.48</v>
      </c>
      <c r="D143" s="32">
        <v>45.68</v>
      </c>
      <c r="E143" s="32">
        <v>50.603999999999999</v>
      </c>
      <c r="F143" s="32">
        <v>50.569000000000003</v>
      </c>
      <c r="G143" s="18">
        <v>3.89</v>
      </c>
      <c r="H143" s="18">
        <f t="shared" si="4"/>
        <v>46.906624999999998</v>
      </c>
      <c r="I143" s="5"/>
      <c r="J143" s="31">
        <v>612.72490000000005</v>
      </c>
      <c r="K143" s="32">
        <v>45.619100000000003</v>
      </c>
      <c r="L143" s="32">
        <v>50.416699999999999</v>
      </c>
      <c r="M143" s="32">
        <v>50.365600000000001</v>
      </c>
      <c r="N143" s="18">
        <v>11.187200000000001</v>
      </c>
      <c r="O143" s="18">
        <f t="shared" si="5"/>
        <v>46.812112499999998</v>
      </c>
      <c r="P143" s="7"/>
      <c r="Q143" s="10"/>
      <c r="R143" s="11"/>
      <c r="S143" s="11"/>
      <c r="T143" s="26"/>
      <c r="U143" s="28">
        <f t="shared" si="3"/>
        <v>1.8758868894601541</v>
      </c>
    </row>
    <row r="144" spans="2:21" ht="16.5" hidden="1" thickBot="1" x14ac:dyDescent="0.3">
      <c r="B144" s="12"/>
      <c r="C144" s="33">
        <v>302.72000000000003</v>
      </c>
      <c r="D144" s="34">
        <v>44.057000000000002</v>
      </c>
      <c r="E144" s="34">
        <v>49.375</v>
      </c>
      <c r="F144" s="34">
        <v>49.546999999999997</v>
      </c>
      <c r="G144" s="20">
        <v>4.8600000000000003</v>
      </c>
      <c r="H144" s="20">
        <f t="shared" si="4"/>
        <v>45.408000000000001</v>
      </c>
      <c r="I144" s="5"/>
      <c r="J144" s="33">
        <v>303.59859999999998</v>
      </c>
      <c r="K144" s="34">
        <v>44.054400000000001</v>
      </c>
      <c r="L144" s="34">
        <v>49.270299999999999</v>
      </c>
      <c r="M144" s="34">
        <v>49.437899999999999</v>
      </c>
      <c r="N144" s="20">
        <v>17.148800000000001</v>
      </c>
      <c r="O144" s="20">
        <f t="shared" si="5"/>
        <v>45.379325000000009</v>
      </c>
      <c r="P144" s="7"/>
      <c r="Q144" s="13"/>
      <c r="R144" s="14"/>
      <c r="S144" s="14"/>
      <c r="T144" s="27"/>
      <c r="U144" s="28">
        <f t="shared" si="3"/>
        <v>2.5285596707818931</v>
      </c>
    </row>
    <row r="145" spans="1:21" hidden="1" x14ac:dyDescent="0.25">
      <c r="A145" s="6" t="s">
        <v>117</v>
      </c>
      <c r="B145" s="6" t="s">
        <v>118</v>
      </c>
      <c r="C145" s="15">
        <v>1005.73</v>
      </c>
      <c r="D145" s="16">
        <v>40.430999999999997</v>
      </c>
      <c r="E145" s="16">
        <v>47.325000000000003</v>
      </c>
      <c r="F145" s="16">
        <v>47.154000000000003</v>
      </c>
      <c r="G145" s="16">
        <v>8.8699999999999992</v>
      </c>
      <c r="H145" s="16">
        <f t="shared" si="4"/>
        <v>42.133125</v>
      </c>
      <c r="I145" s="5"/>
      <c r="J145" s="15">
        <v>1025.5690999999999</v>
      </c>
      <c r="K145" s="16">
        <v>40.1982</v>
      </c>
      <c r="L145" s="16">
        <v>47.291899999999998</v>
      </c>
      <c r="M145" s="16">
        <v>47.138100000000001</v>
      </c>
      <c r="N145" s="16">
        <v>16.3658</v>
      </c>
      <c r="O145" s="16">
        <f t="shared" si="5"/>
        <v>41.952399999999997</v>
      </c>
      <c r="P145" s="7"/>
      <c r="Q145" s="8">
        <f>bdrate(C145:C148,D145:D148,J145:J148,K145:K148)</f>
        <v>6.3298884930440336E-2</v>
      </c>
      <c r="R145" s="8">
        <f>bdrate(C145:C148,E145:E148,J145:J148,L145:L148)</f>
        <v>-5.4461765144290464E-2</v>
      </c>
      <c r="S145" s="8">
        <f>bdrate(C145:C148,F145:F148,J145:J148,M145:M148)</f>
        <v>-6.2961960511854653E-2</v>
      </c>
      <c r="T145" s="25">
        <f>bdrate(C145:C148,H145:H148,J145:J148,O145:O148)</f>
        <v>3.6262637020626709E-2</v>
      </c>
      <c r="U145" s="28">
        <f t="shared" si="3"/>
        <v>0.84507328072153343</v>
      </c>
    </row>
    <row r="146" spans="1:21" hidden="1" x14ac:dyDescent="0.25">
      <c r="A146" s="9"/>
      <c r="B146" s="9"/>
      <c r="C146" s="17">
        <v>597.13</v>
      </c>
      <c r="D146" s="18">
        <v>38.234000000000002</v>
      </c>
      <c r="E146" s="18">
        <v>45.652999999999999</v>
      </c>
      <c r="F146" s="18">
        <v>45.390999999999998</v>
      </c>
      <c r="G146" s="18">
        <v>10.34</v>
      </c>
      <c r="H146" s="18">
        <f t="shared" si="4"/>
        <v>40.056000000000004</v>
      </c>
      <c r="I146" s="5"/>
      <c r="J146" s="17">
        <v>612.79380000000003</v>
      </c>
      <c r="K146" s="18">
        <v>38.084000000000003</v>
      </c>
      <c r="L146" s="18">
        <v>45.8063</v>
      </c>
      <c r="M146" s="18">
        <v>45.5685</v>
      </c>
      <c r="N146" s="18">
        <v>20.429400000000001</v>
      </c>
      <c r="O146" s="18">
        <f t="shared" si="5"/>
        <v>39.984850000000009</v>
      </c>
      <c r="P146" s="7"/>
      <c r="Q146" s="10"/>
      <c r="R146" s="11"/>
      <c r="S146" s="11"/>
      <c r="T146" s="26"/>
      <c r="U146" s="28">
        <f t="shared" si="3"/>
        <v>0.97576402321083189</v>
      </c>
    </row>
    <row r="147" spans="1:21" hidden="1" x14ac:dyDescent="0.25">
      <c r="B147" s="9"/>
      <c r="C147" s="17">
        <v>395.31</v>
      </c>
      <c r="D147" s="18">
        <v>36.484000000000002</v>
      </c>
      <c r="E147" s="18">
        <v>44.302999999999997</v>
      </c>
      <c r="F147" s="18">
        <v>43.933</v>
      </c>
      <c r="G147" s="18">
        <v>11.84</v>
      </c>
      <c r="H147" s="18">
        <f t="shared" si="4"/>
        <v>38.392499999999998</v>
      </c>
      <c r="I147" s="5"/>
      <c r="J147" s="17">
        <v>408.56189999999998</v>
      </c>
      <c r="K147" s="18">
        <v>36.3705</v>
      </c>
      <c r="L147" s="18">
        <v>44.633000000000003</v>
      </c>
      <c r="M147" s="18">
        <v>44.325299999999999</v>
      </c>
      <c r="N147" s="18">
        <v>24.6265</v>
      </c>
      <c r="O147" s="18">
        <f t="shared" si="5"/>
        <v>38.397662499999996</v>
      </c>
      <c r="P147" s="7"/>
      <c r="Q147" s="10"/>
      <c r="R147" s="11"/>
      <c r="S147" s="11"/>
      <c r="T147" s="26"/>
      <c r="U147" s="28">
        <f t="shared" si="3"/>
        <v>1.0799408783783784</v>
      </c>
    </row>
    <row r="148" spans="1:21" ht="16.5" hidden="1" thickBot="1" x14ac:dyDescent="0.3">
      <c r="B148" s="12"/>
      <c r="C148" s="19">
        <v>195.35</v>
      </c>
      <c r="D148" s="20">
        <v>33.545999999999999</v>
      </c>
      <c r="E148" s="20">
        <v>42.017000000000003</v>
      </c>
      <c r="F148" s="20">
        <v>41.506</v>
      </c>
      <c r="G148" s="20">
        <v>14.72</v>
      </c>
      <c r="H148" s="20">
        <f t="shared" si="4"/>
        <v>35.599874999999997</v>
      </c>
      <c r="I148" s="5"/>
      <c r="J148" s="19">
        <v>203.10339999999999</v>
      </c>
      <c r="K148" s="20">
        <v>33.479900000000001</v>
      </c>
      <c r="L148" s="20">
        <v>42.616999999999997</v>
      </c>
      <c r="M148" s="20">
        <v>42.192</v>
      </c>
      <c r="N148" s="20">
        <v>33.462000000000003</v>
      </c>
      <c r="O148" s="20">
        <f t="shared" si="5"/>
        <v>35.71105</v>
      </c>
      <c r="P148" s="7"/>
      <c r="Q148" s="13"/>
      <c r="R148" s="14"/>
      <c r="S148" s="14"/>
      <c r="T148" s="27"/>
      <c r="U148" s="28">
        <f t="shared" si="3"/>
        <v>1.2732336956521741</v>
      </c>
    </row>
    <row r="149" spans="1:21" hidden="1" x14ac:dyDescent="0.25">
      <c r="B149" s="6" t="s">
        <v>119</v>
      </c>
      <c r="C149" s="15">
        <v>982.17</v>
      </c>
      <c r="D149" s="16">
        <v>38.972999999999999</v>
      </c>
      <c r="E149" s="16">
        <v>49.332999999999998</v>
      </c>
      <c r="F149" s="16">
        <v>46.872999999999998</v>
      </c>
      <c r="G149" s="16">
        <v>10.61</v>
      </c>
      <c r="H149" s="16">
        <f t="shared" si="4"/>
        <v>41.255499999999998</v>
      </c>
      <c r="I149" s="5"/>
      <c r="J149" s="15">
        <v>1026.0038999999999</v>
      </c>
      <c r="K149" s="16">
        <v>38.943399999999997</v>
      </c>
      <c r="L149" s="16">
        <v>49.393599999999999</v>
      </c>
      <c r="M149" s="16">
        <v>47.028300000000002</v>
      </c>
      <c r="N149" s="16">
        <v>19.8309</v>
      </c>
      <c r="O149" s="16">
        <f t="shared" si="5"/>
        <v>41.260287499999997</v>
      </c>
      <c r="P149" s="7"/>
      <c r="Q149" s="8">
        <f>bdrate(C149:C152,D149:D152,J149:J152,K149:K152)</f>
        <v>3.0459061447346114E-2</v>
      </c>
      <c r="R149" s="8">
        <f>bdrate(C149:C152,E149:E152,J149:J152,L149:L152)</f>
        <v>-0.13685772015544817</v>
      </c>
      <c r="S149" s="8">
        <f>bdrate(C149:C152,F149:F152,J149:J152,M149:M152)</f>
        <v>-0.13734366043085777</v>
      </c>
      <c r="T149" s="25">
        <f>bdrate(C149:C152,H149:H152,J149:J152,O149:O152)</f>
        <v>-5.1113036219505581E-3</v>
      </c>
      <c r="U149" s="28">
        <f t="shared" si="3"/>
        <v>0.86907634307257309</v>
      </c>
    </row>
    <row r="150" spans="1:21" hidden="1" x14ac:dyDescent="0.25">
      <c r="B150" s="9"/>
      <c r="C150" s="17">
        <v>587.24</v>
      </c>
      <c r="D150" s="18">
        <v>37.054000000000002</v>
      </c>
      <c r="E150" s="18">
        <v>47.978000000000002</v>
      </c>
      <c r="F150" s="18">
        <v>45.343000000000004</v>
      </c>
      <c r="G150" s="18">
        <v>12.43</v>
      </c>
      <c r="H150" s="18">
        <f t="shared" si="4"/>
        <v>39.455625000000005</v>
      </c>
      <c r="I150" s="5"/>
      <c r="J150" s="17">
        <v>615.06799999999998</v>
      </c>
      <c r="K150" s="18">
        <v>37.073999999999998</v>
      </c>
      <c r="L150" s="18">
        <v>48.338099999999997</v>
      </c>
      <c r="M150" s="18">
        <v>45.779899999999998</v>
      </c>
      <c r="N150" s="18">
        <v>25.651299999999999</v>
      </c>
      <c r="O150" s="18">
        <f t="shared" si="5"/>
        <v>39.570250000000001</v>
      </c>
      <c r="P150" s="7"/>
      <c r="Q150" s="10"/>
      <c r="R150" s="11"/>
      <c r="S150" s="11"/>
      <c r="T150" s="26"/>
      <c r="U150" s="28">
        <f t="shared" si="3"/>
        <v>1.0636604987932421</v>
      </c>
    </row>
    <row r="151" spans="1:21" hidden="1" x14ac:dyDescent="0.25">
      <c r="B151" s="9"/>
      <c r="C151" s="17">
        <v>391.15</v>
      </c>
      <c r="D151" s="18">
        <v>35.593000000000004</v>
      </c>
      <c r="E151" s="18">
        <v>46.904000000000003</v>
      </c>
      <c r="F151" s="18">
        <v>44.146000000000001</v>
      </c>
      <c r="G151" s="18">
        <v>14.11</v>
      </c>
      <c r="H151" s="18">
        <f t="shared" si="4"/>
        <v>38.076000000000008</v>
      </c>
      <c r="I151" s="5"/>
      <c r="J151" s="17">
        <v>409.68990000000002</v>
      </c>
      <c r="K151" s="18">
        <v>35.665300000000002</v>
      </c>
      <c r="L151" s="18">
        <v>47.4771</v>
      </c>
      <c r="M151" s="18">
        <v>44.747300000000003</v>
      </c>
      <c r="N151" s="18">
        <v>30.8994</v>
      </c>
      <c r="O151" s="18">
        <f t="shared" si="5"/>
        <v>38.277025000000002</v>
      </c>
      <c r="P151" s="7"/>
      <c r="Q151" s="10"/>
      <c r="R151" s="11"/>
      <c r="S151" s="11"/>
      <c r="T151" s="26"/>
      <c r="U151" s="28">
        <f t="shared" si="3"/>
        <v>1.1898936924167258</v>
      </c>
    </row>
    <row r="152" spans="1:21" ht="16.5" hidden="1" thickBot="1" x14ac:dyDescent="0.3">
      <c r="B152" s="12"/>
      <c r="C152" s="19">
        <v>195.44</v>
      </c>
      <c r="D152" s="20">
        <v>33.235999999999997</v>
      </c>
      <c r="E152" s="20">
        <v>45.204000000000001</v>
      </c>
      <c r="F152" s="20">
        <v>42.173999999999999</v>
      </c>
      <c r="G152" s="20">
        <v>17.39</v>
      </c>
      <c r="H152" s="20">
        <f t="shared" si="4"/>
        <v>35.849249999999998</v>
      </c>
      <c r="I152" s="5"/>
      <c r="J152" s="19">
        <v>204.91329999999999</v>
      </c>
      <c r="K152" s="20">
        <v>33.384799999999998</v>
      </c>
      <c r="L152" s="20">
        <v>45.956200000000003</v>
      </c>
      <c r="M152" s="20">
        <v>43.071199999999997</v>
      </c>
      <c r="N152" s="20">
        <v>42.820900000000002</v>
      </c>
      <c r="O152" s="20">
        <f t="shared" si="5"/>
        <v>36.167024999999995</v>
      </c>
      <c r="P152" s="7"/>
      <c r="Q152" s="13"/>
      <c r="R152" s="14"/>
      <c r="S152" s="14"/>
      <c r="T152" s="27"/>
      <c r="U152" s="28">
        <f t="shared" si="3"/>
        <v>1.4623864289821737</v>
      </c>
    </row>
    <row r="153" spans="1:21" hidden="1" x14ac:dyDescent="0.25">
      <c r="B153" s="6" t="s">
        <v>120</v>
      </c>
      <c r="C153" s="15">
        <v>1034.42</v>
      </c>
      <c r="D153" s="16">
        <v>43.156999999999996</v>
      </c>
      <c r="E153" s="16">
        <v>47.280999999999999</v>
      </c>
      <c r="F153" s="16">
        <v>47.651000000000003</v>
      </c>
      <c r="G153" s="16">
        <v>8.9</v>
      </c>
      <c r="H153" s="16">
        <f t="shared" si="4"/>
        <v>44.234250000000003</v>
      </c>
      <c r="I153" s="5"/>
      <c r="J153" s="15">
        <v>1028.3571999999999</v>
      </c>
      <c r="K153" s="16">
        <v>42.883600000000001</v>
      </c>
      <c r="L153" s="16">
        <v>47.2502</v>
      </c>
      <c r="M153" s="16">
        <v>47.631100000000004</v>
      </c>
      <c r="N153" s="16">
        <v>16.470099999999999</v>
      </c>
      <c r="O153" s="16">
        <f t="shared" si="5"/>
        <v>44.022862500000002</v>
      </c>
      <c r="P153" s="7"/>
      <c r="Q153" s="8">
        <f>bdrate(C153:C156,D153:D156,J153:J156,K153:K156)</f>
        <v>5.96931240967844E-2</v>
      </c>
      <c r="R153" s="8">
        <f>bdrate(C153:C156,E153:E156,J153:J156,L153:L156)</f>
        <v>-3.6893556890347234E-2</v>
      </c>
      <c r="S153" s="8">
        <f>bdrate(C153:C156,F153:F156,J153:J156,M153:M156)</f>
        <v>-2.6515583534525988E-2</v>
      </c>
      <c r="T153" s="25">
        <f>bdrate(C153:C156,H153:H156,J153:J156,O153:O156)</f>
        <v>4.2413828578845791E-2</v>
      </c>
      <c r="U153" s="28">
        <f t="shared" si="3"/>
        <v>0.85057303370786497</v>
      </c>
    </row>
    <row r="154" spans="1:21" hidden="1" x14ac:dyDescent="0.25">
      <c r="B154" s="9"/>
      <c r="C154" s="17">
        <v>616.01</v>
      </c>
      <c r="D154" s="18">
        <v>41.402999999999999</v>
      </c>
      <c r="E154" s="18">
        <v>46.078000000000003</v>
      </c>
      <c r="F154" s="18">
        <v>46.542999999999999</v>
      </c>
      <c r="G154" s="18">
        <v>10.35</v>
      </c>
      <c r="H154" s="18">
        <f t="shared" si="4"/>
        <v>42.629874999999998</v>
      </c>
      <c r="I154" s="5"/>
      <c r="J154" s="17">
        <v>616.3356</v>
      </c>
      <c r="K154" s="18">
        <v>41.155700000000003</v>
      </c>
      <c r="L154" s="18">
        <v>46.112699999999997</v>
      </c>
      <c r="M154" s="18">
        <v>46.548499999999997</v>
      </c>
      <c r="N154" s="18">
        <v>21.8812</v>
      </c>
      <c r="O154" s="18">
        <f t="shared" si="5"/>
        <v>42.449425000000005</v>
      </c>
      <c r="P154" s="7"/>
      <c r="Q154" s="10"/>
      <c r="R154" s="11"/>
      <c r="S154" s="11"/>
      <c r="T154" s="26"/>
      <c r="U154" s="28">
        <f t="shared" si="3"/>
        <v>1.1141256038647342</v>
      </c>
    </row>
    <row r="155" spans="1:21" hidden="1" x14ac:dyDescent="0.25">
      <c r="B155" s="9"/>
      <c r="C155" s="17">
        <v>407.88</v>
      </c>
      <c r="D155" s="18">
        <v>39.92</v>
      </c>
      <c r="E155" s="18">
        <v>45.054000000000002</v>
      </c>
      <c r="F155" s="18">
        <v>45.563000000000002</v>
      </c>
      <c r="G155" s="18">
        <v>11.75</v>
      </c>
      <c r="H155" s="18">
        <f t="shared" si="4"/>
        <v>41.267125</v>
      </c>
      <c r="I155" s="5"/>
      <c r="J155" s="17">
        <v>410.7713</v>
      </c>
      <c r="K155" s="18">
        <v>39.705300000000001</v>
      </c>
      <c r="L155" s="18">
        <v>45.172800000000002</v>
      </c>
      <c r="M155" s="18">
        <v>45.633499999999998</v>
      </c>
      <c r="N155" s="18">
        <v>27.0379</v>
      </c>
      <c r="O155" s="18">
        <f t="shared" si="5"/>
        <v>41.129762499999998</v>
      </c>
      <c r="P155" s="7"/>
      <c r="Q155" s="10"/>
      <c r="R155" s="11"/>
      <c r="S155" s="11"/>
      <c r="T155" s="26"/>
      <c r="U155" s="28">
        <f t="shared" si="3"/>
        <v>1.3010978723404256</v>
      </c>
    </row>
    <row r="156" spans="1:21" ht="16.5" hidden="1" thickBot="1" x14ac:dyDescent="0.3">
      <c r="B156" s="12"/>
      <c r="C156" s="19">
        <v>201.69</v>
      </c>
      <c r="D156" s="20">
        <v>36.950000000000003</v>
      </c>
      <c r="E156" s="20">
        <v>43.052</v>
      </c>
      <c r="F156" s="20">
        <v>43.548999999999999</v>
      </c>
      <c r="G156" s="20">
        <v>14.9</v>
      </c>
      <c r="H156" s="20">
        <f t="shared" si="4"/>
        <v>38.537624999999998</v>
      </c>
      <c r="I156" s="5"/>
      <c r="J156" s="19">
        <v>204.3929</v>
      </c>
      <c r="K156" s="20">
        <v>36.938800000000001</v>
      </c>
      <c r="L156" s="20">
        <v>43.383899999999997</v>
      </c>
      <c r="M156" s="20">
        <v>43.887900000000002</v>
      </c>
      <c r="N156" s="20">
        <v>38.272300000000001</v>
      </c>
      <c r="O156" s="20">
        <f t="shared" si="5"/>
        <v>38.613075000000002</v>
      </c>
      <c r="P156" s="7"/>
      <c r="Q156" s="13"/>
      <c r="R156" s="14"/>
      <c r="S156" s="14"/>
      <c r="T156" s="27"/>
      <c r="U156" s="28">
        <f t="shared" si="3"/>
        <v>1.5686107382550336</v>
      </c>
    </row>
    <row r="157" spans="1:21" hidden="1" x14ac:dyDescent="0.25">
      <c r="B157" s="6" t="s">
        <v>121</v>
      </c>
      <c r="C157" s="29">
        <v>974.05</v>
      </c>
      <c r="D157" s="30">
        <v>38.402999999999999</v>
      </c>
      <c r="E157" s="30">
        <v>45.898000000000003</v>
      </c>
      <c r="F157" s="30">
        <v>45.753</v>
      </c>
      <c r="G157" s="16">
        <v>10.84</v>
      </c>
      <c r="H157" s="16">
        <f t="shared" si="4"/>
        <v>40.258625000000002</v>
      </c>
      <c r="I157" s="5"/>
      <c r="J157" s="29">
        <v>1026.3224</v>
      </c>
      <c r="K157" s="30">
        <v>38.7089</v>
      </c>
      <c r="L157" s="30">
        <v>46.323599999999999</v>
      </c>
      <c r="M157" s="30">
        <v>46.177</v>
      </c>
      <c r="N157" s="16">
        <v>18.762899999999998</v>
      </c>
      <c r="O157" s="16">
        <f t="shared" si="5"/>
        <v>40.594250000000002</v>
      </c>
      <c r="P157" s="7"/>
      <c r="Q157" s="8">
        <f>bdrate(C157:C160,D157:D160,J157:J160,K157:K160)</f>
        <v>-5.7188766524953305E-2</v>
      </c>
      <c r="R157" s="8">
        <f>bdrate(C157:C160,E157:E160,J157:J160,L157:L160)</f>
        <v>-0.22066258218394885</v>
      </c>
      <c r="S157" s="8">
        <f>bdrate(C157:C160,F157:F160,J157:J160,M157:M160)</f>
        <v>-0.22045885412144328</v>
      </c>
      <c r="T157" s="25">
        <f>bdrate(C157:C160,H157:H160,J157:J160,O157:O160)</f>
        <v>-9.1172146069085191E-2</v>
      </c>
      <c r="U157" s="28">
        <f t="shared" si="3"/>
        <v>0.73089483394833932</v>
      </c>
    </row>
    <row r="158" spans="1:21" hidden="1" x14ac:dyDescent="0.25">
      <c r="B158" s="9"/>
      <c r="C158" s="31">
        <v>582.27</v>
      </c>
      <c r="D158" s="32">
        <v>36.432000000000002</v>
      </c>
      <c r="E158" s="32">
        <v>44.54</v>
      </c>
      <c r="F158" s="32">
        <v>44.393000000000001</v>
      </c>
      <c r="G158" s="18">
        <v>12.99</v>
      </c>
      <c r="H158" s="18">
        <f t="shared" si="4"/>
        <v>38.440624999999997</v>
      </c>
      <c r="I158" s="5"/>
      <c r="J158" s="31">
        <v>613.03240000000005</v>
      </c>
      <c r="K158" s="32">
        <v>36.8093</v>
      </c>
      <c r="L158" s="32">
        <v>45.172600000000003</v>
      </c>
      <c r="M158" s="32">
        <v>45.022500000000001</v>
      </c>
      <c r="N158" s="18">
        <v>25.126000000000001</v>
      </c>
      <c r="O158" s="18">
        <f t="shared" si="5"/>
        <v>38.881362499999994</v>
      </c>
      <c r="P158" s="7"/>
      <c r="Q158" s="10"/>
      <c r="R158" s="11"/>
      <c r="S158" s="11"/>
      <c r="T158" s="26"/>
      <c r="U158" s="28">
        <f t="shared" si="3"/>
        <v>0.93425712086220181</v>
      </c>
    </row>
    <row r="159" spans="1:21" hidden="1" x14ac:dyDescent="0.25">
      <c r="B159" s="9"/>
      <c r="C159" s="31">
        <v>388.02</v>
      </c>
      <c r="D159" s="32">
        <v>34.923000000000002</v>
      </c>
      <c r="E159" s="32">
        <v>43.423999999999999</v>
      </c>
      <c r="F159" s="32">
        <v>43.234000000000002</v>
      </c>
      <c r="G159" s="18">
        <v>14.76</v>
      </c>
      <c r="H159" s="18">
        <f t="shared" si="4"/>
        <v>37.024500000000003</v>
      </c>
      <c r="I159" s="5"/>
      <c r="J159" s="31">
        <v>407.92059999999998</v>
      </c>
      <c r="K159" s="32">
        <v>35.355200000000004</v>
      </c>
      <c r="L159" s="32">
        <v>44.2545</v>
      </c>
      <c r="M159" s="32">
        <v>44.097499999999997</v>
      </c>
      <c r="N159" s="18">
        <v>30.478400000000001</v>
      </c>
      <c r="O159" s="18">
        <f t="shared" si="5"/>
        <v>37.560400000000001</v>
      </c>
      <c r="P159" s="7"/>
      <c r="Q159" s="10"/>
      <c r="R159" s="11"/>
      <c r="S159" s="11"/>
      <c r="T159" s="26"/>
      <c r="U159" s="28">
        <f t="shared" si="3"/>
        <v>1.0649322493224933</v>
      </c>
    </row>
    <row r="160" spans="1:21" ht="16.5" hidden="1" thickBot="1" x14ac:dyDescent="0.3">
      <c r="B160" s="12"/>
      <c r="C160" s="33">
        <v>193.98</v>
      </c>
      <c r="D160" s="34">
        <v>32.25</v>
      </c>
      <c r="E160" s="34">
        <v>41.24</v>
      </c>
      <c r="F160" s="34">
        <v>41.127000000000002</v>
      </c>
      <c r="G160" s="20">
        <v>18</v>
      </c>
      <c r="H160" s="20">
        <f t="shared" si="4"/>
        <v>34.483375000000002</v>
      </c>
      <c r="I160" s="5"/>
      <c r="J160" s="33">
        <v>203.8449</v>
      </c>
      <c r="K160" s="34">
        <v>32.7395</v>
      </c>
      <c r="L160" s="34">
        <v>42.590200000000003</v>
      </c>
      <c r="M160" s="34">
        <v>42.372700000000002</v>
      </c>
      <c r="N160" s="20">
        <v>42.866399999999999</v>
      </c>
      <c r="O160" s="20">
        <f t="shared" si="5"/>
        <v>35.1749875</v>
      </c>
      <c r="P160" s="7"/>
      <c r="Q160" s="13"/>
      <c r="R160" s="14"/>
      <c r="S160" s="14"/>
      <c r="T160" s="27"/>
      <c r="U160" s="28">
        <f t="shared" si="3"/>
        <v>1.3814666666666666</v>
      </c>
    </row>
    <row r="161" spans="2:21" hidden="1" x14ac:dyDescent="0.25">
      <c r="B161" s="6" t="s">
        <v>122</v>
      </c>
      <c r="C161" s="15">
        <v>1003.74</v>
      </c>
      <c r="D161" s="16">
        <v>38.277999999999999</v>
      </c>
      <c r="E161" s="16">
        <v>46.944000000000003</v>
      </c>
      <c r="F161" s="16">
        <v>45.517000000000003</v>
      </c>
      <c r="G161" s="16">
        <v>11.06</v>
      </c>
      <c r="H161" s="16">
        <f t="shared" si="4"/>
        <v>40.266125000000002</v>
      </c>
      <c r="I161" s="5"/>
      <c r="J161" s="15">
        <v>1025.4866</v>
      </c>
      <c r="K161" s="16">
        <v>38.151499999999999</v>
      </c>
      <c r="L161" s="16">
        <v>47.2134</v>
      </c>
      <c r="M161" s="16">
        <v>45.809800000000003</v>
      </c>
      <c r="N161" s="16">
        <v>19.179600000000001</v>
      </c>
      <c r="O161" s="16">
        <f t="shared" si="5"/>
        <v>40.241524999999996</v>
      </c>
      <c r="P161" s="7"/>
      <c r="Q161" s="8">
        <f>bdrate(C161:C164,D161:D164,J161:J164,K161:K164)</f>
        <v>5.4575416890852546E-2</v>
      </c>
      <c r="R161" s="8">
        <f>bdrate(C161:C164,E161:E164,J161:J164,L161:L164)</f>
        <v>-0.16503035784440667</v>
      </c>
      <c r="S161" s="8">
        <f>bdrate(C161:C164,F161:F164,J161:J164,M161:M164)</f>
        <v>-0.2022928660317016</v>
      </c>
      <c r="T161" s="25">
        <f>bdrate(C161:C164,H161:H164,J161:J164,O161:O164)</f>
        <v>-2.8387134028788896E-3</v>
      </c>
      <c r="U161" s="28">
        <f t="shared" si="3"/>
        <v>0.73414104882459308</v>
      </c>
    </row>
    <row r="162" spans="2:21" hidden="1" x14ac:dyDescent="0.25">
      <c r="B162" s="9"/>
      <c r="C162" s="17">
        <v>601.83000000000004</v>
      </c>
      <c r="D162" s="18">
        <v>37.235999999999997</v>
      </c>
      <c r="E162" s="18">
        <v>46.133000000000003</v>
      </c>
      <c r="F162" s="18">
        <v>44.58</v>
      </c>
      <c r="G162" s="18">
        <v>12.99</v>
      </c>
      <c r="H162" s="18">
        <f t="shared" si="4"/>
        <v>39.266124999999995</v>
      </c>
      <c r="I162" s="5"/>
      <c r="J162" s="17">
        <v>614.62019999999995</v>
      </c>
      <c r="K162" s="18">
        <v>37.132399999999997</v>
      </c>
      <c r="L162" s="18">
        <v>46.466000000000001</v>
      </c>
      <c r="M162" s="18">
        <v>44.997900000000001</v>
      </c>
      <c r="N162" s="18">
        <v>24.5517</v>
      </c>
      <c r="O162" s="18">
        <f t="shared" si="5"/>
        <v>39.282287500000002</v>
      </c>
      <c r="P162" s="7"/>
      <c r="Q162" s="10"/>
      <c r="R162" s="11"/>
      <c r="S162" s="11"/>
      <c r="T162" s="26"/>
      <c r="U162" s="28">
        <f t="shared" si="3"/>
        <v>0.89004618937644342</v>
      </c>
    </row>
    <row r="163" spans="2:21" hidden="1" x14ac:dyDescent="0.25">
      <c r="B163" s="9"/>
      <c r="C163" s="17">
        <v>401.1</v>
      </c>
      <c r="D163" s="18">
        <v>36.424999999999997</v>
      </c>
      <c r="E163" s="18">
        <v>45.448999999999998</v>
      </c>
      <c r="F163" s="18">
        <v>43.789000000000001</v>
      </c>
      <c r="G163" s="18">
        <v>14.53</v>
      </c>
      <c r="H163" s="18">
        <f t="shared" si="4"/>
        <v>38.473499999999994</v>
      </c>
      <c r="I163" s="5"/>
      <c r="J163" s="17">
        <v>408.56369999999998</v>
      </c>
      <c r="K163" s="18">
        <v>36.337299999999999</v>
      </c>
      <c r="L163" s="18">
        <v>45.7911</v>
      </c>
      <c r="M163" s="18">
        <v>44.286799999999999</v>
      </c>
      <c r="N163" s="18">
        <v>30.172999999999998</v>
      </c>
      <c r="O163" s="18">
        <f t="shared" si="5"/>
        <v>38.512712499999992</v>
      </c>
      <c r="P163" s="7"/>
      <c r="Q163" s="10"/>
      <c r="R163" s="11"/>
      <c r="S163" s="11"/>
      <c r="T163" s="26"/>
      <c r="U163" s="28">
        <f t="shared" si="3"/>
        <v>1.0766001376462491</v>
      </c>
    </row>
    <row r="164" spans="2:21" ht="16.5" hidden="1" thickBot="1" x14ac:dyDescent="0.3">
      <c r="B164" s="12"/>
      <c r="C164" s="19">
        <v>200.33</v>
      </c>
      <c r="D164" s="20">
        <v>34.750999999999998</v>
      </c>
      <c r="E164" s="20">
        <v>44.054000000000002</v>
      </c>
      <c r="F164" s="20">
        <v>42.289000000000001</v>
      </c>
      <c r="G164" s="20">
        <v>17.38</v>
      </c>
      <c r="H164" s="20">
        <f t="shared" si="4"/>
        <v>36.856124999999999</v>
      </c>
      <c r="I164" s="5"/>
      <c r="J164" s="19">
        <v>203.62819999999999</v>
      </c>
      <c r="K164" s="20">
        <v>34.820999999999998</v>
      </c>
      <c r="L164" s="20">
        <v>44.494100000000003</v>
      </c>
      <c r="M164" s="20">
        <v>42.875799999999998</v>
      </c>
      <c r="N164" s="20">
        <v>42.9495</v>
      </c>
      <c r="O164" s="20">
        <f t="shared" si="5"/>
        <v>37.036987499999995</v>
      </c>
      <c r="P164" s="7"/>
      <c r="Q164" s="13"/>
      <c r="R164" s="14"/>
      <c r="S164" s="14"/>
      <c r="T164" s="27"/>
      <c r="U164" s="28">
        <f t="shared" si="3"/>
        <v>1.4712025316455697</v>
      </c>
    </row>
    <row r="165" spans="2:21" hidden="1" x14ac:dyDescent="0.25">
      <c r="B165" s="6" t="s">
        <v>123</v>
      </c>
      <c r="C165" s="15">
        <v>1528.73</v>
      </c>
      <c r="D165" s="16">
        <v>38.427999999999997</v>
      </c>
      <c r="E165" s="16">
        <v>44.44</v>
      </c>
      <c r="F165" s="16">
        <v>43.774000000000001</v>
      </c>
      <c r="G165" s="16">
        <v>4.9000000000000004</v>
      </c>
      <c r="H165" s="16">
        <f t="shared" si="4"/>
        <v>39.847749999999998</v>
      </c>
      <c r="I165" s="5"/>
      <c r="J165" s="15">
        <v>1534.4051999999999</v>
      </c>
      <c r="K165" s="16">
        <v>38.707099999999997</v>
      </c>
      <c r="L165" s="16">
        <v>44.764600000000002</v>
      </c>
      <c r="M165" s="16">
        <v>44.095799999999997</v>
      </c>
      <c r="N165" s="16">
        <v>10.448600000000001</v>
      </c>
      <c r="O165" s="16">
        <f t="shared" si="5"/>
        <v>40.137875000000001</v>
      </c>
      <c r="P165" s="7"/>
      <c r="Q165" s="8">
        <f>bdrate(C165:C168,D165:D168,J165:J168,K165:K168)</f>
        <v>-6.1060525587346537E-2</v>
      </c>
      <c r="R165" s="8">
        <f>bdrate(C165:C168,E165:E168,J165:J168,L165:L168)</f>
        <v>-0.16895682482974683</v>
      </c>
      <c r="S165" s="8">
        <f>bdrate(C165:C168,F165:F168,J165:J168,M165:M168)</f>
        <v>-0.13279908464871804</v>
      </c>
      <c r="T165" s="25">
        <f>bdrate(C165:C168,H165:H168,J165:J168,O165:O168)</f>
        <v>-7.9848766842423369E-2</v>
      </c>
      <c r="U165" s="28">
        <f t="shared" si="3"/>
        <v>1.1323673469387756</v>
      </c>
    </row>
    <row r="166" spans="2:21" hidden="1" x14ac:dyDescent="0.25">
      <c r="B166" s="9"/>
      <c r="C166" s="17">
        <v>1016.89</v>
      </c>
      <c r="D166" s="18">
        <v>36.729999999999997</v>
      </c>
      <c r="E166" s="18">
        <v>43.323999999999998</v>
      </c>
      <c r="F166" s="18">
        <v>42.584000000000003</v>
      </c>
      <c r="G166" s="18">
        <v>5.45</v>
      </c>
      <c r="H166" s="18">
        <f t="shared" si="4"/>
        <v>38.286000000000001</v>
      </c>
      <c r="I166" s="5"/>
      <c r="J166" s="17">
        <v>1017.206</v>
      </c>
      <c r="K166" s="18">
        <v>37.075000000000003</v>
      </c>
      <c r="L166" s="18">
        <v>43.720999999999997</v>
      </c>
      <c r="M166" s="18">
        <v>42.9253</v>
      </c>
      <c r="N166" s="18">
        <v>12.6364</v>
      </c>
      <c r="O166" s="18">
        <f t="shared" si="5"/>
        <v>38.637037499999998</v>
      </c>
      <c r="P166" s="7"/>
      <c r="Q166" s="10"/>
      <c r="R166" s="11"/>
      <c r="S166" s="11"/>
      <c r="T166" s="26"/>
      <c r="U166" s="28">
        <f t="shared" si="3"/>
        <v>1.3186055045871559</v>
      </c>
    </row>
    <row r="167" spans="2:21" hidden="1" x14ac:dyDescent="0.25">
      <c r="B167" s="9"/>
      <c r="C167" s="17">
        <v>607.99</v>
      </c>
      <c r="D167" s="18">
        <v>34.686</v>
      </c>
      <c r="E167" s="18">
        <v>41.898000000000003</v>
      </c>
      <c r="F167" s="18">
        <v>41.023000000000003</v>
      </c>
      <c r="G167" s="18">
        <v>6.19</v>
      </c>
      <c r="H167" s="18">
        <f t="shared" si="4"/>
        <v>36.379624999999997</v>
      </c>
      <c r="I167" s="5"/>
      <c r="J167" s="17">
        <v>613.24810000000002</v>
      </c>
      <c r="K167" s="18">
        <v>34.966700000000003</v>
      </c>
      <c r="L167" s="18">
        <v>42.4221</v>
      </c>
      <c r="M167" s="18">
        <v>41.464100000000002</v>
      </c>
      <c r="N167" s="18">
        <v>15.976599999999999</v>
      </c>
      <c r="O167" s="18">
        <f t="shared" si="5"/>
        <v>36.710800000000006</v>
      </c>
      <c r="P167" s="7"/>
      <c r="Q167" s="10"/>
      <c r="R167" s="11"/>
      <c r="S167" s="11"/>
      <c r="T167" s="26"/>
      <c r="U167" s="28">
        <f t="shared" si="3"/>
        <v>1.5810339256865911</v>
      </c>
    </row>
    <row r="168" spans="2:21" ht="16.5" hidden="1" thickBot="1" x14ac:dyDescent="0.3">
      <c r="B168" s="12"/>
      <c r="C168" s="19">
        <v>304.82</v>
      </c>
      <c r="D168" s="20">
        <v>31.984000000000002</v>
      </c>
      <c r="E168" s="20">
        <v>39.817999999999998</v>
      </c>
      <c r="F168" s="20">
        <v>38.759</v>
      </c>
      <c r="G168" s="20">
        <v>7.28</v>
      </c>
      <c r="H168" s="20">
        <f t="shared" si="4"/>
        <v>33.810124999999999</v>
      </c>
      <c r="I168" s="5"/>
      <c r="J168" s="19">
        <v>304.62150000000003</v>
      </c>
      <c r="K168" s="20">
        <v>32.098599999999998</v>
      </c>
      <c r="L168" s="20">
        <v>40.707700000000003</v>
      </c>
      <c r="M168" s="20">
        <v>39.495699999999999</v>
      </c>
      <c r="N168" s="20">
        <v>22.5611</v>
      </c>
      <c r="O168" s="20">
        <f t="shared" si="5"/>
        <v>34.099374999999995</v>
      </c>
      <c r="P168" s="7"/>
      <c r="Q168" s="13"/>
      <c r="R168" s="14"/>
      <c r="S168" s="14"/>
      <c r="T168" s="27"/>
      <c r="U168" s="28">
        <f t="shared" si="3"/>
        <v>2.0990521978021977</v>
      </c>
    </row>
    <row r="169" spans="2:21" hidden="1" x14ac:dyDescent="0.25">
      <c r="B169" s="6" t="s">
        <v>124</v>
      </c>
      <c r="C169" s="15">
        <v>1029.1500000000001</v>
      </c>
      <c r="D169" s="16">
        <v>39.805</v>
      </c>
      <c r="E169" s="16">
        <v>45.295999999999999</v>
      </c>
      <c r="F169" s="16">
        <v>44.802</v>
      </c>
      <c r="G169" s="16">
        <v>10.039999999999999</v>
      </c>
      <c r="H169" s="16">
        <f t="shared" si="4"/>
        <v>41.116</v>
      </c>
      <c r="I169" s="5"/>
      <c r="J169" s="15">
        <v>1034.6246000000001</v>
      </c>
      <c r="K169" s="16">
        <v>39.802100000000003</v>
      </c>
      <c r="L169" s="16">
        <v>45.496000000000002</v>
      </c>
      <c r="M169" s="16">
        <v>44.996000000000002</v>
      </c>
      <c r="N169" s="16">
        <v>18.341899999999999</v>
      </c>
      <c r="O169" s="16">
        <f t="shared" si="5"/>
        <v>41.163074999999999</v>
      </c>
      <c r="P169" s="7"/>
      <c r="Q169" s="8">
        <f>bdrate(C169:C172,D169:D172,J169:J172,K169:K172)</f>
        <v>-1.8929169898616705E-2</v>
      </c>
      <c r="R169" s="8">
        <f>bdrate(C169:C172,E169:E172,J169:J172,L169:L172)</f>
        <v>-0.1506131291482451</v>
      </c>
      <c r="S169" s="8">
        <f>bdrate(C169:C172,F169:F172,J169:J172,M169:M172)</f>
        <v>-0.15639086926063983</v>
      </c>
      <c r="T169" s="25">
        <f>bdrate(C169:C172,H169:H172,J169:J172,O169:O172)</f>
        <v>-4.7744770484929533E-2</v>
      </c>
      <c r="U169" s="28">
        <f t="shared" si="3"/>
        <v>0.82688247011952198</v>
      </c>
    </row>
    <row r="170" spans="2:21" hidden="1" x14ac:dyDescent="0.25">
      <c r="B170" s="9"/>
      <c r="C170" s="17">
        <v>611.11</v>
      </c>
      <c r="D170" s="18">
        <v>38.06</v>
      </c>
      <c r="E170" s="18">
        <v>43.985999999999997</v>
      </c>
      <c r="F170" s="18">
        <v>43.444000000000003</v>
      </c>
      <c r="G170" s="18">
        <v>11.76</v>
      </c>
      <c r="H170" s="18">
        <f t="shared" si="4"/>
        <v>39.473750000000003</v>
      </c>
      <c r="I170" s="5"/>
      <c r="J170" s="17">
        <v>620.99220000000003</v>
      </c>
      <c r="K170" s="18">
        <v>38.126600000000003</v>
      </c>
      <c r="L170" s="18">
        <v>44.353299999999997</v>
      </c>
      <c r="M170" s="18">
        <v>43.827800000000003</v>
      </c>
      <c r="N170" s="18">
        <v>23.360199999999999</v>
      </c>
      <c r="O170" s="18">
        <f t="shared" si="5"/>
        <v>39.617587500000006</v>
      </c>
      <c r="P170" s="7"/>
      <c r="Q170" s="10"/>
      <c r="R170" s="11"/>
      <c r="S170" s="11"/>
      <c r="T170" s="26"/>
      <c r="U170" s="28">
        <f t="shared" si="3"/>
        <v>0.98641156462585033</v>
      </c>
    </row>
    <row r="171" spans="2:21" hidden="1" x14ac:dyDescent="0.25">
      <c r="B171" s="9"/>
      <c r="C171" s="17">
        <v>403.55</v>
      </c>
      <c r="D171" s="18">
        <v>36.658000000000001</v>
      </c>
      <c r="E171" s="18">
        <v>42.902999999999999</v>
      </c>
      <c r="F171" s="18">
        <v>42.338000000000001</v>
      </c>
      <c r="G171" s="18">
        <v>13.21</v>
      </c>
      <c r="H171" s="18">
        <f t="shared" si="4"/>
        <v>38.148625000000003</v>
      </c>
      <c r="I171" s="5"/>
      <c r="J171" s="17">
        <v>413.41649999999998</v>
      </c>
      <c r="K171" s="18">
        <v>36.822400000000002</v>
      </c>
      <c r="L171" s="18">
        <v>43.414700000000003</v>
      </c>
      <c r="M171" s="18">
        <v>42.881399999999999</v>
      </c>
      <c r="N171" s="18">
        <v>28.464700000000001</v>
      </c>
      <c r="O171" s="18">
        <f t="shared" si="5"/>
        <v>38.403812500000001</v>
      </c>
      <c r="P171" s="7"/>
      <c r="Q171" s="10"/>
      <c r="R171" s="11"/>
      <c r="S171" s="11"/>
      <c r="T171" s="26"/>
      <c r="U171" s="28">
        <f t="shared" si="3"/>
        <v>1.1547842543527629</v>
      </c>
    </row>
    <row r="172" spans="2:21" ht="16.5" hidden="1" thickBot="1" x14ac:dyDescent="0.3">
      <c r="B172" s="12"/>
      <c r="C172" s="19">
        <v>198.62</v>
      </c>
      <c r="D172" s="20">
        <v>34.081000000000003</v>
      </c>
      <c r="E172" s="20">
        <v>40.829000000000001</v>
      </c>
      <c r="F172" s="20">
        <v>40.231999999999999</v>
      </c>
      <c r="G172" s="20">
        <v>16.04</v>
      </c>
      <c r="H172" s="20">
        <f t="shared" si="4"/>
        <v>35.693375000000003</v>
      </c>
      <c r="I172" s="5"/>
      <c r="J172" s="19">
        <v>206.88650000000001</v>
      </c>
      <c r="K172" s="20">
        <v>34.422400000000003</v>
      </c>
      <c r="L172" s="20">
        <v>41.671500000000002</v>
      </c>
      <c r="M172" s="20">
        <v>41.146000000000001</v>
      </c>
      <c r="N172" s="20">
        <v>40.210700000000003</v>
      </c>
      <c r="O172" s="20">
        <f t="shared" si="5"/>
        <v>36.1689875</v>
      </c>
      <c r="P172" s="7"/>
      <c r="Q172" s="13"/>
      <c r="R172" s="14"/>
      <c r="S172" s="14"/>
      <c r="T172" s="27"/>
      <c r="U172" s="28">
        <f t="shared" si="3"/>
        <v>1.5069014962593519</v>
      </c>
    </row>
    <row r="173" spans="2:21" hidden="1" x14ac:dyDescent="0.25">
      <c r="B173" s="6" t="s">
        <v>125</v>
      </c>
      <c r="C173" s="15">
        <v>983.83</v>
      </c>
      <c r="D173" s="16">
        <v>43.284999999999997</v>
      </c>
      <c r="E173" s="16">
        <v>47.774999999999999</v>
      </c>
      <c r="F173" s="16">
        <v>46.991999999999997</v>
      </c>
      <c r="G173" s="16">
        <v>10.59</v>
      </c>
      <c r="H173" s="16">
        <f t="shared" si="4"/>
        <v>44.309624999999997</v>
      </c>
      <c r="I173" s="5"/>
      <c r="J173" s="15">
        <v>1027.836</v>
      </c>
      <c r="K173" s="16">
        <v>43.526000000000003</v>
      </c>
      <c r="L173" s="16">
        <v>48.0107</v>
      </c>
      <c r="M173" s="16">
        <v>47.206299999999999</v>
      </c>
      <c r="N173" s="16">
        <v>19.9879</v>
      </c>
      <c r="O173" s="16">
        <f t="shared" si="5"/>
        <v>44.546624999999999</v>
      </c>
      <c r="P173" s="7"/>
      <c r="Q173" s="8">
        <f>bdrate(C173:C176,D173:D176,J173:J176,K173:K176)</f>
        <v>-3.540532834766541E-2</v>
      </c>
      <c r="R173" s="8">
        <f>bdrate(C173:C176,E173:E176,J173:J176,L173:L176)</f>
        <v>-8.5977588949584294E-2</v>
      </c>
      <c r="S173" s="8">
        <f>bdrate(C173:C176,F173:F176,J173:J176,M173:M176)</f>
        <v>-8.0465904854488901E-2</v>
      </c>
      <c r="T173" s="25">
        <f>bdrate(C173:C176,H173:H176,J173:J176,O173:O176)</f>
        <v>-4.5893096122081034E-2</v>
      </c>
      <c r="U173" s="28">
        <f t="shared" si="3"/>
        <v>0.88743153918791318</v>
      </c>
    </row>
    <row r="174" spans="2:21" hidden="1" x14ac:dyDescent="0.25">
      <c r="B174" s="9"/>
      <c r="C174" s="17">
        <v>592.16999999999996</v>
      </c>
      <c r="D174" s="18">
        <v>41.615000000000002</v>
      </c>
      <c r="E174" s="18">
        <v>46.372999999999998</v>
      </c>
      <c r="F174" s="18">
        <v>45.540999999999997</v>
      </c>
      <c r="G174" s="18">
        <v>12.19</v>
      </c>
      <c r="H174" s="18">
        <f t="shared" si="4"/>
        <v>42.700499999999998</v>
      </c>
      <c r="I174" s="5"/>
      <c r="J174" s="17">
        <v>615.67370000000005</v>
      </c>
      <c r="K174" s="18">
        <v>41.8459</v>
      </c>
      <c r="L174" s="18">
        <v>46.675600000000003</v>
      </c>
      <c r="M174" s="18">
        <v>45.832900000000002</v>
      </c>
      <c r="N174" s="18">
        <v>25.713200000000001</v>
      </c>
      <c r="O174" s="18">
        <f t="shared" si="5"/>
        <v>42.947987499999996</v>
      </c>
      <c r="P174" s="7"/>
      <c r="Q174" s="10"/>
      <c r="R174" s="11"/>
      <c r="S174" s="11"/>
      <c r="T174" s="26"/>
      <c r="U174" s="28">
        <f t="shared" si="3"/>
        <v>1.1093683347005743</v>
      </c>
    </row>
    <row r="175" spans="2:21" hidden="1" x14ac:dyDescent="0.25">
      <c r="B175" s="9"/>
      <c r="C175" s="17">
        <v>396.34</v>
      </c>
      <c r="D175" s="18">
        <v>40.198</v>
      </c>
      <c r="E175" s="18">
        <v>45.195</v>
      </c>
      <c r="F175" s="18">
        <v>44.31</v>
      </c>
      <c r="G175" s="18">
        <v>13.75</v>
      </c>
      <c r="H175" s="18">
        <f t="shared" si="4"/>
        <v>41.336624999999998</v>
      </c>
      <c r="I175" s="5"/>
      <c r="J175" s="17">
        <v>410.23059999999998</v>
      </c>
      <c r="K175" s="18">
        <v>40.443100000000001</v>
      </c>
      <c r="L175" s="18">
        <v>45.572600000000001</v>
      </c>
      <c r="M175" s="18">
        <v>44.684899999999999</v>
      </c>
      <c r="N175" s="18">
        <v>31.550899999999999</v>
      </c>
      <c r="O175" s="18">
        <f t="shared" si="5"/>
        <v>41.614512500000004</v>
      </c>
      <c r="P175" s="7"/>
      <c r="Q175" s="10"/>
      <c r="R175" s="11"/>
      <c r="S175" s="11"/>
      <c r="T175" s="26"/>
      <c r="U175" s="28">
        <f t="shared" si="3"/>
        <v>1.294610909090909</v>
      </c>
    </row>
    <row r="176" spans="2:21" ht="16.5" hidden="1" thickBot="1" x14ac:dyDescent="0.3">
      <c r="B176" s="12"/>
      <c r="C176" s="19">
        <v>200.29</v>
      </c>
      <c r="D176" s="20">
        <v>37.271000000000001</v>
      </c>
      <c r="E176" s="20">
        <v>42.906999999999996</v>
      </c>
      <c r="F176" s="20">
        <v>41.881</v>
      </c>
      <c r="G176" s="20">
        <v>16.68</v>
      </c>
      <c r="H176" s="20">
        <f t="shared" si="4"/>
        <v>38.551749999999998</v>
      </c>
      <c r="I176" s="5"/>
      <c r="J176" s="19">
        <v>203.92420000000001</v>
      </c>
      <c r="K176" s="20">
        <v>37.636499999999998</v>
      </c>
      <c r="L176" s="20">
        <v>43.453400000000002</v>
      </c>
      <c r="M176" s="20">
        <v>42.465600000000002</v>
      </c>
      <c r="N176" s="20">
        <v>44.651000000000003</v>
      </c>
      <c r="O176" s="20">
        <f t="shared" si="5"/>
        <v>38.96725</v>
      </c>
      <c r="P176" s="7"/>
      <c r="Q176" s="13"/>
      <c r="R176" s="14"/>
      <c r="S176" s="14"/>
      <c r="T176" s="27"/>
      <c r="U176" s="28">
        <f t="shared" si="3"/>
        <v>1.676918465227818</v>
      </c>
    </row>
    <row r="177" spans="2:21" hidden="1" x14ac:dyDescent="0.25">
      <c r="B177" s="6" t="s">
        <v>126</v>
      </c>
      <c r="C177" s="15">
        <v>1462.3</v>
      </c>
      <c r="D177" s="16">
        <v>37.341999999999999</v>
      </c>
      <c r="E177" s="16">
        <v>42.73</v>
      </c>
      <c r="F177" s="16">
        <v>43.463000000000001</v>
      </c>
      <c r="G177" s="16">
        <v>3.44</v>
      </c>
      <c r="H177" s="16">
        <f t="shared" si="4"/>
        <v>38.780625000000001</v>
      </c>
      <c r="I177" s="5"/>
      <c r="J177" s="15">
        <v>1543.2324000000001</v>
      </c>
      <c r="K177" s="16">
        <v>37.467500000000001</v>
      </c>
      <c r="L177" s="16">
        <v>43.352200000000003</v>
      </c>
      <c r="M177" s="16">
        <v>44.031100000000002</v>
      </c>
      <c r="N177" s="16">
        <v>8.6323000000000008</v>
      </c>
      <c r="O177" s="16">
        <f t="shared" si="5"/>
        <v>39.023537499999996</v>
      </c>
      <c r="P177" s="7"/>
      <c r="Q177" s="8">
        <f>bdrate(C177:C180,D177:D180,J177:J180,K177:K180)</f>
        <v>2.0787960237682368E-2</v>
      </c>
      <c r="R177" s="8">
        <f>bdrate(C177:C180,E177:E180,J177:J180,L177:L180)</f>
        <v>-0.26094918506087661</v>
      </c>
      <c r="S177" s="8">
        <f>bdrate(C177:C180,F177:F180,J177:J180,M177:M180)</f>
        <v>-0.24692845860993484</v>
      </c>
      <c r="T177" s="25">
        <f>bdrate(C177:C180,H177:H180,J177:J180,O177:O180)</f>
        <v>-3.4860069634692348E-2</v>
      </c>
      <c r="U177" s="28">
        <f t="shared" si="3"/>
        <v>1.5093895348837214</v>
      </c>
    </row>
    <row r="178" spans="2:21" hidden="1" x14ac:dyDescent="0.25">
      <c r="B178" s="9"/>
      <c r="C178" s="17">
        <v>975.03</v>
      </c>
      <c r="D178" s="18">
        <v>35.734000000000002</v>
      </c>
      <c r="E178" s="18">
        <v>41.512</v>
      </c>
      <c r="F178" s="18">
        <v>42.305999999999997</v>
      </c>
      <c r="G178" s="18">
        <v>3.94</v>
      </c>
      <c r="H178" s="18">
        <f t="shared" si="4"/>
        <v>37.277749999999997</v>
      </c>
      <c r="I178" s="5"/>
      <c r="J178" s="17">
        <v>1027.4645</v>
      </c>
      <c r="K178" s="18">
        <v>35.852200000000003</v>
      </c>
      <c r="L178" s="18">
        <v>42.307000000000002</v>
      </c>
      <c r="M178" s="18">
        <v>43.022799999999997</v>
      </c>
      <c r="N178" s="18">
        <v>10.556699999999999</v>
      </c>
      <c r="O178" s="18">
        <f t="shared" si="5"/>
        <v>37.555375000000005</v>
      </c>
      <c r="P178" s="7"/>
      <c r="Q178" s="10"/>
      <c r="R178" s="11"/>
      <c r="S178" s="11"/>
      <c r="T178" s="26"/>
      <c r="U178" s="28">
        <f t="shared" si="3"/>
        <v>1.6793654822335025</v>
      </c>
    </row>
    <row r="179" spans="2:21" hidden="1" x14ac:dyDescent="0.25">
      <c r="B179" s="9"/>
      <c r="C179" s="17">
        <v>585.79999999999995</v>
      </c>
      <c r="D179" s="18">
        <v>33.69</v>
      </c>
      <c r="E179" s="18">
        <v>40.134999999999998</v>
      </c>
      <c r="F179" s="18">
        <v>40.99</v>
      </c>
      <c r="G179" s="18">
        <v>4.7</v>
      </c>
      <c r="H179" s="18">
        <f t="shared" si="4"/>
        <v>35.408124999999998</v>
      </c>
      <c r="I179" s="5"/>
      <c r="J179" s="17">
        <v>615.69899999999996</v>
      </c>
      <c r="K179" s="18">
        <v>33.812199999999997</v>
      </c>
      <c r="L179" s="18">
        <v>41.084099999999999</v>
      </c>
      <c r="M179" s="18">
        <v>41.849499999999999</v>
      </c>
      <c r="N179" s="18">
        <v>13.2593</v>
      </c>
      <c r="O179" s="18">
        <f t="shared" si="5"/>
        <v>35.725850000000001</v>
      </c>
      <c r="P179" s="7"/>
      <c r="Q179" s="10"/>
      <c r="R179" s="11"/>
      <c r="S179" s="11"/>
      <c r="T179" s="26"/>
      <c r="U179" s="28">
        <f t="shared" si="3"/>
        <v>1.8211276595744681</v>
      </c>
    </row>
    <row r="180" spans="2:21" ht="16.5" hidden="1" thickBot="1" x14ac:dyDescent="0.3">
      <c r="B180" s="12"/>
      <c r="C180" s="19">
        <v>293.33999999999997</v>
      </c>
      <c r="D180" s="20">
        <v>30.943999999999999</v>
      </c>
      <c r="E180" s="20">
        <v>38.273000000000003</v>
      </c>
      <c r="F180" s="20">
        <v>39.183999999999997</v>
      </c>
      <c r="G180" s="20">
        <v>6.01</v>
      </c>
      <c r="H180" s="20">
        <f t="shared" si="4"/>
        <v>32.890124999999998</v>
      </c>
      <c r="I180" s="5"/>
      <c r="J180" s="19">
        <v>307.67039999999997</v>
      </c>
      <c r="K180" s="20">
        <v>31.0534</v>
      </c>
      <c r="L180" s="20">
        <v>39.563400000000001</v>
      </c>
      <c r="M180" s="20">
        <v>40.386499999999998</v>
      </c>
      <c r="N180" s="20">
        <v>18.351299999999998</v>
      </c>
      <c r="O180" s="20">
        <f t="shared" si="5"/>
        <v>33.283787500000003</v>
      </c>
      <c r="P180" s="7"/>
      <c r="Q180" s="13"/>
      <c r="R180" s="14"/>
      <c r="S180" s="14"/>
      <c r="T180" s="27"/>
      <c r="U180" s="28">
        <f t="shared" si="3"/>
        <v>2.0534608985024958</v>
      </c>
    </row>
    <row r="181" spans="2:21" hidden="1" x14ac:dyDescent="0.25">
      <c r="B181" s="6" t="s">
        <v>127</v>
      </c>
      <c r="C181" s="15">
        <v>1563.05</v>
      </c>
      <c r="D181" s="16">
        <v>35.055</v>
      </c>
      <c r="E181" s="16">
        <v>40.265000000000001</v>
      </c>
      <c r="F181" s="16">
        <v>38.581000000000003</v>
      </c>
      <c r="G181" s="16">
        <v>3.87</v>
      </c>
      <c r="H181" s="16">
        <f t="shared" si="4"/>
        <v>36.146999999999998</v>
      </c>
      <c r="I181" s="5"/>
      <c r="J181" s="15">
        <v>1543.3393000000001</v>
      </c>
      <c r="K181" s="16">
        <v>34.967300000000002</v>
      </c>
      <c r="L181" s="16">
        <v>40.232399999999998</v>
      </c>
      <c r="M181" s="16">
        <v>38.3688</v>
      </c>
      <c r="N181" s="16">
        <v>8.2363</v>
      </c>
      <c r="O181" s="16">
        <f t="shared" si="5"/>
        <v>36.050625000000004</v>
      </c>
      <c r="P181" s="7"/>
      <c r="Q181" s="8">
        <f>bdrate(C181:C184,D181:D184,J181:J184,K181:K184)</f>
        <v>1.9744622246417487E-2</v>
      </c>
      <c r="R181" s="8">
        <f>bdrate(C181:C184,E181:E184,J181:J184,L181:L184)</f>
        <v>-5.6564381941180408E-2</v>
      </c>
      <c r="S181" s="8">
        <f>bdrate(C181:C184,F181:F184,J181:J184,M181:M184)</f>
        <v>5.5289397094027137E-3</v>
      </c>
      <c r="T181" s="25">
        <f>bdrate(C181:C184,H181:H184,J181:J184,O181:O184)</f>
        <v>9.2349775483366869E-3</v>
      </c>
      <c r="U181" s="28">
        <f t="shared" si="3"/>
        <v>1.1282428940568474</v>
      </c>
    </row>
    <row r="182" spans="2:21" hidden="1" x14ac:dyDescent="0.25">
      <c r="B182" s="9"/>
      <c r="C182" s="17">
        <v>1038.21</v>
      </c>
      <c r="D182" s="18">
        <v>33.332000000000001</v>
      </c>
      <c r="E182" s="18">
        <v>38.927999999999997</v>
      </c>
      <c r="F182" s="18">
        <v>37.100999999999999</v>
      </c>
      <c r="G182" s="18">
        <v>4.3099999999999996</v>
      </c>
      <c r="H182" s="18">
        <f t="shared" si="4"/>
        <v>34.502625000000002</v>
      </c>
      <c r="I182" s="5"/>
      <c r="J182" s="17">
        <v>1027.8963000000001</v>
      </c>
      <c r="K182" s="18">
        <v>33.227499999999999</v>
      </c>
      <c r="L182" s="18">
        <v>38.992100000000001</v>
      </c>
      <c r="M182" s="18">
        <v>36.957900000000002</v>
      </c>
      <c r="N182" s="18">
        <v>9.8649000000000004</v>
      </c>
      <c r="O182" s="18">
        <f t="shared" si="5"/>
        <v>34.414375</v>
      </c>
      <c r="P182" s="7"/>
      <c r="Q182" s="10"/>
      <c r="R182" s="11"/>
      <c r="S182" s="11"/>
      <c r="T182" s="26"/>
      <c r="U182" s="28">
        <f t="shared" si="3"/>
        <v>1.2888399071925758</v>
      </c>
    </row>
    <row r="183" spans="2:21" hidden="1" x14ac:dyDescent="0.25">
      <c r="B183" s="9"/>
      <c r="C183" s="17">
        <v>620.24</v>
      </c>
      <c r="D183" s="18">
        <v>31.361000000000001</v>
      </c>
      <c r="E183" s="18">
        <v>37.426000000000002</v>
      </c>
      <c r="F183" s="18">
        <v>35.351999999999997</v>
      </c>
      <c r="G183" s="18">
        <v>4.96</v>
      </c>
      <c r="H183" s="18">
        <f t="shared" si="4"/>
        <v>32.617999999999995</v>
      </c>
      <c r="I183" s="5"/>
      <c r="J183" s="17">
        <v>616.04579999999999</v>
      </c>
      <c r="K183" s="18">
        <v>31.255700000000001</v>
      </c>
      <c r="L183" s="18">
        <v>37.557699999999997</v>
      </c>
      <c r="M183" s="18">
        <v>35.289200000000001</v>
      </c>
      <c r="N183" s="18">
        <v>12.6008</v>
      </c>
      <c r="O183" s="18">
        <f t="shared" si="5"/>
        <v>32.5476375</v>
      </c>
      <c r="P183" s="7"/>
      <c r="Q183" s="10"/>
      <c r="R183" s="11"/>
      <c r="S183" s="11"/>
      <c r="T183" s="26"/>
      <c r="U183" s="28">
        <f t="shared" si="3"/>
        <v>1.540483870967742</v>
      </c>
    </row>
    <row r="184" spans="2:21" ht="16.5" hidden="1" thickBot="1" x14ac:dyDescent="0.3">
      <c r="B184" s="12"/>
      <c r="C184" s="19">
        <v>307.95999999999998</v>
      </c>
      <c r="D184" s="20">
        <v>29.053999999999998</v>
      </c>
      <c r="E184" s="20">
        <v>35.375999999999998</v>
      </c>
      <c r="F184" s="20">
        <v>32.954000000000001</v>
      </c>
      <c r="G184" s="20">
        <v>6.02</v>
      </c>
      <c r="H184" s="20">
        <f t="shared" si="4"/>
        <v>30.33175</v>
      </c>
      <c r="I184" s="5"/>
      <c r="J184" s="19">
        <v>307.51620000000003</v>
      </c>
      <c r="K184" s="20">
        <v>28.963799999999999</v>
      </c>
      <c r="L184" s="20">
        <v>35.886899999999997</v>
      </c>
      <c r="M184" s="20">
        <v>33.2605</v>
      </c>
      <c r="N184" s="20">
        <v>17.797000000000001</v>
      </c>
      <c r="O184" s="20">
        <f t="shared" si="5"/>
        <v>30.366275000000002</v>
      </c>
      <c r="P184" s="7"/>
      <c r="Q184" s="13"/>
      <c r="R184" s="14"/>
      <c r="S184" s="14"/>
      <c r="T184" s="27"/>
      <c r="U184" s="28">
        <f t="shared" si="3"/>
        <v>1.9563122923588043</v>
      </c>
    </row>
    <row r="185" spans="2:21" hidden="1" x14ac:dyDescent="0.25">
      <c r="B185" s="6" t="s">
        <v>128</v>
      </c>
      <c r="C185" s="15">
        <v>1546.63</v>
      </c>
      <c r="D185" s="16">
        <v>40.020000000000003</v>
      </c>
      <c r="E185" s="16">
        <v>46.453000000000003</v>
      </c>
      <c r="F185" s="16">
        <v>46.338999999999999</v>
      </c>
      <c r="G185" s="16">
        <v>3.43</v>
      </c>
      <c r="H185" s="16">
        <f t="shared" si="4"/>
        <v>41.613999999999997</v>
      </c>
      <c r="I185" s="5"/>
      <c r="J185" s="15">
        <v>1543.8479</v>
      </c>
      <c r="K185" s="16">
        <v>39.639800000000001</v>
      </c>
      <c r="L185" s="16">
        <v>46.3187</v>
      </c>
      <c r="M185" s="16">
        <v>46.135199999999998</v>
      </c>
      <c r="N185" s="16">
        <v>7.6688000000000001</v>
      </c>
      <c r="O185" s="16">
        <f t="shared" si="5"/>
        <v>41.286587499999996</v>
      </c>
      <c r="P185" s="7"/>
      <c r="Q185" s="8">
        <f>bdrate(C185:C188,D185:D188,J185:J188,K185:K188)</f>
        <v>7.7675974939579673E-2</v>
      </c>
      <c r="R185" s="8">
        <f>bdrate(C185:C188,E185:E188,J185:J188,L185:L188)</f>
        <v>-6.3343009299241748E-2</v>
      </c>
      <c r="S185" s="8">
        <f>bdrate(C185:C188,F185:F188,J185:J188,M185:M188)</f>
        <v>-3.6155227812714519E-2</v>
      </c>
      <c r="T185" s="25">
        <f>bdrate(C185:C188,H185:H188,J185:J188,O185:O188)</f>
        <v>4.4720114353246521E-2</v>
      </c>
      <c r="U185" s="28">
        <f t="shared" si="3"/>
        <v>1.2358017492711368</v>
      </c>
    </row>
    <row r="186" spans="2:21" hidden="1" x14ac:dyDescent="0.25">
      <c r="B186" s="9"/>
      <c r="C186" s="17">
        <v>1032.02</v>
      </c>
      <c r="D186" s="18">
        <v>38.753999999999998</v>
      </c>
      <c r="E186" s="18">
        <v>45.374000000000002</v>
      </c>
      <c r="F186" s="18">
        <v>45.186</v>
      </c>
      <c r="G186" s="18">
        <v>3.84</v>
      </c>
      <c r="H186" s="18">
        <f t="shared" si="4"/>
        <v>40.3855</v>
      </c>
      <c r="I186" s="5"/>
      <c r="J186" s="17">
        <v>1027.0537999999999</v>
      </c>
      <c r="K186" s="18">
        <v>38.472200000000001</v>
      </c>
      <c r="L186" s="18">
        <v>45.368499999999997</v>
      </c>
      <c r="M186" s="18">
        <v>45.118200000000002</v>
      </c>
      <c r="N186" s="18">
        <v>9.3489000000000004</v>
      </c>
      <c r="O186" s="18">
        <f t="shared" si="5"/>
        <v>40.164987500000002</v>
      </c>
      <c r="P186" s="7"/>
      <c r="Q186" s="10"/>
      <c r="R186" s="11"/>
      <c r="S186" s="11"/>
      <c r="T186" s="26"/>
      <c r="U186" s="28">
        <f t="shared" si="3"/>
        <v>1.4346093750000002</v>
      </c>
    </row>
    <row r="187" spans="2:21" hidden="1" x14ac:dyDescent="0.25">
      <c r="B187" s="9"/>
      <c r="C187" s="17">
        <v>619.30999999999995</v>
      </c>
      <c r="D187" s="18">
        <v>37.122</v>
      </c>
      <c r="E187" s="18">
        <v>43.835999999999999</v>
      </c>
      <c r="F187" s="18">
        <v>43.58</v>
      </c>
      <c r="G187" s="18">
        <v>4.4400000000000004</v>
      </c>
      <c r="H187" s="18">
        <f t="shared" si="4"/>
        <v>38.768499999999996</v>
      </c>
      <c r="I187" s="5"/>
      <c r="J187" s="17">
        <v>615.12639999999999</v>
      </c>
      <c r="K187" s="18">
        <v>36.8626</v>
      </c>
      <c r="L187" s="18">
        <v>44.036900000000003</v>
      </c>
      <c r="M187" s="18">
        <v>43.692799999999998</v>
      </c>
      <c r="N187" s="18">
        <v>12.317299999999999</v>
      </c>
      <c r="O187" s="18">
        <f t="shared" si="5"/>
        <v>38.613162499999994</v>
      </c>
      <c r="P187" s="7"/>
      <c r="Q187" s="10"/>
      <c r="R187" s="11"/>
      <c r="S187" s="11"/>
      <c r="T187" s="26"/>
      <c r="U187" s="28">
        <f t="shared" si="3"/>
        <v>1.7741666666666662</v>
      </c>
    </row>
    <row r="188" spans="2:21" ht="16.5" hidden="1" thickBot="1" x14ac:dyDescent="0.3">
      <c r="B188" s="12"/>
      <c r="C188" s="19">
        <v>309.10000000000002</v>
      </c>
      <c r="D188" s="20">
        <v>34.627000000000002</v>
      </c>
      <c r="E188" s="20">
        <v>41.475999999999999</v>
      </c>
      <c r="F188" s="20">
        <v>41.095999999999997</v>
      </c>
      <c r="G188" s="20">
        <v>5.48</v>
      </c>
      <c r="H188" s="20">
        <f t="shared" si="4"/>
        <v>36.29175</v>
      </c>
      <c r="I188" s="5"/>
      <c r="J188" s="19">
        <v>306.19049999999999</v>
      </c>
      <c r="K188" s="20">
        <v>34.400700000000001</v>
      </c>
      <c r="L188" s="20">
        <v>42.142299999999999</v>
      </c>
      <c r="M188" s="20">
        <v>41.641399999999997</v>
      </c>
      <c r="N188" s="20">
        <v>17.591899999999999</v>
      </c>
      <c r="O188" s="20">
        <f t="shared" si="5"/>
        <v>36.273487500000002</v>
      </c>
      <c r="P188" s="7"/>
      <c r="Q188" s="13"/>
      <c r="R188" s="14"/>
      <c r="S188" s="14"/>
      <c r="T188" s="27"/>
      <c r="U188" s="28">
        <f t="shared" si="3"/>
        <v>2.2102007299270068</v>
      </c>
    </row>
    <row r="189" spans="2:21" hidden="1" x14ac:dyDescent="0.25">
      <c r="B189" s="6" t="s">
        <v>129</v>
      </c>
      <c r="C189" s="29">
        <v>1508.47</v>
      </c>
      <c r="D189" s="30">
        <v>46.712000000000003</v>
      </c>
      <c r="E189" s="30">
        <v>51.322000000000003</v>
      </c>
      <c r="F189" s="30">
        <v>51.158000000000001</v>
      </c>
      <c r="G189" s="16">
        <v>3.9</v>
      </c>
      <c r="H189" s="16">
        <f t="shared" si="4"/>
        <v>47.844000000000008</v>
      </c>
      <c r="I189" s="5"/>
      <c r="J189" s="29">
        <v>1538.2013999999999</v>
      </c>
      <c r="K189" s="30">
        <v>46.582999999999998</v>
      </c>
      <c r="L189" s="30">
        <v>51.334899999999998</v>
      </c>
      <c r="M189" s="30">
        <v>51.1462</v>
      </c>
      <c r="N189" s="16">
        <v>10.229799999999999</v>
      </c>
      <c r="O189" s="16">
        <f t="shared" si="5"/>
        <v>47.747387500000002</v>
      </c>
      <c r="P189" s="7"/>
      <c r="Q189" s="8">
        <f>bdrate(C189:C192,D189:D192,J189:J192,K189:K192)</f>
        <v>-4.7278130101302551E-5</v>
      </c>
      <c r="R189" s="8">
        <f>bdrate(C189:C192,E189:E192,J189:J192,L189:L192)</f>
        <v>-0.11312673863049028</v>
      </c>
      <c r="S189" s="8">
        <f>bdrate(C189:C192,F189:F192,J189:J192,M189:M192)</f>
        <v>-0.11782639557264352</v>
      </c>
      <c r="T189" s="25">
        <f>bdrate(C189:C192,H189:H192,J189:J192,O189:O192)</f>
        <v>-2.3500225300256861E-2</v>
      </c>
      <c r="U189" s="28">
        <f t="shared" si="3"/>
        <v>1.6230256410256407</v>
      </c>
    </row>
    <row r="190" spans="2:21" hidden="1" x14ac:dyDescent="0.25">
      <c r="B190" s="9"/>
      <c r="C190" s="31">
        <v>1005.5</v>
      </c>
      <c r="D190" s="32">
        <v>45.981999999999999</v>
      </c>
      <c r="E190" s="32">
        <v>50.656999999999996</v>
      </c>
      <c r="F190" s="32">
        <v>50.536999999999999</v>
      </c>
      <c r="G190" s="18">
        <v>4.6500000000000004</v>
      </c>
      <c r="H190" s="18">
        <f t="shared" si="4"/>
        <v>47.135749999999994</v>
      </c>
      <c r="I190" s="5"/>
      <c r="J190" s="31">
        <v>1023.4727</v>
      </c>
      <c r="K190" s="32">
        <v>45.924500000000002</v>
      </c>
      <c r="L190" s="32">
        <v>50.788800000000002</v>
      </c>
      <c r="M190" s="32">
        <v>50.640900000000002</v>
      </c>
      <c r="N190" s="18">
        <v>12.8193</v>
      </c>
      <c r="O190" s="18">
        <f t="shared" si="5"/>
        <v>47.122087499999999</v>
      </c>
      <c r="P190" s="7"/>
      <c r="Q190" s="10"/>
      <c r="R190" s="11"/>
      <c r="S190" s="11"/>
      <c r="T190" s="26"/>
      <c r="U190" s="28">
        <f t="shared" si="3"/>
        <v>1.7568387096774192</v>
      </c>
    </row>
    <row r="191" spans="2:21" hidden="1" x14ac:dyDescent="0.25">
      <c r="B191" s="9"/>
      <c r="C191" s="31">
        <v>604.5</v>
      </c>
      <c r="D191" s="32">
        <v>44.993000000000002</v>
      </c>
      <c r="E191" s="32">
        <v>49.886000000000003</v>
      </c>
      <c r="F191" s="32">
        <v>49.844999999999999</v>
      </c>
      <c r="G191" s="18">
        <v>5.64</v>
      </c>
      <c r="H191" s="18">
        <f t="shared" si="4"/>
        <v>46.21112500000001</v>
      </c>
      <c r="I191" s="5"/>
      <c r="J191" s="31">
        <v>611.42259999999999</v>
      </c>
      <c r="K191" s="32">
        <v>45.0319</v>
      </c>
      <c r="L191" s="32">
        <v>50.136099999999999</v>
      </c>
      <c r="M191" s="32">
        <v>50.091700000000003</v>
      </c>
      <c r="N191" s="18">
        <v>17.117899999999999</v>
      </c>
      <c r="O191" s="18">
        <f t="shared" si="5"/>
        <v>46.302399999999999</v>
      </c>
      <c r="P191" s="7"/>
      <c r="Q191" s="10"/>
      <c r="R191" s="11"/>
      <c r="S191" s="11"/>
      <c r="T191" s="26"/>
      <c r="U191" s="28">
        <f t="shared" si="3"/>
        <v>2.0350886524822691</v>
      </c>
    </row>
    <row r="192" spans="2:21" ht="16.5" hidden="1" thickBot="1" x14ac:dyDescent="0.3">
      <c r="B192" s="12"/>
      <c r="C192" s="33">
        <v>302.39</v>
      </c>
      <c r="D192" s="34">
        <v>43.344000000000001</v>
      </c>
      <c r="E192" s="34">
        <v>48.674999999999997</v>
      </c>
      <c r="F192" s="34">
        <v>48.945999999999998</v>
      </c>
      <c r="G192" s="20">
        <v>7.08</v>
      </c>
      <c r="H192" s="20">
        <f t="shared" si="4"/>
        <v>44.710625000000007</v>
      </c>
      <c r="I192" s="5"/>
      <c r="J192" s="33">
        <v>299.46879999999999</v>
      </c>
      <c r="K192" s="34">
        <v>43.509300000000003</v>
      </c>
      <c r="L192" s="34">
        <v>48.957599999999999</v>
      </c>
      <c r="M192" s="34">
        <v>49.152500000000003</v>
      </c>
      <c r="N192" s="20">
        <v>26.4237</v>
      </c>
      <c r="O192" s="20">
        <f t="shared" si="5"/>
        <v>44.89573750000001</v>
      </c>
      <c r="P192" s="7"/>
      <c r="Q192" s="13"/>
      <c r="R192" s="14"/>
      <c r="S192" s="14"/>
      <c r="T192" s="27"/>
      <c r="U192" s="28">
        <f t="shared" si="3"/>
        <v>2.7321610169491524</v>
      </c>
    </row>
    <row r="193" spans="1:21" hidden="1" x14ac:dyDescent="0.25">
      <c r="A193" s="6" t="s">
        <v>100</v>
      </c>
      <c r="B193" s="6" t="s">
        <v>77</v>
      </c>
      <c r="C193" s="15">
        <v>754.96</v>
      </c>
      <c r="D193" s="16">
        <v>41.231999999999999</v>
      </c>
      <c r="E193" s="16">
        <v>45.399000000000001</v>
      </c>
      <c r="F193" s="16">
        <v>45.954000000000001</v>
      </c>
      <c r="G193" s="16">
        <v>12.61</v>
      </c>
      <c r="H193" s="16">
        <f t="shared" si="4"/>
        <v>42.343125000000001</v>
      </c>
      <c r="I193" s="5"/>
      <c r="J193" s="15">
        <v>840.97500000000002</v>
      </c>
      <c r="K193" s="16">
        <v>41.228000000000002</v>
      </c>
      <c r="L193" s="16">
        <v>45.611400000000003</v>
      </c>
      <c r="M193" s="16">
        <v>46.134300000000003</v>
      </c>
      <c r="N193" s="16">
        <v>22.414000000000001</v>
      </c>
      <c r="O193" s="16">
        <f t="shared" si="5"/>
        <v>42.389212499999999</v>
      </c>
      <c r="P193" s="7"/>
      <c r="Q193" s="8">
        <f>bdrate(C193:C196,D193:D196,J193:J196,K193:K196)</f>
        <v>7.535403614903724E-2</v>
      </c>
      <c r="R193" s="8">
        <f>bdrate(C193:C196,E193:E196,J193:J196,L193:L196)</f>
        <v>-4.985461835456384E-2</v>
      </c>
      <c r="S193" s="8">
        <f>bdrate(C193:C196,F193:F196,J193:J196,M193:M196)</f>
        <v>-5.4460330573238513E-2</v>
      </c>
      <c r="T193" s="25">
        <f>bdrate(C193:C196,H193:H196,J193:J196,O193:O196)</f>
        <v>4.3579406311893498E-2</v>
      </c>
      <c r="U193" s="28">
        <f t="shared" si="3"/>
        <v>0.77747819191118184</v>
      </c>
    </row>
    <row r="194" spans="1:21" hidden="1" x14ac:dyDescent="0.25">
      <c r="A194" s="9"/>
      <c r="B194" s="9"/>
      <c r="C194" s="17">
        <v>475.16</v>
      </c>
      <c r="D194" s="18">
        <v>39.357999999999997</v>
      </c>
      <c r="E194" s="18">
        <v>43.634999999999998</v>
      </c>
      <c r="F194" s="18">
        <v>44.118000000000002</v>
      </c>
      <c r="G194" s="18">
        <v>14.17</v>
      </c>
      <c r="H194" s="18">
        <f t="shared" si="4"/>
        <v>40.487624999999994</v>
      </c>
      <c r="I194" s="5"/>
      <c r="J194" s="17">
        <v>525.00239999999997</v>
      </c>
      <c r="K194" s="18">
        <v>39.362099999999998</v>
      </c>
      <c r="L194" s="18">
        <v>44.002699999999997</v>
      </c>
      <c r="M194" s="18">
        <v>44.532499999999999</v>
      </c>
      <c r="N194" s="18">
        <v>28.145199999999999</v>
      </c>
      <c r="O194" s="18">
        <f t="shared" si="5"/>
        <v>40.588475000000003</v>
      </c>
      <c r="P194" s="7"/>
      <c r="Q194" s="10"/>
      <c r="R194" s="11"/>
      <c r="S194" s="11"/>
      <c r="T194" s="26"/>
      <c r="U194" s="28">
        <f t="shared" si="3"/>
        <v>0.98625264643613264</v>
      </c>
    </row>
    <row r="195" spans="1:21" hidden="1" x14ac:dyDescent="0.25">
      <c r="B195" s="9"/>
      <c r="C195" s="17">
        <v>285.56</v>
      </c>
      <c r="D195" s="18">
        <v>37.061999999999998</v>
      </c>
      <c r="E195" s="18">
        <v>41.692</v>
      </c>
      <c r="F195" s="18">
        <v>42.145000000000003</v>
      </c>
      <c r="G195" s="18">
        <v>16.63</v>
      </c>
      <c r="H195" s="18">
        <f t="shared" si="4"/>
        <v>38.276124999999993</v>
      </c>
      <c r="I195" s="5"/>
      <c r="J195" s="17">
        <v>311.14139999999998</v>
      </c>
      <c r="K195" s="18">
        <v>37.186199999999999</v>
      </c>
      <c r="L195" s="18">
        <v>42.239899999999999</v>
      </c>
      <c r="M195" s="18">
        <v>42.729799999999997</v>
      </c>
      <c r="N195" s="18">
        <v>36.166400000000003</v>
      </c>
      <c r="O195" s="18">
        <f t="shared" si="5"/>
        <v>38.510862500000002</v>
      </c>
      <c r="P195" s="7"/>
      <c r="Q195" s="10"/>
      <c r="R195" s="11"/>
      <c r="S195" s="11"/>
      <c r="T195" s="26"/>
      <c r="U195" s="28">
        <f t="shared" si="3"/>
        <v>1.1747684906794953</v>
      </c>
    </row>
    <row r="196" spans="1:21" ht="16.5" hidden="1" thickBot="1" x14ac:dyDescent="0.3">
      <c r="B196" s="12"/>
      <c r="C196" s="19">
        <v>143.08000000000001</v>
      </c>
      <c r="D196" s="20">
        <v>34.082000000000001</v>
      </c>
      <c r="E196" s="20">
        <v>38.826000000000001</v>
      </c>
      <c r="F196" s="20">
        <v>39.045999999999999</v>
      </c>
      <c r="G196" s="20">
        <v>20.97</v>
      </c>
      <c r="H196" s="20">
        <f t="shared" si="4"/>
        <v>35.295500000000004</v>
      </c>
      <c r="I196" s="5"/>
      <c r="J196" s="19">
        <v>153.29820000000001</v>
      </c>
      <c r="K196" s="20">
        <v>34.177199999999999</v>
      </c>
      <c r="L196" s="20">
        <v>39.947800000000001</v>
      </c>
      <c r="M196" s="20">
        <v>40.252299999999998</v>
      </c>
      <c r="N196" s="20">
        <v>50.377800000000001</v>
      </c>
      <c r="O196" s="20">
        <f t="shared" si="5"/>
        <v>35.657912500000002</v>
      </c>
      <c r="P196" s="7"/>
      <c r="Q196" s="13"/>
      <c r="R196" s="14"/>
      <c r="S196" s="14"/>
      <c r="T196" s="27"/>
      <c r="U196" s="28">
        <f t="shared" si="3"/>
        <v>1.4023748211731046</v>
      </c>
    </row>
    <row r="197" spans="1:21" hidden="1" x14ac:dyDescent="0.25">
      <c r="B197" s="6" t="s">
        <v>78</v>
      </c>
      <c r="C197" s="15">
        <v>786.27</v>
      </c>
      <c r="D197" s="16">
        <v>42.804000000000002</v>
      </c>
      <c r="E197" s="16">
        <v>47.256999999999998</v>
      </c>
      <c r="F197" s="16">
        <v>47.997</v>
      </c>
      <c r="G197" s="16">
        <v>19.8</v>
      </c>
      <c r="H197" s="16">
        <f t="shared" si="4"/>
        <v>44.009750000000004</v>
      </c>
      <c r="I197" s="5"/>
      <c r="J197" s="15">
        <v>848.99220000000003</v>
      </c>
      <c r="K197" s="16">
        <v>43.2836</v>
      </c>
      <c r="L197" s="16">
        <v>48.085599999999999</v>
      </c>
      <c r="M197" s="16">
        <v>48.663699999999999</v>
      </c>
      <c r="N197" s="16">
        <v>31.424299999999999</v>
      </c>
      <c r="O197" s="16">
        <f t="shared" si="5"/>
        <v>44.556362499999999</v>
      </c>
      <c r="P197" s="7"/>
      <c r="Q197" s="8">
        <f>bdrate(C197:C200,D197:D200,J197:J200,K197:K200)</f>
        <v>-0.13060710145128029</v>
      </c>
      <c r="R197" s="8">
        <f>bdrate(C197:C200,E197:E200,J197:J200,L197:L200)</f>
        <v>-0.24195799235171367</v>
      </c>
      <c r="S197" s="8">
        <f>bdrate(C197:C200,F197:F200,J197:J200,M197:M200)</f>
        <v>-0.20658730392648117</v>
      </c>
      <c r="T197" s="25">
        <f>bdrate(C197:C200,H197:H200,J197:J200,O197:O200)</f>
        <v>-0.15316588833486799</v>
      </c>
      <c r="U197" s="28">
        <f t="shared" si="3"/>
        <v>0.58708585858585849</v>
      </c>
    </row>
    <row r="198" spans="1:21" hidden="1" x14ac:dyDescent="0.25">
      <c r="B198" s="9"/>
      <c r="C198" s="17">
        <v>487.36</v>
      </c>
      <c r="D198" s="18">
        <v>41.515999999999998</v>
      </c>
      <c r="E198" s="18">
        <v>45.988999999999997</v>
      </c>
      <c r="F198" s="18">
        <v>46.863</v>
      </c>
      <c r="G198" s="18">
        <v>23.7</v>
      </c>
      <c r="H198" s="18">
        <f t="shared" si="4"/>
        <v>42.743499999999997</v>
      </c>
      <c r="I198" s="5"/>
      <c r="J198" s="17">
        <v>529.13340000000005</v>
      </c>
      <c r="K198" s="18">
        <v>41.996400000000001</v>
      </c>
      <c r="L198" s="18">
        <v>46.954599999999999</v>
      </c>
      <c r="M198" s="18">
        <v>47.656999999999996</v>
      </c>
      <c r="N198" s="18">
        <v>40.958399999999997</v>
      </c>
      <c r="O198" s="18">
        <f t="shared" si="5"/>
        <v>43.323749999999997</v>
      </c>
      <c r="P198" s="7"/>
      <c r="Q198" s="10"/>
      <c r="R198" s="11"/>
      <c r="S198" s="11"/>
      <c r="T198" s="26"/>
      <c r="U198" s="28">
        <f t="shared" si="3"/>
        <v>0.72820253164556958</v>
      </c>
    </row>
    <row r="199" spans="1:21" hidden="1" x14ac:dyDescent="0.25">
      <c r="B199" s="9"/>
      <c r="C199" s="17">
        <v>289.81</v>
      </c>
      <c r="D199" s="18">
        <v>39.402000000000001</v>
      </c>
      <c r="E199" s="18">
        <v>44.158999999999999</v>
      </c>
      <c r="F199" s="18">
        <v>45.186</v>
      </c>
      <c r="G199" s="18">
        <v>28.39</v>
      </c>
      <c r="H199" s="18">
        <f t="shared" si="4"/>
        <v>40.719625000000001</v>
      </c>
      <c r="I199" s="5"/>
      <c r="J199" s="17">
        <v>314.59559999999999</v>
      </c>
      <c r="K199" s="18">
        <v>40.349699999999999</v>
      </c>
      <c r="L199" s="18">
        <v>45.441200000000002</v>
      </c>
      <c r="M199" s="18">
        <v>46.194600000000001</v>
      </c>
      <c r="N199" s="18">
        <v>53.304900000000004</v>
      </c>
      <c r="O199" s="18">
        <f t="shared" si="5"/>
        <v>41.716749999999998</v>
      </c>
      <c r="P199" s="7"/>
      <c r="Q199" s="10"/>
      <c r="R199" s="11"/>
      <c r="S199" s="11"/>
      <c r="T199" s="26"/>
      <c r="U199" s="28">
        <f t="shared" si="3"/>
        <v>0.8775942233180698</v>
      </c>
    </row>
    <row r="200" spans="1:21" ht="16.5" hidden="1" thickBot="1" x14ac:dyDescent="0.3">
      <c r="B200" s="12"/>
      <c r="C200" s="19">
        <v>144.47</v>
      </c>
      <c r="D200" s="20">
        <v>36.524999999999999</v>
      </c>
      <c r="E200" s="20">
        <v>41.527000000000001</v>
      </c>
      <c r="F200" s="20">
        <v>42.563000000000002</v>
      </c>
      <c r="G200" s="20">
        <v>36.369999999999997</v>
      </c>
      <c r="H200" s="20">
        <f t="shared" si="4"/>
        <v>37.904999999999994</v>
      </c>
      <c r="I200" s="5"/>
      <c r="J200" s="19">
        <v>153.9186</v>
      </c>
      <c r="K200" s="20">
        <v>37.548400000000001</v>
      </c>
      <c r="L200" s="20">
        <v>42.809699999999999</v>
      </c>
      <c r="M200" s="20">
        <v>43.792099999999998</v>
      </c>
      <c r="N200" s="20">
        <v>76.321299999999994</v>
      </c>
      <c r="O200" s="20">
        <f t="shared" si="5"/>
        <v>38.986525</v>
      </c>
      <c r="P200" s="7"/>
      <c r="Q200" s="13"/>
      <c r="R200" s="14"/>
      <c r="S200" s="14"/>
      <c r="T200" s="27"/>
      <c r="U200" s="28">
        <f t="shared" si="3"/>
        <v>1.0984685180093483</v>
      </c>
    </row>
    <row r="201" spans="1:21" hidden="1" x14ac:dyDescent="0.25">
      <c r="B201" s="6" t="s">
        <v>79</v>
      </c>
      <c r="C201" s="15">
        <v>992.99</v>
      </c>
      <c r="D201" s="16">
        <v>41.302999999999997</v>
      </c>
      <c r="E201" s="16">
        <v>47.363</v>
      </c>
      <c r="F201" s="16">
        <v>47.048000000000002</v>
      </c>
      <c r="G201" s="16">
        <v>15.62</v>
      </c>
      <c r="H201" s="16">
        <f t="shared" si="4"/>
        <v>42.778624999999998</v>
      </c>
      <c r="I201" s="5"/>
      <c r="J201" s="15">
        <v>1030.0645999999999</v>
      </c>
      <c r="K201" s="16">
        <v>41.5139</v>
      </c>
      <c r="L201" s="16">
        <v>47.917200000000001</v>
      </c>
      <c r="M201" s="16">
        <v>47.494700000000002</v>
      </c>
      <c r="N201" s="16">
        <v>21.6751</v>
      </c>
      <c r="O201" s="16">
        <f t="shared" si="5"/>
        <v>43.061912499999998</v>
      </c>
      <c r="P201" s="7"/>
      <c r="Q201" s="8">
        <f>bdrate(C201:C204,D201:D204,J201:J204,K201:K204)</f>
        <v>-0.13937460156346904</v>
      </c>
      <c r="R201" s="8">
        <f>bdrate(C201:C204,E201:E204,J201:J204,L201:L204)</f>
        <v>-0.2987892695926132</v>
      </c>
      <c r="S201" s="8">
        <f>bdrate(C201:C204,F201:F204,J201:J204,M201:M204)</f>
        <v>-0.23553354979189134</v>
      </c>
      <c r="T201" s="25">
        <f>bdrate(C201:C204,H201:H204,J201:J204,O201:O204)</f>
        <v>-0.16548191805271117</v>
      </c>
      <c r="U201" s="28">
        <f t="shared" si="3"/>
        <v>0.38765044814340599</v>
      </c>
    </row>
    <row r="202" spans="1:21" hidden="1" x14ac:dyDescent="0.25">
      <c r="B202" s="9"/>
      <c r="C202" s="17">
        <v>593.35</v>
      </c>
      <c r="D202" s="18">
        <v>40.325000000000003</v>
      </c>
      <c r="E202" s="18">
        <v>46.756999999999998</v>
      </c>
      <c r="F202" s="18">
        <v>46.616999999999997</v>
      </c>
      <c r="G202" s="18">
        <v>18.45</v>
      </c>
      <c r="H202" s="18">
        <f t="shared" si="4"/>
        <v>41.915500000000002</v>
      </c>
      <c r="I202" s="5"/>
      <c r="J202" s="17">
        <v>611.2011</v>
      </c>
      <c r="K202" s="18">
        <v>40.676200000000001</v>
      </c>
      <c r="L202" s="18">
        <v>47.360900000000001</v>
      </c>
      <c r="M202" s="18">
        <v>47.032200000000003</v>
      </c>
      <c r="N202" s="18">
        <v>29.2591</v>
      </c>
      <c r="O202" s="18">
        <f t="shared" si="5"/>
        <v>42.306287500000003</v>
      </c>
      <c r="P202" s="7"/>
      <c r="Q202" s="10"/>
      <c r="R202" s="11"/>
      <c r="S202" s="11"/>
      <c r="T202" s="26"/>
      <c r="U202" s="28">
        <f t="shared" si="3"/>
        <v>0.58585907859078601</v>
      </c>
    </row>
    <row r="203" spans="1:21" hidden="1" x14ac:dyDescent="0.25">
      <c r="B203" s="9"/>
      <c r="C203" s="17">
        <v>394.22</v>
      </c>
      <c r="D203" s="18">
        <v>39.417000000000002</v>
      </c>
      <c r="E203" s="18">
        <v>46.168999999999997</v>
      </c>
      <c r="F203" s="18">
        <v>46.148000000000003</v>
      </c>
      <c r="G203" s="18">
        <v>21.03</v>
      </c>
      <c r="H203" s="18">
        <f t="shared" si="4"/>
        <v>41.102375000000002</v>
      </c>
      <c r="I203" s="5"/>
      <c r="J203" s="17">
        <v>406.0061</v>
      </c>
      <c r="K203" s="18">
        <v>39.857300000000002</v>
      </c>
      <c r="L203" s="18">
        <v>46.819600000000001</v>
      </c>
      <c r="M203" s="18">
        <v>46.563600000000001</v>
      </c>
      <c r="N203" s="18">
        <v>37.747700000000002</v>
      </c>
      <c r="O203" s="18">
        <f t="shared" si="5"/>
        <v>41.565874999999998</v>
      </c>
      <c r="P203" s="7"/>
      <c r="Q203" s="10"/>
      <c r="R203" s="11"/>
      <c r="S203" s="11"/>
      <c r="T203" s="26"/>
      <c r="U203" s="28">
        <f t="shared" si="3"/>
        <v>0.79494531621493103</v>
      </c>
    </row>
    <row r="204" spans="1:21" ht="16.5" hidden="1" thickBot="1" x14ac:dyDescent="0.3">
      <c r="B204" s="12"/>
      <c r="C204" s="19">
        <v>195.75</v>
      </c>
      <c r="D204" s="20">
        <v>37.198999999999998</v>
      </c>
      <c r="E204" s="20">
        <v>44.726999999999997</v>
      </c>
      <c r="F204" s="20">
        <v>44.904000000000003</v>
      </c>
      <c r="G204" s="20">
        <v>26.44</v>
      </c>
      <c r="H204" s="20">
        <f t="shared" si="4"/>
        <v>39.103124999999999</v>
      </c>
      <c r="I204" s="5"/>
      <c r="J204" s="19">
        <v>202.7938</v>
      </c>
      <c r="K204" s="20">
        <v>37.8874</v>
      </c>
      <c r="L204" s="20">
        <v>45.296799999999998</v>
      </c>
      <c r="M204" s="20">
        <v>45.279000000000003</v>
      </c>
      <c r="N204" s="20">
        <v>55.671100000000003</v>
      </c>
      <c r="O204" s="20">
        <f t="shared" si="5"/>
        <v>39.737524999999998</v>
      </c>
      <c r="P204" s="7"/>
      <c r="Q204" s="13"/>
      <c r="R204" s="14"/>
      <c r="S204" s="14"/>
      <c r="T204" s="27"/>
      <c r="U204" s="28">
        <f t="shared" si="3"/>
        <v>1.1055635400907715</v>
      </c>
    </row>
    <row r="205" spans="1:21" hidden="1" x14ac:dyDescent="0.25">
      <c r="B205" s="6" t="s">
        <v>80</v>
      </c>
      <c r="C205" s="15">
        <v>1013.6</v>
      </c>
      <c r="D205" s="16">
        <v>40.53</v>
      </c>
      <c r="E205" s="16">
        <v>46.706000000000003</v>
      </c>
      <c r="F205" s="16">
        <v>46.55</v>
      </c>
      <c r="G205" s="16">
        <v>7.23</v>
      </c>
      <c r="H205" s="16">
        <f t="shared" si="4"/>
        <v>42.054500000000004</v>
      </c>
      <c r="I205" s="5"/>
      <c r="J205" s="15">
        <v>1032.7538</v>
      </c>
      <c r="K205" s="16">
        <v>40.134</v>
      </c>
      <c r="L205" s="16">
        <v>46.519100000000002</v>
      </c>
      <c r="M205" s="16">
        <v>46.350900000000003</v>
      </c>
      <c r="N205" s="16">
        <v>12.616</v>
      </c>
      <c r="O205" s="16">
        <f t="shared" si="5"/>
        <v>41.709250000000004</v>
      </c>
      <c r="P205" s="7"/>
      <c r="Q205" s="8">
        <f>bdrate(C205:C208,D205:D208,J205:J208,K205:K208)</f>
        <v>0.12958638355482122</v>
      </c>
      <c r="R205" s="8">
        <f>bdrate(C205:C208,E205:E208,J205:J208,L205:L208)</f>
        <v>1.1090542518106483E-2</v>
      </c>
      <c r="S205" s="8">
        <f>bdrate(C205:C208,F205:F208,J205:J208,M205:M208)</f>
        <v>1.0198550680419194E-2</v>
      </c>
      <c r="T205" s="25">
        <f>bdrate(C205:C208,H205:H208,J205:J208,O205:O208)</f>
        <v>0.10595470916010497</v>
      </c>
      <c r="U205" s="28">
        <f t="shared" si="3"/>
        <v>0.74495159059474392</v>
      </c>
    </row>
    <row r="206" spans="1:21" hidden="1" x14ac:dyDescent="0.25">
      <c r="B206" s="9"/>
      <c r="C206" s="17">
        <v>604.61</v>
      </c>
      <c r="D206" s="18">
        <v>38.939</v>
      </c>
      <c r="E206" s="18">
        <v>45.637</v>
      </c>
      <c r="F206" s="18">
        <v>45.540999999999997</v>
      </c>
      <c r="G206" s="18">
        <v>8.4600000000000009</v>
      </c>
      <c r="H206" s="18">
        <f t="shared" si="4"/>
        <v>40.601500000000001</v>
      </c>
      <c r="I206" s="5"/>
      <c r="J206" s="17">
        <v>616.51179999999999</v>
      </c>
      <c r="K206" s="18">
        <v>38.589100000000002</v>
      </c>
      <c r="L206" s="18">
        <v>45.556100000000001</v>
      </c>
      <c r="M206" s="18">
        <v>45.4452</v>
      </c>
      <c r="N206" s="18">
        <v>17.127600000000001</v>
      </c>
      <c r="O206" s="18">
        <f t="shared" si="5"/>
        <v>40.316987500000003</v>
      </c>
      <c r="P206" s="7"/>
      <c r="Q206" s="10"/>
      <c r="R206" s="11"/>
      <c r="S206" s="11"/>
      <c r="T206" s="26"/>
      <c r="U206" s="28">
        <f t="shared" si="3"/>
        <v>1.0245390070921985</v>
      </c>
    </row>
    <row r="207" spans="1:21" hidden="1" x14ac:dyDescent="0.25">
      <c r="B207" s="9"/>
      <c r="C207" s="17">
        <v>400.16</v>
      </c>
      <c r="D207" s="18">
        <v>37.590000000000003</v>
      </c>
      <c r="E207" s="18">
        <v>44.655000000000001</v>
      </c>
      <c r="F207" s="18">
        <v>44.569000000000003</v>
      </c>
      <c r="G207" s="18">
        <v>9.73</v>
      </c>
      <c r="H207" s="18">
        <f t="shared" si="4"/>
        <v>39.345500000000008</v>
      </c>
      <c r="I207" s="5"/>
      <c r="J207" s="17">
        <v>408.55160000000001</v>
      </c>
      <c r="K207" s="18">
        <v>37.258499999999998</v>
      </c>
      <c r="L207" s="18">
        <v>44.695399999999999</v>
      </c>
      <c r="M207" s="18">
        <v>44.612099999999998</v>
      </c>
      <c r="N207" s="18">
        <v>21.061699999999998</v>
      </c>
      <c r="O207" s="18">
        <f t="shared" si="5"/>
        <v>39.107312499999999</v>
      </c>
      <c r="P207" s="7"/>
      <c r="Q207" s="10"/>
      <c r="R207" s="11"/>
      <c r="S207" s="11"/>
      <c r="T207" s="26"/>
      <c r="U207" s="28">
        <f t="shared" si="3"/>
        <v>1.1646145940390542</v>
      </c>
    </row>
    <row r="208" spans="1:21" ht="16.5" hidden="1" thickBot="1" x14ac:dyDescent="0.3">
      <c r="B208" s="12"/>
      <c r="C208" s="19">
        <v>198.26</v>
      </c>
      <c r="D208" s="20">
        <v>35.122999999999998</v>
      </c>
      <c r="E208" s="20">
        <v>42.957999999999998</v>
      </c>
      <c r="F208" s="20">
        <v>42.808999999999997</v>
      </c>
      <c r="G208" s="20">
        <v>12.52</v>
      </c>
      <c r="H208" s="20">
        <f t="shared" si="4"/>
        <v>37.063124999999999</v>
      </c>
      <c r="I208" s="5"/>
      <c r="J208" s="19">
        <v>202.8116</v>
      </c>
      <c r="K208" s="20">
        <v>34.8598</v>
      </c>
      <c r="L208" s="20">
        <v>43.289400000000001</v>
      </c>
      <c r="M208" s="20">
        <v>43.189399999999999</v>
      </c>
      <c r="N208" s="20">
        <v>29.9237</v>
      </c>
      <c r="O208" s="20">
        <f t="shared" si="5"/>
        <v>36.954699999999995</v>
      </c>
      <c r="P208" s="7"/>
      <c r="Q208" s="13"/>
      <c r="R208" s="14"/>
      <c r="S208" s="14"/>
      <c r="T208" s="27"/>
      <c r="U208" s="28">
        <f t="shared" si="3"/>
        <v>1.3900718849840257</v>
      </c>
    </row>
    <row r="209" spans="2:21" hidden="1" x14ac:dyDescent="0.25">
      <c r="B209" s="6" t="s">
        <v>81</v>
      </c>
      <c r="C209" s="15">
        <v>1220.71</v>
      </c>
      <c r="D209" s="16">
        <v>43.536999999999999</v>
      </c>
      <c r="E209" s="16">
        <v>44.965000000000003</v>
      </c>
      <c r="F209" s="16">
        <v>45.377000000000002</v>
      </c>
      <c r="G209" s="16">
        <v>8.6999999999999993</v>
      </c>
      <c r="H209" s="16">
        <f t="shared" si="4"/>
        <v>43.945500000000003</v>
      </c>
      <c r="I209" s="5"/>
      <c r="J209" s="15">
        <v>1070.2131999999999</v>
      </c>
      <c r="K209" s="16">
        <v>42.532499999999999</v>
      </c>
      <c r="L209" s="16">
        <v>44.272500000000001</v>
      </c>
      <c r="M209" s="16">
        <v>44.674100000000003</v>
      </c>
      <c r="N209" s="16">
        <v>15.9383</v>
      </c>
      <c r="O209" s="16">
        <f t="shared" si="5"/>
        <v>43.017699999999998</v>
      </c>
      <c r="P209" s="7"/>
      <c r="Q209" s="8">
        <f>bdrate(C209:C212,D209:D212,J209:J212,K209:K212)</f>
        <v>5.1708805665431345E-2</v>
      </c>
      <c r="R209" s="8">
        <f>bdrate(C209:C212,E209:E212,J209:J212,L209:L212)</f>
        <v>-4.9262540988899151E-3</v>
      </c>
      <c r="S209" s="8">
        <f>bdrate(C209:C212,F209:F212,J209:J212,M209:M212)</f>
        <v>2.1981522557006361E-3</v>
      </c>
      <c r="T209" s="25">
        <f>bdrate(C209:C212,H209:H212,J209:J212,O209:O212)</f>
        <v>4.1635599326920625E-2</v>
      </c>
      <c r="U209" s="28">
        <f t="shared" si="3"/>
        <v>0.83198850574712657</v>
      </c>
    </row>
    <row r="210" spans="2:21" hidden="1" x14ac:dyDescent="0.25">
      <c r="B210" s="9"/>
      <c r="C210" s="17">
        <v>733.41</v>
      </c>
      <c r="D210" s="18">
        <v>41.280999999999999</v>
      </c>
      <c r="E210" s="18">
        <v>43.32</v>
      </c>
      <c r="F210" s="18">
        <v>43.707000000000001</v>
      </c>
      <c r="G210" s="18">
        <v>9.93</v>
      </c>
      <c r="H210" s="18">
        <f t="shared" si="4"/>
        <v>41.839124999999996</v>
      </c>
      <c r="I210" s="5"/>
      <c r="J210" s="17">
        <v>640.44839999999999</v>
      </c>
      <c r="K210" s="18">
        <v>40.353999999999999</v>
      </c>
      <c r="L210" s="18">
        <v>42.774700000000003</v>
      </c>
      <c r="M210" s="18">
        <v>43.143500000000003</v>
      </c>
      <c r="N210" s="18">
        <v>19.8704</v>
      </c>
      <c r="O210" s="18">
        <f t="shared" si="5"/>
        <v>41.005275000000005</v>
      </c>
      <c r="P210" s="7"/>
      <c r="Q210" s="10"/>
      <c r="R210" s="11"/>
      <c r="S210" s="11"/>
      <c r="T210" s="26"/>
      <c r="U210" s="28">
        <f t="shared" si="3"/>
        <v>1.0010473313192347</v>
      </c>
    </row>
    <row r="211" spans="2:21" hidden="1" x14ac:dyDescent="0.25">
      <c r="B211" s="9"/>
      <c r="C211" s="17">
        <v>486.29</v>
      </c>
      <c r="D211" s="18">
        <v>39.335999999999999</v>
      </c>
      <c r="E211" s="18">
        <v>41.945</v>
      </c>
      <c r="F211" s="18">
        <v>42.313000000000002</v>
      </c>
      <c r="G211" s="18">
        <v>11.04</v>
      </c>
      <c r="H211" s="18">
        <f t="shared" si="4"/>
        <v>40.03425</v>
      </c>
      <c r="I211" s="5"/>
      <c r="J211" s="17">
        <v>426.83640000000003</v>
      </c>
      <c r="K211" s="18">
        <v>38.566099999999999</v>
      </c>
      <c r="L211" s="18">
        <v>41.552399999999999</v>
      </c>
      <c r="M211" s="18">
        <v>41.872300000000003</v>
      </c>
      <c r="N211" s="18">
        <v>24.134799999999998</v>
      </c>
      <c r="O211" s="18">
        <f t="shared" si="5"/>
        <v>39.352662499999994</v>
      </c>
      <c r="P211" s="7"/>
      <c r="Q211" s="10"/>
      <c r="R211" s="11"/>
      <c r="S211" s="11"/>
      <c r="T211" s="26"/>
      <c r="U211" s="28">
        <f t="shared" si="3"/>
        <v>1.1861231884057972</v>
      </c>
    </row>
    <row r="212" spans="2:21" ht="16.5" hidden="1" thickBot="1" x14ac:dyDescent="0.3">
      <c r="B212" s="12"/>
      <c r="C212" s="19">
        <v>238.32</v>
      </c>
      <c r="D212" s="20">
        <v>36.021000000000001</v>
      </c>
      <c r="E212" s="20">
        <v>39.465000000000003</v>
      </c>
      <c r="F212" s="20">
        <v>39.725000000000001</v>
      </c>
      <c r="G212" s="20">
        <v>13.58</v>
      </c>
      <c r="H212" s="20">
        <f t="shared" si="4"/>
        <v>36.914500000000004</v>
      </c>
      <c r="I212" s="5"/>
      <c r="J212" s="19">
        <v>209.69399999999999</v>
      </c>
      <c r="K212" s="20">
        <v>35.313299999999998</v>
      </c>
      <c r="L212" s="20">
        <v>39.376100000000001</v>
      </c>
      <c r="M212" s="20">
        <v>39.5974</v>
      </c>
      <c r="N212" s="20">
        <v>33.351100000000002</v>
      </c>
      <c r="O212" s="20">
        <f t="shared" si="5"/>
        <v>36.356662499999999</v>
      </c>
      <c r="P212" s="7"/>
      <c r="Q212" s="13"/>
      <c r="R212" s="14"/>
      <c r="S212" s="14"/>
      <c r="T212" s="27"/>
      <c r="U212" s="28">
        <f t="shared" si="3"/>
        <v>1.4558983799705452</v>
      </c>
    </row>
    <row r="213" spans="2:21" hidden="1" x14ac:dyDescent="0.25">
      <c r="B213" s="6" t="s">
        <v>82</v>
      </c>
      <c r="C213" s="29">
        <v>969.64</v>
      </c>
      <c r="D213" s="30">
        <v>40.747</v>
      </c>
      <c r="E213" s="30">
        <v>43.875</v>
      </c>
      <c r="F213" s="30">
        <v>44.987000000000002</v>
      </c>
      <c r="G213" s="16">
        <v>15.15</v>
      </c>
      <c r="H213" s="16">
        <f t="shared" si="4"/>
        <v>41.667999999999999</v>
      </c>
      <c r="I213" s="5"/>
      <c r="J213" s="29">
        <v>1056.4748</v>
      </c>
      <c r="K213" s="30">
        <v>41.011200000000002</v>
      </c>
      <c r="L213" s="30">
        <v>44.205199999999998</v>
      </c>
      <c r="M213" s="30">
        <v>45.4206</v>
      </c>
      <c r="N213" s="16">
        <v>22.763500000000001</v>
      </c>
      <c r="O213" s="16">
        <f t="shared" si="5"/>
        <v>41.961624999999998</v>
      </c>
      <c r="P213" s="7"/>
      <c r="Q213" s="8">
        <f>bdrate(C213:C216,D213:D216,J213:J216,K213:K216)</f>
        <v>-1.2103400516434881E-2</v>
      </c>
      <c r="R213" s="8">
        <f>bdrate(C213:C216,E213:E216,J213:J216,L213:L216)</f>
        <v>-8.634046774517723E-2</v>
      </c>
      <c r="S213" s="8">
        <f>bdrate(C213:C216,F213:F216,J213:J216,M213:M216)</f>
        <v>-0.12222659147872239</v>
      </c>
      <c r="T213" s="25">
        <f>bdrate(C213:C216,H213:H216,J213:J216,O213:O216)</f>
        <v>-3.1097352522133526E-2</v>
      </c>
      <c r="U213" s="28">
        <f t="shared" si="3"/>
        <v>0.50254125412541251</v>
      </c>
    </row>
    <row r="214" spans="2:21" hidden="1" x14ac:dyDescent="0.25">
      <c r="B214" s="9"/>
      <c r="C214" s="31">
        <v>586.30999999999995</v>
      </c>
      <c r="D214" s="32">
        <v>39.65</v>
      </c>
      <c r="E214" s="32">
        <v>43.188000000000002</v>
      </c>
      <c r="F214" s="32">
        <v>44.14</v>
      </c>
      <c r="G214" s="18">
        <v>17.93</v>
      </c>
      <c r="H214" s="18">
        <f t="shared" si="4"/>
        <v>40.653499999999994</v>
      </c>
      <c r="I214" s="5"/>
      <c r="J214" s="31">
        <v>626.0444</v>
      </c>
      <c r="K214" s="32">
        <v>39.833100000000002</v>
      </c>
      <c r="L214" s="32">
        <v>43.459099999999999</v>
      </c>
      <c r="M214" s="32">
        <v>44.553400000000003</v>
      </c>
      <c r="N214" s="18">
        <v>30.380400000000002</v>
      </c>
      <c r="O214" s="18">
        <f t="shared" si="5"/>
        <v>40.8763875</v>
      </c>
      <c r="P214" s="7"/>
      <c r="Q214" s="10"/>
      <c r="R214" s="11"/>
      <c r="S214" s="11"/>
      <c r="T214" s="26"/>
      <c r="U214" s="28">
        <f t="shared" si="3"/>
        <v>0.69438929168990526</v>
      </c>
    </row>
    <row r="215" spans="2:21" hidden="1" x14ac:dyDescent="0.25">
      <c r="B215" s="9"/>
      <c r="C215" s="31">
        <v>394.28</v>
      </c>
      <c r="D215" s="32">
        <v>38.600999999999999</v>
      </c>
      <c r="E215" s="32">
        <v>42.472999999999999</v>
      </c>
      <c r="F215" s="32">
        <v>43.298999999999999</v>
      </c>
      <c r="G215" s="18">
        <v>20.2</v>
      </c>
      <c r="H215" s="18">
        <f t="shared" si="4"/>
        <v>39.672249999999998</v>
      </c>
      <c r="I215" s="5"/>
      <c r="J215" s="31">
        <v>414.63040000000001</v>
      </c>
      <c r="K215" s="32">
        <v>38.750799999999998</v>
      </c>
      <c r="L215" s="32">
        <v>42.724600000000002</v>
      </c>
      <c r="M215" s="32">
        <v>43.697000000000003</v>
      </c>
      <c r="N215" s="18">
        <v>37.619399999999999</v>
      </c>
      <c r="O215" s="18">
        <f t="shared" si="5"/>
        <v>39.8658</v>
      </c>
      <c r="P215" s="7"/>
      <c r="Q215" s="10"/>
      <c r="R215" s="11"/>
      <c r="S215" s="11"/>
      <c r="T215" s="26"/>
      <c r="U215" s="28">
        <f t="shared" si="3"/>
        <v>0.86234653465346534</v>
      </c>
    </row>
    <row r="216" spans="2:21" ht="16.5" hidden="1" thickBot="1" x14ac:dyDescent="0.3">
      <c r="B216" s="12"/>
      <c r="C216" s="33">
        <v>198.08</v>
      </c>
      <c r="D216" s="34">
        <v>36.151000000000003</v>
      </c>
      <c r="E216" s="34">
        <v>40.784999999999997</v>
      </c>
      <c r="F216" s="34">
        <v>41.445999999999998</v>
      </c>
      <c r="G216" s="20">
        <v>24.6</v>
      </c>
      <c r="H216" s="20">
        <f t="shared" si="4"/>
        <v>37.392125000000007</v>
      </c>
      <c r="I216" s="5"/>
      <c r="J216" s="33">
        <v>204.07400000000001</v>
      </c>
      <c r="K216" s="34">
        <v>36.401899999999998</v>
      </c>
      <c r="L216" s="34">
        <v>41.115000000000002</v>
      </c>
      <c r="M216" s="34">
        <v>41.843200000000003</v>
      </c>
      <c r="N216" s="20">
        <v>54.884700000000002</v>
      </c>
      <c r="O216" s="20">
        <f t="shared" si="5"/>
        <v>37.671199999999999</v>
      </c>
      <c r="P216" s="7"/>
      <c r="Q216" s="13"/>
      <c r="R216" s="14"/>
      <c r="S216" s="14"/>
      <c r="T216" s="27"/>
      <c r="U216" s="28">
        <f t="shared" si="3"/>
        <v>1.2310853658536585</v>
      </c>
    </row>
    <row r="217" spans="2:21" hidden="1" x14ac:dyDescent="0.25">
      <c r="B217" s="6" t="s">
        <v>83</v>
      </c>
      <c r="C217" s="15">
        <v>1147.71</v>
      </c>
      <c r="D217" s="16">
        <v>43.436999999999998</v>
      </c>
      <c r="E217" s="16">
        <v>45.710999999999999</v>
      </c>
      <c r="F217" s="16">
        <v>45.747</v>
      </c>
      <c r="G217" s="16">
        <v>5.64</v>
      </c>
      <c r="H217" s="16">
        <f t="shared" si="4"/>
        <v>44.01</v>
      </c>
      <c r="I217" s="5"/>
      <c r="J217" s="15">
        <v>1187.0947000000001</v>
      </c>
      <c r="K217" s="16">
        <v>43.494799999999998</v>
      </c>
      <c r="L217" s="16">
        <v>45.793399999999998</v>
      </c>
      <c r="M217" s="16">
        <v>45.7639</v>
      </c>
      <c r="N217" s="16">
        <v>10.3346</v>
      </c>
      <c r="O217" s="16">
        <f t="shared" si="5"/>
        <v>44.065762499999998</v>
      </c>
      <c r="P217" s="7"/>
      <c r="Q217" s="8">
        <f>bdrate(C217:C220,D217:D220,J217:J220,K217:K220)</f>
        <v>-6.4433562971371039E-2</v>
      </c>
      <c r="R217" s="8">
        <f>bdrate(C217:C220,E217:E220,J217:J220,L217:L220)</f>
        <v>-0.14510957377775568</v>
      </c>
      <c r="S217" s="8">
        <f>bdrate(C217:C220,F217:F220,J217:J220,M217:M220)</f>
        <v>-0.12851892008684562</v>
      </c>
      <c r="T217" s="25">
        <f>bdrate(C217:C220,H217:H220,J217:J220,O217:O220)</f>
        <v>-7.7430889686123883E-2</v>
      </c>
      <c r="U217" s="28">
        <f t="shared" si="3"/>
        <v>0.83237588652482275</v>
      </c>
    </row>
    <row r="218" spans="2:21" hidden="1" x14ac:dyDescent="0.25">
      <c r="B218" s="9"/>
      <c r="C218" s="17">
        <v>773.23</v>
      </c>
      <c r="D218" s="18">
        <v>41.759</v>
      </c>
      <c r="E218" s="18">
        <v>44.661999999999999</v>
      </c>
      <c r="F218" s="18">
        <v>44.716000000000001</v>
      </c>
      <c r="G218" s="18">
        <v>6.25</v>
      </c>
      <c r="H218" s="18">
        <f t="shared" si="4"/>
        <v>42.491500000000002</v>
      </c>
      <c r="I218" s="5"/>
      <c r="J218" s="17">
        <v>788.97329999999999</v>
      </c>
      <c r="K218" s="18">
        <v>42.004800000000003</v>
      </c>
      <c r="L218" s="18">
        <v>44.967500000000001</v>
      </c>
      <c r="M218" s="18">
        <v>44.958199999999998</v>
      </c>
      <c r="N218" s="18">
        <v>12.5395</v>
      </c>
      <c r="O218" s="18">
        <f t="shared" si="5"/>
        <v>42.744312499999999</v>
      </c>
      <c r="P218" s="7"/>
      <c r="Q218" s="10"/>
      <c r="R218" s="11"/>
      <c r="S218" s="11"/>
      <c r="T218" s="26"/>
      <c r="U218" s="28">
        <f t="shared" si="3"/>
        <v>1.0063200000000001</v>
      </c>
    </row>
    <row r="219" spans="2:21" hidden="1" x14ac:dyDescent="0.25">
      <c r="B219" s="9"/>
      <c r="C219" s="17">
        <v>487.65</v>
      </c>
      <c r="D219" s="18">
        <v>39.722000000000001</v>
      </c>
      <c r="E219" s="18">
        <v>43.383000000000003</v>
      </c>
      <c r="F219" s="18">
        <v>43.433</v>
      </c>
      <c r="G219" s="18">
        <v>7.01</v>
      </c>
      <c r="H219" s="18">
        <f t="shared" si="4"/>
        <v>40.643499999999996</v>
      </c>
      <c r="I219" s="5"/>
      <c r="J219" s="17">
        <v>491.01920000000001</v>
      </c>
      <c r="K219" s="18">
        <v>40.142699999999998</v>
      </c>
      <c r="L219" s="18">
        <v>43.931800000000003</v>
      </c>
      <c r="M219" s="18">
        <v>43.9465</v>
      </c>
      <c r="N219" s="18">
        <v>15.7576</v>
      </c>
      <c r="O219" s="18">
        <f t="shared" si="5"/>
        <v>41.091812500000003</v>
      </c>
      <c r="P219" s="7"/>
      <c r="Q219" s="10"/>
      <c r="R219" s="11"/>
      <c r="S219" s="11"/>
      <c r="T219" s="26"/>
      <c r="U219" s="28">
        <f t="shared" si="3"/>
        <v>1.2478744650499287</v>
      </c>
    </row>
    <row r="220" spans="2:21" ht="16.5" hidden="1" thickBot="1" x14ac:dyDescent="0.3">
      <c r="B220" s="12"/>
      <c r="C220" s="19">
        <v>294.54000000000002</v>
      </c>
      <c r="D220" s="20">
        <v>37.453000000000003</v>
      </c>
      <c r="E220" s="20">
        <v>41.889000000000003</v>
      </c>
      <c r="F220" s="20">
        <v>41.912999999999997</v>
      </c>
      <c r="G220" s="20">
        <v>8.1300000000000008</v>
      </c>
      <c r="H220" s="20">
        <f t="shared" si="4"/>
        <v>38.565000000000005</v>
      </c>
      <c r="I220" s="5"/>
      <c r="J220" s="19">
        <v>295.07810000000001</v>
      </c>
      <c r="K220" s="20">
        <v>38.010800000000003</v>
      </c>
      <c r="L220" s="20">
        <v>42.725999999999999</v>
      </c>
      <c r="M220" s="20">
        <v>42.746699999999997</v>
      </c>
      <c r="N220" s="20">
        <v>20.1494</v>
      </c>
      <c r="O220" s="20">
        <f t="shared" si="5"/>
        <v>39.192187499999996</v>
      </c>
      <c r="P220" s="7"/>
      <c r="Q220" s="13"/>
      <c r="R220" s="14"/>
      <c r="S220" s="14"/>
      <c r="T220" s="27"/>
      <c r="U220" s="28">
        <f t="shared" si="3"/>
        <v>1.4784009840098398</v>
      </c>
    </row>
    <row r="221" spans="2:21" hidden="1" x14ac:dyDescent="0.25">
      <c r="B221" s="6" t="s">
        <v>84</v>
      </c>
      <c r="C221" s="15">
        <v>1626.29</v>
      </c>
      <c r="D221" s="16">
        <v>48.715000000000003</v>
      </c>
      <c r="E221" s="16">
        <v>50.863999999999997</v>
      </c>
      <c r="F221" s="16">
        <v>51.003</v>
      </c>
      <c r="G221" s="16">
        <v>5.9</v>
      </c>
      <c r="H221" s="16">
        <f t="shared" si="4"/>
        <v>49.269624999999998</v>
      </c>
      <c r="I221" s="5"/>
      <c r="J221" s="15">
        <v>1650.8071</v>
      </c>
      <c r="K221" s="16">
        <v>48.923499999999997</v>
      </c>
      <c r="L221" s="16">
        <v>50.867400000000004</v>
      </c>
      <c r="M221" s="16">
        <v>51.031199999999998</v>
      </c>
      <c r="N221" s="16">
        <v>13.2698</v>
      </c>
      <c r="O221" s="16">
        <f t="shared" si="5"/>
        <v>49.429950000000005</v>
      </c>
      <c r="P221" s="7"/>
      <c r="Q221" s="8">
        <f>bdrate(C221:C224,D221:D224,J221:J224,K221:K224)</f>
        <v>-3.6293777884084055E-2</v>
      </c>
      <c r="R221" s="8">
        <f>bdrate(C221:C224,E221:E224,J221:J224,L221:L224)</f>
        <v>-3.7646947125794972E-2</v>
      </c>
      <c r="S221" s="8">
        <f>bdrate(C221:C224,F221:F224,J221:J224,M221:M224)</f>
        <v>-3.1298196471383211E-2</v>
      </c>
      <c r="T221" s="25">
        <f>bdrate(C221:C224,H221:H224,J221:J224,O221:O224)</f>
        <v>-3.6037646082369257E-2</v>
      </c>
      <c r="U221" s="28">
        <f t="shared" si="3"/>
        <v>1.2491186440677964</v>
      </c>
    </row>
    <row r="222" spans="2:21" hidden="1" x14ac:dyDescent="0.25">
      <c r="B222" s="9"/>
      <c r="C222" s="17">
        <v>1093.51</v>
      </c>
      <c r="D222" s="18">
        <v>46.805</v>
      </c>
      <c r="E222" s="18">
        <v>48.942</v>
      </c>
      <c r="F222" s="18">
        <v>49.146000000000001</v>
      </c>
      <c r="G222" s="18">
        <v>6.71</v>
      </c>
      <c r="H222" s="18">
        <f t="shared" si="4"/>
        <v>47.364750000000001</v>
      </c>
      <c r="I222" s="5"/>
      <c r="J222" s="17">
        <v>1077.5413000000001</v>
      </c>
      <c r="K222" s="18">
        <v>46.834299999999999</v>
      </c>
      <c r="L222" s="18">
        <v>48.9512</v>
      </c>
      <c r="M222" s="18">
        <v>49.141800000000003</v>
      </c>
      <c r="N222" s="18">
        <v>15.9291</v>
      </c>
      <c r="O222" s="18">
        <f t="shared" si="5"/>
        <v>47.387349999999998</v>
      </c>
      <c r="P222" s="7"/>
      <c r="Q222" s="10"/>
      <c r="R222" s="11"/>
      <c r="S222" s="11"/>
      <c r="T222" s="26"/>
      <c r="U222" s="28">
        <f t="shared" si="3"/>
        <v>1.3739344262295083</v>
      </c>
    </row>
    <row r="223" spans="2:21" hidden="1" x14ac:dyDescent="0.25">
      <c r="B223" s="9"/>
      <c r="C223" s="17">
        <v>660.72</v>
      </c>
      <c r="D223" s="18">
        <v>44.201999999999998</v>
      </c>
      <c r="E223" s="18">
        <v>46.582000000000001</v>
      </c>
      <c r="F223" s="18">
        <v>46.847000000000001</v>
      </c>
      <c r="G223" s="18">
        <v>7.73</v>
      </c>
      <c r="H223" s="18">
        <f t="shared" si="4"/>
        <v>44.830124999999995</v>
      </c>
      <c r="I223" s="5"/>
      <c r="J223" s="17">
        <v>642.97810000000004</v>
      </c>
      <c r="K223" s="18">
        <v>44.192799999999998</v>
      </c>
      <c r="L223" s="18">
        <v>46.648800000000001</v>
      </c>
      <c r="M223" s="18">
        <v>46.893599999999999</v>
      </c>
      <c r="N223" s="18">
        <v>20.046900000000001</v>
      </c>
      <c r="O223" s="18">
        <f t="shared" si="5"/>
        <v>44.837399999999995</v>
      </c>
      <c r="P223" s="7"/>
      <c r="Q223" s="10"/>
      <c r="R223" s="11"/>
      <c r="S223" s="11"/>
      <c r="T223" s="26"/>
      <c r="U223" s="28">
        <f t="shared" si="3"/>
        <v>1.5933893919793014</v>
      </c>
    </row>
    <row r="224" spans="2:21" ht="16.5" hidden="1" thickBot="1" x14ac:dyDescent="0.3">
      <c r="B224" s="12"/>
      <c r="C224" s="19">
        <v>330.51</v>
      </c>
      <c r="D224" s="20">
        <v>40.167000000000002</v>
      </c>
      <c r="E224" s="20">
        <v>43.155000000000001</v>
      </c>
      <c r="F224" s="20">
        <v>43.69</v>
      </c>
      <c r="G224" s="20">
        <v>9.1199999999999992</v>
      </c>
      <c r="H224" s="20">
        <f t="shared" si="4"/>
        <v>40.980875000000005</v>
      </c>
      <c r="I224" s="5"/>
      <c r="J224" s="19">
        <v>324.18770000000001</v>
      </c>
      <c r="K224" s="20">
        <v>40.664099999999998</v>
      </c>
      <c r="L224" s="20">
        <v>43.563099999999999</v>
      </c>
      <c r="M224" s="20">
        <v>43.933100000000003</v>
      </c>
      <c r="N224" s="20">
        <v>27.361000000000001</v>
      </c>
      <c r="O224" s="20">
        <f t="shared" si="5"/>
        <v>41.435100000000006</v>
      </c>
      <c r="P224" s="7"/>
      <c r="Q224" s="13"/>
      <c r="R224" s="14"/>
      <c r="S224" s="14"/>
      <c r="T224" s="27"/>
      <c r="U224" s="28">
        <f t="shared" si="3"/>
        <v>2.0001096491228072</v>
      </c>
    </row>
    <row r="225" spans="2:21" hidden="1" x14ac:dyDescent="0.25">
      <c r="B225" s="6" t="s">
        <v>85</v>
      </c>
      <c r="C225" s="15">
        <v>1422.89</v>
      </c>
      <c r="D225" s="16">
        <v>47.923999999999999</v>
      </c>
      <c r="E225" s="16">
        <v>49.631</v>
      </c>
      <c r="F225" s="16">
        <v>49.959000000000003</v>
      </c>
      <c r="G225" s="16">
        <v>7.08</v>
      </c>
      <c r="H225" s="16">
        <f t="shared" si="4"/>
        <v>48.391749999999995</v>
      </c>
      <c r="I225" s="5"/>
      <c r="J225" s="15">
        <v>1581.9402</v>
      </c>
      <c r="K225" s="16">
        <v>48.340600000000002</v>
      </c>
      <c r="L225" s="16">
        <v>49.905999999999999</v>
      </c>
      <c r="M225" s="16">
        <v>50.2288</v>
      </c>
      <c r="N225" s="16">
        <v>14.168699999999999</v>
      </c>
      <c r="O225" s="16">
        <f t="shared" si="5"/>
        <v>48.772300000000001</v>
      </c>
      <c r="P225" s="7"/>
      <c r="Q225" s="8">
        <f>bdrate(C225:C228,D225:D228,J225:J228,K225:K228)</f>
        <v>3.388794325261113E-2</v>
      </c>
      <c r="R225" s="8">
        <f>bdrate(C225:C228,E225:E228,J225:J228,L225:L228)</f>
        <v>1.3352701491839314E-2</v>
      </c>
      <c r="S225" s="8">
        <f>bdrate(C225:C228,F225:F228,J225:J228,M225:M228)</f>
        <v>1.0537703728386694E-2</v>
      </c>
      <c r="T225" s="25">
        <f>bdrate(C225:C228,H225:H228,J225:J228,O225:O228)</f>
        <v>2.8690239267969542E-2</v>
      </c>
      <c r="U225" s="28">
        <f t="shared" si="3"/>
        <v>1.0012288135593219</v>
      </c>
    </row>
    <row r="226" spans="2:21" hidden="1" x14ac:dyDescent="0.25">
      <c r="B226" s="9"/>
      <c r="C226" s="17">
        <v>941.01</v>
      </c>
      <c r="D226" s="18">
        <v>46.156999999999996</v>
      </c>
      <c r="E226" s="18">
        <v>47.734999999999999</v>
      </c>
      <c r="F226" s="18">
        <v>48.008000000000003</v>
      </c>
      <c r="G226" s="18">
        <v>8.11</v>
      </c>
      <c r="H226" s="18">
        <f t="shared" si="4"/>
        <v>46.585625</v>
      </c>
      <c r="I226" s="5"/>
      <c r="J226" s="17">
        <v>1057.8348000000001</v>
      </c>
      <c r="K226" s="18">
        <v>46.435699999999997</v>
      </c>
      <c r="L226" s="18">
        <v>48.1389</v>
      </c>
      <c r="M226" s="18">
        <v>48.406300000000002</v>
      </c>
      <c r="N226" s="18">
        <v>16.026199999999999</v>
      </c>
      <c r="O226" s="18">
        <f t="shared" si="5"/>
        <v>46.894924999999994</v>
      </c>
      <c r="P226" s="7"/>
      <c r="Q226" s="10"/>
      <c r="R226" s="11"/>
      <c r="S226" s="11"/>
      <c r="T226" s="26"/>
      <c r="U226" s="28">
        <f t="shared" si="3"/>
        <v>0.97610357583230589</v>
      </c>
    </row>
    <row r="227" spans="2:21" hidden="1" x14ac:dyDescent="0.25">
      <c r="B227" s="9"/>
      <c r="C227" s="17">
        <v>558.74</v>
      </c>
      <c r="D227" s="18">
        <v>43.485999999999997</v>
      </c>
      <c r="E227" s="18">
        <v>45.466000000000001</v>
      </c>
      <c r="F227" s="18">
        <v>45.588999999999999</v>
      </c>
      <c r="G227" s="18">
        <v>9.1300000000000008</v>
      </c>
      <c r="H227" s="18">
        <f t="shared" si="4"/>
        <v>43.996375</v>
      </c>
      <c r="I227" s="5"/>
      <c r="J227" s="17">
        <v>636.63229999999999</v>
      </c>
      <c r="K227" s="18">
        <v>43.969200000000001</v>
      </c>
      <c r="L227" s="18">
        <v>45.970500000000001</v>
      </c>
      <c r="M227" s="18">
        <v>46.150199999999998</v>
      </c>
      <c r="N227" s="18">
        <v>19.370999999999999</v>
      </c>
      <c r="O227" s="18">
        <f t="shared" si="5"/>
        <v>44.4919875</v>
      </c>
      <c r="P227" s="7"/>
      <c r="Q227" s="10"/>
      <c r="R227" s="11"/>
      <c r="S227" s="11"/>
      <c r="T227" s="26"/>
      <c r="U227" s="28">
        <f t="shared" si="3"/>
        <v>1.1216867469879515</v>
      </c>
    </row>
    <row r="228" spans="2:21" ht="16.5" hidden="1" thickBot="1" x14ac:dyDescent="0.3">
      <c r="B228" s="12"/>
      <c r="C228" s="19">
        <v>276.61</v>
      </c>
      <c r="D228" s="20">
        <v>40.029000000000003</v>
      </c>
      <c r="E228" s="20">
        <v>42.631</v>
      </c>
      <c r="F228" s="20">
        <v>42.566000000000003</v>
      </c>
      <c r="G228" s="20">
        <v>10.53</v>
      </c>
      <c r="H228" s="20">
        <f t="shared" si="4"/>
        <v>40.671375000000012</v>
      </c>
      <c r="I228" s="5"/>
      <c r="J228" s="19">
        <v>318.65030000000002</v>
      </c>
      <c r="K228" s="20">
        <v>40.7333</v>
      </c>
      <c r="L228" s="20">
        <v>43.268500000000003</v>
      </c>
      <c r="M228" s="20">
        <v>43.298099999999998</v>
      </c>
      <c r="N228" s="20">
        <v>27.005400000000002</v>
      </c>
      <c r="O228" s="20">
        <f t="shared" si="5"/>
        <v>41.370799999999996</v>
      </c>
      <c r="P228" s="7"/>
      <c r="Q228" s="13"/>
      <c r="R228" s="14"/>
      <c r="S228" s="14"/>
      <c r="T228" s="27"/>
      <c r="U228" s="28">
        <f t="shared" si="3"/>
        <v>1.5646153846153847</v>
      </c>
    </row>
    <row r="229" spans="2:21" hidden="1" x14ac:dyDescent="0.25">
      <c r="B229" s="6" t="s">
        <v>86</v>
      </c>
      <c r="C229" s="15">
        <v>1500.51</v>
      </c>
      <c r="D229" s="16">
        <v>39.447000000000003</v>
      </c>
      <c r="E229" s="16">
        <v>42.329000000000001</v>
      </c>
      <c r="F229" s="16">
        <v>40.933999999999997</v>
      </c>
      <c r="G229" s="16">
        <v>6.08</v>
      </c>
      <c r="H229" s="16">
        <f t="shared" si="4"/>
        <v>39.993125000000006</v>
      </c>
      <c r="I229" s="5"/>
      <c r="J229" s="15">
        <v>1575.1206999999999</v>
      </c>
      <c r="K229" s="16">
        <v>39.968499999999999</v>
      </c>
      <c r="L229" s="16">
        <v>42.6875</v>
      </c>
      <c r="M229" s="16">
        <v>41.508200000000002</v>
      </c>
      <c r="N229" s="16">
        <v>9.9022000000000006</v>
      </c>
      <c r="O229" s="16">
        <f t="shared" si="5"/>
        <v>40.500837499999996</v>
      </c>
      <c r="P229" s="7"/>
      <c r="Q229" s="8">
        <f>bdrate(C229:C232,D229:D232,J229:J232,K229:K232)</f>
        <v>-7.0015109059009428E-2</v>
      </c>
      <c r="R229" s="8">
        <f>bdrate(C229:C232,E229:E232,J229:J232,L229:L232)</f>
        <v>-4.0900656755989862E-2</v>
      </c>
      <c r="S229" s="8">
        <f>bdrate(C229:C232,F229:F232,J229:J232,M229:M232)</f>
        <v>-7.4453047900965297E-2</v>
      </c>
      <c r="T229" s="25">
        <f>bdrate(C229:C232,H229:H232,J229:J232,O229:O232)</f>
        <v>-6.7439263422124029E-2</v>
      </c>
      <c r="U229" s="28">
        <f t="shared" si="3"/>
        <v>0.62865131578947375</v>
      </c>
    </row>
    <row r="230" spans="2:21" hidden="1" x14ac:dyDescent="0.25">
      <c r="B230" s="9"/>
      <c r="C230" s="17">
        <v>998.17</v>
      </c>
      <c r="D230" s="18">
        <v>37.292000000000002</v>
      </c>
      <c r="E230" s="18">
        <v>40.524999999999999</v>
      </c>
      <c r="F230" s="18">
        <v>39.088000000000001</v>
      </c>
      <c r="G230" s="18">
        <v>6.76</v>
      </c>
      <c r="H230" s="18">
        <f t="shared" si="4"/>
        <v>37.920625000000001</v>
      </c>
      <c r="I230" s="5"/>
      <c r="J230" s="17">
        <v>1050.6522</v>
      </c>
      <c r="K230" s="18">
        <v>37.886899999999997</v>
      </c>
      <c r="L230" s="18">
        <v>40.959899999999998</v>
      </c>
      <c r="M230" s="18">
        <v>39.693600000000004</v>
      </c>
      <c r="N230" s="18">
        <v>11.704599999999999</v>
      </c>
      <c r="O230" s="18">
        <f t="shared" si="5"/>
        <v>38.496862499999999</v>
      </c>
      <c r="P230" s="7"/>
      <c r="Q230" s="10"/>
      <c r="R230" s="11"/>
      <c r="S230" s="11"/>
      <c r="T230" s="26"/>
      <c r="U230" s="28">
        <f t="shared" si="3"/>
        <v>0.73144970414201183</v>
      </c>
    </row>
    <row r="231" spans="2:21" hidden="1" x14ac:dyDescent="0.25">
      <c r="B231" s="9"/>
      <c r="C231" s="17">
        <v>598.98</v>
      </c>
      <c r="D231" s="18">
        <v>34.732999999999997</v>
      </c>
      <c r="E231" s="18">
        <v>38.475999999999999</v>
      </c>
      <c r="F231" s="18">
        <v>37.01</v>
      </c>
      <c r="G231" s="18">
        <v>7.51</v>
      </c>
      <c r="H231" s="18">
        <f t="shared" si="4"/>
        <v>35.485499999999995</v>
      </c>
      <c r="I231" s="5"/>
      <c r="J231" s="17">
        <v>631.14269999999999</v>
      </c>
      <c r="K231" s="18">
        <v>35.371000000000002</v>
      </c>
      <c r="L231" s="18">
        <v>38.835299999999997</v>
      </c>
      <c r="M231" s="18">
        <v>37.508800000000001</v>
      </c>
      <c r="N231" s="18">
        <v>14.0839</v>
      </c>
      <c r="O231" s="18">
        <f t="shared" si="5"/>
        <v>36.071262499999996</v>
      </c>
      <c r="P231" s="7"/>
      <c r="Q231" s="10"/>
      <c r="R231" s="11"/>
      <c r="S231" s="11"/>
      <c r="T231" s="26"/>
      <c r="U231" s="28">
        <f t="shared" si="3"/>
        <v>0.87535286284953395</v>
      </c>
    </row>
    <row r="232" spans="2:21" ht="16.5" hidden="1" thickBot="1" x14ac:dyDescent="0.3">
      <c r="B232" s="12"/>
      <c r="C232" s="19">
        <v>301.75</v>
      </c>
      <c r="D232" s="20">
        <v>31.443000000000001</v>
      </c>
      <c r="E232" s="20">
        <v>35.82</v>
      </c>
      <c r="F232" s="20">
        <v>34.363999999999997</v>
      </c>
      <c r="G232" s="20">
        <v>8.44</v>
      </c>
      <c r="H232" s="20">
        <f t="shared" si="4"/>
        <v>32.355249999999998</v>
      </c>
      <c r="I232" s="5"/>
      <c r="J232" s="19">
        <v>315.68049999999999</v>
      </c>
      <c r="K232" s="20">
        <v>32.043799999999997</v>
      </c>
      <c r="L232" s="20">
        <v>36.135800000000003</v>
      </c>
      <c r="M232" s="20">
        <v>34.808799999999998</v>
      </c>
      <c r="N232" s="20">
        <v>18.4876</v>
      </c>
      <c r="O232" s="20">
        <f t="shared" si="5"/>
        <v>32.900925000000001</v>
      </c>
      <c r="P232" s="7"/>
      <c r="Q232" s="13"/>
      <c r="R232" s="14"/>
      <c r="S232" s="14"/>
      <c r="T232" s="27"/>
      <c r="U232" s="28">
        <f t="shared" si="3"/>
        <v>1.1904739336492893</v>
      </c>
    </row>
    <row r="233" spans="2:21" hidden="1" x14ac:dyDescent="0.25">
      <c r="B233" s="6" t="s">
        <v>87</v>
      </c>
      <c r="C233" s="15">
        <v>1493.21</v>
      </c>
      <c r="D233" s="16">
        <v>37.521000000000001</v>
      </c>
      <c r="E233" s="16">
        <v>42.741999999999997</v>
      </c>
      <c r="F233" s="16">
        <v>42.758000000000003</v>
      </c>
      <c r="G233" s="16">
        <v>6.13</v>
      </c>
      <c r="H233" s="16">
        <f t="shared" si="4"/>
        <v>38.828249999999997</v>
      </c>
      <c r="I233" s="5"/>
      <c r="J233" s="15">
        <v>1577.3152</v>
      </c>
      <c r="K233" s="16">
        <v>37.965000000000003</v>
      </c>
      <c r="L233" s="16">
        <v>43.590800000000002</v>
      </c>
      <c r="M233" s="16">
        <v>43.610900000000001</v>
      </c>
      <c r="N233" s="16">
        <v>12.820499999999999</v>
      </c>
      <c r="O233" s="16">
        <f t="shared" si="5"/>
        <v>39.373962500000005</v>
      </c>
      <c r="P233" s="7"/>
      <c r="Q233" s="8">
        <f>bdrate(C233:C236,D233:D236,J233:J236,K233:K236)</f>
        <v>-0.10438578257269737</v>
      </c>
      <c r="R233" s="8">
        <f>bdrate(C233:C236,E233:E236,J233:J236,L233:L236)</f>
        <v>-0.2694558447630786</v>
      </c>
      <c r="S233" s="8">
        <f>bdrate(C233:C236,F233:F236,J233:J236,M233:M236)</f>
        <v>-0.26568742407395618</v>
      </c>
      <c r="T233" s="25">
        <f>bdrate(C233:C236,H233:H236,J233:J236,O233:O236)</f>
        <v>-0.14553490714333162</v>
      </c>
      <c r="U233" s="28">
        <f t="shared" ref="U233:U260" si="6">(N233-G233)/G233</f>
        <v>1.0914355628058727</v>
      </c>
    </row>
    <row r="234" spans="2:21" hidden="1" x14ac:dyDescent="0.25">
      <c r="B234" s="9"/>
      <c r="C234" s="17">
        <v>992.6</v>
      </c>
      <c r="D234" s="18">
        <v>36.383000000000003</v>
      </c>
      <c r="E234" s="18">
        <v>41.667000000000002</v>
      </c>
      <c r="F234" s="18">
        <v>41.789000000000001</v>
      </c>
      <c r="G234" s="18">
        <v>6.69</v>
      </c>
      <c r="H234" s="18">
        <f t="shared" si="4"/>
        <v>37.719250000000002</v>
      </c>
      <c r="I234" s="5"/>
      <c r="J234" s="17">
        <v>1045.8055999999999</v>
      </c>
      <c r="K234" s="18">
        <v>36.828699999999998</v>
      </c>
      <c r="L234" s="18">
        <v>42.5931</v>
      </c>
      <c r="M234" s="18">
        <v>42.655200000000001</v>
      </c>
      <c r="N234" s="18">
        <v>15.814399999999999</v>
      </c>
      <c r="O234" s="18">
        <f t="shared" si="5"/>
        <v>38.277562499999995</v>
      </c>
      <c r="P234" s="7"/>
      <c r="Q234" s="10"/>
      <c r="R234" s="11"/>
      <c r="S234" s="11"/>
      <c r="T234" s="26"/>
      <c r="U234" s="28">
        <f t="shared" si="6"/>
        <v>1.3638863976083704</v>
      </c>
    </row>
    <row r="235" spans="2:21" hidden="1" x14ac:dyDescent="0.25">
      <c r="B235" s="9"/>
      <c r="C235" s="17">
        <v>590.55999999999995</v>
      </c>
      <c r="D235" s="18">
        <v>35.005000000000003</v>
      </c>
      <c r="E235" s="18">
        <v>40.295000000000002</v>
      </c>
      <c r="F235" s="18">
        <v>40.615000000000002</v>
      </c>
      <c r="G235" s="18">
        <v>7.62</v>
      </c>
      <c r="H235" s="18">
        <f t="shared" si="4"/>
        <v>36.367500000000007</v>
      </c>
      <c r="I235" s="5"/>
      <c r="J235" s="17">
        <v>615.78639999999996</v>
      </c>
      <c r="K235" s="18">
        <v>35.406100000000002</v>
      </c>
      <c r="L235" s="18">
        <v>41.231999999999999</v>
      </c>
      <c r="M235" s="18">
        <v>41.398000000000003</v>
      </c>
      <c r="N235" s="18">
        <v>20.0107</v>
      </c>
      <c r="O235" s="18">
        <f t="shared" si="5"/>
        <v>36.883324999999999</v>
      </c>
      <c r="P235" s="7"/>
      <c r="Q235" s="10"/>
      <c r="R235" s="11"/>
      <c r="S235" s="11"/>
      <c r="T235" s="26"/>
      <c r="U235" s="28">
        <f t="shared" si="6"/>
        <v>1.6260761154855641</v>
      </c>
    </row>
    <row r="236" spans="2:21" ht="16.5" hidden="1" thickBot="1" x14ac:dyDescent="0.3">
      <c r="B236" s="12"/>
      <c r="C236" s="19">
        <v>293.61</v>
      </c>
      <c r="D236" s="20">
        <v>33.182000000000002</v>
      </c>
      <c r="E236" s="20">
        <v>38.521000000000001</v>
      </c>
      <c r="F236" s="20">
        <v>39.04</v>
      </c>
      <c r="G236" s="20">
        <v>8.66</v>
      </c>
      <c r="H236" s="20">
        <f t="shared" si="4"/>
        <v>34.581625000000003</v>
      </c>
      <c r="I236" s="5"/>
      <c r="J236" s="19">
        <v>303.55360000000002</v>
      </c>
      <c r="K236" s="20">
        <v>33.5565</v>
      </c>
      <c r="L236" s="20">
        <v>39.4101</v>
      </c>
      <c r="M236" s="20">
        <v>39.821100000000001</v>
      </c>
      <c r="N236" s="20">
        <v>27.1616</v>
      </c>
      <c r="O236" s="20">
        <f t="shared" si="5"/>
        <v>35.071275</v>
      </c>
      <c r="P236" s="7"/>
      <c r="Q236" s="13"/>
      <c r="R236" s="14"/>
      <c r="S236" s="14"/>
      <c r="T236" s="27"/>
      <c r="U236" s="28">
        <f t="shared" si="6"/>
        <v>2.1364434180138567</v>
      </c>
    </row>
    <row r="237" spans="2:21" hidden="1" x14ac:dyDescent="0.25">
      <c r="B237" s="6" t="s">
        <v>88</v>
      </c>
      <c r="C237" s="15">
        <v>1555.7</v>
      </c>
      <c r="D237" s="16">
        <v>34.429000000000002</v>
      </c>
      <c r="E237" s="16">
        <v>38.887</v>
      </c>
      <c r="F237" s="16">
        <v>41.392000000000003</v>
      </c>
      <c r="G237" s="16">
        <v>6.21</v>
      </c>
      <c r="H237" s="16">
        <f t="shared" si="4"/>
        <v>35.856625000000001</v>
      </c>
      <c r="I237" s="5"/>
      <c r="J237" s="15">
        <v>1543.3016</v>
      </c>
      <c r="K237" s="16">
        <v>34.818899999999999</v>
      </c>
      <c r="L237" s="16">
        <v>39.961500000000001</v>
      </c>
      <c r="M237" s="16">
        <v>42.304200000000002</v>
      </c>
      <c r="N237" s="16">
        <v>15.023999999999999</v>
      </c>
      <c r="O237" s="16">
        <f t="shared" si="5"/>
        <v>36.397387500000001</v>
      </c>
      <c r="P237" s="7"/>
      <c r="Q237" s="8">
        <f>bdrate(C237:C240,D237:D240,J237:J240,K237:K240)</f>
        <v>-0.12544895262663747</v>
      </c>
      <c r="R237" s="8">
        <f>bdrate(C237:C240,E237:E240,J237:J240,L237:L240)</f>
        <v>-0.37071487114337454</v>
      </c>
      <c r="S237" s="8">
        <f>bdrate(C237:C240,F237:F240,J237:J240,M237:M240)</f>
        <v>-0.34247893017989806</v>
      </c>
      <c r="T237" s="25">
        <f>bdrate(C237:C240,H237:H240,J237:J240,O237:O240)</f>
        <v>-0.17229598724982642</v>
      </c>
      <c r="U237" s="28">
        <f t="shared" si="6"/>
        <v>1.4193236714975845</v>
      </c>
    </row>
    <row r="238" spans="2:21" hidden="1" x14ac:dyDescent="0.25">
      <c r="B238" s="9"/>
      <c r="C238" s="17">
        <v>1030.82</v>
      </c>
      <c r="D238" s="18">
        <v>33.353999999999999</v>
      </c>
      <c r="E238" s="18">
        <v>38.048000000000002</v>
      </c>
      <c r="F238" s="18">
        <v>40.707999999999998</v>
      </c>
      <c r="G238" s="18">
        <v>6.92</v>
      </c>
      <c r="H238" s="18">
        <f t="shared" si="4"/>
        <v>34.86</v>
      </c>
      <c r="I238" s="5"/>
      <c r="J238" s="17">
        <v>1028.1288</v>
      </c>
      <c r="K238" s="18">
        <v>33.768599999999999</v>
      </c>
      <c r="L238" s="18">
        <v>38.994799999999998</v>
      </c>
      <c r="M238" s="18">
        <v>41.401800000000001</v>
      </c>
      <c r="N238" s="18">
        <v>19.201799999999999</v>
      </c>
      <c r="O238" s="18">
        <f t="shared" si="5"/>
        <v>35.376024999999998</v>
      </c>
      <c r="P238" s="7"/>
      <c r="Q238" s="10"/>
      <c r="R238" s="11"/>
      <c r="S238" s="11"/>
      <c r="T238" s="26"/>
      <c r="U238" s="28">
        <f t="shared" si="6"/>
        <v>1.7748265895953756</v>
      </c>
    </row>
    <row r="239" spans="2:21" hidden="1" x14ac:dyDescent="0.25">
      <c r="B239" s="9"/>
      <c r="C239" s="17">
        <v>617.26</v>
      </c>
      <c r="D239" s="18">
        <v>32.029000000000003</v>
      </c>
      <c r="E239" s="18">
        <v>37.098999999999997</v>
      </c>
      <c r="F239" s="18">
        <v>39.878999999999998</v>
      </c>
      <c r="G239" s="18">
        <v>7.73</v>
      </c>
      <c r="H239" s="18">
        <f t="shared" si="4"/>
        <v>33.644000000000005</v>
      </c>
      <c r="I239" s="5"/>
      <c r="J239" s="17">
        <v>607.34159999999997</v>
      </c>
      <c r="K239" s="18">
        <v>32.351100000000002</v>
      </c>
      <c r="L239" s="18">
        <v>37.929099999999998</v>
      </c>
      <c r="M239" s="18">
        <v>40.516300000000001</v>
      </c>
      <c r="N239" s="18">
        <v>25.744399999999999</v>
      </c>
      <c r="O239" s="18">
        <f t="shared" si="5"/>
        <v>34.069000000000003</v>
      </c>
      <c r="P239" s="7"/>
      <c r="Q239" s="10"/>
      <c r="R239" s="11"/>
      <c r="S239" s="11"/>
      <c r="T239" s="26"/>
      <c r="U239" s="28">
        <f t="shared" si="6"/>
        <v>2.3304527813712803</v>
      </c>
    </row>
    <row r="240" spans="2:21" ht="16.5" hidden="1" thickBot="1" x14ac:dyDescent="0.3">
      <c r="B240" s="12"/>
      <c r="C240" s="19">
        <v>309.06</v>
      </c>
      <c r="D240" s="20">
        <v>30.219000000000001</v>
      </c>
      <c r="E240" s="20">
        <v>36.012</v>
      </c>
      <c r="F240" s="20">
        <v>38.926000000000002</v>
      </c>
      <c r="G240" s="20">
        <v>8.92</v>
      </c>
      <c r="H240" s="20">
        <f t="shared" si="4"/>
        <v>32.031500000000001</v>
      </c>
      <c r="I240" s="5"/>
      <c r="J240" s="19">
        <v>294.54880000000003</v>
      </c>
      <c r="K240" s="20">
        <v>30.295999999999999</v>
      </c>
      <c r="L240" s="20">
        <v>36.607599999999998</v>
      </c>
      <c r="M240" s="20">
        <v>39.437399999999997</v>
      </c>
      <c r="N240" s="20">
        <v>38.194699999999997</v>
      </c>
      <c r="O240" s="20">
        <f t="shared" si="5"/>
        <v>32.227625000000003</v>
      </c>
      <c r="P240" s="7"/>
      <c r="Q240" s="13"/>
      <c r="R240" s="14"/>
      <c r="S240" s="14"/>
      <c r="T240" s="27"/>
      <c r="U240" s="28">
        <f t="shared" si="6"/>
        <v>3.2819170403587439</v>
      </c>
    </row>
    <row r="241" spans="2:21" hidden="1" x14ac:dyDescent="0.25">
      <c r="B241" s="6" t="s">
        <v>89</v>
      </c>
      <c r="C241" s="15">
        <v>1626.96</v>
      </c>
      <c r="D241" s="16">
        <v>37.072000000000003</v>
      </c>
      <c r="E241" s="16">
        <v>42.350999999999999</v>
      </c>
      <c r="F241" s="16">
        <v>42.106999999999999</v>
      </c>
      <c r="G241" s="16">
        <v>4.46</v>
      </c>
      <c r="H241" s="16">
        <f t="shared" ref="H241:H260" si="7">(6*D241+E241+F241)/8</f>
        <v>38.361249999999998</v>
      </c>
      <c r="I241" s="5"/>
      <c r="J241" s="15">
        <v>1540.3792000000001</v>
      </c>
      <c r="K241" s="16">
        <v>36.947899999999997</v>
      </c>
      <c r="L241" s="16">
        <v>42.299799999999998</v>
      </c>
      <c r="M241" s="16">
        <v>42.189900000000002</v>
      </c>
      <c r="N241" s="16">
        <v>11.9</v>
      </c>
      <c r="O241" s="16">
        <f t="shared" ref="O241:O260" si="8">(6*K241+L241+M241)/8</f>
        <v>38.272137499999999</v>
      </c>
      <c r="P241" s="7"/>
      <c r="Q241" s="8">
        <f>bdrate(C241:C244,D241:D244,J241:J244,K241:K244)</f>
        <v>-2.6610826612733729E-2</v>
      </c>
      <c r="R241" s="8">
        <f>bdrate(C241:C244,E241:E244,J241:J244,L241:L244)</f>
        <v>-0.1447891927812216</v>
      </c>
      <c r="S241" s="8">
        <f>bdrate(C241:C244,F241:F244,J241:J244,M241:M244)</f>
        <v>-0.16733182029630234</v>
      </c>
      <c r="T241" s="25">
        <f>bdrate(C241:C244,H241:H244,J241:J244,O241:O244)</f>
        <v>-6.128618429314947E-2</v>
      </c>
      <c r="U241" s="28">
        <f t="shared" si="6"/>
        <v>1.6681614349775786</v>
      </c>
    </row>
    <row r="242" spans="2:21" hidden="1" x14ac:dyDescent="0.25">
      <c r="B242" s="9"/>
      <c r="C242" s="17">
        <v>1092.1400000000001</v>
      </c>
      <c r="D242" s="18">
        <v>35.942999999999998</v>
      </c>
      <c r="E242" s="18">
        <v>41.558999999999997</v>
      </c>
      <c r="F242" s="18">
        <v>40.898000000000003</v>
      </c>
      <c r="G242" s="18">
        <v>4.9800000000000004</v>
      </c>
      <c r="H242" s="18">
        <f t="shared" si="7"/>
        <v>37.264375000000001</v>
      </c>
      <c r="I242" s="5"/>
      <c r="J242" s="17">
        <v>1024.0655999999999</v>
      </c>
      <c r="K242" s="18">
        <v>35.842100000000002</v>
      </c>
      <c r="L242" s="18">
        <v>41.600200000000001</v>
      </c>
      <c r="M242" s="18">
        <v>41.099299999999999</v>
      </c>
      <c r="N242" s="18">
        <v>14.9481</v>
      </c>
      <c r="O242" s="18">
        <f t="shared" si="8"/>
        <v>37.219012500000005</v>
      </c>
      <c r="P242" s="7"/>
      <c r="Q242" s="10"/>
      <c r="R242" s="11"/>
      <c r="S242" s="11"/>
      <c r="T242" s="26"/>
      <c r="U242" s="28">
        <f t="shared" si="6"/>
        <v>2.0016265060240963</v>
      </c>
    </row>
    <row r="243" spans="2:21" hidden="1" x14ac:dyDescent="0.25">
      <c r="B243" s="9"/>
      <c r="C243" s="17">
        <v>661.32</v>
      </c>
      <c r="D243" s="18">
        <v>34.478000000000002</v>
      </c>
      <c r="E243" s="18">
        <v>40.423000000000002</v>
      </c>
      <c r="F243" s="18">
        <v>39.292999999999999</v>
      </c>
      <c r="G243" s="18">
        <v>5.67</v>
      </c>
      <c r="H243" s="18">
        <f t="shared" si="7"/>
        <v>35.823</v>
      </c>
      <c r="I243" s="5"/>
      <c r="J243" s="17">
        <v>609.78399999999999</v>
      </c>
      <c r="K243" s="18">
        <v>34.323999999999998</v>
      </c>
      <c r="L243" s="18">
        <v>40.606099999999998</v>
      </c>
      <c r="M243" s="18">
        <v>39.630299999999998</v>
      </c>
      <c r="N243" s="18">
        <v>19.523599999999998</v>
      </c>
      <c r="O243" s="18">
        <f t="shared" si="8"/>
        <v>35.772549999999995</v>
      </c>
      <c r="P243" s="7"/>
      <c r="Q243" s="10"/>
      <c r="R243" s="11"/>
      <c r="S243" s="11"/>
      <c r="T243" s="26"/>
      <c r="U243" s="28">
        <f t="shared" si="6"/>
        <v>2.4433156966490297</v>
      </c>
    </row>
    <row r="244" spans="2:21" ht="16.5" hidden="1" thickBot="1" x14ac:dyDescent="0.3">
      <c r="B244" s="12"/>
      <c r="C244" s="19">
        <v>330.82</v>
      </c>
      <c r="D244" s="20">
        <v>32.457000000000001</v>
      </c>
      <c r="E244" s="20">
        <v>38.433</v>
      </c>
      <c r="F244" s="20">
        <v>36.912999999999997</v>
      </c>
      <c r="G244" s="20">
        <v>6.8</v>
      </c>
      <c r="H244" s="20">
        <f t="shared" si="7"/>
        <v>33.761000000000003</v>
      </c>
      <c r="I244" s="5"/>
      <c r="J244" s="19">
        <v>302.83679999999998</v>
      </c>
      <c r="K244" s="20">
        <v>32.278100000000002</v>
      </c>
      <c r="L244" s="20">
        <v>39.137099999999997</v>
      </c>
      <c r="M244" s="20">
        <v>37.707000000000001</v>
      </c>
      <c r="N244" s="20">
        <v>29.137499999999999</v>
      </c>
      <c r="O244" s="20">
        <f t="shared" si="8"/>
        <v>33.814087500000007</v>
      </c>
      <c r="P244" s="7"/>
      <c r="Q244" s="13"/>
      <c r="R244" s="14"/>
      <c r="S244" s="14"/>
      <c r="T244" s="27"/>
      <c r="U244" s="28">
        <f t="shared" si="6"/>
        <v>3.2849264705882351</v>
      </c>
    </row>
    <row r="245" spans="2:21" hidden="1" x14ac:dyDescent="0.25">
      <c r="B245" s="6" t="s">
        <v>90</v>
      </c>
      <c r="C245" s="29">
        <v>1559.21</v>
      </c>
      <c r="D245" s="30">
        <v>47.622</v>
      </c>
      <c r="E245" s="30">
        <v>52.119</v>
      </c>
      <c r="F245" s="30">
        <v>52.36</v>
      </c>
      <c r="G245" s="16">
        <v>5.0199999999999996</v>
      </c>
      <c r="H245" s="16">
        <f t="shared" si="7"/>
        <v>48.776375000000002</v>
      </c>
      <c r="I245" s="5"/>
      <c r="J245" s="29">
        <v>1539.1208999999999</v>
      </c>
      <c r="K245" s="30">
        <v>47.58</v>
      </c>
      <c r="L245" s="30">
        <v>52.309399999999997</v>
      </c>
      <c r="M245" s="30">
        <v>52.500999999999998</v>
      </c>
      <c r="N245" s="16">
        <v>10.4588</v>
      </c>
      <c r="O245" s="16">
        <f t="shared" si="8"/>
        <v>48.786299999999997</v>
      </c>
      <c r="P245" s="7"/>
      <c r="Q245" s="8">
        <f>bdrate(C245:C248,D245:D248,J245:J248,K245:K248)</f>
        <v>-6.4832627176537594E-2</v>
      </c>
      <c r="R245" s="8">
        <f>bdrate(C245:C248,E245:E248,J245:J248,L245:L248)</f>
        <v>-0.16467834363580169</v>
      </c>
      <c r="S245" s="8">
        <f>bdrate(C245:C248,F245:F248,J245:J248,M245:M248)</f>
        <v>-0.151399308336847</v>
      </c>
      <c r="T245" s="25">
        <f>bdrate(C245:C248,H245:H248,J245:J248,O245:O248)</f>
        <v>-8.2573037907429203E-2</v>
      </c>
      <c r="U245" s="28">
        <f t="shared" si="6"/>
        <v>1.0834262948207174</v>
      </c>
    </row>
    <row r="246" spans="2:21" hidden="1" x14ac:dyDescent="0.25">
      <c r="B246" s="9"/>
      <c r="C246" s="31">
        <v>1035.18</v>
      </c>
      <c r="D246" s="32">
        <v>46.398000000000003</v>
      </c>
      <c r="E246" s="32">
        <v>51.348999999999997</v>
      </c>
      <c r="F246" s="32">
        <v>51.506999999999998</v>
      </c>
      <c r="G246" s="18">
        <v>5.8</v>
      </c>
      <c r="H246" s="18">
        <f t="shared" si="7"/>
        <v>47.655500000000004</v>
      </c>
      <c r="I246" s="5"/>
      <c r="J246" s="31">
        <v>1027.2843</v>
      </c>
      <c r="K246" s="32">
        <v>46.523800000000001</v>
      </c>
      <c r="L246" s="32">
        <v>51.650700000000001</v>
      </c>
      <c r="M246" s="32">
        <v>51.789700000000003</v>
      </c>
      <c r="N246" s="18">
        <v>13.1547</v>
      </c>
      <c r="O246" s="18">
        <f t="shared" si="8"/>
        <v>47.822899999999997</v>
      </c>
      <c r="P246" s="7"/>
      <c r="Q246" s="10"/>
      <c r="R246" s="11"/>
      <c r="S246" s="11"/>
      <c r="T246" s="26"/>
      <c r="U246" s="28">
        <f t="shared" si="6"/>
        <v>1.2680517241379312</v>
      </c>
    </row>
    <row r="247" spans="2:21" hidden="1" x14ac:dyDescent="0.25">
      <c r="B247" s="9"/>
      <c r="C247" s="31">
        <v>613.33000000000004</v>
      </c>
      <c r="D247" s="32">
        <v>44.715000000000003</v>
      </c>
      <c r="E247" s="32">
        <v>50.280999999999999</v>
      </c>
      <c r="F247" s="32">
        <v>50.322000000000003</v>
      </c>
      <c r="G247" s="18">
        <v>6.74</v>
      </c>
      <c r="H247" s="18">
        <f t="shared" si="7"/>
        <v>46.111625000000004</v>
      </c>
      <c r="I247" s="5"/>
      <c r="J247" s="31">
        <v>618.64689999999996</v>
      </c>
      <c r="K247" s="32">
        <v>45.006100000000004</v>
      </c>
      <c r="L247" s="32">
        <v>50.684100000000001</v>
      </c>
      <c r="M247" s="32">
        <v>50.7532</v>
      </c>
      <c r="N247" s="18">
        <v>17.584499999999998</v>
      </c>
      <c r="O247" s="18">
        <f t="shared" si="8"/>
        <v>46.434237500000002</v>
      </c>
      <c r="P247" s="7"/>
      <c r="Q247" s="10"/>
      <c r="R247" s="11"/>
      <c r="S247" s="11"/>
      <c r="T247" s="26"/>
      <c r="U247" s="28">
        <f t="shared" si="6"/>
        <v>1.6089762611275962</v>
      </c>
    </row>
    <row r="248" spans="2:21" ht="16.5" hidden="1" thickBot="1" x14ac:dyDescent="0.3">
      <c r="B248" s="12"/>
      <c r="C248" s="33">
        <v>300.38</v>
      </c>
      <c r="D248" s="34">
        <v>42.095999999999997</v>
      </c>
      <c r="E248" s="34">
        <v>48.359000000000002</v>
      </c>
      <c r="F248" s="34">
        <v>48.323</v>
      </c>
      <c r="G248" s="20">
        <v>8.1199999999999992</v>
      </c>
      <c r="H248" s="20">
        <f t="shared" si="7"/>
        <v>43.657249999999991</v>
      </c>
      <c r="I248" s="5"/>
      <c r="J248" s="33">
        <v>300.8039</v>
      </c>
      <c r="K248" s="34">
        <v>42.425699999999999</v>
      </c>
      <c r="L248" s="34">
        <v>48.996499999999997</v>
      </c>
      <c r="M248" s="34">
        <v>48.877200000000002</v>
      </c>
      <c r="N248" s="20">
        <v>25.918199999999999</v>
      </c>
      <c r="O248" s="20">
        <f t="shared" si="8"/>
        <v>44.053487500000003</v>
      </c>
      <c r="P248" s="7"/>
      <c r="Q248" s="13"/>
      <c r="R248" s="14"/>
      <c r="S248" s="14"/>
      <c r="T248" s="27"/>
      <c r="U248" s="28">
        <f t="shared" si="6"/>
        <v>2.1918965517241382</v>
      </c>
    </row>
    <row r="249" spans="2:21" hidden="1" x14ac:dyDescent="0.25">
      <c r="B249" s="6" t="s">
        <v>91</v>
      </c>
      <c r="C249" s="15">
        <v>2355.5300000000002</v>
      </c>
      <c r="D249" s="16">
        <v>43.98</v>
      </c>
      <c r="E249" s="16">
        <v>47.694000000000003</v>
      </c>
      <c r="F249" s="16">
        <v>49.88</v>
      </c>
      <c r="G249" s="16">
        <v>1.81</v>
      </c>
      <c r="H249" s="16">
        <f t="shared" si="7"/>
        <v>45.181750000000001</v>
      </c>
      <c r="I249" s="5"/>
      <c r="J249" s="15">
        <v>2415.8123999999998</v>
      </c>
      <c r="K249" s="16">
        <v>43.995199999999997</v>
      </c>
      <c r="L249" s="16">
        <v>47.779899999999998</v>
      </c>
      <c r="M249" s="16">
        <v>49.895600000000002</v>
      </c>
      <c r="N249" s="16">
        <v>4.4623999999999997</v>
      </c>
      <c r="O249" s="16">
        <f t="shared" si="8"/>
        <v>45.205837499999994</v>
      </c>
      <c r="P249" s="7"/>
      <c r="Q249" s="8">
        <f>bdrate(C249:C252,D249:D252,J249:J252,K249:K252)</f>
        <v>-4.4547832615807748E-3</v>
      </c>
      <c r="R249" s="8">
        <f>bdrate(C249:C252,E249:E252,J249:J252,L249:L252)</f>
        <v>-0.1516945307582156</v>
      </c>
      <c r="S249" s="8">
        <f>bdrate(C249:C252,F249:F252,J249:J252,M249:M252)</f>
        <v>-0.13397548774793799</v>
      </c>
      <c r="T249" s="25">
        <f>bdrate(C249:C252,H249:H252,J249:J252,O249:O252)</f>
        <v>-3.5781118959667735E-2</v>
      </c>
      <c r="U249" s="28">
        <f t="shared" si="6"/>
        <v>1.4654143646408837</v>
      </c>
    </row>
    <row r="250" spans="2:21" hidden="1" x14ac:dyDescent="0.25">
      <c r="B250" s="9"/>
      <c r="C250" s="17">
        <v>1572.07</v>
      </c>
      <c r="D250" s="18">
        <v>42.439</v>
      </c>
      <c r="E250" s="18">
        <v>46.353999999999999</v>
      </c>
      <c r="F250" s="18">
        <v>48.435000000000002</v>
      </c>
      <c r="G250" s="18">
        <v>2.04</v>
      </c>
      <c r="H250" s="18">
        <f t="shared" si="7"/>
        <v>43.677875</v>
      </c>
      <c r="I250" s="5"/>
      <c r="J250" s="17">
        <v>1612.0496000000001</v>
      </c>
      <c r="K250" s="18">
        <v>42.505000000000003</v>
      </c>
      <c r="L250" s="18">
        <v>46.736400000000003</v>
      </c>
      <c r="M250" s="18">
        <v>48.927999999999997</v>
      </c>
      <c r="N250" s="18">
        <v>5.4882</v>
      </c>
      <c r="O250" s="18">
        <f t="shared" si="8"/>
        <v>43.836800000000004</v>
      </c>
      <c r="P250" s="7"/>
      <c r="Q250" s="10"/>
      <c r="R250" s="11"/>
      <c r="S250" s="11"/>
      <c r="T250" s="26"/>
      <c r="U250" s="28">
        <f t="shared" si="6"/>
        <v>1.6902941176470587</v>
      </c>
    </row>
    <row r="251" spans="2:21" hidden="1" x14ac:dyDescent="0.25">
      <c r="B251" s="9"/>
      <c r="C251" s="17">
        <v>985.35</v>
      </c>
      <c r="D251" s="18">
        <v>40.619</v>
      </c>
      <c r="E251" s="18">
        <v>44.942</v>
      </c>
      <c r="F251" s="18">
        <v>47.094999999999999</v>
      </c>
      <c r="G251" s="18">
        <v>2.34</v>
      </c>
      <c r="H251" s="18">
        <f t="shared" si="7"/>
        <v>41.968874999999997</v>
      </c>
      <c r="I251" s="5"/>
      <c r="J251" s="17">
        <v>1003.7184</v>
      </c>
      <c r="K251" s="18">
        <v>40.739899999999999</v>
      </c>
      <c r="L251" s="18">
        <v>45.6432</v>
      </c>
      <c r="M251" s="18">
        <v>47.617199999999997</v>
      </c>
      <c r="N251" s="18">
        <v>6.9067999999999996</v>
      </c>
      <c r="O251" s="18">
        <f t="shared" si="8"/>
        <v>42.212474999999998</v>
      </c>
      <c r="P251" s="7"/>
      <c r="Q251" s="10"/>
      <c r="R251" s="11"/>
      <c r="S251" s="11"/>
      <c r="T251" s="26"/>
      <c r="U251" s="28">
        <f t="shared" si="6"/>
        <v>1.9516239316239317</v>
      </c>
    </row>
    <row r="252" spans="2:21" ht="16.5" hidden="1" thickBot="1" x14ac:dyDescent="0.3">
      <c r="B252" s="12"/>
      <c r="C252" s="19">
        <v>591.86</v>
      </c>
      <c r="D252" s="20">
        <v>38.606000000000002</v>
      </c>
      <c r="E252" s="20">
        <v>43.122999999999998</v>
      </c>
      <c r="F252" s="20">
        <v>45.115000000000002</v>
      </c>
      <c r="G252" s="20">
        <v>2.71</v>
      </c>
      <c r="H252" s="20">
        <f t="shared" si="7"/>
        <v>39.984250000000003</v>
      </c>
      <c r="I252" s="5"/>
      <c r="J252" s="19">
        <v>598.30539999999996</v>
      </c>
      <c r="K252" s="20">
        <v>38.7607</v>
      </c>
      <c r="L252" s="20">
        <v>44.176699999999997</v>
      </c>
      <c r="M252" s="20">
        <v>46.2027</v>
      </c>
      <c r="N252" s="20">
        <v>8.9067000000000007</v>
      </c>
      <c r="O252" s="20">
        <f t="shared" si="8"/>
        <v>40.36795</v>
      </c>
      <c r="P252" s="7"/>
      <c r="Q252" s="13"/>
      <c r="R252" s="14"/>
      <c r="S252" s="14"/>
      <c r="T252" s="27"/>
      <c r="U252" s="28">
        <f t="shared" si="6"/>
        <v>2.2866051660516606</v>
      </c>
    </row>
    <row r="253" spans="2:21" hidden="1" x14ac:dyDescent="0.25">
      <c r="B253" s="6" t="s">
        <v>92</v>
      </c>
      <c r="C253" s="15">
        <v>2234.11</v>
      </c>
      <c r="D253" s="16">
        <v>39.353999999999999</v>
      </c>
      <c r="E253" s="16">
        <v>41.387999999999998</v>
      </c>
      <c r="F253" s="16">
        <v>42.914999999999999</v>
      </c>
      <c r="G253" s="16">
        <v>2.08</v>
      </c>
      <c r="H253" s="16">
        <f t="shared" si="7"/>
        <v>40.053375000000003</v>
      </c>
      <c r="I253" s="5"/>
      <c r="J253" s="15">
        <v>2467.5634</v>
      </c>
      <c r="K253" s="16">
        <v>39.977800000000002</v>
      </c>
      <c r="L253" s="16">
        <v>41.985199999999999</v>
      </c>
      <c r="M253" s="16">
        <v>43.5824</v>
      </c>
      <c r="N253" s="16">
        <v>4.4664000000000001</v>
      </c>
      <c r="O253" s="16">
        <f t="shared" si="8"/>
        <v>40.679300000000005</v>
      </c>
      <c r="P253" s="7"/>
      <c r="Q253" s="8">
        <f>bdrate(C253:C256,D253:D256,J253:J256,K253:K256)</f>
        <v>-0.41355078903934273</v>
      </c>
      <c r="R253" s="8">
        <f>bdrate(C253:C256,E253:E256,J253:J256,L253:L256)</f>
        <v>-0.58686776748877345</v>
      </c>
      <c r="S253" s="8">
        <f>bdrate(C253:C256,F253:F256,J253:J256,M253:M256)</f>
        <v>-0.6171615878909017</v>
      </c>
      <c r="T253" s="25">
        <f>bdrate(C253:C256,H253:H256,J253:J256,O253:O256)</f>
        <v>-0.44815937829145114</v>
      </c>
      <c r="U253" s="28">
        <f t="shared" si="6"/>
        <v>1.1473076923076924</v>
      </c>
    </row>
    <row r="254" spans="2:21" hidden="1" x14ac:dyDescent="0.25">
      <c r="B254" s="9"/>
      <c r="C254" s="17">
        <v>1488.18</v>
      </c>
      <c r="D254" s="18">
        <v>38.622999999999998</v>
      </c>
      <c r="E254" s="18">
        <v>40.975999999999999</v>
      </c>
      <c r="F254" s="18">
        <v>42.494</v>
      </c>
      <c r="G254" s="18">
        <v>2.38</v>
      </c>
      <c r="H254" s="18">
        <f t="shared" si="7"/>
        <v>39.400999999999996</v>
      </c>
      <c r="I254" s="5"/>
      <c r="J254" s="17">
        <v>1624.8131000000001</v>
      </c>
      <c r="K254" s="18">
        <v>39.460099999999997</v>
      </c>
      <c r="L254" s="18">
        <v>41.710299999999997</v>
      </c>
      <c r="M254" s="18">
        <v>43.312100000000001</v>
      </c>
      <c r="N254" s="18">
        <v>6.0671999999999997</v>
      </c>
      <c r="O254" s="18">
        <f t="shared" si="8"/>
        <v>40.222874999999995</v>
      </c>
      <c r="P254" s="7"/>
      <c r="Q254" s="10"/>
      <c r="R254" s="11"/>
      <c r="S254" s="11"/>
      <c r="T254" s="26"/>
      <c r="U254" s="28">
        <f t="shared" si="6"/>
        <v>1.5492436974789916</v>
      </c>
    </row>
    <row r="255" spans="2:21" hidden="1" x14ac:dyDescent="0.25">
      <c r="B255" s="9"/>
      <c r="C255" s="17">
        <v>938.18</v>
      </c>
      <c r="D255" s="18">
        <v>37.734000000000002</v>
      </c>
      <c r="E255" s="18">
        <v>40.469000000000001</v>
      </c>
      <c r="F255" s="18">
        <v>41.875999999999998</v>
      </c>
      <c r="G255" s="18">
        <v>2.76</v>
      </c>
      <c r="H255" s="18">
        <f t="shared" si="7"/>
        <v>38.593624999999996</v>
      </c>
      <c r="I255" s="5"/>
      <c r="J255" s="17">
        <v>969.26679999999999</v>
      </c>
      <c r="K255" s="18">
        <v>38.793700000000001</v>
      </c>
      <c r="L255" s="18">
        <v>41.366799999999998</v>
      </c>
      <c r="M255" s="18">
        <v>42.963200000000001</v>
      </c>
      <c r="N255" s="18">
        <v>7.9584000000000001</v>
      </c>
      <c r="O255" s="18">
        <f t="shared" si="8"/>
        <v>39.636525000000006</v>
      </c>
      <c r="P255" s="7"/>
      <c r="Q255" s="10"/>
      <c r="R255" s="11"/>
      <c r="S255" s="11"/>
      <c r="T255" s="26"/>
      <c r="U255" s="28">
        <f t="shared" si="6"/>
        <v>1.8834782608695655</v>
      </c>
    </row>
    <row r="256" spans="2:21" ht="16.5" hidden="1" thickBot="1" x14ac:dyDescent="0.3">
      <c r="B256" s="12"/>
      <c r="C256" s="19">
        <v>571.04</v>
      </c>
      <c r="D256" s="20">
        <v>36.643000000000001</v>
      </c>
      <c r="E256" s="20">
        <v>39.731000000000002</v>
      </c>
      <c r="F256" s="20">
        <v>41.186999999999998</v>
      </c>
      <c r="G256" s="20">
        <v>3.12</v>
      </c>
      <c r="H256" s="20">
        <f t="shared" si="7"/>
        <v>37.597000000000001</v>
      </c>
      <c r="I256" s="5"/>
      <c r="J256" s="19">
        <v>556.5127</v>
      </c>
      <c r="K256" s="20">
        <v>37.933300000000003</v>
      </c>
      <c r="L256" s="20">
        <v>40.944000000000003</v>
      </c>
      <c r="M256" s="20">
        <v>42.535200000000003</v>
      </c>
      <c r="N256" s="20">
        <v>10.518700000000001</v>
      </c>
      <c r="O256" s="20">
        <f t="shared" si="8"/>
        <v>38.884875000000008</v>
      </c>
      <c r="P256" s="7"/>
      <c r="Q256" s="13"/>
      <c r="R256" s="14"/>
      <c r="S256" s="14"/>
      <c r="T256" s="27"/>
      <c r="U256" s="28">
        <f t="shared" si="6"/>
        <v>2.3713782051282051</v>
      </c>
    </row>
    <row r="257" spans="1:21" hidden="1" x14ac:dyDescent="0.25">
      <c r="B257" s="6" t="s">
        <v>93</v>
      </c>
      <c r="C257" s="15">
        <v>2266.5700000000002</v>
      </c>
      <c r="D257" s="16">
        <v>35.457000000000001</v>
      </c>
      <c r="E257" s="16">
        <v>39.584000000000003</v>
      </c>
      <c r="F257" s="16">
        <v>40.793999999999997</v>
      </c>
      <c r="G257" s="16">
        <v>2.64</v>
      </c>
      <c r="H257" s="16">
        <f t="shared" si="7"/>
        <v>36.64</v>
      </c>
      <c r="I257" s="5"/>
      <c r="J257" s="15">
        <v>2452.3521999999998</v>
      </c>
      <c r="K257" s="16">
        <v>36.397399999999998</v>
      </c>
      <c r="L257" s="16">
        <v>40.795299999999997</v>
      </c>
      <c r="M257" s="16">
        <v>41.969700000000003</v>
      </c>
      <c r="N257" s="16">
        <v>5.5475000000000003</v>
      </c>
      <c r="O257" s="16">
        <f t="shared" si="8"/>
        <v>37.643674999999995</v>
      </c>
      <c r="P257" s="7"/>
      <c r="Q257" s="8">
        <f>bdrate(C257:C260,D257:D260,J257:J260,K257:K260)</f>
        <v>-0.19631817810460261</v>
      </c>
      <c r="R257" s="8">
        <f>bdrate(C257:C260,E257:E260,J257:J260,L257:L260)</f>
        <v>-0.3787532034989155</v>
      </c>
      <c r="S257" s="8">
        <f>bdrate(C257:C260,F257:F260,J257:J260,M257:M260)</f>
        <v>-0.38748737425961843</v>
      </c>
      <c r="T257" s="25">
        <f>bdrate(C257:C260,H257:H260,J257:J260,O257:O260)</f>
        <v>-0.23700505375395753</v>
      </c>
      <c r="U257" s="28">
        <f t="shared" si="6"/>
        <v>1.1013257575757576</v>
      </c>
    </row>
    <row r="258" spans="1:21" hidden="1" x14ac:dyDescent="0.25">
      <c r="B258" s="9"/>
      <c r="C258" s="17">
        <v>1512.89</v>
      </c>
      <c r="D258" s="18">
        <v>33.945999999999998</v>
      </c>
      <c r="E258" s="18">
        <v>38.406999999999996</v>
      </c>
      <c r="F258" s="18">
        <v>39.720999999999997</v>
      </c>
      <c r="G258" s="18">
        <v>2.9</v>
      </c>
      <c r="H258" s="18">
        <f t="shared" si="7"/>
        <v>35.225499999999997</v>
      </c>
      <c r="I258" s="5"/>
      <c r="J258" s="17">
        <v>1641.9087</v>
      </c>
      <c r="K258" s="18">
        <v>34.953299999999999</v>
      </c>
      <c r="L258" s="18">
        <v>39.765799999999999</v>
      </c>
      <c r="M258" s="18">
        <v>41.008099999999999</v>
      </c>
      <c r="N258" s="18">
        <v>6.8019999999999996</v>
      </c>
      <c r="O258" s="18">
        <f t="shared" si="8"/>
        <v>36.311712499999999</v>
      </c>
      <c r="P258" s="7"/>
      <c r="Q258" s="10"/>
      <c r="R258" s="11"/>
      <c r="S258" s="11"/>
      <c r="T258" s="26"/>
      <c r="U258" s="28">
        <f t="shared" si="6"/>
        <v>1.3455172413793102</v>
      </c>
    </row>
    <row r="259" spans="1:21" hidden="1" x14ac:dyDescent="0.25">
      <c r="B259" s="9"/>
      <c r="C259" s="17">
        <v>947.46</v>
      </c>
      <c r="D259" s="18">
        <v>32.32</v>
      </c>
      <c r="E259" s="18">
        <v>37.127000000000002</v>
      </c>
      <c r="F259" s="18">
        <v>38.537999999999997</v>
      </c>
      <c r="G259" s="18">
        <v>3.2</v>
      </c>
      <c r="H259" s="18">
        <f t="shared" si="7"/>
        <v>33.698125000000005</v>
      </c>
      <c r="I259" s="5"/>
      <c r="J259" s="17">
        <v>1025.2175</v>
      </c>
      <c r="K259" s="18">
        <v>33.360300000000002</v>
      </c>
      <c r="L259" s="18">
        <v>38.621899999999997</v>
      </c>
      <c r="M259" s="18">
        <v>39.947899999999997</v>
      </c>
      <c r="N259" s="18">
        <v>8.4978999999999996</v>
      </c>
      <c r="O259" s="18">
        <f t="shared" si="8"/>
        <v>34.841450000000002</v>
      </c>
      <c r="P259" s="7"/>
      <c r="Q259" s="10"/>
      <c r="R259" s="11"/>
      <c r="S259" s="11"/>
      <c r="T259" s="26"/>
      <c r="U259" s="28">
        <f t="shared" si="6"/>
        <v>1.6555937499999998</v>
      </c>
    </row>
    <row r="260" spans="1:21" ht="16.5" hidden="1" thickBot="1" x14ac:dyDescent="0.3">
      <c r="B260" s="12"/>
      <c r="C260" s="19">
        <v>567.69000000000005</v>
      </c>
      <c r="D260" s="20">
        <v>30.747</v>
      </c>
      <c r="E260" s="20">
        <v>35.887999999999998</v>
      </c>
      <c r="F260" s="20">
        <v>37.354999999999997</v>
      </c>
      <c r="G260" s="20">
        <v>3.53</v>
      </c>
      <c r="H260" s="20">
        <f t="shared" si="7"/>
        <v>32.215625000000003</v>
      </c>
      <c r="I260" s="5"/>
      <c r="J260" s="19">
        <v>612.30029999999999</v>
      </c>
      <c r="K260" s="20">
        <v>31.71</v>
      </c>
      <c r="L260" s="20">
        <v>37.478099999999998</v>
      </c>
      <c r="M260" s="20">
        <v>38.902799999999999</v>
      </c>
      <c r="N260" s="20">
        <v>10.849399999999999</v>
      </c>
      <c r="O260" s="20">
        <f t="shared" si="8"/>
        <v>33.330112499999998</v>
      </c>
      <c r="P260" s="7"/>
      <c r="Q260" s="13"/>
      <c r="R260" s="14"/>
      <c r="S260" s="14"/>
      <c r="T260" s="27"/>
      <c r="U260" s="28">
        <f t="shared" si="6"/>
        <v>2.0734844192634561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>AVERAGE(Q9:Q80)</f>
        <v>-0.12734050549893194</v>
      </c>
      <c r="R261" s="21">
        <f t="shared" ref="R261:T261" si="9">AVERAGE(R9:R80)</f>
        <v>-0.35528887118836577</v>
      </c>
      <c r="S261" s="21">
        <f t="shared" si="9"/>
        <v>-0.32426623325642434</v>
      </c>
      <c r="T261" s="21">
        <f t="shared" si="9"/>
        <v>-0.17186586986431895</v>
      </c>
      <c r="U261" s="21">
        <f>AVERAGE(U9:U80)</f>
        <v>1.5496616813048154</v>
      </c>
    </row>
    <row r="263" spans="1:21" s="35" customFormat="1" ht="15.75" customHeight="1" x14ac:dyDescent="0.25">
      <c r="B263" s="68" t="s">
        <v>29</v>
      </c>
      <c r="C263" s="73" t="s">
        <v>162</v>
      </c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5"/>
    </row>
    <row r="264" spans="1:21" s="35" customFormat="1" x14ac:dyDescent="0.25">
      <c r="B264" s="69"/>
      <c r="C264" s="76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8"/>
    </row>
    <row r="265" spans="1:21" ht="16.5" customHeight="1" thickBot="1" x14ac:dyDescent="0.3">
      <c r="C265" s="70" t="s">
        <v>130</v>
      </c>
      <c r="D265" s="71"/>
      <c r="E265" s="71"/>
      <c r="F265" s="71"/>
      <c r="G265" s="71"/>
      <c r="H265" s="71"/>
      <c r="I265" s="5"/>
      <c r="J265" s="70" t="s">
        <v>139</v>
      </c>
      <c r="K265" s="71"/>
      <c r="L265" s="71"/>
      <c r="M265" s="71"/>
      <c r="N265" s="71"/>
      <c r="O265" s="71"/>
      <c r="Q265" s="70" t="s">
        <v>7</v>
      </c>
      <c r="R265" s="71"/>
      <c r="S265" s="72"/>
      <c r="T265" s="36"/>
      <c r="U265" s="79" t="s">
        <v>45</v>
      </c>
    </row>
    <row r="266" spans="1:21" ht="16.5" thickBot="1" x14ac:dyDescent="0.3">
      <c r="C266" s="2" t="s">
        <v>64</v>
      </c>
      <c r="D266" s="3" t="s">
        <v>30</v>
      </c>
      <c r="E266" s="3" t="s">
        <v>31</v>
      </c>
      <c r="F266" s="3" t="s">
        <v>32</v>
      </c>
      <c r="G266" s="3" t="s">
        <v>33</v>
      </c>
      <c r="H266" s="3" t="s">
        <v>34</v>
      </c>
      <c r="I266" s="1"/>
      <c r="J266" s="2" t="s">
        <v>64</v>
      </c>
      <c r="K266" s="3" t="s">
        <v>30</v>
      </c>
      <c r="L266" s="3" t="s">
        <v>31</v>
      </c>
      <c r="M266" s="3" t="s">
        <v>32</v>
      </c>
      <c r="N266" s="3" t="s">
        <v>33</v>
      </c>
      <c r="O266" s="3" t="s">
        <v>34</v>
      </c>
      <c r="Q266" s="2" t="s">
        <v>4</v>
      </c>
      <c r="R266" s="3" t="s">
        <v>5</v>
      </c>
      <c r="S266" s="4" t="s">
        <v>6</v>
      </c>
      <c r="T266" s="24" t="s">
        <v>21</v>
      </c>
      <c r="U266" s="79"/>
    </row>
    <row r="267" spans="1:21" x14ac:dyDescent="0.25">
      <c r="A267" s="6" t="s">
        <v>35</v>
      </c>
      <c r="B267" s="6" t="s">
        <v>46</v>
      </c>
      <c r="C267" s="15">
        <v>3593.51</v>
      </c>
      <c r="D267" s="16">
        <v>37.564999999999998</v>
      </c>
      <c r="E267" s="16">
        <v>38.835000000000001</v>
      </c>
      <c r="F267" s="16">
        <v>41.167999999999999</v>
      </c>
      <c r="G267" s="16">
        <v>4.91</v>
      </c>
      <c r="H267" s="16">
        <f t="shared" ref="H267:H338" si="10">(6*D267+E267+F267)/8</f>
        <v>38.174124999999997</v>
      </c>
      <c r="I267" s="5"/>
      <c r="J267" s="15">
        <v>4063.9712</v>
      </c>
      <c r="K267" s="16">
        <v>38.593699999999998</v>
      </c>
      <c r="L267" s="16">
        <v>39.944299999999998</v>
      </c>
      <c r="M267" s="16">
        <v>42.575600000000001</v>
      </c>
      <c r="N267" s="16">
        <v>10.7143</v>
      </c>
      <c r="O267" s="16">
        <f t="shared" ref="O267:O338" si="11">(6*K267+L267+M267)/8</f>
        <v>39.260262499999996</v>
      </c>
      <c r="P267" s="7"/>
      <c r="Q267" s="8">
        <f>bdrate(C267:C270,D267:D270,J267:J270,K267:K270)</f>
        <v>-0.22043628336119969</v>
      </c>
      <c r="R267" s="8">
        <f>bdrate(C267:C270,E267:E270,J267:J270,L267:L270)</f>
        <v>-0.45291319328006452</v>
      </c>
      <c r="S267" s="8">
        <f>bdrate(C267:C270,F267:F270,J267:J270,M267:M270)</f>
        <v>-0.42956977693780307</v>
      </c>
      <c r="T267" s="25">
        <f>bdrate(C267:C270,H267:H270,J267:J270,O267:O270)</f>
        <v>-0.26218209226445288</v>
      </c>
      <c r="U267" s="28">
        <f t="shared" ref="U267:U330" si="12">(N267-G267)/G267</f>
        <v>1.1821384928716903</v>
      </c>
    </row>
    <row r="268" spans="1:21" x14ac:dyDescent="0.25">
      <c r="A268" s="9" t="s">
        <v>36</v>
      </c>
      <c r="B268" s="9"/>
      <c r="C268" s="17">
        <v>2651.32</v>
      </c>
      <c r="D268" s="18">
        <v>36.5</v>
      </c>
      <c r="E268" s="18">
        <v>38.131</v>
      </c>
      <c r="F268" s="18">
        <v>40.478999999999999</v>
      </c>
      <c r="G268" s="18">
        <v>5.27</v>
      </c>
      <c r="H268" s="18">
        <f t="shared" si="10"/>
        <v>37.201249999999995</v>
      </c>
      <c r="I268" s="5"/>
      <c r="J268" s="17">
        <v>2926.96</v>
      </c>
      <c r="K268" s="18">
        <v>37.5916</v>
      </c>
      <c r="L268" s="18">
        <v>39.388399999999997</v>
      </c>
      <c r="M268" s="18">
        <v>41.8566</v>
      </c>
      <c r="N268" s="18">
        <v>13.466200000000001</v>
      </c>
      <c r="O268" s="18">
        <f t="shared" si="11"/>
        <v>38.349325</v>
      </c>
      <c r="P268" s="7"/>
      <c r="Q268" s="10"/>
      <c r="R268" s="11"/>
      <c r="S268" s="11"/>
      <c r="T268" s="26"/>
      <c r="U268" s="28">
        <f t="shared" si="12"/>
        <v>1.5552561669829226</v>
      </c>
    </row>
    <row r="269" spans="1:21" x14ac:dyDescent="0.25">
      <c r="B269" s="9"/>
      <c r="C269" s="17">
        <v>1738.59</v>
      </c>
      <c r="D269" s="18">
        <v>34.926000000000002</v>
      </c>
      <c r="E269" s="18">
        <v>37.171999999999997</v>
      </c>
      <c r="F269" s="18">
        <v>39.520000000000003</v>
      </c>
      <c r="G269" s="18">
        <v>5.78</v>
      </c>
      <c r="H269" s="18">
        <f t="shared" si="10"/>
        <v>35.780999999999999</v>
      </c>
      <c r="I269" s="5"/>
      <c r="J269" s="17">
        <v>1912.5648000000001</v>
      </c>
      <c r="K269" s="18">
        <v>36.218000000000004</v>
      </c>
      <c r="L269" s="18">
        <v>38.666200000000003</v>
      </c>
      <c r="M269" s="18">
        <v>40.992600000000003</v>
      </c>
      <c r="N269" s="18">
        <v>15.9727</v>
      </c>
      <c r="O269" s="18">
        <f t="shared" si="11"/>
        <v>37.120850000000004</v>
      </c>
      <c r="P269" s="7"/>
      <c r="Q269" s="10"/>
      <c r="R269" s="11"/>
      <c r="S269" s="11"/>
      <c r="T269" s="26"/>
      <c r="U269" s="28">
        <f t="shared" si="12"/>
        <v>1.7634429065743942</v>
      </c>
    </row>
    <row r="270" spans="1:21" ht="16.5" thickBot="1" x14ac:dyDescent="0.3">
      <c r="B270" s="12"/>
      <c r="C270" s="19">
        <v>869.15</v>
      </c>
      <c r="D270" s="20">
        <v>32.526000000000003</v>
      </c>
      <c r="E270" s="20">
        <v>35.954999999999998</v>
      </c>
      <c r="F270" s="20">
        <v>38.314999999999998</v>
      </c>
      <c r="G270" s="20">
        <v>6.59</v>
      </c>
      <c r="H270" s="20">
        <f t="shared" si="10"/>
        <v>33.678249999999998</v>
      </c>
      <c r="I270" s="5"/>
      <c r="J270" s="19">
        <v>919.38080000000002</v>
      </c>
      <c r="K270" s="20">
        <v>33.4861</v>
      </c>
      <c r="L270" s="20">
        <v>37.1265</v>
      </c>
      <c r="M270" s="20">
        <v>39.324599999999997</v>
      </c>
      <c r="N270" s="20">
        <v>22.255199999999999</v>
      </c>
      <c r="O270" s="20">
        <f t="shared" si="11"/>
        <v>34.670962500000002</v>
      </c>
      <c r="P270" s="7"/>
      <c r="Q270" s="13"/>
      <c r="R270" s="14"/>
      <c r="S270" s="14"/>
      <c r="T270" s="27"/>
      <c r="U270" s="28">
        <f t="shared" si="12"/>
        <v>2.3771168437025794</v>
      </c>
    </row>
    <row r="271" spans="1:21" x14ac:dyDescent="0.25">
      <c r="B271" s="6" t="s">
        <v>47</v>
      </c>
      <c r="C271" s="15">
        <v>4031.57</v>
      </c>
      <c r="D271" s="16">
        <v>30.195</v>
      </c>
      <c r="E271" s="16">
        <v>38.146000000000001</v>
      </c>
      <c r="F271" s="16">
        <v>39.433</v>
      </c>
      <c r="G271" s="16">
        <v>3.26</v>
      </c>
      <c r="H271" s="16">
        <f t="shared" si="10"/>
        <v>32.343625000000003</v>
      </c>
      <c r="I271" s="5"/>
      <c r="J271" s="15">
        <v>4173.576</v>
      </c>
      <c r="K271" s="16">
        <v>30.033200000000001</v>
      </c>
      <c r="L271" s="16">
        <v>40.123899999999999</v>
      </c>
      <c r="M271" s="16">
        <v>40.991500000000002</v>
      </c>
      <c r="N271" s="16">
        <v>7.6308999999999996</v>
      </c>
      <c r="O271" s="16">
        <f t="shared" si="11"/>
        <v>32.664325000000005</v>
      </c>
      <c r="P271" s="7"/>
      <c r="Q271" s="8">
        <f>bdrate(C271:C274,D271:D274,J271:J274,K271:K274)</f>
        <v>4.0737422230774145E-2</v>
      </c>
      <c r="R271" s="8">
        <f>bdrate(C271:C274,E271:E274,J271:J274,L271:L274)</f>
        <v>-0.53880938247679344</v>
      </c>
      <c r="S271" s="8">
        <f>bdrate(C271:C274,F271:F274,J271:J274,M271:M274)</f>
        <v>-0.50100588147301661</v>
      </c>
      <c r="T271" s="25">
        <f>bdrate(C271:C274,H271:H274,J271:J274,O271:O274)</f>
        <v>-7.5512679040968589E-2</v>
      </c>
      <c r="U271" s="28">
        <f t="shared" si="12"/>
        <v>1.3407668711656442</v>
      </c>
    </row>
    <row r="272" spans="1:21" x14ac:dyDescent="0.25">
      <c r="B272" s="9"/>
      <c r="C272" s="17">
        <v>3011.91</v>
      </c>
      <c r="D272" s="18">
        <v>28.815000000000001</v>
      </c>
      <c r="E272" s="18">
        <v>37.402999999999999</v>
      </c>
      <c r="F272" s="18">
        <v>38.771999999999998</v>
      </c>
      <c r="G272" s="18">
        <v>3.68</v>
      </c>
      <c r="H272" s="18">
        <f t="shared" si="10"/>
        <v>31.133125</v>
      </c>
      <c r="I272" s="5"/>
      <c r="J272" s="17">
        <v>3111.3984</v>
      </c>
      <c r="K272" s="18">
        <v>28.690999999999999</v>
      </c>
      <c r="L272" s="18">
        <v>39.497700000000002</v>
      </c>
      <c r="M272" s="18">
        <v>40.476999999999997</v>
      </c>
      <c r="N272" s="18">
        <v>9.2012999999999998</v>
      </c>
      <c r="O272" s="18">
        <f t="shared" si="11"/>
        <v>31.5150875</v>
      </c>
      <c r="P272" s="7"/>
      <c r="Q272" s="10"/>
      <c r="R272" s="11"/>
      <c r="S272" s="11"/>
      <c r="T272" s="26"/>
      <c r="U272" s="28">
        <f t="shared" si="12"/>
        <v>1.5003532608695651</v>
      </c>
    </row>
    <row r="273" spans="1:21" x14ac:dyDescent="0.25">
      <c r="B273" s="9"/>
      <c r="C273" s="17">
        <v>1992.63</v>
      </c>
      <c r="D273" s="18">
        <v>26.986999999999998</v>
      </c>
      <c r="E273" s="18">
        <v>36.372</v>
      </c>
      <c r="F273" s="18">
        <v>37.817999999999998</v>
      </c>
      <c r="G273" s="18">
        <v>4.1900000000000004</v>
      </c>
      <c r="H273" s="18">
        <f t="shared" si="10"/>
        <v>29.513999999999996</v>
      </c>
      <c r="I273" s="5"/>
      <c r="J273" s="17">
        <v>2093.5855999999999</v>
      </c>
      <c r="K273" s="18">
        <v>26.9421</v>
      </c>
      <c r="L273" s="18">
        <v>38.5471</v>
      </c>
      <c r="M273" s="18">
        <v>39.636600000000001</v>
      </c>
      <c r="N273" s="18">
        <v>11.250299999999999</v>
      </c>
      <c r="O273" s="18">
        <f t="shared" si="11"/>
        <v>29.979537499999999</v>
      </c>
      <c r="P273" s="7"/>
      <c r="Q273" s="10"/>
      <c r="R273" s="11"/>
      <c r="S273" s="11"/>
      <c r="T273" s="26"/>
      <c r="U273" s="28">
        <f t="shared" si="12"/>
        <v>1.6850357995226726</v>
      </c>
    </row>
    <row r="274" spans="1:21" ht="16.5" thickBot="1" x14ac:dyDescent="0.3">
      <c r="B274" s="12"/>
      <c r="C274" s="19">
        <v>1335.31</v>
      </c>
      <c r="D274" s="20">
        <v>24.492999999999999</v>
      </c>
      <c r="E274" s="20">
        <v>34.747999999999998</v>
      </c>
      <c r="F274" s="20">
        <v>36.436</v>
      </c>
      <c r="G274" s="20">
        <v>5.98</v>
      </c>
      <c r="H274" s="20">
        <f t="shared" si="10"/>
        <v>27.267749999999999</v>
      </c>
      <c r="I274" s="5"/>
      <c r="J274" s="19">
        <v>1366.0416</v>
      </c>
      <c r="K274" s="20">
        <v>25.489799999999999</v>
      </c>
      <c r="L274" s="20">
        <v>37.2669</v>
      </c>
      <c r="M274" s="20">
        <v>38.422699999999999</v>
      </c>
      <c r="N274" s="20">
        <v>13.081</v>
      </c>
      <c r="O274" s="20">
        <f t="shared" si="11"/>
        <v>28.578549999999996</v>
      </c>
      <c r="P274" s="7"/>
      <c r="Q274" s="13"/>
      <c r="R274" s="14"/>
      <c r="S274" s="14"/>
      <c r="T274" s="27"/>
      <c r="U274" s="28">
        <f t="shared" si="12"/>
        <v>1.1874581939799329</v>
      </c>
    </row>
    <row r="275" spans="1:21" x14ac:dyDescent="0.25">
      <c r="A275" s="6" t="s">
        <v>37</v>
      </c>
      <c r="B275" s="6" t="s">
        <v>48</v>
      </c>
      <c r="C275" s="15">
        <v>1992.48</v>
      </c>
      <c r="D275" s="16">
        <v>39.274000000000001</v>
      </c>
      <c r="E275" s="16">
        <v>41.499000000000002</v>
      </c>
      <c r="F275" s="16">
        <v>42.741999999999997</v>
      </c>
      <c r="G275" s="16">
        <v>6.17</v>
      </c>
      <c r="H275" s="16">
        <f t="shared" si="10"/>
        <v>39.985625000000006</v>
      </c>
      <c r="I275" s="5"/>
      <c r="J275" s="15">
        <v>2439.9416000000001</v>
      </c>
      <c r="K275" s="16">
        <v>39.471699999999998</v>
      </c>
      <c r="L275" s="16">
        <v>42.1111</v>
      </c>
      <c r="M275" s="16">
        <v>43.602699999999999</v>
      </c>
      <c r="N275" s="16">
        <v>16.469899999999999</v>
      </c>
      <c r="O275" s="16">
        <f t="shared" si="11"/>
        <v>40.317999999999998</v>
      </c>
      <c r="P275" s="7"/>
      <c r="Q275" s="8">
        <f>bdrate(C275:C278,D275:D278,J275:J278,K275:K278)</f>
        <v>5.8007385515840282E-2</v>
      </c>
      <c r="R275" s="8">
        <f>bdrate(C275:C278,E275:E278,J275:J278,L275:L278)</f>
        <v>-0.26401794898196651</v>
      </c>
      <c r="S275" s="8">
        <f>bdrate(C275:C278,F275:F278,J275:J278,M275:M278)</f>
        <v>-0.28581917481792951</v>
      </c>
      <c r="T275" s="25">
        <f>bdrate(C275:C278,H275:H278,J275:J278,O275:O278)</f>
        <v>-3.5616936591695847E-3</v>
      </c>
      <c r="U275" s="28">
        <f t="shared" si="12"/>
        <v>1.6693517017828199</v>
      </c>
    </row>
    <row r="276" spans="1:21" x14ac:dyDescent="0.25">
      <c r="A276" s="9" t="s">
        <v>38</v>
      </c>
      <c r="B276" s="9"/>
      <c r="C276" s="17">
        <v>1306.7</v>
      </c>
      <c r="D276" s="18">
        <v>37.917999999999999</v>
      </c>
      <c r="E276" s="18">
        <v>40.612000000000002</v>
      </c>
      <c r="F276" s="18">
        <v>41.816000000000003</v>
      </c>
      <c r="G276" s="18">
        <v>6.97</v>
      </c>
      <c r="H276" s="18">
        <f t="shared" si="10"/>
        <v>38.742000000000004</v>
      </c>
      <c r="I276" s="5"/>
      <c r="J276" s="17">
        <v>1615.2496000000001</v>
      </c>
      <c r="K276" s="18">
        <v>38.323599999999999</v>
      </c>
      <c r="L276" s="18">
        <v>41.458199999999998</v>
      </c>
      <c r="M276" s="18">
        <v>42.806199999999997</v>
      </c>
      <c r="N276" s="18">
        <v>20.401199999999999</v>
      </c>
      <c r="O276" s="18">
        <f t="shared" si="11"/>
        <v>39.275749999999995</v>
      </c>
      <c r="P276" s="7"/>
      <c r="Q276" s="10"/>
      <c r="R276" s="11"/>
      <c r="S276" s="11"/>
      <c r="T276" s="26"/>
      <c r="U276" s="28">
        <f t="shared" si="12"/>
        <v>1.9270014347202298</v>
      </c>
    </row>
    <row r="277" spans="1:21" x14ac:dyDescent="0.25">
      <c r="B277" s="9"/>
      <c r="C277" s="17">
        <v>810.76</v>
      </c>
      <c r="D277" s="18">
        <v>36.252000000000002</v>
      </c>
      <c r="E277" s="18">
        <v>39.655000000000001</v>
      </c>
      <c r="F277" s="18">
        <v>40.923999999999999</v>
      </c>
      <c r="G277" s="18">
        <v>8.01</v>
      </c>
      <c r="H277" s="18">
        <f t="shared" si="10"/>
        <v>37.261375000000001</v>
      </c>
      <c r="I277" s="5"/>
      <c r="J277" s="17">
        <v>988.2672</v>
      </c>
      <c r="K277" s="18">
        <v>36.8033</v>
      </c>
      <c r="L277" s="18">
        <v>40.6646</v>
      </c>
      <c r="M277" s="18">
        <v>41.924999999999997</v>
      </c>
      <c r="N277" s="18">
        <v>25.212700000000002</v>
      </c>
      <c r="O277" s="18">
        <f t="shared" si="11"/>
        <v>37.926175000000001</v>
      </c>
      <c r="P277" s="7"/>
      <c r="Q277" s="10"/>
      <c r="R277" s="11"/>
      <c r="S277" s="11"/>
      <c r="T277" s="26"/>
      <c r="U277" s="28">
        <f t="shared" si="12"/>
        <v>2.1476529338327093</v>
      </c>
    </row>
    <row r="278" spans="1:21" ht="16.5" thickBot="1" x14ac:dyDescent="0.3">
      <c r="B278" s="12"/>
      <c r="C278" s="19">
        <v>482.11</v>
      </c>
      <c r="D278" s="20">
        <v>34.404000000000003</v>
      </c>
      <c r="E278" s="20">
        <v>38.639000000000003</v>
      </c>
      <c r="F278" s="20">
        <v>40.070999999999998</v>
      </c>
      <c r="G278" s="20">
        <v>9.2200000000000006</v>
      </c>
      <c r="H278" s="20">
        <f t="shared" si="10"/>
        <v>35.641750000000002</v>
      </c>
      <c r="I278" s="5"/>
      <c r="J278" s="19">
        <v>575.65920000000006</v>
      </c>
      <c r="K278" s="20">
        <v>35.0169</v>
      </c>
      <c r="L278" s="20">
        <v>39.832000000000001</v>
      </c>
      <c r="M278" s="20">
        <v>41.089100000000002</v>
      </c>
      <c r="N278" s="20">
        <v>31.0639</v>
      </c>
      <c r="O278" s="20">
        <f t="shared" si="11"/>
        <v>36.377812500000005</v>
      </c>
      <c r="P278" s="7"/>
      <c r="Q278" s="13"/>
      <c r="R278" s="14"/>
      <c r="S278" s="14"/>
      <c r="T278" s="27"/>
      <c r="U278" s="28">
        <f t="shared" si="12"/>
        <v>2.3691865509761385</v>
      </c>
    </row>
    <row r="279" spans="1:21" x14ac:dyDescent="0.25">
      <c r="B279" s="6" t="s">
        <v>49</v>
      </c>
      <c r="C279" s="15">
        <v>2230.36</v>
      </c>
      <c r="D279" s="16">
        <v>36.182000000000002</v>
      </c>
      <c r="E279" s="16">
        <v>39.292000000000002</v>
      </c>
      <c r="F279" s="16">
        <v>40.322000000000003</v>
      </c>
      <c r="G279" s="16">
        <v>7.82</v>
      </c>
      <c r="H279" s="16">
        <f t="shared" si="10"/>
        <v>37.088250000000002</v>
      </c>
      <c r="I279" s="5"/>
      <c r="J279" s="15">
        <v>2528.3184000000001</v>
      </c>
      <c r="K279" s="16">
        <v>36.708199999999998</v>
      </c>
      <c r="L279" s="16">
        <v>40.320799999999998</v>
      </c>
      <c r="M279" s="16">
        <v>41.547400000000003</v>
      </c>
      <c r="N279" s="16">
        <v>16.6309</v>
      </c>
      <c r="O279" s="16">
        <f t="shared" si="11"/>
        <v>37.764674999999997</v>
      </c>
      <c r="P279" s="7"/>
      <c r="Q279" s="8">
        <f>bdrate(C279:C282,D279:D282,J279:J282,K279:K282)</f>
        <v>-6.2403007697012125E-2</v>
      </c>
      <c r="R279" s="8">
        <f>bdrate(C279:C282,E279:E282,J279:J282,L279:L282)</f>
        <v>-0.35454524708544233</v>
      </c>
      <c r="S279" s="8">
        <f>bdrate(C279:C282,F279:F282,J279:J282,M279:M282)</f>
        <v>-0.38850521163443119</v>
      </c>
      <c r="T279" s="25">
        <f>bdrate(C279:C282,H279:H282,J279:J282,O279:O282)</f>
        <v>-0.12357431127290308</v>
      </c>
      <c r="U279" s="28">
        <f t="shared" si="12"/>
        <v>1.1267135549872123</v>
      </c>
    </row>
    <row r="280" spans="1:21" x14ac:dyDescent="0.25">
      <c r="B280" s="9"/>
      <c r="C280" s="17">
        <v>1482.63</v>
      </c>
      <c r="D280" s="18">
        <v>34.841000000000001</v>
      </c>
      <c r="E280" s="18">
        <v>38.313000000000002</v>
      </c>
      <c r="F280" s="18">
        <v>39.506</v>
      </c>
      <c r="G280" s="18">
        <v>8.6300000000000008</v>
      </c>
      <c r="H280" s="18">
        <f t="shared" si="10"/>
        <v>35.858125000000001</v>
      </c>
      <c r="I280" s="5"/>
      <c r="J280" s="17">
        <v>1684.8768</v>
      </c>
      <c r="K280" s="18">
        <v>35.440600000000003</v>
      </c>
      <c r="L280" s="18">
        <v>39.509</v>
      </c>
      <c r="M280" s="18">
        <v>40.735399999999998</v>
      </c>
      <c r="N280" s="18">
        <v>20.927800000000001</v>
      </c>
      <c r="O280" s="18">
        <f t="shared" si="11"/>
        <v>36.611000000000004</v>
      </c>
      <c r="P280" s="7"/>
      <c r="Q280" s="10"/>
      <c r="R280" s="11"/>
      <c r="S280" s="11"/>
      <c r="T280" s="26"/>
      <c r="U280" s="28">
        <f t="shared" si="12"/>
        <v>1.4250057937427578</v>
      </c>
    </row>
    <row r="281" spans="1:21" x14ac:dyDescent="0.25">
      <c r="B281" s="9"/>
      <c r="C281" s="17">
        <v>924.19</v>
      </c>
      <c r="D281" s="18">
        <v>33.311</v>
      </c>
      <c r="E281" s="18">
        <v>37.277999999999999</v>
      </c>
      <c r="F281" s="18">
        <v>38.784999999999997</v>
      </c>
      <c r="G281" s="18">
        <v>9.4600000000000009</v>
      </c>
      <c r="H281" s="18">
        <f t="shared" si="10"/>
        <v>34.491124999999997</v>
      </c>
      <c r="I281" s="5"/>
      <c r="J281" s="17">
        <v>1044.0952</v>
      </c>
      <c r="K281" s="18">
        <v>33.927799999999998</v>
      </c>
      <c r="L281" s="18">
        <v>38.506399999999999</v>
      </c>
      <c r="M281" s="18">
        <v>39.774999999999999</v>
      </c>
      <c r="N281" s="18">
        <v>25.943100000000001</v>
      </c>
      <c r="O281" s="18">
        <f t="shared" si="11"/>
        <v>35.231024999999995</v>
      </c>
      <c r="P281" s="7"/>
      <c r="Q281" s="10"/>
      <c r="R281" s="11"/>
      <c r="S281" s="11"/>
      <c r="T281" s="26"/>
      <c r="U281" s="28">
        <f t="shared" si="12"/>
        <v>1.7423995771670189</v>
      </c>
    </row>
    <row r="282" spans="1:21" ht="16.5" thickBot="1" x14ac:dyDescent="0.3">
      <c r="B282" s="12"/>
      <c r="C282" s="19">
        <v>553.87</v>
      </c>
      <c r="D282" s="20">
        <v>31.756</v>
      </c>
      <c r="E282" s="20">
        <v>36.320999999999998</v>
      </c>
      <c r="F282" s="20">
        <v>38.165999999999997</v>
      </c>
      <c r="G282" s="20">
        <v>10.31</v>
      </c>
      <c r="H282" s="20">
        <f t="shared" si="10"/>
        <v>33.127875000000003</v>
      </c>
      <c r="I282" s="5"/>
      <c r="J282" s="19">
        <v>614.62159999999994</v>
      </c>
      <c r="K282" s="20">
        <v>32.261499999999998</v>
      </c>
      <c r="L282" s="20">
        <v>37.405900000000003</v>
      </c>
      <c r="M282" s="20">
        <v>38.8658</v>
      </c>
      <c r="N282" s="20">
        <v>32.591000000000001</v>
      </c>
      <c r="O282" s="20">
        <f t="shared" si="11"/>
        <v>33.730087499999996</v>
      </c>
      <c r="P282" s="7"/>
      <c r="Q282" s="13"/>
      <c r="R282" s="14"/>
      <c r="S282" s="14"/>
      <c r="T282" s="27"/>
      <c r="U282" s="28">
        <f t="shared" si="12"/>
        <v>2.1611057225994177</v>
      </c>
    </row>
    <row r="283" spans="1:21" x14ac:dyDescent="0.25">
      <c r="B283" s="6" t="s">
        <v>50</v>
      </c>
      <c r="C283" s="15">
        <v>2351.63</v>
      </c>
      <c r="D283" s="16">
        <v>34.085999999999999</v>
      </c>
      <c r="E283" s="16">
        <v>37.469000000000001</v>
      </c>
      <c r="F283" s="16">
        <v>38.905999999999999</v>
      </c>
      <c r="G283" s="16">
        <v>9.01</v>
      </c>
      <c r="H283" s="16">
        <f t="shared" si="10"/>
        <v>35.111374999999995</v>
      </c>
      <c r="I283" s="5"/>
      <c r="J283" s="15">
        <v>2473.3879999999999</v>
      </c>
      <c r="K283" s="16">
        <v>34.957700000000003</v>
      </c>
      <c r="L283" s="16">
        <v>38.369</v>
      </c>
      <c r="M283" s="16">
        <v>40.622500000000002</v>
      </c>
      <c r="N283" s="16">
        <v>21.835999999999999</v>
      </c>
      <c r="O283" s="16">
        <f t="shared" si="11"/>
        <v>36.092212500000002</v>
      </c>
      <c r="P283" s="7"/>
      <c r="Q283" s="8">
        <f>bdrate(C283:C286,D283:D286,J283:J286,K283:K286)</f>
        <v>-0.25940335365008182</v>
      </c>
      <c r="R283" s="8">
        <f>bdrate(C283:C286,E283:E286,J283:J286,L283:L286)</f>
        <v>-0.51120110924650786</v>
      </c>
      <c r="S283" s="8">
        <f>bdrate(C283:C286,F283:F286,J283:J286,M283:M286)</f>
        <v>-0.48176243931439133</v>
      </c>
      <c r="T283" s="25">
        <f>bdrate(C283:C286,H283:H286,J283:J286,O283:O286)</f>
        <v>-0.30494861441711774</v>
      </c>
      <c r="U283" s="28">
        <f t="shared" si="12"/>
        <v>1.4235294117647057</v>
      </c>
    </row>
    <row r="284" spans="1:21" x14ac:dyDescent="0.25">
      <c r="B284" s="9"/>
      <c r="C284" s="17">
        <v>1572.68</v>
      </c>
      <c r="D284" s="18">
        <v>32.734000000000002</v>
      </c>
      <c r="E284" s="18">
        <v>36.783999999999999</v>
      </c>
      <c r="F284" s="18">
        <v>37.914999999999999</v>
      </c>
      <c r="G284" s="18">
        <v>9.74</v>
      </c>
      <c r="H284" s="18">
        <f t="shared" si="10"/>
        <v>33.887875000000001</v>
      </c>
      <c r="I284" s="5"/>
      <c r="J284" s="17">
        <v>1645.1487999999999</v>
      </c>
      <c r="K284" s="18">
        <v>33.859900000000003</v>
      </c>
      <c r="L284" s="18">
        <v>37.918700000000001</v>
      </c>
      <c r="M284" s="18">
        <v>39.681600000000003</v>
      </c>
      <c r="N284" s="18">
        <v>27.110600000000002</v>
      </c>
      <c r="O284" s="18">
        <f t="shared" si="11"/>
        <v>35.094962500000001</v>
      </c>
      <c r="P284" s="7"/>
      <c r="Q284" s="10"/>
      <c r="R284" s="11"/>
      <c r="S284" s="11"/>
      <c r="T284" s="26"/>
      <c r="U284" s="28">
        <f t="shared" si="12"/>
        <v>1.7834291581108832</v>
      </c>
    </row>
    <row r="285" spans="1:21" x14ac:dyDescent="0.25">
      <c r="B285" s="9"/>
      <c r="C285" s="17">
        <v>979.59</v>
      </c>
      <c r="D285" s="18">
        <v>31.238</v>
      </c>
      <c r="E285" s="18">
        <v>36.137999999999998</v>
      </c>
      <c r="F285" s="18">
        <v>36.929000000000002</v>
      </c>
      <c r="G285" s="18">
        <v>10.88</v>
      </c>
      <c r="H285" s="18">
        <f t="shared" si="10"/>
        <v>32.561875000000001</v>
      </c>
      <c r="I285" s="5"/>
      <c r="J285" s="17">
        <v>1024.3496</v>
      </c>
      <c r="K285" s="18">
        <v>32.346899999999998</v>
      </c>
      <c r="L285" s="18">
        <v>37.250799999999998</v>
      </c>
      <c r="M285" s="18">
        <v>38.489100000000001</v>
      </c>
      <c r="N285" s="18">
        <v>33.413499999999999</v>
      </c>
      <c r="O285" s="18">
        <f t="shared" si="11"/>
        <v>33.727662499999994</v>
      </c>
      <c r="P285" s="7"/>
      <c r="Q285" s="10"/>
      <c r="R285" s="11"/>
      <c r="S285" s="11"/>
      <c r="T285" s="26"/>
      <c r="U285" s="28">
        <f t="shared" si="12"/>
        <v>2.0710937499999997</v>
      </c>
    </row>
    <row r="286" spans="1:21" ht="16.5" thickBot="1" x14ac:dyDescent="0.3">
      <c r="B286" s="12"/>
      <c r="C286" s="19">
        <v>585.03</v>
      </c>
      <c r="D286" s="20">
        <v>29.771999999999998</v>
      </c>
      <c r="E286" s="20">
        <v>35.329000000000001</v>
      </c>
      <c r="F286" s="20">
        <v>35.713000000000001</v>
      </c>
      <c r="G286" s="20">
        <v>11.88</v>
      </c>
      <c r="H286" s="20">
        <f t="shared" si="10"/>
        <v>31.209250000000001</v>
      </c>
      <c r="I286" s="5"/>
      <c r="J286" s="19">
        <v>604.12239999999997</v>
      </c>
      <c r="K286" s="20">
        <v>30.6069</v>
      </c>
      <c r="L286" s="20">
        <v>36.407600000000002</v>
      </c>
      <c r="M286" s="20">
        <v>37.208199999999998</v>
      </c>
      <c r="N286" s="20">
        <v>44.318399999999997</v>
      </c>
      <c r="O286" s="20">
        <f t="shared" si="11"/>
        <v>32.157150000000001</v>
      </c>
      <c r="P286" s="7"/>
      <c r="Q286" s="13"/>
      <c r="R286" s="14"/>
      <c r="S286" s="14"/>
      <c r="T286" s="27"/>
      <c r="U286" s="28">
        <f t="shared" si="12"/>
        <v>2.7305050505050499</v>
      </c>
    </row>
    <row r="287" spans="1:21" x14ac:dyDescent="0.25">
      <c r="B287" s="6" t="s">
        <v>51</v>
      </c>
      <c r="C287" s="29">
        <v>2400.81</v>
      </c>
      <c r="D287" s="30">
        <v>34.514000000000003</v>
      </c>
      <c r="E287" s="30">
        <v>39.777000000000001</v>
      </c>
      <c r="F287" s="30">
        <v>39.35</v>
      </c>
      <c r="G287" s="16">
        <v>7.43</v>
      </c>
      <c r="H287" s="16">
        <f t="shared" si="10"/>
        <v>35.776375000000002</v>
      </c>
      <c r="I287" s="5"/>
      <c r="J287" s="29">
        <v>2478.9479999999999</v>
      </c>
      <c r="K287" s="30">
        <v>34.709099999999999</v>
      </c>
      <c r="L287" s="30">
        <v>40.5229</v>
      </c>
      <c r="M287" s="30">
        <v>39.992600000000003</v>
      </c>
      <c r="N287" s="16">
        <v>18.9739</v>
      </c>
      <c r="O287" s="16">
        <f t="shared" si="11"/>
        <v>36.096262499999995</v>
      </c>
      <c r="P287" s="7"/>
      <c r="Q287" s="8">
        <f>bdrate(C287:C290,D287:D290,J287:J290,K287:K290)</f>
        <v>-5.2362053517760687E-2</v>
      </c>
      <c r="R287" s="8">
        <f>bdrate(C287:C290,E287:E290,J287:J290,L287:L290)</f>
        <v>-0.31412066865562038</v>
      </c>
      <c r="S287" s="8">
        <f>bdrate(C287:C290,F287:F290,J287:J290,M287:M290)</f>
        <v>-0.19019870147031526</v>
      </c>
      <c r="T287" s="25">
        <f>bdrate(C287:C290,H287:H290,J287:J290,O287:O290)</f>
        <v>-9.5350674015934445E-2</v>
      </c>
      <c r="U287" s="28">
        <f t="shared" si="12"/>
        <v>1.5536877523553165</v>
      </c>
    </row>
    <row r="288" spans="1:21" x14ac:dyDescent="0.25">
      <c r="B288" s="9"/>
      <c r="C288" s="31">
        <v>1593.02</v>
      </c>
      <c r="D288" s="32">
        <v>33.152999999999999</v>
      </c>
      <c r="E288" s="32">
        <v>38.883000000000003</v>
      </c>
      <c r="F288" s="32">
        <v>38.131</v>
      </c>
      <c r="G288" s="18">
        <v>8.09</v>
      </c>
      <c r="H288" s="18">
        <f t="shared" si="10"/>
        <v>34.491500000000002</v>
      </c>
      <c r="I288" s="5"/>
      <c r="J288" s="31">
        <v>1653.4728</v>
      </c>
      <c r="K288" s="32">
        <v>33.434699999999999</v>
      </c>
      <c r="L288" s="32">
        <v>39.732700000000001</v>
      </c>
      <c r="M288" s="32">
        <v>38.835000000000001</v>
      </c>
      <c r="N288" s="18">
        <v>23.412600000000001</v>
      </c>
      <c r="O288" s="18">
        <f t="shared" si="11"/>
        <v>34.896987500000002</v>
      </c>
      <c r="P288" s="7"/>
      <c r="Q288" s="10"/>
      <c r="R288" s="11"/>
      <c r="S288" s="11"/>
      <c r="T288" s="26"/>
      <c r="U288" s="28">
        <f t="shared" si="12"/>
        <v>1.8940173053152041</v>
      </c>
    </row>
    <row r="289" spans="1:21" x14ac:dyDescent="0.25">
      <c r="B289" s="9"/>
      <c r="C289" s="31">
        <v>994.57</v>
      </c>
      <c r="D289" s="32">
        <v>31.510999999999999</v>
      </c>
      <c r="E289" s="32">
        <v>37.851999999999997</v>
      </c>
      <c r="F289" s="32">
        <v>36.707000000000001</v>
      </c>
      <c r="G289" s="18">
        <v>8.69</v>
      </c>
      <c r="H289" s="18">
        <f t="shared" si="10"/>
        <v>32.953125</v>
      </c>
      <c r="I289" s="5"/>
      <c r="J289" s="31">
        <v>1035.3616</v>
      </c>
      <c r="K289" s="32">
        <v>31.863199999999999</v>
      </c>
      <c r="L289" s="32">
        <v>38.8063</v>
      </c>
      <c r="M289" s="32">
        <v>37.472999999999999</v>
      </c>
      <c r="N289" s="18">
        <v>28.7422</v>
      </c>
      <c r="O289" s="18">
        <f t="shared" si="11"/>
        <v>33.432312499999995</v>
      </c>
      <c r="P289" s="7"/>
      <c r="Q289" s="10"/>
      <c r="R289" s="11"/>
      <c r="S289" s="11"/>
      <c r="T289" s="26"/>
      <c r="U289" s="28">
        <f t="shared" si="12"/>
        <v>2.3075028768699655</v>
      </c>
    </row>
    <row r="290" spans="1:21" ht="16.5" thickBot="1" x14ac:dyDescent="0.3">
      <c r="B290" s="12"/>
      <c r="C290" s="33">
        <v>591.45000000000005</v>
      </c>
      <c r="D290" s="34">
        <v>29.7</v>
      </c>
      <c r="E290" s="34">
        <v>36.418999999999997</v>
      </c>
      <c r="F290" s="34">
        <v>34.944000000000003</v>
      </c>
      <c r="G290" s="20">
        <v>9.7899999999999991</v>
      </c>
      <c r="H290" s="20">
        <f t="shared" si="10"/>
        <v>31.195374999999999</v>
      </c>
      <c r="I290" s="5"/>
      <c r="J290" s="33">
        <v>621.02560000000005</v>
      </c>
      <c r="K290" s="34">
        <v>30.0855</v>
      </c>
      <c r="L290" s="34">
        <v>37.5717</v>
      </c>
      <c r="M290" s="34">
        <v>35.954999999999998</v>
      </c>
      <c r="N290" s="20">
        <v>38.883299999999998</v>
      </c>
      <c r="O290" s="20">
        <f t="shared" si="11"/>
        <v>31.754962499999998</v>
      </c>
      <c r="P290" s="7"/>
      <c r="Q290" s="13"/>
      <c r="R290" s="14"/>
      <c r="S290" s="14"/>
      <c r="T290" s="27"/>
      <c r="U290" s="28">
        <f t="shared" si="12"/>
        <v>2.9717364657814098</v>
      </c>
    </row>
    <row r="291" spans="1:21" x14ac:dyDescent="0.25">
      <c r="B291" s="6" t="s">
        <v>52</v>
      </c>
      <c r="C291" s="15">
        <v>2338.9</v>
      </c>
      <c r="D291" s="16">
        <v>33.576999999999998</v>
      </c>
      <c r="E291" s="16">
        <v>39.079000000000001</v>
      </c>
      <c r="F291" s="16">
        <v>41.664000000000001</v>
      </c>
      <c r="G291" s="16">
        <v>10.26</v>
      </c>
      <c r="H291" s="16">
        <f t="shared" si="10"/>
        <v>35.275624999999998</v>
      </c>
      <c r="I291" s="5"/>
      <c r="J291" s="15">
        <v>2459.1224000000002</v>
      </c>
      <c r="K291" s="16">
        <v>34.000599999999999</v>
      </c>
      <c r="L291" s="16">
        <v>39.987299999999998</v>
      </c>
      <c r="M291" s="16">
        <v>42.468200000000003</v>
      </c>
      <c r="N291" s="16">
        <v>28.105699999999999</v>
      </c>
      <c r="O291" s="16">
        <f t="shared" si="11"/>
        <v>35.807387500000004</v>
      </c>
      <c r="P291" s="7"/>
      <c r="Q291" s="8">
        <f>bdrate(C291:C294,D291:D294,J291:J294,K291:K294)</f>
        <v>-0.21197693936541107</v>
      </c>
      <c r="R291" s="8">
        <f>bdrate(C291:C294,E291:E294,J291:J294,L291:L294)</f>
        <v>-0.41696785430674432</v>
      </c>
      <c r="S291" s="8">
        <f>bdrate(C291:C294,F291:F294,J291:J294,M291:M294)</f>
        <v>-0.37428680659408797</v>
      </c>
      <c r="T291" s="25">
        <f>bdrate(C291:C294,H291:H294,J291:J294,O291:O294)</f>
        <v>-0.24766943666723162</v>
      </c>
      <c r="U291" s="28">
        <f t="shared" si="12"/>
        <v>1.7393469785575051</v>
      </c>
    </row>
    <row r="292" spans="1:21" x14ac:dyDescent="0.25">
      <c r="B292" s="9"/>
      <c r="C292" s="17">
        <v>1546.06</v>
      </c>
      <c r="D292" s="18">
        <v>32.828000000000003</v>
      </c>
      <c r="E292" s="18">
        <v>38.624000000000002</v>
      </c>
      <c r="F292" s="18">
        <v>41.213999999999999</v>
      </c>
      <c r="G292" s="18">
        <v>11.04</v>
      </c>
      <c r="H292" s="18">
        <f t="shared" si="10"/>
        <v>34.600750000000005</v>
      </c>
      <c r="I292" s="5"/>
      <c r="J292" s="17">
        <v>1607.1088</v>
      </c>
      <c r="K292" s="18">
        <v>33.375900000000001</v>
      </c>
      <c r="L292" s="18">
        <v>39.472499999999997</v>
      </c>
      <c r="M292" s="18">
        <v>41.999699999999997</v>
      </c>
      <c r="N292" s="18">
        <v>35.271299999999997</v>
      </c>
      <c r="O292" s="18">
        <f t="shared" si="11"/>
        <v>35.215949999999999</v>
      </c>
      <c r="P292" s="7"/>
      <c r="Q292" s="10"/>
      <c r="R292" s="11"/>
      <c r="S292" s="11"/>
      <c r="T292" s="26"/>
      <c r="U292" s="28">
        <f t="shared" si="12"/>
        <v>2.1948641304347825</v>
      </c>
    </row>
    <row r="293" spans="1:21" x14ac:dyDescent="0.25">
      <c r="B293" s="9"/>
      <c r="C293" s="17">
        <v>957.11</v>
      </c>
      <c r="D293" s="18">
        <v>31.792999999999999</v>
      </c>
      <c r="E293" s="18">
        <v>37.966999999999999</v>
      </c>
      <c r="F293" s="18">
        <v>40.710999999999999</v>
      </c>
      <c r="G293" s="18">
        <v>11.95</v>
      </c>
      <c r="H293" s="18">
        <f t="shared" si="10"/>
        <v>33.679499999999997</v>
      </c>
      <c r="I293" s="5"/>
      <c r="J293" s="17">
        <v>991.18079999999998</v>
      </c>
      <c r="K293" s="18">
        <v>32.419800000000002</v>
      </c>
      <c r="L293" s="18">
        <v>38.731299999999997</v>
      </c>
      <c r="M293" s="18">
        <v>41.258499999999998</v>
      </c>
      <c r="N293" s="18">
        <v>44.3033</v>
      </c>
      <c r="O293" s="18">
        <f t="shared" si="11"/>
        <v>34.313575</v>
      </c>
      <c r="P293" s="7"/>
      <c r="Q293" s="10"/>
      <c r="R293" s="11"/>
      <c r="S293" s="11"/>
      <c r="T293" s="26"/>
      <c r="U293" s="28">
        <f t="shared" si="12"/>
        <v>2.7073891213389127</v>
      </c>
    </row>
    <row r="294" spans="1:21" ht="16.5" thickBot="1" x14ac:dyDescent="0.3">
      <c r="B294" s="12"/>
      <c r="C294" s="19">
        <v>559.32000000000005</v>
      </c>
      <c r="D294" s="20">
        <v>30.399000000000001</v>
      </c>
      <c r="E294" s="20">
        <v>37.283999999999999</v>
      </c>
      <c r="F294" s="20">
        <v>39.963000000000001</v>
      </c>
      <c r="G294" s="20">
        <v>12.64</v>
      </c>
      <c r="H294" s="20">
        <f t="shared" si="10"/>
        <v>32.455125000000002</v>
      </c>
      <c r="I294" s="5"/>
      <c r="J294" s="19">
        <v>585.39919999999995</v>
      </c>
      <c r="K294" s="20">
        <v>31.058</v>
      </c>
      <c r="L294" s="20">
        <v>38.023000000000003</v>
      </c>
      <c r="M294" s="20">
        <v>40.5974</v>
      </c>
      <c r="N294" s="20">
        <v>55.886699999999998</v>
      </c>
      <c r="O294" s="20">
        <f t="shared" si="11"/>
        <v>33.121050000000004</v>
      </c>
      <c r="P294" s="7"/>
      <c r="Q294" s="13"/>
      <c r="R294" s="14"/>
      <c r="S294" s="14"/>
      <c r="T294" s="27"/>
      <c r="U294" s="28">
        <f t="shared" si="12"/>
        <v>3.421416139240506</v>
      </c>
    </row>
    <row r="295" spans="1:21" x14ac:dyDescent="0.25">
      <c r="A295" s="6" t="s">
        <v>39</v>
      </c>
      <c r="B295" s="6" t="s">
        <v>53</v>
      </c>
      <c r="C295" s="15">
        <v>1222.45</v>
      </c>
      <c r="D295" s="16">
        <v>35.597999999999999</v>
      </c>
      <c r="E295" s="16">
        <v>38.96</v>
      </c>
      <c r="F295" s="16">
        <v>38.994999999999997</v>
      </c>
      <c r="G295" s="16">
        <v>28.31</v>
      </c>
      <c r="H295" s="16">
        <f t="shared" si="10"/>
        <v>36.442875000000001</v>
      </c>
      <c r="I295" s="5"/>
      <c r="J295" s="15">
        <v>1268.664</v>
      </c>
      <c r="K295" s="16">
        <v>36.768099999999997</v>
      </c>
      <c r="L295" s="16">
        <v>40.303899999999999</v>
      </c>
      <c r="M295" s="16">
        <v>40.281300000000002</v>
      </c>
      <c r="N295" s="16">
        <v>54.878700000000002</v>
      </c>
      <c r="O295" s="16">
        <f t="shared" si="11"/>
        <v>37.649224999999994</v>
      </c>
      <c r="P295" s="7"/>
      <c r="Q295" s="8">
        <f>bdrate(C295:C298,D295:D298,J295:J298,K295:K298)</f>
        <v>-0.1819445179221193</v>
      </c>
      <c r="R295" s="8">
        <f>bdrate(C295:C298,E295:E298,J295:J298,L295:L298)</f>
        <v>-0.31229816484677053</v>
      </c>
      <c r="S295" s="8">
        <f>bdrate(C295:C298,F295:F298,J295:J298,M295:M298)</f>
        <v>-0.23719410528085461</v>
      </c>
      <c r="T295" s="25">
        <f>bdrate(C295:C298,H295:H298,J295:J298,O295:O298)</f>
        <v>-0.20313621651337166</v>
      </c>
      <c r="U295" s="28">
        <f t="shared" si="12"/>
        <v>0.93849169904627361</v>
      </c>
    </row>
    <row r="296" spans="1:21" x14ac:dyDescent="0.25">
      <c r="A296" s="9" t="s">
        <v>40</v>
      </c>
      <c r="B296" s="9"/>
      <c r="C296" s="17">
        <v>812.91</v>
      </c>
      <c r="D296" s="18">
        <v>34.021999999999998</v>
      </c>
      <c r="E296" s="18">
        <v>37.594999999999999</v>
      </c>
      <c r="F296" s="18">
        <v>37.502000000000002</v>
      </c>
      <c r="G296" s="18">
        <v>31.7</v>
      </c>
      <c r="H296" s="18">
        <f t="shared" si="10"/>
        <v>34.903624999999998</v>
      </c>
      <c r="I296" s="5"/>
      <c r="J296" s="17">
        <v>842.70640000000003</v>
      </c>
      <c r="K296" s="18">
        <v>34.994599999999998</v>
      </c>
      <c r="L296" s="18">
        <v>38.867199999999997</v>
      </c>
      <c r="M296" s="18">
        <v>38.621600000000001</v>
      </c>
      <c r="N296" s="18">
        <v>65.146600000000007</v>
      </c>
      <c r="O296" s="18">
        <f t="shared" si="11"/>
        <v>35.932050000000004</v>
      </c>
      <c r="P296" s="7"/>
      <c r="Q296" s="10"/>
      <c r="R296" s="11"/>
      <c r="S296" s="11"/>
      <c r="T296" s="26"/>
      <c r="U296" s="28">
        <f t="shared" si="12"/>
        <v>1.0550977917981075</v>
      </c>
    </row>
    <row r="297" spans="1:21" x14ac:dyDescent="0.25">
      <c r="B297" s="9"/>
      <c r="C297" s="17">
        <v>507.83</v>
      </c>
      <c r="D297" s="18">
        <v>32.226999999999997</v>
      </c>
      <c r="E297" s="18">
        <v>36.091999999999999</v>
      </c>
      <c r="F297" s="18">
        <v>35.959000000000003</v>
      </c>
      <c r="G297" s="18">
        <v>35.85</v>
      </c>
      <c r="H297" s="18">
        <f t="shared" si="10"/>
        <v>33.176624999999994</v>
      </c>
      <c r="I297" s="5"/>
      <c r="J297" s="17">
        <v>526.42079999999999</v>
      </c>
      <c r="K297" s="18">
        <v>33.108199999999997</v>
      </c>
      <c r="L297" s="18">
        <v>37.375900000000001</v>
      </c>
      <c r="M297" s="18">
        <v>36.951300000000003</v>
      </c>
      <c r="N297" s="18">
        <v>77.5916</v>
      </c>
      <c r="O297" s="18">
        <f t="shared" si="11"/>
        <v>34.122050000000002</v>
      </c>
      <c r="P297" s="7"/>
      <c r="Q297" s="10"/>
      <c r="R297" s="11"/>
      <c r="S297" s="11"/>
      <c r="T297" s="26"/>
      <c r="U297" s="28">
        <f t="shared" si="12"/>
        <v>1.1643403068340306</v>
      </c>
    </row>
    <row r="298" spans="1:21" ht="16.5" thickBot="1" x14ac:dyDescent="0.3">
      <c r="B298" s="12"/>
      <c r="C298" s="19">
        <v>303.51</v>
      </c>
      <c r="D298" s="20">
        <v>30.364999999999998</v>
      </c>
      <c r="E298" s="20">
        <v>34.78</v>
      </c>
      <c r="F298" s="20">
        <v>34.404000000000003</v>
      </c>
      <c r="G298" s="20">
        <v>42.73</v>
      </c>
      <c r="H298" s="20">
        <f t="shared" si="10"/>
        <v>31.421749999999999</v>
      </c>
      <c r="I298" s="5"/>
      <c r="J298" s="19">
        <v>314.95119999999997</v>
      </c>
      <c r="K298" s="20">
        <v>31.148800000000001</v>
      </c>
      <c r="L298" s="20">
        <v>35.939700000000002</v>
      </c>
      <c r="M298" s="20">
        <v>35.2941</v>
      </c>
      <c r="N298" s="20">
        <v>96.246399999999994</v>
      </c>
      <c r="O298" s="20">
        <f t="shared" si="11"/>
        <v>32.265825000000007</v>
      </c>
      <c r="P298" s="7"/>
      <c r="Q298" s="13"/>
      <c r="R298" s="14"/>
      <c r="S298" s="14"/>
      <c r="T298" s="27"/>
      <c r="U298" s="28">
        <f t="shared" si="12"/>
        <v>1.2524315469225369</v>
      </c>
    </row>
    <row r="299" spans="1:21" x14ac:dyDescent="0.25">
      <c r="B299" s="6" t="s">
        <v>54</v>
      </c>
      <c r="C299" s="15">
        <v>1224.7</v>
      </c>
      <c r="D299" s="16">
        <v>35.642000000000003</v>
      </c>
      <c r="E299" s="16">
        <v>39.947000000000003</v>
      </c>
      <c r="F299" s="16">
        <v>40.863</v>
      </c>
      <c r="G299" s="16">
        <v>35.450000000000003</v>
      </c>
      <c r="H299" s="16">
        <f t="shared" si="10"/>
        <v>36.832750000000004</v>
      </c>
      <c r="I299" s="5"/>
      <c r="J299" s="15">
        <v>1283.1376</v>
      </c>
      <c r="K299" s="16">
        <v>36.325099999999999</v>
      </c>
      <c r="L299" s="16">
        <v>41.148299999999999</v>
      </c>
      <c r="M299" s="16">
        <v>42.017200000000003</v>
      </c>
      <c r="N299" s="16">
        <v>67.468800000000002</v>
      </c>
      <c r="O299" s="16">
        <f t="shared" si="11"/>
        <v>37.639512500000002</v>
      </c>
      <c r="P299" s="7"/>
      <c r="Q299" s="8">
        <f>bdrate(C299:C302,D299:D302,J299:J302,K299:K302)</f>
        <v>-0.15495717264733511</v>
      </c>
      <c r="R299" s="8">
        <f>bdrate(C299:C302,E299:E302,J299:J302,L299:L302)</f>
        <v>-0.3606877449706104</v>
      </c>
      <c r="S299" s="8">
        <f>bdrate(C299:C302,F299:F302,J299:J302,M299:M302)</f>
        <v>-0.31385013561730191</v>
      </c>
      <c r="T299" s="25">
        <f>bdrate(C299:C302,H299:H302,J299:J302,O299:O302)</f>
        <v>-0.19248133884753449</v>
      </c>
      <c r="U299" s="28">
        <f t="shared" si="12"/>
        <v>0.90321015514809577</v>
      </c>
    </row>
    <row r="300" spans="1:21" x14ac:dyDescent="0.25">
      <c r="B300" s="9"/>
      <c r="C300" s="17">
        <v>817.64</v>
      </c>
      <c r="D300" s="18">
        <v>33.963000000000001</v>
      </c>
      <c r="E300" s="18">
        <v>38.774000000000001</v>
      </c>
      <c r="F300" s="18">
        <v>39.570999999999998</v>
      </c>
      <c r="G300" s="18">
        <v>39.979999999999997</v>
      </c>
      <c r="H300" s="18">
        <f t="shared" si="10"/>
        <v>35.265375000000006</v>
      </c>
      <c r="I300" s="5"/>
      <c r="J300" s="17">
        <v>854.96960000000001</v>
      </c>
      <c r="K300" s="18">
        <v>34.790500000000002</v>
      </c>
      <c r="L300" s="18">
        <v>40.064300000000003</v>
      </c>
      <c r="M300" s="18">
        <v>40.796100000000003</v>
      </c>
      <c r="N300" s="18">
        <v>80.299800000000005</v>
      </c>
      <c r="O300" s="18">
        <f t="shared" si="11"/>
        <v>36.200425000000003</v>
      </c>
      <c r="P300" s="7"/>
      <c r="Q300" s="10"/>
      <c r="R300" s="11"/>
      <c r="S300" s="11"/>
      <c r="T300" s="26"/>
      <c r="U300" s="28">
        <f t="shared" si="12"/>
        <v>1.0084992496248126</v>
      </c>
    </row>
    <row r="301" spans="1:21" x14ac:dyDescent="0.25">
      <c r="B301" s="9"/>
      <c r="C301" s="17">
        <v>511.29</v>
      </c>
      <c r="D301" s="18">
        <v>32.003</v>
      </c>
      <c r="E301" s="18">
        <v>37.503999999999998</v>
      </c>
      <c r="F301" s="18">
        <v>38.167999999999999</v>
      </c>
      <c r="G301" s="18">
        <v>44.83</v>
      </c>
      <c r="H301" s="18">
        <f t="shared" si="10"/>
        <v>33.46125</v>
      </c>
      <c r="I301" s="5"/>
      <c r="J301" s="17">
        <v>532.56479999999999</v>
      </c>
      <c r="K301" s="18">
        <v>32.893500000000003</v>
      </c>
      <c r="L301" s="18">
        <v>38.830800000000004</v>
      </c>
      <c r="M301" s="18">
        <v>39.419800000000002</v>
      </c>
      <c r="N301" s="18">
        <v>99.651200000000003</v>
      </c>
      <c r="O301" s="18">
        <f t="shared" si="11"/>
        <v>34.451450000000001</v>
      </c>
      <c r="P301" s="7"/>
      <c r="Q301" s="10"/>
      <c r="R301" s="11"/>
      <c r="S301" s="11"/>
      <c r="T301" s="26"/>
      <c r="U301" s="28">
        <f t="shared" si="12"/>
        <v>1.2228686147668972</v>
      </c>
    </row>
    <row r="302" spans="1:21" ht="16.5" thickBot="1" x14ac:dyDescent="0.3">
      <c r="B302" s="12"/>
      <c r="C302" s="19">
        <v>306.61</v>
      </c>
      <c r="D302" s="20">
        <v>29.85</v>
      </c>
      <c r="E302" s="20">
        <v>36.064</v>
      </c>
      <c r="F302" s="20">
        <v>36.575000000000003</v>
      </c>
      <c r="G302" s="20">
        <v>50.87</v>
      </c>
      <c r="H302" s="20">
        <f t="shared" si="10"/>
        <v>31.467375000000004</v>
      </c>
      <c r="I302" s="5"/>
      <c r="J302" s="19">
        <v>319.44720000000001</v>
      </c>
      <c r="K302" s="20">
        <v>30.825199999999999</v>
      </c>
      <c r="L302" s="20">
        <v>37.527999999999999</v>
      </c>
      <c r="M302" s="20">
        <v>37.996000000000002</v>
      </c>
      <c r="N302" s="20">
        <v>124.06950000000001</v>
      </c>
      <c r="O302" s="20">
        <f t="shared" si="11"/>
        <v>32.559399999999997</v>
      </c>
      <c r="P302" s="7"/>
      <c r="Q302" s="13"/>
      <c r="R302" s="14"/>
      <c r="S302" s="14"/>
      <c r="T302" s="27"/>
      <c r="U302" s="28">
        <f t="shared" si="12"/>
        <v>1.4389522311775114</v>
      </c>
    </row>
    <row r="303" spans="1:21" x14ac:dyDescent="0.25">
      <c r="B303" s="6" t="s">
        <v>55</v>
      </c>
      <c r="C303" s="15">
        <v>1090.51</v>
      </c>
      <c r="D303" s="16">
        <v>30.225000000000001</v>
      </c>
      <c r="E303" s="16">
        <v>35.648000000000003</v>
      </c>
      <c r="F303" s="16">
        <v>36.411999999999999</v>
      </c>
      <c r="G303" s="16">
        <v>35.14</v>
      </c>
      <c r="H303" s="16">
        <f t="shared" si="10"/>
        <v>31.676250000000003</v>
      </c>
      <c r="I303" s="5"/>
      <c r="J303" s="15">
        <v>1261.4856</v>
      </c>
      <c r="K303" s="16">
        <v>31.278500000000001</v>
      </c>
      <c r="L303" s="16">
        <v>37.0807</v>
      </c>
      <c r="M303" s="16">
        <v>37.870100000000001</v>
      </c>
      <c r="N303" s="16">
        <v>69.978999999999999</v>
      </c>
      <c r="O303" s="16">
        <f t="shared" si="11"/>
        <v>32.827725000000001</v>
      </c>
      <c r="P303" s="7"/>
      <c r="Q303" s="8">
        <f>bdrate(C303:C306,D303:D306,J303:J306,K303:K306)</f>
        <v>-0.17910353828042458</v>
      </c>
      <c r="R303" s="8">
        <f>bdrate(C303:C306,E303:E306,J303:J306,L303:L306)</f>
        <v>-0.39570709407773197</v>
      </c>
      <c r="S303" s="8">
        <f>bdrate(C303:C306,F303:F306,J303:J306,M303:M306)</f>
        <v>-0.38641776973439301</v>
      </c>
      <c r="T303" s="25">
        <f>bdrate(C303:C306,H303:H306,J303:J306,O303:O306)</f>
        <v>-0.22011799276715494</v>
      </c>
      <c r="U303" s="28">
        <f t="shared" si="12"/>
        <v>0.99143426294820713</v>
      </c>
    </row>
    <row r="304" spans="1:21" x14ac:dyDescent="0.25">
      <c r="B304" s="9"/>
      <c r="C304" s="17">
        <v>730.69</v>
      </c>
      <c r="D304" s="18">
        <v>28.82</v>
      </c>
      <c r="E304" s="18">
        <v>34.79</v>
      </c>
      <c r="F304" s="18">
        <v>35.508000000000003</v>
      </c>
      <c r="G304" s="18">
        <v>39.33</v>
      </c>
      <c r="H304" s="18">
        <f t="shared" si="10"/>
        <v>30.402250000000002</v>
      </c>
      <c r="I304" s="5"/>
      <c r="J304" s="17">
        <v>842.84159999999997</v>
      </c>
      <c r="K304" s="18">
        <v>29.922499999999999</v>
      </c>
      <c r="L304" s="18">
        <v>36.103999999999999</v>
      </c>
      <c r="M304" s="18">
        <v>36.8675</v>
      </c>
      <c r="N304" s="18">
        <v>83.906700000000001</v>
      </c>
      <c r="O304" s="18">
        <f t="shared" si="11"/>
        <v>31.563312500000002</v>
      </c>
      <c r="P304" s="7"/>
      <c r="Q304" s="10"/>
      <c r="R304" s="11"/>
      <c r="S304" s="11"/>
      <c r="T304" s="26"/>
      <c r="U304" s="28">
        <f t="shared" si="12"/>
        <v>1.1334019832189171</v>
      </c>
    </row>
    <row r="305" spans="1:21" x14ac:dyDescent="0.25">
      <c r="B305" s="9"/>
      <c r="C305" s="17">
        <v>459.89</v>
      </c>
      <c r="D305" s="18">
        <v>27.302</v>
      </c>
      <c r="E305" s="18">
        <v>33.892000000000003</v>
      </c>
      <c r="F305" s="18">
        <v>34.628999999999998</v>
      </c>
      <c r="G305" s="18">
        <v>43.84</v>
      </c>
      <c r="H305" s="18">
        <f t="shared" si="10"/>
        <v>29.041625</v>
      </c>
      <c r="I305" s="5"/>
      <c r="J305" s="17">
        <v>525.452</v>
      </c>
      <c r="K305" s="18">
        <v>28.384599999999999</v>
      </c>
      <c r="L305" s="18">
        <v>35.137500000000003</v>
      </c>
      <c r="M305" s="18">
        <v>35.8399</v>
      </c>
      <c r="N305" s="18">
        <v>104.03660000000001</v>
      </c>
      <c r="O305" s="18">
        <f t="shared" si="11"/>
        <v>30.160624999999996</v>
      </c>
      <c r="P305" s="7"/>
      <c r="Q305" s="10"/>
      <c r="R305" s="11"/>
      <c r="S305" s="11"/>
      <c r="T305" s="26"/>
      <c r="U305" s="28">
        <f t="shared" si="12"/>
        <v>1.3730976277372262</v>
      </c>
    </row>
    <row r="306" spans="1:21" ht="16.5" thickBot="1" x14ac:dyDescent="0.3">
      <c r="B306" s="12"/>
      <c r="C306" s="19">
        <v>275.57</v>
      </c>
      <c r="D306" s="20">
        <v>25.876000000000001</v>
      </c>
      <c r="E306" s="20">
        <v>33.034999999999997</v>
      </c>
      <c r="F306" s="20">
        <v>33.741999999999997</v>
      </c>
      <c r="G306" s="20">
        <v>49.39</v>
      </c>
      <c r="H306" s="20">
        <f t="shared" si="10"/>
        <v>27.754124999999998</v>
      </c>
      <c r="I306" s="5"/>
      <c r="J306" s="19">
        <v>313.94479999999999</v>
      </c>
      <c r="K306" s="20">
        <v>26.801200000000001</v>
      </c>
      <c r="L306" s="20">
        <v>34.162700000000001</v>
      </c>
      <c r="M306" s="20">
        <v>34.849499999999999</v>
      </c>
      <c r="N306" s="20">
        <v>130.82159999999999</v>
      </c>
      <c r="O306" s="20">
        <f t="shared" si="11"/>
        <v>28.727425000000004</v>
      </c>
      <c r="P306" s="7"/>
      <c r="Q306" s="13"/>
      <c r="R306" s="14"/>
      <c r="S306" s="14"/>
      <c r="T306" s="27"/>
      <c r="U306" s="28">
        <f t="shared" si="12"/>
        <v>1.6487467098602953</v>
      </c>
    </row>
    <row r="307" spans="1:21" x14ac:dyDescent="0.25">
      <c r="B307" s="6" t="s">
        <v>56</v>
      </c>
      <c r="C307" s="15">
        <v>1103.26</v>
      </c>
      <c r="D307" s="16">
        <v>33.292000000000002</v>
      </c>
      <c r="E307" s="16">
        <v>36.857999999999997</v>
      </c>
      <c r="F307" s="16">
        <v>38.554000000000002</v>
      </c>
      <c r="G307" s="16">
        <v>22.65</v>
      </c>
      <c r="H307" s="16">
        <f t="shared" si="10"/>
        <v>34.395499999999998</v>
      </c>
      <c r="I307" s="5"/>
      <c r="J307" s="15">
        <v>1264.9728</v>
      </c>
      <c r="K307" s="16">
        <v>33.417499999999997</v>
      </c>
      <c r="L307" s="16">
        <v>37.452800000000003</v>
      </c>
      <c r="M307" s="16">
        <v>38.999099999999999</v>
      </c>
      <c r="N307" s="16">
        <v>41.533999999999999</v>
      </c>
      <c r="O307" s="16">
        <f t="shared" si="11"/>
        <v>34.619612500000002</v>
      </c>
      <c r="P307" s="7"/>
      <c r="Q307" s="8">
        <f>bdrate(C307:C310,D307:D310,J307:J310,K307:K310)</f>
        <v>0.10236254567406688</v>
      </c>
      <c r="R307" s="8">
        <f>bdrate(C307:C310,E307:E310,J307:J310,L307:L310)</f>
        <v>-0.11722317730801912</v>
      </c>
      <c r="S307" s="8">
        <f>bdrate(C307:C310,F307:F310,J307:J310,M307:M310)</f>
        <v>-6.168291318198893E-2</v>
      </c>
      <c r="T307" s="25">
        <f>bdrate(C307:C310,H307:H310,J307:J310,O307:O310)</f>
        <v>6.4573082755484013E-2</v>
      </c>
      <c r="U307" s="28">
        <f t="shared" si="12"/>
        <v>0.83373068432671094</v>
      </c>
    </row>
    <row r="308" spans="1:21" x14ac:dyDescent="0.25">
      <c r="B308" s="9"/>
      <c r="C308" s="17">
        <v>743.23</v>
      </c>
      <c r="D308" s="18">
        <v>31.818000000000001</v>
      </c>
      <c r="E308" s="18">
        <v>35.853999999999999</v>
      </c>
      <c r="F308" s="18">
        <v>37.558</v>
      </c>
      <c r="G308" s="18">
        <v>25.24</v>
      </c>
      <c r="H308" s="18">
        <f t="shared" si="10"/>
        <v>33.04</v>
      </c>
      <c r="I308" s="5"/>
      <c r="J308" s="17">
        <v>842.93920000000003</v>
      </c>
      <c r="K308" s="18">
        <v>31.910399999999999</v>
      </c>
      <c r="L308" s="18">
        <v>36.417499999999997</v>
      </c>
      <c r="M308" s="18">
        <v>37.973599999999998</v>
      </c>
      <c r="N308" s="18">
        <v>49.059699999999999</v>
      </c>
      <c r="O308" s="18">
        <f t="shared" si="11"/>
        <v>33.2316875</v>
      </c>
      <c r="P308" s="7"/>
      <c r="Q308" s="10"/>
      <c r="R308" s="11"/>
      <c r="S308" s="11"/>
      <c r="T308" s="26"/>
      <c r="U308" s="28">
        <f t="shared" si="12"/>
        <v>0.94372820919175926</v>
      </c>
    </row>
    <row r="309" spans="1:21" x14ac:dyDescent="0.25">
      <c r="B309" s="9"/>
      <c r="C309" s="17">
        <v>474.07</v>
      </c>
      <c r="D309" s="18">
        <v>30.21</v>
      </c>
      <c r="E309" s="18">
        <v>34.856000000000002</v>
      </c>
      <c r="F309" s="18">
        <v>36.460999999999999</v>
      </c>
      <c r="G309" s="18">
        <v>28.32</v>
      </c>
      <c r="H309" s="18">
        <f t="shared" si="10"/>
        <v>31.572125</v>
      </c>
      <c r="I309" s="5"/>
      <c r="J309" s="17">
        <v>523.91120000000001</v>
      </c>
      <c r="K309" s="18">
        <v>30.220700000000001</v>
      </c>
      <c r="L309" s="18">
        <v>35.358400000000003</v>
      </c>
      <c r="M309" s="18">
        <v>36.868400000000001</v>
      </c>
      <c r="N309" s="18">
        <v>59.701500000000003</v>
      </c>
      <c r="O309" s="18">
        <f t="shared" si="11"/>
        <v>31.693875000000006</v>
      </c>
      <c r="P309" s="7"/>
      <c r="Q309" s="10"/>
      <c r="R309" s="11"/>
      <c r="S309" s="11"/>
      <c r="T309" s="26"/>
      <c r="U309" s="28">
        <f t="shared" si="12"/>
        <v>1.1081038135593222</v>
      </c>
    </row>
    <row r="310" spans="1:21" ht="16.5" thickBot="1" x14ac:dyDescent="0.3">
      <c r="B310" s="12"/>
      <c r="C310" s="19">
        <v>291.04000000000002</v>
      </c>
      <c r="D310" s="20">
        <v>28.58</v>
      </c>
      <c r="E310" s="20">
        <v>33.752000000000002</v>
      </c>
      <c r="F310" s="20">
        <v>35.280999999999999</v>
      </c>
      <c r="G310" s="20">
        <v>32.65</v>
      </c>
      <c r="H310" s="20">
        <f t="shared" si="10"/>
        <v>30.064125000000001</v>
      </c>
      <c r="I310" s="5"/>
      <c r="J310" s="19">
        <v>313.73840000000001</v>
      </c>
      <c r="K310" s="20">
        <v>28.547799999999999</v>
      </c>
      <c r="L310" s="20">
        <v>34.301099999999998</v>
      </c>
      <c r="M310" s="20">
        <v>35.727200000000003</v>
      </c>
      <c r="N310" s="20">
        <v>74.813000000000002</v>
      </c>
      <c r="O310" s="20">
        <f t="shared" si="11"/>
        <v>30.1643875</v>
      </c>
      <c r="P310" s="7"/>
      <c r="Q310" s="13"/>
      <c r="R310" s="14"/>
      <c r="S310" s="14"/>
      <c r="T310" s="27"/>
      <c r="U310" s="28">
        <f t="shared" si="12"/>
        <v>1.291362940275651</v>
      </c>
    </row>
    <row r="311" spans="1:21" x14ac:dyDescent="0.25">
      <c r="A311" s="6" t="s">
        <v>41</v>
      </c>
      <c r="B311" s="6" t="s">
        <v>57</v>
      </c>
      <c r="C311" s="15">
        <v>638.36</v>
      </c>
      <c r="D311" s="16">
        <v>35.515999999999998</v>
      </c>
      <c r="E311" s="16">
        <v>39.807000000000002</v>
      </c>
      <c r="F311" s="16">
        <v>38.540999999999997</v>
      </c>
      <c r="G311" s="16">
        <v>49.15</v>
      </c>
      <c r="H311" s="16">
        <f t="shared" si="10"/>
        <v>36.430500000000002</v>
      </c>
      <c r="I311" s="5"/>
      <c r="J311" s="15">
        <v>633.57759999999996</v>
      </c>
      <c r="K311" s="16">
        <v>35.543300000000002</v>
      </c>
      <c r="L311" s="16">
        <v>40.425400000000003</v>
      </c>
      <c r="M311" s="16">
        <v>38.858899999999998</v>
      </c>
      <c r="N311" s="16">
        <v>118.2313</v>
      </c>
      <c r="O311" s="16">
        <f t="shared" si="11"/>
        <v>36.568012500000002</v>
      </c>
      <c r="P311" s="7"/>
      <c r="Q311" s="8">
        <f>bdrate(C311:C314,D311:D314,J311:J314,K311:K314)</f>
        <v>-5.6027631563406732E-3</v>
      </c>
      <c r="R311" s="8">
        <f>bdrate(C311:C314,E311:E314,J311:J314,L311:L314)</f>
        <v>-0.23037048193191978</v>
      </c>
      <c r="S311" s="8">
        <f>bdrate(C311:C314,F311:F314,J311:J314,M311:M314)</f>
        <v>-0.10234430500078817</v>
      </c>
      <c r="T311" s="25">
        <f>bdrate(C311:C314,H311:H314,J311:J314,O311:O314)</f>
        <v>-3.9635097611618764E-2</v>
      </c>
      <c r="U311" s="28">
        <f t="shared" si="12"/>
        <v>1.4055198372329603</v>
      </c>
    </row>
    <row r="312" spans="1:21" x14ac:dyDescent="0.25">
      <c r="A312" s="9" t="s">
        <v>42</v>
      </c>
      <c r="B312" s="9"/>
      <c r="C312" s="17">
        <v>424.65</v>
      </c>
      <c r="D312" s="18">
        <v>33.648000000000003</v>
      </c>
      <c r="E312" s="18">
        <v>38.469000000000001</v>
      </c>
      <c r="F312" s="18">
        <v>37.018000000000001</v>
      </c>
      <c r="G312" s="18">
        <v>55.74</v>
      </c>
      <c r="H312" s="18">
        <f t="shared" si="10"/>
        <v>34.671875</v>
      </c>
      <c r="I312" s="5"/>
      <c r="J312" s="17">
        <v>421.20400000000001</v>
      </c>
      <c r="K312" s="18">
        <v>33.651899999999998</v>
      </c>
      <c r="L312" s="18">
        <v>39.162500000000001</v>
      </c>
      <c r="M312" s="18">
        <v>37.377299999999998</v>
      </c>
      <c r="N312" s="18">
        <v>137.4759</v>
      </c>
      <c r="O312" s="18">
        <f t="shared" si="11"/>
        <v>34.806399999999996</v>
      </c>
      <c r="P312" s="7"/>
      <c r="Q312" s="10"/>
      <c r="R312" s="11"/>
      <c r="S312" s="11"/>
      <c r="T312" s="26"/>
      <c r="U312" s="28">
        <f t="shared" si="12"/>
        <v>1.4663778256189448</v>
      </c>
    </row>
    <row r="313" spans="1:21" x14ac:dyDescent="0.25">
      <c r="B313" s="9"/>
      <c r="C313" s="17">
        <v>264.25</v>
      </c>
      <c r="D313" s="18">
        <v>31.605</v>
      </c>
      <c r="E313" s="18">
        <v>37.122999999999998</v>
      </c>
      <c r="F313" s="18">
        <v>35.478000000000002</v>
      </c>
      <c r="G313" s="18">
        <v>65.010000000000005</v>
      </c>
      <c r="H313" s="18">
        <f t="shared" si="10"/>
        <v>32.778874999999999</v>
      </c>
      <c r="I313" s="5"/>
      <c r="J313" s="17">
        <v>263.26799999999997</v>
      </c>
      <c r="K313" s="18">
        <v>31.6173</v>
      </c>
      <c r="L313" s="18">
        <v>37.847299999999997</v>
      </c>
      <c r="M313" s="18">
        <v>35.768799999999999</v>
      </c>
      <c r="N313" s="18">
        <v>167.7852</v>
      </c>
      <c r="O313" s="18">
        <f t="shared" si="11"/>
        <v>32.914987499999995</v>
      </c>
      <c r="P313" s="7"/>
      <c r="Q313" s="10"/>
      <c r="R313" s="11"/>
      <c r="S313" s="11"/>
      <c r="T313" s="26"/>
      <c r="U313" s="28">
        <f t="shared" si="12"/>
        <v>1.5809137055837561</v>
      </c>
    </row>
    <row r="314" spans="1:21" ht="16.5" thickBot="1" x14ac:dyDescent="0.3">
      <c r="B314" s="12"/>
      <c r="C314" s="19">
        <v>127.14</v>
      </c>
      <c r="D314" s="20">
        <v>28.786000000000001</v>
      </c>
      <c r="E314" s="20">
        <v>35.009</v>
      </c>
      <c r="F314" s="20">
        <v>33.011000000000003</v>
      </c>
      <c r="G314" s="20">
        <v>83.89</v>
      </c>
      <c r="H314" s="20">
        <f t="shared" si="10"/>
        <v>30.092000000000002</v>
      </c>
      <c r="I314" s="5"/>
      <c r="J314" s="19">
        <v>126.08320000000001</v>
      </c>
      <c r="K314" s="20">
        <v>28.723600000000001</v>
      </c>
      <c r="L314" s="20">
        <v>35.933500000000002</v>
      </c>
      <c r="M314" s="20">
        <v>33.509</v>
      </c>
      <c r="N314" s="20">
        <v>233.97290000000001</v>
      </c>
      <c r="O314" s="20">
        <f t="shared" si="11"/>
        <v>30.223012500000003</v>
      </c>
      <c r="P314" s="7"/>
      <c r="Q314" s="13"/>
      <c r="R314" s="14"/>
      <c r="S314" s="14"/>
      <c r="T314" s="27"/>
      <c r="U314" s="28">
        <f t="shared" si="12"/>
        <v>1.7890439861723686</v>
      </c>
    </row>
    <row r="315" spans="1:21" x14ac:dyDescent="0.25">
      <c r="B315" s="6" t="s">
        <v>58</v>
      </c>
      <c r="C315" s="15">
        <v>549.46</v>
      </c>
      <c r="D315" s="16">
        <v>33.222000000000001</v>
      </c>
      <c r="E315" s="16">
        <v>39.970999999999997</v>
      </c>
      <c r="F315" s="16">
        <v>40.716000000000001</v>
      </c>
      <c r="G315" s="16">
        <v>89.86</v>
      </c>
      <c r="H315" s="16">
        <f t="shared" si="10"/>
        <v>35.002375000000001</v>
      </c>
      <c r="I315" s="5"/>
      <c r="J315" s="15">
        <v>629.49519999999995</v>
      </c>
      <c r="K315" s="16">
        <v>34.523499999999999</v>
      </c>
      <c r="L315" s="16">
        <v>41.700699999999998</v>
      </c>
      <c r="M315" s="16">
        <v>42.594099999999997</v>
      </c>
      <c r="N315" s="16">
        <v>199.26929999999999</v>
      </c>
      <c r="O315" s="16">
        <f t="shared" si="11"/>
        <v>36.429474999999996</v>
      </c>
      <c r="P315" s="7"/>
      <c r="Q315" s="8">
        <f>bdrate(C315:C318,D315:D318,J315:J318,K315:K318)</f>
        <v>-0.23458514738483505</v>
      </c>
      <c r="R315" s="8">
        <f>bdrate(C315:C318,E315:E318,J315:J318,L315:L318)</f>
        <v>-0.41044562470726154</v>
      </c>
      <c r="S315" s="8">
        <f>bdrate(C315:C318,F315:F318,J315:J318,M315:M318)</f>
        <v>-0.41186941101656216</v>
      </c>
      <c r="T315" s="25">
        <f>bdrate(C315:C318,H315:H318,J315:J318,O315:O318)</f>
        <v>-0.26605437299204637</v>
      </c>
      <c r="U315" s="28">
        <f t="shared" si="12"/>
        <v>1.2175528600044512</v>
      </c>
    </row>
    <row r="316" spans="1:21" x14ac:dyDescent="0.25">
      <c r="B316" s="9"/>
      <c r="C316" s="17">
        <v>361.53</v>
      </c>
      <c r="D316" s="18">
        <v>31.800999999999998</v>
      </c>
      <c r="E316" s="18">
        <v>39.253999999999998</v>
      </c>
      <c r="F316" s="18">
        <v>39.872999999999998</v>
      </c>
      <c r="G316" s="18">
        <v>101.47</v>
      </c>
      <c r="H316" s="18">
        <f t="shared" si="10"/>
        <v>33.741624999999999</v>
      </c>
      <c r="I316" s="5"/>
      <c r="J316" s="17">
        <v>417.29199999999997</v>
      </c>
      <c r="K316" s="18">
        <v>33.190399999999997</v>
      </c>
      <c r="L316" s="18">
        <v>40.713200000000001</v>
      </c>
      <c r="M316" s="18">
        <v>41.522100000000002</v>
      </c>
      <c r="N316" s="18">
        <v>244.99799999999999</v>
      </c>
      <c r="O316" s="18">
        <f t="shared" si="11"/>
        <v>35.172212500000001</v>
      </c>
      <c r="P316" s="7"/>
      <c r="Q316" s="10"/>
      <c r="R316" s="11"/>
      <c r="S316" s="11"/>
      <c r="T316" s="26"/>
      <c r="U316" s="28">
        <f t="shared" si="12"/>
        <v>1.4144870405045826</v>
      </c>
    </row>
    <row r="317" spans="1:21" x14ac:dyDescent="0.25">
      <c r="B317" s="9"/>
      <c r="C317" s="17">
        <v>224.1</v>
      </c>
      <c r="D317" s="18">
        <v>30.166</v>
      </c>
      <c r="E317" s="18">
        <v>38.368000000000002</v>
      </c>
      <c r="F317" s="18">
        <v>39.125999999999998</v>
      </c>
      <c r="G317" s="18">
        <v>115.16</v>
      </c>
      <c r="H317" s="18">
        <f t="shared" si="10"/>
        <v>32.311250000000001</v>
      </c>
      <c r="I317" s="5"/>
      <c r="J317" s="17">
        <v>259.82240000000002</v>
      </c>
      <c r="K317" s="18">
        <v>31.5974</v>
      </c>
      <c r="L317" s="18">
        <v>39.629300000000001</v>
      </c>
      <c r="M317" s="18">
        <v>40.380000000000003</v>
      </c>
      <c r="N317" s="18">
        <v>317.79660000000001</v>
      </c>
      <c r="O317" s="18">
        <f t="shared" si="11"/>
        <v>33.699212500000002</v>
      </c>
      <c r="P317" s="7"/>
      <c r="Q317" s="10"/>
      <c r="R317" s="11"/>
      <c r="S317" s="11"/>
      <c r="T317" s="26"/>
      <c r="U317" s="28">
        <f t="shared" si="12"/>
        <v>1.7596092393192082</v>
      </c>
    </row>
    <row r="318" spans="1:21" ht="16.5" thickBot="1" x14ac:dyDescent="0.3">
      <c r="B318" s="12"/>
      <c r="C318" s="19">
        <v>105.24</v>
      </c>
      <c r="D318" s="20">
        <v>27.552</v>
      </c>
      <c r="E318" s="20">
        <v>37.274999999999999</v>
      </c>
      <c r="F318" s="20">
        <v>37.844999999999999</v>
      </c>
      <c r="G318" s="20">
        <v>139.86000000000001</v>
      </c>
      <c r="H318" s="20">
        <f t="shared" si="10"/>
        <v>30.054000000000002</v>
      </c>
      <c r="I318" s="5"/>
      <c r="J318" s="19">
        <v>123.38</v>
      </c>
      <c r="K318" s="20">
        <v>28.998999999999999</v>
      </c>
      <c r="L318" s="20">
        <v>38.2333</v>
      </c>
      <c r="M318" s="20">
        <v>38.830399999999997</v>
      </c>
      <c r="N318" s="20">
        <v>487.01299999999998</v>
      </c>
      <c r="O318" s="20">
        <f t="shared" si="11"/>
        <v>31.382212500000001</v>
      </c>
      <c r="P318" s="7"/>
      <c r="Q318" s="13"/>
      <c r="R318" s="14"/>
      <c r="S318" s="14"/>
      <c r="T318" s="27"/>
      <c r="U318" s="28">
        <f t="shared" si="12"/>
        <v>2.4821464321464317</v>
      </c>
    </row>
    <row r="319" spans="1:21" x14ac:dyDescent="0.25">
      <c r="B319" s="6" t="s">
        <v>59</v>
      </c>
      <c r="C319" s="29">
        <v>626.27</v>
      </c>
      <c r="D319" s="30">
        <v>33.42</v>
      </c>
      <c r="E319" s="30">
        <v>37.42</v>
      </c>
      <c r="F319" s="30">
        <v>38.015999999999998</v>
      </c>
      <c r="G319" s="16">
        <v>70.28</v>
      </c>
      <c r="H319" s="16">
        <f t="shared" si="10"/>
        <v>34.494500000000002</v>
      </c>
      <c r="I319" s="5"/>
      <c r="J319" s="29">
        <v>653.57759999999996</v>
      </c>
      <c r="K319" s="30">
        <v>34.113900000000001</v>
      </c>
      <c r="L319" s="30">
        <v>38.574100000000001</v>
      </c>
      <c r="M319" s="30">
        <v>39.445799999999998</v>
      </c>
      <c r="N319" s="16">
        <v>165.18</v>
      </c>
      <c r="O319" s="16">
        <f t="shared" si="11"/>
        <v>35.337912500000002</v>
      </c>
      <c r="P319" s="7"/>
      <c r="Q319" s="8">
        <f>bdrate(C319:C322,D319:D322,J319:J322,K319:K322)</f>
        <v>-0.15293157251257972</v>
      </c>
      <c r="R319" s="8">
        <f>bdrate(C319:C322,E319:E322,J319:J322,L319:L322)</f>
        <v>-0.29966082295600405</v>
      </c>
      <c r="S319" s="8">
        <f>bdrate(C319:C322,F319:F322,J319:J322,M319:M322)</f>
        <v>-0.35450156105372188</v>
      </c>
      <c r="T319" s="25">
        <f>bdrate(C319:C322,H319:H322,J319:J322,O319:O322)</f>
        <v>-0.18922989592054529</v>
      </c>
      <c r="U319" s="28">
        <f t="shared" si="12"/>
        <v>1.350313033579966</v>
      </c>
    </row>
    <row r="320" spans="1:21" x14ac:dyDescent="0.25">
      <c r="B320" s="9"/>
      <c r="C320" s="31">
        <v>417.05</v>
      </c>
      <c r="D320" s="32">
        <v>31.806000000000001</v>
      </c>
      <c r="E320" s="32">
        <v>36.295000000000002</v>
      </c>
      <c r="F320" s="32">
        <v>36.859000000000002</v>
      </c>
      <c r="G320" s="18">
        <v>79.53</v>
      </c>
      <c r="H320" s="18">
        <f t="shared" si="10"/>
        <v>32.998750000000001</v>
      </c>
      <c r="I320" s="5"/>
      <c r="J320" s="31">
        <v>432.07040000000001</v>
      </c>
      <c r="K320" s="32">
        <v>32.505099999999999</v>
      </c>
      <c r="L320" s="32">
        <v>37.369199999999999</v>
      </c>
      <c r="M320" s="32">
        <v>38.143599999999999</v>
      </c>
      <c r="N320" s="18">
        <v>195.46520000000001</v>
      </c>
      <c r="O320" s="18">
        <f t="shared" si="11"/>
        <v>33.817925000000002</v>
      </c>
      <c r="P320" s="7"/>
      <c r="Q320" s="10"/>
      <c r="R320" s="11"/>
      <c r="S320" s="11"/>
      <c r="T320" s="26"/>
      <c r="U320" s="28">
        <f t="shared" si="12"/>
        <v>1.457754306550987</v>
      </c>
    </row>
    <row r="321" spans="1:21" x14ac:dyDescent="0.25">
      <c r="B321" s="9"/>
      <c r="C321" s="31">
        <v>260.3</v>
      </c>
      <c r="D321" s="32">
        <v>30.04</v>
      </c>
      <c r="E321" s="32">
        <v>35.189</v>
      </c>
      <c r="F321" s="32">
        <v>35.713000000000001</v>
      </c>
      <c r="G321" s="18">
        <v>92.11</v>
      </c>
      <c r="H321" s="18">
        <f t="shared" si="10"/>
        <v>31.392749999999999</v>
      </c>
      <c r="I321" s="5"/>
      <c r="J321" s="31">
        <v>269.73599999999999</v>
      </c>
      <c r="K321" s="32">
        <v>30.806699999999999</v>
      </c>
      <c r="L321" s="32">
        <v>36.106000000000002</v>
      </c>
      <c r="M321" s="32">
        <v>36.882599999999996</v>
      </c>
      <c r="N321" s="18">
        <v>239.23439999999999</v>
      </c>
      <c r="O321" s="18">
        <f t="shared" si="11"/>
        <v>32.2286</v>
      </c>
      <c r="P321" s="7"/>
      <c r="Q321" s="10"/>
      <c r="R321" s="11"/>
      <c r="S321" s="11"/>
      <c r="T321" s="26"/>
      <c r="U321" s="28">
        <f t="shared" si="12"/>
        <v>1.5972684833351425</v>
      </c>
    </row>
    <row r="322" spans="1:21" ht="16.5" thickBot="1" x14ac:dyDescent="0.3">
      <c r="B322" s="12"/>
      <c r="C322" s="33">
        <v>123.85</v>
      </c>
      <c r="D322" s="34">
        <v>27.553999999999998</v>
      </c>
      <c r="E322" s="34">
        <v>33.460999999999999</v>
      </c>
      <c r="F322" s="34">
        <v>33.97</v>
      </c>
      <c r="G322" s="20">
        <v>114.47</v>
      </c>
      <c r="H322" s="20">
        <f t="shared" si="10"/>
        <v>29.094374999999996</v>
      </c>
      <c r="I322" s="5"/>
      <c r="J322" s="33">
        <v>127.184</v>
      </c>
      <c r="K322" s="34">
        <v>28.203199999999999</v>
      </c>
      <c r="L322" s="34">
        <v>34.372900000000001</v>
      </c>
      <c r="M322" s="34">
        <v>35.061900000000001</v>
      </c>
      <c r="N322" s="20">
        <v>333.77839999999998</v>
      </c>
      <c r="O322" s="20">
        <f t="shared" si="11"/>
        <v>29.831750000000003</v>
      </c>
      <c r="P322" s="7"/>
      <c r="Q322" s="13"/>
      <c r="R322" s="14"/>
      <c r="S322" s="14"/>
      <c r="T322" s="27"/>
      <c r="U322" s="28">
        <f t="shared" si="12"/>
        <v>1.9158591770769633</v>
      </c>
    </row>
    <row r="323" spans="1:21" x14ac:dyDescent="0.25">
      <c r="B323" s="6" t="s">
        <v>60</v>
      </c>
      <c r="C323" s="15">
        <v>574.55999999999995</v>
      </c>
      <c r="D323" s="16">
        <v>34.99</v>
      </c>
      <c r="E323" s="16">
        <v>38.024000000000001</v>
      </c>
      <c r="F323" s="16">
        <v>39.215000000000003</v>
      </c>
      <c r="G323" s="16">
        <v>40.06</v>
      </c>
      <c r="H323" s="16">
        <f t="shared" si="10"/>
        <v>35.897374999999997</v>
      </c>
      <c r="I323" s="5"/>
      <c r="J323" s="15">
        <v>638.57439999999997</v>
      </c>
      <c r="K323" s="16">
        <v>35.341299999999997</v>
      </c>
      <c r="L323" s="16">
        <v>38.716799999999999</v>
      </c>
      <c r="M323" s="16">
        <v>39.804600000000001</v>
      </c>
      <c r="N323" s="16">
        <v>95.693799999999996</v>
      </c>
      <c r="O323" s="16">
        <f t="shared" si="11"/>
        <v>36.321150000000003</v>
      </c>
      <c r="P323" s="7"/>
      <c r="Q323" s="8">
        <f>bdrate(C323:C326,D323:D326,J323:J326,K323:K326)</f>
        <v>4.1483056021017539E-2</v>
      </c>
      <c r="R323" s="8">
        <f>bdrate(C323:C326,E323:E326,J323:J326,L323:L326)</f>
        <v>-0.12437185628661729</v>
      </c>
      <c r="S323" s="8">
        <f>bdrate(C323:C326,F323:F326,J323:J326,M323:M326)</f>
        <v>-0.10885944513732038</v>
      </c>
      <c r="T323" s="25">
        <f>bdrate(C323:C326,H323:H326,J323:J326,O323:O326)</f>
        <v>8.164531611215553E-3</v>
      </c>
      <c r="U323" s="28">
        <f t="shared" si="12"/>
        <v>1.3887618572141784</v>
      </c>
    </row>
    <row r="324" spans="1:21" x14ac:dyDescent="0.25">
      <c r="B324" s="9"/>
      <c r="C324" s="17">
        <v>384.93</v>
      </c>
      <c r="D324" s="18">
        <v>33.119</v>
      </c>
      <c r="E324" s="18">
        <v>36.725999999999999</v>
      </c>
      <c r="F324" s="18">
        <v>37.911999999999999</v>
      </c>
      <c r="G324" s="18">
        <v>45.79</v>
      </c>
      <c r="H324" s="18">
        <f t="shared" si="10"/>
        <v>34.168999999999997</v>
      </c>
      <c r="I324" s="5"/>
      <c r="J324" s="17">
        <v>425.51280000000003</v>
      </c>
      <c r="K324" s="18">
        <v>33.4086</v>
      </c>
      <c r="L324" s="18">
        <v>37.383299999999998</v>
      </c>
      <c r="M324" s="18">
        <v>38.4985</v>
      </c>
      <c r="N324" s="18">
        <v>111.1523</v>
      </c>
      <c r="O324" s="18">
        <f t="shared" si="11"/>
        <v>34.541674999999998</v>
      </c>
      <c r="P324" s="7"/>
      <c r="Q324" s="10"/>
      <c r="R324" s="11"/>
      <c r="S324" s="11"/>
      <c r="T324" s="26"/>
      <c r="U324" s="28">
        <f t="shared" si="12"/>
        <v>1.4274361214238918</v>
      </c>
    </row>
    <row r="325" spans="1:21" x14ac:dyDescent="0.25">
      <c r="B325" s="9"/>
      <c r="C325" s="17">
        <v>242.64</v>
      </c>
      <c r="D325" s="18">
        <v>31.173999999999999</v>
      </c>
      <c r="E325" s="18">
        <v>35.353000000000002</v>
      </c>
      <c r="F325" s="18">
        <v>36.481000000000002</v>
      </c>
      <c r="G325" s="18">
        <v>53.87</v>
      </c>
      <c r="H325" s="18">
        <f t="shared" si="10"/>
        <v>32.359749999999998</v>
      </c>
      <c r="I325" s="5"/>
      <c r="J325" s="17">
        <v>265.05200000000002</v>
      </c>
      <c r="K325" s="18">
        <v>31.365500000000001</v>
      </c>
      <c r="L325" s="18">
        <v>35.965200000000003</v>
      </c>
      <c r="M325" s="18">
        <v>37.0749</v>
      </c>
      <c r="N325" s="18">
        <v>136.36359999999999</v>
      </c>
      <c r="O325" s="18">
        <f t="shared" si="11"/>
        <v>32.654137500000004</v>
      </c>
      <c r="P325" s="7"/>
      <c r="Q325" s="10"/>
      <c r="R325" s="11"/>
      <c r="S325" s="11"/>
      <c r="T325" s="26"/>
      <c r="U325" s="28">
        <f t="shared" si="12"/>
        <v>1.5313458325598661</v>
      </c>
    </row>
    <row r="326" spans="1:21" ht="16.5" thickBot="1" x14ac:dyDescent="0.3">
      <c r="B326" s="12"/>
      <c r="C326" s="19">
        <v>117.3</v>
      </c>
      <c r="D326" s="20">
        <v>28.561</v>
      </c>
      <c r="E326" s="20">
        <v>33.384999999999998</v>
      </c>
      <c r="F326" s="20">
        <v>34.325000000000003</v>
      </c>
      <c r="G326" s="20">
        <v>69.930000000000007</v>
      </c>
      <c r="H326" s="20">
        <f t="shared" si="10"/>
        <v>29.884499999999996</v>
      </c>
      <c r="I326" s="5"/>
      <c r="J326" s="19">
        <v>124.9712</v>
      </c>
      <c r="K326" s="20">
        <v>28.5915</v>
      </c>
      <c r="L326" s="20">
        <v>34.090899999999998</v>
      </c>
      <c r="M326" s="20">
        <v>35.0837</v>
      </c>
      <c r="N326" s="20">
        <v>190.11410000000001</v>
      </c>
      <c r="O326" s="20">
        <f t="shared" si="11"/>
        <v>30.090450000000001</v>
      </c>
      <c r="P326" s="7"/>
      <c r="Q326" s="13"/>
      <c r="R326" s="14"/>
      <c r="S326" s="14"/>
      <c r="T326" s="27"/>
      <c r="U326" s="28">
        <f t="shared" si="12"/>
        <v>1.7186343486343485</v>
      </c>
    </row>
    <row r="327" spans="1:21" x14ac:dyDescent="0.25">
      <c r="A327" s="6" t="s">
        <v>43</v>
      </c>
      <c r="B327" s="6" t="s">
        <v>61</v>
      </c>
      <c r="C327" s="15">
        <v>1373.62</v>
      </c>
      <c r="D327" s="16">
        <v>41.084000000000003</v>
      </c>
      <c r="E327" s="16">
        <v>44.834000000000003</v>
      </c>
      <c r="F327" s="16">
        <v>46.085999999999999</v>
      </c>
      <c r="G327" s="16">
        <v>27.43</v>
      </c>
      <c r="H327" s="16">
        <f t="shared" si="10"/>
        <v>42.178000000000004</v>
      </c>
      <c r="I327" s="5"/>
      <c r="J327" s="15">
        <v>1530.3456000000001</v>
      </c>
      <c r="K327" s="16">
        <v>41.9285</v>
      </c>
      <c r="L327" s="16">
        <v>46.035299999999999</v>
      </c>
      <c r="M327" s="16">
        <v>47.209499999999998</v>
      </c>
      <c r="N327" s="16">
        <v>54.1614</v>
      </c>
      <c r="O327" s="16">
        <f t="shared" si="11"/>
        <v>43.101974999999996</v>
      </c>
      <c r="P327" s="7"/>
      <c r="Q327" s="8">
        <f>bdrate(C327:C330,D327:D330,J327:J330,K327:K330)</f>
        <v>-0.19320691343918461</v>
      </c>
      <c r="R327" s="8">
        <f>bdrate(C327:C330,E327:E330,J327:J330,L327:L330)</f>
        <v>-0.26918839039726739</v>
      </c>
      <c r="S327" s="8">
        <f>bdrate(C327:C330,F327:F330,J327:J330,M327:M330)</f>
        <v>-0.23669672101393058</v>
      </c>
      <c r="T327" s="25">
        <f>bdrate(C327:C330,H327:H330,J327:J330,O327:O330)</f>
        <v>-0.20572793758631358</v>
      </c>
      <c r="U327" s="28">
        <f t="shared" si="12"/>
        <v>0.97453153481589505</v>
      </c>
    </row>
    <row r="328" spans="1:21" x14ac:dyDescent="0.25">
      <c r="A328" s="9" t="s">
        <v>44</v>
      </c>
      <c r="B328" s="9"/>
      <c r="C328" s="17">
        <v>897.87</v>
      </c>
      <c r="D328" s="18">
        <v>39.764000000000003</v>
      </c>
      <c r="E328" s="18">
        <v>43.771000000000001</v>
      </c>
      <c r="F328" s="18">
        <v>44.976999999999997</v>
      </c>
      <c r="G328" s="18">
        <v>30.02</v>
      </c>
      <c r="H328" s="18">
        <f t="shared" si="10"/>
        <v>40.916499999999999</v>
      </c>
      <c r="I328" s="5"/>
      <c r="J328" s="17">
        <v>1009.8824</v>
      </c>
      <c r="K328" s="18">
        <v>40.8917</v>
      </c>
      <c r="L328" s="18">
        <v>45.051000000000002</v>
      </c>
      <c r="M328" s="18">
        <v>46.185899999999997</v>
      </c>
      <c r="N328" s="18">
        <v>67.590400000000002</v>
      </c>
      <c r="O328" s="18">
        <f t="shared" si="11"/>
        <v>42.073387500000003</v>
      </c>
      <c r="P328" s="7"/>
      <c r="Q328" s="10"/>
      <c r="R328" s="11"/>
      <c r="S328" s="11"/>
      <c r="T328" s="26"/>
      <c r="U328" s="28">
        <f t="shared" si="12"/>
        <v>1.2515123251165892</v>
      </c>
    </row>
    <row r="329" spans="1:21" x14ac:dyDescent="0.25">
      <c r="B329" s="9"/>
      <c r="C329" s="17">
        <v>534.33000000000004</v>
      </c>
      <c r="D329" s="18">
        <v>37.686</v>
      </c>
      <c r="E329" s="18">
        <v>42.155999999999999</v>
      </c>
      <c r="F329" s="18">
        <v>43.408999999999999</v>
      </c>
      <c r="G329" s="18">
        <v>32.270000000000003</v>
      </c>
      <c r="H329" s="18">
        <f t="shared" si="10"/>
        <v>38.960124999999998</v>
      </c>
      <c r="I329" s="5"/>
      <c r="J329" s="17">
        <v>591.37440000000004</v>
      </c>
      <c r="K329" s="18">
        <v>39.008000000000003</v>
      </c>
      <c r="L329" s="18">
        <v>43.413499999999999</v>
      </c>
      <c r="M329" s="18">
        <v>44.564500000000002</v>
      </c>
      <c r="N329" s="18">
        <v>85.263599999999997</v>
      </c>
      <c r="O329" s="18">
        <f t="shared" si="11"/>
        <v>40.253250000000001</v>
      </c>
      <c r="P329" s="7"/>
      <c r="Q329" s="10"/>
      <c r="R329" s="11"/>
      <c r="S329" s="11"/>
      <c r="T329" s="26"/>
      <c r="U329" s="28">
        <f t="shared" si="12"/>
        <v>1.6421939882243566</v>
      </c>
    </row>
    <row r="330" spans="1:21" ht="16.5" thickBot="1" x14ac:dyDescent="0.3">
      <c r="B330" s="12"/>
      <c r="C330" s="19">
        <v>266.05</v>
      </c>
      <c r="D330" s="20">
        <v>34.534999999999997</v>
      </c>
      <c r="E330" s="20">
        <v>40.134999999999998</v>
      </c>
      <c r="F330" s="20">
        <v>41.302</v>
      </c>
      <c r="G330" s="20">
        <v>35.29</v>
      </c>
      <c r="H330" s="20">
        <f t="shared" si="10"/>
        <v>36.080874999999999</v>
      </c>
      <c r="I330" s="5"/>
      <c r="J330" s="19">
        <v>291.80959999999999</v>
      </c>
      <c r="K330" s="20">
        <v>35.7864</v>
      </c>
      <c r="L330" s="20">
        <v>41.240900000000003</v>
      </c>
      <c r="M330" s="20">
        <v>42.191600000000001</v>
      </c>
      <c r="N330" s="20">
        <v>115.8078</v>
      </c>
      <c r="O330" s="20">
        <f t="shared" si="11"/>
        <v>37.268862500000004</v>
      </c>
      <c r="P330" s="7"/>
      <c r="Q330" s="13"/>
      <c r="R330" s="14"/>
      <c r="S330" s="14"/>
      <c r="T330" s="27"/>
      <c r="U330" s="28">
        <f t="shared" si="12"/>
        <v>2.2816038537829413</v>
      </c>
    </row>
    <row r="331" spans="1:21" x14ac:dyDescent="0.25">
      <c r="B331" s="6" t="s">
        <v>62</v>
      </c>
      <c r="C331" s="15">
        <v>1421.52</v>
      </c>
      <c r="D331" s="16">
        <v>42.594000000000001</v>
      </c>
      <c r="E331" s="16">
        <v>47.192</v>
      </c>
      <c r="F331" s="16">
        <v>47.814999999999998</v>
      </c>
      <c r="G331" s="16">
        <v>27.32</v>
      </c>
      <c r="H331" s="16">
        <f t="shared" si="10"/>
        <v>43.821375000000003</v>
      </c>
      <c r="I331" s="5"/>
      <c r="J331" s="15">
        <v>1516.9503999999999</v>
      </c>
      <c r="K331" s="16">
        <v>42.947099999999999</v>
      </c>
      <c r="L331" s="16">
        <v>48.1601</v>
      </c>
      <c r="M331" s="16">
        <v>48.810400000000001</v>
      </c>
      <c r="N331" s="16">
        <v>62.305300000000003</v>
      </c>
      <c r="O331" s="16">
        <f t="shared" si="11"/>
        <v>44.331637499999999</v>
      </c>
      <c r="P331" s="7"/>
      <c r="Q331" s="8">
        <f>bdrate(C331:C334,D331:D334,J331:J334,K331:K334)</f>
        <v>-0.17039126401962745</v>
      </c>
      <c r="R331" s="8">
        <f>bdrate(C331:C334,E331:E334,J331:J334,L331:L334)</f>
        <v>-0.38070992545138571</v>
      </c>
      <c r="S331" s="8">
        <f>bdrate(C331:C334,F331:F334,J331:J334,M331:M334)</f>
        <v>-0.31732616834800909</v>
      </c>
      <c r="T331" s="25">
        <f>bdrate(C331:C334,H331:H334,J331:J334,O331:O334)</f>
        <v>-0.22350859565513426</v>
      </c>
      <c r="U331" s="28">
        <f t="shared" ref="U331:U490" si="13">(N331-G331)/G331</f>
        <v>1.2805746705710104</v>
      </c>
    </row>
    <row r="332" spans="1:21" x14ac:dyDescent="0.25">
      <c r="B332" s="9"/>
      <c r="C332" s="17">
        <v>931.06</v>
      </c>
      <c r="D332" s="18">
        <v>41.982999999999997</v>
      </c>
      <c r="E332" s="18">
        <v>46.408000000000001</v>
      </c>
      <c r="F332" s="18">
        <v>47.21</v>
      </c>
      <c r="G332" s="18">
        <v>30.33</v>
      </c>
      <c r="H332" s="18">
        <f t="shared" si="10"/>
        <v>43.189499999999995</v>
      </c>
      <c r="I332" s="5"/>
      <c r="J332" s="17">
        <v>1000.2744</v>
      </c>
      <c r="K332" s="18">
        <v>42.433199999999999</v>
      </c>
      <c r="L332" s="18">
        <v>47.569200000000002</v>
      </c>
      <c r="M332" s="18">
        <v>48.201500000000003</v>
      </c>
      <c r="N332" s="18">
        <v>80.461299999999994</v>
      </c>
      <c r="O332" s="18">
        <f t="shared" si="11"/>
        <v>43.796237500000004</v>
      </c>
      <c r="P332" s="7"/>
      <c r="Q332" s="10"/>
      <c r="R332" s="11"/>
      <c r="S332" s="11"/>
      <c r="T332" s="26"/>
      <c r="U332" s="28">
        <f t="shared" si="13"/>
        <v>1.6528618529508736</v>
      </c>
    </row>
    <row r="333" spans="1:21" x14ac:dyDescent="0.25">
      <c r="B333" s="9"/>
      <c r="C333" s="17">
        <v>544.96</v>
      </c>
      <c r="D333" s="18">
        <v>41.061999999999998</v>
      </c>
      <c r="E333" s="18">
        <v>45.353000000000002</v>
      </c>
      <c r="F333" s="18">
        <v>46.161999999999999</v>
      </c>
      <c r="G333" s="18">
        <v>32.51</v>
      </c>
      <c r="H333" s="18">
        <f t="shared" si="10"/>
        <v>42.235874999999993</v>
      </c>
      <c r="I333" s="5"/>
      <c r="J333" s="17">
        <v>588.7056</v>
      </c>
      <c r="K333" s="18">
        <v>41.591999999999999</v>
      </c>
      <c r="L333" s="18">
        <v>46.582799999999999</v>
      </c>
      <c r="M333" s="18">
        <v>47.169699999999999</v>
      </c>
      <c r="N333" s="18">
        <v>107.1046</v>
      </c>
      <c r="O333" s="18">
        <f t="shared" si="11"/>
        <v>42.913062499999995</v>
      </c>
      <c r="P333" s="7"/>
      <c r="Q333" s="10"/>
      <c r="R333" s="11"/>
      <c r="S333" s="11"/>
      <c r="T333" s="26"/>
      <c r="U333" s="28">
        <f t="shared" si="13"/>
        <v>2.2945124577053222</v>
      </c>
    </row>
    <row r="334" spans="1:21" ht="16.5" thickBot="1" x14ac:dyDescent="0.3">
      <c r="B334" s="12"/>
      <c r="C334" s="19">
        <v>263.27999999999997</v>
      </c>
      <c r="D334" s="20">
        <v>39.130000000000003</v>
      </c>
      <c r="E334" s="20">
        <v>43.462000000000003</v>
      </c>
      <c r="F334" s="20">
        <v>44.317999999999998</v>
      </c>
      <c r="G334" s="20">
        <v>34.9</v>
      </c>
      <c r="H334" s="20">
        <f t="shared" si="10"/>
        <v>40.32</v>
      </c>
      <c r="I334" s="5"/>
      <c r="J334" s="19">
        <v>285.03120000000001</v>
      </c>
      <c r="K334" s="20">
        <v>39.751399999999997</v>
      </c>
      <c r="L334" s="20">
        <v>44.634999999999998</v>
      </c>
      <c r="M334" s="20">
        <v>45.247999999999998</v>
      </c>
      <c r="N334" s="20">
        <v>152.63290000000001</v>
      </c>
      <c r="O334" s="20">
        <f t="shared" si="11"/>
        <v>41.048924999999997</v>
      </c>
      <c r="P334" s="7"/>
      <c r="Q334" s="13"/>
      <c r="R334" s="14"/>
      <c r="S334" s="14"/>
      <c r="T334" s="27"/>
      <c r="U334" s="28">
        <f t="shared" si="13"/>
        <v>3.3734355300859602</v>
      </c>
    </row>
    <row r="335" spans="1:21" x14ac:dyDescent="0.25">
      <c r="B335" s="6" t="s">
        <v>63</v>
      </c>
      <c r="C335" s="15">
        <v>1478.8</v>
      </c>
      <c r="D335" s="16">
        <v>42.454999999999998</v>
      </c>
      <c r="E335" s="16">
        <v>46.408000000000001</v>
      </c>
      <c r="F335" s="16">
        <v>47.319000000000003</v>
      </c>
      <c r="G335" s="16">
        <v>24.47</v>
      </c>
      <c r="H335" s="16">
        <f t="shared" si="10"/>
        <v>43.557124999999999</v>
      </c>
      <c r="I335" s="5"/>
      <c r="J335" s="15">
        <v>1556.3824</v>
      </c>
      <c r="K335" s="16">
        <v>42.827599999999997</v>
      </c>
      <c r="L335" s="16">
        <v>47.189300000000003</v>
      </c>
      <c r="M335" s="16">
        <v>48.048999999999999</v>
      </c>
      <c r="N335" s="16">
        <v>58.2637</v>
      </c>
      <c r="O335" s="16">
        <f t="shared" si="11"/>
        <v>44.025487499999997</v>
      </c>
      <c r="P335" s="7"/>
      <c r="Q335" s="8">
        <f>bdrate(C335:C338,D335:D338,J335:J338,K335:K338)</f>
        <v>-0.16355946879057082</v>
      </c>
      <c r="R335" s="8">
        <f>bdrate(C335:C338,E335:E338,J335:J338,L335:L338)</f>
        <v>-0.28637325755495813</v>
      </c>
      <c r="S335" s="8">
        <f>bdrate(C335:C338,F335:F338,J335:J338,M335:M338)</f>
        <v>-0.27037969106940285</v>
      </c>
      <c r="T335" s="25">
        <f>bdrate(C335:C338,H335:H338,J335:J338,O335:O338)</f>
        <v>-0.19206749726048278</v>
      </c>
      <c r="U335" s="28">
        <f t="shared" si="13"/>
        <v>1.3810257458111974</v>
      </c>
    </row>
    <row r="336" spans="1:21" x14ac:dyDescent="0.25">
      <c r="B336" s="9"/>
      <c r="C336" s="17">
        <v>975.79</v>
      </c>
      <c r="D336" s="18">
        <v>41.564</v>
      </c>
      <c r="E336" s="18">
        <v>45.457999999999998</v>
      </c>
      <c r="F336" s="18">
        <v>46.311</v>
      </c>
      <c r="G336" s="18">
        <v>27.41</v>
      </c>
      <c r="H336" s="18">
        <f t="shared" si="10"/>
        <v>42.644124999999995</v>
      </c>
      <c r="I336" s="5"/>
      <c r="J336" s="17">
        <v>1033.7592</v>
      </c>
      <c r="K336" s="18">
        <v>42.0717</v>
      </c>
      <c r="L336" s="18">
        <v>46.422600000000003</v>
      </c>
      <c r="M336" s="18">
        <v>47.2577</v>
      </c>
      <c r="N336" s="18">
        <v>72.983800000000002</v>
      </c>
      <c r="O336" s="18">
        <f t="shared" si="11"/>
        <v>43.2638125</v>
      </c>
      <c r="P336" s="7"/>
      <c r="Q336" s="10"/>
      <c r="R336" s="11"/>
      <c r="S336" s="11"/>
      <c r="T336" s="26"/>
      <c r="U336" s="28">
        <f t="shared" si="13"/>
        <v>1.6626705581904417</v>
      </c>
    </row>
    <row r="337" spans="1:21" x14ac:dyDescent="0.25">
      <c r="B337" s="9"/>
      <c r="C337" s="17">
        <v>578.70000000000005</v>
      </c>
      <c r="D337" s="18">
        <v>40.1</v>
      </c>
      <c r="E337" s="18">
        <v>44.093000000000004</v>
      </c>
      <c r="F337" s="18">
        <v>44.9</v>
      </c>
      <c r="G337" s="18">
        <v>29.65</v>
      </c>
      <c r="H337" s="18">
        <f t="shared" si="10"/>
        <v>41.199125000000002</v>
      </c>
      <c r="I337" s="5"/>
      <c r="J337" s="17">
        <v>598.49040000000002</v>
      </c>
      <c r="K337" s="18">
        <v>40.762500000000003</v>
      </c>
      <c r="L337" s="18">
        <v>45.084600000000002</v>
      </c>
      <c r="M337" s="18">
        <v>45.850200000000001</v>
      </c>
      <c r="N337" s="18">
        <v>94.265500000000003</v>
      </c>
      <c r="O337" s="18">
        <f t="shared" si="11"/>
        <v>41.938725000000005</v>
      </c>
      <c r="P337" s="7"/>
      <c r="Q337" s="10"/>
      <c r="R337" s="11"/>
      <c r="S337" s="11"/>
      <c r="T337" s="26"/>
      <c r="U337" s="28">
        <f t="shared" si="13"/>
        <v>2.1792748735244518</v>
      </c>
    </row>
    <row r="338" spans="1:21" ht="16.5" thickBot="1" x14ac:dyDescent="0.3">
      <c r="B338" s="12"/>
      <c r="C338" s="19">
        <v>286.48</v>
      </c>
      <c r="D338" s="20">
        <v>37.488999999999997</v>
      </c>
      <c r="E338" s="20">
        <v>41.963000000000001</v>
      </c>
      <c r="F338" s="20">
        <v>42.755000000000003</v>
      </c>
      <c r="G338" s="20">
        <v>32.590000000000003</v>
      </c>
      <c r="H338" s="20">
        <f t="shared" si="10"/>
        <v>38.706499999999998</v>
      </c>
      <c r="I338" s="5"/>
      <c r="J338" s="19">
        <v>293.19279999999998</v>
      </c>
      <c r="K338" s="20">
        <v>38.241500000000002</v>
      </c>
      <c r="L338" s="20">
        <v>43.028300000000002</v>
      </c>
      <c r="M338" s="20">
        <v>43.796799999999998</v>
      </c>
      <c r="N338" s="20">
        <v>137.36259999999999</v>
      </c>
      <c r="O338" s="20">
        <f t="shared" si="11"/>
        <v>39.534262500000004</v>
      </c>
      <c r="P338" s="7"/>
      <c r="Q338" s="13"/>
      <c r="R338" s="14"/>
      <c r="S338" s="14"/>
      <c r="T338" s="27"/>
      <c r="U338" s="28">
        <f t="shared" si="13"/>
        <v>3.2148695918993546</v>
      </c>
    </row>
    <row r="339" spans="1:21" hidden="1" x14ac:dyDescent="0.25">
      <c r="A339" s="6" t="s">
        <v>71</v>
      </c>
      <c r="B339" s="6" t="s">
        <v>73</v>
      </c>
      <c r="C339" s="15">
        <v>1245.58</v>
      </c>
      <c r="D339" s="16">
        <v>35.292000000000002</v>
      </c>
      <c r="E339" s="16">
        <v>38.215000000000003</v>
      </c>
      <c r="F339" s="16">
        <v>38.283000000000001</v>
      </c>
      <c r="G339" s="16">
        <v>30.32</v>
      </c>
      <c r="H339" s="16">
        <f t="shared" ref="H339:H498" si="14">(6*D339+E339+F339)/8</f>
        <v>36.03125</v>
      </c>
      <c r="I339" s="5"/>
      <c r="J339" s="15">
        <v>1271.636</v>
      </c>
      <c r="K339" s="16">
        <v>36.557000000000002</v>
      </c>
      <c r="L339" s="16">
        <v>39.7928</v>
      </c>
      <c r="M339" s="16">
        <v>39.7714</v>
      </c>
      <c r="N339" s="16">
        <v>56.331699999999998</v>
      </c>
      <c r="O339" s="16">
        <f t="shared" ref="O339:O498" si="15">(6*K339+L339+M339)/8</f>
        <v>37.363275000000002</v>
      </c>
      <c r="P339" s="7"/>
      <c r="Q339" s="8">
        <f>bdrate(C339:C342,D339:D342,J339:J342,K339:K342)</f>
        <v>-0.21196548933253101</v>
      </c>
      <c r="R339" s="8">
        <f>bdrate(C339:C342,E339:E342,J339:J342,L339:L342)</f>
        <v>-0.33268736473051064</v>
      </c>
      <c r="S339" s="8">
        <f>bdrate(C339:C342,F339:F342,J339:J342,M339:M342)</f>
        <v>-0.2730125939522815</v>
      </c>
      <c r="T339" s="25">
        <f>bdrate(C339:C342,H339:H342,J339:J342,O339:O342)</f>
        <v>-0.23341488560875956</v>
      </c>
      <c r="U339" s="28">
        <f t="shared" si="13"/>
        <v>0.85790567282321895</v>
      </c>
    </row>
    <row r="340" spans="1:21" hidden="1" x14ac:dyDescent="0.25">
      <c r="A340" s="9" t="s">
        <v>72</v>
      </c>
      <c r="B340" s="9"/>
      <c r="C340" s="17">
        <v>828.08</v>
      </c>
      <c r="D340" s="18">
        <v>33.591000000000001</v>
      </c>
      <c r="E340" s="18">
        <v>36.682000000000002</v>
      </c>
      <c r="F340" s="18">
        <v>36.71</v>
      </c>
      <c r="G340" s="18">
        <v>33.950000000000003</v>
      </c>
      <c r="H340" s="18">
        <f t="shared" si="14"/>
        <v>34.367249999999999</v>
      </c>
      <c r="I340" s="5"/>
      <c r="J340" s="17">
        <v>843.91039999999998</v>
      </c>
      <c r="K340" s="18">
        <v>34.6873</v>
      </c>
      <c r="L340" s="18">
        <v>38.193199999999997</v>
      </c>
      <c r="M340" s="18">
        <v>38.016399999999997</v>
      </c>
      <c r="N340" s="18">
        <v>66.365799999999993</v>
      </c>
      <c r="O340" s="18">
        <f t="shared" si="15"/>
        <v>35.541674999999998</v>
      </c>
      <c r="P340" s="7"/>
      <c r="Q340" s="10"/>
      <c r="R340" s="11"/>
      <c r="S340" s="11"/>
      <c r="T340" s="26"/>
      <c r="U340" s="28">
        <f t="shared" si="13"/>
        <v>0.95481001472754012</v>
      </c>
    </row>
    <row r="341" spans="1:21" hidden="1" x14ac:dyDescent="0.25">
      <c r="B341" s="9"/>
      <c r="C341" s="17">
        <v>515.32000000000005</v>
      </c>
      <c r="D341" s="18">
        <v>31.651</v>
      </c>
      <c r="E341" s="18">
        <v>35.002000000000002</v>
      </c>
      <c r="F341" s="18">
        <v>34.979999999999997</v>
      </c>
      <c r="G341" s="18">
        <v>38.76</v>
      </c>
      <c r="H341" s="18">
        <f t="shared" si="14"/>
        <v>32.486000000000004</v>
      </c>
      <c r="I341" s="5"/>
      <c r="J341" s="17">
        <v>524.49440000000004</v>
      </c>
      <c r="K341" s="18">
        <v>32.683500000000002</v>
      </c>
      <c r="L341" s="18">
        <v>36.473500000000001</v>
      </c>
      <c r="M341" s="18">
        <v>36.190100000000001</v>
      </c>
      <c r="N341" s="18">
        <v>78.566900000000004</v>
      </c>
      <c r="O341" s="18">
        <f t="shared" si="15"/>
        <v>33.595574999999997</v>
      </c>
      <c r="P341" s="7"/>
      <c r="Q341" s="10"/>
      <c r="R341" s="11"/>
      <c r="S341" s="11"/>
      <c r="T341" s="26"/>
      <c r="U341" s="28">
        <f t="shared" si="13"/>
        <v>1.0270098039215689</v>
      </c>
    </row>
    <row r="342" spans="1:21" ht="16.5" hidden="1" thickBot="1" x14ac:dyDescent="0.3">
      <c r="B342" s="12"/>
      <c r="C342" s="19">
        <v>306.25</v>
      </c>
      <c r="D342" s="20">
        <v>29.658000000000001</v>
      </c>
      <c r="E342" s="20">
        <v>33.53</v>
      </c>
      <c r="F342" s="20">
        <v>33.279000000000003</v>
      </c>
      <c r="G342" s="20">
        <v>44.75</v>
      </c>
      <c r="H342" s="20">
        <f t="shared" si="14"/>
        <v>30.594625000000001</v>
      </c>
      <c r="I342" s="5"/>
      <c r="J342" s="19">
        <v>315.81040000000002</v>
      </c>
      <c r="K342" s="20">
        <v>30.631900000000002</v>
      </c>
      <c r="L342" s="20">
        <v>34.823</v>
      </c>
      <c r="M342" s="20">
        <v>34.394399999999997</v>
      </c>
      <c r="N342" s="20">
        <v>95.914100000000005</v>
      </c>
      <c r="O342" s="20">
        <f t="shared" si="15"/>
        <v>31.626100000000001</v>
      </c>
      <c r="P342" s="7"/>
      <c r="Q342" s="13"/>
      <c r="R342" s="14"/>
      <c r="S342" s="14"/>
      <c r="T342" s="27"/>
      <c r="U342" s="28">
        <f t="shared" si="13"/>
        <v>1.1433318435754192</v>
      </c>
    </row>
    <row r="343" spans="1:21" hidden="1" x14ac:dyDescent="0.25">
      <c r="B343" s="6" t="s">
        <v>74</v>
      </c>
      <c r="C343" s="15">
        <v>1134.02</v>
      </c>
      <c r="D343" s="16">
        <v>34.134999999999998</v>
      </c>
      <c r="E343" s="16">
        <v>40.030999999999999</v>
      </c>
      <c r="F343" s="16">
        <v>39.683</v>
      </c>
      <c r="G343" s="16">
        <v>18.53</v>
      </c>
      <c r="H343" s="16">
        <f t="shared" si="14"/>
        <v>35.5655</v>
      </c>
      <c r="I343" s="5"/>
      <c r="J343" s="15">
        <v>1247.0059000000001</v>
      </c>
      <c r="K343" s="16">
        <v>34.338900000000002</v>
      </c>
      <c r="L343" s="16">
        <v>41.236400000000003</v>
      </c>
      <c r="M343" s="16">
        <v>40.6203</v>
      </c>
      <c r="N343" s="16">
        <v>37.9651</v>
      </c>
      <c r="O343" s="16">
        <f t="shared" si="15"/>
        <v>35.986262500000002</v>
      </c>
      <c r="P343" s="7"/>
      <c r="Q343" s="8">
        <f>bdrate(C343:C346,D343:D346,J343:J346,K343:K346)</f>
        <v>-2.4242930564489784E-3</v>
      </c>
      <c r="R343" s="8">
        <f>bdrate(C343:C346,E343:E346,J343:J346,L343:L346)</f>
        <v>-0.29925219277299731</v>
      </c>
      <c r="S343" s="8">
        <f>bdrate(C343:C346,F343:F346,J343:J346,M343:M346)</f>
        <v>-0.20454942972242762</v>
      </c>
      <c r="T343" s="25">
        <f>bdrate(C343:C346,H343:H346,J343:J346,O343:O346)</f>
        <v>-6.029156305211536E-2</v>
      </c>
      <c r="U343" s="28">
        <f t="shared" si="13"/>
        <v>1.0488451160280625</v>
      </c>
    </row>
    <row r="344" spans="1:21" hidden="1" x14ac:dyDescent="0.25">
      <c r="B344" s="9"/>
      <c r="C344" s="17">
        <v>750.46</v>
      </c>
      <c r="D344" s="18">
        <v>32.497999999999998</v>
      </c>
      <c r="E344" s="18">
        <v>38.895000000000003</v>
      </c>
      <c r="F344" s="18">
        <v>38.277000000000001</v>
      </c>
      <c r="G344" s="18">
        <v>20.91</v>
      </c>
      <c r="H344" s="18">
        <f t="shared" si="14"/>
        <v>34.020000000000003</v>
      </c>
      <c r="I344" s="5"/>
      <c r="J344" s="17">
        <v>827.36059999999998</v>
      </c>
      <c r="K344" s="18">
        <v>32.795699999999997</v>
      </c>
      <c r="L344" s="18">
        <v>40.079799999999999</v>
      </c>
      <c r="M344" s="18">
        <v>39.320799999999998</v>
      </c>
      <c r="N344" s="18">
        <v>45.905299999999997</v>
      </c>
      <c r="O344" s="18">
        <f t="shared" si="15"/>
        <v>34.521850000000001</v>
      </c>
      <c r="P344" s="7"/>
      <c r="Q344" s="10"/>
      <c r="R344" s="11"/>
      <c r="S344" s="11"/>
      <c r="T344" s="26"/>
      <c r="U344" s="28">
        <f t="shared" si="13"/>
        <v>1.1953754184600669</v>
      </c>
    </row>
    <row r="345" spans="1:21" hidden="1" x14ac:dyDescent="0.25">
      <c r="B345" s="9"/>
      <c r="C345" s="17">
        <v>467.77</v>
      </c>
      <c r="D345" s="18">
        <v>30.771999999999998</v>
      </c>
      <c r="E345" s="18">
        <v>37.680999999999997</v>
      </c>
      <c r="F345" s="18">
        <v>36.9</v>
      </c>
      <c r="G345" s="18">
        <v>23.58</v>
      </c>
      <c r="H345" s="18">
        <f t="shared" si="14"/>
        <v>32.401624999999996</v>
      </c>
      <c r="I345" s="5"/>
      <c r="J345" s="17">
        <v>515.03279999999995</v>
      </c>
      <c r="K345" s="18">
        <v>31.180399999999999</v>
      </c>
      <c r="L345" s="18">
        <v>38.845500000000001</v>
      </c>
      <c r="M345" s="18">
        <v>37.850900000000003</v>
      </c>
      <c r="N345" s="18">
        <v>57.025500000000001</v>
      </c>
      <c r="O345" s="18">
        <f t="shared" si="15"/>
        <v>32.972350000000006</v>
      </c>
      <c r="P345" s="7"/>
      <c r="Q345" s="10"/>
      <c r="R345" s="11"/>
      <c r="S345" s="11"/>
      <c r="T345" s="26"/>
      <c r="U345" s="28">
        <f t="shared" si="13"/>
        <v>1.4183842239185753</v>
      </c>
    </row>
    <row r="346" spans="1:21" ht="16.5" hidden="1" thickBot="1" x14ac:dyDescent="0.3">
      <c r="B346" s="12"/>
      <c r="C346" s="19">
        <v>280.05</v>
      </c>
      <c r="D346" s="20">
        <v>29.128</v>
      </c>
      <c r="E346" s="20">
        <v>36.517000000000003</v>
      </c>
      <c r="F346" s="20">
        <v>35.542999999999999</v>
      </c>
      <c r="G346" s="20">
        <v>27.32</v>
      </c>
      <c r="H346" s="20">
        <f t="shared" si="14"/>
        <v>30.8535</v>
      </c>
      <c r="I346" s="5"/>
      <c r="J346" s="19">
        <v>310.53410000000002</v>
      </c>
      <c r="K346" s="20">
        <v>29.574300000000001</v>
      </c>
      <c r="L346" s="20">
        <v>37.572699999999998</v>
      </c>
      <c r="M346" s="20">
        <v>36.3964</v>
      </c>
      <c r="N346" s="20">
        <v>70.264200000000002</v>
      </c>
      <c r="O346" s="20">
        <f t="shared" si="15"/>
        <v>31.426862500000002</v>
      </c>
      <c r="P346" s="7"/>
      <c r="Q346" s="13"/>
      <c r="R346" s="14"/>
      <c r="S346" s="14"/>
      <c r="T346" s="27"/>
      <c r="U346" s="28">
        <f t="shared" si="13"/>
        <v>1.571896046852123</v>
      </c>
    </row>
    <row r="347" spans="1:21" hidden="1" x14ac:dyDescent="0.25">
      <c r="B347" s="6" t="s">
        <v>75</v>
      </c>
      <c r="C347" s="15">
        <v>810.86</v>
      </c>
      <c r="D347" s="16">
        <v>49.273000000000003</v>
      </c>
      <c r="E347" s="16">
        <v>48.899000000000001</v>
      </c>
      <c r="F347" s="16">
        <v>48.792999999999999</v>
      </c>
      <c r="G347" s="16">
        <v>36.700000000000003</v>
      </c>
      <c r="H347" s="16">
        <f t="shared" si="14"/>
        <v>49.166250000000005</v>
      </c>
      <c r="I347" s="5"/>
      <c r="J347" s="15">
        <v>838.73839999999996</v>
      </c>
      <c r="K347" s="16">
        <v>50.0274</v>
      </c>
      <c r="L347" s="16">
        <v>49.619599999999998</v>
      </c>
      <c r="M347" s="16">
        <v>49.525799999999997</v>
      </c>
      <c r="N347" s="16">
        <v>51.822400000000002</v>
      </c>
      <c r="O347" s="16">
        <f t="shared" si="15"/>
        <v>49.913724999999999</v>
      </c>
      <c r="P347" s="7"/>
      <c r="Q347" s="8">
        <f>bdrate(C347:C350,D347:D350,J347:J350,K347:K350)</f>
        <v>6.0704060676259886E-3</v>
      </c>
      <c r="R347" s="8">
        <f>bdrate(C347:C350,E347:E350,J347:J350,L347:L350)</f>
        <v>-4.9647035226014213E-2</v>
      </c>
      <c r="S347" s="8">
        <f>bdrate(C347:C350,F347:F350,J347:J350,M347:M350)</f>
        <v>-4.2945299195829678E-2</v>
      </c>
      <c r="T347" s="25">
        <f>bdrate(C347:C350,H347:H350,J347:J350,O347:O350)</f>
        <v>-4.7754004371166614E-3</v>
      </c>
      <c r="U347" s="28">
        <f t="shared" si="13"/>
        <v>0.41205449591280646</v>
      </c>
    </row>
    <row r="348" spans="1:21" hidden="1" x14ac:dyDescent="0.25">
      <c r="B348" s="9"/>
      <c r="C348" s="17">
        <v>538.85</v>
      </c>
      <c r="D348" s="18">
        <v>44.79</v>
      </c>
      <c r="E348" s="18">
        <v>44.667999999999999</v>
      </c>
      <c r="F348" s="18">
        <v>44.593000000000004</v>
      </c>
      <c r="G348" s="18">
        <v>40.83</v>
      </c>
      <c r="H348" s="18">
        <f t="shared" si="14"/>
        <v>44.750125000000004</v>
      </c>
      <c r="I348" s="5"/>
      <c r="J348" s="17">
        <v>715.8768</v>
      </c>
      <c r="K348" s="18">
        <v>48.510899999999999</v>
      </c>
      <c r="L348" s="18">
        <v>48.313299999999998</v>
      </c>
      <c r="M348" s="18">
        <v>48.146099999999997</v>
      </c>
      <c r="N348" s="18">
        <v>74.202299999999994</v>
      </c>
      <c r="O348" s="18">
        <f t="shared" si="15"/>
        <v>48.440599999999996</v>
      </c>
      <c r="P348" s="7"/>
      <c r="Q348" s="10"/>
      <c r="R348" s="11"/>
      <c r="S348" s="11"/>
      <c r="T348" s="26"/>
      <c r="U348" s="28">
        <f t="shared" si="13"/>
        <v>0.81734753857457743</v>
      </c>
    </row>
    <row r="349" spans="1:21" hidden="1" x14ac:dyDescent="0.25">
      <c r="B349" s="9"/>
      <c r="C349" s="17">
        <v>348.68</v>
      </c>
      <c r="D349" s="18">
        <v>38.991999999999997</v>
      </c>
      <c r="E349" s="18">
        <v>40.451000000000001</v>
      </c>
      <c r="F349" s="18">
        <v>40.265999999999998</v>
      </c>
      <c r="G349" s="18">
        <v>44.72</v>
      </c>
      <c r="H349" s="18">
        <f t="shared" si="14"/>
        <v>39.333625000000005</v>
      </c>
      <c r="I349" s="5"/>
      <c r="J349" s="17">
        <v>543.56880000000001</v>
      </c>
      <c r="K349" s="18">
        <v>44.624899999999997</v>
      </c>
      <c r="L349" s="18">
        <v>45.183</v>
      </c>
      <c r="M349" s="18">
        <v>45.045400000000001</v>
      </c>
      <c r="N349" s="18">
        <v>114.4601</v>
      </c>
      <c r="O349" s="18">
        <f t="shared" si="15"/>
        <v>44.747225</v>
      </c>
      <c r="P349" s="7"/>
      <c r="Q349" s="10"/>
      <c r="R349" s="11"/>
      <c r="S349" s="11"/>
      <c r="T349" s="26"/>
      <c r="U349" s="28">
        <f t="shared" si="13"/>
        <v>1.5594834525939176</v>
      </c>
    </row>
    <row r="350" spans="1:21" ht="16.5" hidden="1" thickBot="1" x14ac:dyDescent="0.3">
      <c r="B350" s="12"/>
      <c r="C350" s="19">
        <v>189.86</v>
      </c>
      <c r="D350" s="20">
        <v>31.690999999999999</v>
      </c>
      <c r="E350" s="20">
        <v>36.994999999999997</v>
      </c>
      <c r="F350" s="20">
        <v>36.322000000000003</v>
      </c>
      <c r="G350" s="20">
        <v>47.83</v>
      </c>
      <c r="H350" s="20">
        <f t="shared" si="14"/>
        <v>32.932874999999996</v>
      </c>
      <c r="I350" s="5"/>
      <c r="J350" s="19">
        <v>317.42320000000001</v>
      </c>
      <c r="K350" s="20">
        <v>37.560400000000001</v>
      </c>
      <c r="L350" s="20">
        <v>39.959099999999999</v>
      </c>
      <c r="M350" s="20">
        <v>39.719799999999999</v>
      </c>
      <c r="N350" s="20">
        <v>137.36259999999999</v>
      </c>
      <c r="O350" s="20">
        <f t="shared" si="15"/>
        <v>38.130162500000004</v>
      </c>
      <c r="P350" s="7"/>
      <c r="Q350" s="13"/>
      <c r="R350" s="14"/>
      <c r="S350" s="14"/>
      <c r="T350" s="27"/>
      <c r="U350" s="28">
        <f t="shared" si="13"/>
        <v>1.8718921179176247</v>
      </c>
    </row>
    <row r="351" spans="1:21" hidden="1" x14ac:dyDescent="0.25">
      <c r="B351" s="6" t="s">
        <v>76</v>
      </c>
      <c r="C351" s="15">
        <v>1154.55</v>
      </c>
      <c r="D351" s="16">
        <v>54.244</v>
      </c>
      <c r="E351" s="16">
        <v>57.183</v>
      </c>
      <c r="F351" s="16">
        <v>58.145000000000003</v>
      </c>
      <c r="G351" s="16">
        <v>27.32</v>
      </c>
      <c r="H351" s="16">
        <f t="shared" si="14"/>
        <v>55.098999999999997</v>
      </c>
      <c r="I351" s="5"/>
      <c r="J351" s="15">
        <v>1113.049</v>
      </c>
      <c r="K351" s="16">
        <v>53.146000000000001</v>
      </c>
      <c r="L351" s="16">
        <v>55.991300000000003</v>
      </c>
      <c r="M351" s="16">
        <v>56.874200000000002</v>
      </c>
      <c r="N351" s="16">
        <v>52.197499999999998</v>
      </c>
      <c r="O351" s="16">
        <f t="shared" si="15"/>
        <v>53.967687499999997</v>
      </c>
      <c r="P351" s="7"/>
      <c r="Q351" s="8">
        <f>bdrate(C351:C354,D351:D354,J351:J354,K351:K354)</f>
        <v>-2.0108926285475448E-2</v>
      </c>
      <c r="R351" s="8">
        <f>bdrate(C351:C354,E351:E354,J351:J354,L351:L354)</f>
        <v>-4.6005258067619681E-2</v>
      </c>
      <c r="S351" s="8">
        <f>bdrate(C351:C354,F351:F354,J351:J354,M351:M354)</f>
        <v>-3.775016850136248E-2</v>
      </c>
      <c r="T351" s="25">
        <f>bdrate(C351:C354,H351:H354,J351:J354,O351:O354)</f>
        <v>-2.4871491148489189E-2</v>
      </c>
      <c r="U351" s="28">
        <f t="shared" si="13"/>
        <v>0.91059663250366019</v>
      </c>
    </row>
    <row r="352" spans="1:21" hidden="1" x14ac:dyDescent="0.25">
      <c r="B352" s="9"/>
      <c r="C352" s="17">
        <v>795.91</v>
      </c>
      <c r="D352" s="18">
        <v>50.863999999999997</v>
      </c>
      <c r="E352" s="18">
        <v>54.064</v>
      </c>
      <c r="F352" s="18">
        <v>55.106999999999999</v>
      </c>
      <c r="G352" s="18">
        <v>29.54</v>
      </c>
      <c r="H352" s="18">
        <f t="shared" si="14"/>
        <v>51.794375000000002</v>
      </c>
      <c r="I352" s="5"/>
      <c r="J352" s="17">
        <v>772.71709999999996</v>
      </c>
      <c r="K352" s="18">
        <v>50.374200000000002</v>
      </c>
      <c r="L352" s="18">
        <v>53.7134</v>
      </c>
      <c r="M352" s="18">
        <v>54.7</v>
      </c>
      <c r="N352" s="18">
        <v>58.493200000000002</v>
      </c>
      <c r="O352" s="18">
        <f t="shared" si="15"/>
        <v>51.332324999999997</v>
      </c>
      <c r="P352" s="7"/>
      <c r="Q352" s="10"/>
      <c r="R352" s="11"/>
      <c r="S352" s="11"/>
      <c r="T352" s="26"/>
      <c r="U352" s="28">
        <f t="shared" si="13"/>
        <v>0.98013540961408274</v>
      </c>
    </row>
    <row r="353" spans="1:21" hidden="1" x14ac:dyDescent="0.25">
      <c r="B353" s="9"/>
      <c r="C353" s="17">
        <v>493.57</v>
      </c>
      <c r="D353" s="18">
        <v>46.725999999999999</v>
      </c>
      <c r="E353" s="18">
        <v>50.351999999999997</v>
      </c>
      <c r="F353" s="18">
        <v>51.511000000000003</v>
      </c>
      <c r="G353" s="18">
        <v>32.25</v>
      </c>
      <c r="H353" s="18">
        <f t="shared" si="14"/>
        <v>47.777374999999999</v>
      </c>
      <c r="I353" s="5"/>
      <c r="J353" s="17">
        <v>474.84</v>
      </c>
      <c r="K353" s="18">
        <v>46.802599999999998</v>
      </c>
      <c r="L353" s="18">
        <v>50.689399999999999</v>
      </c>
      <c r="M353" s="18">
        <v>51.789900000000003</v>
      </c>
      <c r="N353" s="18">
        <v>71.063100000000006</v>
      </c>
      <c r="O353" s="18">
        <f t="shared" si="15"/>
        <v>47.911862499999998</v>
      </c>
      <c r="P353" s="7"/>
      <c r="Q353" s="10"/>
      <c r="R353" s="11"/>
      <c r="S353" s="11"/>
      <c r="T353" s="26"/>
      <c r="U353" s="28">
        <f t="shared" si="13"/>
        <v>1.2035069767441862</v>
      </c>
    </row>
    <row r="354" spans="1:21" ht="16.5" hidden="1" thickBot="1" x14ac:dyDescent="0.3">
      <c r="B354" s="12"/>
      <c r="C354" s="19">
        <v>256.05</v>
      </c>
      <c r="D354" s="20">
        <v>41.021000000000001</v>
      </c>
      <c r="E354" s="20">
        <v>45.676000000000002</v>
      </c>
      <c r="F354" s="20">
        <v>47.131</v>
      </c>
      <c r="G354" s="20">
        <v>35.69</v>
      </c>
      <c r="H354" s="20">
        <f t="shared" si="14"/>
        <v>42.366624999999999</v>
      </c>
      <c r="I354" s="5"/>
      <c r="J354" s="19">
        <v>252.8595</v>
      </c>
      <c r="K354" s="20">
        <v>41.448999999999998</v>
      </c>
      <c r="L354" s="20">
        <v>46.3414</v>
      </c>
      <c r="M354" s="20">
        <v>47.6676</v>
      </c>
      <c r="N354" s="20">
        <v>87.811700000000002</v>
      </c>
      <c r="O354" s="20">
        <f t="shared" si="15"/>
        <v>42.837874999999997</v>
      </c>
      <c r="P354" s="7"/>
      <c r="Q354" s="13"/>
      <c r="R354" s="14"/>
      <c r="S354" s="14"/>
      <c r="T354" s="27"/>
      <c r="U354" s="28">
        <f t="shared" si="13"/>
        <v>1.4604006724572711</v>
      </c>
    </row>
    <row r="355" spans="1:21" hidden="1" x14ac:dyDescent="0.25">
      <c r="A355" s="6" t="s">
        <v>104</v>
      </c>
      <c r="B355" s="6" t="s">
        <v>105</v>
      </c>
      <c r="C355" s="15">
        <v>1015.41</v>
      </c>
      <c r="D355" s="16">
        <v>42.052999999999997</v>
      </c>
      <c r="E355" s="16">
        <v>48.387999999999998</v>
      </c>
      <c r="F355" s="16">
        <v>48.347000000000001</v>
      </c>
      <c r="G355" s="16">
        <v>21.69</v>
      </c>
      <c r="H355" s="16">
        <f t="shared" si="14"/>
        <v>43.631624999999993</v>
      </c>
      <c r="I355" s="5"/>
      <c r="J355" s="15">
        <v>1035.1353999999999</v>
      </c>
      <c r="K355" s="16">
        <v>41.901000000000003</v>
      </c>
      <c r="L355" s="16">
        <v>48.072600000000001</v>
      </c>
      <c r="M355" s="16">
        <v>48.007899999999999</v>
      </c>
      <c r="N355" s="16">
        <v>31.127500000000001</v>
      </c>
      <c r="O355" s="16">
        <f t="shared" si="15"/>
        <v>43.435812500000004</v>
      </c>
      <c r="P355" s="7"/>
      <c r="Q355" s="8">
        <f>bdrate(C355:C358,D355:D358,J355:J358,K355:K358)</f>
        <v>7.5253075249725354E-2</v>
      </c>
      <c r="R355" s="8">
        <f>bdrate(C355:C358,E355:E358,J355:J358,L355:L358)</f>
        <v>2.6430337133440229E-2</v>
      </c>
      <c r="S355" s="8">
        <f>bdrate(C355:C358,F355:F358,J355:J358,M355:M358)</f>
        <v>3.6339955885389852E-2</v>
      </c>
      <c r="T355" s="25">
        <f>bdrate(C355:C358,H355:H358,J355:J358,O355:O358)</f>
        <v>6.6607674893401247E-2</v>
      </c>
      <c r="U355" s="28">
        <f t="shared" si="13"/>
        <v>0.43510834485938216</v>
      </c>
    </row>
    <row r="356" spans="1:21" hidden="1" x14ac:dyDescent="0.25">
      <c r="A356" s="9"/>
      <c r="B356" s="9"/>
      <c r="C356" s="17">
        <v>603.6</v>
      </c>
      <c r="D356" s="18">
        <v>39.701999999999998</v>
      </c>
      <c r="E356" s="18">
        <v>46.526000000000003</v>
      </c>
      <c r="F356" s="18">
        <v>46.366</v>
      </c>
      <c r="G356" s="18">
        <v>24.42</v>
      </c>
      <c r="H356" s="18">
        <f t="shared" si="14"/>
        <v>41.387999999999998</v>
      </c>
      <c r="I356" s="5"/>
      <c r="J356" s="17">
        <v>616.87559999999996</v>
      </c>
      <c r="K356" s="18">
        <v>39.5154</v>
      </c>
      <c r="L356" s="18">
        <v>46.382300000000001</v>
      </c>
      <c r="M356" s="18">
        <v>46.202100000000002</v>
      </c>
      <c r="N356" s="18">
        <v>38.348599999999998</v>
      </c>
      <c r="O356" s="18">
        <f t="shared" si="15"/>
        <v>41.209599999999995</v>
      </c>
      <c r="P356" s="7"/>
      <c r="Q356" s="10"/>
      <c r="R356" s="11"/>
      <c r="S356" s="11"/>
      <c r="T356" s="26"/>
      <c r="U356" s="28">
        <f t="shared" si="13"/>
        <v>0.57037674037674013</v>
      </c>
    </row>
    <row r="357" spans="1:21" hidden="1" x14ac:dyDescent="0.25">
      <c r="B357" s="9"/>
      <c r="C357" s="17">
        <v>399.56</v>
      </c>
      <c r="D357" s="18">
        <v>37.82</v>
      </c>
      <c r="E357" s="18">
        <v>45.043999999999997</v>
      </c>
      <c r="F357" s="18">
        <v>44.814999999999998</v>
      </c>
      <c r="G357" s="18">
        <v>26.96</v>
      </c>
      <c r="H357" s="18">
        <f t="shared" si="14"/>
        <v>39.597375</v>
      </c>
      <c r="I357" s="5"/>
      <c r="J357" s="17">
        <v>408.69040000000001</v>
      </c>
      <c r="K357" s="18">
        <v>37.561799999999998</v>
      </c>
      <c r="L357" s="18">
        <v>45.099600000000002</v>
      </c>
      <c r="M357" s="18">
        <v>44.830100000000002</v>
      </c>
      <c r="N357" s="18">
        <v>45.546599999999998</v>
      </c>
      <c r="O357" s="18">
        <f t="shared" si="15"/>
        <v>39.4125625</v>
      </c>
      <c r="P357" s="7"/>
      <c r="Q357" s="10"/>
      <c r="R357" s="11"/>
      <c r="S357" s="11"/>
      <c r="T357" s="26"/>
      <c r="U357" s="28">
        <f t="shared" si="13"/>
        <v>0.68941394658753696</v>
      </c>
    </row>
    <row r="358" spans="1:21" ht="16.5" hidden="1" thickBot="1" x14ac:dyDescent="0.3">
      <c r="B358" s="12"/>
      <c r="C358" s="19">
        <v>197.46</v>
      </c>
      <c r="D358" s="20">
        <v>34.628999999999998</v>
      </c>
      <c r="E358" s="20">
        <v>42.732999999999997</v>
      </c>
      <c r="F358" s="20">
        <v>42.347999999999999</v>
      </c>
      <c r="G358" s="20">
        <v>32.17</v>
      </c>
      <c r="H358" s="20">
        <f t="shared" si="14"/>
        <v>36.606875000000002</v>
      </c>
      <c r="I358" s="5"/>
      <c r="J358" s="19">
        <v>204.01929999999999</v>
      </c>
      <c r="K358" s="20">
        <v>34.368000000000002</v>
      </c>
      <c r="L358" s="20">
        <v>43.021799999999999</v>
      </c>
      <c r="M358" s="20">
        <v>42.570999999999998</v>
      </c>
      <c r="N358" s="20">
        <v>60.655999999999999</v>
      </c>
      <c r="O358" s="20">
        <f t="shared" si="15"/>
        <v>36.475099999999998</v>
      </c>
      <c r="P358" s="7"/>
      <c r="Q358" s="13"/>
      <c r="R358" s="14"/>
      <c r="S358" s="14"/>
      <c r="T358" s="27"/>
      <c r="U358" s="28">
        <f t="shared" si="13"/>
        <v>0.8854833695990052</v>
      </c>
    </row>
    <row r="359" spans="1:21" hidden="1" x14ac:dyDescent="0.25">
      <c r="B359" s="6" t="s">
        <v>106</v>
      </c>
      <c r="C359" s="15">
        <v>986.25</v>
      </c>
      <c r="D359" s="16">
        <v>40.808999999999997</v>
      </c>
      <c r="E359" s="16">
        <v>50.323999999999998</v>
      </c>
      <c r="F359" s="16">
        <v>48.167000000000002</v>
      </c>
      <c r="G359" s="16">
        <v>24.15</v>
      </c>
      <c r="H359" s="16">
        <f t="shared" si="14"/>
        <v>42.918125000000003</v>
      </c>
      <c r="I359" s="5"/>
      <c r="J359" s="15">
        <v>1028.0525</v>
      </c>
      <c r="K359" s="16">
        <v>40.749400000000001</v>
      </c>
      <c r="L359" s="16">
        <v>49.993600000000001</v>
      </c>
      <c r="M359" s="16">
        <v>47.936900000000001</v>
      </c>
      <c r="N359" s="16">
        <v>36.928600000000003</v>
      </c>
      <c r="O359" s="16">
        <f t="shared" si="15"/>
        <v>42.803362499999999</v>
      </c>
      <c r="P359" s="7"/>
      <c r="Q359" s="8">
        <f>bdrate(C359:C362,D359:D362,J359:J362,K359:K362)</f>
        <v>6.1597926400785985E-2</v>
      </c>
      <c r="R359" s="8">
        <f>bdrate(C359:C362,E359:E362,J359:J362,L359:L362)</f>
        <v>1.5174219075758E-2</v>
      </c>
      <c r="S359" s="8">
        <f>bdrate(C359:C362,F359:F362,J359:J362,M359:M362)</f>
        <v>-1.139643270067181E-2</v>
      </c>
      <c r="T359" s="25">
        <f>bdrate(C359:C362,H359:H362,J359:J362,O359:O362)</f>
        <v>4.9804255115327267E-2</v>
      </c>
      <c r="U359" s="28">
        <f t="shared" si="13"/>
        <v>0.52913457556935839</v>
      </c>
    </row>
    <row r="360" spans="1:21" hidden="1" x14ac:dyDescent="0.25">
      <c r="B360" s="9"/>
      <c r="C360" s="17">
        <v>588.57000000000005</v>
      </c>
      <c r="D360" s="18">
        <v>38.557000000000002</v>
      </c>
      <c r="E360" s="18">
        <v>48.884999999999998</v>
      </c>
      <c r="F360" s="18">
        <v>46.387</v>
      </c>
      <c r="G360" s="18">
        <v>27.5</v>
      </c>
      <c r="H360" s="18">
        <f t="shared" si="14"/>
        <v>40.826750000000004</v>
      </c>
      <c r="I360" s="5"/>
      <c r="J360" s="17">
        <v>616.15099999999995</v>
      </c>
      <c r="K360" s="18">
        <v>38.503300000000003</v>
      </c>
      <c r="L360" s="18">
        <v>48.772500000000001</v>
      </c>
      <c r="M360" s="18">
        <v>46.388800000000003</v>
      </c>
      <c r="N360" s="18">
        <v>45.438000000000002</v>
      </c>
      <c r="O360" s="18">
        <f t="shared" si="15"/>
        <v>40.772637500000002</v>
      </c>
      <c r="P360" s="7"/>
      <c r="Q360" s="10"/>
      <c r="R360" s="11"/>
      <c r="S360" s="11"/>
      <c r="T360" s="26"/>
      <c r="U360" s="28">
        <f t="shared" si="13"/>
        <v>0.65229090909090914</v>
      </c>
    </row>
    <row r="361" spans="1:21" hidden="1" x14ac:dyDescent="0.25">
      <c r="B361" s="9"/>
      <c r="C361" s="17">
        <v>391.16</v>
      </c>
      <c r="D361" s="18">
        <v>36.863</v>
      </c>
      <c r="E361" s="18">
        <v>47.609000000000002</v>
      </c>
      <c r="F361" s="18">
        <v>44.99</v>
      </c>
      <c r="G361" s="18">
        <v>30.56</v>
      </c>
      <c r="H361" s="18">
        <f t="shared" si="14"/>
        <v>39.222124999999998</v>
      </c>
      <c r="I361" s="5"/>
      <c r="J361" s="17">
        <v>410.4966</v>
      </c>
      <c r="K361" s="18">
        <v>36.811999999999998</v>
      </c>
      <c r="L361" s="18">
        <v>47.847299999999997</v>
      </c>
      <c r="M361" s="18">
        <v>45.303400000000003</v>
      </c>
      <c r="N361" s="18">
        <v>54.353999999999999</v>
      </c>
      <c r="O361" s="18">
        <f t="shared" si="15"/>
        <v>39.252837499999998</v>
      </c>
      <c r="P361" s="7"/>
      <c r="Q361" s="10"/>
      <c r="R361" s="11"/>
      <c r="S361" s="11"/>
      <c r="T361" s="26"/>
      <c r="U361" s="28">
        <f t="shared" si="13"/>
        <v>0.77859947643979066</v>
      </c>
    </row>
    <row r="362" spans="1:21" ht="16.5" hidden="1" thickBot="1" x14ac:dyDescent="0.3">
      <c r="B362" s="12"/>
      <c r="C362" s="19">
        <v>195.89</v>
      </c>
      <c r="D362" s="20">
        <v>34.200000000000003</v>
      </c>
      <c r="E362" s="20">
        <v>45.905999999999999</v>
      </c>
      <c r="F362" s="20">
        <v>42.826000000000001</v>
      </c>
      <c r="G362" s="20">
        <v>36.479999999999997</v>
      </c>
      <c r="H362" s="20">
        <f t="shared" si="14"/>
        <v>36.741500000000002</v>
      </c>
      <c r="I362" s="5"/>
      <c r="J362" s="19">
        <v>205.2242</v>
      </c>
      <c r="K362" s="20">
        <v>34.136000000000003</v>
      </c>
      <c r="L362" s="20">
        <v>46.198999999999998</v>
      </c>
      <c r="M362" s="20">
        <v>43.317999999999998</v>
      </c>
      <c r="N362" s="20">
        <v>72.917299999999997</v>
      </c>
      <c r="O362" s="20">
        <f t="shared" si="15"/>
        <v>36.791625000000003</v>
      </c>
      <c r="P362" s="7"/>
      <c r="Q362" s="13"/>
      <c r="R362" s="14"/>
      <c r="S362" s="14"/>
      <c r="T362" s="27"/>
      <c r="U362" s="28">
        <f t="shared" si="13"/>
        <v>0.99882949561403522</v>
      </c>
    </row>
    <row r="363" spans="1:21" hidden="1" x14ac:dyDescent="0.25">
      <c r="B363" s="6" t="s">
        <v>107</v>
      </c>
      <c r="C363" s="15">
        <v>1049.56</v>
      </c>
      <c r="D363" s="16">
        <v>44.491999999999997</v>
      </c>
      <c r="E363" s="16">
        <v>48.393000000000001</v>
      </c>
      <c r="F363" s="16">
        <v>48.697000000000003</v>
      </c>
      <c r="G363" s="16">
        <v>21.93</v>
      </c>
      <c r="H363" s="16">
        <f t="shared" si="14"/>
        <v>45.505250000000004</v>
      </c>
      <c r="I363" s="5"/>
      <c r="J363" s="15">
        <v>1031.8035</v>
      </c>
      <c r="K363" s="16">
        <v>44.227800000000002</v>
      </c>
      <c r="L363" s="16">
        <v>48.011200000000002</v>
      </c>
      <c r="M363" s="16">
        <v>48.328200000000002</v>
      </c>
      <c r="N363" s="16">
        <v>34.367699999999999</v>
      </c>
      <c r="O363" s="16">
        <f t="shared" si="15"/>
        <v>45.213275000000003</v>
      </c>
      <c r="P363" s="7"/>
      <c r="Q363" s="8">
        <f>bdrate(C363:C366,D363:D366,J363:J366,K363:K366)</f>
        <v>7.9012905530199129E-2</v>
      </c>
      <c r="R363" s="8">
        <f>bdrate(C363:C366,E363:E366,J363:J366,L363:L366)</f>
        <v>6.9290488868224198E-2</v>
      </c>
      <c r="S363" s="8">
        <f>bdrate(C363:C366,F363:F366,J363:J366,M363:M366)</f>
        <v>9.0593564277975158E-2</v>
      </c>
      <c r="T363" s="25">
        <f>bdrate(C363:C366,H363:H366,J363:J366,O363:O366)</f>
        <v>7.9612519014176542E-2</v>
      </c>
      <c r="U363" s="28">
        <f t="shared" si="13"/>
        <v>0.56715458276333786</v>
      </c>
    </row>
    <row r="364" spans="1:21" hidden="1" x14ac:dyDescent="0.25">
      <c r="B364" s="9"/>
      <c r="C364" s="17">
        <v>623.49</v>
      </c>
      <c r="D364" s="18">
        <v>42.530999999999999</v>
      </c>
      <c r="E364" s="18">
        <v>46.930999999999997</v>
      </c>
      <c r="F364" s="18">
        <v>47.348999999999997</v>
      </c>
      <c r="G364" s="18">
        <v>25.25</v>
      </c>
      <c r="H364" s="18">
        <f t="shared" si="14"/>
        <v>43.683249999999994</v>
      </c>
      <c r="I364" s="5"/>
      <c r="J364" s="17">
        <v>617.03269999999998</v>
      </c>
      <c r="K364" s="18">
        <v>42.207500000000003</v>
      </c>
      <c r="L364" s="18">
        <v>46.622</v>
      </c>
      <c r="M364" s="18">
        <v>46.998399999999997</v>
      </c>
      <c r="N364" s="18">
        <v>42.189</v>
      </c>
      <c r="O364" s="18">
        <f t="shared" si="15"/>
        <v>43.358175000000003</v>
      </c>
      <c r="P364" s="7"/>
      <c r="Q364" s="10"/>
      <c r="R364" s="11"/>
      <c r="S364" s="11"/>
      <c r="T364" s="26"/>
      <c r="U364" s="28">
        <f t="shared" si="13"/>
        <v>0.67085148514851489</v>
      </c>
    </row>
    <row r="365" spans="1:21" hidden="1" x14ac:dyDescent="0.25">
      <c r="B365" s="9"/>
      <c r="C365" s="17">
        <v>412.93</v>
      </c>
      <c r="D365" s="18">
        <v>40.915999999999997</v>
      </c>
      <c r="E365" s="18">
        <v>45.749000000000002</v>
      </c>
      <c r="F365" s="18">
        <v>46.231999999999999</v>
      </c>
      <c r="G365" s="18">
        <v>28.12</v>
      </c>
      <c r="H365" s="18">
        <f t="shared" si="14"/>
        <v>42.184624999999997</v>
      </c>
      <c r="I365" s="5"/>
      <c r="J365" s="17">
        <v>410.73099999999999</v>
      </c>
      <c r="K365" s="18">
        <v>40.551400000000001</v>
      </c>
      <c r="L365" s="18">
        <v>45.540700000000001</v>
      </c>
      <c r="M365" s="18">
        <v>45.974499999999999</v>
      </c>
      <c r="N365" s="18">
        <v>50.6355</v>
      </c>
      <c r="O365" s="18">
        <f t="shared" si="15"/>
        <v>41.85295</v>
      </c>
      <c r="P365" s="7"/>
      <c r="Q365" s="10"/>
      <c r="R365" s="11"/>
      <c r="S365" s="11"/>
      <c r="T365" s="26"/>
      <c r="U365" s="28">
        <f t="shared" si="13"/>
        <v>0.80069345661450919</v>
      </c>
    </row>
    <row r="366" spans="1:21" ht="16.5" hidden="1" thickBot="1" x14ac:dyDescent="0.3">
      <c r="B366" s="12"/>
      <c r="C366" s="19">
        <v>203.39</v>
      </c>
      <c r="D366" s="20">
        <v>37.866999999999997</v>
      </c>
      <c r="E366" s="20">
        <v>43.582999999999998</v>
      </c>
      <c r="F366" s="20">
        <v>44.140999999999998</v>
      </c>
      <c r="G366" s="20">
        <v>34.159999999999997</v>
      </c>
      <c r="H366" s="20">
        <f t="shared" si="14"/>
        <v>39.365749999999998</v>
      </c>
      <c r="I366" s="5"/>
      <c r="J366" s="19">
        <v>204.00579999999999</v>
      </c>
      <c r="K366" s="20">
        <v>37.538600000000002</v>
      </c>
      <c r="L366" s="20">
        <v>43.655299999999997</v>
      </c>
      <c r="M366" s="20">
        <v>44.140700000000002</v>
      </c>
      <c r="N366" s="20">
        <v>68.319800000000001</v>
      </c>
      <c r="O366" s="20">
        <f t="shared" si="15"/>
        <v>39.128450000000001</v>
      </c>
      <c r="P366" s="7"/>
      <c r="Q366" s="13"/>
      <c r="R366" s="14"/>
      <c r="S366" s="14"/>
      <c r="T366" s="27"/>
      <c r="U366" s="28">
        <f t="shared" si="13"/>
        <v>0.99999414519906349</v>
      </c>
    </row>
    <row r="367" spans="1:21" hidden="1" x14ac:dyDescent="0.25">
      <c r="B367" s="6" t="s">
        <v>108</v>
      </c>
      <c r="C367" s="29">
        <v>976.69</v>
      </c>
      <c r="D367" s="30">
        <v>40.042999999999999</v>
      </c>
      <c r="E367" s="30">
        <v>46.820999999999998</v>
      </c>
      <c r="F367" s="30">
        <v>46.665999999999997</v>
      </c>
      <c r="G367" s="16">
        <v>24.48</v>
      </c>
      <c r="H367" s="16">
        <f t="shared" si="14"/>
        <v>41.718124999999993</v>
      </c>
      <c r="I367" s="5"/>
      <c r="J367" s="29">
        <v>1035.5912000000001</v>
      </c>
      <c r="K367" s="30">
        <v>40.329099999999997</v>
      </c>
      <c r="L367" s="30">
        <v>46.861400000000003</v>
      </c>
      <c r="M367" s="30">
        <v>46.725299999999997</v>
      </c>
      <c r="N367" s="16">
        <v>39.372999999999998</v>
      </c>
      <c r="O367" s="16">
        <f t="shared" si="15"/>
        <v>41.945162500000002</v>
      </c>
      <c r="P367" s="7"/>
      <c r="Q367" s="8">
        <f>bdrate(C367:C370,D367:D370,J367:J370,K367:K370)</f>
        <v>2.1939667645296534E-3</v>
      </c>
      <c r="R367" s="8">
        <f>bdrate(C367:C370,E367:E370,J367:J370,L367:L370)</f>
        <v>-7.3142814231972664E-2</v>
      </c>
      <c r="S367" s="8">
        <f>bdrate(C367:C370,F367:F370,J367:J370,M367:M370)</f>
        <v>-6.6494887752091003E-2</v>
      </c>
      <c r="T367" s="25">
        <f>bdrate(C367:C370,H367:H370,J367:J370,O367:O370)</f>
        <v>-1.2013387152207899E-2</v>
      </c>
      <c r="U367" s="28">
        <f t="shared" si="13"/>
        <v>0.60837418300653578</v>
      </c>
    </row>
    <row r="368" spans="1:21" hidden="1" x14ac:dyDescent="0.25">
      <c r="B368" s="9"/>
      <c r="C368" s="31">
        <v>583.79</v>
      </c>
      <c r="D368" s="32">
        <v>37.776000000000003</v>
      </c>
      <c r="E368" s="32">
        <v>45.308999999999997</v>
      </c>
      <c r="F368" s="32">
        <v>45.17</v>
      </c>
      <c r="G368" s="18">
        <v>28.83</v>
      </c>
      <c r="H368" s="18">
        <f t="shared" si="14"/>
        <v>39.641875000000006</v>
      </c>
      <c r="I368" s="5"/>
      <c r="J368" s="31">
        <v>620.63239999999996</v>
      </c>
      <c r="K368" s="32">
        <v>38.016800000000003</v>
      </c>
      <c r="L368" s="32">
        <v>45.579099999999997</v>
      </c>
      <c r="M368" s="32">
        <v>45.4176</v>
      </c>
      <c r="N368" s="18">
        <v>47.468200000000003</v>
      </c>
      <c r="O368" s="18">
        <f t="shared" si="15"/>
        <v>39.887187500000003</v>
      </c>
      <c r="P368" s="7"/>
      <c r="Q368" s="10"/>
      <c r="R368" s="11"/>
      <c r="S368" s="11"/>
      <c r="T368" s="26"/>
      <c r="U368" s="28">
        <f t="shared" si="13"/>
        <v>0.64648629899410359</v>
      </c>
    </row>
    <row r="369" spans="2:21" hidden="1" x14ac:dyDescent="0.25">
      <c r="B369" s="9"/>
      <c r="C369" s="31">
        <v>388.52</v>
      </c>
      <c r="D369" s="32">
        <v>36.097000000000001</v>
      </c>
      <c r="E369" s="32">
        <v>44.124000000000002</v>
      </c>
      <c r="F369" s="32">
        <v>43.981999999999999</v>
      </c>
      <c r="G369" s="18">
        <v>32.56</v>
      </c>
      <c r="H369" s="18">
        <f t="shared" si="14"/>
        <v>38.085999999999999</v>
      </c>
      <c r="I369" s="5"/>
      <c r="J369" s="31">
        <v>412.1053</v>
      </c>
      <c r="K369" s="32">
        <v>36.322899999999997</v>
      </c>
      <c r="L369" s="32">
        <v>44.561399999999999</v>
      </c>
      <c r="M369" s="32">
        <v>44.409300000000002</v>
      </c>
      <c r="N369" s="18">
        <v>55.375100000000003</v>
      </c>
      <c r="O369" s="18">
        <f t="shared" si="15"/>
        <v>38.363512499999999</v>
      </c>
      <c r="P369" s="7"/>
      <c r="Q369" s="10"/>
      <c r="R369" s="11"/>
      <c r="S369" s="11"/>
      <c r="T369" s="26"/>
      <c r="U369" s="28">
        <f t="shared" si="13"/>
        <v>0.70070945945945939</v>
      </c>
    </row>
    <row r="370" spans="2:21" ht="16.5" hidden="1" thickBot="1" x14ac:dyDescent="0.3">
      <c r="B370" s="12"/>
      <c r="C370" s="33">
        <v>194.07</v>
      </c>
      <c r="D370" s="34">
        <v>33.19</v>
      </c>
      <c r="E370" s="34">
        <v>42.046999999999997</v>
      </c>
      <c r="F370" s="34">
        <v>41.942</v>
      </c>
      <c r="G370" s="20">
        <v>39.92</v>
      </c>
      <c r="H370" s="20">
        <f t="shared" si="14"/>
        <v>35.391124999999995</v>
      </c>
      <c r="I370" s="5"/>
      <c r="J370" s="33">
        <v>205.5498</v>
      </c>
      <c r="K370" s="34">
        <v>33.452500000000001</v>
      </c>
      <c r="L370" s="34">
        <v>42.8125</v>
      </c>
      <c r="M370" s="34">
        <v>42.588200000000001</v>
      </c>
      <c r="N370" s="20">
        <v>73.459699999999998</v>
      </c>
      <c r="O370" s="20">
        <f t="shared" si="15"/>
        <v>35.7644625</v>
      </c>
      <c r="P370" s="7"/>
      <c r="Q370" s="13"/>
      <c r="R370" s="14"/>
      <c r="S370" s="14"/>
      <c r="T370" s="27"/>
      <c r="U370" s="28">
        <f t="shared" si="13"/>
        <v>0.84017284569138262</v>
      </c>
    </row>
    <row r="371" spans="2:21" hidden="1" x14ac:dyDescent="0.25">
      <c r="B371" s="6" t="s">
        <v>109</v>
      </c>
      <c r="C371" s="15">
        <v>1002.76</v>
      </c>
      <c r="D371" s="16">
        <v>39.598999999999997</v>
      </c>
      <c r="E371" s="16">
        <v>47.843000000000004</v>
      </c>
      <c r="F371" s="16">
        <v>46.52</v>
      </c>
      <c r="G371" s="16">
        <v>26.28</v>
      </c>
      <c r="H371" s="16">
        <f t="shared" si="14"/>
        <v>41.494624999999999</v>
      </c>
      <c r="I371" s="5"/>
      <c r="J371" s="15">
        <v>1027.9954</v>
      </c>
      <c r="K371" s="16">
        <v>39.514800000000001</v>
      </c>
      <c r="L371" s="16">
        <v>47.653700000000001</v>
      </c>
      <c r="M371" s="16">
        <v>46.369500000000002</v>
      </c>
      <c r="N371" s="16">
        <v>39.156999999999996</v>
      </c>
      <c r="O371" s="16">
        <f t="shared" si="15"/>
        <v>41.389000000000003</v>
      </c>
      <c r="P371" s="7"/>
      <c r="Q371" s="8">
        <f>bdrate(C371:C374,D371:D374,J371:J374,K371:K374)</f>
        <v>7.7109963490289646E-2</v>
      </c>
      <c r="R371" s="8">
        <f>bdrate(C371:C374,E371:E374,J371:J374,L371:L374)</f>
        <v>5.8443703038178585E-2</v>
      </c>
      <c r="S371" s="8">
        <f>bdrate(C371:C374,F371:F374,J371:J374,M371:M374)</f>
        <v>2.7318508605107983E-2</v>
      </c>
      <c r="T371" s="25">
        <f>bdrate(C371:C374,H371:H374,J371:J374,O371:O374)</f>
        <v>7.0250086409200829E-2</v>
      </c>
      <c r="U371" s="28">
        <f t="shared" si="13"/>
        <v>0.4899923896499237</v>
      </c>
    </row>
    <row r="372" spans="2:21" hidden="1" x14ac:dyDescent="0.25">
      <c r="B372" s="9"/>
      <c r="C372" s="17">
        <v>603.16999999999996</v>
      </c>
      <c r="D372" s="18">
        <v>38.215000000000003</v>
      </c>
      <c r="E372" s="18">
        <v>46.936</v>
      </c>
      <c r="F372" s="18">
        <v>45.47</v>
      </c>
      <c r="G372" s="18">
        <v>29.41</v>
      </c>
      <c r="H372" s="18">
        <f t="shared" si="14"/>
        <v>40.212000000000003</v>
      </c>
      <c r="I372" s="5"/>
      <c r="J372" s="17">
        <v>617.43719999999996</v>
      </c>
      <c r="K372" s="18">
        <v>38.090899999999998</v>
      </c>
      <c r="L372" s="18">
        <v>46.823999999999998</v>
      </c>
      <c r="M372" s="18">
        <v>45.418300000000002</v>
      </c>
      <c r="N372" s="18">
        <v>47.489899999999999</v>
      </c>
      <c r="O372" s="18">
        <f t="shared" si="15"/>
        <v>40.098462499999997</v>
      </c>
      <c r="P372" s="7"/>
      <c r="Q372" s="10"/>
      <c r="R372" s="11"/>
      <c r="S372" s="11"/>
      <c r="T372" s="26"/>
      <c r="U372" s="28">
        <f t="shared" si="13"/>
        <v>0.61475348520911255</v>
      </c>
    </row>
    <row r="373" spans="2:21" hidden="1" x14ac:dyDescent="0.25">
      <c r="B373" s="9"/>
      <c r="C373" s="17">
        <v>402.05</v>
      </c>
      <c r="D373" s="18">
        <v>37.249000000000002</v>
      </c>
      <c r="E373" s="18">
        <v>46.189</v>
      </c>
      <c r="F373" s="18">
        <v>44.634</v>
      </c>
      <c r="G373" s="18">
        <v>32.64</v>
      </c>
      <c r="H373" s="18">
        <f t="shared" si="14"/>
        <v>39.289625000000008</v>
      </c>
      <c r="I373" s="5"/>
      <c r="J373" s="17">
        <v>411.15539999999999</v>
      </c>
      <c r="K373" s="18">
        <v>37.108199999999997</v>
      </c>
      <c r="L373" s="18">
        <v>46.148000000000003</v>
      </c>
      <c r="M373" s="18">
        <v>44.6511</v>
      </c>
      <c r="N373" s="18">
        <v>55.648099999999999</v>
      </c>
      <c r="O373" s="18">
        <f t="shared" si="15"/>
        <v>39.181037499999995</v>
      </c>
      <c r="P373" s="7"/>
      <c r="Q373" s="10"/>
      <c r="R373" s="11"/>
      <c r="S373" s="11"/>
      <c r="T373" s="26"/>
      <c r="U373" s="28">
        <f t="shared" si="13"/>
        <v>0.70490502450980386</v>
      </c>
    </row>
    <row r="374" spans="2:21" ht="16.5" hidden="1" thickBot="1" x14ac:dyDescent="0.3">
      <c r="B374" s="12"/>
      <c r="C374" s="19">
        <v>200.41</v>
      </c>
      <c r="D374" s="20">
        <v>35.555999999999997</v>
      </c>
      <c r="E374" s="20">
        <v>44.732999999999997</v>
      </c>
      <c r="F374" s="20">
        <v>43.066000000000003</v>
      </c>
      <c r="G374" s="20">
        <v>38.28</v>
      </c>
      <c r="H374" s="20">
        <f t="shared" si="14"/>
        <v>37.641874999999999</v>
      </c>
      <c r="I374" s="5"/>
      <c r="J374" s="19">
        <v>204.8374</v>
      </c>
      <c r="K374" s="20">
        <v>35.414900000000003</v>
      </c>
      <c r="L374" s="20">
        <v>44.755600000000001</v>
      </c>
      <c r="M374" s="20">
        <v>43.151499999999999</v>
      </c>
      <c r="N374" s="20">
        <v>76.379199999999997</v>
      </c>
      <c r="O374" s="20">
        <f t="shared" si="15"/>
        <v>37.5495625</v>
      </c>
      <c r="P374" s="7"/>
      <c r="Q374" s="13"/>
      <c r="R374" s="14"/>
      <c r="S374" s="14"/>
      <c r="T374" s="27"/>
      <c r="U374" s="28">
        <f t="shared" si="13"/>
        <v>0.99527690700104476</v>
      </c>
    </row>
    <row r="375" spans="2:21" hidden="1" x14ac:dyDescent="0.25">
      <c r="B375" s="6" t="s">
        <v>110</v>
      </c>
      <c r="C375" s="15">
        <v>1559.42</v>
      </c>
      <c r="D375" s="16">
        <v>38.78</v>
      </c>
      <c r="E375" s="16">
        <v>44.796999999999997</v>
      </c>
      <c r="F375" s="16">
        <v>44.223999999999997</v>
      </c>
      <c r="G375" s="16">
        <v>11.46</v>
      </c>
      <c r="H375" s="16">
        <f t="shared" si="14"/>
        <v>40.212624999999996</v>
      </c>
      <c r="I375" s="5"/>
      <c r="J375" s="15">
        <v>1533.8067000000001</v>
      </c>
      <c r="K375" s="16">
        <v>39.315399999999997</v>
      </c>
      <c r="L375" s="16">
        <v>45.1633</v>
      </c>
      <c r="M375" s="16">
        <v>44.569699999999997</v>
      </c>
      <c r="N375" s="16">
        <v>20.696899999999999</v>
      </c>
      <c r="O375" s="16">
        <f t="shared" si="15"/>
        <v>40.703175000000002</v>
      </c>
      <c r="P375" s="7"/>
      <c r="Q375" s="8">
        <f>bdrate(C375:C378,D375:D378,J375:J378,K375:K378)</f>
        <v>-0.18711043540631189</v>
      </c>
      <c r="R375" s="8">
        <f>bdrate(C375:C378,E375:E378,J375:J378,L375:L378)</f>
        <v>-0.22324321205207509</v>
      </c>
      <c r="S375" s="8">
        <f>bdrate(C375:C378,F375:F378,J375:J378,M375:M378)</f>
        <v>-0.17879988775839983</v>
      </c>
      <c r="T375" s="25">
        <f>bdrate(C375:C378,H375:H378,J375:J378,O375:O378)</f>
        <v>-0.18969975523506943</v>
      </c>
      <c r="U375" s="28">
        <f t="shared" si="13"/>
        <v>0.80601221640488641</v>
      </c>
    </row>
    <row r="376" spans="2:21" hidden="1" x14ac:dyDescent="0.25">
      <c r="B376" s="9"/>
      <c r="C376" s="17">
        <v>1037.1300000000001</v>
      </c>
      <c r="D376" s="18">
        <v>36.874000000000002</v>
      </c>
      <c r="E376" s="18">
        <v>43.444000000000003</v>
      </c>
      <c r="F376" s="18">
        <v>42.79</v>
      </c>
      <c r="G376" s="18">
        <v>12.94</v>
      </c>
      <c r="H376" s="18">
        <f t="shared" si="14"/>
        <v>38.434750000000008</v>
      </c>
      <c r="I376" s="5"/>
      <c r="J376" s="17">
        <v>1021.6033</v>
      </c>
      <c r="K376" s="18">
        <v>37.614600000000003</v>
      </c>
      <c r="L376" s="18">
        <v>44.024299999999997</v>
      </c>
      <c r="M376" s="18">
        <v>43.300699999999999</v>
      </c>
      <c r="N376" s="18">
        <v>24.524899999999999</v>
      </c>
      <c r="O376" s="18">
        <f t="shared" si="15"/>
        <v>39.126575000000003</v>
      </c>
      <c r="P376" s="7"/>
      <c r="Q376" s="10"/>
      <c r="R376" s="11"/>
      <c r="S376" s="11"/>
      <c r="T376" s="26"/>
      <c r="U376" s="28">
        <f t="shared" si="13"/>
        <v>0.89527820710973727</v>
      </c>
    </row>
    <row r="377" spans="2:21" hidden="1" x14ac:dyDescent="0.25">
      <c r="B377" s="9"/>
      <c r="C377" s="17">
        <v>622.54</v>
      </c>
      <c r="D377" s="18">
        <v>34.487000000000002</v>
      </c>
      <c r="E377" s="18">
        <v>41.869</v>
      </c>
      <c r="F377" s="18">
        <v>41.052999999999997</v>
      </c>
      <c r="G377" s="18">
        <v>14.79</v>
      </c>
      <c r="H377" s="18">
        <f t="shared" si="14"/>
        <v>36.230500000000006</v>
      </c>
      <c r="I377" s="5"/>
      <c r="J377" s="17">
        <v>608.06370000000004</v>
      </c>
      <c r="K377" s="18">
        <v>35.358699999999999</v>
      </c>
      <c r="L377" s="18">
        <v>42.5974</v>
      </c>
      <c r="M377" s="18">
        <v>41.639600000000002</v>
      </c>
      <c r="N377" s="18">
        <v>30.503599999999999</v>
      </c>
      <c r="O377" s="18">
        <f t="shared" si="15"/>
        <v>37.048649999999995</v>
      </c>
      <c r="P377" s="7"/>
      <c r="Q377" s="10"/>
      <c r="R377" s="11"/>
      <c r="S377" s="11"/>
      <c r="T377" s="26"/>
      <c r="U377" s="28">
        <f t="shared" si="13"/>
        <v>1.0624475997295471</v>
      </c>
    </row>
    <row r="378" spans="2:21" ht="16.5" hidden="1" thickBot="1" x14ac:dyDescent="0.3">
      <c r="B378" s="12"/>
      <c r="C378" s="19">
        <v>310.97000000000003</v>
      </c>
      <c r="D378" s="20">
        <v>31.437000000000001</v>
      </c>
      <c r="E378" s="20">
        <v>39.750999999999998</v>
      </c>
      <c r="F378" s="20">
        <v>38.631999999999998</v>
      </c>
      <c r="G378" s="20">
        <v>17.75</v>
      </c>
      <c r="H378" s="20">
        <f t="shared" si="14"/>
        <v>33.375624999999999</v>
      </c>
      <c r="I378" s="5"/>
      <c r="J378" s="19">
        <v>304.58170000000001</v>
      </c>
      <c r="K378" s="20">
        <v>32.4634</v>
      </c>
      <c r="L378" s="20">
        <v>40.7577</v>
      </c>
      <c r="M378" s="20">
        <v>39.546799999999998</v>
      </c>
      <c r="N378" s="20">
        <v>43.275700000000001</v>
      </c>
      <c r="O378" s="20">
        <f t="shared" si="15"/>
        <v>34.385612500000001</v>
      </c>
      <c r="P378" s="7"/>
      <c r="Q378" s="13"/>
      <c r="R378" s="14"/>
      <c r="S378" s="14"/>
      <c r="T378" s="27"/>
      <c r="U378" s="28">
        <f t="shared" si="13"/>
        <v>1.4380676056338029</v>
      </c>
    </row>
    <row r="379" spans="2:21" hidden="1" x14ac:dyDescent="0.25">
      <c r="B379" s="6" t="s">
        <v>111</v>
      </c>
      <c r="C379" s="15">
        <v>1028.96</v>
      </c>
      <c r="D379" s="16">
        <v>40.935000000000002</v>
      </c>
      <c r="E379" s="16">
        <v>46.207000000000001</v>
      </c>
      <c r="F379" s="16">
        <v>45.704999999999998</v>
      </c>
      <c r="G379" s="16">
        <v>22.74</v>
      </c>
      <c r="H379" s="16">
        <f t="shared" si="14"/>
        <v>42.190249999999999</v>
      </c>
      <c r="I379" s="5"/>
      <c r="J379" s="15">
        <v>1038.0437999999999</v>
      </c>
      <c r="K379" s="16">
        <v>40.938499999999998</v>
      </c>
      <c r="L379" s="16">
        <v>46.0184</v>
      </c>
      <c r="M379" s="16">
        <v>45.555500000000002</v>
      </c>
      <c r="N379" s="16">
        <v>37.161700000000003</v>
      </c>
      <c r="O379" s="16">
        <f t="shared" si="15"/>
        <v>42.150612499999994</v>
      </c>
      <c r="P379" s="7"/>
      <c r="Q379" s="8">
        <f>bdrate(C379:C382,D379:D382,J379:J382,K379:K382)</f>
        <v>2.7730149099794099E-2</v>
      </c>
      <c r="R379" s="8">
        <f>bdrate(C379:C382,E379:E382,J379:J382,L379:L382)</f>
        <v>1.8594598760658165E-2</v>
      </c>
      <c r="S379" s="8">
        <f>bdrate(C379:C382,F379:F382,J379:J382,M379:M382)</f>
        <v>7.0822375797636727E-3</v>
      </c>
      <c r="T379" s="25">
        <f>bdrate(C379:C382,H379:H382,J379:J382,O379:O382)</f>
        <v>2.4705578646495363E-2</v>
      </c>
      <c r="U379" s="28">
        <f t="shared" si="13"/>
        <v>0.63419964819700991</v>
      </c>
    </row>
    <row r="380" spans="2:21" hidden="1" x14ac:dyDescent="0.25">
      <c r="B380" s="9"/>
      <c r="C380" s="17">
        <v>611.99</v>
      </c>
      <c r="D380" s="18">
        <v>38.994</v>
      </c>
      <c r="E380" s="18">
        <v>44.804000000000002</v>
      </c>
      <c r="F380" s="18">
        <v>44.293999999999997</v>
      </c>
      <c r="G380" s="18">
        <v>26.5</v>
      </c>
      <c r="H380" s="18">
        <f t="shared" si="14"/>
        <v>40.382750000000001</v>
      </c>
      <c r="I380" s="5"/>
      <c r="J380" s="17">
        <v>621.03719999999998</v>
      </c>
      <c r="K380" s="18">
        <v>38.972200000000001</v>
      </c>
      <c r="L380" s="18">
        <v>44.707599999999999</v>
      </c>
      <c r="M380" s="18">
        <v>44.225000000000001</v>
      </c>
      <c r="N380" s="18">
        <v>44.92</v>
      </c>
      <c r="O380" s="18">
        <f t="shared" si="15"/>
        <v>40.345725000000002</v>
      </c>
      <c r="P380" s="7"/>
      <c r="Q380" s="10"/>
      <c r="R380" s="11"/>
      <c r="S380" s="11"/>
      <c r="T380" s="26"/>
      <c r="U380" s="28">
        <f t="shared" si="13"/>
        <v>0.69509433962264155</v>
      </c>
    </row>
    <row r="381" spans="2:21" hidden="1" x14ac:dyDescent="0.25">
      <c r="B381" s="9"/>
      <c r="C381" s="17">
        <v>404.37</v>
      </c>
      <c r="D381" s="18">
        <v>37.536000000000001</v>
      </c>
      <c r="E381" s="18">
        <v>43.682000000000002</v>
      </c>
      <c r="F381" s="18">
        <v>43.134999999999998</v>
      </c>
      <c r="G381" s="18">
        <v>29.65</v>
      </c>
      <c r="H381" s="18">
        <f t="shared" si="14"/>
        <v>39.004125000000002</v>
      </c>
      <c r="I381" s="5"/>
      <c r="J381" s="17">
        <v>412.8252</v>
      </c>
      <c r="K381" s="18">
        <v>37.4861</v>
      </c>
      <c r="L381" s="18">
        <v>43.717100000000002</v>
      </c>
      <c r="M381" s="18">
        <v>43.204500000000003</v>
      </c>
      <c r="N381" s="18">
        <v>53.707900000000002</v>
      </c>
      <c r="O381" s="18">
        <f t="shared" si="15"/>
        <v>38.979775000000004</v>
      </c>
      <c r="P381" s="7"/>
      <c r="Q381" s="10"/>
      <c r="R381" s="11"/>
      <c r="S381" s="11"/>
      <c r="T381" s="26"/>
      <c r="U381" s="28">
        <f t="shared" si="13"/>
        <v>0.81139629005059033</v>
      </c>
    </row>
    <row r="382" spans="2:21" ht="16.5" hidden="1" thickBot="1" x14ac:dyDescent="0.3">
      <c r="B382" s="12"/>
      <c r="C382" s="19">
        <v>199.47</v>
      </c>
      <c r="D382" s="20">
        <v>34.93</v>
      </c>
      <c r="E382" s="20">
        <v>41.646999999999998</v>
      </c>
      <c r="F382" s="20">
        <v>41.054000000000002</v>
      </c>
      <c r="G382" s="20">
        <v>36.1</v>
      </c>
      <c r="H382" s="20">
        <f t="shared" si="14"/>
        <v>36.535124999999994</v>
      </c>
      <c r="I382" s="5"/>
      <c r="J382" s="19">
        <v>206.31540000000001</v>
      </c>
      <c r="K382" s="20">
        <v>34.922699999999999</v>
      </c>
      <c r="L382" s="20">
        <v>41.8932</v>
      </c>
      <c r="M382" s="20">
        <v>41.330300000000001</v>
      </c>
      <c r="N382" s="20">
        <v>73.264099999999999</v>
      </c>
      <c r="O382" s="20">
        <f t="shared" si="15"/>
        <v>36.594962500000001</v>
      </c>
      <c r="P382" s="7"/>
      <c r="Q382" s="13"/>
      <c r="R382" s="14"/>
      <c r="S382" s="14"/>
      <c r="T382" s="27"/>
      <c r="U382" s="28">
        <f t="shared" si="13"/>
        <v>1.0294764542936288</v>
      </c>
    </row>
    <row r="383" spans="2:21" hidden="1" x14ac:dyDescent="0.25">
      <c r="B383" s="6" t="s">
        <v>112</v>
      </c>
      <c r="C383" s="15">
        <v>984.6</v>
      </c>
      <c r="D383" s="16">
        <v>44.451000000000001</v>
      </c>
      <c r="E383" s="16">
        <v>48.786000000000001</v>
      </c>
      <c r="F383" s="16">
        <v>47.972000000000001</v>
      </c>
      <c r="G383" s="16">
        <v>23.82</v>
      </c>
      <c r="H383" s="16">
        <f t="shared" si="14"/>
        <v>45.433</v>
      </c>
      <c r="I383" s="5"/>
      <c r="J383" s="15">
        <v>1032.6482000000001</v>
      </c>
      <c r="K383" s="16">
        <v>44.552900000000001</v>
      </c>
      <c r="L383" s="16">
        <v>48.530900000000003</v>
      </c>
      <c r="M383" s="16">
        <v>47.789400000000001</v>
      </c>
      <c r="N383" s="16">
        <v>39.529600000000002</v>
      </c>
      <c r="O383" s="16">
        <f t="shared" si="15"/>
        <v>45.454712499999999</v>
      </c>
      <c r="P383" s="7"/>
      <c r="Q383" s="8">
        <f>bdrate(C383:C386,D383:D386,J383:J386,K383:K386)</f>
        <v>2.7052591981460816E-2</v>
      </c>
      <c r="R383" s="8">
        <f>bdrate(C383:C386,E383:E386,J383:J386,L383:L386)</f>
        <v>0.10022535481230199</v>
      </c>
      <c r="S383" s="8">
        <f>bdrate(C383:C386,F383:F386,J383:J386,M383:M386)</f>
        <v>7.5911648083375249E-2</v>
      </c>
      <c r="T383" s="25">
        <f>bdrate(C383:C386,H383:H386,J383:J386,O383:O386)</f>
        <v>3.9776450777750716E-2</v>
      </c>
      <c r="U383" s="28">
        <f t="shared" si="13"/>
        <v>0.65951301427371967</v>
      </c>
    </row>
    <row r="384" spans="2:21" hidden="1" x14ac:dyDescent="0.25">
      <c r="B384" s="9"/>
      <c r="C384" s="17">
        <v>590.54</v>
      </c>
      <c r="D384" s="18">
        <v>42.636000000000003</v>
      </c>
      <c r="E384" s="18">
        <v>47.311999999999998</v>
      </c>
      <c r="F384" s="18">
        <v>46.441000000000003</v>
      </c>
      <c r="G384" s="18">
        <v>27.25</v>
      </c>
      <c r="H384" s="18">
        <f t="shared" si="14"/>
        <v>43.696125000000009</v>
      </c>
      <c r="I384" s="5"/>
      <c r="J384" s="17">
        <v>618.67870000000005</v>
      </c>
      <c r="K384" s="18">
        <v>42.706400000000002</v>
      </c>
      <c r="L384" s="18">
        <v>47.094700000000003</v>
      </c>
      <c r="M384" s="18">
        <v>46.281599999999997</v>
      </c>
      <c r="N384" s="18">
        <v>48.204599999999999</v>
      </c>
      <c r="O384" s="18">
        <f t="shared" si="15"/>
        <v>43.701837499999996</v>
      </c>
      <c r="P384" s="7"/>
      <c r="Q384" s="10"/>
      <c r="R384" s="11"/>
      <c r="S384" s="11"/>
      <c r="T384" s="26"/>
      <c r="U384" s="28">
        <f t="shared" si="13"/>
        <v>0.76897614678899084</v>
      </c>
    </row>
    <row r="385" spans="2:21" hidden="1" x14ac:dyDescent="0.25">
      <c r="B385" s="9"/>
      <c r="C385" s="17">
        <v>394.89</v>
      </c>
      <c r="D385" s="18">
        <v>41.162999999999997</v>
      </c>
      <c r="E385" s="18">
        <v>46.1</v>
      </c>
      <c r="F385" s="18">
        <v>45.171999999999997</v>
      </c>
      <c r="G385" s="18">
        <v>30.35</v>
      </c>
      <c r="H385" s="18">
        <f t="shared" si="14"/>
        <v>42.28125</v>
      </c>
      <c r="I385" s="5"/>
      <c r="J385" s="17">
        <v>411.3023</v>
      </c>
      <c r="K385" s="18">
        <v>41.205399999999997</v>
      </c>
      <c r="L385" s="18">
        <v>45.907499999999999</v>
      </c>
      <c r="M385" s="18">
        <v>45.058700000000002</v>
      </c>
      <c r="N385" s="18">
        <v>57.279000000000003</v>
      </c>
      <c r="O385" s="18">
        <f t="shared" si="15"/>
        <v>42.274825</v>
      </c>
      <c r="P385" s="7"/>
      <c r="Q385" s="10"/>
      <c r="R385" s="11"/>
      <c r="S385" s="11"/>
      <c r="T385" s="26"/>
      <c r="U385" s="28">
        <f t="shared" si="13"/>
        <v>0.88728171334431638</v>
      </c>
    </row>
    <row r="386" spans="2:21" ht="16.5" hidden="1" thickBot="1" x14ac:dyDescent="0.3">
      <c r="B386" s="12"/>
      <c r="C386" s="19">
        <v>199.28</v>
      </c>
      <c r="D386" s="20">
        <v>38.29</v>
      </c>
      <c r="E386" s="20">
        <v>43.723999999999997</v>
      </c>
      <c r="F386" s="20">
        <v>42.712000000000003</v>
      </c>
      <c r="G386" s="20">
        <v>36.1</v>
      </c>
      <c r="H386" s="20">
        <f t="shared" si="14"/>
        <v>39.521999999999998</v>
      </c>
      <c r="I386" s="5"/>
      <c r="J386" s="19">
        <v>204.6403</v>
      </c>
      <c r="K386" s="20">
        <v>38.305599999999998</v>
      </c>
      <c r="L386" s="20">
        <v>43.757899999999999</v>
      </c>
      <c r="M386" s="20">
        <v>42.781599999999997</v>
      </c>
      <c r="N386" s="20">
        <v>77.461500000000001</v>
      </c>
      <c r="O386" s="20">
        <f t="shared" si="15"/>
        <v>39.546637500000003</v>
      </c>
      <c r="P386" s="7"/>
      <c r="Q386" s="13"/>
      <c r="R386" s="14"/>
      <c r="S386" s="14"/>
      <c r="T386" s="27"/>
      <c r="U386" s="28">
        <f t="shared" si="13"/>
        <v>1.145747922437673</v>
      </c>
    </row>
    <row r="387" spans="2:21" hidden="1" x14ac:dyDescent="0.25">
      <c r="B387" s="6" t="s">
        <v>113</v>
      </c>
      <c r="C387" s="15">
        <v>1460.23</v>
      </c>
      <c r="D387" s="16">
        <v>38.351999999999997</v>
      </c>
      <c r="E387" s="16">
        <v>43.45</v>
      </c>
      <c r="F387" s="16">
        <v>44.161999999999999</v>
      </c>
      <c r="G387" s="16">
        <v>7.98</v>
      </c>
      <c r="H387" s="16">
        <f t="shared" si="14"/>
        <v>39.715499999999992</v>
      </c>
      <c r="I387" s="5"/>
      <c r="J387" s="15">
        <v>1546.905</v>
      </c>
      <c r="K387" s="16">
        <v>38.229199999999999</v>
      </c>
      <c r="L387" s="16">
        <v>43.679900000000004</v>
      </c>
      <c r="M387" s="16">
        <v>44.347000000000001</v>
      </c>
      <c r="N387" s="16">
        <v>16.9148</v>
      </c>
      <c r="O387" s="16">
        <f t="shared" si="15"/>
        <v>39.675262500000002</v>
      </c>
      <c r="P387" s="7"/>
      <c r="Q387" s="8">
        <f>bdrate(C387:C390,D387:D390,J387:J390,K387:K390)</f>
        <v>6.5849351136368472E-2</v>
      </c>
      <c r="R387" s="8">
        <f>bdrate(C387:C390,E387:E390,J387:J390,L387:L390)</f>
        <v>-0.12924510715653448</v>
      </c>
      <c r="S387" s="8">
        <f>bdrate(C387:C390,F387:F390,J387:J390,M387:M390)</f>
        <v>-0.11492715104255768</v>
      </c>
      <c r="T387" s="25">
        <f>bdrate(C387:C390,H387:H390,J387:J390,O387:O390)</f>
        <v>3.0437031411765236E-2</v>
      </c>
      <c r="U387" s="28">
        <f t="shared" si="13"/>
        <v>1.1196491228070173</v>
      </c>
    </row>
    <row r="388" spans="2:21" hidden="1" x14ac:dyDescent="0.25">
      <c r="B388" s="9"/>
      <c r="C388" s="17">
        <v>971.05</v>
      </c>
      <c r="D388" s="18">
        <v>36.575000000000003</v>
      </c>
      <c r="E388" s="18">
        <v>42.164999999999999</v>
      </c>
      <c r="F388" s="18">
        <v>42.942999999999998</v>
      </c>
      <c r="G388" s="18">
        <v>9.02</v>
      </c>
      <c r="H388" s="18">
        <f t="shared" si="14"/>
        <v>38.069749999999999</v>
      </c>
      <c r="I388" s="5"/>
      <c r="J388" s="17">
        <v>1029.7175999999999</v>
      </c>
      <c r="K388" s="18">
        <v>36.494199999999999</v>
      </c>
      <c r="L388" s="18">
        <v>42.578899999999997</v>
      </c>
      <c r="M388" s="18">
        <v>43.293300000000002</v>
      </c>
      <c r="N388" s="18">
        <v>21.0871</v>
      </c>
      <c r="O388" s="18">
        <f t="shared" si="15"/>
        <v>38.104674999999993</v>
      </c>
      <c r="P388" s="7"/>
      <c r="Q388" s="10"/>
      <c r="R388" s="11"/>
      <c r="S388" s="11"/>
      <c r="T388" s="26"/>
      <c r="U388" s="28">
        <f t="shared" si="13"/>
        <v>1.3378159645232817</v>
      </c>
    </row>
    <row r="389" spans="2:21" hidden="1" x14ac:dyDescent="0.25">
      <c r="B389" s="9"/>
      <c r="C389" s="17">
        <v>582.09</v>
      </c>
      <c r="D389" s="18">
        <v>34.335999999999999</v>
      </c>
      <c r="E389" s="18">
        <v>40.639000000000003</v>
      </c>
      <c r="F389" s="18">
        <v>41.478000000000002</v>
      </c>
      <c r="G389" s="18">
        <v>10.59</v>
      </c>
      <c r="H389" s="18">
        <f t="shared" si="14"/>
        <v>36.016624999999998</v>
      </c>
      <c r="I389" s="5"/>
      <c r="J389" s="17">
        <v>615.67660000000001</v>
      </c>
      <c r="K389" s="18">
        <v>34.320599999999999</v>
      </c>
      <c r="L389" s="18">
        <v>41.244300000000003</v>
      </c>
      <c r="M389" s="18">
        <v>42.014000000000003</v>
      </c>
      <c r="N389" s="18">
        <v>26.055099999999999</v>
      </c>
      <c r="O389" s="18">
        <f t="shared" si="15"/>
        <v>36.147737499999998</v>
      </c>
      <c r="P389" s="7"/>
      <c r="Q389" s="10"/>
      <c r="R389" s="11"/>
      <c r="S389" s="11"/>
      <c r="T389" s="26"/>
      <c r="U389" s="28">
        <f t="shared" si="13"/>
        <v>1.4603493862134089</v>
      </c>
    </row>
    <row r="390" spans="2:21" ht="16.5" hidden="1" thickBot="1" x14ac:dyDescent="0.3">
      <c r="B390" s="12"/>
      <c r="C390" s="19">
        <v>291.43</v>
      </c>
      <c r="D390" s="20">
        <v>31.385999999999999</v>
      </c>
      <c r="E390" s="20">
        <v>38.853000000000002</v>
      </c>
      <c r="F390" s="20">
        <v>39.764000000000003</v>
      </c>
      <c r="G390" s="20">
        <v>13.77</v>
      </c>
      <c r="H390" s="20">
        <f t="shared" si="14"/>
        <v>33.366624999999999</v>
      </c>
      <c r="I390" s="5"/>
      <c r="J390" s="19">
        <v>306.63900000000001</v>
      </c>
      <c r="K390" s="20">
        <v>31.4346</v>
      </c>
      <c r="L390" s="20">
        <v>39.616300000000003</v>
      </c>
      <c r="M390" s="20">
        <v>40.460700000000003</v>
      </c>
      <c r="N390" s="20">
        <v>36.496099999999998</v>
      </c>
      <c r="O390" s="20">
        <f t="shared" si="15"/>
        <v>33.585574999999999</v>
      </c>
      <c r="P390" s="7"/>
      <c r="Q390" s="13"/>
      <c r="R390" s="14"/>
      <c r="S390" s="14"/>
      <c r="T390" s="27"/>
      <c r="U390" s="28">
        <f t="shared" si="13"/>
        <v>1.650406681190995</v>
      </c>
    </row>
    <row r="391" spans="2:21" hidden="1" x14ac:dyDescent="0.25">
      <c r="B391" s="6" t="s">
        <v>114</v>
      </c>
      <c r="C391" s="15">
        <v>1564.2</v>
      </c>
      <c r="D391" s="16">
        <v>36.445</v>
      </c>
      <c r="E391" s="16">
        <v>41.29</v>
      </c>
      <c r="F391" s="16">
        <v>39.707000000000001</v>
      </c>
      <c r="G391" s="16">
        <v>9.68</v>
      </c>
      <c r="H391" s="16">
        <f t="shared" si="14"/>
        <v>37.458375000000004</v>
      </c>
      <c r="I391" s="5"/>
      <c r="J391" s="15">
        <v>1549.3468</v>
      </c>
      <c r="K391" s="16">
        <v>36.2059</v>
      </c>
      <c r="L391" s="16">
        <v>41.106699999999996</v>
      </c>
      <c r="M391" s="16">
        <v>39.362699999999997</v>
      </c>
      <c r="N391" s="16">
        <v>16.663</v>
      </c>
      <c r="O391" s="16">
        <f t="shared" si="15"/>
        <v>37.213100000000004</v>
      </c>
      <c r="P391" s="7"/>
      <c r="Q391" s="8">
        <f>bdrate(C391:C394,D391:D394,J391:J394,K391:K394)</f>
        <v>5.3300347187710484E-2</v>
      </c>
      <c r="R391" s="8">
        <f>bdrate(C391:C394,E391:E394,J391:J394,L391:L394)</f>
        <v>3.5682422924853574E-2</v>
      </c>
      <c r="S391" s="8">
        <f>bdrate(C391:C394,F391:F394,J391:J394,M391:M394)</f>
        <v>0.10881467906825204</v>
      </c>
      <c r="T391" s="25">
        <f>bdrate(C391:C394,H391:H394,J391:J394,O391:O394)</f>
        <v>5.7877963938030463E-2</v>
      </c>
      <c r="U391" s="28">
        <f t="shared" si="13"/>
        <v>0.72138429752066124</v>
      </c>
    </row>
    <row r="392" spans="2:21" hidden="1" x14ac:dyDescent="0.25">
      <c r="B392" s="9"/>
      <c r="C392" s="17">
        <v>1043.06</v>
      </c>
      <c r="D392" s="18">
        <v>34.524000000000001</v>
      </c>
      <c r="E392" s="18">
        <v>39.85</v>
      </c>
      <c r="F392" s="18">
        <v>38.168999999999997</v>
      </c>
      <c r="G392" s="18">
        <v>10.7</v>
      </c>
      <c r="H392" s="18">
        <f t="shared" si="14"/>
        <v>35.645375000000001</v>
      </c>
      <c r="I392" s="5"/>
      <c r="J392" s="17">
        <v>1032.8783000000001</v>
      </c>
      <c r="K392" s="18">
        <v>34.254600000000003</v>
      </c>
      <c r="L392" s="18">
        <v>39.648899999999998</v>
      </c>
      <c r="M392" s="18">
        <v>37.690899999999999</v>
      </c>
      <c r="N392" s="18">
        <v>20.075099999999999</v>
      </c>
      <c r="O392" s="18">
        <f t="shared" si="15"/>
        <v>35.358424999999997</v>
      </c>
      <c r="P392" s="7"/>
      <c r="Q392" s="10"/>
      <c r="R392" s="11"/>
      <c r="S392" s="11"/>
      <c r="T392" s="26"/>
      <c r="U392" s="28">
        <f t="shared" si="13"/>
        <v>0.87617757009345798</v>
      </c>
    </row>
    <row r="393" spans="2:21" hidden="1" x14ac:dyDescent="0.25">
      <c r="B393" s="9"/>
      <c r="C393" s="17">
        <v>622.86</v>
      </c>
      <c r="D393" s="18">
        <v>32.280999999999999</v>
      </c>
      <c r="E393" s="18">
        <v>38.103000000000002</v>
      </c>
      <c r="F393" s="18">
        <v>36.204000000000001</v>
      </c>
      <c r="G393" s="18">
        <v>12.06</v>
      </c>
      <c r="H393" s="18">
        <f t="shared" si="14"/>
        <v>33.499124999999999</v>
      </c>
      <c r="I393" s="5"/>
      <c r="J393" s="17">
        <v>617.27949999999998</v>
      </c>
      <c r="K393" s="18">
        <v>32.034999999999997</v>
      </c>
      <c r="L393" s="18">
        <v>37.938699999999997</v>
      </c>
      <c r="M393" s="18">
        <v>35.736499999999999</v>
      </c>
      <c r="N393" s="18">
        <v>25.5641</v>
      </c>
      <c r="O393" s="18">
        <f t="shared" si="15"/>
        <v>33.235649999999993</v>
      </c>
      <c r="P393" s="7"/>
      <c r="Q393" s="10"/>
      <c r="R393" s="11"/>
      <c r="S393" s="11"/>
      <c r="T393" s="26"/>
      <c r="U393" s="28">
        <f t="shared" si="13"/>
        <v>1.1197429519071309</v>
      </c>
    </row>
    <row r="394" spans="2:21" ht="16.5" hidden="1" thickBot="1" x14ac:dyDescent="0.3">
      <c r="B394" s="12"/>
      <c r="C394" s="19">
        <v>309.39</v>
      </c>
      <c r="D394" s="20">
        <v>29.701000000000001</v>
      </c>
      <c r="E394" s="20">
        <v>36.027999999999999</v>
      </c>
      <c r="F394" s="20">
        <v>33.652999999999999</v>
      </c>
      <c r="G394" s="20">
        <v>14.38</v>
      </c>
      <c r="H394" s="20">
        <f t="shared" si="14"/>
        <v>30.985875</v>
      </c>
      <c r="I394" s="5"/>
      <c r="J394" s="19">
        <v>307.73509999999999</v>
      </c>
      <c r="K394" s="20">
        <v>29.449000000000002</v>
      </c>
      <c r="L394" s="20">
        <v>36.078200000000002</v>
      </c>
      <c r="M394" s="20">
        <v>33.4846</v>
      </c>
      <c r="N394" s="20">
        <v>35.775100000000002</v>
      </c>
      <c r="O394" s="20">
        <f t="shared" si="15"/>
        <v>30.782100000000003</v>
      </c>
      <c r="P394" s="7"/>
      <c r="Q394" s="13"/>
      <c r="R394" s="14"/>
      <c r="S394" s="14"/>
      <c r="T394" s="27"/>
      <c r="U394" s="28">
        <f t="shared" si="13"/>
        <v>1.487837273991655</v>
      </c>
    </row>
    <row r="395" spans="2:21" hidden="1" x14ac:dyDescent="0.25">
      <c r="B395" s="6" t="s">
        <v>115</v>
      </c>
      <c r="C395" s="15">
        <v>1554.86</v>
      </c>
      <c r="D395" s="16">
        <v>41.1</v>
      </c>
      <c r="E395" s="16">
        <v>47.430999999999997</v>
      </c>
      <c r="F395" s="16">
        <v>47.36</v>
      </c>
      <c r="G395" s="16">
        <v>8.68</v>
      </c>
      <c r="H395" s="16">
        <f t="shared" si="14"/>
        <v>42.673875000000002</v>
      </c>
      <c r="I395" s="5"/>
      <c r="J395" s="15">
        <v>1547.7257</v>
      </c>
      <c r="K395" s="16">
        <v>40.811599999999999</v>
      </c>
      <c r="L395" s="16">
        <v>47.018700000000003</v>
      </c>
      <c r="M395" s="16">
        <v>46.913400000000003</v>
      </c>
      <c r="N395" s="16">
        <v>15.879200000000001</v>
      </c>
      <c r="O395" s="16">
        <f t="shared" si="15"/>
        <v>42.350212500000005</v>
      </c>
      <c r="P395" s="7"/>
      <c r="Q395" s="8">
        <f>bdrate(C395:C398,D395:D398,J395:J398,K395:K398)</f>
        <v>8.3402327769501294E-2</v>
      </c>
      <c r="R395" s="8">
        <f>bdrate(C395:C398,E395:E398,J395:J398,L395:L398)</f>
        <v>2.0352652868166787E-2</v>
      </c>
      <c r="S395" s="8">
        <f>bdrate(C395:C398,F395:F398,J395:J398,M395:M398)</f>
        <v>4.4955564122269864E-2</v>
      </c>
      <c r="T395" s="25">
        <f>bdrate(C395:C398,H395:H398,J395:J398,O395:O398)</f>
        <v>7.2195292932588639E-2</v>
      </c>
      <c r="U395" s="28">
        <f t="shared" si="13"/>
        <v>0.82940092165898638</v>
      </c>
    </row>
    <row r="396" spans="2:21" hidden="1" x14ac:dyDescent="0.25">
      <c r="B396" s="9"/>
      <c r="C396" s="17">
        <v>1038.5</v>
      </c>
      <c r="D396" s="18">
        <v>39.844000000000001</v>
      </c>
      <c r="E396" s="18">
        <v>46.262</v>
      </c>
      <c r="F396" s="18">
        <v>46.149000000000001</v>
      </c>
      <c r="G396" s="18">
        <v>9.4700000000000006</v>
      </c>
      <c r="H396" s="18">
        <f t="shared" si="14"/>
        <v>41.434375000000003</v>
      </c>
      <c r="I396" s="5"/>
      <c r="J396" s="17">
        <v>1028.3095000000001</v>
      </c>
      <c r="K396" s="18">
        <v>39.512700000000002</v>
      </c>
      <c r="L396" s="18">
        <v>46.0107</v>
      </c>
      <c r="M396" s="18">
        <v>45.8459</v>
      </c>
      <c r="N396" s="18">
        <v>19.454799999999999</v>
      </c>
      <c r="O396" s="18">
        <f t="shared" si="15"/>
        <v>41.116600000000005</v>
      </c>
      <c r="P396" s="7"/>
      <c r="Q396" s="10"/>
      <c r="R396" s="11"/>
      <c r="S396" s="11"/>
      <c r="T396" s="26"/>
      <c r="U396" s="28">
        <f t="shared" si="13"/>
        <v>1.0543611404435056</v>
      </c>
    </row>
    <row r="397" spans="2:21" hidden="1" x14ac:dyDescent="0.25">
      <c r="B397" s="9"/>
      <c r="C397" s="17">
        <v>623.15</v>
      </c>
      <c r="D397" s="18">
        <v>38.095999999999997</v>
      </c>
      <c r="E397" s="18">
        <v>44.637999999999998</v>
      </c>
      <c r="F397" s="18">
        <v>44.468000000000004</v>
      </c>
      <c r="G397" s="18">
        <v>10.76</v>
      </c>
      <c r="H397" s="18">
        <f t="shared" si="14"/>
        <v>39.710249999999995</v>
      </c>
      <c r="I397" s="5"/>
      <c r="J397" s="17">
        <v>614.08429999999998</v>
      </c>
      <c r="K397" s="18">
        <v>37.747199999999999</v>
      </c>
      <c r="L397" s="18">
        <v>44.586799999999997</v>
      </c>
      <c r="M397" s="18">
        <v>44.325499999999998</v>
      </c>
      <c r="N397" s="18">
        <v>24.525600000000001</v>
      </c>
      <c r="O397" s="18">
        <f t="shared" si="15"/>
        <v>39.424437499999996</v>
      </c>
      <c r="P397" s="7"/>
      <c r="Q397" s="10"/>
      <c r="R397" s="11"/>
      <c r="S397" s="11"/>
      <c r="T397" s="26"/>
      <c r="U397" s="28">
        <f t="shared" si="13"/>
        <v>1.2793308550185876</v>
      </c>
    </row>
    <row r="398" spans="2:21" ht="16.5" hidden="1" thickBot="1" x14ac:dyDescent="0.3">
      <c r="B398" s="12"/>
      <c r="C398" s="19">
        <v>312.04000000000002</v>
      </c>
      <c r="D398" s="20">
        <v>35.414999999999999</v>
      </c>
      <c r="E398" s="20">
        <v>42.398000000000003</v>
      </c>
      <c r="F398" s="20">
        <v>42.106000000000002</v>
      </c>
      <c r="G398" s="20">
        <v>12.99</v>
      </c>
      <c r="H398" s="20">
        <f t="shared" si="14"/>
        <v>37.124250000000004</v>
      </c>
      <c r="I398" s="5"/>
      <c r="J398" s="19">
        <v>306.26609999999999</v>
      </c>
      <c r="K398" s="20">
        <v>35.133899999999997</v>
      </c>
      <c r="L398" s="20">
        <v>42.517800000000001</v>
      </c>
      <c r="M398" s="20">
        <v>42.0944</v>
      </c>
      <c r="N398" s="20">
        <v>34.6357</v>
      </c>
      <c r="O398" s="20">
        <f t="shared" si="15"/>
        <v>36.926949999999998</v>
      </c>
      <c r="P398" s="7"/>
      <c r="Q398" s="13"/>
      <c r="R398" s="14"/>
      <c r="S398" s="14"/>
      <c r="T398" s="27"/>
      <c r="U398" s="28">
        <f t="shared" si="13"/>
        <v>1.6663356428021554</v>
      </c>
    </row>
    <row r="399" spans="2:21" hidden="1" x14ac:dyDescent="0.25">
      <c r="B399" s="6" t="s">
        <v>116</v>
      </c>
      <c r="C399" s="29">
        <v>1504.64</v>
      </c>
      <c r="D399" s="30">
        <v>47.572000000000003</v>
      </c>
      <c r="E399" s="30">
        <v>52.332999999999998</v>
      </c>
      <c r="F399" s="30">
        <v>52.225000000000001</v>
      </c>
      <c r="G399" s="16">
        <v>9.7100000000000009</v>
      </c>
      <c r="H399" s="16">
        <f t="shared" si="14"/>
        <v>48.748750000000001</v>
      </c>
      <c r="I399" s="5"/>
      <c r="J399" s="29">
        <v>1555.3933</v>
      </c>
      <c r="K399" s="30">
        <v>47.391199999999998</v>
      </c>
      <c r="L399" s="30">
        <v>51.8596</v>
      </c>
      <c r="M399" s="30">
        <v>51.714100000000002</v>
      </c>
      <c r="N399" s="16">
        <v>22.489599999999999</v>
      </c>
      <c r="O399" s="16">
        <f t="shared" si="15"/>
        <v>48.490112499999995</v>
      </c>
      <c r="P399" s="7"/>
      <c r="Q399" s="8">
        <f>bdrate(C399:C402,D399:D402,J399:J402,K399:K402)</f>
        <v>6.2763295435420696E-2</v>
      </c>
      <c r="R399" s="8">
        <f>bdrate(C399:C402,E399:E402,J399:J402,L399:L402)</f>
        <v>0.26746296095201405</v>
      </c>
      <c r="S399" s="8">
        <f>bdrate(C399:C402,F399:F402,J399:J402,M399:M402)</f>
        <v>0.30264989698214229</v>
      </c>
      <c r="T399" s="25">
        <f>bdrate(C399:C402,H399:H402,J399:J402,O399:O402)</f>
        <v>0.10388948422530353</v>
      </c>
      <c r="U399" s="28">
        <f t="shared" si="13"/>
        <v>1.3161277033985579</v>
      </c>
    </row>
    <row r="400" spans="2:21" hidden="1" x14ac:dyDescent="0.25">
      <c r="B400" s="9"/>
      <c r="C400" s="31">
        <v>1001.7</v>
      </c>
      <c r="D400" s="32">
        <v>46.74</v>
      </c>
      <c r="E400" s="32">
        <v>51.658999999999999</v>
      </c>
      <c r="F400" s="32">
        <v>51.558</v>
      </c>
      <c r="G400" s="18">
        <v>11.09</v>
      </c>
      <c r="H400" s="18">
        <f t="shared" si="14"/>
        <v>47.957124999999998</v>
      </c>
      <c r="I400" s="5"/>
      <c r="J400" s="31">
        <v>1028.8003000000001</v>
      </c>
      <c r="K400" s="32">
        <v>46.614699999999999</v>
      </c>
      <c r="L400" s="32">
        <v>51.184399999999997</v>
      </c>
      <c r="M400" s="32">
        <v>51.061900000000001</v>
      </c>
      <c r="N400" s="18">
        <v>27.517099999999999</v>
      </c>
      <c r="O400" s="18">
        <f t="shared" si="15"/>
        <v>47.741812499999995</v>
      </c>
      <c r="P400" s="7"/>
      <c r="Q400" s="10"/>
      <c r="R400" s="11"/>
      <c r="S400" s="11"/>
      <c r="T400" s="26"/>
      <c r="U400" s="28">
        <f t="shared" si="13"/>
        <v>1.4812533814247069</v>
      </c>
    </row>
    <row r="401" spans="1:21" hidden="1" x14ac:dyDescent="0.25">
      <c r="B401" s="9"/>
      <c r="C401" s="31">
        <v>602.09</v>
      </c>
      <c r="D401" s="32">
        <v>45.671999999999997</v>
      </c>
      <c r="E401" s="32">
        <v>50.774999999999999</v>
      </c>
      <c r="F401" s="32">
        <v>50.715000000000003</v>
      </c>
      <c r="G401" s="18">
        <v>13.03</v>
      </c>
      <c r="H401" s="18">
        <f t="shared" si="14"/>
        <v>46.940249999999992</v>
      </c>
      <c r="I401" s="5"/>
      <c r="J401" s="31">
        <v>611.56330000000003</v>
      </c>
      <c r="K401" s="32">
        <v>45.591000000000001</v>
      </c>
      <c r="L401" s="32">
        <v>50.396700000000003</v>
      </c>
      <c r="M401" s="32">
        <v>50.352800000000002</v>
      </c>
      <c r="N401" s="18">
        <v>35.927300000000002</v>
      </c>
      <c r="O401" s="18">
        <f t="shared" si="15"/>
        <v>46.786937500000001</v>
      </c>
      <c r="P401" s="7"/>
      <c r="Q401" s="10"/>
      <c r="R401" s="11"/>
      <c r="S401" s="11"/>
      <c r="T401" s="26"/>
      <c r="U401" s="28">
        <f t="shared" si="13"/>
        <v>1.7572755180353032</v>
      </c>
    </row>
    <row r="402" spans="1:21" ht="16.5" hidden="1" thickBot="1" x14ac:dyDescent="0.3">
      <c r="B402" s="12"/>
      <c r="C402" s="33">
        <v>302.86</v>
      </c>
      <c r="D402" s="34">
        <v>44.042000000000002</v>
      </c>
      <c r="E402" s="34">
        <v>49.408000000000001</v>
      </c>
      <c r="F402" s="34">
        <v>49.573999999999998</v>
      </c>
      <c r="G402" s="20">
        <v>16.559999999999999</v>
      </c>
      <c r="H402" s="20">
        <f t="shared" si="14"/>
        <v>45.404250000000005</v>
      </c>
      <c r="I402" s="5"/>
      <c r="J402" s="33">
        <v>303.30040000000002</v>
      </c>
      <c r="K402" s="34">
        <v>43.9985</v>
      </c>
      <c r="L402" s="34">
        <v>49.230800000000002</v>
      </c>
      <c r="M402" s="34">
        <v>49.397599999999997</v>
      </c>
      <c r="N402" s="20">
        <v>51.192799999999998</v>
      </c>
      <c r="O402" s="20">
        <f t="shared" si="15"/>
        <v>45.327424999999998</v>
      </c>
      <c r="P402" s="7"/>
      <c r="Q402" s="13"/>
      <c r="R402" s="14"/>
      <c r="S402" s="14"/>
      <c r="T402" s="27"/>
      <c r="U402" s="28">
        <f t="shared" si="13"/>
        <v>2.0913526570048311</v>
      </c>
    </row>
    <row r="403" spans="1:21" hidden="1" x14ac:dyDescent="0.25">
      <c r="A403" s="6" t="s">
        <v>117</v>
      </c>
      <c r="B403" s="6" t="s">
        <v>118</v>
      </c>
      <c r="C403" s="15">
        <v>1003.57</v>
      </c>
      <c r="D403" s="16">
        <v>40.380000000000003</v>
      </c>
      <c r="E403" s="16">
        <v>47.320999999999998</v>
      </c>
      <c r="F403" s="16">
        <v>47.182000000000002</v>
      </c>
      <c r="G403" s="16">
        <v>27.7</v>
      </c>
      <c r="H403" s="16">
        <f t="shared" si="14"/>
        <v>42.097875000000002</v>
      </c>
      <c r="I403" s="5"/>
      <c r="J403" s="15">
        <v>1028.3806</v>
      </c>
      <c r="K403" s="16">
        <v>40.161200000000001</v>
      </c>
      <c r="L403" s="16">
        <v>47.2697</v>
      </c>
      <c r="M403" s="16">
        <v>47.113399999999999</v>
      </c>
      <c r="N403" s="16">
        <v>51.66</v>
      </c>
      <c r="O403" s="16">
        <f t="shared" si="15"/>
        <v>41.918787500000001</v>
      </c>
      <c r="P403" s="7"/>
      <c r="Q403" s="8">
        <f>bdrate(C403:C406,D403:D406,J403:J406,K403:K406)</f>
        <v>7.5123658699768558E-2</v>
      </c>
      <c r="R403" s="8">
        <f>bdrate(C403:C406,E403:E406,J403:J406,L403:L406)</f>
        <v>-6.079945773784623E-2</v>
      </c>
      <c r="S403" s="8">
        <f>bdrate(C403:C406,F403:F406,J403:J406,M403:M406)</f>
        <v>-7.0425465351939387E-2</v>
      </c>
      <c r="T403" s="25">
        <f>bdrate(C403:C406,H403:H406,J403:J406,O403:O406)</f>
        <v>4.4056386366552402E-2</v>
      </c>
      <c r="U403" s="28">
        <f t="shared" si="13"/>
        <v>0.86498194945848372</v>
      </c>
    </row>
    <row r="404" spans="1:21" hidden="1" x14ac:dyDescent="0.25">
      <c r="A404" s="9"/>
      <c r="B404" s="9"/>
      <c r="C404" s="17">
        <v>596.36</v>
      </c>
      <c r="D404" s="18">
        <v>38.22</v>
      </c>
      <c r="E404" s="18">
        <v>45.57</v>
      </c>
      <c r="F404" s="18">
        <v>45.314999999999998</v>
      </c>
      <c r="G404" s="18">
        <v>30.13</v>
      </c>
      <c r="H404" s="18">
        <f t="shared" si="14"/>
        <v>40.025624999999998</v>
      </c>
      <c r="I404" s="5"/>
      <c r="J404" s="17">
        <v>614.85140000000001</v>
      </c>
      <c r="K404" s="18">
        <v>38.021799999999999</v>
      </c>
      <c r="L404" s="18">
        <v>45.770800000000001</v>
      </c>
      <c r="M404" s="18">
        <v>45.546399999999998</v>
      </c>
      <c r="N404" s="18">
        <v>62.855800000000002</v>
      </c>
      <c r="O404" s="18">
        <f t="shared" si="15"/>
        <v>39.930999999999997</v>
      </c>
      <c r="P404" s="7"/>
      <c r="Q404" s="10"/>
      <c r="R404" s="11"/>
      <c r="S404" s="11"/>
      <c r="T404" s="26"/>
      <c r="U404" s="28">
        <f t="shared" si="13"/>
        <v>1.0861533355459678</v>
      </c>
    </row>
    <row r="405" spans="1:21" hidden="1" x14ac:dyDescent="0.25">
      <c r="B405" s="9"/>
      <c r="C405" s="17">
        <v>394.21</v>
      </c>
      <c r="D405" s="18">
        <v>36.46</v>
      </c>
      <c r="E405" s="18">
        <v>44.192</v>
      </c>
      <c r="F405" s="18">
        <v>43.81</v>
      </c>
      <c r="G405" s="18">
        <v>36.72</v>
      </c>
      <c r="H405" s="18">
        <f t="shared" si="14"/>
        <v>38.34525</v>
      </c>
      <c r="I405" s="5"/>
      <c r="J405" s="17">
        <v>408.66879999999998</v>
      </c>
      <c r="K405" s="18">
        <v>36.293700000000001</v>
      </c>
      <c r="L405" s="18">
        <v>44.564399999999999</v>
      </c>
      <c r="M405" s="18">
        <v>44.283200000000001</v>
      </c>
      <c r="N405" s="18">
        <v>73.9178</v>
      </c>
      <c r="O405" s="18">
        <f t="shared" si="15"/>
        <v>38.326225000000001</v>
      </c>
      <c r="P405" s="7"/>
      <c r="Q405" s="10"/>
      <c r="R405" s="11"/>
      <c r="S405" s="11"/>
      <c r="T405" s="26"/>
      <c r="U405" s="28">
        <f t="shared" si="13"/>
        <v>1.0130119825708062</v>
      </c>
    </row>
    <row r="406" spans="1:21" ht="16.5" hidden="1" thickBot="1" x14ac:dyDescent="0.3">
      <c r="B406" s="12"/>
      <c r="C406" s="19">
        <v>194.73</v>
      </c>
      <c r="D406" s="20">
        <v>33.384</v>
      </c>
      <c r="E406" s="20">
        <v>41.936</v>
      </c>
      <c r="F406" s="20">
        <v>41.448</v>
      </c>
      <c r="G406" s="20">
        <v>44.73</v>
      </c>
      <c r="H406" s="20">
        <f t="shared" si="14"/>
        <v>35.460999999999999</v>
      </c>
      <c r="I406" s="5"/>
      <c r="J406" s="19">
        <v>203.01230000000001</v>
      </c>
      <c r="K406" s="20">
        <v>33.3322</v>
      </c>
      <c r="L406" s="20">
        <v>42.575499999999998</v>
      </c>
      <c r="M406" s="20">
        <v>42.1006</v>
      </c>
      <c r="N406" s="20">
        <v>98.6053</v>
      </c>
      <c r="O406" s="20">
        <f t="shared" si="15"/>
        <v>35.583662500000003</v>
      </c>
      <c r="P406" s="7"/>
      <c r="Q406" s="13"/>
      <c r="R406" s="14"/>
      <c r="S406" s="14"/>
      <c r="T406" s="27"/>
      <c r="U406" s="28">
        <f t="shared" si="13"/>
        <v>1.2044556226246368</v>
      </c>
    </row>
    <row r="407" spans="1:21" hidden="1" x14ac:dyDescent="0.25">
      <c r="B407" s="6" t="s">
        <v>119</v>
      </c>
      <c r="C407" s="15">
        <v>981.85</v>
      </c>
      <c r="D407" s="16">
        <v>39.006</v>
      </c>
      <c r="E407" s="16">
        <v>49.325000000000003</v>
      </c>
      <c r="F407" s="16">
        <v>46.887999999999998</v>
      </c>
      <c r="G407" s="16">
        <v>31.7</v>
      </c>
      <c r="H407" s="16">
        <f t="shared" si="14"/>
        <v>41.281124999999996</v>
      </c>
      <c r="I407" s="5"/>
      <c r="J407" s="15">
        <v>1025.2684999999999</v>
      </c>
      <c r="K407" s="16">
        <v>38.903199999999998</v>
      </c>
      <c r="L407" s="16">
        <v>49.390500000000003</v>
      </c>
      <c r="M407" s="16">
        <v>47.012300000000003</v>
      </c>
      <c r="N407" s="16">
        <v>59.112000000000002</v>
      </c>
      <c r="O407" s="16">
        <f t="shared" si="15"/>
        <v>41.22775</v>
      </c>
      <c r="P407" s="7"/>
      <c r="Q407" s="8">
        <f>bdrate(C407:C410,D407:D410,J407:J410,K407:K410)</f>
        <v>4.9108396360993734E-2</v>
      </c>
      <c r="R407" s="8">
        <f>bdrate(C407:C410,E407:E410,J407:J410,L407:L410)</f>
        <v>-0.14820176332584045</v>
      </c>
      <c r="S407" s="8">
        <f>bdrate(C407:C410,F407:F410,J407:J410,M407:M410)</f>
        <v>-0.12681271627093138</v>
      </c>
      <c r="T407" s="25">
        <f>bdrate(C407:C410,H407:H410,J407:J410,O407:O410)</f>
        <v>9.6225521139767789E-3</v>
      </c>
      <c r="U407" s="28">
        <f t="shared" si="13"/>
        <v>0.86473186119873824</v>
      </c>
    </row>
    <row r="408" spans="1:21" hidden="1" x14ac:dyDescent="0.25">
      <c r="B408" s="9"/>
      <c r="C408" s="17">
        <v>587.25</v>
      </c>
      <c r="D408" s="18">
        <v>37.051000000000002</v>
      </c>
      <c r="E408" s="18">
        <v>47.945</v>
      </c>
      <c r="F408" s="18">
        <v>45.33</v>
      </c>
      <c r="G408" s="18">
        <v>36.56</v>
      </c>
      <c r="H408" s="18">
        <f t="shared" si="14"/>
        <v>39.447625000000002</v>
      </c>
      <c r="I408" s="5"/>
      <c r="J408" s="17">
        <v>614.70529999999997</v>
      </c>
      <c r="K408" s="18">
        <v>37.008699999999997</v>
      </c>
      <c r="L408" s="18">
        <v>48.34</v>
      </c>
      <c r="M408" s="18">
        <v>45.726100000000002</v>
      </c>
      <c r="N408" s="18">
        <v>76.703100000000006</v>
      </c>
      <c r="O408" s="18">
        <f t="shared" si="15"/>
        <v>39.514787499999997</v>
      </c>
      <c r="P408" s="7"/>
      <c r="Q408" s="10"/>
      <c r="R408" s="11"/>
      <c r="S408" s="11"/>
      <c r="T408" s="26"/>
      <c r="U408" s="28">
        <f t="shared" si="13"/>
        <v>1.0980060175054704</v>
      </c>
    </row>
    <row r="409" spans="1:21" hidden="1" x14ac:dyDescent="0.25">
      <c r="B409" s="9"/>
      <c r="C409" s="17">
        <v>391.32</v>
      </c>
      <c r="D409" s="18">
        <v>35.58</v>
      </c>
      <c r="E409" s="18">
        <v>46.795999999999999</v>
      </c>
      <c r="F409" s="18">
        <v>44.098999999999997</v>
      </c>
      <c r="G409" s="18">
        <v>40.9</v>
      </c>
      <c r="H409" s="18">
        <f t="shared" si="14"/>
        <v>38.046875</v>
      </c>
      <c r="I409" s="5"/>
      <c r="J409" s="17">
        <v>409.56830000000002</v>
      </c>
      <c r="K409" s="18">
        <v>35.585900000000002</v>
      </c>
      <c r="L409" s="18">
        <v>47.439599999999999</v>
      </c>
      <c r="M409" s="18">
        <v>44.698999999999998</v>
      </c>
      <c r="N409" s="18">
        <v>89.690100000000001</v>
      </c>
      <c r="O409" s="18">
        <f t="shared" si="15"/>
        <v>38.20675</v>
      </c>
      <c r="P409" s="7"/>
      <c r="Q409" s="10"/>
      <c r="R409" s="11"/>
      <c r="S409" s="11"/>
      <c r="T409" s="26"/>
      <c r="U409" s="28">
        <f t="shared" si="13"/>
        <v>1.1929119804400978</v>
      </c>
    </row>
    <row r="410" spans="1:21" ht="16.5" hidden="1" thickBot="1" x14ac:dyDescent="0.3">
      <c r="B410" s="12"/>
      <c r="C410" s="19">
        <v>195.55</v>
      </c>
      <c r="D410" s="20">
        <v>33.17</v>
      </c>
      <c r="E410" s="20">
        <v>45.231999999999999</v>
      </c>
      <c r="F410" s="20">
        <v>42.201000000000001</v>
      </c>
      <c r="G410" s="20">
        <v>49.61</v>
      </c>
      <c r="H410" s="20">
        <f t="shared" si="14"/>
        <v>35.806625000000004</v>
      </c>
      <c r="I410" s="5"/>
      <c r="J410" s="19">
        <v>204.9034</v>
      </c>
      <c r="K410" s="20">
        <v>33.250399999999999</v>
      </c>
      <c r="L410" s="20">
        <v>45.922699999999999</v>
      </c>
      <c r="M410" s="20">
        <v>42.979900000000001</v>
      </c>
      <c r="N410" s="20">
        <v>123.0094</v>
      </c>
      <c r="O410" s="20">
        <f t="shared" si="15"/>
        <v>36.050624999999997</v>
      </c>
      <c r="P410" s="7"/>
      <c r="Q410" s="13"/>
      <c r="R410" s="14"/>
      <c r="S410" s="14"/>
      <c r="T410" s="27"/>
      <c r="U410" s="28">
        <f t="shared" si="13"/>
        <v>1.4795283209030436</v>
      </c>
    </row>
    <row r="411" spans="1:21" hidden="1" x14ac:dyDescent="0.25">
      <c r="B411" s="6" t="s">
        <v>120</v>
      </c>
      <c r="C411" s="15">
        <v>1033.22</v>
      </c>
      <c r="D411" s="16">
        <v>43.124000000000002</v>
      </c>
      <c r="E411" s="16">
        <v>47.344000000000001</v>
      </c>
      <c r="F411" s="16">
        <v>47.735999999999997</v>
      </c>
      <c r="G411" s="16">
        <v>29.38</v>
      </c>
      <c r="H411" s="16">
        <f t="shared" si="14"/>
        <v>44.228000000000002</v>
      </c>
      <c r="I411" s="5"/>
      <c r="J411" s="15">
        <v>1029.2031999999999</v>
      </c>
      <c r="K411" s="16">
        <v>42.869100000000003</v>
      </c>
      <c r="L411" s="16">
        <v>47.238300000000002</v>
      </c>
      <c r="M411" s="16">
        <v>47.625100000000003</v>
      </c>
      <c r="N411" s="16">
        <v>55.203000000000003</v>
      </c>
      <c r="O411" s="16">
        <f t="shared" si="15"/>
        <v>44.009749999999997</v>
      </c>
      <c r="P411" s="7"/>
      <c r="Q411" s="8">
        <f>bdrate(C411:C414,D411:D414,J411:J414,K411:K414)</f>
        <v>6.2584769561562226E-2</v>
      </c>
      <c r="R411" s="8">
        <f>bdrate(C411:C414,E411:E414,J411:J414,L411:L414)</f>
        <v>-3.9242596549147413E-2</v>
      </c>
      <c r="S411" s="8">
        <f>bdrate(C411:C414,F411:F414,J411:J414,M411:M414)</f>
        <v>-2.7721298556446783E-2</v>
      </c>
      <c r="T411" s="25">
        <f>bdrate(C411:C414,H411:H414,J411:J414,O411:O414)</f>
        <v>4.3885130935047423E-2</v>
      </c>
      <c r="U411" s="28">
        <f t="shared" si="13"/>
        <v>0.87893124574540515</v>
      </c>
    </row>
    <row r="412" spans="1:21" hidden="1" x14ac:dyDescent="0.25">
      <c r="B412" s="9"/>
      <c r="C412" s="17">
        <v>615.01</v>
      </c>
      <c r="D412" s="18">
        <v>41.363999999999997</v>
      </c>
      <c r="E412" s="18">
        <v>46.061999999999998</v>
      </c>
      <c r="F412" s="18">
        <v>46.527999999999999</v>
      </c>
      <c r="G412" s="18">
        <v>33.83</v>
      </c>
      <c r="H412" s="18">
        <f t="shared" si="14"/>
        <v>42.59675</v>
      </c>
      <c r="I412" s="5"/>
      <c r="J412" s="17">
        <v>616.3184</v>
      </c>
      <c r="K412" s="18">
        <v>41.099899999999998</v>
      </c>
      <c r="L412" s="18">
        <v>46.079599999999999</v>
      </c>
      <c r="M412" s="18">
        <v>46.503</v>
      </c>
      <c r="N412" s="18">
        <v>69.410300000000007</v>
      </c>
      <c r="O412" s="18">
        <f t="shared" si="15"/>
        <v>42.397749999999995</v>
      </c>
      <c r="P412" s="7"/>
      <c r="Q412" s="10"/>
      <c r="R412" s="11"/>
      <c r="S412" s="11"/>
      <c r="T412" s="26"/>
      <c r="U412" s="28">
        <f t="shared" si="13"/>
        <v>1.0517381022760866</v>
      </c>
    </row>
    <row r="413" spans="1:21" hidden="1" x14ac:dyDescent="0.25">
      <c r="B413" s="9"/>
      <c r="C413" s="17">
        <v>407.1</v>
      </c>
      <c r="D413" s="18">
        <v>39.840000000000003</v>
      </c>
      <c r="E413" s="18">
        <v>44.966000000000001</v>
      </c>
      <c r="F413" s="18">
        <v>45.466999999999999</v>
      </c>
      <c r="G413" s="18">
        <v>37.99</v>
      </c>
      <c r="H413" s="18">
        <f t="shared" si="14"/>
        <v>41.184125000000002</v>
      </c>
      <c r="I413" s="5"/>
      <c r="J413" s="17">
        <v>410.69720000000001</v>
      </c>
      <c r="K413" s="18">
        <v>39.621899999999997</v>
      </c>
      <c r="L413" s="18">
        <v>45.1265</v>
      </c>
      <c r="M413" s="18">
        <v>45.582500000000003</v>
      </c>
      <c r="N413" s="18">
        <v>78.508099999999999</v>
      </c>
      <c r="O413" s="18">
        <f t="shared" si="15"/>
        <v>41.055049999999994</v>
      </c>
      <c r="P413" s="7"/>
      <c r="Q413" s="10"/>
      <c r="R413" s="11"/>
      <c r="S413" s="11"/>
      <c r="T413" s="26"/>
      <c r="U413" s="28">
        <f t="shared" si="13"/>
        <v>1.0665464595946301</v>
      </c>
    </row>
    <row r="414" spans="1:21" ht="16.5" hidden="1" thickBot="1" x14ac:dyDescent="0.3">
      <c r="B414" s="12"/>
      <c r="C414" s="19">
        <v>200.75</v>
      </c>
      <c r="D414" s="20">
        <v>36.804000000000002</v>
      </c>
      <c r="E414" s="20">
        <v>42.889000000000003</v>
      </c>
      <c r="F414" s="20">
        <v>43.396999999999998</v>
      </c>
      <c r="G414" s="20">
        <v>47.13</v>
      </c>
      <c r="H414" s="20">
        <f t="shared" si="14"/>
        <v>38.388750000000002</v>
      </c>
      <c r="I414" s="5"/>
      <c r="J414" s="19">
        <v>204.3023</v>
      </c>
      <c r="K414" s="20">
        <v>36.782600000000002</v>
      </c>
      <c r="L414" s="20">
        <v>43.2928</v>
      </c>
      <c r="M414" s="20">
        <v>43.805100000000003</v>
      </c>
      <c r="N414" s="20">
        <v>116.795</v>
      </c>
      <c r="O414" s="20">
        <f t="shared" si="15"/>
        <v>38.474187499999999</v>
      </c>
      <c r="P414" s="7"/>
      <c r="Q414" s="13"/>
      <c r="R414" s="14"/>
      <c r="S414" s="14"/>
      <c r="T414" s="27"/>
      <c r="U414" s="28">
        <f t="shared" si="13"/>
        <v>1.4781455548482918</v>
      </c>
    </row>
    <row r="415" spans="1:21" hidden="1" x14ac:dyDescent="0.25">
      <c r="B415" s="6" t="s">
        <v>121</v>
      </c>
      <c r="C415" s="29">
        <v>972.59</v>
      </c>
      <c r="D415" s="30">
        <v>38.482999999999997</v>
      </c>
      <c r="E415" s="30">
        <v>45.939</v>
      </c>
      <c r="F415" s="30">
        <v>45.793999999999997</v>
      </c>
      <c r="G415" s="16">
        <v>34.39</v>
      </c>
      <c r="H415" s="16">
        <f t="shared" si="14"/>
        <v>40.328874999999996</v>
      </c>
      <c r="I415" s="5"/>
      <c r="J415" s="29">
        <v>1025.6161999999999</v>
      </c>
      <c r="K415" s="30">
        <v>38.671199999999999</v>
      </c>
      <c r="L415" s="30">
        <v>46.328499999999998</v>
      </c>
      <c r="M415" s="30">
        <v>46.180500000000002</v>
      </c>
      <c r="N415" s="16">
        <v>63.322600000000001</v>
      </c>
      <c r="O415" s="16">
        <f t="shared" si="15"/>
        <v>40.567025000000001</v>
      </c>
      <c r="P415" s="7"/>
      <c r="Q415" s="8">
        <f>bdrate(C415:C418,D415:D418,J415:J418,K415:K418)</f>
        <v>-2.358634741473109E-2</v>
      </c>
      <c r="R415" s="8">
        <f>bdrate(C415:C418,E415:E418,J415:J418,L415:L418)</f>
        <v>-0.22262031591470222</v>
      </c>
      <c r="S415" s="8">
        <f>bdrate(C415:C418,F415:F418,J415:J418,M415:M418)</f>
        <v>-0.21735378433116648</v>
      </c>
      <c r="T415" s="25">
        <f>bdrate(C415:C418,H415:H418,J415:J418,O415:O418)</f>
        <v>-6.3920852371182391E-2</v>
      </c>
      <c r="U415" s="28">
        <f t="shared" si="13"/>
        <v>0.84130851991858102</v>
      </c>
    </row>
    <row r="416" spans="1:21" hidden="1" x14ac:dyDescent="0.25">
      <c r="B416" s="9"/>
      <c r="C416" s="31">
        <v>583.07000000000005</v>
      </c>
      <c r="D416" s="32">
        <v>36.536999999999999</v>
      </c>
      <c r="E416" s="32">
        <v>44.49</v>
      </c>
      <c r="F416" s="32">
        <v>44.341000000000001</v>
      </c>
      <c r="G416" s="18">
        <v>40.229999999999997</v>
      </c>
      <c r="H416" s="18">
        <f t="shared" si="14"/>
        <v>38.506625</v>
      </c>
      <c r="I416" s="5"/>
      <c r="J416" s="31">
        <v>613.08299999999997</v>
      </c>
      <c r="K416" s="32">
        <v>36.753999999999998</v>
      </c>
      <c r="L416" s="32">
        <v>45.155200000000001</v>
      </c>
      <c r="M416" s="32">
        <v>44.994</v>
      </c>
      <c r="N416" s="18">
        <v>77.782200000000003</v>
      </c>
      <c r="O416" s="18">
        <f t="shared" si="15"/>
        <v>38.834149999999994</v>
      </c>
      <c r="P416" s="7"/>
      <c r="Q416" s="10"/>
      <c r="R416" s="11"/>
      <c r="S416" s="11"/>
      <c r="T416" s="26"/>
      <c r="U416" s="28">
        <f t="shared" si="13"/>
        <v>0.93343773303504873</v>
      </c>
    </row>
    <row r="417" spans="2:21" hidden="1" x14ac:dyDescent="0.25">
      <c r="B417" s="9"/>
      <c r="C417" s="31">
        <v>387.85</v>
      </c>
      <c r="D417" s="32">
        <v>34.978999999999999</v>
      </c>
      <c r="E417" s="32">
        <v>43.35</v>
      </c>
      <c r="F417" s="32">
        <v>43.186</v>
      </c>
      <c r="G417" s="18">
        <v>44.74</v>
      </c>
      <c r="H417" s="18">
        <f t="shared" si="14"/>
        <v>37.051249999999996</v>
      </c>
      <c r="I417" s="5"/>
      <c r="J417" s="31">
        <v>408.0915</v>
      </c>
      <c r="K417" s="32">
        <v>35.278300000000002</v>
      </c>
      <c r="L417" s="32">
        <v>44.234099999999998</v>
      </c>
      <c r="M417" s="32">
        <v>44.063899999999997</v>
      </c>
      <c r="N417" s="18">
        <v>92.242500000000007</v>
      </c>
      <c r="O417" s="18">
        <f t="shared" si="15"/>
        <v>37.495975000000001</v>
      </c>
      <c r="P417" s="7"/>
      <c r="Q417" s="10"/>
      <c r="R417" s="11"/>
      <c r="S417" s="11"/>
      <c r="T417" s="26"/>
      <c r="U417" s="28">
        <f t="shared" si="13"/>
        <v>1.0617456414841306</v>
      </c>
    </row>
    <row r="418" spans="2:21" ht="16.5" hidden="1" thickBot="1" x14ac:dyDescent="0.3">
      <c r="B418" s="12"/>
      <c r="C418" s="33">
        <v>193.97</v>
      </c>
      <c r="D418" s="34">
        <v>32.122</v>
      </c>
      <c r="E418" s="34">
        <v>41.238999999999997</v>
      </c>
      <c r="F418" s="34">
        <v>41.13</v>
      </c>
      <c r="G418" s="20">
        <v>54.31</v>
      </c>
      <c r="H418" s="20">
        <f t="shared" si="14"/>
        <v>34.387625</v>
      </c>
      <c r="I418" s="5"/>
      <c r="J418" s="33">
        <v>204.05019999999999</v>
      </c>
      <c r="K418" s="34">
        <v>32.601399999999998</v>
      </c>
      <c r="L418" s="34">
        <v>42.482199999999999</v>
      </c>
      <c r="M418" s="34">
        <v>42.285299999999999</v>
      </c>
      <c r="N418" s="20">
        <v>127.0234</v>
      </c>
      <c r="O418" s="20">
        <f t="shared" si="15"/>
        <v>35.0469875</v>
      </c>
      <c r="P418" s="7"/>
      <c r="Q418" s="13"/>
      <c r="R418" s="14"/>
      <c r="S418" s="14"/>
      <c r="T418" s="27"/>
      <c r="U418" s="28">
        <f t="shared" si="13"/>
        <v>1.3388584054501931</v>
      </c>
    </row>
    <row r="419" spans="2:21" hidden="1" x14ac:dyDescent="0.25">
      <c r="B419" s="6" t="s">
        <v>122</v>
      </c>
      <c r="C419" s="15">
        <v>1003.7</v>
      </c>
      <c r="D419" s="16">
        <v>38.301000000000002</v>
      </c>
      <c r="E419" s="16">
        <v>47.116999999999997</v>
      </c>
      <c r="F419" s="16">
        <v>45.652000000000001</v>
      </c>
      <c r="G419" s="16">
        <v>33.78</v>
      </c>
      <c r="H419" s="16">
        <f t="shared" si="14"/>
        <v>40.321874999999999</v>
      </c>
      <c r="I419" s="5"/>
      <c r="J419" s="15">
        <v>1025.5972999999999</v>
      </c>
      <c r="K419" s="16">
        <v>38.130200000000002</v>
      </c>
      <c r="L419" s="16">
        <v>47.170200000000001</v>
      </c>
      <c r="M419" s="16">
        <v>45.785899999999998</v>
      </c>
      <c r="N419" s="16">
        <v>62.893500000000003</v>
      </c>
      <c r="O419" s="16">
        <f t="shared" si="15"/>
        <v>40.217162500000001</v>
      </c>
      <c r="P419" s="7"/>
      <c r="Q419" s="8">
        <f>bdrate(C419:C422,D419:D422,J419:J422,K419:K422)</f>
        <v>6.8695389632708492E-2</v>
      </c>
      <c r="R419" s="8">
        <f>bdrate(C419:C422,E419:E422,J419:J422,L419:L422)</f>
        <v>-0.11888938660903325</v>
      </c>
      <c r="S419" s="8">
        <f>bdrate(C419:C422,F419:F422,J419:J422,M419:M422)</f>
        <v>-0.15758675807785205</v>
      </c>
      <c r="T419" s="25">
        <f>bdrate(C419:C422,H419:H422,J419:J422,O419:O422)</f>
        <v>1.8296472507006722E-2</v>
      </c>
      <c r="U419" s="28">
        <f t="shared" si="13"/>
        <v>0.86185612788632326</v>
      </c>
    </row>
    <row r="420" spans="2:21" hidden="1" x14ac:dyDescent="0.25">
      <c r="B420" s="9"/>
      <c r="C420" s="17">
        <v>602.14</v>
      </c>
      <c r="D420" s="18">
        <v>37.246000000000002</v>
      </c>
      <c r="E420" s="18">
        <v>46.234999999999999</v>
      </c>
      <c r="F420" s="18">
        <v>44.658000000000001</v>
      </c>
      <c r="G420" s="18">
        <v>38.72</v>
      </c>
      <c r="H420" s="18">
        <f t="shared" si="14"/>
        <v>39.296125000000004</v>
      </c>
      <c r="I420" s="5"/>
      <c r="J420" s="17">
        <v>615.0942</v>
      </c>
      <c r="K420" s="18">
        <v>37.097000000000001</v>
      </c>
      <c r="L420" s="18">
        <v>46.446399999999997</v>
      </c>
      <c r="M420" s="18">
        <v>44.960799999999999</v>
      </c>
      <c r="N420" s="18">
        <v>78.304500000000004</v>
      </c>
      <c r="O420" s="18">
        <f t="shared" si="15"/>
        <v>39.248649999999998</v>
      </c>
      <c r="P420" s="7"/>
      <c r="Q420" s="10"/>
      <c r="R420" s="11"/>
      <c r="S420" s="11"/>
      <c r="T420" s="26"/>
      <c r="U420" s="28">
        <f t="shared" si="13"/>
        <v>1.0223269628099176</v>
      </c>
    </row>
    <row r="421" spans="2:21" hidden="1" x14ac:dyDescent="0.25">
      <c r="B421" s="9"/>
      <c r="C421" s="17">
        <v>400.88</v>
      </c>
      <c r="D421" s="18">
        <v>36.402000000000001</v>
      </c>
      <c r="E421" s="18">
        <v>45.456000000000003</v>
      </c>
      <c r="F421" s="18">
        <v>43.805</v>
      </c>
      <c r="G421" s="18">
        <v>42.19</v>
      </c>
      <c r="H421" s="18">
        <f t="shared" si="14"/>
        <v>38.459125</v>
      </c>
      <c r="I421" s="5"/>
      <c r="J421" s="17">
        <v>408.97390000000001</v>
      </c>
      <c r="K421" s="18">
        <v>36.301600000000001</v>
      </c>
      <c r="L421" s="18">
        <v>45.7806</v>
      </c>
      <c r="M421" s="18">
        <v>44.242100000000001</v>
      </c>
      <c r="N421" s="18">
        <v>92.121399999999994</v>
      </c>
      <c r="O421" s="18">
        <f t="shared" si="15"/>
        <v>38.479037499999997</v>
      </c>
      <c r="P421" s="7"/>
      <c r="Q421" s="10"/>
      <c r="R421" s="11"/>
      <c r="S421" s="11"/>
      <c r="T421" s="26"/>
      <c r="U421" s="28">
        <f t="shared" si="13"/>
        <v>1.1834889784309077</v>
      </c>
    </row>
    <row r="422" spans="2:21" ht="16.5" hidden="1" thickBot="1" x14ac:dyDescent="0.3">
      <c r="B422" s="12"/>
      <c r="C422" s="19">
        <v>200.04</v>
      </c>
      <c r="D422" s="20">
        <v>34.704999999999998</v>
      </c>
      <c r="E422" s="20">
        <v>44.051000000000002</v>
      </c>
      <c r="F422" s="20">
        <v>42.298999999999999</v>
      </c>
      <c r="G422" s="20">
        <v>49.27</v>
      </c>
      <c r="H422" s="20">
        <f t="shared" si="14"/>
        <v>36.822499999999998</v>
      </c>
      <c r="I422" s="5"/>
      <c r="J422" s="19">
        <v>203.71209999999999</v>
      </c>
      <c r="K422" s="20">
        <v>34.734000000000002</v>
      </c>
      <c r="L422" s="20">
        <v>44.404400000000003</v>
      </c>
      <c r="M422" s="20">
        <v>42.828200000000002</v>
      </c>
      <c r="N422" s="20">
        <v>130.7801</v>
      </c>
      <c r="O422" s="20">
        <f t="shared" si="15"/>
        <v>36.954574999999998</v>
      </c>
      <c r="P422" s="7"/>
      <c r="Q422" s="13"/>
      <c r="R422" s="14"/>
      <c r="S422" s="14"/>
      <c r="T422" s="27"/>
      <c r="U422" s="28">
        <f t="shared" si="13"/>
        <v>1.6543555916379133</v>
      </c>
    </row>
    <row r="423" spans="2:21" hidden="1" x14ac:dyDescent="0.25">
      <c r="B423" s="6" t="s">
        <v>123</v>
      </c>
      <c r="C423" s="15">
        <v>1516.23</v>
      </c>
      <c r="D423" s="16">
        <v>37.984000000000002</v>
      </c>
      <c r="E423" s="16">
        <v>44.183</v>
      </c>
      <c r="F423" s="16">
        <v>43.526000000000003</v>
      </c>
      <c r="G423" s="16">
        <v>16.12</v>
      </c>
      <c r="H423" s="16">
        <f t="shared" si="14"/>
        <v>39.451625</v>
      </c>
      <c r="I423" s="5"/>
      <c r="J423" s="15">
        <v>1538.6424</v>
      </c>
      <c r="K423" s="16">
        <v>38.592300000000002</v>
      </c>
      <c r="L423" s="16">
        <v>44.6402</v>
      </c>
      <c r="M423" s="16">
        <v>43.965200000000003</v>
      </c>
      <c r="N423" s="16">
        <v>35.0837</v>
      </c>
      <c r="O423" s="16">
        <f t="shared" si="15"/>
        <v>40.0199</v>
      </c>
      <c r="P423" s="7"/>
      <c r="Q423" s="8">
        <f>bdrate(C423:C426,D423:D426,J423:J426,K423:K426)</f>
        <v>-0.16027950166807237</v>
      </c>
      <c r="R423" s="8">
        <f>bdrate(C423:C426,E423:E426,J423:J426,L423:L426)</f>
        <v>-0.22817311177429378</v>
      </c>
      <c r="S423" s="8">
        <f>bdrate(C423:C426,F423:F426,J423:J426,M423:M426)</f>
        <v>-0.18362496710498633</v>
      </c>
      <c r="T423" s="25">
        <f>bdrate(C423:C426,H423:H426,J423:J426,O423:O426)</f>
        <v>-0.16954426093867669</v>
      </c>
      <c r="U423" s="28">
        <f t="shared" si="13"/>
        <v>1.1764081885856079</v>
      </c>
    </row>
    <row r="424" spans="2:21" hidden="1" x14ac:dyDescent="0.25">
      <c r="B424" s="9"/>
      <c r="C424" s="17">
        <v>1007.24</v>
      </c>
      <c r="D424" s="18">
        <v>36.174999999999997</v>
      </c>
      <c r="E424" s="18">
        <v>42.921999999999997</v>
      </c>
      <c r="F424" s="18">
        <v>42.21</v>
      </c>
      <c r="G424" s="18">
        <v>17.739999999999998</v>
      </c>
      <c r="H424" s="18">
        <f t="shared" si="14"/>
        <v>37.772749999999995</v>
      </c>
      <c r="I424" s="5"/>
      <c r="J424" s="17">
        <v>1023.5252</v>
      </c>
      <c r="K424" s="18">
        <v>36.922899999999998</v>
      </c>
      <c r="L424" s="18">
        <v>43.572400000000002</v>
      </c>
      <c r="M424" s="18">
        <v>42.766300000000001</v>
      </c>
      <c r="N424" s="18">
        <v>41.48</v>
      </c>
      <c r="O424" s="18">
        <f t="shared" si="15"/>
        <v>38.484512500000001</v>
      </c>
      <c r="P424" s="7"/>
      <c r="Q424" s="10"/>
      <c r="R424" s="11"/>
      <c r="S424" s="11"/>
      <c r="T424" s="26"/>
      <c r="U424" s="28">
        <f t="shared" si="13"/>
        <v>1.338218714768884</v>
      </c>
    </row>
    <row r="425" spans="2:21" hidden="1" x14ac:dyDescent="0.25">
      <c r="B425" s="9"/>
      <c r="C425" s="17">
        <v>602.35</v>
      </c>
      <c r="D425" s="18">
        <v>33.912999999999997</v>
      </c>
      <c r="E425" s="18">
        <v>41.420999999999999</v>
      </c>
      <c r="F425" s="18">
        <v>40.56</v>
      </c>
      <c r="G425" s="18">
        <v>19.89</v>
      </c>
      <c r="H425" s="18">
        <f t="shared" si="14"/>
        <v>35.682374999999993</v>
      </c>
      <c r="I425" s="5"/>
      <c r="J425" s="17">
        <v>612.24940000000004</v>
      </c>
      <c r="K425" s="18">
        <v>34.764800000000001</v>
      </c>
      <c r="L425" s="18">
        <v>42.221800000000002</v>
      </c>
      <c r="M425" s="18">
        <v>41.25</v>
      </c>
      <c r="N425" s="18">
        <v>52.674700000000001</v>
      </c>
      <c r="O425" s="18">
        <f t="shared" si="15"/>
        <v>36.507575000000003</v>
      </c>
      <c r="P425" s="7"/>
      <c r="Q425" s="10"/>
      <c r="R425" s="11"/>
      <c r="S425" s="11"/>
      <c r="T425" s="26"/>
      <c r="U425" s="28">
        <f t="shared" si="13"/>
        <v>1.6483006535947713</v>
      </c>
    </row>
    <row r="426" spans="2:21" ht="16.5" hidden="1" thickBot="1" x14ac:dyDescent="0.3">
      <c r="B426" s="12"/>
      <c r="C426" s="19">
        <v>300.69</v>
      </c>
      <c r="D426" s="20">
        <v>31.021999999999998</v>
      </c>
      <c r="E426" s="20">
        <v>39.203000000000003</v>
      </c>
      <c r="F426" s="20">
        <v>38.094999999999999</v>
      </c>
      <c r="G426" s="20">
        <v>22.6</v>
      </c>
      <c r="H426" s="20">
        <f t="shared" si="14"/>
        <v>32.928750000000001</v>
      </c>
      <c r="I426" s="5"/>
      <c r="J426" s="19">
        <v>306.69330000000002</v>
      </c>
      <c r="K426" s="20">
        <v>31.9178</v>
      </c>
      <c r="L426" s="20">
        <v>40.512900000000002</v>
      </c>
      <c r="M426" s="20">
        <v>39.314</v>
      </c>
      <c r="N426" s="20">
        <v>72.316299999999998</v>
      </c>
      <c r="O426" s="20">
        <f t="shared" si="15"/>
        <v>33.916712500000003</v>
      </c>
      <c r="P426" s="7"/>
      <c r="Q426" s="13"/>
      <c r="R426" s="14"/>
      <c r="S426" s="14"/>
      <c r="T426" s="27"/>
      <c r="U426" s="28">
        <f t="shared" si="13"/>
        <v>2.1998362831858405</v>
      </c>
    </row>
    <row r="427" spans="2:21" hidden="1" x14ac:dyDescent="0.25">
      <c r="B427" s="6" t="s">
        <v>124</v>
      </c>
      <c r="C427" s="15">
        <v>1027.8</v>
      </c>
      <c r="D427" s="16">
        <v>39.780999999999999</v>
      </c>
      <c r="E427" s="16">
        <v>45.439</v>
      </c>
      <c r="F427" s="16">
        <v>44.927</v>
      </c>
      <c r="G427" s="16">
        <v>31.79</v>
      </c>
      <c r="H427" s="16">
        <f t="shared" si="14"/>
        <v>41.131500000000003</v>
      </c>
      <c r="I427" s="5"/>
      <c r="J427" s="15">
        <v>1035.8987999999999</v>
      </c>
      <c r="K427" s="16">
        <v>39.778599999999997</v>
      </c>
      <c r="L427" s="16">
        <v>45.4771</v>
      </c>
      <c r="M427" s="16">
        <v>44.975299999999997</v>
      </c>
      <c r="N427" s="16">
        <v>59.782200000000003</v>
      </c>
      <c r="O427" s="16">
        <f t="shared" si="15"/>
        <v>41.140499999999996</v>
      </c>
      <c r="P427" s="7"/>
      <c r="Q427" s="8">
        <f>bdrate(C427:C430,D427:D430,J427:J430,K427:K430)</f>
        <v>-4.1370747349609438E-3</v>
      </c>
      <c r="R427" s="8">
        <f>bdrate(C427:C430,E427:E430,J427:J430,L427:L430)</f>
        <v>-0.11941476074246093</v>
      </c>
      <c r="S427" s="8">
        <f>bdrate(C427:C430,F427:F430,J427:J430,M427:M430)</f>
        <v>-0.12319763245496407</v>
      </c>
      <c r="T427" s="25">
        <f>bdrate(C427:C430,H427:H430,J427:J430,O427:O430)</f>
        <v>-2.9554857212640617E-2</v>
      </c>
      <c r="U427" s="28">
        <f t="shared" si="13"/>
        <v>0.88053475935828895</v>
      </c>
    </row>
    <row r="428" spans="2:21" hidden="1" x14ac:dyDescent="0.25">
      <c r="B428" s="9"/>
      <c r="C428" s="17">
        <v>611.11</v>
      </c>
      <c r="D428" s="18">
        <v>38.051000000000002</v>
      </c>
      <c r="E428" s="18">
        <v>44.042999999999999</v>
      </c>
      <c r="F428" s="18">
        <v>43.506</v>
      </c>
      <c r="G428" s="18">
        <v>36.93</v>
      </c>
      <c r="H428" s="18">
        <f t="shared" si="14"/>
        <v>39.481875000000002</v>
      </c>
      <c r="I428" s="5"/>
      <c r="J428" s="17">
        <v>621.87199999999996</v>
      </c>
      <c r="K428" s="18">
        <v>38.078299999999999</v>
      </c>
      <c r="L428" s="18">
        <v>44.304900000000004</v>
      </c>
      <c r="M428" s="18">
        <v>43.7776</v>
      </c>
      <c r="N428" s="18">
        <v>74.336799999999997</v>
      </c>
      <c r="O428" s="18">
        <f t="shared" si="15"/>
        <v>39.5690375</v>
      </c>
      <c r="P428" s="7"/>
      <c r="Q428" s="10"/>
      <c r="R428" s="11"/>
      <c r="S428" s="11"/>
      <c r="T428" s="26"/>
      <c r="U428" s="28">
        <f t="shared" si="13"/>
        <v>1.0129109125372324</v>
      </c>
    </row>
    <row r="429" spans="2:21" hidden="1" x14ac:dyDescent="0.25">
      <c r="B429" s="9"/>
      <c r="C429" s="17">
        <v>403.47</v>
      </c>
      <c r="D429" s="18">
        <v>36.652999999999999</v>
      </c>
      <c r="E429" s="18">
        <v>42.893999999999998</v>
      </c>
      <c r="F429" s="18">
        <v>42.332000000000001</v>
      </c>
      <c r="G429" s="18">
        <v>40.79</v>
      </c>
      <c r="H429" s="18">
        <f t="shared" si="14"/>
        <v>38.143000000000001</v>
      </c>
      <c r="I429" s="5"/>
      <c r="J429" s="17">
        <v>414.06779999999998</v>
      </c>
      <c r="K429" s="18">
        <v>36.753900000000002</v>
      </c>
      <c r="L429" s="18">
        <v>43.376199999999997</v>
      </c>
      <c r="M429" s="18">
        <v>42.839300000000001</v>
      </c>
      <c r="N429" s="18">
        <v>88.842200000000005</v>
      </c>
      <c r="O429" s="18">
        <f t="shared" si="15"/>
        <v>38.3423625</v>
      </c>
      <c r="P429" s="7"/>
      <c r="Q429" s="10"/>
      <c r="R429" s="11"/>
      <c r="S429" s="11"/>
      <c r="T429" s="26"/>
      <c r="U429" s="28">
        <f t="shared" si="13"/>
        <v>1.1780387349840649</v>
      </c>
    </row>
    <row r="430" spans="2:21" ht="16.5" hidden="1" thickBot="1" x14ac:dyDescent="0.3">
      <c r="B430" s="12"/>
      <c r="C430" s="19">
        <v>198.44</v>
      </c>
      <c r="D430" s="20">
        <v>33.979999999999997</v>
      </c>
      <c r="E430" s="20">
        <v>40.83</v>
      </c>
      <c r="F430" s="20">
        <v>40.229999999999997</v>
      </c>
      <c r="G430" s="20">
        <v>48.98</v>
      </c>
      <c r="H430" s="20">
        <f t="shared" si="14"/>
        <v>35.6175</v>
      </c>
      <c r="I430" s="5"/>
      <c r="J430" s="19">
        <v>206.8954</v>
      </c>
      <c r="K430" s="20">
        <v>34.292099999999998</v>
      </c>
      <c r="L430" s="20">
        <v>41.605499999999999</v>
      </c>
      <c r="M430" s="20">
        <v>41.031300000000002</v>
      </c>
      <c r="N430" s="20">
        <v>125.50620000000001</v>
      </c>
      <c r="O430" s="20">
        <f t="shared" si="15"/>
        <v>36.048674999999996</v>
      </c>
      <c r="P430" s="7"/>
      <c r="Q430" s="13"/>
      <c r="R430" s="14"/>
      <c r="S430" s="14"/>
      <c r="T430" s="27"/>
      <c r="U430" s="28">
        <f t="shared" si="13"/>
        <v>1.5623968966925279</v>
      </c>
    </row>
    <row r="431" spans="2:21" hidden="1" x14ac:dyDescent="0.25">
      <c r="B431" s="6" t="s">
        <v>125</v>
      </c>
      <c r="C431" s="15">
        <v>985.22</v>
      </c>
      <c r="D431" s="16">
        <v>43.396999999999998</v>
      </c>
      <c r="E431" s="16">
        <v>47.951000000000001</v>
      </c>
      <c r="F431" s="16">
        <v>47.146999999999998</v>
      </c>
      <c r="G431" s="16">
        <v>32.83</v>
      </c>
      <c r="H431" s="16">
        <f t="shared" si="14"/>
        <v>44.435000000000002</v>
      </c>
      <c r="I431" s="5"/>
      <c r="J431" s="15">
        <v>1028.1883</v>
      </c>
      <c r="K431" s="16">
        <v>43.499200000000002</v>
      </c>
      <c r="L431" s="16">
        <v>47.981200000000001</v>
      </c>
      <c r="M431" s="16">
        <v>47.180900000000001</v>
      </c>
      <c r="N431" s="16">
        <v>63.629300000000001</v>
      </c>
      <c r="O431" s="16">
        <f t="shared" si="15"/>
        <v>44.519662500000003</v>
      </c>
      <c r="P431" s="7"/>
      <c r="Q431" s="8">
        <f>bdrate(C431:C434,D431:D434,J431:J434,K431:K434)</f>
        <v>-1.4184770055439611E-2</v>
      </c>
      <c r="R431" s="8">
        <f>bdrate(C431:C434,E431:E434,J431:J434,L431:L434)</f>
        <v>-5.1230201879933102E-2</v>
      </c>
      <c r="S431" s="8">
        <f>bdrate(C431:C434,F431:F434,J431:J434,M431:M434)</f>
        <v>-5.2331160291995693E-2</v>
      </c>
      <c r="T431" s="25">
        <f>bdrate(C431:C434,H431:H434,J431:J434,O431:O434)</f>
        <v>-2.272375340361088E-2</v>
      </c>
      <c r="U431" s="28">
        <f t="shared" si="13"/>
        <v>0.93814498933901935</v>
      </c>
    </row>
    <row r="432" spans="2:21" hidden="1" x14ac:dyDescent="0.25">
      <c r="B432" s="9"/>
      <c r="C432" s="17">
        <v>593</v>
      </c>
      <c r="D432" s="18">
        <v>41.683</v>
      </c>
      <c r="E432" s="18">
        <v>46.484000000000002</v>
      </c>
      <c r="F432" s="18">
        <v>45.628999999999998</v>
      </c>
      <c r="G432" s="18">
        <v>37.54</v>
      </c>
      <c r="H432" s="18">
        <f t="shared" si="14"/>
        <v>42.776375000000002</v>
      </c>
      <c r="I432" s="5"/>
      <c r="J432" s="17">
        <v>615.59360000000004</v>
      </c>
      <c r="K432" s="18">
        <v>41.806399999999996</v>
      </c>
      <c r="L432" s="18">
        <v>46.628500000000003</v>
      </c>
      <c r="M432" s="18">
        <v>45.788600000000002</v>
      </c>
      <c r="N432" s="18">
        <v>76.010599999999997</v>
      </c>
      <c r="O432" s="18">
        <f t="shared" si="15"/>
        <v>42.906937499999998</v>
      </c>
      <c r="P432" s="7"/>
      <c r="Q432" s="10"/>
      <c r="R432" s="11"/>
      <c r="S432" s="11"/>
      <c r="T432" s="26"/>
      <c r="U432" s="28">
        <f t="shared" si="13"/>
        <v>1.0247895578050079</v>
      </c>
    </row>
    <row r="433" spans="2:21" hidden="1" x14ac:dyDescent="0.25">
      <c r="B433" s="9"/>
      <c r="C433" s="17">
        <v>396.72</v>
      </c>
      <c r="D433" s="18">
        <v>40.189</v>
      </c>
      <c r="E433" s="18">
        <v>45.195999999999998</v>
      </c>
      <c r="F433" s="18">
        <v>44.302</v>
      </c>
      <c r="G433" s="18">
        <v>41.69</v>
      </c>
      <c r="H433" s="18">
        <f t="shared" si="14"/>
        <v>41.329000000000008</v>
      </c>
      <c r="I433" s="5"/>
      <c r="J433" s="17">
        <v>410.17090000000002</v>
      </c>
      <c r="K433" s="18">
        <v>40.369599999999998</v>
      </c>
      <c r="L433" s="18">
        <v>45.507599999999996</v>
      </c>
      <c r="M433" s="18">
        <v>44.622</v>
      </c>
      <c r="N433" s="18">
        <v>93.956400000000002</v>
      </c>
      <c r="O433" s="18">
        <f t="shared" si="15"/>
        <v>41.543399999999998</v>
      </c>
      <c r="P433" s="7"/>
      <c r="Q433" s="10"/>
      <c r="R433" s="11"/>
      <c r="S433" s="11"/>
      <c r="T433" s="26"/>
      <c r="U433" s="28">
        <f t="shared" si="13"/>
        <v>1.2536915327416649</v>
      </c>
    </row>
    <row r="434" spans="2:21" ht="16.5" hidden="1" thickBot="1" x14ac:dyDescent="0.3">
      <c r="B434" s="12"/>
      <c r="C434" s="19">
        <v>200.54</v>
      </c>
      <c r="D434" s="20">
        <v>37.152000000000001</v>
      </c>
      <c r="E434" s="20">
        <v>42.755000000000003</v>
      </c>
      <c r="F434" s="20">
        <v>41.731999999999999</v>
      </c>
      <c r="G434" s="20">
        <v>49.17</v>
      </c>
      <c r="H434" s="20">
        <f t="shared" si="14"/>
        <v>38.424875</v>
      </c>
      <c r="I434" s="5"/>
      <c r="J434" s="19">
        <v>204.1233</v>
      </c>
      <c r="K434" s="20">
        <v>37.492199999999997</v>
      </c>
      <c r="L434" s="20">
        <v>43.335000000000001</v>
      </c>
      <c r="M434" s="20">
        <v>42.355499999999999</v>
      </c>
      <c r="N434" s="20">
        <v>131.7903</v>
      </c>
      <c r="O434" s="20">
        <f t="shared" si="15"/>
        <v>38.830462499999996</v>
      </c>
      <c r="P434" s="7"/>
      <c r="Q434" s="13"/>
      <c r="R434" s="14"/>
      <c r="S434" s="14"/>
      <c r="T434" s="27"/>
      <c r="U434" s="28">
        <f t="shared" si="13"/>
        <v>1.6802989627821843</v>
      </c>
    </row>
    <row r="435" spans="2:21" hidden="1" x14ac:dyDescent="0.25">
      <c r="B435" s="6" t="s">
        <v>126</v>
      </c>
      <c r="C435" s="15">
        <v>1457.64</v>
      </c>
      <c r="D435" s="16">
        <v>37.414999999999999</v>
      </c>
      <c r="E435" s="16">
        <v>42.65</v>
      </c>
      <c r="F435" s="16">
        <v>43.369</v>
      </c>
      <c r="G435" s="16">
        <v>11.68</v>
      </c>
      <c r="H435" s="16">
        <f t="shared" si="14"/>
        <v>38.813625000000002</v>
      </c>
      <c r="I435" s="5"/>
      <c r="J435" s="15">
        <v>1543.6476</v>
      </c>
      <c r="K435" s="16">
        <v>37.405200000000001</v>
      </c>
      <c r="L435" s="16">
        <v>43.316499999999998</v>
      </c>
      <c r="M435" s="16">
        <v>44.0002</v>
      </c>
      <c r="N435" s="16">
        <v>28.3323</v>
      </c>
      <c r="O435" s="16">
        <f t="shared" si="15"/>
        <v>38.968487500000002</v>
      </c>
      <c r="P435" s="7"/>
      <c r="Q435" s="8">
        <f>bdrate(C435:C438,D435:D438,J435:J438,K435:K438)</f>
        <v>2.0760900357147394E-2</v>
      </c>
      <c r="R435" s="8">
        <f>bdrate(C435:C438,E435:E438,J435:J438,L435:L438)</f>
        <v>-0.27265450474466524</v>
      </c>
      <c r="S435" s="8">
        <f>bdrate(C435:C438,F435:F438,J435:J438,M435:M438)</f>
        <v>-0.2626901559809296</v>
      </c>
      <c r="T435" s="25">
        <f>bdrate(C435:C438,H435:H438,J435:J438,O435:O438)</f>
        <v>-3.7341376510448776E-2</v>
      </c>
      <c r="U435" s="28">
        <f t="shared" si="13"/>
        <v>1.4257106164383562</v>
      </c>
    </row>
    <row r="436" spans="2:21" hidden="1" x14ac:dyDescent="0.25">
      <c r="B436" s="9"/>
      <c r="C436" s="17">
        <v>971.72</v>
      </c>
      <c r="D436" s="18">
        <v>35.701999999999998</v>
      </c>
      <c r="E436" s="18">
        <v>41.418999999999997</v>
      </c>
      <c r="F436" s="18">
        <v>42.2</v>
      </c>
      <c r="G436" s="18">
        <v>13.12</v>
      </c>
      <c r="H436" s="18">
        <f t="shared" si="14"/>
        <v>37.228874999999995</v>
      </c>
      <c r="I436" s="5"/>
      <c r="J436" s="17">
        <v>1027.9232999999999</v>
      </c>
      <c r="K436" s="18">
        <v>35.775300000000001</v>
      </c>
      <c r="L436" s="18">
        <v>42.265500000000003</v>
      </c>
      <c r="M436" s="18">
        <v>42.986499999999999</v>
      </c>
      <c r="N436" s="18">
        <v>34.499299999999998</v>
      </c>
      <c r="O436" s="18">
        <f t="shared" si="15"/>
        <v>37.487974999999999</v>
      </c>
      <c r="P436" s="7"/>
      <c r="Q436" s="10"/>
      <c r="R436" s="11"/>
      <c r="S436" s="11"/>
      <c r="T436" s="26"/>
      <c r="U436" s="28">
        <f t="shared" si="13"/>
        <v>1.6295198170731708</v>
      </c>
    </row>
    <row r="437" spans="2:21" hidden="1" x14ac:dyDescent="0.25">
      <c r="B437" s="9"/>
      <c r="C437" s="17">
        <v>583.62</v>
      </c>
      <c r="D437" s="18">
        <v>33.5</v>
      </c>
      <c r="E437" s="18">
        <v>39.975999999999999</v>
      </c>
      <c r="F437" s="18">
        <v>40.826000000000001</v>
      </c>
      <c r="G437" s="18">
        <v>15.66</v>
      </c>
      <c r="H437" s="18">
        <f t="shared" si="14"/>
        <v>35.225250000000003</v>
      </c>
      <c r="I437" s="5"/>
      <c r="J437" s="17">
        <v>616.10569999999996</v>
      </c>
      <c r="K437" s="18">
        <v>33.687199999999997</v>
      </c>
      <c r="L437" s="18">
        <v>41.021599999999999</v>
      </c>
      <c r="M437" s="18">
        <v>41.780799999999999</v>
      </c>
      <c r="N437" s="18">
        <v>42.859499999999997</v>
      </c>
      <c r="O437" s="18">
        <f t="shared" si="15"/>
        <v>35.615700000000004</v>
      </c>
      <c r="P437" s="7"/>
      <c r="Q437" s="10"/>
      <c r="R437" s="11"/>
      <c r="S437" s="11"/>
      <c r="T437" s="26"/>
      <c r="U437" s="28">
        <f t="shared" si="13"/>
        <v>1.7368773946360152</v>
      </c>
    </row>
    <row r="438" spans="2:21" ht="16.5" hidden="1" thickBot="1" x14ac:dyDescent="0.3">
      <c r="B438" s="12"/>
      <c r="C438" s="19">
        <v>292.36</v>
      </c>
      <c r="D438" s="20">
        <v>30.608000000000001</v>
      </c>
      <c r="E438" s="20">
        <v>37.984999999999999</v>
      </c>
      <c r="F438" s="20">
        <v>38.889000000000003</v>
      </c>
      <c r="G438" s="20">
        <v>19.64</v>
      </c>
      <c r="H438" s="20">
        <f t="shared" si="14"/>
        <v>32.565249999999999</v>
      </c>
      <c r="I438" s="5"/>
      <c r="J438" s="19">
        <v>307.70890000000003</v>
      </c>
      <c r="K438" s="20">
        <v>30.8294</v>
      </c>
      <c r="L438" s="20">
        <v>39.451000000000001</v>
      </c>
      <c r="M438" s="20">
        <v>40.286000000000001</v>
      </c>
      <c r="N438" s="20">
        <v>58.677900000000001</v>
      </c>
      <c r="O438" s="20">
        <f t="shared" si="15"/>
        <v>33.089174999999997</v>
      </c>
      <c r="P438" s="7"/>
      <c r="Q438" s="13"/>
      <c r="R438" s="14"/>
      <c r="S438" s="14"/>
      <c r="T438" s="27"/>
      <c r="U438" s="28">
        <f t="shared" si="13"/>
        <v>1.9876731160896131</v>
      </c>
    </row>
    <row r="439" spans="2:21" hidden="1" x14ac:dyDescent="0.25">
      <c r="B439" s="6" t="s">
        <v>127</v>
      </c>
      <c r="C439" s="15">
        <v>1563.08</v>
      </c>
      <c r="D439" s="16">
        <v>35.097999999999999</v>
      </c>
      <c r="E439" s="16">
        <v>40.301000000000002</v>
      </c>
      <c r="F439" s="16">
        <v>38.619</v>
      </c>
      <c r="G439" s="16">
        <v>12.83</v>
      </c>
      <c r="H439" s="16">
        <f t="shared" si="14"/>
        <v>36.188500000000005</v>
      </c>
      <c r="I439" s="5"/>
      <c r="J439" s="15">
        <v>1543.6578999999999</v>
      </c>
      <c r="K439" s="16">
        <v>34.9129</v>
      </c>
      <c r="L439" s="16">
        <v>40.178400000000003</v>
      </c>
      <c r="M439" s="16">
        <v>38.299300000000002</v>
      </c>
      <c r="N439" s="16">
        <v>26.548500000000001</v>
      </c>
      <c r="O439" s="16">
        <f t="shared" si="15"/>
        <v>35.994387500000002</v>
      </c>
      <c r="P439" s="7"/>
      <c r="Q439" s="8">
        <f>bdrate(C439:C442,D439:D442,J439:J442,K439:K442)</f>
        <v>2.1413087086338045E-2</v>
      </c>
      <c r="R439" s="8">
        <f>bdrate(C439:C442,E439:E442,J439:J442,L439:L442)</f>
        <v>-2.1566991936856961E-2</v>
      </c>
      <c r="S439" s="8">
        <f>bdrate(C439:C442,F439:F442,J439:J442,M439:M442)</f>
        <v>3.2520921275657422E-2</v>
      </c>
      <c r="T439" s="25">
        <f>bdrate(C439:C442,H439:H442,J439:J442,O439:O442)</f>
        <v>1.7438662998819909E-2</v>
      </c>
      <c r="U439" s="28">
        <f t="shared" si="13"/>
        <v>1.0692517537022603</v>
      </c>
    </row>
    <row r="440" spans="2:21" hidden="1" x14ac:dyDescent="0.25">
      <c r="B440" s="9"/>
      <c r="C440" s="17">
        <v>1038.76</v>
      </c>
      <c r="D440" s="18">
        <v>33.295999999999999</v>
      </c>
      <c r="E440" s="18">
        <v>38.951999999999998</v>
      </c>
      <c r="F440" s="18">
        <v>37.119999999999997</v>
      </c>
      <c r="G440" s="18">
        <v>14.33</v>
      </c>
      <c r="H440" s="18">
        <f t="shared" si="14"/>
        <v>34.481000000000002</v>
      </c>
      <c r="I440" s="5"/>
      <c r="J440" s="17">
        <v>1028.3298</v>
      </c>
      <c r="K440" s="18">
        <v>33.155700000000003</v>
      </c>
      <c r="L440" s="18">
        <v>38.9178</v>
      </c>
      <c r="M440" s="18">
        <v>36.869399999999999</v>
      </c>
      <c r="N440" s="18">
        <v>31.6615</v>
      </c>
      <c r="O440" s="18">
        <f t="shared" si="15"/>
        <v>34.340175000000002</v>
      </c>
      <c r="P440" s="7"/>
      <c r="Q440" s="10"/>
      <c r="R440" s="11"/>
      <c r="S440" s="11"/>
      <c r="T440" s="26"/>
      <c r="U440" s="28">
        <f t="shared" si="13"/>
        <v>1.2094556873691555</v>
      </c>
    </row>
    <row r="441" spans="2:21" hidden="1" x14ac:dyDescent="0.25">
      <c r="B441" s="9"/>
      <c r="C441" s="17">
        <v>619.99</v>
      </c>
      <c r="D441" s="18">
        <v>31.24</v>
      </c>
      <c r="E441" s="18">
        <v>37.432000000000002</v>
      </c>
      <c r="F441" s="18">
        <v>35.32</v>
      </c>
      <c r="G441" s="18">
        <v>16.38</v>
      </c>
      <c r="H441" s="18">
        <f t="shared" si="14"/>
        <v>32.524000000000001</v>
      </c>
      <c r="I441" s="5"/>
      <c r="J441" s="17">
        <v>616.4153</v>
      </c>
      <c r="K441" s="18">
        <v>31.158300000000001</v>
      </c>
      <c r="L441" s="18">
        <v>37.444800000000001</v>
      </c>
      <c r="M441" s="18">
        <v>35.155799999999999</v>
      </c>
      <c r="N441" s="18">
        <v>41.102800000000002</v>
      </c>
      <c r="O441" s="18">
        <f t="shared" si="15"/>
        <v>32.443800000000003</v>
      </c>
      <c r="P441" s="7"/>
      <c r="Q441" s="10"/>
      <c r="R441" s="11"/>
      <c r="S441" s="11"/>
      <c r="T441" s="26"/>
      <c r="U441" s="28">
        <f t="shared" si="13"/>
        <v>1.5093284493284496</v>
      </c>
    </row>
    <row r="442" spans="2:21" ht="16.5" hidden="1" thickBot="1" x14ac:dyDescent="0.3">
      <c r="B442" s="12"/>
      <c r="C442" s="19">
        <v>307.37</v>
      </c>
      <c r="D442" s="20">
        <v>28.87</v>
      </c>
      <c r="E442" s="20">
        <v>35.305999999999997</v>
      </c>
      <c r="F442" s="20">
        <v>32.771000000000001</v>
      </c>
      <c r="G442" s="20">
        <v>19.54</v>
      </c>
      <c r="H442" s="20">
        <f t="shared" si="14"/>
        <v>30.162125000000003</v>
      </c>
      <c r="I442" s="5"/>
      <c r="J442" s="19">
        <v>307.72680000000003</v>
      </c>
      <c r="K442" s="20">
        <v>28.7928</v>
      </c>
      <c r="L442" s="20">
        <v>35.729700000000001</v>
      </c>
      <c r="M442" s="20">
        <v>33.059699999999999</v>
      </c>
      <c r="N442" s="20">
        <v>57.863500000000002</v>
      </c>
      <c r="O442" s="20">
        <f t="shared" si="15"/>
        <v>30.193275</v>
      </c>
      <c r="P442" s="7"/>
      <c r="Q442" s="13"/>
      <c r="R442" s="14"/>
      <c r="S442" s="14"/>
      <c r="T442" s="27"/>
      <c r="U442" s="28">
        <f t="shared" si="13"/>
        <v>1.9612845445240534</v>
      </c>
    </row>
    <row r="443" spans="2:21" hidden="1" x14ac:dyDescent="0.25">
      <c r="B443" s="6" t="s">
        <v>128</v>
      </c>
      <c r="C443" s="15">
        <v>1546.3</v>
      </c>
      <c r="D443" s="16">
        <v>39.982999999999997</v>
      </c>
      <c r="E443" s="16">
        <v>46.491999999999997</v>
      </c>
      <c r="F443" s="16">
        <v>46.366999999999997</v>
      </c>
      <c r="G443" s="16">
        <v>11.28</v>
      </c>
      <c r="H443" s="16">
        <f t="shared" si="14"/>
        <v>41.594625000000001</v>
      </c>
      <c r="I443" s="5"/>
      <c r="J443" s="15">
        <v>1543.8945000000001</v>
      </c>
      <c r="K443" s="16">
        <v>39.602899999999998</v>
      </c>
      <c r="L443" s="16">
        <v>46.302</v>
      </c>
      <c r="M443" s="16">
        <v>46.116</v>
      </c>
      <c r="N443" s="16">
        <v>26.5169</v>
      </c>
      <c r="O443" s="16">
        <f t="shared" si="15"/>
        <v>41.254424999999998</v>
      </c>
      <c r="P443" s="7"/>
      <c r="Q443" s="8">
        <f>bdrate(C443:C446,D443:D446,J443:J446,K443:K446)</f>
        <v>9.3606906746705354E-2</v>
      </c>
      <c r="R443" s="8">
        <f>bdrate(C443:C446,E443:E446,J443:J446,L443:L446)</f>
        <v>-4.8661681054626871E-2</v>
      </c>
      <c r="S443" s="8">
        <f>bdrate(C443:C446,F443:F446,J443:J446,M443:M446)</f>
        <v>-1.5745656717737422E-2</v>
      </c>
      <c r="T443" s="25">
        <f>bdrate(C443:C446,H443:H446,J443:J446,O443:O446)</f>
        <v>6.2622780442141979E-2</v>
      </c>
      <c r="U443" s="28">
        <f t="shared" si="13"/>
        <v>1.3507890070921986</v>
      </c>
    </row>
    <row r="444" spans="2:21" hidden="1" x14ac:dyDescent="0.25">
      <c r="B444" s="9"/>
      <c r="C444" s="17">
        <v>1031.8599999999999</v>
      </c>
      <c r="D444" s="18">
        <v>38.792999999999999</v>
      </c>
      <c r="E444" s="18">
        <v>45.345999999999997</v>
      </c>
      <c r="F444" s="18">
        <v>45.161999999999999</v>
      </c>
      <c r="G444" s="18">
        <v>12.9</v>
      </c>
      <c r="H444" s="18">
        <f t="shared" si="14"/>
        <v>40.408249999999995</v>
      </c>
      <c r="I444" s="5"/>
      <c r="J444" s="17">
        <v>1027.1412</v>
      </c>
      <c r="K444" s="18">
        <v>38.411200000000001</v>
      </c>
      <c r="L444" s="18">
        <v>45.325499999999998</v>
      </c>
      <c r="M444" s="18">
        <v>45.063699999999997</v>
      </c>
      <c r="N444" s="18">
        <v>32.495699999999999</v>
      </c>
      <c r="O444" s="18">
        <f t="shared" si="15"/>
        <v>40.107049999999994</v>
      </c>
      <c r="P444" s="7"/>
      <c r="Q444" s="10"/>
      <c r="R444" s="11"/>
      <c r="S444" s="11"/>
      <c r="T444" s="26"/>
      <c r="U444" s="28">
        <f t="shared" si="13"/>
        <v>1.519046511627907</v>
      </c>
    </row>
    <row r="445" spans="2:21" hidden="1" x14ac:dyDescent="0.25">
      <c r="B445" s="9"/>
      <c r="C445" s="17">
        <v>619.29999999999995</v>
      </c>
      <c r="D445" s="18">
        <v>37.081000000000003</v>
      </c>
      <c r="E445" s="18">
        <v>43.790999999999997</v>
      </c>
      <c r="F445" s="18">
        <v>43.546999999999997</v>
      </c>
      <c r="G445" s="18">
        <v>14.82</v>
      </c>
      <c r="H445" s="18">
        <f t="shared" si="14"/>
        <v>38.728000000000009</v>
      </c>
      <c r="I445" s="5"/>
      <c r="J445" s="17">
        <v>615.25409999999999</v>
      </c>
      <c r="K445" s="18">
        <v>36.751100000000001</v>
      </c>
      <c r="L445" s="18">
        <v>43.965200000000003</v>
      </c>
      <c r="M445" s="18">
        <v>43.601799999999997</v>
      </c>
      <c r="N445" s="18">
        <v>41.233899999999998</v>
      </c>
      <c r="O445" s="18">
        <f t="shared" si="15"/>
        <v>38.509199999999993</v>
      </c>
      <c r="P445" s="7"/>
      <c r="Q445" s="10"/>
      <c r="R445" s="11"/>
      <c r="S445" s="11"/>
      <c r="T445" s="26"/>
      <c r="U445" s="28">
        <f t="shared" si="13"/>
        <v>1.7823144399460187</v>
      </c>
    </row>
    <row r="446" spans="2:21" ht="16.5" hidden="1" thickBot="1" x14ac:dyDescent="0.3">
      <c r="B446" s="12"/>
      <c r="C446" s="19">
        <v>309.20999999999998</v>
      </c>
      <c r="D446" s="20">
        <v>34.390999999999998</v>
      </c>
      <c r="E446" s="20">
        <v>41.527000000000001</v>
      </c>
      <c r="F446" s="20">
        <v>41.151000000000003</v>
      </c>
      <c r="G446" s="20">
        <v>17.97</v>
      </c>
      <c r="H446" s="20">
        <f t="shared" si="14"/>
        <v>36.128</v>
      </c>
      <c r="I446" s="5"/>
      <c r="J446" s="19">
        <v>306.4468</v>
      </c>
      <c r="K446" s="20">
        <v>34.188000000000002</v>
      </c>
      <c r="L446" s="20">
        <v>41.973399999999998</v>
      </c>
      <c r="M446" s="20">
        <v>41.490699999999997</v>
      </c>
      <c r="N446" s="20">
        <v>58.348199999999999</v>
      </c>
      <c r="O446" s="20">
        <f t="shared" si="15"/>
        <v>36.074012500000002</v>
      </c>
      <c r="P446" s="7"/>
      <c r="Q446" s="13"/>
      <c r="R446" s="14"/>
      <c r="S446" s="14"/>
      <c r="T446" s="27"/>
      <c r="U446" s="28">
        <f t="shared" si="13"/>
        <v>2.2469782971619368</v>
      </c>
    </row>
    <row r="447" spans="2:21" hidden="1" x14ac:dyDescent="0.25">
      <c r="B447" s="6" t="s">
        <v>129</v>
      </c>
      <c r="C447" s="29">
        <v>1508.08</v>
      </c>
      <c r="D447" s="30">
        <v>46.715000000000003</v>
      </c>
      <c r="E447" s="30">
        <v>51.575000000000003</v>
      </c>
      <c r="F447" s="30">
        <v>51.412999999999997</v>
      </c>
      <c r="G447" s="16">
        <v>13.01</v>
      </c>
      <c r="H447" s="16">
        <f t="shared" si="14"/>
        <v>47.909750000000003</v>
      </c>
      <c r="I447" s="5"/>
      <c r="J447" s="29">
        <v>1539.1110000000001</v>
      </c>
      <c r="K447" s="30">
        <v>46.573399999999999</v>
      </c>
      <c r="L447" s="30">
        <v>51.315800000000003</v>
      </c>
      <c r="M447" s="30">
        <v>51.133499999999998</v>
      </c>
      <c r="N447" s="16">
        <v>34.868499999999997</v>
      </c>
      <c r="O447" s="16">
        <f t="shared" si="15"/>
        <v>47.736212500000008</v>
      </c>
      <c r="P447" s="7"/>
      <c r="Q447" s="8">
        <f>bdrate(C447:C450,D447:D450,J447:J450,K447:K450)</f>
        <v>1.6425283534737378E-2</v>
      </c>
      <c r="R447" s="8">
        <f>bdrate(C447:C450,E447:E450,J447:J450,L447:L450)</f>
        <v>-1.6903728945753427E-2</v>
      </c>
      <c r="S447" s="8">
        <f>bdrate(C447:C450,F447:F450,J447:J450,M447:M450)</f>
        <v>-2.7734391506379352E-2</v>
      </c>
      <c r="T447" s="25">
        <f>bdrate(C447:C450,H447:H450,J447:J450,O447:O450)</f>
        <v>8.6021796862993938E-3</v>
      </c>
      <c r="U447" s="28">
        <f t="shared" si="13"/>
        <v>1.680130668716372</v>
      </c>
    </row>
    <row r="448" spans="2:21" hidden="1" x14ac:dyDescent="0.25">
      <c r="B448" s="9"/>
      <c r="C448" s="31">
        <v>1005.07</v>
      </c>
      <c r="D448" s="32">
        <v>45.975999999999999</v>
      </c>
      <c r="E448" s="32">
        <v>50.906999999999996</v>
      </c>
      <c r="F448" s="32">
        <v>50.747999999999998</v>
      </c>
      <c r="G448" s="18">
        <v>15.46</v>
      </c>
      <c r="H448" s="18">
        <f t="shared" si="14"/>
        <v>47.188874999999996</v>
      </c>
      <c r="I448" s="5"/>
      <c r="J448" s="31">
        <v>1022.6479</v>
      </c>
      <c r="K448" s="32">
        <v>45.905799999999999</v>
      </c>
      <c r="L448" s="32">
        <v>50.784199999999998</v>
      </c>
      <c r="M448" s="32">
        <v>50.634900000000002</v>
      </c>
      <c r="N448" s="18">
        <v>43.486800000000002</v>
      </c>
      <c r="O448" s="18">
        <f t="shared" si="15"/>
        <v>47.106737500000001</v>
      </c>
      <c r="P448" s="7"/>
      <c r="Q448" s="10"/>
      <c r="R448" s="11"/>
      <c r="S448" s="11"/>
      <c r="T448" s="26"/>
      <c r="U448" s="28">
        <f t="shared" si="13"/>
        <v>1.8128589909443726</v>
      </c>
    </row>
    <row r="449" spans="1:21" hidden="1" x14ac:dyDescent="0.25">
      <c r="B449" s="9"/>
      <c r="C449" s="31">
        <v>603.83000000000004</v>
      </c>
      <c r="D449" s="32">
        <v>44.997</v>
      </c>
      <c r="E449" s="32">
        <v>49.997999999999998</v>
      </c>
      <c r="F449" s="32">
        <v>49.930999999999997</v>
      </c>
      <c r="G449" s="18">
        <v>17.940000000000001</v>
      </c>
      <c r="H449" s="18">
        <f t="shared" si="14"/>
        <v>46.238874999999993</v>
      </c>
      <c r="I449" s="5"/>
      <c r="J449" s="31">
        <v>611.30970000000002</v>
      </c>
      <c r="K449" s="32">
        <v>44.993400000000001</v>
      </c>
      <c r="L449" s="32">
        <v>50.107300000000002</v>
      </c>
      <c r="M449" s="32">
        <v>50.0777</v>
      </c>
      <c r="N449" s="18">
        <v>56.318199999999997</v>
      </c>
      <c r="O449" s="18">
        <f t="shared" si="15"/>
        <v>46.268174999999999</v>
      </c>
      <c r="P449" s="7"/>
      <c r="Q449" s="10"/>
      <c r="R449" s="11"/>
      <c r="S449" s="11"/>
      <c r="T449" s="26"/>
      <c r="U449" s="28">
        <f t="shared" si="13"/>
        <v>2.1392530657748043</v>
      </c>
    </row>
    <row r="450" spans="1:21" ht="16.5" hidden="1" thickBot="1" x14ac:dyDescent="0.3">
      <c r="B450" s="12"/>
      <c r="C450" s="33">
        <v>302.73</v>
      </c>
      <c r="D450" s="34">
        <v>43.304000000000002</v>
      </c>
      <c r="E450" s="34">
        <v>48.637999999999998</v>
      </c>
      <c r="F450" s="34">
        <v>48.945</v>
      </c>
      <c r="G450" s="20">
        <v>22.3</v>
      </c>
      <c r="H450" s="20">
        <f t="shared" si="14"/>
        <v>44.675874999999998</v>
      </c>
      <c r="I450" s="5"/>
      <c r="J450" s="33">
        <v>300.74650000000003</v>
      </c>
      <c r="K450" s="34">
        <v>43.433599999999998</v>
      </c>
      <c r="L450" s="34">
        <v>48.898000000000003</v>
      </c>
      <c r="M450" s="34">
        <v>49.123699999999999</v>
      </c>
      <c r="N450" s="20">
        <v>84.732799999999997</v>
      </c>
      <c r="O450" s="20">
        <f t="shared" si="15"/>
        <v>44.827912499999996</v>
      </c>
      <c r="P450" s="7"/>
      <c r="Q450" s="13"/>
      <c r="R450" s="14"/>
      <c r="S450" s="14"/>
      <c r="T450" s="27"/>
      <c r="U450" s="28">
        <f t="shared" si="13"/>
        <v>2.7996771300448429</v>
      </c>
    </row>
    <row r="451" spans="1:21" hidden="1" x14ac:dyDescent="0.25">
      <c r="A451" s="6" t="s">
        <v>100</v>
      </c>
      <c r="B451" s="6" t="s">
        <v>77</v>
      </c>
      <c r="C451" s="15">
        <v>753.68</v>
      </c>
      <c r="D451" s="16">
        <v>41.182000000000002</v>
      </c>
      <c r="E451" s="16">
        <v>45.505000000000003</v>
      </c>
      <c r="F451" s="16">
        <v>46.078000000000003</v>
      </c>
      <c r="G451" s="16">
        <v>34.56</v>
      </c>
      <c r="H451" s="16">
        <f t="shared" si="14"/>
        <v>42.334375000000009</v>
      </c>
      <c r="I451" s="5"/>
      <c r="J451" s="15">
        <v>838.88699999999994</v>
      </c>
      <c r="K451" s="16">
        <v>41.170999999999999</v>
      </c>
      <c r="L451" s="16">
        <v>45.537399999999998</v>
      </c>
      <c r="M451" s="16">
        <v>46.082799999999999</v>
      </c>
      <c r="N451" s="16">
        <v>65.380799999999994</v>
      </c>
      <c r="O451" s="16">
        <f t="shared" si="15"/>
        <v>42.330775000000003</v>
      </c>
      <c r="P451" s="7"/>
      <c r="Q451" s="8">
        <f>bdrate(C451:C454,D451:D454,J451:J454,K451:K454)</f>
        <v>8.7395638964991473E-2</v>
      </c>
      <c r="R451" s="8">
        <f>bdrate(C451:C454,E451:E454,J451:J454,L451:L454)</f>
        <v>-1.8930787913056246E-2</v>
      </c>
      <c r="S451" s="8">
        <f>bdrate(C451:C454,F451:F454,J451:J454,M451:M454)</f>
        <v>-8.3583505375632861E-3</v>
      </c>
      <c r="T451" s="25">
        <f>bdrate(C451:C454,H451:H454,J451:J454,O451:O454)</f>
        <v>6.2180985741439043E-2</v>
      </c>
      <c r="U451" s="28">
        <f t="shared" si="13"/>
        <v>0.8918055555555553</v>
      </c>
    </row>
    <row r="452" spans="1:21" hidden="1" x14ac:dyDescent="0.25">
      <c r="A452" s="9"/>
      <c r="B452" s="9"/>
      <c r="C452" s="17">
        <v>473.66</v>
      </c>
      <c r="D452" s="18">
        <v>39.283000000000001</v>
      </c>
      <c r="E452" s="18">
        <v>43.768000000000001</v>
      </c>
      <c r="F452" s="18">
        <v>44.308999999999997</v>
      </c>
      <c r="G452" s="18">
        <v>38.44</v>
      </c>
      <c r="H452" s="18">
        <f t="shared" si="14"/>
        <v>40.471874999999997</v>
      </c>
      <c r="I452" s="5"/>
      <c r="J452" s="17">
        <v>524.78219999999999</v>
      </c>
      <c r="K452" s="18">
        <v>39.292000000000002</v>
      </c>
      <c r="L452" s="18">
        <v>43.973500000000001</v>
      </c>
      <c r="M452" s="18">
        <v>44.503100000000003</v>
      </c>
      <c r="N452" s="18">
        <v>79.129599999999996</v>
      </c>
      <c r="O452" s="18">
        <f t="shared" si="15"/>
        <v>40.528575000000004</v>
      </c>
      <c r="P452" s="7"/>
      <c r="Q452" s="10"/>
      <c r="R452" s="11"/>
      <c r="S452" s="11"/>
      <c r="T452" s="26"/>
      <c r="U452" s="28">
        <f t="shared" si="13"/>
        <v>1.0585223725286161</v>
      </c>
    </row>
    <row r="453" spans="1:21" hidden="1" x14ac:dyDescent="0.25">
      <c r="B453" s="9"/>
      <c r="C453" s="17">
        <v>284.75</v>
      </c>
      <c r="D453" s="18">
        <v>37.095999999999997</v>
      </c>
      <c r="E453" s="18">
        <v>41.682000000000002</v>
      </c>
      <c r="F453" s="18">
        <v>42.139000000000003</v>
      </c>
      <c r="G453" s="18">
        <v>43.98</v>
      </c>
      <c r="H453" s="18">
        <f t="shared" si="14"/>
        <v>38.299624999999999</v>
      </c>
      <c r="I453" s="5"/>
      <c r="J453" s="17">
        <v>310.15260000000001</v>
      </c>
      <c r="K453" s="18">
        <v>37.101799999999997</v>
      </c>
      <c r="L453" s="18">
        <v>42.1768</v>
      </c>
      <c r="M453" s="18">
        <v>42.596400000000003</v>
      </c>
      <c r="N453" s="18">
        <v>98.619299999999996</v>
      </c>
      <c r="O453" s="18">
        <f t="shared" si="15"/>
        <v>38.423000000000002</v>
      </c>
      <c r="P453" s="7"/>
      <c r="Q453" s="10"/>
      <c r="R453" s="11"/>
      <c r="S453" s="11"/>
      <c r="T453" s="26"/>
      <c r="U453" s="28">
        <f t="shared" si="13"/>
        <v>1.2423669849931789</v>
      </c>
    </row>
    <row r="454" spans="1:21" ht="16.5" hidden="1" thickBot="1" x14ac:dyDescent="0.3">
      <c r="B454" s="12"/>
      <c r="C454" s="19">
        <v>143.37</v>
      </c>
      <c r="D454" s="20">
        <v>33.917000000000002</v>
      </c>
      <c r="E454" s="20">
        <v>38.789000000000001</v>
      </c>
      <c r="F454" s="20">
        <v>39.143999999999998</v>
      </c>
      <c r="G454" s="20">
        <v>53.98</v>
      </c>
      <c r="H454" s="20">
        <f t="shared" si="14"/>
        <v>35.179375</v>
      </c>
      <c r="I454" s="5"/>
      <c r="J454" s="19">
        <v>153.28739999999999</v>
      </c>
      <c r="K454" s="20">
        <v>34.049900000000001</v>
      </c>
      <c r="L454" s="20">
        <v>39.8459</v>
      </c>
      <c r="M454" s="20">
        <v>40.149299999999997</v>
      </c>
      <c r="N454" s="20">
        <v>132.84620000000001</v>
      </c>
      <c r="O454" s="20">
        <f t="shared" si="15"/>
        <v>35.536825</v>
      </c>
      <c r="P454" s="7"/>
      <c r="Q454" s="13"/>
      <c r="R454" s="14"/>
      <c r="S454" s="14"/>
      <c r="T454" s="27"/>
      <c r="U454" s="28">
        <f t="shared" si="13"/>
        <v>1.4610263060392743</v>
      </c>
    </row>
    <row r="455" spans="1:21" hidden="1" x14ac:dyDescent="0.25">
      <c r="B455" s="6" t="s">
        <v>78</v>
      </c>
      <c r="C455" s="15">
        <v>784.98</v>
      </c>
      <c r="D455" s="16">
        <v>42.960999999999999</v>
      </c>
      <c r="E455" s="16">
        <v>47.457999999999998</v>
      </c>
      <c r="F455" s="16">
        <v>48.198</v>
      </c>
      <c r="G455" s="16">
        <v>48.2</v>
      </c>
      <c r="H455" s="16">
        <f t="shared" si="14"/>
        <v>44.177749999999989</v>
      </c>
      <c r="I455" s="5"/>
      <c r="J455" s="15">
        <v>849.77279999999996</v>
      </c>
      <c r="K455" s="16">
        <v>43.2789</v>
      </c>
      <c r="L455" s="16">
        <v>48.072899999999997</v>
      </c>
      <c r="M455" s="16">
        <v>48.606200000000001</v>
      </c>
      <c r="N455" s="16">
        <v>76.775400000000005</v>
      </c>
      <c r="O455" s="16">
        <f t="shared" si="15"/>
        <v>44.544062500000003</v>
      </c>
      <c r="P455" s="7"/>
      <c r="Q455" s="8">
        <f>bdrate(C455:C458,D455:D458,J455:J458,K455:K458)</f>
        <v>-0.10884182717264368</v>
      </c>
      <c r="R455" s="8">
        <f>bdrate(C455:C458,E455:E458,J455:J458,L455:L458)</f>
        <v>-0.21351265634843997</v>
      </c>
      <c r="S455" s="8">
        <f>bdrate(C455:C458,F455:F458,J455:J458,M455:M458)</f>
        <v>-0.163085581386478</v>
      </c>
      <c r="T455" s="25">
        <f>bdrate(C455:C458,H455:H458,J455:J458,O455:O458)</f>
        <v>-0.1279129393913907</v>
      </c>
      <c r="U455" s="28">
        <f t="shared" si="13"/>
        <v>0.59285062240663899</v>
      </c>
    </row>
    <row r="456" spans="1:21" hidden="1" x14ac:dyDescent="0.25">
      <c r="B456" s="9"/>
      <c r="C456" s="17">
        <v>485.74</v>
      </c>
      <c r="D456" s="18">
        <v>41.432000000000002</v>
      </c>
      <c r="E456" s="18">
        <v>46.01</v>
      </c>
      <c r="F456" s="18">
        <v>46.92</v>
      </c>
      <c r="G456" s="18">
        <v>56.23</v>
      </c>
      <c r="H456" s="18">
        <f t="shared" si="14"/>
        <v>42.690250000000006</v>
      </c>
      <c r="I456" s="5"/>
      <c r="J456" s="17">
        <v>530.9778</v>
      </c>
      <c r="K456" s="18">
        <v>41.994599999999998</v>
      </c>
      <c r="L456" s="18">
        <v>46.894300000000001</v>
      </c>
      <c r="M456" s="18">
        <v>47.580500000000001</v>
      </c>
      <c r="N456" s="18">
        <v>99.750600000000006</v>
      </c>
      <c r="O456" s="18">
        <f t="shared" si="15"/>
        <v>43.305300000000003</v>
      </c>
      <c r="P456" s="7"/>
      <c r="Q456" s="10"/>
      <c r="R456" s="11"/>
      <c r="S456" s="11"/>
      <c r="T456" s="26"/>
      <c r="U456" s="28">
        <f t="shared" si="13"/>
        <v>0.77397474657656073</v>
      </c>
    </row>
    <row r="457" spans="1:21" hidden="1" x14ac:dyDescent="0.25">
      <c r="B457" s="9"/>
      <c r="C457" s="17">
        <v>289.18</v>
      </c>
      <c r="D457" s="18">
        <v>39.478999999999999</v>
      </c>
      <c r="E457" s="18">
        <v>44.2</v>
      </c>
      <c r="F457" s="18">
        <v>45.307000000000002</v>
      </c>
      <c r="G457" s="18">
        <v>66.42</v>
      </c>
      <c r="H457" s="18">
        <f t="shared" si="14"/>
        <v>40.797625000000004</v>
      </c>
      <c r="I457" s="5"/>
      <c r="J457" s="17">
        <v>316.32900000000001</v>
      </c>
      <c r="K457" s="18">
        <v>40.303899999999999</v>
      </c>
      <c r="L457" s="18">
        <v>45.390599999999999</v>
      </c>
      <c r="M457" s="18">
        <v>46.1629</v>
      </c>
      <c r="N457" s="18">
        <v>125.7071</v>
      </c>
      <c r="O457" s="18">
        <f t="shared" si="15"/>
        <v>41.672112499999997</v>
      </c>
      <c r="P457" s="7"/>
      <c r="Q457" s="10"/>
      <c r="R457" s="11"/>
      <c r="S457" s="11"/>
      <c r="T457" s="26"/>
      <c r="U457" s="28">
        <f t="shared" si="13"/>
        <v>0.89260915386931639</v>
      </c>
    </row>
    <row r="458" spans="1:21" ht="16.5" hidden="1" thickBot="1" x14ac:dyDescent="0.3">
      <c r="B458" s="12"/>
      <c r="C458" s="19">
        <v>143.69999999999999</v>
      </c>
      <c r="D458" s="20">
        <v>36.457999999999998</v>
      </c>
      <c r="E458" s="20">
        <v>41.424999999999997</v>
      </c>
      <c r="F458" s="20">
        <v>42.487000000000002</v>
      </c>
      <c r="G458" s="20">
        <v>82.71</v>
      </c>
      <c r="H458" s="20">
        <f t="shared" si="14"/>
        <v>37.832500000000003</v>
      </c>
      <c r="I458" s="5"/>
      <c r="J458" s="19">
        <v>154.00559999999999</v>
      </c>
      <c r="K458" s="20">
        <v>37.466299999999997</v>
      </c>
      <c r="L458" s="20">
        <v>42.810499999999998</v>
      </c>
      <c r="M458" s="20">
        <v>43.7789</v>
      </c>
      <c r="N458" s="20">
        <v>175.5926</v>
      </c>
      <c r="O458" s="20">
        <f t="shared" si="15"/>
        <v>38.923400000000001</v>
      </c>
      <c r="P458" s="7"/>
      <c r="Q458" s="13"/>
      <c r="R458" s="14"/>
      <c r="S458" s="14"/>
      <c r="T458" s="27"/>
      <c r="U458" s="28">
        <f t="shared" si="13"/>
        <v>1.1229911739813809</v>
      </c>
    </row>
    <row r="459" spans="1:21" hidden="1" x14ac:dyDescent="0.25">
      <c r="B459" s="6" t="s">
        <v>79</v>
      </c>
      <c r="C459" s="15">
        <v>990.53</v>
      </c>
      <c r="D459" s="16">
        <v>41.295999999999999</v>
      </c>
      <c r="E459" s="16">
        <v>47.545999999999999</v>
      </c>
      <c r="F459" s="16">
        <v>47.252000000000002</v>
      </c>
      <c r="G459" s="16">
        <v>44.78</v>
      </c>
      <c r="H459" s="16">
        <f t="shared" si="14"/>
        <v>42.821750000000002</v>
      </c>
      <c r="I459" s="5"/>
      <c r="J459" s="15">
        <v>1030.7103999999999</v>
      </c>
      <c r="K459" s="16">
        <v>41.506</v>
      </c>
      <c r="L459" s="16">
        <v>47.914900000000003</v>
      </c>
      <c r="M459" s="16">
        <v>47.500999999999998</v>
      </c>
      <c r="N459" s="16">
        <v>67.313699999999997</v>
      </c>
      <c r="O459" s="16">
        <f t="shared" si="15"/>
        <v>43.056487499999996</v>
      </c>
      <c r="P459" s="7"/>
      <c r="Q459" s="8">
        <f>bdrate(C459:C462,D459:D462,J459:J462,K459:K462)</f>
        <v>-0.13733189786002575</v>
      </c>
      <c r="R459" s="8">
        <f>bdrate(C459:C462,E459:E462,J459:J462,L459:L462)</f>
        <v>-0.23460337691892774</v>
      </c>
      <c r="S459" s="8">
        <f>bdrate(C459:C462,F459:F462,J459:J462,M459:M462)</f>
        <v>-0.19266046149266047</v>
      </c>
      <c r="T459" s="25">
        <f>bdrate(C459:C462,H459:H462,J459:J462,O459:O462)</f>
        <v>-0.15229082148928097</v>
      </c>
      <c r="U459" s="28">
        <f t="shared" si="13"/>
        <v>0.5032090218847699</v>
      </c>
    </row>
    <row r="460" spans="1:21" hidden="1" x14ac:dyDescent="0.25">
      <c r="B460" s="9"/>
      <c r="C460" s="17">
        <v>592.4</v>
      </c>
      <c r="D460" s="18">
        <v>40.284999999999997</v>
      </c>
      <c r="E460" s="18">
        <v>46.805</v>
      </c>
      <c r="F460" s="18">
        <v>46.670999999999999</v>
      </c>
      <c r="G460" s="18">
        <v>51.37</v>
      </c>
      <c r="H460" s="18">
        <f t="shared" si="14"/>
        <v>41.898249999999997</v>
      </c>
      <c r="I460" s="5"/>
      <c r="J460" s="17">
        <v>612.65729999999996</v>
      </c>
      <c r="K460" s="18">
        <v>40.659700000000001</v>
      </c>
      <c r="L460" s="18">
        <v>47.349800000000002</v>
      </c>
      <c r="M460" s="18">
        <v>47.037599999999998</v>
      </c>
      <c r="N460" s="18">
        <v>86.063699999999997</v>
      </c>
      <c r="O460" s="18">
        <f t="shared" si="15"/>
        <v>42.293199999999999</v>
      </c>
      <c r="P460" s="7"/>
      <c r="Q460" s="10"/>
      <c r="R460" s="11"/>
      <c r="S460" s="11"/>
      <c r="T460" s="26"/>
      <c r="U460" s="28">
        <f t="shared" si="13"/>
        <v>0.67536889234962039</v>
      </c>
    </row>
    <row r="461" spans="1:21" hidden="1" x14ac:dyDescent="0.25">
      <c r="B461" s="9"/>
      <c r="C461" s="17">
        <v>393.27</v>
      </c>
      <c r="D461" s="18">
        <v>39.341999999999999</v>
      </c>
      <c r="E461" s="18">
        <v>46.191000000000003</v>
      </c>
      <c r="F461" s="18">
        <v>46.180999999999997</v>
      </c>
      <c r="G461" s="18">
        <v>56.23</v>
      </c>
      <c r="H461" s="18">
        <f t="shared" si="14"/>
        <v>41.052999999999997</v>
      </c>
      <c r="I461" s="5"/>
      <c r="J461" s="17">
        <v>406.3546</v>
      </c>
      <c r="K461" s="18">
        <v>39.804600000000001</v>
      </c>
      <c r="L461" s="18">
        <v>46.720599999999997</v>
      </c>
      <c r="M461" s="18">
        <v>46.534399999999998</v>
      </c>
      <c r="N461" s="18">
        <v>104.0026</v>
      </c>
      <c r="O461" s="18">
        <f t="shared" si="15"/>
        <v>41.510325000000002</v>
      </c>
      <c r="P461" s="7"/>
      <c r="Q461" s="10"/>
      <c r="R461" s="11"/>
      <c r="S461" s="11"/>
      <c r="T461" s="26"/>
      <c r="U461" s="28">
        <f t="shared" si="13"/>
        <v>0.84959274408678653</v>
      </c>
    </row>
    <row r="462" spans="1:21" ht="16.5" hidden="1" thickBot="1" x14ac:dyDescent="0.3">
      <c r="B462" s="12"/>
      <c r="C462" s="19">
        <v>194.91</v>
      </c>
      <c r="D462" s="20">
        <v>36.991999999999997</v>
      </c>
      <c r="E462" s="20">
        <v>44.585000000000001</v>
      </c>
      <c r="F462" s="20">
        <v>44.75</v>
      </c>
      <c r="G462" s="20">
        <v>67.31</v>
      </c>
      <c r="H462" s="20">
        <f t="shared" si="14"/>
        <v>38.910874999999997</v>
      </c>
      <c r="I462" s="5"/>
      <c r="J462" s="19">
        <v>203.33250000000001</v>
      </c>
      <c r="K462" s="20">
        <v>37.7256</v>
      </c>
      <c r="L462" s="20">
        <v>45.1633</v>
      </c>
      <c r="M462" s="20">
        <v>45.2196</v>
      </c>
      <c r="N462" s="20">
        <v>142.3509</v>
      </c>
      <c r="O462" s="20">
        <f t="shared" si="15"/>
        <v>39.592062500000004</v>
      </c>
      <c r="P462" s="7"/>
      <c r="Q462" s="13"/>
      <c r="R462" s="14"/>
      <c r="S462" s="14"/>
      <c r="T462" s="27"/>
      <c r="U462" s="28">
        <f t="shared" si="13"/>
        <v>1.1148551478235031</v>
      </c>
    </row>
    <row r="463" spans="1:21" hidden="1" x14ac:dyDescent="0.25">
      <c r="B463" s="6" t="s">
        <v>80</v>
      </c>
      <c r="C463" s="15">
        <v>1013.67</v>
      </c>
      <c r="D463" s="16">
        <v>40.485999999999997</v>
      </c>
      <c r="E463" s="16">
        <v>46.706000000000003</v>
      </c>
      <c r="F463" s="16">
        <v>46.546999999999997</v>
      </c>
      <c r="G463" s="16">
        <v>23.84</v>
      </c>
      <c r="H463" s="16">
        <f t="shared" si="14"/>
        <v>42.021124999999998</v>
      </c>
      <c r="I463" s="5"/>
      <c r="J463" s="15">
        <v>1032.8384000000001</v>
      </c>
      <c r="K463" s="16">
        <v>40.110599999999998</v>
      </c>
      <c r="L463" s="16">
        <v>46.502099999999999</v>
      </c>
      <c r="M463" s="16">
        <v>46.327599999999997</v>
      </c>
      <c r="N463" s="16">
        <v>42.785299999999999</v>
      </c>
      <c r="O463" s="16">
        <f t="shared" si="15"/>
        <v>41.686662499999997</v>
      </c>
      <c r="P463" s="7"/>
      <c r="Q463" s="8">
        <f>bdrate(C463:C466,D463:D466,J463:J466,K463:K466)</f>
        <v>0.11575262275996034</v>
      </c>
      <c r="R463" s="8">
        <f>bdrate(C463:C466,E463:E466,J463:J466,L463:L466)</f>
        <v>-2.6726978140253488E-3</v>
      </c>
      <c r="S463" s="8">
        <f>bdrate(C463:C466,F463:F466,J463:J466,M463:M466)</f>
        <v>2.4782615455352097E-3</v>
      </c>
      <c r="T463" s="25">
        <f>bdrate(C463:C466,H463:H466,J463:J466,O463:O466)</f>
        <v>9.2344618602552941E-2</v>
      </c>
      <c r="U463" s="28">
        <f t="shared" si="13"/>
        <v>0.79468540268456378</v>
      </c>
    </row>
    <row r="464" spans="1:21" hidden="1" x14ac:dyDescent="0.25">
      <c r="B464" s="9"/>
      <c r="C464" s="17">
        <v>604.94000000000005</v>
      </c>
      <c r="D464" s="18">
        <v>38.869999999999997</v>
      </c>
      <c r="E464" s="18">
        <v>45.572000000000003</v>
      </c>
      <c r="F464" s="18">
        <v>45.478000000000002</v>
      </c>
      <c r="G464" s="18">
        <v>27.59</v>
      </c>
      <c r="H464" s="18">
        <f t="shared" si="14"/>
        <v>40.533749999999998</v>
      </c>
      <c r="I464" s="5"/>
      <c r="J464" s="17">
        <v>615.78390000000002</v>
      </c>
      <c r="K464" s="18">
        <v>38.532699999999998</v>
      </c>
      <c r="L464" s="18">
        <v>45.508600000000001</v>
      </c>
      <c r="M464" s="18">
        <v>45.411000000000001</v>
      </c>
      <c r="N464" s="18">
        <v>54.307600000000001</v>
      </c>
      <c r="O464" s="18">
        <f t="shared" si="15"/>
        <v>40.264474999999997</v>
      </c>
      <c r="P464" s="7"/>
      <c r="Q464" s="10"/>
      <c r="R464" s="11"/>
      <c r="S464" s="11"/>
      <c r="T464" s="26"/>
      <c r="U464" s="28">
        <f t="shared" si="13"/>
        <v>0.96837984777093156</v>
      </c>
    </row>
    <row r="465" spans="2:21" hidden="1" x14ac:dyDescent="0.25">
      <c r="B465" s="9"/>
      <c r="C465" s="17">
        <v>400.2</v>
      </c>
      <c r="D465" s="18">
        <v>37.484000000000002</v>
      </c>
      <c r="E465" s="18">
        <v>44.584000000000003</v>
      </c>
      <c r="F465" s="18">
        <v>44.527000000000001</v>
      </c>
      <c r="G465" s="18">
        <v>31.14</v>
      </c>
      <c r="H465" s="18">
        <f t="shared" si="14"/>
        <v>39.251874999999998</v>
      </c>
      <c r="I465" s="5"/>
      <c r="J465" s="17">
        <v>408.51609999999999</v>
      </c>
      <c r="K465" s="18">
        <v>37.186199999999999</v>
      </c>
      <c r="L465" s="18">
        <v>44.669199999999996</v>
      </c>
      <c r="M465" s="18">
        <v>44.572600000000001</v>
      </c>
      <c r="N465" s="18">
        <v>65.841399999999993</v>
      </c>
      <c r="O465" s="18">
        <f t="shared" si="15"/>
        <v>39.044875000000005</v>
      </c>
      <c r="P465" s="7"/>
      <c r="Q465" s="10"/>
      <c r="R465" s="11"/>
      <c r="S465" s="11"/>
      <c r="T465" s="26"/>
      <c r="U465" s="28">
        <f t="shared" si="13"/>
        <v>1.1143673731535</v>
      </c>
    </row>
    <row r="466" spans="2:21" ht="16.5" hidden="1" thickBot="1" x14ac:dyDescent="0.3">
      <c r="B466" s="12"/>
      <c r="C466" s="19">
        <v>197.36</v>
      </c>
      <c r="D466" s="20">
        <v>34.923999999999999</v>
      </c>
      <c r="E466" s="20">
        <v>42.881</v>
      </c>
      <c r="F466" s="20">
        <v>42.731000000000002</v>
      </c>
      <c r="G466" s="20">
        <v>39.729999999999997</v>
      </c>
      <c r="H466" s="20">
        <f t="shared" si="14"/>
        <v>36.894500000000001</v>
      </c>
      <c r="I466" s="5"/>
      <c r="J466" s="19">
        <v>202.5487</v>
      </c>
      <c r="K466" s="20">
        <v>34.740099999999998</v>
      </c>
      <c r="L466" s="20">
        <v>43.266100000000002</v>
      </c>
      <c r="M466" s="20">
        <v>43.201700000000002</v>
      </c>
      <c r="N466" s="20">
        <v>88.673500000000004</v>
      </c>
      <c r="O466" s="20">
        <f t="shared" si="15"/>
        <v>36.863549999999996</v>
      </c>
      <c r="P466" s="7"/>
      <c r="Q466" s="13"/>
      <c r="R466" s="14"/>
      <c r="S466" s="14"/>
      <c r="T466" s="27"/>
      <c r="U466" s="28">
        <f t="shared" si="13"/>
        <v>1.2319028441983391</v>
      </c>
    </row>
    <row r="467" spans="2:21" hidden="1" x14ac:dyDescent="0.25">
      <c r="B467" s="6" t="s">
        <v>81</v>
      </c>
      <c r="C467" s="15">
        <v>1218.6400000000001</v>
      </c>
      <c r="D467" s="16">
        <v>43.521999999999998</v>
      </c>
      <c r="E467" s="16">
        <v>45.061</v>
      </c>
      <c r="F467" s="16">
        <v>45.478999999999999</v>
      </c>
      <c r="G467" s="16">
        <v>23.64</v>
      </c>
      <c r="H467" s="16">
        <f t="shared" si="14"/>
        <v>43.958999999999996</v>
      </c>
      <c r="I467" s="5"/>
      <c r="J467" s="15">
        <v>1067.5224000000001</v>
      </c>
      <c r="K467" s="16">
        <v>42.442700000000002</v>
      </c>
      <c r="L467" s="16">
        <v>44.202399999999997</v>
      </c>
      <c r="M467" s="16">
        <v>44.600499999999997</v>
      </c>
      <c r="N467" s="16">
        <v>49.5246</v>
      </c>
      <c r="O467" s="16">
        <f t="shared" si="15"/>
        <v>42.932387500000004</v>
      </c>
      <c r="P467" s="7"/>
      <c r="Q467" s="8">
        <f>bdrate(C467:C470,D467:D470,J467:J470,K467:K470)</f>
        <v>7.1025771586756159E-2</v>
      </c>
      <c r="R467" s="8">
        <f>bdrate(C467:C470,E467:E470,J467:J470,L467:L470)</f>
        <v>2.7445080128796651E-2</v>
      </c>
      <c r="S467" s="8">
        <f>bdrate(C467:C470,F467:F470,J467:J470,M467:M470)</f>
        <v>3.0048081363681423E-2</v>
      </c>
      <c r="T467" s="25">
        <f>bdrate(C467:C470,H467:H470,J467:J470,O467:O470)</f>
        <v>6.2994312176164913E-2</v>
      </c>
      <c r="U467" s="28">
        <f t="shared" si="13"/>
        <v>1.0949492385786801</v>
      </c>
    </row>
    <row r="468" spans="2:21" hidden="1" x14ac:dyDescent="0.25">
      <c r="B468" s="9"/>
      <c r="C468" s="17">
        <v>731.9</v>
      </c>
      <c r="D468" s="18">
        <v>41.247999999999998</v>
      </c>
      <c r="E468" s="18">
        <v>43.353999999999999</v>
      </c>
      <c r="F468" s="18">
        <v>43.728999999999999</v>
      </c>
      <c r="G468" s="18">
        <v>26.84</v>
      </c>
      <c r="H468" s="18">
        <f t="shared" si="14"/>
        <v>41.821374999999996</v>
      </c>
      <c r="I468" s="5"/>
      <c r="J468" s="17">
        <v>647.38440000000003</v>
      </c>
      <c r="K468" s="18">
        <v>40.280099999999997</v>
      </c>
      <c r="L468" s="18">
        <v>42.702800000000003</v>
      </c>
      <c r="M468" s="18">
        <v>43.09</v>
      </c>
      <c r="N468" s="18">
        <v>59.894599999999997</v>
      </c>
      <c r="O468" s="18">
        <f t="shared" si="15"/>
        <v>40.934174999999996</v>
      </c>
      <c r="P468" s="7"/>
      <c r="Q468" s="10"/>
      <c r="R468" s="11"/>
      <c r="S468" s="11"/>
      <c r="T468" s="26"/>
      <c r="U468" s="28">
        <f t="shared" si="13"/>
        <v>1.2315424739195229</v>
      </c>
    </row>
    <row r="469" spans="2:21" hidden="1" x14ac:dyDescent="0.25">
      <c r="B469" s="9"/>
      <c r="C469" s="17">
        <v>484.79</v>
      </c>
      <c r="D469" s="18">
        <v>39.341000000000001</v>
      </c>
      <c r="E469" s="18">
        <v>41.936</v>
      </c>
      <c r="F469" s="18">
        <v>42.295000000000002</v>
      </c>
      <c r="G469" s="18">
        <v>28.93</v>
      </c>
      <c r="H469" s="18">
        <f t="shared" si="14"/>
        <v>40.034624999999998</v>
      </c>
      <c r="I469" s="5"/>
      <c r="J469" s="17">
        <v>424.91079999999999</v>
      </c>
      <c r="K469" s="18">
        <v>38.450299999999999</v>
      </c>
      <c r="L469" s="18">
        <v>41.469099999999997</v>
      </c>
      <c r="M469" s="18">
        <v>41.7928</v>
      </c>
      <c r="N469" s="18">
        <v>69.832400000000007</v>
      </c>
      <c r="O469" s="18">
        <f t="shared" si="15"/>
        <v>39.245462499999995</v>
      </c>
      <c r="P469" s="7"/>
      <c r="Q469" s="10"/>
      <c r="R469" s="11"/>
      <c r="S469" s="11"/>
      <c r="T469" s="26"/>
      <c r="U469" s="28">
        <f t="shared" si="13"/>
        <v>1.4138403041825098</v>
      </c>
    </row>
    <row r="470" spans="2:21" ht="16.5" hidden="1" thickBot="1" x14ac:dyDescent="0.3">
      <c r="B470" s="12"/>
      <c r="C470" s="19">
        <v>237.2</v>
      </c>
      <c r="D470" s="20">
        <v>35.884999999999998</v>
      </c>
      <c r="E470" s="20">
        <v>39.476999999999997</v>
      </c>
      <c r="F470" s="20">
        <v>39.777000000000001</v>
      </c>
      <c r="G470" s="20">
        <v>36.22</v>
      </c>
      <c r="H470" s="20">
        <f t="shared" si="14"/>
        <v>36.820500000000003</v>
      </c>
      <c r="I470" s="5"/>
      <c r="J470" s="19">
        <v>209.88040000000001</v>
      </c>
      <c r="K470" s="20">
        <v>35.196100000000001</v>
      </c>
      <c r="L470" s="20">
        <v>39.2776</v>
      </c>
      <c r="M470" s="20">
        <v>39.550899999999999</v>
      </c>
      <c r="N470" s="20">
        <v>95.383399999999995</v>
      </c>
      <c r="O470" s="20">
        <f t="shared" si="15"/>
        <v>36.250637500000003</v>
      </c>
      <c r="P470" s="7"/>
      <c r="Q470" s="13"/>
      <c r="R470" s="14"/>
      <c r="S470" s="14"/>
      <c r="T470" s="27"/>
      <c r="U470" s="28">
        <f t="shared" si="13"/>
        <v>1.6334456101601325</v>
      </c>
    </row>
    <row r="471" spans="2:21" hidden="1" x14ac:dyDescent="0.25">
      <c r="B471" s="6" t="s">
        <v>82</v>
      </c>
      <c r="C471" s="29">
        <v>967.62</v>
      </c>
      <c r="D471" s="30">
        <v>40.819000000000003</v>
      </c>
      <c r="E471" s="30">
        <v>44.069000000000003</v>
      </c>
      <c r="F471" s="30">
        <v>45.154000000000003</v>
      </c>
      <c r="G471" s="16">
        <v>41.95</v>
      </c>
      <c r="H471" s="16">
        <f t="shared" si="14"/>
        <v>41.767125</v>
      </c>
      <c r="I471" s="5"/>
      <c r="J471" s="29">
        <v>1044.7056</v>
      </c>
      <c r="K471" s="30">
        <v>40.959299999999999</v>
      </c>
      <c r="L471" s="30">
        <v>44.177100000000003</v>
      </c>
      <c r="M471" s="30">
        <v>45.3977</v>
      </c>
      <c r="N471" s="16">
        <v>69.959400000000002</v>
      </c>
      <c r="O471" s="16">
        <f t="shared" si="15"/>
        <v>41.916325000000001</v>
      </c>
      <c r="P471" s="7"/>
      <c r="Q471" s="8">
        <f>bdrate(C471:C474,D471:D474,J471:J474,K471:K474)</f>
        <v>2.3522259460619033E-2</v>
      </c>
      <c r="R471" s="8">
        <f>bdrate(C471:C474,E471:E474,J471:J474,L471:L474)</f>
        <v>-5.4863426280140626E-2</v>
      </c>
      <c r="S471" s="8">
        <f>bdrate(C471:C474,F471:F474,J471:J474,M471:M474)</f>
        <v>-8.6575651498564166E-2</v>
      </c>
      <c r="T471" s="25">
        <f>bdrate(C471:C474,H471:H474,J471:J474,O471:O474)</f>
        <v>3.7433476356805162E-3</v>
      </c>
      <c r="U471" s="28">
        <f t="shared" si="13"/>
        <v>0.66768533969010724</v>
      </c>
    </row>
    <row r="472" spans="2:21" hidden="1" x14ac:dyDescent="0.25">
      <c r="B472" s="9"/>
      <c r="C472" s="31">
        <v>584.29999999999995</v>
      </c>
      <c r="D472" s="32">
        <v>39.704999999999998</v>
      </c>
      <c r="E472" s="32">
        <v>43.250999999999998</v>
      </c>
      <c r="F472" s="32">
        <v>44.186</v>
      </c>
      <c r="G472" s="18">
        <v>48.71</v>
      </c>
      <c r="H472" s="18">
        <f t="shared" si="14"/>
        <v>40.708374999999997</v>
      </c>
      <c r="I472" s="5"/>
      <c r="J472" s="31">
        <v>617.38639999999998</v>
      </c>
      <c r="K472" s="32">
        <v>39.750599999999999</v>
      </c>
      <c r="L472" s="32">
        <v>43.418399999999998</v>
      </c>
      <c r="M472" s="32">
        <v>44.480699999999999</v>
      </c>
      <c r="N472" s="18">
        <v>91.575100000000006</v>
      </c>
      <c r="O472" s="18">
        <f t="shared" si="15"/>
        <v>40.800337500000005</v>
      </c>
      <c r="P472" s="7"/>
      <c r="Q472" s="10"/>
      <c r="R472" s="11"/>
      <c r="S472" s="11"/>
      <c r="T472" s="26"/>
      <c r="U472" s="28">
        <f t="shared" si="13"/>
        <v>0.88000615889960998</v>
      </c>
    </row>
    <row r="473" spans="2:21" hidden="1" x14ac:dyDescent="0.25">
      <c r="B473" s="9"/>
      <c r="C473" s="31">
        <v>391.86</v>
      </c>
      <c r="D473" s="32">
        <v>38.637999999999998</v>
      </c>
      <c r="E473" s="32">
        <v>42.476999999999997</v>
      </c>
      <c r="F473" s="32">
        <v>43.295999999999999</v>
      </c>
      <c r="G473" s="18">
        <v>54.41</v>
      </c>
      <c r="H473" s="18">
        <f t="shared" si="14"/>
        <v>39.700124999999993</v>
      </c>
      <c r="I473" s="5"/>
      <c r="J473" s="31">
        <v>410.0548</v>
      </c>
      <c r="K473" s="32">
        <v>38.668199999999999</v>
      </c>
      <c r="L473" s="32">
        <v>42.675199999999997</v>
      </c>
      <c r="M473" s="32">
        <v>43.611600000000003</v>
      </c>
      <c r="N473" s="18">
        <v>108.6484</v>
      </c>
      <c r="O473" s="18">
        <f t="shared" si="15"/>
        <v>39.786999999999999</v>
      </c>
      <c r="P473" s="7"/>
      <c r="Q473" s="10"/>
      <c r="R473" s="11"/>
      <c r="S473" s="11"/>
      <c r="T473" s="26"/>
      <c r="U473" s="28">
        <f t="shared" si="13"/>
        <v>0.99684616798382653</v>
      </c>
    </row>
    <row r="474" spans="2:21" ht="16.5" hidden="1" thickBot="1" x14ac:dyDescent="0.3">
      <c r="B474" s="12"/>
      <c r="C474" s="33">
        <v>196.93</v>
      </c>
      <c r="D474" s="34">
        <v>36.173000000000002</v>
      </c>
      <c r="E474" s="34">
        <v>40.704000000000001</v>
      </c>
      <c r="F474" s="34">
        <v>41.36</v>
      </c>
      <c r="G474" s="20">
        <v>65.150000000000006</v>
      </c>
      <c r="H474" s="20">
        <f t="shared" si="14"/>
        <v>37.387750000000004</v>
      </c>
      <c r="I474" s="5"/>
      <c r="J474" s="33">
        <v>202.87559999999999</v>
      </c>
      <c r="K474" s="34">
        <v>36.358800000000002</v>
      </c>
      <c r="L474" s="34">
        <v>41.1066</v>
      </c>
      <c r="M474" s="34">
        <v>41.7712</v>
      </c>
      <c r="N474" s="20">
        <v>153.3742</v>
      </c>
      <c r="O474" s="20">
        <f t="shared" si="15"/>
        <v>37.628825000000006</v>
      </c>
      <c r="P474" s="7"/>
      <c r="Q474" s="13"/>
      <c r="R474" s="14"/>
      <c r="S474" s="14"/>
      <c r="T474" s="27"/>
      <c r="U474" s="28">
        <f t="shared" si="13"/>
        <v>1.354170376055257</v>
      </c>
    </row>
    <row r="475" spans="2:21" hidden="1" x14ac:dyDescent="0.25">
      <c r="B475" s="6" t="s">
        <v>83</v>
      </c>
      <c r="C475" s="15">
        <v>1148.28</v>
      </c>
      <c r="D475" s="16">
        <v>43.418999999999997</v>
      </c>
      <c r="E475" s="16">
        <v>45.725999999999999</v>
      </c>
      <c r="F475" s="16">
        <v>45.758000000000003</v>
      </c>
      <c r="G475" s="16">
        <v>19.100000000000001</v>
      </c>
      <c r="H475" s="16">
        <f t="shared" si="14"/>
        <v>43.999749999999999</v>
      </c>
      <c r="I475" s="5"/>
      <c r="J475" s="15">
        <v>1187.2861</v>
      </c>
      <c r="K475" s="16">
        <v>43.462200000000003</v>
      </c>
      <c r="L475" s="16">
        <v>45.784300000000002</v>
      </c>
      <c r="M475" s="16">
        <v>45.751300000000001</v>
      </c>
      <c r="N475" s="16">
        <v>33.995100000000001</v>
      </c>
      <c r="O475" s="16">
        <f t="shared" si="15"/>
        <v>44.038600000000002</v>
      </c>
      <c r="P475" s="7"/>
      <c r="Q475" s="8">
        <f>bdrate(C475:C478,D475:D478,J475:J478,K475:K478)</f>
        <v>-4.5724028829438157E-2</v>
      </c>
      <c r="R475" s="8">
        <f>bdrate(C475:C478,E475:E478,J475:J478,L475:L478)</f>
        <v>-0.1260910359353582</v>
      </c>
      <c r="S475" s="8">
        <f>bdrate(C475:C478,F475:F478,J475:J478,M475:M478)</f>
        <v>-0.11110684110505242</v>
      </c>
      <c r="T475" s="25">
        <f>bdrate(C475:C478,H475:H478,J475:J478,O475:O478)</f>
        <v>-5.8424035548087283E-2</v>
      </c>
      <c r="U475" s="28">
        <f t="shared" si="13"/>
        <v>0.77984816753926689</v>
      </c>
    </row>
    <row r="476" spans="2:21" hidden="1" x14ac:dyDescent="0.25">
      <c r="B476" s="9"/>
      <c r="C476" s="17">
        <v>774.29</v>
      </c>
      <c r="D476" s="18">
        <v>41.801000000000002</v>
      </c>
      <c r="E476" s="18">
        <v>44.686</v>
      </c>
      <c r="F476" s="18">
        <v>44.715000000000003</v>
      </c>
      <c r="G476" s="18">
        <v>20.85</v>
      </c>
      <c r="H476" s="18">
        <f t="shared" si="14"/>
        <v>42.525874999999999</v>
      </c>
      <c r="I476" s="5"/>
      <c r="J476" s="17">
        <v>787.34690000000001</v>
      </c>
      <c r="K476" s="18">
        <v>41.949399999999997</v>
      </c>
      <c r="L476" s="18">
        <v>44.937399999999997</v>
      </c>
      <c r="M476" s="18">
        <v>44.938800000000001</v>
      </c>
      <c r="N476" s="18">
        <v>40.950000000000003</v>
      </c>
      <c r="O476" s="18">
        <f t="shared" si="15"/>
        <v>42.696574999999996</v>
      </c>
      <c r="P476" s="7"/>
      <c r="Q476" s="10"/>
      <c r="R476" s="11"/>
      <c r="S476" s="11"/>
      <c r="T476" s="26"/>
      <c r="U476" s="28">
        <f t="shared" si="13"/>
        <v>0.96402877697841727</v>
      </c>
    </row>
    <row r="477" spans="2:21" hidden="1" x14ac:dyDescent="0.25">
      <c r="B477" s="9"/>
      <c r="C477" s="17">
        <v>489.04</v>
      </c>
      <c r="D477" s="18">
        <v>39.746000000000002</v>
      </c>
      <c r="E477" s="18">
        <v>43.402999999999999</v>
      </c>
      <c r="F477" s="18">
        <v>43.46</v>
      </c>
      <c r="G477" s="18">
        <v>23.43</v>
      </c>
      <c r="H477" s="18">
        <f t="shared" si="14"/>
        <v>40.667375</v>
      </c>
      <c r="I477" s="5"/>
      <c r="J477" s="17">
        <v>491.25650000000002</v>
      </c>
      <c r="K477" s="18">
        <v>40.062899999999999</v>
      </c>
      <c r="L477" s="18">
        <v>43.892000000000003</v>
      </c>
      <c r="M477" s="18">
        <v>43.889699999999998</v>
      </c>
      <c r="N477" s="18">
        <v>50.549300000000002</v>
      </c>
      <c r="O477" s="18">
        <f t="shared" si="15"/>
        <v>41.019887500000003</v>
      </c>
      <c r="P477" s="7"/>
      <c r="Q477" s="10"/>
      <c r="R477" s="11"/>
      <c r="S477" s="11"/>
      <c r="T477" s="26"/>
      <c r="U477" s="28">
        <f t="shared" si="13"/>
        <v>1.1574605206999575</v>
      </c>
    </row>
    <row r="478" spans="2:21" ht="16.5" hidden="1" thickBot="1" x14ac:dyDescent="0.3">
      <c r="B478" s="12"/>
      <c r="C478" s="19">
        <v>295.76</v>
      </c>
      <c r="D478" s="20">
        <v>37.411999999999999</v>
      </c>
      <c r="E478" s="20">
        <v>41.996000000000002</v>
      </c>
      <c r="F478" s="20">
        <v>42.057000000000002</v>
      </c>
      <c r="G478" s="20">
        <v>26.68</v>
      </c>
      <c r="H478" s="20">
        <f t="shared" si="14"/>
        <v>38.565624999999997</v>
      </c>
      <c r="I478" s="5"/>
      <c r="J478" s="19">
        <v>296.10449999999997</v>
      </c>
      <c r="K478" s="20">
        <v>37.872999999999998</v>
      </c>
      <c r="L478" s="20">
        <v>42.642000000000003</v>
      </c>
      <c r="M478" s="20">
        <v>42.690600000000003</v>
      </c>
      <c r="N478" s="20">
        <v>63.403500000000001</v>
      </c>
      <c r="O478" s="20">
        <f t="shared" si="15"/>
        <v>39.071325000000002</v>
      </c>
      <c r="P478" s="7"/>
      <c r="Q478" s="13"/>
      <c r="R478" s="14"/>
      <c r="S478" s="14"/>
      <c r="T478" s="27"/>
      <c r="U478" s="28">
        <f t="shared" si="13"/>
        <v>1.3764430284857572</v>
      </c>
    </row>
    <row r="479" spans="2:21" hidden="1" x14ac:dyDescent="0.25">
      <c r="B479" s="6" t="s">
        <v>84</v>
      </c>
      <c r="C479" s="15">
        <v>1607.63</v>
      </c>
      <c r="D479" s="16">
        <v>48.744</v>
      </c>
      <c r="E479" s="16">
        <v>50.828000000000003</v>
      </c>
      <c r="F479" s="16">
        <v>50.96</v>
      </c>
      <c r="G479" s="16">
        <v>19.079999999999998</v>
      </c>
      <c r="H479" s="16">
        <f t="shared" si="14"/>
        <v>49.281500000000001</v>
      </c>
      <c r="I479" s="5"/>
      <c r="J479" s="15">
        <v>1647.2239</v>
      </c>
      <c r="K479" s="16">
        <v>48.869599999999998</v>
      </c>
      <c r="L479" s="16">
        <v>50.802700000000002</v>
      </c>
      <c r="M479" s="16">
        <v>50.965600000000002</v>
      </c>
      <c r="N479" s="16">
        <v>38.301200000000001</v>
      </c>
      <c r="O479" s="16">
        <f t="shared" si="15"/>
        <v>49.373237500000002</v>
      </c>
      <c r="P479" s="7"/>
      <c r="Q479" s="8">
        <f>bdrate(C479:C482,D479:D482,J479:J482,K479:K482)</f>
        <v>-3.3992940057822052E-2</v>
      </c>
      <c r="R479" s="8">
        <f>bdrate(C479:C482,E479:E482,J479:J482,L479:L482)</f>
        <v>-3.3411728941608709E-2</v>
      </c>
      <c r="S479" s="8">
        <f>bdrate(C479:C482,F479:F482,J479:J482,M479:M482)</f>
        <v>-3.3271076733131899E-2</v>
      </c>
      <c r="T479" s="25">
        <f>bdrate(C479:C482,H479:H482,J479:J482,O479:O482)</f>
        <v>-3.3896877864663333E-2</v>
      </c>
      <c r="U479" s="28">
        <f t="shared" si="13"/>
        <v>1.0074004192872119</v>
      </c>
    </row>
    <row r="480" spans="2:21" hidden="1" x14ac:dyDescent="0.25">
      <c r="B480" s="9"/>
      <c r="C480" s="17">
        <v>1075.71</v>
      </c>
      <c r="D480" s="18">
        <v>46.65</v>
      </c>
      <c r="E480" s="18">
        <v>48.856999999999999</v>
      </c>
      <c r="F480" s="18">
        <v>49.018999999999998</v>
      </c>
      <c r="G480" s="18">
        <v>21.57</v>
      </c>
      <c r="H480" s="18">
        <f t="shared" si="14"/>
        <v>47.221999999999994</v>
      </c>
      <c r="I480" s="5"/>
      <c r="J480" s="17">
        <v>1085.5735</v>
      </c>
      <c r="K480" s="18">
        <v>46.884900000000002</v>
      </c>
      <c r="L480" s="18">
        <v>48.981200000000001</v>
      </c>
      <c r="M480" s="18">
        <v>49.183500000000002</v>
      </c>
      <c r="N480" s="18">
        <v>44.765300000000003</v>
      </c>
      <c r="O480" s="18">
        <f t="shared" si="15"/>
        <v>47.434262499999996</v>
      </c>
      <c r="P480" s="7"/>
      <c r="Q480" s="10"/>
      <c r="R480" s="11"/>
      <c r="S480" s="11"/>
      <c r="T480" s="26"/>
      <c r="U480" s="28">
        <f t="shared" si="13"/>
        <v>1.0753500231803432</v>
      </c>
    </row>
    <row r="481" spans="2:21" hidden="1" x14ac:dyDescent="0.25">
      <c r="B481" s="9"/>
      <c r="C481" s="17">
        <v>650.98</v>
      </c>
      <c r="D481" s="18">
        <v>43.938000000000002</v>
      </c>
      <c r="E481" s="18">
        <v>46.322000000000003</v>
      </c>
      <c r="F481" s="18">
        <v>46.616</v>
      </c>
      <c r="G481" s="18">
        <v>24.27</v>
      </c>
      <c r="H481" s="18">
        <f t="shared" si="14"/>
        <v>44.570750000000004</v>
      </c>
      <c r="I481" s="5"/>
      <c r="J481" s="17">
        <v>649.12</v>
      </c>
      <c r="K481" s="18">
        <v>44.091200000000001</v>
      </c>
      <c r="L481" s="18">
        <v>46.5152</v>
      </c>
      <c r="M481" s="18">
        <v>46.785699999999999</v>
      </c>
      <c r="N481" s="18">
        <v>54.806600000000003</v>
      </c>
      <c r="O481" s="18">
        <f t="shared" si="15"/>
        <v>44.731012499999999</v>
      </c>
      <c r="P481" s="7"/>
      <c r="Q481" s="10"/>
      <c r="R481" s="11"/>
      <c r="S481" s="11"/>
      <c r="T481" s="26"/>
      <c r="U481" s="28">
        <f t="shared" si="13"/>
        <v>1.2582035434693037</v>
      </c>
    </row>
    <row r="482" spans="2:21" ht="16.5" hidden="1" thickBot="1" x14ac:dyDescent="0.3">
      <c r="B482" s="12"/>
      <c r="C482" s="19">
        <v>325.06</v>
      </c>
      <c r="D482" s="20">
        <v>40.124000000000002</v>
      </c>
      <c r="E482" s="20">
        <v>42.994</v>
      </c>
      <c r="F482" s="20">
        <v>43.46</v>
      </c>
      <c r="G482" s="20">
        <v>27.89</v>
      </c>
      <c r="H482" s="20">
        <f t="shared" si="14"/>
        <v>40.899750000000004</v>
      </c>
      <c r="I482" s="5"/>
      <c r="J482" s="19">
        <v>328.02519999999998</v>
      </c>
      <c r="K482" s="20">
        <v>40.492100000000001</v>
      </c>
      <c r="L482" s="20">
        <v>43.403300000000002</v>
      </c>
      <c r="M482" s="20">
        <v>43.792299999999997</v>
      </c>
      <c r="N482" s="20">
        <v>72.218999999999994</v>
      </c>
      <c r="O482" s="20">
        <f t="shared" si="15"/>
        <v>41.268525000000004</v>
      </c>
      <c r="P482" s="7"/>
      <c r="Q482" s="13"/>
      <c r="R482" s="14"/>
      <c r="S482" s="14"/>
      <c r="T482" s="27"/>
      <c r="U482" s="28">
        <f t="shared" si="13"/>
        <v>1.5894227321620651</v>
      </c>
    </row>
    <row r="483" spans="2:21" hidden="1" x14ac:dyDescent="0.25">
      <c r="B483" s="6" t="s">
        <v>85</v>
      </c>
      <c r="C483" s="15">
        <v>1411.38</v>
      </c>
      <c r="D483" s="16">
        <v>48.061999999999998</v>
      </c>
      <c r="E483" s="16">
        <v>49.709000000000003</v>
      </c>
      <c r="F483" s="16">
        <v>50.029000000000003</v>
      </c>
      <c r="G483" s="16">
        <v>22.45</v>
      </c>
      <c r="H483" s="16">
        <f t="shared" si="14"/>
        <v>48.513749999999995</v>
      </c>
      <c r="I483" s="5"/>
      <c r="J483" s="15">
        <v>1581.8271</v>
      </c>
      <c r="K483" s="16">
        <v>48.330300000000001</v>
      </c>
      <c r="L483" s="16">
        <v>49.881399999999999</v>
      </c>
      <c r="M483" s="16">
        <v>50.215299999999999</v>
      </c>
      <c r="N483" s="16">
        <v>43.493499999999997</v>
      </c>
      <c r="O483" s="16">
        <f t="shared" si="15"/>
        <v>48.759812500000002</v>
      </c>
      <c r="P483" s="7"/>
      <c r="Q483" s="8">
        <f>bdrate(C483:C486,D483:D486,J483:J486,K483:K486)</f>
        <v>5.0389757860981321E-2</v>
      </c>
      <c r="R483" s="8">
        <f>bdrate(C483:C486,E483:E486,J483:J486,L483:L486)</f>
        <v>3.955149380421874E-2</v>
      </c>
      <c r="S483" s="8">
        <f>bdrate(C483:C486,F483:F486,J483:J486,M483:M486)</f>
        <v>3.1145587952967846E-2</v>
      </c>
      <c r="T483" s="25">
        <f>bdrate(C483:C486,H483:H486,J483:J486,O483:O486)</f>
        <v>4.6692497942826483E-2</v>
      </c>
      <c r="U483" s="28">
        <f t="shared" si="13"/>
        <v>0.93734966592427615</v>
      </c>
    </row>
    <row r="484" spans="2:21" hidden="1" x14ac:dyDescent="0.25">
      <c r="B484" s="9"/>
      <c r="C484" s="17">
        <v>934.53</v>
      </c>
      <c r="D484" s="18">
        <v>46.06</v>
      </c>
      <c r="E484" s="18">
        <v>47.817</v>
      </c>
      <c r="F484" s="18">
        <v>48.07</v>
      </c>
      <c r="G484" s="18">
        <v>25.16</v>
      </c>
      <c r="H484" s="18">
        <f t="shared" si="14"/>
        <v>46.530875000000002</v>
      </c>
      <c r="I484" s="5"/>
      <c r="J484" s="17">
        <v>1040.7139999999999</v>
      </c>
      <c r="K484" s="18">
        <v>46.358899999999998</v>
      </c>
      <c r="L484" s="18">
        <v>48.083199999999998</v>
      </c>
      <c r="M484" s="18">
        <v>48.353000000000002</v>
      </c>
      <c r="N484" s="18">
        <v>52.035200000000003</v>
      </c>
      <c r="O484" s="18">
        <f t="shared" si="15"/>
        <v>46.823699999999995</v>
      </c>
      <c r="P484" s="7"/>
      <c r="Q484" s="10"/>
      <c r="R484" s="11"/>
      <c r="S484" s="11"/>
      <c r="T484" s="26"/>
      <c r="U484" s="28">
        <f t="shared" si="13"/>
        <v>1.0681717011128777</v>
      </c>
    </row>
    <row r="485" spans="2:21" hidden="1" x14ac:dyDescent="0.25">
      <c r="B485" s="9"/>
      <c r="C485" s="17">
        <v>557.35</v>
      </c>
      <c r="D485" s="18">
        <v>43.542000000000002</v>
      </c>
      <c r="E485" s="18">
        <v>45.539000000000001</v>
      </c>
      <c r="F485" s="18">
        <v>45.670999999999999</v>
      </c>
      <c r="G485" s="18">
        <v>27.96</v>
      </c>
      <c r="H485" s="18">
        <f t="shared" si="14"/>
        <v>44.057749999999999</v>
      </c>
      <c r="I485" s="5"/>
      <c r="J485" s="17">
        <v>637.2989</v>
      </c>
      <c r="K485" s="18">
        <v>43.934800000000003</v>
      </c>
      <c r="L485" s="18">
        <v>45.930100000000003</v>
      </c>
      <c r="M485" s="18">
        <v>46.124299999999998</v>
      </c>
      <c r="N485" s="18">
        <v>61.305199999999999</v>
      </c>
      <c r="O485" s="18">
        <f t="shared" si="15"/>
        <v>44.457900000000002</v>
      </c>
      <c r="P485" s="7"/>
      <c r="Q485" s="10"/>
      <c r="R485" s="11"/>
      <c r="S485" s="11"/>
      <c r="T485" s="26"/>
      <c r="U485" s="28">
        <f t="shared" si="13"/>
        <v>1.1926037195994277</v>
      </c>
    </row>
    <row r="486" spans="2:21" ht="16.5" hidden="1" thickBot="1" x14ac:dyDescent="0.3">
      <c r="B486" s="12"/>
      <c r="C486" s="19">
        <v>275.43</v>
      </c>
      <c r="D486" s="20">
        <v>40.052999999999997</v>
      </c>
      <c r="E486" s="20">
        <v>42.533000000000001</v>
      </c>
      <c r="F486" s="20">
        <v>42.478000000000002</v>
      </c>
      <c r="G486" s="20">
        <v>31.67</v>
      </c>
      <c r="H486" s="20">
        <f t="shared" si="14"/>
        <v>40.666125000000001</v>
      </c>
      <c r="I486" s="5"/>
      <c r="J486" s="19">
        <v>312.24990000000003</v>
      </c>
      <c r="K486" s="20">
        <v>40.49</v>
      </c>
      <c r="L486" s="20">
        <v>43.109200000000001</v>
      </c>
      <c r="M486" s="20">
        <v>43.189399999999999</v>
      </c>
      <c r="N486" s="20">
        <v>76.923100000000005</v>
      </c>
      <c r="O486" s="20">
        <f t="shared" si="15"/>
        <v>41.154824999999995</v>
      </c>
      <c r="P486" s="7"/>
      <c r="Q486" s="13"/>
      <c r="R486" s="14"/>
      <c r="S486" s="14"/>
      <c r="T486" s="27"/>
      <c r="U486" s="28">
        <f t="shared" si="13"/>
        <v>1.4288948531733503</v>
      </c>
    </row>
    <row r="487" spans="2:21" hidden="1" x14ac:dyDescent="0.25">
      <c r="B487" s="6" t="s">
        <v>86</v>
      </c>
      <c r="C487" s="15">
        <v>1494.77</v>
      </c>
      <c r="D487" s="16">
        <v>39.521999999999998</v>
      </c>
      <c r="E487" s="16">
        <v>42.453000000000003</v>
      </c>
      <c r="F487" s="16">
        <v>41.067999999999998</v>
      </c>
      <c r="G487" s="16">
        <v>19.16</v>
      </c>
      <c r="H487" s="16">
        <f t="shared" si="14"/>
        <v>40.081625000000003</v>
      </c>
      <c r="I487" s="5"/>
      <c r="J487" s="15">
        <v>1578.9682</v>
      </c>
      <c r="K487" s="16">
        <v>39.936300000000003</v>
      </c>
      <c r="L487" s="16">
        <v>42.650799999999997</v>
      </c>
      <c r="M487" s="16">
        <v>41.484400000000001</v>
      </c>
      <c r="N487" s="16">
        <v>28.5791</v>
      </c>
      <c r="O487" s="16">
        <f t="shared" si="15"/>
        <v>40.469124999999998</v>
      </c>
      <c r="P487" s="7"/>
      <c r="Q487" s="8">
        <f>bdrate(C487:C490,D487:D490,J487:J490,K487:K490)</f>
        <v>-5.1618741337880691E-2</v>
      </c>
      <c r="R487" s="8">
        <f>bdrate(C487:C490,E487:E490,J487:J490,L487:L490)</f>
        <v>-7.0551471622172235E-3</v>
      </c>
      <c r="S487" s="8">
        <f>bdrate(C487:C490,F487:F490,J487:J490,M487:M490)</f>
        <v>-4.4452452194094105E-2</v>
      </c>
      <c r="T487" s="25">
        <f>bdrate(C487:C490,H487:H490,J487:J490,O487:O490)</f>
        <v>-4.61356143857512E-2</v>
      </c>
      <c r="U487" s="28">
        <f t="shared" si="13"/>
        <v>0.49160229645093945</v>
      </c>
    </row>
    <row r="488" spans="2:21" hidden="1" x14ac:dyDescent="0.25">
      <c r="B488" s="9"/>
      <c r="C488" s="17">
        <v>994.4</v>
      </c>
      <c r="D488" s="18">
        <v>37.344000000000001</v>
      </c>
      <c r="E488" s="18">
        <v>40.601999999999997</v>
      </c>
      <c r="F488" s="18">
        <v>39.137</v>
      </c>
      <c r="G488" s="18">
        <v>21.19</v>
      </c>
      <c r="H488" s="18">
        <f t="shared" si="14"/>
        <v>37.975375</v>
      </c>
      <c r="I488" s="5"/>
      <c r="J488" s="17">
        <v>1054.4155000000001</v>
      </c>
      <c r="K488" s="18">
        <v>37.810499999999998</v>
      </c>
      <c r="L488" s="18">
        <v>40.897399999999998</v>
      </c>
      <c r="M488" s="18">
        <v>39.624099999999999</v>
      </c>
      <c r="N488" s="18">
        <v>33.953899999999997</v>
      </c>
      <c r="O488" s="18">
        <f t="shared" si="15"/>
        <v>38.4230625</v>
      </c>
      <c r="P488" s="7"/>
      <c r="Q488" s="10"/>
      <c r="R488" s="11"/>
      <c r="S488" s="11"/>
      <c r="T488" s="26"/>
      <c r="U488" s="28">
        <f t="shared" si="13"/>
        <v>0.60235488437942408</v>
      </c>
    </row>
    <row r="489" spans="2:21" hidden="1" x14ac:dyDescent="0.25">
      <c r="B489" s="9"/>
      <c r="C489" s="17">
        <v>595.98</v>
      </c>
      <c r="D489" s="18">
        <v>34.686</v>
      </c>
      <c r="E489" s="18">
        <v>38.478000000000002</v>
      </c>
      <c r="F489" s="18">
        <v>37.008000000000003</v>
      </c>
      <c r="G489" s="18">
        <v>23.23</v>
      </c>
      <c r="H489" s="18">
        <f t="shared" si="14"/>
        <v>35.450249999999997</v>
      </c>
      <c r="I489" s="5"/>
      <c r="J489" s="17">
        <v>632.58119999999997</v>
      </c>
      <c r="K489" s="18">
        <v>35.304499999999997</v>
      </c>
      <c r="L489" s="18">
        <v>38.740699999999997</v>
      </c>
      <c r="M489" s="18">
        <v>37.429699999999997</v>
      </c>
      <c r="N489" s="18">
        <v>40.024900000000002</v>
      </c>
      <c r="O489" s="18">
        <f t="shared" si="15"/>
        <v>35.999674999999996</v>
      </c>
      <c r="P489" s="7"/>
      <c r="Q489" s="10"/>
      <c r="R489" s="11"/>
      <c r="S489" s="11"/>
      <c r="T489" s="26"/>
      <c r="U489" s="28">
        <f t="shared" si="13"/>
        <v>0.72298321136461474</v>
      </c>
    </row>
    <row r="490" spans="2:21" ht="16.5" hidden="1" thickBot="1" x14ac:dyDescent="0.3">
      <c r="B490" s="12"/>
      <c r="C490" s="19">
        <v>299.48</v>
      </c>
      <c r="D490" s="20">
        <v>31.25</v>
      </c>
      <c r="E490" s="20">
        <v>35.651000000000003</v>
      </c>
      <c r="F490" s="20">
        <v>34.267000000000003</v>
      </c>
      <c r="G490" s="20">
        <v>25.95</v>
      </c>
      <c r="H490" s="20">
        <f t="shared" si="14"/>
        <v>32.177250000000001</v>
      </c>
      <c r="I490" s="5"/>
      <c r="J490" s="19">
        <v>316.31299999999999</v>
      </c>
      <c r="K490" s="20">
        <v>31.9163</v>
      </c>
      <c r="L490" s="20">
        <v>35.9559</v>
      </c>
      <c r="M490" s="20">
        <v>34.668500000000002</v>
      </c>
      <c r="N490" s="20">
        <v>51.541400000000003</v>
      </c>
      <c r="O490" s="20">
        <f t="shared" si="15"/>
        <v>32.765274999999995</v>
      </c>
      <c r="P490" s="7"/>
      <c r="Q490" s="13"/>
      <c r="R490" s="14"/>
      <c r="S490" s="14"/>
      <c r="T490" s="27"/>
      <c r="U490" s="28">
        <f t="shared" si="13"/>
        <v>0.98618111753371884</v>
      </c>
    </row>
    <row r="491" spans="2:21" hidden="1" x14ac:dyDescent="0.25">
      <c r="B491" s="6" t="s">
        <v>87</v>
      </c>
      <c r="C491" s="15">
        <v>1485.29</v>
      </c>
      <c r="D491" s="16">
        <v>37.597999999999999</v>
      </c>
      <c r="E491" s="16">
        <v>42.756999999999998</v>
      </c>
      <c r="F491" s="16">
        <v>42.765000000000001</v>
      </c>
      <c r="G491" s="16">
        <v>19.850000000000001</v>
      </c>
      <c r="H491" s="16">
        <f t="shared" si="14"/>
        <v>38.888749999999995</v>
      </c>
      <c r="I491" s="5"/>
      <c r="J491" s="15">
        <v>1569.8879999999999</v>
      </c>
      <c r="K491" s="16">
        <v>37.923000000000002</v>
      </c>
      <c r="L491" s="16">
        <v>43.542700000000004</v>
      </c>
      <c r="M491" s="16">
        <v>43.557099999999998</v>
      </c>
      <c r="N491" s="16">
        <v>39.978700000000003</v>
      </c>
      <c r="O491" s="16">
        <f t="shared" si="15"/>
        <v>39.329725000000003</v>
      </c>
      <c r="P491" s="7"/>
      <c r="Q491" s="8">
        <f>bdrate(C491:C494,D491:D494,J491:J494,K491:K494)</f>
        <v>-7.9544564043007804E-2</v>
      </c>
      <c r="R491" s="8">
        <f>bdrate(C491:C494,E491:E494,J491:J494,L491:L494)</f>
        <v>-0.26593771248854914</v>
      </c>
      <c r="S491" s="8">
        <f>bdrate(C491:C494,F491:F494,J491:J494,M491:M494)</f>
        <v>-0.26486075949095222</v>
      </c>
      <c r="T491" s="25">
        <f>bdrate(C491:C494,H491:H494,J491:J494,O491:O494)</f>
        <v>-0.12615805479644704</v>
      </c>
      <c r="U491" s="28">
        <f t="shared" ref="U491:U518" si="16">(N491-G491)/G491</f>
        <v>1.0140403022670026</v>
      </c>
    </row>
    <row r="492" spans="2:21" hidden="1" x14ac:dyDescent="0.25">
      <c r="B492" s="9"/>
      <c r="C492" s="17">
        <v>987.41</v>
      </c>
      <c r="D492" s="18">
        <v>36.436999999999998</v>
      </c>
      <c r="E492" s="18">
        <v>41.64</v>
      </c>
      <c r="F492" s="18">
        <v>41.753999999999998</v>
      </c>
      <c r="G492" s="18">
        <v>21.85</v>
      </c>
      <c r="H492" s="18">
        <f t="shared" si="14"/>
        <v>37.752000000000002</v>
      </c>
      <c r="I492" s="5"/>
      <c r="J492" s="17">
        <v>1037.2711999999999</v>
      </c>
      <c r="K492" s="18">
        <v>36.780500000000004</v>
      </c>
      <c r="L492" s="18">
        <v>42.543799999999997</v>
      </c>
      <c r="M492" s="18">
        <v>42.614199999999997</v>
      </c>
      <c r="N492" s="18">
        <v>48.379300000000001</v>
      </c>
      <c r="O492" s="18">
        <f t="shared" si="15"/>
        <v>38.230125000000001</v>
      </c>
      <c r="P492" s="7"/>
      <c r="Q492" s="10"/>
      <c r="R492" s="11"/>
      <c r="S492" s="11"/>
      <c r="T492" s="26"/>
      <c r="U492" s="28">
        <f t="shared" si="16"/>
        <v>1.2141556064073225</v>
      </c>
    </row>
    <row r="493" spans="2:21" hidden="1" x14ac:dyDescent="0.25">
      <c r="B493" s="9"/>
      <c r="C493" s="17">
        <v>588.41999999999996</v>
      </c>
      <c r="D493" s="18">
        <v>35.015000000000001</v>
      </c>
      <c r="E493" s="18">
        <v>40.246000000000002</v>
      </c>
      <c r="F493" s="18">
        <v>40.603999999999999</v>
      </c>
      <c r="G493" s="18">
        <v>24.13</v>
      </c>
      <c r="H493" s="18">
        <f t="shared" si="14"/>
        <v>36.3675</v>
      </c>
      <c r="I493" s="5"/>
      <c r="J493" s="17">
        <v>618.61440000000005</v>
      </c>
      <c r="K493" s="18">
        <v>35.382800000000003</v>
      </c>
      <c r="L493" s="18">
        <v>41.232700000000001</v>
      </c>
      <c r="M493" s="18">
        <v>41.424300000000002</v>
      </c>
      <c r="N493" s="18">
        <v>61.817399999999999</v>
      </c>
      <c r="O493" s="18">
        <f t="shared" si="15"/>
        <v>36.869225</v>
      </c>
      <c r="P493" s="7"/>
      <c r="Q493" s="10"/>
      <c r="R493" s="11"/>
      <c r="S493" s="11"/>
      <c r="T493" s="26"/>
      <c r="U493" s="28">
        <f t="shared" si="16"/>
        <v>1.5618483215913799</v>
      </c>
    </row>
    <row r="494" spans="2:21" ht="16.5" hidden="1" thickBot="1" x14ac:dyDescent="0.3">
      <c r="B494" s="12"/>
      <c r="C494" s="19">
        <v>291.31</v>
      </c>
      <c r="D494" s="20">
        <v>33.054000000000002</v>
      </c>
      <c r="E494" s="20">
        <v>38.374000000000002</v>
      </c>
      <c r="F494" s="20">
        <v>38.927999999999997</v>
      </c>
      <c r="G494" s="20">
        <v>26.93</v>
      </c>
      <c r="H494" s="20">
        <f t="shared" si="14"/>
        <v>34.453249999999997</v>
      </c>
      <c r="I494" s="5"/>
      <c r="J494" s="19">
        <v>301.69920000000002</v>
      </c>
      <c r="K494" s="20">
        <v>33.438800000000001</v>
      </c>
      <c r="L494" s="20">
        <v>39.278300000000002</v>
      </c>
      <c r="M494" s="20">
        <v>39.717399999999998</v>
      </c>
      <c r="N494" s="20">
        <v>81.477500000000006</v>
      </c>
      <c r="O494" s="20">
        <f t="shared" si="15"/>
        <v>34.953562500000004</v>
      </c>
      <c r="P494" s="7"/>
      <c r="Q494" s="13"/>
      <c r="R494" s="14"/>
      <c r="S494" s="14"/>
      <c r="T494" s="27"/>
      <c r="U494" s="28">
        <f t="shared" si="16"/>
        <v>2.0255291496472339</v>
      </c>
    </row>
    <row r="495" spans="2:21" hidden="1" x14ac:dyDescent="0.25">
      <c r="B495" s="6" t="s">
        <v>88</v>
      </c>
      <c r="C495" s="15">
        <v>1554.38</v>
      </c>
      <c r="D495" s="16">
        <v>34.478999999999999</v>
      </c>
      <c r="E495" s="16">
        <v>38.787999999999997</v>
      </c>
      <c r="F495" s="16">
        <v>41.375999999999998</v>
      </c>
      <c r="G495" s="16">
        <v>20.5</v>
      </c>
      <c r="H495" s="16">
        <f t="shared" si="14"/>
        <v>35.879749999999994</v>
      </c>
      <c r="I495" s="5"/>
      <c r="J495" s="15">
        <v>1548.1264000000001</v>
      </c>
      <c r="K495" s="16">
        <v>34.773499999999999</v>
      </c>
      <c r="L495" s="16">
        <v>39.875900000000001</v>
      </c>
      <c r="M495" s="16">
        <v>42.234099999999998</v>
      </c>
      <c r="N495" s="16">
        <v>45.826000000000001</v>
      </c>
      <c r="O495" s="16">
        <f t="shared" si="15"/>
        <v>36.343874999999997</v>
      </c>
      <c r="P495" s="7"/>
      <c r="Q495" s="8">
        <f>bdrate(C495:C498,D495:D498,J495:J498,K495:K498)</f>
        <v>-0.1046552867882059</v>
      </c>
      <c r="R495" s="8">
        <f>bdrate(C495:C498,E495:E498,J495:J498,L495:L498)</f>
        <v>-0.36611968879849588</v>
      </c>
      <c r="S495" s="8">
        <f>bdrate(C495:C498,F495:F498,J495:J498,M495:M498)</f>
        <v>-0.31408366403405374</v>
      </c>
      <c r="T495" s="25">
        <f>bdrate(C495:C498,H495:H498,J495:J498,O495:O498)</f>
        <v>-0.1504269413558379</v>
      </c>
      <c r="U495" s="28">
        <f t="shared" si="16"/>
        <v>1.2354146341463415</v>
      </c>
    </row>
    <row r="496" spans="2:21" hidden="1" x14ac:dyDescent="0.25">
      <c r="B496" s="9"/>
      <c r="C496" s="17">
        <v>1030.5999999999999</v>
      </c>
      <c r="D496" s="18">
        <v>33.359000000000002</v>
      </c>
      <c r="E496" s="18">
        <v>37.959000000000003</v>
      </c>
      <c r="F496" s="18">
        <v>40.648000000000003</v>
      </c>
      <c r="G496" s="18">
        <v>22.41</v>
      </c>
      <c r="H496" s="18">
        <f t="shared" si="14"/>
        <v>34.845125000000003</v>
      </c>
      <c r="I496" s="5"/>
      <c r="J496" s="17">
        <v>1029.3792000000001</v>
      </c>
      <c r="K496" s="18">
        <v>33.719700000000003</v>
      </c>
      <c r="L496" s="18">
        <v>38.9129</v>
      </c>
      <c r="M496" s="18">
        <v>41.381799999999998</v>
      </c>
      <c r="N496" s="18">
        <v>59.429499999999997</v>
      </c>
      <c r="O496" s="18">
        <f t="shared" si="15"/>
        <v>35.326612500000003</v>
      </c>
      <c r="P496" s="7"/>
      <c r="Q496" s="10"/>
      <c r="R496" s="11"/>
      <c r="S496" s="11"/>
      <c r="T496" s="26"/>
      <c r="U496" s="28">
        <f t="shared" si="16"/>
        <v>1.6519187862561353</v>
      </c>
    </row>
    <row r="497" spans="2:21" hidden="1" x14ac:dyDescent="0.25">
      <c r="B497" s="9"/>
      <c r="C497" s="17">
        <v>617.62</v>
      </c>
      <c r="D497" s="18">
        <v>31.968</v>
      </c>
      <c r="E497" s="18">
        <v>37.036000000000001</v>
      </c>
      <c r="F497" s="18">
        <v>39.881</v>
      </c>
      <c r="G497" s="18">
        <v>24.44</v>
      </c>
      <c r="H497" s="18">
        <f t="shared" si="14"/>
        <v>33.590625000000003</v>
      </c>
      <c r="I497" s="5"/>
      <c r="J497" s="17">
        <v>609.82320000000004</v>
      </c>
      <c r="K497" s="18">
        <v>32.249099999999999</v>
      </c>
      <c r="L497" s="18">
        <v>37.817700000000002</v>
      </c>
      <c r="M497" s="18">
        <v>40.392400000000002</v>
      </c>
      <c r="N497" s="18">
        <v>77.851299999999995</v>
      </c>
      <c r="O497" s="18">
        <f t="shared" si="15"/>
        <v>33.9630875</v>
      </c>
      <c r="P497" s="7"/>
      <c r="Q497" s="10"/>
      <c r="R497" s="11"/>
      <c r="S497" s="11"/>
      <c r="T497" s="26"/>
      <c r="U497" s="28">
        <f t="shared" si="16"/>
        <v>2.1854050736497541</v>
      </c>
    </row>
    <row r="498" spans="2:21" ht="16.5" hidden="1" thickBot="1" x14ac:dyDescent="0.3">
      <c r="B498" s="12"/>
      <c r="C498" s="19">
        <v>309.17</v>
      </c>
      <c r="D498" s="20">
        <v>30.021999999999998</v>
      </c>
      <c r="E498" s="20">
        <v>36.017000000000003</v>
      </c>
      <c r="F498" s="20">
        <v>38.93</v>
      </c>
      <c r="G498" s="20">
        <v>27.57</v>
      </c>
      <c r="H498" s="20">
        <f t="shared" si="14"/>
        <v>31.884875000000001</v>
      </c>
      <c r="I498" s="5"/>
      <c r="J498" s="19">
        <v>292.37040000000002</v>
      </c>
      <c r="K498" s="20">
        <v>30.056000000000001</v>
      </c>
      <c r="L498" s="20">
        <v>36.573</v>
      </c>
      <c r="M498" s="20">
        <v>39.379199999999997</v>
      </c>
      <c r="N498" s="20">
        <v>118.6709</v>
      </c>
      <c r="O498" s="20">
        <f t="shared" si="15"/>
        <v>32.036025000000002</v>
      </c>
      <c r="P498" s="7"/>
      <c r="Q498" s="13"/>
      <c r="R498" s="14"/>
      <c r="S498" s="14"/>
      <c r="T498" s="27"/>
      <c r="U498" s="28">
        <f t="shared" si="16"/>
        <v>3.3043489299963729</v>
      </c>
    </row>
    <row r="499" spans="2:21" hidden="1" x14ac:dyDescent="0.25">
      <c r="B499" s="6" t="s">
        <v>89</v>
      </c>
      <c r="C499" s="15">
        <v>1627.83</v>
      </c>
      <c r="D499" s="16">
        <v>37.100999999999999</v>
      </c>
      <c r="E499" s="16">
        <v>42.343000000000004</v>
      </c>
      <c r="F499" s="16">
        <v>42.076000000000001</v>
      </c>
      <c r="G499" s="16">
        <v>14.92</v>
      </c>
      <c r="H499" s="16">
        <f t="shared" ref="H499:H518" si="17">(6*D499+E499+F499)/8</f>
        <v>38.378125000000004</v>
      </c>
      <c r="I499" s="5"/>
      <c r="J499" s="15">
        <v>1541.0527999999999</v>
      </c>
      <c r="K499" s="16">
        <v>36.8872</v>
      </c>
      <c r="L499" s="16">
        <v>42.278500000000001</v>
      </c>
      <c r="M499" s="16">
        <v>42.130099999999999</v>
      </c>
      <c r="N499" s="16">
        <v>40.730400000000003</v>
      </c>
      <c r="O499" s="16">
        <f t="shared" ref="O499:O518" si="18">(6*K499+L499+M499)/8</f>
        <v>38.216475000000003</v>
      </c>
      <c r="P499" s="7"/>
      <c r="Q499" s="8">
        <f>bdrate(C499:C502,D499:D502,J499:J502,K499:K502)</f>
        <v>-2.457081982028253E-2</v>
      </c>
      <c r="R499" s="8">
        <f>bdrate(C499:C502,E499:E502,J499:J502,L499:L502)</f>
        <v>-8.7952720844541421E-2</v>
      </c>
      <c r="S499" s="8">
        <f>bdrate(C499:C502,F499:F502,J499:J502,M499:M502)</f>
        <v>-0.15700405698607711</v>
      </c>
      <c r="T499" s="25">
        <f>bdrate(C499:C502,H499:H502,J499:J502,O499:O502)</f>
        <v>-5.0185845605061452E-2</v>
      </c>
      <c r="U499" s="28">
        <f t="shared" si="16"/>
        <v>1.7299195710455766</v>
      </c>
    </row>
    <row r="500" spans="2:21" hidden="1" x14ac:dyDescent="0.25">
      <c r="B500" s="9"/>
      <c r="C500" s="17">
        <v>1095.8</v>
      </c>
      <c r="D500" s="18">
        <v>35.908000000000001</v>
      </c>
      <c r="E500" s="18">
        <v>41.561999999999998</v>
      </c>
      <c r="F500" s="18">
        <v>40.822000000000003</v>
      </c>
      <c r="G500" s="18">
        <v>16.46</v>
      </c>
      <c r="H500" s="18">
        <f t="shared" si="17"/>
        <v>37.228999999999999</v>
      </c>
      <c r="I500" s="5"/>
      <c r="J500" s="17">
        <v>1026.9983999999999</v>
      </c>
      <c r="K500" s="18">
        <v>35.745800000000003</v>
      </c>
      <c r="L500" s="18">
        <v>41.546500000000002</v>
      </c>
      <c r="M500" s="18">
        <v>40.9863</v>
      </c>
      <c r="N500" s="18">
        <v>49.693600000000004</v>
      </c>
      <c r="O500" s="18">
        <f t="shared" si="18"/>
        <v>37.125950000000003</v>
      </c>
      <c r="P500" s="7"/>
      <c r="Q500" s="10"/>
      <c r="R500" s="11"/>
      <c r="S500" s="11"/>
      <c r="T500" s="26"/>
      <c r="U500" s="28">
        <f t="shared" si="16"/>
        <v>2.019052247873633</v>
      </c>
    </row>
    <row r="501" spans="2:21" hidden="1" x14ac:dyDescent="0.25">
      <c r="B501" s="9"/>
      <c r="C501" s="17">
        <v>660.25</v>
      </c>
      <c r="D501" s="18">
        <v>34.314</v>
      </c>
      <c r="E501" s="18">
        <v>40.49</v>
      </c>
      <c r="F501" s="18">
        <v>39.180999999999997</v>
      </c>
      <c r="G501" s="18">
        <v>18.63</v>
      </c>
      <c r="H501" s="18">
        <f t="shared" si="17"/>
        <v>35.694375000000001</v>
      </c>
      <c r="I501" s="5"/>
      <c r="J501" s="17">
        <v>608.65039999999999</v>
      </c>
      <c r="K501" s="18">
        <v>34.1631</v>
      </c>
      <c r="L501" s="18">
        <v>40.514699999999998</v>
      </c>
      <c r="M501" s="18">
        <v>39.517000000000003</v>
      </c>
      <c r="N501" s="18">
        <v>66.986699999999999</v>
      </c>
      <c r="O501" s="18">
        <f t="shared" si="18"/>
        <v>35.626287500000004</v>
      </c>
      <c r="P501" s="7"/>
      <c r="Q501" s="10"/>
      <c r="R501" s="11"/>
      <c r="S501" s="11"/>
      <c r="T501" s="26"/>
      <c r="U501" s="28">
        <f t="shared" si="16"/>
        <v>2.5956360708534625</v>
      </c>
    </row>
    <row r="502" spans="2:21" ht="16.5" hidden="1" thickBot="1" x14ac:dyDescent="0.3">
      <c r="B502" s="12"/>
      <c r="C502" s="19">
        <v>332.05</v>
      </c>
      <c r="D502" s="20">
        <v>32.15</v>
      </c>
      <c r="E502" s="20">
        <v>38.698999999999998</v>
      </c>
      <c r="F502" s="20">
        <v>36.787999999999997</v>
      </c>
      <c r="G502" s="20">
        <v>21.7</v>
      </c>
      <c r="H502" s="20">
        <f t="shared" si="17"/>
        <v>33.548375</v>
      </c>
      <c r="I502" s="5"/>
      <c r="J502" s="19">
        <v>301.64479999999998</v>
      </c>
      <c r="K502" s="20">
        <v>31.986599999999999</v>
      </c>
      <c r="L502" s="20">
        <v>38.897599999999997</v>
      </c>
      <c r="M502" s="20">
        <v>37.387799999999999</v>
      </c>
      <c r="N502" s="20">
        <v>93.764700000000005</v>
      </c>
      <c r="O502" s="20">
        <f t="shared" si="18"/>
        <v>33.525625000000005</v>
      </c>
      <c r="P502" s="7"/>
      <c r="Q502" s="13"/>
      <c r="R502" s="14"/>
      <c r="S502" s="14"/>
      <c r="T502" s="27"/>
      <c r="U502" s="28">
        <f t="shared" si="16"/>
        <v>3.3209539170506917</v>
      </c>
    </row>
    <row r="503" spans="2:21" hidden="1" x14ac:dyDescent="0.25">
      <c r="B503" s="6" t="s">
        <v>90</v>
      </c>
      <c r="C503" s="29">
        <v>1557.11</v>
      </c>
      <c r="D503" s="30">
        <v>47.618000000000002</v>
      </c>
      <c r="E503" s="30">
        <v>52.219000000000001</v>
      </c>
      <c r="F503" s="30">
        <v>52.451000000000001</v>
      </c>
      <c r="G503" s="16">
        <v>16.850000000000001</v>
      </c>
      <c r="H503" s="16">
        <f t="shared" si="17"/>
        <v>48.797250000000005</v>
      </c>
      <c r="I503" s="5"/>
      <c r="J503" s="29">
        <v>1540.3815</v>
      </c>
      <c r="K503" s="30">
        <v>47.559699999999999</v>
      </c>
      <c r="L503" s="30">
        <v>52.296799999999998</v>
      </c>
      <c r="M503" s="30">
        <v>52.482399999999998</v>
      </c>
      <c r="N503" s="16">
        <v>34.940100000000001</v>
      </c>
      <c r="O503" s="16">
        <f t="shared" si="18"/>
        <v>48.767175000000002</v>
      </c>
      <c r="P503" s="7"/>
      <c r="Q503" s="8">
        <f>bdrate(C503:C506,D503:D506,J503:J506,K503:K506)</f>
        <v>-5.4089784466708646E-2</v>
      </c>
      <c r="R503" s="8">
        <f>bdrate(C503:C506,E503:E506,J503:J506,L503:L506)</f>
        <v>-0.14952665016264366</v>
      </c>
      <c r="S503" s="8">
        <f>bdrate(C503:C506,F503:F506,J503:J506,M503:M506)</f>
        <v>-0.1310854421843497</v>
      </c>
      <c r="T503" s="25">
        <f>bdrate(C503:C506,H503:H506,J503:J506,O503:O506)</f>
        <v>-7.0772128436697446E-2</v>
      </c>
      <c r="U503" s="28">
        <f t="shared" si="16"/>
        <v>1.0735964391691393</v>
      </c>
    </row>
    <row r="504" spans="2:21" hidden="1" x14ac:dyDescent="0.25">
      <c r="B504" s="9"/>
      <c r="C504" s="31">
        <v>1033.82</v>
      </c>
      <c r="D504" s="32">
        <v>46.384999999999998</v>
      </c>
      <c r="E504" s="32">
        <v>51.365000000000002</v>
      </c>
      <c r="F504" s="32">
        <v>51.543999999999997</v>
      </c>
      <c r="G504" s="18">
        <v>18.920000000000002</v>
      </c>
      <c r="H504" s="18">
        <f t="shared" si="17"/>
        <v>47.652374999999999</v>
      </c>
      <c r="I504" s="5"/>
      <c r="J504" s="31">
        <v>1027.4743000000001</v>
      </c>
      <c r="K504" s="32">
        <v>46.497900000000001</v>
      </c>
      <c r="L504" s="32">
        <v>51.622799999999998</v>
      </c>
      <c r="M504" s="32">
        <v>51.750999999999998</v>
      </c>
      <c r="N504" s="18">
        <v>42.932899999999997</v>
      </c>
      <c r="O504" s="18">
        <f t="shared" si="18"/>
        <v>47.795149999999992</v>
      </c>
      <c r="P504" s="7"/>
      <c r="Q504" s="10"/>
      <c r="R504" s="11"/>
      <c r="S504" s="11"/>
      <c r="T504" s="26"/>
      <c r="U504" s="28">
        <f t="shared" si="16"/>
        <v>1.2691807610993653</v>
      </c>
    </row>
    <row r="505" spans="2:21" hidden="1" x14ac:dyDescent="0.25">
      <c r="B505" s="9"/>
      <c r="C505" s="31">
        <v>612.37</v>
      </c>
      <c r="D505" s="32">
        <v>44.694000000000003</v>
      </c>
      <c r="E505" s="32">
        <v>50.234999999999999</v>
      </c>
      <c r="F505" s="32">
        <v>50.29</v>
      </c>
      <c r="G505" s="18">
        <v>21.81</v>
      </c>
      <c r="H505" s="18">
        <f t="shared" si="17"/>
        <v>46.086125000000003</v>
      </c>
      <c r="I505" s="5"/>
      <c r="J505" s="31">
        <v>620.53710000000001</v>
      </c>
      <c r="K505" s="32">
        <v>44.958500000000001</v>
      </c>
      <c r="L505" s="32">
        <v>50.662199999999999</v>
      </c>
      <c r="M505" s="32">
        <v>50.720700000000001</v>
      </c>
      <c r="N505" s="18">
        <v>56.1312</v>
      </c>
      <c r="O505" s="18">
        <f t="shared" si="18"/>
        <v>46.391737499999998</v>
      </c>
      <c r="P505" s="7"/>
      <c r="Q505" s="10"/>
      <c r="R505" s="11"/>
      <c r="S505" s="11"/>
      <c r="T505" s="26"/>
      <c r="U505" s="28">
        <f t="shared" si="16"/>
        <v>1.5736451169188448</v>
      </c>
    </row>
    <row r="506" spans="2:21" ht="16.5" hidden="1" thickBot="1" x14ac:dyDescent="0.3">
      <c r="B506" s="12"/>
      <c r="C506" s="33">
        <v>299.25</v>
      </c>
      <c r="D506" s="34">
        <v>41.975999999999999</v>
      </c>
      <c r="E506" s="34">
        <v>48.277000000000001</v>
      </c>
      <c r="F506" s="34">
        <v>48.259</v>
      </c>
      <c r="G506" s="20">
        <v>25.66</v>
      </c>
      <c r="H506" s="20">
        <f t="shared" si="17"/>
        <v>43.548999999999999</v>
      </c>
      <c r="I506" s="5"/>
      <c r="J506" s="33">
        <v>302.15179999999998</v>
      </c>
      <c r="K506" s="34">
        <v>42.299100000000003</v>
      </c>
      <c r="L506" s="34">
        <v>48.871000000000002</v>
      </c>
      <c r="M506" s="34">
        <v>48.796199999999999</v>
      </c>
      <c r="N506" s="20">
        <v>80.091200000000001</v>
      </c>
      <c r="O506" s="20">
        <f t="shared" si="18"/>
        <v>43.932724999999998</v>
      </c>
      <c r="P506" s="7"/>
      <c r="Q506" s="13"/>
      <c r="R506" s="14"/>
      <c r="S506" s="14"/>
      <c r="T506" s="27"/>
      <c r="U506" s="28">
        <f t="shared" si="16"/>
        <v>2.1212470771628995</v>
      </c>
    </row>
    <row r="507" spans="2:21" hidden="1" x14ac:dyDescent="0.25">
      <c r="B507" s="6" t="s">
        <v>91</v>
      </c>
      <c r="C507" s="15">
        <v>2345.67</v>
      </c>
      <c r="D507" s="16">
        <v>43.936999999999998</v>
      </c>
      <c r="E507" s="16">
        <v>47.646999999999998</v>
      </c>
      <c r="F507" s="16">
        <v>49.820999999999998</v>
      </c>
      <c r="G507" s="16">
        <v>6.12</v>
      </c>
      <c r="H507" s="16">
        <f t="shared" si="17"/>
        <v>45.13624999999999</v>
      </c>
      <c r="I507" s="5"/>
      <c r="J507" s="15">
        <v>2438.0145000000002</v>
      </c>
      <c r="K507" s="16">
        <v>43.9587</v>
      </c>
      <c r="L507" s="16">
        <v>47.912399999999998</v>
      </c>
      <c r="M507" s="16">
        <v>49.861699999999999</v>
      </c>
      <c r="N507" s="16">
        <v>15.4755</v>
      </c>
      <c r="O507" s="16">
        <f t="shared" si="18"/>
        <v>45.190787499999999</v>
      </c>
      <c r="P507" s="7"/>
      <c r="Q507" s="8">
        <f>bdrate(C507:C510,D507:D510,J507:J510,K507:K510)</f>
        <v>2.8329074139252786E-3</v>
      </c>
      <c r="R507" s="8">
        <f>bdrate(C507:C510,E507:E510,J507:J510,L507:L510)</f>
        <v>-0.1541881053705253</v>
      </c>
      <c r="S507" s="8">
        <f>bdrate(C507:C510,F507:F510,J507:J510,M507:M510)</f>
        <v>-0.13998926054443539</v>
      </c>
      <c r="T507" s="25">
        <f>bdrate(C507:C510,H507:H510,J507:J510,O507:O510)</f>
        <v>-3.1081767229327983E-2</v>
      </c>
      <c r="U507" s="28">
        <f t="shared" si="16"/>
        <v>1.5286764705882352</v>
      </c>
    </row>
    <row r="508" spans="2:21" hidden="1" x14ac:dyDescent="0.25">
      <c r="B508" s="9"/>
      <c r="C508" s="17">
        <v>1566.87</v>
      </c>
      <c r="D508" s="18">
        <v>42.383000000000003</v>
      </c>
      <c r="E508" s="18">
        <v>46.268999999999998</v>
      </c>
      <c r="F508" s="18">
        <v>48.347999999999999</v>
      </c>
      <c r="G508" s="18">
        <v>6.78</v>
      </c>
      <c r="H508" s="18">
        <f t="shared" si="17"/>
        <v>43.614375000000003</v>
      </c>
      <c r="I508" s="5"/>
      <c r="J508" s="17">
        <v>1610.6945000000001</v>
      </c>
      <c r="K508" s="18">
        <v>42.4146</v>
      </c>
      <c r="L508" s="18">
        <v>46.627200000000002</v>
      </c>
      <c r="M508" s="18">
        <v>48.8337</v>
      </c>
      <c r="N508" s="18">
        <v>18.928100000000001</v>
      </c>
      <c r="O508" s="18">
        <f t="shared" si="18"/>
        <v>43.743562500000003</v>
      </c>
      <c r="P508" s="7"/>
      <c r="Q508" s="10"/>
      <c r="R508" s="11"/>
      <c r="S508" s="11"/>
      <c r="T508" s="26"/>
      <c r="U508" s="28">
        <f t="shared" si="16"/>
        <v>1.7917551622418877</v>
      </c>
    </row>
    <row r="509" spans="2:21" hidden="1" x14ac:dyDescent="0.25">
      <c r="B509" s="9"/>
      <c r="C509" s="17">
        <v>980.62</v>
      </c>
      <c r="D509" s="18">
        <v>40.493000000000002</v>
      </c>
      <c r="E509" s="18">
        <v>44.819000000000003</v>
      </c>
      <c r="F509" s="18">
        <v>46.970999999999997</v>
      </c>
      <c r="G509" s="18">
        <v>7.68</v>
      </c>
      <c r="H509" s="18">
        <f t="shared" si="17"/>
        <v>41.843500000000006</v>
      </c>
      <c r="I509" s="5"/>
      <c r="J509" s="17">
        <v>1000.0679</v>
      </c>
      <c r="K509" s="18">
        <v>40.602200000000003</v>
      </c>
      <c r="L509" s="18">
        <v>45.571199999999997</v>
      </c>
      <c r="M509" s="18">
        <v>47.567100000000003</v>
      </c>
      <c r="N509" s="18">
        <v>23.279900000000001</v>
      </c>
      <c r="O509" s="18">
        <f t="shared" si="18"/>
        <v>42.093937499999996</v>
      </c>
      <c r="P509" s="7"/>
      <c r="Q509" s="10"/>
      <c r="R509" s="11"/>
      <c r="S509" s="11"/>
      <c r="T509" s="26"/>
      <c r="U509" s="28">
        <f t="shared" si="16"/>
        <v>2.0312369791666671</v>
      </c>
    </row>
    <row r="510" spans="2:21" ht="16.5" hidden="1" thickBot="1" x14ac:dyDescent="0.3">
      <c r="B510" s="12"/>
      <c r="C510" s="19">
        <v>588.57000000000005</v>
      </c>
      <c r="D510" s="20">
        <v>38.414999999999999</v>
      </c>
      <c r="E510" s="20">
        <v>42.975999999999999</v>
      </c>
      <c r="F510" s="20">
        <v>44.939</v>
      </c>
      <c r="G510" s="20">
        <v>8.7899999999999991</v>
      </c>
      <c r="H510" s="20">
        <f t="shared" si="17"/>
        <v>39.800625000000004</v>
      </c>
      <c r="I510" s="5"/>
      <c r="J510" s="19">
        <v>597.51149999999996</v>
      </c>
      <c r="K510" s="20">
        <v>38.592300000000002</v>
      </c>
      <c r="L510" s="20">
        <v>44.054900000000004</v>
      </c>
      <c r="M510" s="20">
        <v>46.1267</v>
      </c>
      <c r="N510" s="20">
        <v>29.648399999999999</v>
      </c>
      <c r="O510" s="20">
        <f t="shared" si="18"/>
        <v>40.216925000000003</v>
      </c>
      <c r="P510" s="7"/>
      <c r="Q510" s="13"/>
      <c r="R510" s="14"/>
      <c r="S510" s="14"/>
      <c r="T510" s="27"/>
      <c r="U510" s="28">
        <f t="shared" si="16"/>
        <v>2.3729692832764506</v>
      </c>
    </row>
    <row r="511" spans="2:21" hidden="1" x14ac:dyDescent="0.25">
      <c r="B511" s="6" t="s">
        <v>92</v>
      </c>
      <c r="C511" s="15">
        <v>2235.1</v>
      </c>
      <c r="D511" s="16">
        <v>39.399000000000001</v>
      </c>
      <c r="E511" s="16">
        <v>41.426000000000002</v>
      </c>
      <c r="F511" s="16">
        <v>42.936</v>
      </c>
      <c r="G511" s="16">
        <v>6.87</v>
      </c>
      <c r="H511" s="16">
        <f t="shared" si="17"/>
        <v>40.094499999999996</v>
      </c>
      <c r="I511" s="5"/>
      <c r="J511" s="15">
        <v>2471.1163999999999</v>
      </c>
      <c r="K511" s="16">
        <v>39.957500000000003</v>
      </c>
      <c r="L511" s="16">
        <v>41.974200000000003</v>
      </c>
      <c r="M511" s="16">
        <v>43.564900000000002</v>
      </c>
      <c r="N511" s="16">
        <v>16.708100000000002</v>
      </c>
      <c r="O511" s="16">
        <f t="shared" si="18"/>
        <v>40.660512500000003</v>
      </c>
      <c r="P511" s="7"/>
      <c r="Q511" s="8">
        <f>bdrate(C511:C514,D511:D514,J511:J514,K511:K514)</f>
        <v>-0.39397736846132803</v>
      </c>
      <c r="R511" s="8">
        <f>bdrate(C511:C514,E511:E514,J511:J514,L511:L514)</f>
        <v>-0.56629994360619418</v>
      </c>
      <c r="S511" s="8">
        <f>bdrate(C511:C514,F511:F514,J511:J514,M511:M514)</f>
        <v>-0.60335654684996365</v>
      </c>
      <c r="T511" s="25">
        <f>bdrate(C511:C514,H511:H514,J511:J514,O511:O514)</f>
        <v>-0.42798995634641945</v>
      </c>
      <c r="U511" s="28">
        <f t="shared" si="16"/>
        <v>1.4320378457059681</v>
      </c>
    </row>
    <row r="512" spans="2:21" hidden="1" x14ac:dyDescent="0.25">
      <c r="B512" s="9"/>
      <c r="C512" s="17">
        <v>1488.33</v>
      </c>
      <c r="D512" s="18">
        <v>38.642000000000003</v>
      </c>
      <c r="E512" s="18">
        <v>40.99</v>
      </c>
      <c r="F512" s="18">
        <v>42.533999999999999</v>
      </c>
      <c r="G512" s="18">
        <v>7.87</v>
      </c>
      <c r="H512" s="18">
        <f t="shared" si="17"/>
        <v>39.422000000000004</v>
      </c>
      <c r="I512" s="5"/>
      <c r="J512" s="17">
        <v>1621.1582000000001</v>
      </c>
      <c r="K512" s="18">
        <v>39.442100000000003</v>
      </c>
      <c r="L512" s="18">
        <v>41.706899999999997</v>
      </c>
      <c r="M512" s="18">
        <v>43.310499999999998</v>
      </c>
      <c r="N512" s="18">
        <v>20.9238</v>
      </c>
      <c r="O512" s="18">
        <f t="shared" si="18"/>
        <v>40.208750000000002</v>
      </c>
      <c r="P512" s="7"/>
      <c r="Q512" s="10"/>
      <c r="R512" s="11"/>
      <c r="S512" s="11"/>
      <c r="T512" s="26"/>
      <c r="U512" s="28">
        <f t="shared" si="16"/>
        <v>1.6586785260482844</v>
      </c>
    </row>
    <row r="513" spans="2:21" hidden="1" x14ac:dyDescent="0.25">
      <c r="B513" s="9"/>
      <c r="C513" s="17">
        <v>938.29</v>
      </c>
      <c r="D513" s="18">
        <v>37.701999999999998</v>
      </c>
      <c r="E513" s="18">
        <v>40.497</v>
      </c>
      <c r="F513" s="18">
        <v>41.966000000000001</v>
      </c>
      <c r="G513" s="18">
        <v>8.8000000000000007</v>
      </c>
      <c r="H513" s="18">
        <f t="shared" si="17"/>
        <v>38.584375000000001</v>
      </c>
      <c r="I513" s="5"/>
      <c r="J513" s="17">
        <v>970.59370000000001</v>
      </c>
      <c r="K513" s="18">
        <v>38.763599999999997</v>
      </c>
      <c r="L513" s="18">
        <v>41.354799999999997</v>
      </c>
      <c r="M513" s="18">
        <v>42.968299999999999</v>
      </c>
      <c r="N513" s="18">
        <v>25.585599999999999</v>
      </c>
      <c r="O513" s="18">
        <f t="shared" si="18"/>
        <v>39.613087499999999</v>
      </c>
      <c r="P513" s="7"/>
      <c r="Q513" s="10"/>
      <c r="R513" s="11"/>
      <c r="S513" s="11"/>
      <c r="T513" s="26"/>
      <c r="U513" s="28">
        <f t="shared" si="16"/>
        <v>1.9074545454545451</v>
      </c>
    </row>
    <row r="514" spans="2:21" ht="16.5" hidden="1" thickBot="1" x14ac:dyDescent="0.3">
      <c r="B514" s="12"/>
      <c r="C514" s="19">
        <v>573.09</v>
      </c>
      <c r="D514" s="20">
        <v>36.591000000000001</v>
      </c>
      <c r="E514" s="20">
        <v>39.901000000000003</v>
      </c>
      <c r="F514" s="20">
        <v>41.329000000000001</v>
      </c>
      <c r="G514" s="20">
        <v>9.8699999999999992</v>
      </c>
      <c r="H514" s="20">
        <f t="shared" si="17"/>
        <v>37.597000000000001</v>
      </c>
      <c r="I514" s="5"/>
      <c r="J514" s="19">
        <v>556.52650000000006</v>
      </c>
      <c r="K514" s="20">
        <v>37.878</v>
      </c>
      <c r="L514" s="20">
        <v>40.9176</v>
      </c>
      <c r="M514" s="20">
        <v>42.5154</v>
      </c>
      <c r="N514" s="20">
        <v>35.561399999999999</v>
      </c>
      <c r="O514" s="20">
        <f t="shared" si="18"/>
        <v>38.837625000000003</v>
      </c>
      <c r="P514" s="7"/>
      <c r="Q514" s="13"/>
      <c r="R514" s="14"/>
      <c r="S514" s="14"/>
      <c r="T514" s="27"/>
      <c r="U514" s="28">
        <f t="shared" si="16"/>
        <v>2.6029787234042558</v>
      </c>
    </row>
    <row r="515" spans="2:21" hidden="1" x14ac:dyDescent="0.25">
      <c r="B515" s="6" t="s">
        <v>93</v>
      </c>
      <c r="C515" s="15">
        <v>2268.56</v>
      </c>
      <c r="D515" s="16">
        <v>35.530999999999999</v>
      </c>
      <c r="E515" s="16">
        <v>39.628</v>
      </c>
      <c r="F515" s="16">
        <v>40.847000000000001</v>
      </c>
      <c r="G515" s="16">
        <v>8.5</v>
      </c>
      <c r="H515" s="16">
        <f t="shared" si="17"/>
        <v>36.707624999999993</v>
      </c>
      <c r="I515" s="5"/>
      <c r="J515" s="15">
        <v>2455.2336</v>
      </c>
      <c r="K515" s="16">
        <v>36.370899999999999</v>
      </c>
      <c r="L515" s="16">
        <v>40.775100000000002</v>
      </c>
      <c r="M515" s="16">
        <v>41.952100000000002</v>
      </c>
      <c r="N515" s="16">
        <v>17.8691</v>
      </c>
      <c r="O515" s="16">
        <f t="shared" si="18"/>
        <v>37.619074999999995</v>
      </c>
      <c r="P515" s="7"/>
      <c r="Q515" s="8">
        <f>bdrate(C515:C518,D515:D518,J515:J518,K515:K518)</f>
        <v>-0.18010708514151175</v>
      </c>
      <c r="R515" s="8">
        <f>bdrate(C515:C518,E515:E518,J515:J518,L515:L518)</f>
        <v>-0.35522382841196243</v>
      </c>
      <c r="S515" s="8">
        <f>bdrate(C515:C518,F515:F518,J515:J518,M515:M518)</f>
        <v>-0.3566960168347465</v>
      </c>
      <c r="T515" s="25">
        <f>bdrate(C515:C518,H515:H518,J515:J518,O515:O518)</f>
        <v>-0.21771303882679005</v>
      </c>
      <c r="U515" s="28">
        <f t="shared" si="16"/>
        <v>1.1022470588235294</v>
      </c>
    </row>
    <row r="516" spans="2:21" hidden="1" x14ac:dyDescent="0.25">
      <c r="B516" s="9"/>
      <c r="C516" s="17">
        <v>1514.83</v>
      </c>
      <c r="D516" s="18">
        <v>33.978000000000002</v>
      </c>
      <c r="E516" s="18">
        <v>38.438000000000002</v>
      </c>
      <c r="F516" s="18">
        <v>39.784999999999997</v>
      </c>
      <c r="G516" s="18">
        <v>9.2200000000000006</v>
      </c>
      <c r="H516" s="18">
        <f t="shared" si="17"/>
        <v>35.261375000000001</v>
      </c>
      <c r="I516" s="5"/>
      <c r="J516" s="17">
        <v>1637.3288</v>
      </c>
      <c r="K516" s="18">
        <v>34.931100000000001</v>
      </c>
      <c r="L516" s="18">
        <v>39.737699999999997</v>
      </c>
      <c r="M516" s="18">
        <v>40.985500000000002</v>
      </c>
      <c r="N516" s="18">
        <v>21.097200000000001</v>
      </c>
      <c r="O516" s="18">
        <f t="shared" si="18"/>
        <v>36.288724999999999</v>
      </c>
      <c r="P516" s="7"/>
      <c r="Q516" s="10"/>
      <c r="R516" s="11"/>
      <c r="S516" s="11"/>
      <c r="T516" s="26"/>
      <c r="U516" s="28">
        <f t="shared" si="16"/>
        <v>1.2881995661605206</v>
      </c>
    </row>
    <row r="517" spans="2:21" hidden="1" x14ac:dyDescent="0.25">
      <c r="B517" s="9"/>
      <c r="C517" s="17">
        <v>947.94</v>
      </c>
      <c r="D517" s="18">
        <v>32.301000000000002</v>
      </c>
      <c r="E517" s="18">
        <v>37.152000000000001</v>
      </c>
      <c r="F517" s="18">
        <v>38.600999999999999</v>
      </c>
      <c r="G517" s="18">
        <v>10.06</v>
      </c>
      <c r="H517" s="18">
        <f t="shared" si="17"/>
        <v>33.694875000000003</v>
      </c>
      <c r="I517" s="5"/>
      <c r="J517" s="17">
        <v>1024.2039</v>
      </c>
      <c r="K517" s="18">
        <v>33.295200000000001</v>
      </c>
      <c r="L517" s="18">
        <v>38.550699999999999</v>
      </c>
      <c r="M517" s="18">
        <v>39.884799999999998</v>
      </c>
      <c r="N517" s="18">
        <v>25.992100000000001</v>
      </c>
      <c r="O517" s="18">
        <f t="shared" si="18"/>
        <v>34.775837500000002</v>
      </c>
      <c r="P517" s="7"/>
      <c r="Q517" s="10"/>
      <c r="R517" s="11"/>
      <c r="S517" s="11"/>
      <c r="T517" s="26"/>
      <c r="U517" s="28">
        <f t="shared" si="16"/>
        <v>1.5837077534791253</v>
      </c>
    </row>
    <row r="518" spans="2:21" ht="16.5" hidden="1" thickBot="1" x14ac:dyDescent="0.3">
      <c r="B518" s="12"/>
      <c r="C518" s="19">
        <v>568.45000000000005</v>
      </c>
      <c r="D518" s="20">
        <v>30.678000000000001</v>
      </c>
      <c r="E518" s="20">
        <v>35.915999999999997</v>
      </c>
      <c r="F518" s="20">
        <v>37.454999999999998</v>
      </c>
      <c r="G518" s="20">
        <v>10.95</v>
      </c>
      <c r="H518" s="20">
        <f t="shared" si="17"/>
        <v>32.179875000000003</v>
      </c>
      <c r="I518" s="5"/>
      <c r="J518" s="19">
        <v>613.09699999999998</v>
      </c>
      <c r="K518" s="20">
        <v>31.61</v>
      </c>
      <c r="L518" s="20">
        <v>37.377899999999997</v>
      </c>
      <c r="M518" s="20">
        <v>38.807699999999997</v>
      </c>
      <c r="N518" s="20">
        <v>33.335599999999999</v>
      </c>
      <c r="O518" s="20">
        <f t="shared" si="18"/>
        <v>33.230699999999999</v>
      </c>
      <c r="P518" s="7"/>
      <c r="Q518" s="13"/>
      <c r="R518" s="14"/>
      <c r="S518" s="14"/>
      <c r="T518" s="27"/>
      <c r="U518" s="28">
        <f t="shared" si="16"/>
        <v>2.0443470319634707</v>
      </c>
    </row>
    <row r="519" spans="2:21" ht="16.5" thickBot="1" x14ac:dyDescent="0.3">
      <c r="B519" s="22" t="s">
        <v>22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1">
        <f>AVERAGE(Q267:Q338)</f>
        <v>-0.11112631035015468</v>
      </c>
      <c r="R519" s="21">
        <f t="shared" ref="R519:T519" si="19">AVERAGE(R267:R338)</f>
        <v>-0.33553399691787139</v>
      </c>
      <c r="S519" s="21">
        <f t="shared" si="19"/>
        <v>-0.30290390103868048</v>
      </c>
      <c r="T519" s="21">
        <f t="shared" si="19"/>
        <v>-0.15400115734029338</v>
      </c>
      <c r="U519" s="21">
        <f>AVERAGE(U267:U338)</f>
        <v>1.6799735116920105</v>
      </c>
    </row>
  </sheetData>
  <mergeCells count="12">
    <mergeCell ref="B5:B6"/>
    <mergeCell ref="C5:U6"/>
    <mergeCell ref="C7:H7"/>
    <mergeCell ref="J7:O7"/>
    <mergeCell ref="Q7:S7"/>
    <mergeCell ref="U7:U8"/>
    <mergeCell ref="B263:B264"/>
    <mergeCell ref="C263:U264"/>
    <mergeCell ref="C265:H265"/>
    <mergeCell ref="J265:O265"/>
    <mergeCell ref="Q265:S265"/>
    <mergeCell ref="U265:U266"/>
  </mergeCells>
  <phoneticPr fontId="5" type="noConversion"/>
  <conditionalFormatting sqref="Q29:T32 Q37:T44 Q9:T20">
    <cfRule type="cellIs" dxfId="287" priority="289" operator="greaterThan">
      <formula>0.03</formula>
    </cfRule>
    <cfRule type="cellIs" dxfId="286" priority="290" stopIfTrue="1" operator="lessThan">
      <formula>-0.03</formula>
    </cfRule>
  </conditionalFormatting>
  <conditionalFormatting sqref="Q33:T36">
    <cfRule type="cellIs" dxfId="285" priority="287" operator="greaterThan">
      <formula>0.03</formula>
    </cfRule>
    <cfRule type="cellIs" dxfId="284" priority="288" stopIfTrue="1" operator="lessThan">
      <formula>-0.03</formula>
    </cfRule>
  </conditionalFormatting>
  <conditionalFormatting sqref="Q46:T48 Q62:T64">
    <cfRule type="cellIs" dxfId="283" priority="285" operator="greaterThan">
      <formula>0.03</formula>
    </cfRule>
    <cfRule type="cellIs" dxfId="282" priority="286" stopIfTrue="1" operator="lessThan">
      <formula>-0.03</formula>
    </cfRule>
  </conditionalFormatting>
  <conditionalFormatting sqref="Q50:T52 Q54:T56 Q58:T60">
    <cfRule type="cellIs" dxfId="281" priority="283" operator="greaterThan">
      <formula>0.03</formula>
    </cfRule>
    <cfRule type="cellIs" dxfId="280" priority="284" stopIfTrue="1" operator="lessThan">
      <formula>-0.03</formula>
    </cfRule>
  </conditionalFormatting>
  <conditionalFormatting sqref="Q70:T72 Q74:T76">
    <cfRule type="cellIs" dxfId="279" priority="281" operator="greaterThan">
      <formula>0.03</formula>
    </cfRule>
    <cfRule type="cellIs" dxfId="278" priority="282" stopIfTrue="1" operator="lessThan">
      <formula>-0.03</formula>
    </cfRule>
  </conditionalFormatting>
  <conditionalFormatting sqref="Q66:T68">
    <cfRule type="cellIs" dxfId="277" priority="279" operator="greaterThan">
      <formula>0.03</formula>
    </cfRule>
    <cfRule type="cellIs" dxfId="276" priority="280" stopIfTrue="1" operator="lessThan">
      <formula>-0.03</formula>
    </cfRule>
  </conditionalFormatting>
  <conditionalFormatting sqref="Q78:T80">
    <cfRule type="cellIs" dxfId="275" priority="277" operator="greaterThan">
      <formula>0.03</formula>
    </cfRule>
    <cfRule type="cellIs" dxfId="274" priority="278" stopIfTrue="1" operator="lessThan">
      <formula>-0.03</formula>
    </cfRule>
  </conditionalFormatting>
  <conditionalFormatting sqref="Q21:T28">
    <cfRule type="cellIs" dxfId="273" priority="259" operator="greaterThan">
      <formula>0.03</formula>
    </cfRule>
    <cfRule type="cellIs" dxfId="272" priority="260" stopIfTrue="1" operator="lessThan">
      <formula>-0.03</formula>
    </cfRule>
  </conditionalFormatting>
  <conditionalFormatting sqref="Q287:T290 Q295:T302 Q267:T278">
    <cfRule type="cellIs" dxfId="271" priority="255" operator="greaterThan">
      <formula>0.03</formula>
    </cfRule>
    <cfRule type="cellIs" dxfId="270" priority="256" stopIfTrue="1" operator="lessThan">
      <formula>-0.03</formula>
    </cfRule>
  </conditionalFormatting>
  <conditionalFormatting sqref="Q291:T294">
    <cfRule type="cellIs" dxfId="269" priority="253" operator="greaterThan">
      <formula>0.03</formula>
    </cfRule>
    <cfRule type="cellIs" dxfId="268" priority="254" stopIfTrue="1" operator="lessThan">
      <formula>-0.03</formula>
    </cfRule>
  </conditionalFormatting>
  <conditionalFormatting sqref="Q303:T306 Q319:T322">
    <cfRule type="cellIs" dxfId="267" priority="251" operator="greaterThan">
      <formula>0.03</formula>
    </cfRule>
    <cfRule type="cellIs" dxfId="266" priority="252" stopIfTrue="1" operator="lessThan">
      <formula>-0.03</formula>
    </cfRule>
  </conditionalFormatting>
  <conditionalFormatting sqref="Q307:T318">
    <cfRule type="cellIs" dxfId="265" priority="249" operator="greaterThan">
      <formula>0.03</formula>
    </cfRule>
    <cfRule type="cellIs" dxfId="264" priority="250" stopIfTrue="1" operator="lessThan">
      <formula>-0.03</formula>
    </cfRule>
  </conditionalFormatting>
  <conditionalFormatting sqref="Q327:T334">
    <cfRule type="cellIs" dxfId="263" priority="247" operator="greaterThan">
      <formula>0.03</formula>
    </cfRule>
    <cfRule type="cellIs" dxfId="262" priority="248" stopIfTrue="1" operator="lessThan">
      <formula>-0.03</formula>
    </cfRule>
  </conditionalFormatting>
  <conditionalFormatting sqref="Q323:T326">
    <cfRule type="cellIs" dxfId="261" priority="245" operator="greaterThan">
      <formula>0.03</formula>
    </cfRule>
    <cfRule type="cellIs" dxfId="260" priority="246" stopIfTrue="1" operator="lessThan">
      <formula>-0.03</formula>
    </cfRule>
  </conditionalFormatting>
  <conditionalFormatting sqref="Q335:T338">
    <cfRule type="cellIs" dxfId="259" priority="243" operator="greaterThan">
      <formula>0.03</formula>
    </cfRule>
    <cfRule type="cellIs" dxfId="258" priority="244" stopIfTrue="1" operator="lessThan">
      <formula>-0.03</formula>
    </cfRule>
  </conditionalFormatting>
  <conditionalFormatting sqref="Q279:T286">
    <cfRule type="cellIs" dxfId="257" priority="241" operator="greaterThan">
      <formula>0.03</formula>
    </cfRule>
    <cfRule type="cellIs" dxfId="256" priority="242" stopIfTrue="1" operator="lessThan">
      <formula>-0.03</formula>
    </cfRule>
  </conditionalFormatting>
  <conditionalFormatting sqref="Q45:T45">
    <cfRule type="cellIs" dxfId="255" priority="239" operator="greaterThan">
      <formula>0.03</formula>
    </cfRule>
    <cfRule type="cellIs" dxfId="254" priority="240" stopIfTrue="1" operator="lessThan">
      <formula>-0.03</formula>
    </cfRule>
  </conditionalFormatting>
  <conditionalFormatting sqref="Q49:T49">
    <cfRule type="cellIs" dxfId="253" priority="237" operator="greaterThan">
      <formula>0.03</formula>
    </cfRule>
    <cfRule type="cellIs" dxfId="252" priority="238" stopIfTrue="1" operator="lessThan">
      <formula>-0.03</formula>
    </cfRule>
  </conditionalFormatting>
  <conditionalFormatting sqref="Q53:T53">
    <cfRule type="cellIs" dxfId="251" priority="235" operator="greaterThan">
      <formula>0.03</formula>
    </cfRule>
    <cfRule type="cellIs" dxfId="250" priority="236" stopIfTrue="1" operator="lessThan">
      <formula>-0.03</formula>
    </cfRule>
  </conditionalFormatting>
  <conditionalFormatting sqref="Q57:T57">
    <cfRule type="cellIs" dxfId="249" priority="233" operator="greaterThan">
      <formula>0.03</formula>
    </cfRule>
    <cfRule type="cellIs" dxfId="248" priority="234" stopIfTrue="1" operator="lessThan">
      <formula>-0.03</formula>
    </cfRule>
  </conditionalFormatting>
  <conditionalFormatting sqref="Q61:T61">
    <cfRule type="cellIs" dxfId="247" priority="231" operator="greaterThan">
      <formula>0.03</formula>
    </cfRule>
    <cfRule type="cellIs" dxfId="246" priority="232" stopIfTrue="1" operator="lessThan">
      <formula>-0.03</formula>
    </cfRule>
  </conditionalFormatting>
  <conditionalFormatting sqref="Q65:T65">
    <cfRule type="cellIs" dxfId="245" priority="229" operator="greaterThan">
      <formula>0.03</formula>
    </cfRule>
    <cfRule type="cellIs" dxfId="244" priority="230" stopIfTrue="1" operator="lessThan">
      <formula>-0.03</formula>
    </cfRule>
  </conditionalFormatting>
  <conditionalFormatting sqref="Q69:T69">
    <cfRule type="cellIs" dxfId="243" priority="227" operator="greaterThan">
      <formula>0.03</formula>
    </cfRule>
    <cfRule type="cellIs" dxfId="242" priority="228" stopIfTrue="1" operator="lessThan">
      <formula>-0.03</formula>
    </cfRule>
  </conditionalFormatting>
  <conditionalFormatting sqref="Q73:T73">
    <cfRule type="cellIs" dxfId="241" priority="225" operator="greaterThan">
      <formula>0.03</formula>
    </cfRule>
    <cfRule type="cellIs" dxfId="240" priority="226" stopIfTrue="1" operator="lessThan">
      <formula>-0.03</formula>
    </cfRule>
  </conditionalFormatting>
  <conditionalFormatting sqref="Q77:T77">
    <cfRule type="cellIs" dxfId="239" priority="223" operator="greaterThan">
      <formula>0.03</formula>
    </cfRule>
    <cfRule type="cellIs" dxfId="238" priority="224" stopIfTrue="1" operator="lessThan">
      <formula>-0.03</formula>
    </cfRule>
  </conditionalFormatting>
  <conditionalFormatting sqref="Q93:T96">
    <cfRule type="cellIs" dxfId="237" priority="221" operator="greaterThan">
      <formula>0.03</formula>
    </cfRule>
    <cfRule type="cellIs" dxfId="236" priority="222" stopIfTrue="1" operator="lessThan">
      <formula>-0.03</formula>
    </cfRule>
  </conditionalFormatting>
  <conditionalFormatting sqref="Q81:T92">
    <cfRule type="cellIs" dxfId="235" priority="219" operator="greaterThan">
      <formula>0.03</formula>
    </cfRule>
    <cfRule type="cellIs" dxfId="234" priority="220" stopIfTrue="1" operator="lessThan">
      <formula>-0.03</formula>
    </cfRule>
  </conditionalFormatting>
  <conditionalFormatting sqref="Q351:T354">
    <cfRule type="cellIs" dxfId="233" priority="213" operator="greaterThan">
      <formula>0.03</formula>
    </cfRule>
    <cfRule type="cellIs" dxfId="232" priority="214" stopIfTrue="1" operator="lessThan">
      <formula>-0.03</formula>
    </cfRule>
  </conditionalFormatting>
  <conditionalFormatting sqref="Q339:T350">
    <cfRule type="cellIs" dxfId="231" priority="211" operator="greaterThan">
      <formula>0.03</formula>
    </cfRule>
    <cfRule type="cellIs" dxfId="230" priority="212" stopIfTrue="1" operator="lessThan">
      <formula>-0.03</formula>
    </cfRule>
  </conditionalFormatting>
  <conditionalFormatting sqref="Q213:T216 Q221:T228 Q193:T204">
    <cfRule type="cellIs" dxfId="229" priority="209" operator="greaterThan">
      <formula>0.03</formula>
    </cfRule>
    <cfRule type="cellIs" dxfId="228" priority="210" stopIfTrue="1" operator="lessThan">
      <formula>-0.03</formula>
    </cfRule>
  </conditionalFormatting>
  <conditionalFormatting sqref="Q217:T220">
    <cfRule type="cellIs" dxfId="227" priority="207" operator="greaterThan">
      <formula>0.03</formula>
    </cfRule>
    <cfRule type="cellIs" dxfId="226" priority="208" stopIfTrue="1" operator="lessThan">
      <formula>-0.03</formula>
    </cfRule>
  </conditionalFormatting>
  <conditionalFormatting sqref="Q230:T232 Q246:T248">
    <cfRule type="cellIs" dxfId="225" priority="205" operator="greaterThan">
      <formula>0.03</formula>
    </cfRule>
    <cfRule type="cellIs" dxfId="224" priority="206" stopIfTrue="1" operator="lessThan">
      <formula>-0.03</formula>
    </cfRule>
  </conditionalFormatting>
  <conditionalFormatting sqref="Q234:T236 Q238:T240 Q242:T244">
    <cfRule type="cellIs" dxfId="223" priority="203" operator="greaterThan">
      <formula>0.03</formula>
    </cfRule>
    <cfRule type="cellIs" dxfId="222" priority="204" stopIfTrue="1" operator="lessThan">
      <formula>-0.03</formula>
    </cfRule>
  </conditionalFormatting>
  <conditionalFormatting sqref="Q254:T256 Q258:T260">
    <cfRule type="cellIs" dxfId="221" priority="201" operator="greaterThan">
      <formula>0.03</formula>
    </cfRule>
    <cfRule type="cellIs" dxfId="220" priority="202" stopIfTrue="1" operator="lessThan">
      <formula>-0.03</formula>
    </cfRule>
  </conditionalFormatting>
  <conditionalFormatting sqref="Q250:T252">
    <cfRule type="cellIs" dxfId="219" priority="199" operator="greaterThan">
      <formula>0.03</formula>
    </cfRule>
    <cfRule type="cellIs" dxfId="218" priority="200" stopIfTrue="1" operator="lessThan">
      <formula>-0.03</formula>
    </cfRule>
  </conditionalFormatting>
  <conditionalFormatting sqref="Q205:T212">
    <cfRule type="cellIs" dxfId="217" priority="197" operator="greaterThan">
      <formula>0.03</formula>
    </cfRule>
    <cfRule type="cellIs" dxfId="216" priority="198" stopIfTrue="1" operator="lessThan">
      <formula>-0.03</formula>
    </cfRule>
  </conditionalFormatting>
  <conditionalFormatting sqref="Q229:T229">
    <cfRule type="cellIs" dxfId="215" priority="195" operator="greaterThan">
      <formula>0.03</formula>
    </cfRule>
    <cfRule type="cellIs" dxfId="214" priority="196" stopIfTrue="1" operator="lessThan">
      <formula>-0.03</formula>
    </cfRule>
  </conditionalFormatting>
  <conditionalFormatting sqref="Q233:T233">
    <cfRule type="cellIs" dxfId="213" priority="193" operator="greaterThan">
      <formula>0.03</formula>
    </cfRule>
    <cfRule type="cellIs" dxfId="212" priority="194" stopIfTrue="1" operator="lessThan">
      <formula>-0.03</formula>
    </cfRule>
  </conditionalFormatting>
  <conditionalFormatting sqref="Q237:T237">
    <cfRule type="cellIs" dxfId="211" priority="191" operator="greaterThan">
      <formula>0.03</formula>
    </cfRule>
    <cfRule type="cellIs" dxfId="210" priority="192" stopIfTrue="1" operator="lessThan">
      <formula>-0.03</formula>
    </cfRule>
  </conditionalFormatting>
  <conditionalFormatting sqref="Q241:T241">
    <cfRule type="cellIs" dxfId="209" priority="189" operator="greaterThan">
      <formula>0.03</formula>
    </cfRule>
    <cfRule type="cellIs" dxfId="208" priority="190" stopIfTrue="1" operator="lessThan">
      <formula>-0.03</formula>
    </cfRule>
  </conditionalFormatting>
  <conditionalFormatting sqref="Q245:T245">
    <cfRule type="cellIs" dxfId="207" priority="187" operator="greaterThan">
      <formula>0.03</formula>
    </cfRule>
    <cfRule type="cellIs" dxfId="206" priority="188" stopIfTrue="1" operator="lessThan">
      <formula>-0.03</formula>
    </cfRule>
  </conditionalFormatting>
  <conditionalFormatting sqref="Q249:T249">
    <cfRule type="cellIs" dxfId="205" priority="185" operator="greaterThan">
      <formula>0.03</formula>
    </cfRule>
    <cfRule type="cellIs" dxfId="204" priority="186" stopIfTrue="1" operator="lessThan">
      <formula>-0.03</formula>
    </cfRule>
  </conditionalFormatting>
  <conditionalFormatting sqref="Q253:T253">
    <cfRule type="cellIs" dxfId="203" priority="183" operator="greaterThan">
      <formula>0.03</formula>
    </cfRule>
    <cfRule type="cellIs" dxfId="202" priority="184" stopIfTrue="1" operator="lessThan">
      <formula>-0.03</formula>
    </cfRule>
  </conditionalFormatting>
  <conditionalFormatting sqref="Q257:T257">
    <cfRule type="cellIs" dxfId="201" priority="181" operator="greaterThan">
      <formula>0.03</formula>
    </cfRule>
    <cfRule type="cellIs" dxfId="200" priority="182" stopIfTrue="1" operator="lessThan">
      <formula>-0.03</formula>
    </cfRule>
  </conditionalFormatting>
  <conditionalFormatting sqref="Q471:T474 Q479:T486 Q451:T462">
    <cfRule type="cellIs" dxfId="199" priority="149" operator="greaterThan">
      <formula>0.03</formula>
    </cfRule>
    <cfRule type="cellIs" dxfId="198" priority="150" stopIfTrue="1" operator="lessThan">
      <formula>-0.03</formula>
    </cfRule>
  </conditionalFormatting>
  <conditionalFormatting sqref="Q475:T478">
    <cfRule type="cellIs" dxfId="197" priority="147" operator="greaterThan">
      <formula>0.03</formula>
    </cfRule>
    <cfRule type="cellIs" dxfId="196" priority="148" stopIfTrue="1" operator="lessThan">
      <formula>-0.03</formula>
    </cfRule>
  </conditionalFormatting>
  <conditionalFormatting sqref="Q488:T490 Q504:T506">
    <cfRule type="cellIs" dxfId="195" priority="145" operator="greaterThan">
      <formula>0.03</formula>
    </cfRule>
    <cfRule type="cellIs" dxfId="194" priority="146" stopIfTrue="1" operator="lessThan">
      <formula>-0.03</formula>
    </cfRule>
  </conditionalFormatting>
  <conditionalFormatting sqref="Q492:T494 Q496:T498 Q500:T502">
    <cfRule type="cellIs" dxfId="193" priority="143" operator="greaterThan">
      <formula>0.03</formula>
    </cfRule>
    <cfRule type="cellIs" dxfId="192" priority="144" stopIfTrue="1" operator="lessThan">
      <formula>-0.03</formula>
    </cfRule>
  </conditionalFormatting>
  <conditionalFormatting sqref="Q512:T514 Q516:T518">
    <cfRule type="cellIs" dxfId="191" priority="141" operator="greaterThan">
      <formula>0.03</formula>
    </cfRule>
    <cfRule type="cellIs" dxfId="190" priority="142" stopIfTrue="1" operator="lessThan">
      <formula>-0.03</formula>
    </cfRule>
  </conditionalFormatting>
  <conditionalFormatting sqref="Q508:T510">
    <cfRule type="cellIs" dxfId="189" priority="139" operator="greaterThan">
      <formula>0.03</formula>
    </cfRule>
    <cfRule type="cellIs" dxfId="188" priority="140" stopIfTrue="1" operator="lessThan">
      <formula>-0.03</formula>
    </cfRule>
  </conditionalFormatting>
  <conditionalFormatting sqref="Q463:T470">
    <cfRule type="cellIs" dxfId="187" priority="137" operator="greaterThan">
      <formula>0.03</formula>
    </cfRule>
    <cfRule type="cellIs" dxfId="186" priority="138" stopIfTrue="1" operator="lessThan">
      <formula>-0.03</formula>
    </cfRule>
  </conditionalFormatting>
  <conditionalFormatting sqref="Q487:T487">
    <cfRule type="cellIs" dxfId="185" priority="135" operator="greaterThan">
      <formula>0.03</formula>
    </cfRule>
    <cfRule type="cellIs" dxfId="184" priority="136" stopIfTrue="1" operator="lessThan">
      <formula>-0.03</formula>
    </cfRule>
  </conditionalFormatting>
  <conditionalFormatting sqref="Q491:T491">
    <cfRule type="cellIs" dxfId="183" priority="133" operator="greaterThan">
      <formula>0.03</formula>
    </cfRule>
    <cfRule type="cellIs" dxfId="182" priority="134" stopIfTrue="1" operator="lessThan">
      <formula>-0.03</formula>
    </cfRule>
  </conditionalFormatting>
  <conditionalFormatting sqref="Q495:T495">
    <cfRule type="cellIs" dxfId="181" priority="131" operator="greaterThan">
      <formula>0.03</formula>
    </cfRule>
    <cfRule type="cellIs" dxfId="180" priority="132" stopIfTrue="1" operator="lessThan">
      <formula>-0.03</formula>
    </cfRule>
  </conditionalFormatting>
  <conditionalFormatting sqref="Q499:T499">
    <cfRule type="cellIs" dxfId="179" priority="129" operator="greaterThan">
      <formula>0.03</formula>
    </cfRule>
    <cfRule type="cellIs" dxfId="178" priority="130" stopIfTrue="1" operator="lessThan">
      <formula>-0.03</formula>
    </cfRule>
  </conditionalFormatting>
  <conditionalFormatting sqref="Q503:T503">
    <cfRule type="cellIs" dxfId="177" priority="127" operator="greaterThan">
      <formula>0.03</formula>
    </cfRule>
    <cfRule type="cellIs" dxfId="176" priority="128" stopIfTrue="1" operator="lessThan">
      <formula>-0.03</formula>
    </cfRule>
  </conditionalFormatting>
  <conditionalFormatting sqref="Q507:T507">
    <cfRule type="cellIs" dxfId="175" priority="125" operator="greaterThan">
      <formula>0.03</formula>
    </cfRule>
    <cfRule type="cellIs" dxfId="174" priority="126" stopIfTrue="1" operator="lessThan">
      <formula>-0.03</formula>
    </cfRule>
  </conditionalFormatting>
  <conditionalFormatting sqref="Q511:T511">
    <cfRule type="cellIs" dxfId="173" priority="123" operator="greaterThan">
      <formula>0.03</formula>
    </cfRule>
    <cfRule type="cellIs" dxfId="172" priority="124" stopIfTrue="1" operator="lessThan">
      <formula>-0.03</formula>
    </cfRule>
  </conditionalFormatting>
  <conditionalFormatting sqref="Q515:T515">
    <cfRule type="cellIs" dxfId="171" priority="121" operator="greaterThan">
      <formula>0.03</formula>
    </cfRule>
    <cfRule type="cellIs" dxfId="170" priority="122" stopIfTrue="1" operator="lessThan">
      <formula>-0.03</formula>
    </cfRule>
  </conditionalFormatting>
  <conditionalFormatting sqref="Q109:T112 Q117:T124 Q97:T100">
    <cfRule type="cellIs" dxfId="169" priority="119" operator="greaterThan">
      <formula>0.03</formula>
    </cfRule>
    <cfRule type="cellIs" dxfId="168" priority="120" stopIfTrue="1" operator="lessThan">
      <formula>-0.03</formula>
    </cfRule>
  </conditionalFormatting>
  <conditionalFormatting sqref="Q113:T116">
    <cfRule type="cellIs" dxfId="167" priority="117" operator="greaterThan">
      <formula>0.03</formula>
    </cfRule>
    <cfRule type="cellIs" dxfId="166" priority="118" stopIfTrue="1" operator="lessThan">
      <formula>-0.03</formula>
    </cfRule>
  </conditionalFormatting>
  <conditionalFormatting sqref="Q126:T128 Q142:T144">
    <cfRule type="cellIs" dxfId="165" priority="115" operator="greaterThan">
      <formula>0.03</formula>
    </cfRule>
    <cfRule type="cellIs" dxfId="164" priority="116" stopIfTrue="1" operator="lessThan">
      <formula>-0.03</formula>
    </cfRule>
  </conditionalFormatting>
  <conditionalFormatting sqref="Q130:T132 Q134:T136 Q138:T140">
    <cfRule type="cellIs" dxfId="163" priority="113" operator="greaterThan">
      <formula>0.03</formula>
    </cfRule>
    <cfRule type="cellIs" dxfId="162" priority="114" stopIfTrue="1" operator="lessThan">
      <formula>-0.03</formula>
    </cfRule>
  </conditionalFormatting>
  <conditionalFormatting sqref="Q101:T108">
    <cfRule type="cellIs" dxfId="161" priority="111" operator="greaterThan">
      <formula>0.03</formula>
    </cfRule>
    <cfRule type="cellIs" dxfId="160" priority="112" stopIfTrue="1" operator="lessThan">
      <formula>-0.03</formula>
    </cfRule>
  </conditionalFormatting>
  <conditionalFormatting sqref="Q125:T125">
    <cfRule type="cellIs" dxfId="159" priority="109" operator="greaterThan">
      <formula>0.03</formula>
    </cfRule>
    <cfRule type="cellIs" dxfId="158" priority="110" stopIfTrue="1" operator="lessThan">
      <formula>-0.03</formula>
    </cfRule>
  </conditionalFormatting>
  <conditionalFormatting sqref="Q129:T129">
    <cfRule type="cellIs" dxfId="157" priority="107" operator="greaterThan">
      <formula>0.03</formula>
    </cfRule>
    <cfRule type="cellIs" dxfId="156" priority="108" stopIfTrue="1" operator="lessThan">
      <formula>-0.03</formula>
    </cfRule>
  </conditionalFormatting>
  <conditionalFormatting sqref="Q133:T133">
    <cfRule type="cellIs" dxfId="155" priority="105" operator="greaterThan">
      <formula>0.03</formula>
    </cfRule>
    <cfRule type="cellIs" dxfId="154" priority="106" stopIfTrue="1" operator="lessThan">
      <formula>-0.03</formula>
    </cfRule>
  </conditionalFormatting>
  <conditionalFormatting sqref="Q137:T137">
    <cfRule type="cellIs" dxfId="153" priority="103" operator="greaterThan">
      <formula>0.03</formula>
    </cfRule>
    <cfRule type="cellIs" dxfId="152" priority="104" stopIfTrue="1" operator="lessThan">
      <formula>-0.03</formula>
    </cfRule>
  </conditionalFormatting>
  <conditionalFormatting sqref="Q141:T141">
    <cfRule type="cellIs" dxfId="151" priority="101" operator="greaterThan">
      <formula>0.03</formula>
    </cfRule>
    <cfRule type="cellIs" dxfId="150" priority="102" stopIfTrue="1" operator="lessThan">
      <formula>-0.03</formula>
    </cfRule>
  </conditionalFormatting>
  <conditionalFormatting sqref="Q157:T160 Q165:T172 Q145:T148">
    <cfRule type="cellIs" dxfId="149" priority="99" operator="greaterThan">
      <formula>0.03</formula>
    </cfRule>
    <cfRule type="cellIs" dxfId="148" priority="100" stopIfTrue="1" operator="lessThan">
      <formula>-0.03</formula>
    </cfRule>
  </conditionalFormatting>
  <conditionalFormatting sqref="Q161:T164">
    <cfRule type="cellIs" dxfId="147" priority="97" operator="greaterThan">
      <formula>0.03</formula>
    </cfRule>
    <cfRule type="cellIs" dxfId="146" priority="98" stopIfTrue="1" operator="lessThan">
      <formula>-0.03</formula>
    </cfRule>
  </conditionalFormatting>
  <conditionalFormatting sqref="Q174:T176 Q190:T192">
    <cfRule type="cellIs" dxfId="145" priority="95" operator="greaterThan">
      <formula>0.03</formula>
    </cfRule>
    <cfRule type="cellIs" dxfId="144" priority="96" stopIfTrue="1" operator="lessThan">
      <formula>-0.03</formula>
    </cfRule>
  </conditionalFormatting>
  <conditionalFormatting sqref="Q178:T180 Q182:T184 Q186:T188">
    <cfRule type="cellIs" dxfId="143" priority="93" operator="greaterThan">
      <formula>0.03</formula>
    </cfRule>
    <cfRule type="cellIs" dxfId="142" priority="94" stopIfTrue="1" operator="lessThan">
      <formula>-0.03</formula>
    </cfRule>
  </conditionalFormatting>
  <conditionalFormatting sqref="Q149:T156">
    <cfRule type="cellIs" dxfId="141" priority="91" operator="greaterThan">
      <formula>0.03</formula>
    </cfRule>
    <cfRule type="cellIs" dxfId="140" priority="92" stopIfTrue="1" operator="lessThan">
      <formula>-0.03</formula>
    </cfRule>
  </conditionalFormatting>
  <conditionalFormatting sqref="Q173:T173">
    <cfRule type="cellIs" dxfId="139" priority="89" operator="greaterThan">
      <formula>0.03</formula>
    </cfRule>
    <cfRule type="cellIs" dxfId="138" priority="90" stopIfTrue="1" operator="lessThan">
      <formula>-0.03</formula>
    </cfRule>
  </conditionalFormatting>
  <conditionalFormatting sqref="Q177:T177">
    <cfRule type="cellIs" dxfId="137" priority="87" operator="greaterThan">
      <formula>0.03</formula>
    </cfRule>
    <cfRule type="cellIs" dxfId="136" priority="88" stopIfTrue="1" operator="lessThan">
      <formula>-0.03</formula>
    </cfRule>
  </conditionalFormatting>
  <conditionalFormatting sqref="Q181:T181">
    <cfRule type="cellIs" dxfId="135" priority="85" operator="greaterThan">
      <formula>0.03</formula>
    </cfRule>
    <cfRule type="cellIs" dxfId="134" priority="86" stopIfTrue="1" operator="lessThan">
      <formula>-0.03</formula>
    </cfRule>
  </conditionalFormatting>
  <conditionalFormatting sqref="Q185:T185">
    <cfRule type="cellIs" dxfId="133" priority="83" operator="greaterThan">
      <formula>0.03</formula>
    </cfRule>
    <cfRule type="cellIs" dxfId="132" priority="84" stopIfTrue="1" operator="lessThan">
      <formula>-0.03</formula>
    </cfRule>
  </conditionalFormatting>
  <conditionalFormatting sqref="Q189:T189">
    <cfRule type="cellIs" dxfId="131" priority="81" operator="greaterThan">
      <formula>0.03</formula>
    </cfRule>
    <cfRule type="cellIs" dxfId="130" priority="82" stopIfTrue="1" operator="lessThan">
      <formula>-0.03</formula>
    </cfRule>
  </conditionalFormatting>
  <conditionalFormatting sqref="Q367:T370 Q375:T382 Q355:T358">
    <cfRule type="cellIs" dxfId="129" priority="39" operator="greaterThan">
      <formula>0.03</formula>
    </cfRule>
    <cfRule type="cellIs" dxfId="128" priority="40" stopIfTrue="1" operator="lessThan">
      <formula>-0.03</formula>
    </cfRule>
  </conditionalFormatting>
  <conditionalFormatting sqref="Q371:T374">
    <cfRule type="cellIs" dxfId="127" priority="37" operator="greaterThan">
      <formula>0.03</formula>
    </cfRule>
    <cfRule type="cellIs" dxfId="126" priority="38" stopIfTrue="1" operator="lessThan">
      <formula>-0.03</formula>
    </cfRule>
  </conditionalFormatting>
  <conditionalFormatting sqref="Q384:T386 Q400:T402">
    <cfRule type="cellIs" dxfId="125" priority="35" operator="greaterThan">
      <formula>0.03</formula>
    </cfRule>
    <cfRule type="cellIs" dxfId="124" priority="36" stopIfTrue="1" operator="lessThan">
      <formula>-0.03</formula>
    </cfRule>
  </conditionalFormatting>
  <conditionalFormatting sqref="Q388:T390 Q392:T394 Q396:T398">
    <cfRule type="cellIs" dxfId="123" priority="33" operator="greaterThan">
      <formula>0.03</formula>
    </cfRule>
    <cfRule type="cellIs" dxfId="122" priority="34" stopIfTrue="1" operator="lessThan">
      <formula>-0.03</formula>
    </cfRule>
  </conditionalFormatting>
  <conditionalFormatting sqref="Q359:T366">
    <cfRule type="cellIs" dxfId="121" priority="31" operator="greaterThan">
      <formula>0.03</formula>
    </cfRule>
    <cfRule type="cellIs" dxfId="120" priority="32" stopIfTrue="1" operator="lessThan">
      <formula>-0.03</formula>
    </cfRule>
  </conditionalFormatting>
  <conditionalFormatting sqref="Q383:T383">
    <cfRule type="cellIs" dxfId="119" priority="29" operator="greaterThan">
      <formula>0.03</formula>
    </cfRule>
    <cfRule type="cellIs" dxfId="118" priority="30" stopIfTrue="1" operator="lessThan">
      <formula>-0.03</formula>
    </cfRule>
  </conditionalFormatting>
  <conditionalFormatting sqref="Q387:T387">
    <cfRule type="cellIs" dxfId="117" priority="27" operator="greaterThan">
      <formula>0.03</formula>
    </cfRule>
    <cfRule type="cellIs" dxfId="116" priority="28" stopIfTrue="1" operator="lessThan">
      <formula>-0.03</formula>
    </cfRule>
  </conditionalFormatting>
  <conditionalFormatting sqref="Q391:T391">
    <cfRule type="cellIs" dxfId="115" priority="25" operator="greaterThan">
      <formula>0.03</formula>
    </cfRule>
    <cfRule type="cellIs" dxfId="114" priority="26" stopIfTrue="1" operator="lessThan">
      <formula>-0.03</formula>
    </cfRule>
  </conditionalFormatting>
  <conditionalFormatting sqref="Q395:T395">
    <cfRule type="cellIs" dxfId="113" priority="23" operator="greaterThan">
      <formula>0.03</formula>
    </cfRule>
    <cfRule type="cellIs" dxfId="112" priority="24" stopIfTrue="1" operator="lessThan">
      <formula>-0.03</formula>
    </cfRule>
  </conditionalFormatting>
  <conditionalFormatting sqref="Q399:T399">
    <cfRule type="cellIs" dxfId="111" priority="21" operator="greaterThan">
      <formula>0.03</formula>
    </cfRule>
    <cfRule type="cellIs" dxfId="110" priority="22" stopIfTrue="1" operator="lessThan">
      <formula>-0.03</formula>
    </cfRule>
  </conditionalFormatting>
  <conditionalFormatting sqref="Q415:T418 Q423:T430 Q403:T406">
    <cfRule type="cellIs" dxfId="109" priority="19" operator="greaterThan">
      <formula>0.03</formula>
    </cfRule>
    <cfRule type="cellIs" dxfId="108" priority="20" stopIfTrue="1" operator="lessThan">
      <formula>-0.03</formula>
    </cfRule>
  </conditionalFormatting>
  <conditionalFormatting sqref="Q419:T422">
    <cfRule type="cellIs" dxfId="107" priority="17" operator="greaterThan">
      <formula>0.03</formula>
    </cfRule>
    <cfRule type="cellIs" dxfId="106" priority="18" stopIfTrue="1" operator="lessThan">
      <formula>-0.03</formula>
    </cfRule>
  </conditionalFormatting>
  <conditionalFormatting sqref="Q432:T434 Q448:T450">
    <cfRule type="cellIs" dxfId="105" priority="15" operator="greaterThan">
      <formula>0.03</formula>
    </cfRule>
    <cfRule type="cellIs" dxfId="104" priority="16" stopIfTrue="1" operator="lessThan">
      <formula>-0.03</formula>
    </cfRule>
  </conditionalFormatting>
  <conditionalFormatting sqref="Q436:T438 Q440:T442 Q444:T446">
    <cfRule type="cellIs" dxfId="103" priority="13" operator="greaterThan">
      <formula>0.03</formula>
    </cfRule>
    <cfRule type="cellIs" dxfId="102" priority="14" stopIfTrue="1" operator="lessThan">
      <formula>-0.03</formula>
    </cfRule>
  </conditionalFormatting>
  <conditionalFormatting sqref="Q407:T414">
    <cfRule type="cellIs" dxfId="101" priority="11" operator="greaterThan">
      <formula>0.03</formula>
    </cfRule>
    <cfRule type="cellIs" dxfId="100" priority="12" stopIfTrue="1" operator="lessThan">
      <formula>-0.03</formula>
    </cfRule>
  </conditionalFormatting>
  <conditionalFormatting sqref="Q431:T431">
    <cfRule type="cellIs" dxfId="99" priority="9" operator="greaterThan">
      <formula>0.03</formula>
    </cfRule>
    <cfRule type="cellIs" dxfId="98" priority="10" stopIfTrue="1" operator="lessThan">
      <formula>-0.03</formula>
    </cfRule>
  </conditionalFormatting>
  <conditionalFormatting sqref="Q435:T435">
    <cfRule type="cellIs" dxfId="97" priority="7" operator="greaterThan">
      <formula>0.03</formula>
    </cfRule>
    <cfRule type="cellIs" dxfId="96" priority="8" stopIfTrue="1" operator="lessThan">
      <formula>-0.03</formula>
    </cfRule>
  </conditionalFormatting>
  <conditionalFormatting sqref="Q439:T439">
    <cfRule type="cellIs" dxfId="95" priority="5" operator="greaterThan">
      <formula>0.03</formula>
    </cfRule>
    <cfRule type="cellIs" dxfId="94" priority="6" stopIfTrue="1" operator="lessThan">
      <formula>-0.03</formula>
    </cfRule>
  </conditionalFormatting>
  <conditionalFormatting sqref="Q443:T443">
    <cfRule type="cellIs" dxfId="93" priority="3" operator="greaterThan">
      <formula>0.03</formula>
    </cfRule>
    <cfRule type="cellIs" dxfId="92" priority="4" stopIfTrue="1" operator="lessThan">
      <formula>-0.03</formula>
    </cfRule>
  </conditionalFormatting>
  <conditionalFormatting sqref="Q447:T447">
    <cfRule type="cellIs" dxfId="91" priority="1" operator="greaterThan">
      <formula>0.03</formula>
    </cfRule>
    <cfRule type="cellIs" dxfId="9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61"/>
  <sheetViews>
    <sheetView workbookViewId="0">
      <selection activeCell="O19" sqref="O19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177</v>
      </c>
    </row>
    <row r="2" spans="1:21" x14ac:dyDescent="0.25">
      <c r="A2" t="s">
        <v>159</v>
      </c>
    </row>
    <row r="3" spans="1:21" x14ac:dyDescent="0.25">
      <c r="A3" t="s">
        <v>175</v>
      </c>
    </row>
    <row r="4" spans="1:21" x14ac:dyDescent="0.25">
      <c r="A4" t="s">
        <v>160</v>
      </c>
    </row>
    <row r="5" spans="1:21" s="35" customFormat="1" ht="15.75" customHeight="1" x14ac:dyDescent="0.25">
      <c r="B5" s="68" t="s">
        <v>29</v>
      </c>
      <c r="C5" s="73" t="s">
        <v>161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5"/>
    </row>
    <row r="6" spans="1:21" s="35" customFormat="1" x14ac:dyDescent="0.25">
      <c r="B6" s="69"/>
      <c r="C6" s="76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8"/>
    </row>
    <row r="7" spans="1:21" ht="16.5" customHeight="1" thickBot="1" x14ac:dyDescent="0.3">
      <c r="C7" s="70" t="s">
        <v>171</v>
      </c>
      <c r="D7" s="71"/>
      <c r="E7" s="71"/>
      <c r="F7" s="71"/>
      <c r="G7" s="71"/>
      <c r="H7" s="71"/>
      <c r="I7" s="5"/>
      <c r="J7" s="70" t="s">
        <v>140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9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9"/>
    </row>
    <row r="9" spans="1:21" x14ac:dyDescent="0.25">
      <c r="A9" s="6" t="s">
        <v>35</v>
      </c>
      <c r="B9" s="6" t="s">
        <v>46</v>
      </c>
      <c r="C9" s="15">
        <v>3474.58</v>
      </c>
      <c r="D9" s="16">
        <v>37.847000000000001</v>
      </c>
      <c r="E9" s="16">
        <v>39.133000000000003</v>
      </c>
      <c r="F9" s="16">
        <v>41.497</v>
      </c>
      <c r="G9" s="16">
        <v>0.52</v>
      </c>
      <c r="H9" s="16">
        <f t="shared" ref="H9:H80" si="0">(6*D9+E9+F9)/8</f>
        <v>38.463999999999999</v>
      </c>
      <c r="I9" s="5"/>
      <c r="J9" s="15">
        <v>4084.1568000000002</v>
      </c>
      <c r="K9" s="16">
        <v>38.857399999999998</v>
      </c>
      <c r="L9" s="16">
        <v>40.111499999999999</v>
      </c>
      <c r="M9" s="16">
        <v>42.792999999999999</v>
      </c>
      <c r="N9" s="16">
        <v>1.2776000000000001</v>
      </c>
      <c r="O9" s="16">
        <f t="shared" ref="O9:O80" si="1">(6*K9+L9+M9)/8</f>
        <v>39.5061125</v>
      </c>
      <c r="P9" s="7"/>
      <c r="Q9" s="8">
        <f>bdrate(C9:C12,D9:D12,J9:J12,K9:K12)</f>
        <v>-0.15192146627854819</v>
      </c>
      <c r="R9" s="8">
        <f>bdrate(C9:C12,E9:E12,J9:J12,L9:L12)</f>
        <v>-0.35610307670236319</v>
      </c>
      <c r="S9" s="8">
        <f>bdrate(C9:C12,F9:F12,J9:J12,M9:M12)</f>
        <v>-0.35640420201720513</v>
      </c>
      <c r="T9" s="25">
        <f>bdrate(C9:C12,H9:H12,J9:J12,O9:O12)</f>
        <v>-0.18995397783564005</v>
      </c>
      <c r="U9" s="28">
        <f t="shared" ref="U9:U72" si="2">(N9-G9)/G9</f>
        <v>1.456923076923077</v>
      </c>
    </row>
    <row r="10" spans="1:21" x14ac:dyDescent="0.25">
      <c r="A10" s="9" t="s">
        <v>36</v>
      </c>
      <c r="B10" s="9"/>
      <c r="C10" s="17">
        <v>2571.35</v>
      </c>
      <c r="D10" s="18">
        <v>36.82</v>
      </c>
      <c r="E10" s="18">
        <v>38.460999999999999</v>
      </c>
      <c r="F10" s="18">
        <v>40.786999999999999</v>
      </c>
      <c r="G10" s="18">
        <v>0.6</v>
      </c>
      <c r="H10" s="18">
        <f t="shared" si="0"/>
        <v>37.521000000000001</v>
      </c>
      <c r="I10" s="5"/>
      <c r="J10" s="17">
        <v>2961.5632000000001</v>
      </c>
      <c r="K10" s="18">
        <v>37.842599999999997</v>
      </c>
      <c r="L10" s="18">
        <v>39.532499999999999</v>
      </c>
      <c r="M10" s="18">
        <v>42.042499999999997</v>
      </c>
      <c r="N10" s="18">
        <v>1.4976</v>
      </c>
      <c r="O10" s="18">
        <f t="shared" si="1"/>
        <v>38.578824999999995</v>
      </c>
      <c r="P10" s="7"/>
      <c r="Q10" s="10"/>
      <c r="R10" s="11"/>
      <c r="S10" s="11"/>
      <c r="T10" s="26"/>
      <c r="U10" s="28">
        <f t="shared" si="2"/>
        <v>1.4960000000000002</v>
      </c>
    </row>
    <row r="11" spans="1:21" x14ac:dyDescent="0.25">
      <c r="B11" s="9"/>
      <c r="C11" s="17">
        <v>1682.42</v>
      </c>
      <c r="D11" s="18">
        <v>35.286000000000001</v>
      </c>
      <c r="E11" s="18">
        <v>37.506</v>
      </c>
      <c r="F11" s="18">
        <v>39.837000000000003</v>
      </c>
      <c r="G11" s="18">
        <v>0.74</v>
      </c>
      <c r="H11" s="18">
        <f t="shared" si="0"/>
        <v>36.132375000000003</v>
      </c>
      <c r="I11" s="5"/>
      <c r="J11" s="17">
        <v>1907.4928</v>
      </c>
      <c r="K11" s="18">
        <v>36.376899999999999</v>
      </c>
      <c r="L11" s="18">
        <v>38.750700000000002</v>
      </c>
      <c r="M11" s="18">
        <v>41.1462</v>
      </c>
      <c r="N11" s="18">
        <v>1.8689</v>
      </c>
      <c r="O11" s="18">
        <f t="shared" si="1"/>
        <v>37.2697875</v>
      </c>
      <c r="P11" s="7"/>
      <c r="Q11" s="10"/>
      <c r="R11" s="11"/>
      <c r="S11" s="11"/>
      <c r="T11" s="26"/>
      <c r="U11" s="28">
        <f t="shared" si="2"/>
        <v>1.5255405405405407</v>
      </c>
    </row>
    <row r="12" spans="1:21" ht="16.5" thickBot="1" x14ac:dyDescent="0.3">
      <c r="B12" s="12"/>
      <c r="C12" s="19">
        <v>843.53</v>
      </c>
      <c r="D12" s="20">
        <v>32.972999999999999</v>
      </c>
      <c r="E12" s="20">
        <v>36.25</v>
      </c>
      <c r="F12" s="20">
        <v>38.619</v>
      </c>
      <c r="G12" s="20">
        <v>1.03</v>
      </c>
      <c r="H12" s="20">
        <f t="shared" si="0"/>
        <v>34.088374999999999</v>
      </c>
      <c r="I12" s="5"/>
      <c r="J12" s="19">
        <v>910.64160000000004</v>
      </c>
      <c r="K12" s="20">
        <v>33.603900000000003</v>
      </c>
      <c r="L12" s="20">
        <v>37.092700000000001</v>
      </c>
      <c r="M12" s="20">
        <v>39.355600000000003</v>
      </c>
      <c r="N12" s="20">
        <v>2.6558000000000002</v>
      </c>
      <c r="O12" s="20">
        <f t="shared" si="1"/>
        <v>34.758962500000003</v>
      </c>
      <c r="P12" s="7"/>
      <c r="Q12" s="13"/>
      <c r="R12" s="14"/>
      <c r="S12" s="14"/>
      <c r="T12" s="27"/>
      <c r="U12" s="28">
        <f t="shared" si="2"/>
        <v>1.5784466019417476</v>
      </c>
    </row>
    <row r="13" spans="1:21" x14ac:dyDescent="0.25">
      <c r="B13" s="6" t="s">
        <v>47</v>
      </c>
      <c r="C13" s="15">
        <v>4009.81</v>
      </c>
      <c r="D13" s="16">
        <v>30.939</v>
      </c>
      <c r="E13" s="16">
        <v>38.566000000000003</v>
      </c>
      <c r="F13" s="16">
        <v>39.631999999999998</v>
      </c>
      <c r="G13" s="16">
        <v>0.3</v>
      </c>
      <c r="H13" s="16">
        <f t="shared" si="0"/>
        <v>32.978999999999999</v>
      </c>
      <c r="I13" s="5"/>
      <c r="J13" s="15">
        <v>4159.8512000000001</v>
      </c>
      <c r="K13" s="16">
        <v>30.440200000000001</v>
      </c>
      <c r="L13" s="16">
        <v>40.368000000000002</v>
      </c>
      <c r="M13" s="16">
        <v>41.2821</v>
      </c>
      <c r="N13" s="16">
        <v>0.95420000000000005</v>
      </c>
      <c r="O13" s="16">
        <f t="shared" si="1"/>
        <v>33.036412499999997</v>
      </c>
      <c r="P13" s="7"/>
      <c r="Q13" s="8">
        <f>bdrate(C13:C16,D13:D16,J13:J16,K13:K16)</f>
        <v>0.11193498315368555</v>
      </c>
      <c r="R13" s="8">
        <f>bdrate(C13:C16,E13:E16,J13:J16,L13:L16)</f>
        <v>-0.50482601571904206</v>
      </c>
      <c r="S13" s="8">
        <f>bdrate(C13:C16,F13:F16,J13:J16,M13:M16)</f>
        <v>-0.51507869390072858</v>
      </c>
      <c r="T13" s="25">
        <f>bdrate(C13:C16,H13:H16,J13:J16,O13:O16)</f>
        <v>-1.4050541788688808E-2</v>
      </c>
      <c r="U13" s="28">
        <f t="shared" si="2"/>
        <v>2.1806666666666672</v>
      </c>
    </row>
    <row r="14" spans="1:21" x14ac:dyDescent="0.25">
      <c r="B14" s="9"/>
      <c r="C14" s="17">
        <v>2995.6</v>
      </c>
      <c r="D14" s="18">
        <v>29.55</v>
      </c>
      <c r="E14" s="18">
        <v>37.755000000000003</v>
      </c>
      <c r="F14" s="18">
        <v>38.957000000000001</v>
      </c>
      <c r="G14" s="18">
        <v>0.36</v>
      </c>
      <c r="H14" s="18">
        <f t="shared" si="0"/>
        <v>31.7515</v>
      </c>
      <c r="I14" s="5"/>
      <c r="J14" s="17">
        <v>3111.0895999999998</v>
      </c>
      <c r="K14" s="18">
        <v>29.1126</v>
      </c>
      <c r="L14" s="18">
        <v>39.697600000000001</v>
      </c>
      <c r="M14" s="18">
        <v>40.691200000000002</v>
      </c>
      <c r="N14" s="18">
        <v>1.0837000000000001</v>
      </c>
      <c r="O14" s="18">
        <f t="shared" si="1"/>
        <v>31.883050000000001</v>
      </c>
      <c r="P14" s="7"/>
      <c r="Q14" s="10"/>
      <c r="R14" s="11"/>
      <c r="S14" s="11"/>
      <c r="T14" s="26"/>
      <c r="U14" s="28">
        <f t="shared" si="2"/>
        <v>2.0102777777777781</v>
      </c>
    </row>
    <row r="15" spans="1:21" x14ac:dyDescent="0.25">
      <c r="B15" s="9"/>
      <c r="C15" s="17">
        <v>1988.02</v>
      </c>
      <c r="D15" s="18">
        <v>27.699000000000002</v>
      </c>
      <c r="E15" s="18">
        <v>36.744</v>
      </c>
      <c r="F15" s="18">
        <v>38.018000000000001</v>
      </c>
      <c r="G15" s="18">
        <v>0.45</v>
      </c>
      <c r="H15" s="18">
        <f t="shared" si="0"/>
        <v>30.119500000000002</v>
      </c>
      <c r="I15" s="5"/>
      <c r="J15" s="17">
        <v>2071.5120000000002</v>
      </c>
      <c r="K15" s="18">
        <v>27.299600000000002</v>
      </c>
      <c r="L15" s="18">
        <v>38.710900000000002</v>
      </c>
      <c r="M15" s="18">
        <v>39.8675</v>
      </c>
      <c r="N15" s="18">
        <v>1.3012999999999999</v>
      </c>
      <c r="O15" s="18">
        <f t="shared" si="1"/>
        <v>30.297000000000004</v>
      </c>
      <c r="P15" s="7"/>
      <c r="Q15" s="10"/>
      <c r="R15" s="11"/>
      <c r="S15" s="11"/>
      <c r="T15" s="26"/>
      <c r="U15" s="28">
        <f t="shared" si="2"/>
        <v>1.8917777777777776</v>
      </c>
    </row>
    <row r="16" spans="1:21" ht="16.5" thickBot="1" x14ac:dyDescent="0.3">
      <c r="B16" s="12"/>
      <c r="C16" s="19">
        <v>1241.8699999999999</v>
      </c>
      <c r="D16" s="20">
        <v>25.016999999999999</v>
      </c>
      <c r="E16" s="20">
        <v>35.505000000000003</v>
      </c>
      <c r="F16" s="20">
        <v>36.81</v>
      </c>
      <c r="G16" s="20">
        <v>0.81</v>
      </c>
      <c r="H16" s="20">
        <f t="shared" si="0"/>
        <v>27.802125</v>
      </c>
      <c r="I16" s="5"/>
      <c r="J16" s="19">
        <v>1308.424</v>
      </c>
      <c r="K16" s="20">
        <v>25.704499999999999</v>
      </c>
      <c r="L16" s="20">
        <v>37.335799999999999</v>
      </c>
      <c r="M16" s="20">
        <v>38.587499999999999</v>
      </c>
      <c r="N16" s="20">
        <v>1.5087999999999999</v>
      </c>
      <c r="O16" s="20">
        <f t="shared" si="1"/>
        <v>28.768787500000002</v>
      </c>
      <c r="P16" s="7"/>
      <c r="Q16" s="13"/>
      <c r="R16" s="14"/>
      <c r="S16" s="14"/>
      <c r="T16" s="27"/>
      <c r="U16" s="28">
        <f t="shared" si="2"/>
        <v>0.86271604938271584</v>
      </c>
    </row>
    <row r="17" spans="1:21" x14ac:dyDescent="0.25">
      <c r="A17" s="6" t="s">
        <v>37</v>
      </c>
      <c r="B17" s="6" t="s">
        <v>48</v>
      </c>
      <c r="C17" s="15">
        <v>1981.58</v>
      </c>
      <c r="D17" s="16">
        <v>39.408999999999999</v>
      </c>
      <c r="E17" s="16">
        <v>41.634999999999998</v>
      </c>
      <c r="F17" s="16">
        <v>42.933999999999997</v>
      </c>
      <c r="G17" s="16">
        <v>0.57999999999999996</v>
      </c>
      <c r="H17" s="16">
        <f t="shared" si="0"/>
        <v>40.127875000000003</v>
      </c>
      <c r="I17" s="5"/>
      <c r="J17" s="15">
        <v>2451.3960000000002</v>
      </c>
      <c r="K17" s="16">
        <v>39.829799999999999</v>
      </c>
      <c r="L17" s="16">
        <v>42.431399999999996</v>
      </c>
      <c r="M17" s="16">
        <v>44.059399999999997</v>
      </c>
      <c r="N17" s="16">
        <v>1.5893999999999999</v>
      </c>
      <c r="O17" s="16">
        <f t="shared" si="1"/>
        <v>40.683699999999995</v>
      </c>
      <c r="P17" s="7"/>
      <c r="Q17" s="8">
        <f>bdrate(C17:C20,D17:D20,J17:J20,K17:K20)</f>
        <v>2.2108168315020604E-2</v>
      </c>
      <c r="R17" s="8">
        <f>bdrate(C17:C20,E17:E20,J17:J20,L17:L20)</f>
        <v>-0.29311006433978071</v>
      </c>
      <c r="S17" s="8">
        <f>bdrate(C17:C20,F17:F20,J17:J20,M17:M20)</f>
        <v>-0.3132205888233458</v>
      </c>
      <c r="T17" s="25">
        <f>bdrate(C17:C20,H17:H20,J17:J20,O17:O20)</f>
        <v>-3.8987798722964984E-2</v>
      </c>
      <c r="U17" s="28">
        <f t="shared" si="2"/>
        <v>1.7403448275862068</v>
      </c>
    </row>
    <row r="18" spans="1:21" x14ac:dyDescent="0.25">
      <c r="A18" s="9" t="s">
        <v>38</v>
      </c>
      <c r="B18" s="9"/>
      <c r="C18" s="17">
        <v>1301.71</v>
      </c>
      <c r="D18" s="18">
        <v>38.088999999999999</v>
      </c>
      <c r="E18" s="18">
        <v>40.798000000000002</v>
      </c>
      <c r="F18" s="18">
        <v>42.021000000000001</v>
      </c>
      <c r="G18" s="18">
        <v>0.72</v>
      </c>
      <c r="H18" s="18">
        <f t="shared" si="0"/>
        <v>38.919125000000001</v>
      </c>
      <c r="I18" s="5"/>
      <c r="J18" s="17">
        <v>1619.5824</v>
      </c>
      <c r="K18" s="18">
        <v>38.658099999999997</v>
      </c>
      <c r="L18" s="18">
        <v>41.756100000000004</v>
      </c>
      <c r="M18" s="18">
        <v>43.185099999999998</v>
      </c>
      <c r="N18" s="18">
        <v>1.9672000000000001</v>
      </c>
      <c r="O18" s="18">
        <f t="shared" si="1"/>
        <v>39.611224999999997</v>
      </c>
      <c r="P18" s="7"/>
      <c r="Q18" s="10"/>
      <c r="R18" s="11"/>
      <c r="S18" s="11"/>
      <c r="T18" s="26"/>
      <c r="U18" s="28">
        <f t="shared" si="2"/>
        <v>1.7322222222222223</v>
      </c>
    </row>
    <row r="19" spans="1:21" x14ac:dyDescent="0.25">
      <c r="B19" s="9"/>
      <c r="C19" s="17">
        <v>805.16</v>
      </c>
      <c r="D19" s="18">
        <v>36.448</v>
      </c>
      <c r="E19" s="18">
        <v>39.854999999999997</v>
      </c>
      <c r="F19" s="18">
        <v>41.124000000000002</v>
      </c>
      <c r="G19" s="18">
        <v>0.94</v>
      </c>
      <c r="H19" s="18">
        <f t="shared" si="0"/>
        <v>37.458375000000004</v>
      </c>
      <c r="I19" s="5"/>
      <c r="J19" s="17">
        <v>988.32399999999996</v>
      </c>
      <c r="K19" s="18">
        <v>37.101500000000001</v>
      </c>
      <c r="L19" s="18">
        <v>40.909799999999997</v>
      </c>
      <c r="M19" s="18">
        <v>42.193399999999997</v>
      </c>
      <c r="N19" s="18">
        <v>2.5135999999999998</v>
      </c>
      <c r="O19" s="18">
        <f t="shared" si="1"/>
        <v>38.214024999999999</v>
      </c>
      <c r="P19" s="7"/>
      <c r="Q19" s="10"/>
      <c r="R19" s="11"/>
      <c r="S19" s="11"/>
      <c r="T19" s="26"/>
      <c r="U19" s="28">
        <f t="shared" si="2"/>
        <v>1.6740425531914893</v>
      </c>
    </row>
    <row r="20" spans="1:21" ht="16.5" thickBot="1" x14ac:dyDescent="0.3">
      <c r="B20" s="12"/>
      <c r="C20" s="19">
        <v>481.82</v>
      </c>
      <c r="D20" s="20">
        <v>34.692</v>
      </c>
      <c r="E20" s="20">
        <v>38.938000000000002</v>
      </c>
      <c r="F20" s="20">
        <v>40.380000000000003</v>
      </c>
      <c r="G20" s="20">
        <v>1.23</v>
      </c>
      <c r="H20" s="20">
        <f t="shared" si="0"/>
        <v>35.933749999999996</v>
      </c>
      <c r="I20" s="5"/>
      <c r="J20" s="19">
        <v>568.75840000000005</v>
      </c>
      <c r="K20" s="20">
        <v>35.259399999999999</v>
      </c>
      <c r="L20" s="20">
        <v>40.035400000000003</v>
      </c>
      <c r="M20" s="20">
        <v>41.318199999999997</v>
      </c>
      <c r="N20" s="20">
        <v>3.3161999999999998</v>
      </c>
      <c r="O20" s="20">
        <f t="shared" si="1"/>
        <v>36.613750000000003</v>
      </c>
      <c r="P20" s="7"/>
      <c r="Q20" s="13"/>
      <c r="R20" s="14"/>
      <c r="S20" s="14"/>
      <c r="T20" s="27"/>
      <c r="U20" s="28">
        <f t="shared" si="2"/>
        <v>1.6960975609756097</v>
      </c>
    </row>
    <row r="21" spans="1:21" x14ac:dyDescent="0.25">
      <c r="B21" s="6" t="s">
        <v>49</v>
      </c>
      <c r="C21" s="15">
        <v>2227.15</v>
      </c>
      <c r="D21" s="16">
        <v>36.540999999999997</v>
      </c>
      <c r="E21" s="16">
        <v>39.673000000000002</v>
      </c>
      <c r="F21" s="16">
        <v>40.700000000000003</v>
      </c>
      <c r="G21" s="16">
        <v>0.75</v>
      </c>
      <c r="H21" s="16">
        <f t="shared" si="0"/>
        <v>37.452374999999996</v>
      </c>
      <c r="I21" s="5"/>
      <c r="J21" s="15">
        <v>2504.3744000000002</v>
      </c>
      <c r="K21" s="16">
        <v>36.981299999999997</v>
      </c>
      <c r="L21" s="16">
        <v>40.668900000000001</v>
      </c>
      <c r="M21" s="16">
        <v>41.905500000000004</v>
      </c>
      <c r="N21" s="16">
        <v>1.8984000000000001</v>
      </c>
      <c r="O21" s="16">
        <f t="shared" si="1"/>
        <v>38.057774999999999</v>
      </c>
      <c r="P21" s="7"/>
      <c r="Q21" s="8">
        <f>bdrate(C21:C24,D21:D24,J21:J24,K21:K24)</f>
        <v>-2.6453288825569077E-2</v>
      </c>
      <c r="R21" s="8">
        <f>bdrate(C21:C24,E21:E24,J21:J24,L21:L24)</f>
        <v>-0.30634628409231934</v>
      </c>
      <c r="S21" s="8">
        <f>bdrate(C21:C24,F21:F24,J21:J24,M21:M24)</f>
        <v>-0.34999036388170146</v>
      </c>
      <c r="T21" s="25">
        <f>bdrate(C21:C24,H21:H24,J21:J24,O21:O24)</f>
        <v>-8.7367801763272857E-2</v>
      </c>
      <c r="U21" s="28">
        <f t="shared" si="2"/>
        <v>1.5312000000000001</v>
      </c>
    </row>
    <row r="22" spans="1:21" x14ac:dyDescent="0.25">
      <c r="B22" s="9"/>
      <c r="C22" s="17">
        <v>1478.11</v>
      </c>
      <c r="D22" s="18">
        <v>35.201000000000001</v>
      </c>
      <c r="E22" s="18">
        <v>38.707000000000001</v>
      </c>
      <c r="F22" s="18">
        <v>39.813000000000002</v>
      </c>
      <c r="G22" s="18">
        <v>0.93</v>
      </c>
      <c r="H22" s="18">
        <f t="shared" si="0"/>
        <v>36.21575</v>
      </c>
      <c r="I22" s="5"/>
      <c r="J22" s="17">
        <v>1676.8288</v>
      </c>
      <c r="K22" s="18">
        <v>35.709000000000003</v>
      </c>
      <c r="L22" s="18">
        <v>39.8185</v>
      </c>
      <c r="M22" s="18">
        <v>41.011000000000003</v>
      </c>
      <c r="N22" s="18">
        <v>2.3414999999999999</v>
      </c>
      <c r="O22" s="18">
        <f t="shared" si="1"/>
        <v>36.885437500000002</v>
      </c>
      <c r="P22" s="7"/>
      <c r="Q22" s="10"/>
      <c r="R22" s="11"/>
      <c r="S22" s="11"/>
      <c r="T22" s="26"/>
      <c r="U22" s="28">
        <f t="shared" si="2"/>
        <v>1.5177419354838706</v>
      </c>
    </row>
    <row r="23" spans="1:21" x14ac:dyDescent="0.25">
      <c r="B23" s="9"/>
      <c r="C23" s="17">
        <v>919.89</v>
      </c>
      <c r="D23" s="18">
        <v>33.667999999999999</v>
      </c>
      <c r="E23" s="18">
        <v>37.630000000000003</v>
      </c>
      <c r="F23" s="18">
        <v>39.037999999999997</v>
      </c>
      <c r="G23" s="18">
        <v>1.1499999999999999</v>
      </c>
      <c r="H23" s="18">
        <f t="shared" si="0"/>
        <v>34.834499999999998</v>
      </c>
      <c r="I23" s="5"/>
      <c r="J23" s="17">
        <v>1048.2008000000001</v>
      </c>
      <c r="K23" s="18">
        <v>34.165700000000001</v>
      </c>
      <c r="L23" s="18">
        <v>38.7498</v>
      </c>
      <c r="M23" s="18">
        <v>40.002499999999998</v>
      </c>
      <c r="N23" s="18">
        <v>2.9131999999999998</v>
      </c>
      <c r="O23" s="18">
        <f t="shared" si="1"/>
        <v>35.468312499999996</v>
      </c>
      <c r="P23" s="7"/>
      <c r="Q23" s="10"/>
      <c r="R23" s="11"/>
      <c r="S23" s="11"/>
      <c r="T23" s="26"/>
      <c r="U23" s="28">
        <f t="shared" si="2"/>
        <v>1.5332173913043479</v>
      </c>
    </row>
    <row r="24" spans="1:21" ht="16.5" thickBot="1" x14ac:dyDescent="0.3">
      <c r="B24" s="12"/>
      <c r="C24" s="19">
        <v>551.04999999999995</v>
      </c>
      <c r="D24" s="20">
        <v>32.106999999999999</v>
      </c>
      <c r="E24" s="20">
        <v>36.637999999999998</v>
      </c>
      <c r="F24" s="20">
        <v>38.366</v>
      </c>
      <c r="G24" s="20">
        <v>1.46</v>
      </c>
      <c r="H24" s="20">
        <f t="shared" si="0"/>
        <v>33.455750000000002</v>
      </c>
      <c r="I24" s="5"/>
      <c r="J24" s="19">
        <v>604.0752</v>
      </c>
      <c r="K24" s="20">
        <v>32.455399999999997</v>
      </c>
      <c r="L24" s="20">
        <v>37.535299999999999</v>
      </c>
      <c r="M24" s="20">
        <v>38.996699999999997</v>
      </c>
      <c r="N24" s="20">
        <v>3.6873</v>
      </c>
      <c r="O24" s="20">
        <f t="shared" si="1"/>
        <v>33.908049999999996</v>
      </c>
      <c r="P24" s="7"/>
      <c r="Q24" s="13"/>
      <c r="R24" s="14"/>
      <c r="S24" s="14"/>
      <c r="T24" s="27"/>
      <c r="U24" s="28">
        <f t="shared" si="2"/>
        <v>1.5255479452054794</v>
      </c>
    </row>
    <row r="25" spans="1:21" x14ac:dyDescent="0.25">
      <c r="B25" s="6" t="s">
        <v>50</v>
      </c>
      <c r="C25" s="15">
        <v>2352.31</v>
      </c>
      <c r="D25" s="16">
        <v>34.468000000000004</v>
      </c>
      <c r="E25" s="16">
        <v>37.688000000000002</v>
      </c>
      <c r="F25" s="16">
        <v>39.268999999999998</v>
      </c>
      <c r="G25" s="16">
        <v>0.91</v>
      </c>
      <c r="H25" s="16">
        <f t="shared" si="0"/>
        <v>35.470625000000005</v>
      </c>
      <c r="I25" s="5"/>
      <c r="J25" s="15">
        <v>2465.8200000000002</v>
      </c>
      <c r="K25" s="16">
        <v>35.314</v>
      </c>
      <c r="L25" s="16">
        <v>38.585299999999997</v>
      </c>
      <c r="M25" s="16">
        <v>40.962499999999999</v>
      </c>
      <c r="N25" s="16">
        <v>2.5926</v>
      </c>
      <c r="O25" s="16">
        <f t="shared" si="1"/>
        <v>36.428975000000001</v>
      </c>
      <c r="P25" s="7"/>
      <c r="Q25" s="8">
        <f>bdrate(C25:C28,D25:D28,J25:J28,K25:K28)</f>
        <v>-0.22406140493632565</v>
      </c>
      <c r="R25" s="8">
        <f>bdrate(C25:C28,E25:E28,J25:J28,L25:L28)</f>
        <v>-0.47102721468641906</v>
      </c>
      <c r="S25" s="8">
        <f>bdrate(C25:C28,F25:F28,J25:J28,M25:M28)</f>
        <v>-0.44885655904955679</v>
      </c>
      <c r="T25" s="25">
        <f>bdrate(C25:C28,H25:H28,J25:J28,O25:O28)</f>
        <v>-0.27001121788255356</v>
      </c>
      <c r="U25" s="28">
        <f t="shared" si="2"/>
        <v>1.8490109890109887</v>
      </c>
    </row>
    <row r="26" spans="1:21" x14ac:dyDescent="0.25">
      <c r="B26" s="9"/>
      <c r="C26" s="17">
        <v>1567.05</v>
      </c>
      <c r="D26" s="18">
        <v>33.152999999999999</v>
      </c>
      <c r="E26" s="18">
        <v>37.029000000000003</v>
      </c>
      <c r="F26" s="18">
        <v>38.228999999999999</v>
      </c>
      <c r="G26" s="18">
        <v>1.1000000000000001</v>
      </c>
      <c r="H26" s="18">
        <f t="shared" si="0"/>
        <v>34.271999999999998</v>
      </c>
      <c r="I26" s="5"/>
      <c r="J26" s="17">
        <v>1643.2136</v>
      </c>
      <c r="K26" s="18">
        <v>34.192999999999998</v>
      </c>
      <c r="L26" s="18">
        <v>38.1235</v>
      </c>
      <c r="M26" s="18">
        <v>39.996000000000002</v>
      </c>
      <c r="N26" s="18">
        <v>3.1562000000000001</v>
      </c>
      <c r="O26" s="18">
        <f t="shared" si="1"/>
        <v>35.409687499999997</v>
      </c>
      <c r="P26" s="7"/>
      <c r="Q26" s="10"/>
      <c r="R26" s="11"/>
      <c r="S26" s="11"/>
      <c r="T26" s="26"/>
      <c r="U26" s="28">
        <f t="shared" si="2"/>
        <v>1.8692727272727272</v>
      </c>
    </row>
    <row r="27" spans="1:21" x14ac:dyDescent="0.25">
      <c r="B27" s="9"/>
      <c r="C27" s="17">
        <v>981.67</v>
      </c>
      <c r="D27" s="18">
        <v>31.672999999999998</v>
      </c>
      <c r="E27" s="18">
        <v>36.39</v>
      </c>
      <c r="F27" s="18">
        <v>37.262</v>
      </c>
      <c r="G27" s="18">
        <v>1.35</v>
      </c>
      <c r="H27" s="18">
        <f t="shared" si="0"/>
        <v>32.96125</v>
      </c>
      <c r="I27" s="5"/>
      <c r="J27" s="17">
        <v>1022.2424</v>
      </c>
      <c r="K27" s="18">
        <v>32.613500000000002</v>
      </c>
      <c r="L27" s="18">
        <v>37.383899999999997</v>
      </c>
      <c r="M27" s="18">
        <v>38.694099999999999</v>
      </c>
      <c r="N27" s="18">
        <v>3.9232999999999998</v>
      </c>
      <c r="O27" s="18">
        <f t="shared" si="1"/>
        <v>33.969875000000002</v>
      </c>
      <c r="P27" s="7"/>
      <c r="Q27" s="10"/>
      <c r="R27" s="11"/>
      <c r="S27" s="11"/>
      <c r="T27" s="26"/>
      <c r="U27" s="28">
        <f t="shared" si="2"/>
        <v>1.9061481481481477</v>
      </c>
    </row>
    <row r="28" spans="1:21" ht="16.5" thickBot="1" x14ac:dyDescent="0.3">
      <c r="B28" s="12"/>
      <c r="C28" s="19">
        <v>583.04</v>
      </c>
      <c r="D28" s="20">
        <v>30.238</v>
      </c>
      <c r="E28" s="20">
        <v>35.700000000000003</v>
      </c>
      <c r="F28" s="20">
        <v>36.231999999999999</v>
      </c>
      <c r="G28" s="20">
        <v>1.74</v>
      </c>
      <c r="H28" s="20">
        <f t="shared" si="0"/>
        <v>31.669999999999998</v>
      </c>
      <c r="I28" s="5"/>
      <c r="J28" s="19">
        <v>592.88559999999995</v>
      </c>
      <c r="K28" s="20">
        <v>30.785</v>
      </c>
      <c r="L28" s="20">
        <v>36.488900000000001</v>
      </c>
      <c r="M28" s="20">
        <v>37.305300000000003</v>
      </c>
      <c r="N28" s="20">
        <v>5.2226999999999997</v>
      </c>
      <c r="O28" s="20">
        <f t="shared" si="1"/>
        <v>32.313025000000003</v>
      </c>
      <c r="P28" s="7"/>
      <c r="Q28" s="13"/>
      <c r="R28" s="14"/>
      <c r="S28" s="14"/>
      <c r="T28" s="27"/>
      <c r="U28" s="28">
        <f t="shared" si="2"/>
        <v>2.0015517241379306</v>
      </c>
    </row>
    <row r="29" spans="1:21" x14ac:dyDescent="0.25">
      <c r="B29" s="6" t="s">
        <v>51</v>
      </c>
      <c r="C29" s="29">
        <v>2415</v>
      </c>
      <c r="D29" s="30">
        <v>34.918999999999997</v>
      </c>
      <c r="E29" s="30">
        <v>40.148000000000003</v>
      </c>
      <c r="F29" s="30">
        <v>39.853000000000002</v>
      </c>
      <c r="G29" s="16">
        <v>0.71</v>
      </c>
      <c r="H29" s="16">
        <f t="shared" si="0"/>
        <v>36.189374999999998</v>
      </c>
      <c r="I29" s="5"/>
      <c r="J29" s="29">
        <v>2479.7991999999999</v>
      </c>
      <c r="K29" s="30">
        <v>35.060400000000001</v>
      </c>
      <c r="L29" s="30">
        <v>40.990600000000001</v>
      </c>
      <c r="M29" s="30">
        <v>40.546799999999998</v>
      </c>
      <c r="N29" s="16">
        <v>2.2347000000000001</v>
      </c>
      <c r="O29" s="16">
        <f t="shared" si="1"/>
        <v>36.487475000000003</v>
      </c>
      <c r="P29" s="7"/>
      <c r="Q29" s="8">
        <f>bdrate(C29:C32,D29:D32,J29:J32,K29:K32)</f>
        <v>-1.7990879267378856E-2</v>
      </c>
      <c r="R29" s="8">
        <f>bdrate(C29:C32,E29:E32,J29:J32,L29:L32)</f>
        <v>-0.29225432437165799</v>
      </c>
      <c r="S29" s="8">
        <f>bdrate(C29:C32,F29:F32,J29:J32,M29:M32)</f>
        <v>-0.12938406442301875</v>
      </c>
      <c r="T29" s="25">
        <f>bdrate(C29:C32,H29:H32,J29:J32,O29:O32)</f>
        <v>-5.9582434489783953E-2</v>
      </c>
      <c r="U29" s="28">
        <f t="shared" si="2"/>
        <v>2.1474647887323948</v>
      </c>
    </row>
    <row r="30" spans="1:21" x14ac:dyDescent="0.25">
      <c r="B30" s="9"/>
      <c r="C30" s="31">
        <v>1602.05</v>
      </c>
      <c r="D30" s="32">
        <v>33.606000000000002</v>
      </c>
      <c r="E30" s="32">
        <v>39.267000000000003</v>
      </c>
      <c r="F30" s="32">
        <v>38.716000000000001</v>
      </c>
      <c r="G30" s="18">
        <v>0.87</v>
      </c>
      <c r="H30" s="18">
        <f t="shared" si="0"/>
        <v>34.952375000000004</v>
      </c>
      <c r="I30" s="5"/>
      <c r="J30" s="31">
        <v>1649.2095999999999</v>
      </c>
      <c r="K30" s="32">
        <v>33.789900000000003</v>
      </c>
      <c r="L30" s="32">
        <v>40.142099999999999</v>
      </c>
      <c r="M30" s="32">
        <v>39.303699999999999</v>
      </c>
      <c r="N30" s="18">
        <v>2.7147000000000001</v>
      </c>
      <c r="O30" s="18">
        <f t="shared" si="1"/>
        <v>35.273150000000001</v>
      </c>
      <c r="P30" s="7"/>
      <c r="Q30" s="10"/>
      <c r="R30" s="11"/>
      <c r="S30" s="11"/>
      <c r="T30" s="26"/>
      <c r="U30" s="28">
        <f t="shared" si="2"/>
        <v>2.1203448275862069</v>
      </c>
    </row>
    <row r="31" spans="1:21" x14ac:dyDescent="0.25">
      <c r="B31" s="9"/>
      <c r="C31" s="31">
        <v>995.36</v>
      </c>
      <c r="D31" s="32">
        <v>32.017000000000003</v>
      </c>
      <c r="E31" s="32">
        <v>38.354999999999997</v>
      </c>
      <c r="F31" s="32">
        <v>37.423999999999999</v>
      </c>
      <c r="G31" s="18">
        <v>1.1000000000000001</v>
      </c>
      <c r="H31" s="18">
        <f t="shared" si="0"/>
        <v>33.485125000000004</v>
      </c>
      <c r="I31" s="5"/>
      <c r="J31" s="31">
        <v>1032.1584</v>
      </c>
      <c r="K31" s="32">
        <v>32.203400000000002</v>
      </c>
      <c r="L31" s="32">
        <v>39.1539</v>
      </c>
      <c r="M31" s="32">
        <v>37.881999999999998</v>
      </c>
      <c r="N31" s="18">
        <v>3.3376999999999999</v>
      </c>
      <c r="O31" s="18">
        <f t="shared" si="1"/>
        <v>33.782037500000001</v>
      </c>
      <c r="P31" s="7"/>
      <c r="Q31" s="10"/>
      <c r="R31" s="11"/>
      <c r="S31" s="11"/>
      <c r="T31" s="26"/>
      <c r="U31" s="28">
        <f t="shared" si="2"/>
        <v>2.034272727272727</v>
      </c>
    </row>
    <row r="32" spans="1:21" ht="16.5" thickBot="1" x14ac:dyDescent="0.3">
      <c r="B32" s="12"/>
      <c r="C32" s="33">
        <v>595.03</v>
      </c>
      <c r="D32" s="34">
        <v>30.276</v>
      </c>
      <c r="E32" s="34">
        <v>36.951999999999998</v>
      </c>
      <c r="F32" s="34">
        <v>35.834000000000003</v>
      </c>
      <c r="G32" s="20">
        <v>1.43</v>
      </c>
      <c r="H32" s="20">
        <f t="shared" si="0"/>
        <v>31.805250000000001</v>
      </c>
      <c r="I32" s="5"/>
      <c r="J32" s="33">
        <v>616.37599999999998</v>
      </c>
      <c r="K32" s="34">
        <v>30.38</v>
      </c>
      <c r="L32" s="34">
        <v>37.842300000000002</v>
      </c>
      <c r="M32" s="34">
        <v>36.2348</v>
      </c>
      <c r="N32" s="20">
        <v>4.4359999999999999</v>
      </c>
      <c r="O32" s="20">
        <f t="shared" si="1"/>
        <v>32.0446375</v>
      </c>
      <c r="P32" s="7"/>
      <c r="Q32" s="13"/>
      <c r="R32" s="14"/>
      <c r="S32" s="14"/>
      <c r="T32" s="27"/>
      <c r="U32" s="28">
        <f t="shared" si="2"/>
        <v>2.1020979020979023</v>
      </c>
    </row>
    <row r="33" spans="1:21" x14ac:dyDescent="0.25">
      <c r="B33" s="6" t="s">
        <v>52</v>
      </c>
      <c r="C33" s="15">
        <v>2301.23</v>
      </c>
      <c r="D33" s="16">
        <v>33.843000000000004</v>
      </c>
      <c r="E33" s="16">
        <v>39.499000000000002</v>
      </c>
      <c r="F33" s="16">
        <v>42.067</v>
      </c>
      <c r="G33" s="16">
        <v>1.44</v>
      </c>
      <c r="H33" s="16">
        <f t="shared" si="0"/>
        <v>35.578000000000003</v>
      </c>
      <c r="I33" s="5"/>
      <c r="J33" s="15">
        <v>2443.2112000000002</v>
      </c>
      <c r="K33" s="16">
        <v>34.189700000000002</v>
      </c>
      <c r="L33" s="16">
        <v>40.198900000000002</v>
      </c>
      <c r="M33" s="16">
        <v>42.631900000000002</v>
      </c>
      <c r="N33" s="16">
        <v>2.8835000000000002</v>
      </c>
      <c r="O33" s="16">
        <f t="shared" si="1"/>
        <v>35.996125000000006</v>
      </c>
      <c r="P33" s="7"/>
      <c r="Q33" s="8">
        <f>bdrate(C33:C36,D33:D36,J33:J36,K33:K36)</f>
        <v>-6.6777716239587503E-2</v>
      </c>
      <c r="R33" s="8">
        <f>bdrate(C33:C36,E33:E36,J33:J36,L33:L36)</f>
        <v>-0.27283303664324643</v>
      </c>
      <c r="S33" s="8">
        <f>bdrate(C33:C36,F33:F36,J33:J36,M33:M36)</f>
        <v>-0.27479879537195062</v>
      </c>
      <c r="T33" s="25">
        <f>bdrate(C33:C36,H33:H36,J33:J36,O33:O36)</f>
        <v>-0.1064262889858365</v>
      </c>
      <c r="U33" s="28">
        <f t="shared" si="2"/>
        <v>1.0024305555555557</v>
      </c>
    </row>
    <row r="34" spans="1:21" x14ac:dyDescent="0.25">
      <c r="B34" s="9"/>
      <c r="C34" s="17">
        <v>1519.73</v>
      </c>
      <c r="D34" s="18">
        <v>33.212000000000003</v>
      </c>
      <c r="E34" s="18">
        <v>39.01</v>
      </c>
      <c r="F34" s="18">
        <v>41.55</v>
      </c>
      <c r="G34" s="18">
        <v>1.68</v>
      </c>
      <c r="H34" s="18">
        <f t="shared" si="0"/>
        <v>34.978999999999999</v>
      </c>
      <c r="I34" s="5"/>
      <c r="J34" s="17">
        <v>1604.3871999999999</v>
      </c>
      <c r="K34" s="18">
        <v>33.546799999999998</v>
      </c>
      <c r="L34" s="18">
        <v>39.676000000000002</v>
      </c>
      <c r="M34" s="18">
        <v>42.204300000000003</v>
      </c>
      <c r="N34" s="18">
        <v>3.5554000000000001</v>
      </c>
      <c r="O34" s="18">
        <f t="shared" si="1"/>
        <v>35.395137499999997</v>
      </c>
      <c r="P34" s="7"/>
      <c r="Q34" s="10"/>
      <c r="R34" s="11"/>
      <c r="S34" s="11"/>
      <c r="T34" s="26"/>
      <c r="U34" s="28">
        <f t="shared" si="2"/>
        <v>1.116309523809524</v>
      </c>
    </row>
    <row r="35" spans="1:21" x14ac:dyDescent="0.25">
      <c r="B35" s="9"/>
      <c r="C35" s="17">
        <v>941.37</v>
      </c>
      <c r="D35" s="18">
        <v>32.284999999999997</v>
      </c>
      <c r="E35" s="18">
        <v>38.43</v>
      </c>
      <c r="F35" s="18">
        <v>40.987000000000002</v>
      </c>
      <c r="G35" s="18">
        <v>2.0299999999999998</v>
      </c>
      <c r="H35" s="18">
        <f t="shared" si="0"/>
        <v>34.140875000000001</v>
      </c>
      <c r="I35" s="5"/>
      <c r="J35" s="17">
        <v>989.70640000000003</v>
      </c>
      <c r="K35" s="18">
        <v>32.549300000000002</v>
      </c>
      <c r="L35" s="18">
        <v>38.875999999999998</v>
      </c>
      <c r="M35" s="18">
        <v>41.460799999999999</v>
      </c>
      <c r="N35" s="18">
        <v>4.7945000000000002</v>
      </c>
      <c r="O35" s="18">
        <f t="shared" si="1"/>
        <v>34.454075000000003</v>
      </c>
      <c r="P35" s="7"/>
      <c r="Q35" s="10"/>
      <c r="R35" s="11"/>
      <c r="S35" s="11"/>
      <c r="T35" s="26"/>
      <c r="U35" s="28">
        <f t="shared" si="2"/>
        <v>1.3618226600985226</v>
      </c>
    </row>
    <row r="36" spans="1:21" ht="16.5" thickBot="1" x14ac:dyDescent="0.3">
      <c r="B36" s="12"/>
      <c r="C36" s="19">
        <v>547.9</v>
      </c>
      <c r="D36" s="20">
        <v>30.972999999999999</v>
      </c>
      <c r="E36" s="20">
        <v>37.786000000000001</v>
      </c>
      <c r="F36" s="20">
        <v>40.380000000000003</v>
      </c>
      <c r="G36" s="20">
        <v>2.5099999999999998</v>
      </c>
      <c r="H36" s="20">
        <f t="shared" si="0"/>
        <v>33.000500000000002</v>
      </c>
      <c r="I36" s="5"/>
      <c r="J36" s="19">
        <v>602.3184</v>
      </c>
      <c r="K36" s="20">
        <v>31.1052</v>
      </c>
      <c r="L36" s="20">
        <v>38.132399999999997</v>
      </c>
      <c r="M36" s="20">
        <v>40.632399999999997</v>
      </c>
      <c r="N36" s="20">
        <v>6.7271999999999998</v>
      </c>
      <c r="O36" s="20">
        <f t="shared" si="1"/>
        <v>33.174500000000002</v>
      </c>
      <c r="P36" s="7"/>
      <c r="Q36" s="13"/>
      <c r="R36" s="14"/>
      <c r="S36" s="14"/>
      <c r="T36" s="27"/>
      <c r="U36" s="28">
        <f t="shared" si="2"/>
        <v>1.680159362549801</v>
      </c>
    </row>
    <row r="37" spans="1:21" x14ac:dyDescent="0.25">
      <c r="A37" s="6" t="s">
        <v>39</v>
      </c>
      <c r="B37" s="6" t="s">
        <v>53</v>
      </c>
      <c r="C37" s="15">
        <v>1219.5999999999999</v>
      </c>
      <c r="D37" s="16">
        <v>36.107999999999997</v>
      </c>
      <c r="E37" s="16">
        <v>39.494999999999997</v>
      </c>
      <c r="F37" s="16">
        <v>39.526000000000003</v>
      </c>
      <c r="G37" s="16">
        <v>1.91</v>
      </c>
      <c r="H37" s="16">
        <f t="shared" si="0"/>
        <v>36.958624999999998</v>
      </c>
      <c r="I37" s="5"/>
      <c r="J37" s="15">
        <v>1273.7064</v>
      </c>
      <c r="K37" s="16">
        <v>37.075099999999999</v>
      </c>
      <c r="L37" s="16">
        <v>40.7547</v>
      </c>
      <c r="M37" s="16">
        <v>40.787700000000001</v>
      </c>
      <c r="N37" s="16">
        <v>6.1296999999999997</v>
      </c>
      <c r="O37" s="16">
        <f t="shared" si="1"/>
        <v>37.999125000000006</v>
      </c>
      <c r="P37" s="7"/>
      <c r="Q37" s="8">
        <f>bdrate(C37:C40,D37:D40,J37:J40,K37:K40)</f>
        <v>-0.12650364683819582</v>
      </c>
      <c r="R37" s="8">
        <f>bdrate(C37:C40,E37:E40,J37:J40,L37:L40)</f>
        <v>-0.26927633443313437</v>
      </c>
      <c r="S37" s="8">
        <f>bdrate(C37:C40,F37:F40,J37:J40,M37:M40)</f>
        <v>-0.21495922574631432</v>
      </c>
      <c r="T37" s="25">
        <f>bdrate(C37:C40,H37:H40,J37:J40,O37:O40)</f>
        <v>-0.15372240863618281</v>
      </c>
      <c r="U37" s="28">
        <f t="shared" si="2"/>
        <v>2.2092670157068062</v>
      </c>
    </row>
    <row r="38" spans="1:21" x14ac:dyDescent="0.25">
      <c r="A38" s="9" t="s">
        <v>40</v>
      </c>
      <c r="B38" s="9"/>
      <c r="C38" s="17">
        <v>811.95</v>
      </c>
      <c r="D38" s="18">
        <v>34.488999999999997</v>
      </c>
      <c r="E38" s="18">
        <v>38.100999999999999</v>
      </c>
      <c r="F38" s="18">
        <v>37.991999999999997</v>
      </c>
      <c r="G38" s="18">
        <v>2.2400000000000002</v>
      </c>
      <c r="H38" s="18">
        <f t="shared" si="0"/>
        <v>35.378374999999998</v>
      </c>
      <c r="I38" s="5"/>
      <c r="J38" s="17">
        <v>845.79039999999998</v>
      </c>
      <c r="K38" s="18">
        <v>35.227699999999999</v>
      </c>
      <c r="L38" s="18">
        <v>39.273800000000001</v>
      </c>
      <c r="M38" s="18">
        <v>39.093800000000002</v>
      </c>
      <c r="N38" s="18">
        <v>7.2175000000000002</v>
      </c>
      <c r="O38" s="18">
        <f t="shared" si="1"/>
        <v>36.216724999999997</v>
      </c>
      <c r="P38" s="7"/>
      <c r="Q38" s="10"/>
      <c r="R38" s="11"/>
      <c r="S38" s="11"/>
      <c r="T38" s="26"/>
      <c r="U38" s="28">
        <f t="shared" si="2"/>
        <v>2.222098214285714</v>
      </c>
    </row>
    <row r="39" spans="1:21" x14ac:dyDescent="0.25">
      <c r="B39" s="9"/>
      <c r="C39" s="17">
        <v>504.71</v>
      </c>
      <c r="D39" s="18">
        <v>32.658999999999999</v>
      </c>
      <c r="E39" s="18">
        <v>36.476999999999997</v>
      </c>
      <c r="F39" s="18">
        <v>36.326999999999998</v>
      </c>
      <c r="G39" s="18">
        <v>2.76</v>
      </c>
      <c r="H39" s="18">
        <f t="shared" si="0"/>
        <v>33.594750000000005</v>
      </c>
      <c r="I39" s="5"/>
      <c r="J39" s="17">
        <v>526.16319999999996</v>
      </c>
      <c r="K39" s="18">
        <v>33.320500000000003</v>
      </c>
      <c r="L39" s="18">
        <v>37.677900000000001</v>
      </c>
      <c r="M39" s="18">
        <v>37.303699999999999</v>
      </c>
      <c r="N39" s="18">
        <v>8.8295999999999992</v>
      </c>
      <c r="O39" s="18">
        <f t="shared" si="1"/>
        <v>34.363075000000002</v>
      </c>
      <c r="P39" s="7"/>
      <c r="Q39" s="10"/>
      <c r="R39" s="11"/>
      <c r="S39" s="11"/>
      <c r="T39" s="26"/>
      <c r="U39" s="28">
        <f t="shared" si="2"/>
        <v>2.1991304347826088</v>
      </c>
    </row>
    <row r="40" spans="1:21" ht="16.5" thickBot="1" x14ac:dyDescent="0.3">
      <c r="B40" s="12"/>
      <c r="C40" s="19">
        <v>303.61</v>
      </c>
      <c r="D40" s="20">
        <v>30.84</v>
      </c>
      <c r="E40" s="20">
        <v>35.213999999999999</v>
      </c>
      <c r="F40" s="20">
        <v>34.801000000000002</v>
      </c>
      <c r="G40" s="20">
        <v>3.56</v>
      </c>
      <c r="H40" s="20">
        <f t="shared" si="0"/>
        <v>31.881875000000001</v>
      </c>
      <c r="I40" s="5"/>
      <c r="J40" s="19">
        <v>316.14400000000001</v>
      </c>
      <c r="K40" s="20">
        <v>31.366199999999999</v>
      </c>
      <c r="L40" s="20">
        <v>36.034799999999997</v>
      </c>
      <c r="M40" s="20">
        <v>35.526600000000002</v>
      </c>
      <c r="N40" s="20">
        <v>11.0909</v>
      </c>
      <c r="O40" s="20">
        <f t="shared" si="1"/>
        <v>32.469825</v>
      </c>
      <c r="P40" s="7"/>
      <c r="Q40" s="13"/>
      <c r="R40" s="14"/>
      <c r="S40" s="14"/>
      <c r="T40" s="27"/>
      <c r="U40" s="28">
        <f t="shared" si="2"/>
        <v>2.1154213483146065</v>
      </c>
    </row>
    <row r="41" spans="1:21" x14ac:dyDescent="0.25">
      <c r="B41" s="6" t="s">
        <v>54</v>
      </c>
      <c r="C41" s="15">
        <v>1225.67</v>
      </c>
      <c r="D41" s="16">
        <v>36.106000000000002</v>
      </c>
      <c r="E41" s="16">
        <v>40.332000000000001</v>
      </c>
      <c r="F41" s="16">
        <v>41.212000000000003</v>
      </c>
      <c r="G41" s="16">
        <v>2.59</v>
      </c>
      <c r="H41" s="16">
        <f t="shared" si="0"/>
        <v>37.272500000000001</v>
      </c>
      <c r="I41" s="5"/>
      <c r="J41" s="15">
        <v>1282.0719999999999</v>
      </c>
      <c r="K41" s="16">
        <v>36.695599999999999</v>
      </c>
      <c r="L41" s="16">
        <v>41.543799999999997</v>
      </c>
      <c r="M41" s="16">
        <v>42.578600000000002</v>
      </c>
      <c r="N41" s="16">
        <v>7.4606000000000003</v>
      </c>
      <c r="O41" s="16">
        <f t="shared" si="1"/>
        <v>38.036999999999999</v>
      </c>
      <c r="P41" s="7"/>
      <c r="Q41" s="8">
        <f>bdrate(C41:C44,D41:D44,J41:J44,K41:K44)</f>
        <v>-0.12092945183841441</v>
      </c>
      <c r="R41" s="8">
        <f>bdrate(C41:C44,E41:E44,J41:J44,L41:L44)</f>
        <v>-0.35364351008613792</v>
      </c>
      <c r="S41" s="8">
        <f>bdrate(C41:C44,F41:F44,J41:J44,M41:M44)</f>
        <v>-0.33396568365063184</v>
      </c>
      <c r="T41" s="25">
        <f>bdrate(C41:C44,H41:H44,J41:J44,O41:O44)</f>
        <v>-0.1686297595704126</v>
      </c>
      <c r="U41" s="28">
        <f t="shared" si="2"/>
        <v>1.8805405405405409</v>
      </c>
    </row>
    <row r="42" spans="1:21" x14ac:dyDescent="0.25">
      <c r="B42" s="9"/>
      <c r="C42" s="17">
        <v>818.86</v>
      </c>
      <c r="D42" s="18">
        <v>34.447000000000003</v>
      </c>
      <c r="E42" s="18">
        <v>39.159999999999997</v>
      </c>
      <c r="F42" s="18">
        <v>39.945</v>
      </c>
      <c r="G42" s="18">
        <v>3.11</v>
      </c>
      <c r="H42" s="18">
        <f t="shared" si="0"/>
        <v>35.723375000000004</v>
      </c>
      <c r="I42" s="5"/>
      <c r="J42" s="17">
        <v>854.2328</v>
      </c>
      <c r="K42" s="18">
        <v>35.133099999999999</v>
      </c>
      <c r="L42" s="18">
        <v>40.487499999999997</v>
      </c>
      <c r="M42" s="18">
        <v>41.332000000000001</v>
      </c>
      <c r="N42" s="18">
        <v>8.9882000000000009</v>
      </c>
      <c r="O42" s="18">
        <f t="shared" si="1"/>
        <v>36.577262499999996</v>
      </c>
      <c r="P42" s="7"/>
      <c r="Q42" s="10"/>
      <c r="R42" s="11"/>
      <c r="S42" s="11"/>
      <c r="T42" s="26"/>
      <c r="U42" s="28">
        <f t="shared" si="2"/>
        <v>1.8900964630225086</v>
      </c>
    </row>
    <row r="43" spans="1:21" x14ac:dyDescent="0.25">
      <c r="B43" s="9"/>
      <c r="C43" s="17">
        <v>511.82</v>
      </c>
      <c r="D43" s="18">
        <v>32.493000000000002</v>
      </c>
      <c r="E43" s="18">
        <v>37.860999999999997</v>
      </c>
      <c r="F43" s="18">
        <v>38.542999999999999</v>
      </c>
      <c r="G43" s="18">
        <v>3.86</v>
      </c>
      <c r="H43" s="18">
        <f t="shared" si="0"/>
        <v>33.920250000000003</v>
      </c>
      <c r="I43" s="5"/>
      <c r="J43" s="17">
        <v>533.21680000000003</v>
      </c>
      <c r="K43" s="18">
        <v>33.215699999999998</v>
      </c>
      <c r="L43" s="18">
        <v>39.165199999999999</v>
      </c>
      <c r="M43" s="18">
        <v>39.877200000000002</v>
      </c>
      <c r="N43" s="18">
        <v>11.107200000000001</v>
      </c>
      <c r="O43" s="18">
        <f t="shared" si="1"/>
        <v>34.792074999999997</v>
      </c>
      <c r="P43" s="7"/>
      <c r="Q43" s="10"/>
      <c r="R43" s="11"/>
      <c r="S43" s="11"/>
      <c r="T43" s="26"/>
      <c r="U43" s="28">
        <f t="shared" si="2"/>
        <v>1.877512953367876</v>
      </c>
    </row>
    <row r="44" spans="1:21" ht="16.5" thickBot="1" x14ac:dyDescent="0.3">
      <c r="B44" s="12"/>
      <c r="C44" s="19">
        <v>306.99</v>
      </c>
      <c r="D44" s="20">
        <v>30.376999999999999</v>
      </c>
      <c r="E44" s="20">
        <v>36.491999999999997</v>
      </c>
      <c r="F44" s="20">
        <v>36.997</v>
      </c>
      <c r="G44" s="20">
        <v>5.03</v>
      </c>
      <c r="H44" s="20">
        <f t="shared" si="0"/>
        <v>31.968874999999997</v>
      </c>
      <c r="I44" s="5"/>
      <c r="J44" s="19">
        <v>319.7312</v>
      </c>
      <c r="K44" s="20">
        <v>31.088799999999999</v>
      </c>
      <c r="L44" s="20">
        <v>37.849299999999999</v>
      </c>
      <c r="M44" s="20">
        <v>38.370699999999999</v>
      </c>
      <c r="N44" s="20">
        <v>14.031499999999999</v>
      </c>
      <c r="O44" s="20">
        <f t="shared" si="1"/>
        <v>32.844099999999997</v>
      </c>
      <c r="P44" s="7"/>
      <c r="Q44" s="13"/>
      <c r="R44" s="14"/>
      <c r="S44" s="14"/>
      <c r="T44" s="27"/>
      <c r="U44" s="28">
        <f t="shared" si="2"/>
        <v>1.7895626242544731</v>
      </c>
    </row>
    <row r="45" spans="1:21" x14ac:dyDescent="0.25">
      <c r="B45" s="6" t="s">
        <v>55</v>
      </c>
      <c r="C45" s="15">
        <v>1087.9100000000001</v>
      </c>
      <c r="D45" s="16">
        <v>30.658999999999999</v>
      </c>
      <c r="E45" s="16">
        <v>35.904000000000003</v>
      </c>
      <c r="F45" s="16">
        <v>36.698999999999998</v>
      </c>
      <c r="G45" s="16">
        <v>2.4700000000000002</v>
      </c>
      <c r="H45" s="16">
        <f t="shared" si="0"/>
        <v>32.069625000000002</v>
      </c>
      <c r="I45" s="5"/>
      <c r="J45" s="15">
        <v>1262.4464</v>
      </c>
      <c r="K45" s="16">
        <v>31.617599999999999</v>
      </c>
      <c r="L45" s="16">
        <v>37.392800000000001</v>
      </c>
      <c r="M45" s="16">
        <v>38.226199999999999</v>
      </c>
      <c r="N45" s="16">
        <v>7.7191000000000001</v>
      </c>
      <c r="O45" s="16">
        <f t="shared" si="1"/>
        <v>33.165574999999997</v>
      </c>
      <c r="P45" s="7"/>
      <c r="Q45" s="8">
        <f>bdrate(C45:C48,D45:D48,J45:J48,K45:K48)</f>
        <v>-0.14083975360745882</v>
      </c>
      <c r="R45" s="8">
        <f>bdrate(C45:C48,E45:E48,J45:J48,L45:L48)</f>
        <v>-0.38713646460363205</v>
      </c>
      <c r="S45" s="8">
        <f>bdrate(C45:C48,F45:F48,J45:J48,M45:M48)</f>
        <v>-0.37646709039779069</v>
      </c>
      <c r="T45" s="25">
        <f>bdrate(C45:C48,H45:H48,J45:J48,O45:O48)</f>
        <v>-0.18939176377457589</v>
      </c>
      <c r="U45" s="28">
        <f t="shared" si="2"/>
        <v>2.1251417004048583</v>
      </c>
    </row>
    <row r="46" spans="1:21" x14ac:dyDescent="0.25">
      <c r="B46" s="9"/>
      <c r="C46" s="17">
        <v>728.35</v>
      </c>
      <c r="D46" s="18">
        <v>29.202999999999999</v>
      </c>
      <c r="E46" s="18">
        <v>35.033000000000001</v>
      </c>
      <c r="F46" s="18">
        <v>35.795000000000002</v>
      </c>
      <c r="G46" s="18">
        <v>2.97</v>
      </c>
      <c r="H46" s="18">
        <f t="shared" si="0"/>
        <v>30.755749999999999</v>
      </c>
      <c r="I46" s="5"/>
      <c r="J46" s="17">
        <v>841.18640000000005</v>
      </c>
      <c r="K46" s="18">
        <v>30.193300000000001</v>
      </c>
      <c r="L46" s="18">
        <v>36.430399999999999</v>
      </c>
      <c r="M46" s="18">
        <v>37.226199999999999</v>
      </c>
      <c r="N46" s="18">
        <v>9.3239999999999998</v>
      </c>
      <c r="O46" s="18">
        <f t="shared" si="1"/>
        <v>31.852050000000002</v>
      </c>
      <c r="P46" s="7"/>
      <c r="Q46" s="10"/>
      <c r="R46" s="11"/>
      <c r="S46" s="11"/>
      <c r="T46" s="26"/>
      <c r="U46" s="28">
        <f t="shared" si="2"/>
        <v>2.1393939393939392</v>
      </c>
    </row>
    <row r="47" spans="1:21" x14ac:dyDescent="0.25">
      <c r="B47" s="9"/>
      <c r="C47" s="17">
        <v>458.79</v>
      </c>
      <c r="D47" s="18">
        <v>27.65</v>
      </c>
      <c r="E47" s="18">
        <v>34.142000000000003</v>
      </c>
      <c r="F47" s="18">
        <v>34.883000000000003</v>
      </c>
      <c r="G47" s="18">
        <v>3.72</v>
      </c>
      <c r="H47" s="18">
        <f t="shared" si="0"/>
        <v>29.365624999999998</v>
      </c>
      <c r="I47" s="5"/>
      <c r="J47" s="17">
        <v>523.58159999999998</v>
      </c>
      <c r="K47" s="18">
        <v>28.618099999999998</v>
      </c>
      <c r="L47" s="18">
        <v>35.403599999999997</v>
      </c>
      <c r="M47" s="18">
        <v>36.134500000000003</v>
      </c>
      <c r="N47" s="18">
        <v>11.605</v>
      </c>
      <c r="O47" s="18">
        <f t="shared" si="1"/>
        <v>30.405837499999997</v>
      </c>
      <c r="P47" s="7"/>
      <c r="Q47" s="10"/>
      <c r="R47" s="11"/>
      <c r="S47" s="11"/>
      <c r="T47" s="26"/>
      <c r="U47" s="28">
        <f t="shared" si="2"/>
        <v>2.1196236559139785</v>
      </c>
    </row>
    <row r="48" spans="1:21" ht="16.5" thickBot="1" x14ac:dyDescent="0.3">
      <c r="B48" s="12"/>
      <c r="C48" s="19">
        <v>274.27</v>
      </c>
      <c r="D48" s="20">
        <v>26.187000000000001</v>
      </c>
      <c r="E48" s="20">
        <v>33.210999999999999</v>
      </c>
      <c r="F48" s="20">
        <v>33.951999999999998</v>
      </c>
      <c r="G48" s="20">
        <v>4.88</v>
      </c>
      <c r="H48" s="20">
        <f t="shared" si="0"/>
        <v>28.035625000000003</v>
      </c>
      <c r="I48" s="5"/>
      <c r="J48" s="19">
        <v>313.14319999999998</v>
      </c>
      <c r="K48" s="20">
        <v>26.952999999999999</v>
      </c>
      <c r="L48" s="20">
        <v>34.2545</v>
      </c>
      <c r="M48" s="20">
        <v>34.972700000000003</v>
      </c>
      <c r="N48" s="20">
        <v>14.6464</v>
      </c>
      <c r="O48" s="20">
        <f t="shared" si="1"/>
        <v>28.86815</v>
      </c>
      <c r="P48" s="7"/>
      <c r="Q48" s="13"/>
      <c r="R48" s="14"/>
      <c r="S48" s="14"/>
      <c r="T48" s="27"/>
      <c r="U48" s="28">
        <f t="shared" si="2"/>
        <v>2.0013114754098362</v>
      </c>
    </row>
    <row r="49" spans="1:21" x14ac:dyDescent="0.25">
      <c r="B49" s="6" t="s">
        <v>56</v>
      </c>
      <c r="C49" s="15">
        <v>1092.1400000000001</v>
      </c>
      <c r="D49" s="16">
        <v>33.81</v>
      </c>
      <c r="E49" s="16">
        <v>37.232999999999997</v>
      </c>
      <c r="F49" s="16">
        <v>38.921999999999997</v>
      </c>
      <c r="G49" s="16">
        <v>1.42</v>
      </c>
      <c r="H49" s="16">
        <f t="shared" si="0"/>
        <v>34.876874999999998</v>
      </c>
      <c r="I49" s="5"/>
      <c r="J49" s="15">
        <v>1261.96</v>
      </c>
      <c r="K49" s="16">
        <v>33.906799999999997</v>
      </c>
      <c r="L49" s="16">
        <v>37.958799999999997</v>
      </c>
      <c r="M49" s="16">
        <v>39.598399999999998</v>
      </c>
      <c r="N49" s="16">
        <v>4.9856999999999996</v>
      </c>
      <c r="O49" s="16">
        <f t="shared" si="1"/>
        <v>35.124749999999992</v>
      </c>
      <c r="P49" s="7"/>
      <c r="Q49" s="8">
        <f>bdrate(C49:C52,D49:D52,J49:J52,K49:K52)</f>
        <v>0.13217601664375134</v>
      </c>
      <c r="R49" s="8">
        <f>bdrate(C49:C52,E49:E52,J49:J52,L49:L52)</f>
        <v>-9.4841333492624247E-2</v>
      </c>
      <c r="S49" s="8">
        <f>bdrate(C49:C52,F49:F52,J49:J52,M49:M52)</f>
        <v>-9.231951264252003E-2</v>
      </c>
      <c r="T49" s="25">
        <f>bdrate(C49:C52,H49:H52,J49:J52,O49:O52)</f>
        <v>8.7840237034181534E-2</v>
      </c>
      <c r="U49" s="28">
        <f t="shared" si="2"/>
        <v>2.511056338028169</v>
      </c>
    </row>
    <row r="50" spans="1:21" x14ac:dyDescent="0.25">
      <c r="B50" s="9"/>
      <c r="C50" s="17">
        <v>737.66</v>
      </c>
      <c r="D50" s="18">
        <v>32.335999999999999</v>
      </c>
      <c r="E50" s="18">
        <v>36.274999999999999</v>
      </c>
      <c r="F50" s="18">
        <v>37.948999999999998</v>
      </c>
      <c r="G50" s="18">
        <v>1.67</v>
      </c>
      <c r="H50" s="18">
        <f t="shared" si="0"/>
        <v>33.53</v>
      </c>
      <c r="I50" s="5"/>
      <c r="J50" s="17">
        <v>841.79759999999999</v>
      </c>
      <c r="K50" s="18">
        <v>32.3855</v>
      </c>
      <c r="L50" s="18">
        <v>36.888199999999998</v>
      </c>
      <c r="M50" s="18">
        <v>38.558799999999998</v>
      </c>
      <c r="N50" s="18">
        <v>5.8265000000000002</v>
      </c>
      <c r="O50" s="18">
        <f t="shared" si="1"/>
        <v>33.72</v>
      </c>
      <c r="P50" s="7"/>
      <c r="Q50" s="10"/>
      <c r="R50" s="11"/>
      <c r="S50" s="11"/>
      <c r="T50" s="26"/>
      <c r="U50" s="28">
        <f t="shared" si="2"/>
        <v>2.488922155688623</v>
      </c>
    </row>
    <row r="51" spans="1:21" x14ac:dyDescent="0.25">
      <c r="B51" s="9"/>
      <c r="C51" s="17">
        <v>470.34</v>
      </c>
      <c r="D51" s="18">
        <v>30.687999999999999</v>
      </c>
      <c r="E51" s="18">
        <v>35.302999999999997</v>
      </c>
      <c r="F51" s="18">
        <v>36.899000000000001</v>
      </c>
      <c r="G51" s="18">
        <v>1.98</v>
      </c>
      <c r="H51" s="18">
        <f t="shared" si="0"/>
        <v>32.041249999999998</v>
      </c>
      <c r="I51" s="5"/>
      <c r="J51" s="17">
        <v>525.01199999999994</v>
      </c>
      <c r="K51" s="18">
        <v>30.6282</v>
      </c>
      <c r="L51" s="18">
        <v>35.732900000000001</v>
      </c>
      <c r="M51" s="18">
        <v>37.362099999999998</v>
      </c>
      <c r="N51" s="18">
        <v>6.9771000000000001</v>
      </c>
      <c r="O51" s="18">
        <f t="shared" si="1"/>
        <v>32.108024999999998</v>
      </c>
      <c r="P51" s="7"/>
      <c r="Q51" s="10"/>
      <c r="R51" s="11"/>
      <c r="S51" s="11"/>
      <c r="T51" s="26"/>
      <c r="U51" s="28">
        <f t="shared" si="2"/>
        <v>2.5237878787878785</v>
      </c>
    </row>
    <row r="52" spans="1:21" ht="16.5" thickBot="1" x14ac:dyDescent="0.3">
      <c r="B52" s="12"/>
      <c r="C52" s="19">
        <v>288.67</v>
      </c>
      <c r="D52" s="20">
        <v>29.061</v>
      </c>
      <c r="E52" s="20">
        <v>34.283000000000001</v>
      </c>
      <c r="F52" s="20">
        <v>35.793999999999997</v>
      </c>
      <c r="G52" s="20">
        <v>2.4700000000000002</v>
      </c>
      <c r="H52" s="20">
        <f t="shared" si="0"/>
        <v>30.555374999999998</v>
      </c>
      <c r="I52" s="5"/>
      <c r="J52" s="19">
        <v>313.32479999999998</v>
      </c>
      <c r="K52" s="20">
        <v>28.886800000000001</v>
      </c>
      <c r="L52" s="20">
        <v>34.6008</v>
      </c>
      <c r="M52" s="20">
        <v>36.151899999999998</v>
      </c>
      <c r="N52" s="20">
        <v>8.6184999999999992</v>
      </c>
      <c r="O52" s="20">
        <f t="shared" si="1"/>
        <v>30.509187500000003</v>
      </c>
      <c r="P52" s="7"/>
      <c r="Q52" s="13"/>
      <c r="R52" s="14"/>
      <c r="S52" s="14"/>
      <c r="T52" s="27"/>
      <c r="U52" s="28">
        <f t="shared" si="2"/>
        <v>2.4892712550607281</v>
      </c>
    </row>
    <row r="53" spans="1:21" x14ac:dyDescent="0.25">
      <c r="A53" s="6" t="s">
        <v>41</v>
      </c>
      <c r="B53" s="6" t="s">
        <v>57</v>
      </c>
      <c r="C53" s="15">
        <v>634.77</v>
      </c>
      <c r="D53" s="16">
        <v>36.140999999999998</v>
      </c>
      <c r="E53" s="16">
        <v>40.194000000000003</v>
      </c>
      <c r="F53" s="16">
        <v>39.015000000000001</v>
      </c>
      <c r="G53" s="16">
        <v>3.17</v>
      </c>
      <c r="H53" s="16">
        <f t="shared" si="0"/>
        <v>37.006875000000001</v>
      </c>
      <c r="I53" s="5"/>
      <c r="J53" s="15">
        <v>636.52959999999996</v>
      </c>
      <c r="K53" s="16">
        <v>36.062800000000003</v>
      </c>
      <c r="L53" s="16">
        <v>41.089500000000001</v>
      </c>
      <c r="M53" s="16">
        <v>39.518700000000003</v>
      </c>
      <c r="N53" s="16">
        <v>15.6485</v>
      </c>
      <c r="O53" s="16">
        <f t="shared" si="1"/>
        <v>37.123125000000002</v>
      </c>
      <c r="P53" s="7"/>
      <c r="Q53" s="8">
        <f>bdrate(C53:C56,D53:D56,J53:J56,K53:K56)</f>
        <v>3.3034413864909684E-2</v>
      </c>
      <c r="R53" s="8">
        <f>bdrate(C53:C56,E53:E56,J53:J56,L53:L56)</f>
        <v>-0.26426040489365044</v>
      </c>
      <c r="S53" s="8">
        <f>bdrate(C53:C56,F53:F56,J53:J56,M53:M56)</f>
        <v>-0.1085918909175474</v>
      </c>
      <c r="T53" s="25">
        <f>bdrate(C53:C56,H53:H56,J53:J56,O53:O56)</f>
        <v>-1.4160690160122447E-2</v>
      </c>
      <c r="U53" s="28">
        <f t="shared" si="2"/>
        <v>3.936435331230284</v>
      </c>
    </row>
    <row r="54" spans="1:21" x14ac:dyDescent="0.25">
      <c r="A54" s="9" t="s">
        <v>42</v>
      </c>
      <c r="B54" s="9"/>
      <c r="C54" s="17">
        <v>422.16</v>
      </c>
      <c r="D54" s="18">
        <v>34.201000000000001</v>
      </c>
      <c r="E54" s="18">
        <v>38.805999999999997</v>
      </c>
      <c r="F54" s="18">
        <v>37.46</v>
      </c>
      <c r="G54" s="18">
        <v>3.78</v>
      </c>
      <c r="H54" s="18">
        <f t="shared" si="0"/>
        <v>35.183999999999997</v>
      </c>
      <c r="I54" s="5"/>
      <c r="J54" s="17">
        <v>421.78960000000001</v>
      </c>
      <c r="K54" s="18">
        <v>34.070799999999998</v>
      </c>
      <c r="L54" s="18">
        <v>39.750100000000003</v>
      </c>
      <c r="M54" s="18">
        <v>37.946199999999997</v>
      </c>
      <c r="N54" s="18">
        <v>18.1891</v>
      </c>
      <c r="O54" s="18">
        <f t="shared" si="1"/>
        <v>35.265137500000002</v>
      </c>
      <c r="P54" s="7"/>
      <c r="Q54" s="10"/>
      <c r="R54" s="11"/>
      <c r="S54" s="11"/>
      <c r="T54" s="26"/>
      <c r="U54" s="28">
        <f t="shared" si="2"/>
        <v>3.8119312169312174</v>
      </c>
    </row>
    <row r="55" spans="1:21" x14ac:dyDescent="0.25">
      <c r="B55" s="9"/>
      <c r="C55" s="17">
        <v>264.24</v>
      </c>
      <c r="D55" s="18">
        <v>32.119999999999997</v>
      </c>
      <c r="E55" s="18">
        <v>37.381999999999998</v>
      </c>
      <c r="F55" s="18">
        <v>35.868000000000002</v>
      </c>
      <c r="G55" s="18">
        <v>4.68</v>
      </c>
      <c r="H55" s="18">
        <f t="shared" si="0"/>
        <v>33.246249999999996</v>
      </c>
      <c r="I55" s="5"/>
      <c r="J55" s="17">
        <v>263.01600000000002</v>
      </c>
      <c r="K55" s="18">
        <v>31.962199999999999</v>
      </c>
      <c r="L55" s="18">
        <v>38.259599999999999</v>
      </c>
      <c r="M55" s="18">
        <v>36.220100000000002</v>
      </c>
      <c r="N55" s="18">
        <v>21.1265</v>
      </c>
      <c r="O55" s="18">
        <f t="shared" si="1"/>
        <v>33.281612500000001</v>
      </c>
      <c r="P55" s="7"/>
      <c r="Q55" s="10"/>
      <c r="R55" s="11"/>
      <c r="S55" s="11"/>
      <c r="T55" s="26"/>
      <c r="U55" s="28">
        <f t="shared" si="2"/>
        <v>3.5142094017094019</v>
      </c>
    </row>
    <row r="56" spans="1:21" ht="16.5" thickBot="1" x14ac:dyDescent="0.3">
      <c r="B56" s="12"/>
      <c r="C56" s="19">
        <v>126.48</v>
      </c>
      <c r="D56" s="20">
        <v>29.216000000000001</v>
      </c>
      <c r="E56" s="20">
        <v>35.372999999999998</v>
      </c>
      <c r="F56" s="20">
        <v>33.561</v>
      </c>
      <c r="G56" s="20">
        <v>7.02</v>
      </c>
      <c r="H56" s="20">
        <f t="shared" si="0"/>
        <v>30.528749999999999</v>
      </c>
      <c r="I56" s="5"/>
      <c r="J56" s="19">
        <v>124.63039999999999</v>
      </c>
      <c r="K56" s="20">
        <v>28.963899999999999</v>
      </c>
      <c r="L56" s="20">
        <v>36.280900000000003</v>
      </c>
      <c r="M56" s="20">
        <v>33.799500000000002</v>
      </c>
      <c r="N56" s="20">
        <v>28.3962</v>
      </c>
      <c r="O56" s="20">
        <f t="shared" si="1"/>
        <v>30.482975</v>
      </c>
      <c r="P56" s="7"/>
      <c r="Q56" s="13"/>
      <c r="R56" s="14"/>
      <c r="S56" s="14"/>
      <c r="T56" s="27"/>
      <c r="U56" s="28">
        <f t="shared" si="2"/>
        <v>3.0450427350427351</v>
      </c>
    </row>
    <row r="57" spans="1:21" x14ac:dyDescent="0.25">
      <c r="B57" s="6" t="s">
        <v>58</v>
      </c>
      <c r="C57" s="15">
        <v>544.85</v>
      </c>
      <c r="D57" s="16">
        <v>33.645000000000003</v>
      </c>
      <c r="E57" s="16">
        <v>40.244999999999997</v>
      </c>
      <c r="F57" s="16">
        <v>41.024000000000001</v>
      </c>
      <c r="G57" s="16">
        <v>6.68</v>
      </c>
      <c r="H57" s="16">
        <f t="shared" si="0"/>
        <v>35.392375000000001</v>
      </c>
      <c r="I57" s="5"/>
      <c r="J57" s="15">
        <v>628.3768</v>
      </c>
      <c r="K57" s="16">
        <v>34.929000000000002</v>
      </c>
      <c r="L57" s="16">
        <v>41.918300000000002</v>
      </c>
      <c r="M57" s="16">
        <v>42.828699999999998</v>
      </c>
      <c r="N57" s="16">
        <v>19.345500000000001</v>
      </c>
      <c r="O57" s="16">
        <f t="shared" si="1"/>
        <v>36.790125000000003</v>
      </c>
      <c r="P57" s="7"/>
      <c r="Q57" s="8">
        <f>bdrate(C57:C60,D57:D60,J57:J60,K57:K60)</f>
        <v>-0.18226704275758321</v>
      </c>
      <c r="R57" s="8">
        <f>bdrate(C57:C60,E57:E60,J57:J60,L57:L60)</f>
        <v>-0.42805216006465741</v>
      </c>
      <c r="S57" s="8">
        <f>bdrate(C57:C60,F57:F60,J57:J60,M57:M60)</f>
        <v>-0.42669459016637457</v>
      </c>
      <c r="T57" s="25">
        <f>bdrate(C57:C60,H57:H60,J57:J60,O57:O60)</f>
        <v>-0.22892262324978752</v>
      </c>
      <c r="U57" s="28">
        <f t="shared" si="2"/>
        <v>1.8960329341317368</v>
      </c>
    </row>
    <row r="58" spans="1:21" x14ac:dyDescent="0.25">
      <c r="B58" s="9"/>
      <c r="C58" s="17">
        <v>358.66</v>
      </c>
      <c r="D58" s="18">
        <v>32.228999999999999</v>
      </c>
      <c r="E58" s="18">
        <v>39.451999999999998</v>
      </c>
      <c r="F58" s="18">
        <v>40.168999999999997</v>
      </c>
      <c r="G58" s="18">
        <v>8.0299999999999994</v>
      </c>
      <c r="H58" s="18">
        <f t="shared" si="0"/>
        <v>34.124375000000001</v>
      </c>
      <c r="I58" s="5"/>
      <c r="J58" s="17">
        <v>417.65039999999999</v>
      </c>
      <c r="K58" s="18">
        <v>33.530700000000003</v>
      </c>
      <c r="L58" s="18">
        <v>41.043300000000002</v>
      </c>
      <c r="M58" s="18">
        <v>41.965000000000003</v>
      </c>
      <c r="N58" s="18">
        <v>24.622499999999999</v>
      </c>
      <c r="O58" s="18">
        <f t="shared" si="1"/>
        <v>35.524062499999999</v>
      </c>
      <c r="P58" s="7"/>
      <c r="Q58" s="10"/>
      <c r="R58" s="11"/>
      <c r="S58" s="11"/>
      <c r="T58" s="26"/>
      <c r="U58" s="28">
        <f t="shared" si="2"/>
        <v>2.0663138231631386</v>
      </c>
    </row>
    <row r="59" spans="1:21" x14ac:dyDescent="0.25">
      <c r="B59" s="9"/>
      <c r="C59" s="17">
        <v>222.64</v>
      </c>
      <c r="D59" s="18">
        <v>30.643000000000001</v>
      </c>
      <c r="E59" s="18">
        <v>38.576999999999998</v>
      </c>
      <c r="F59" s="18">
        <v>39.338000000000001</v>
      </c>
      <c r="G59" s="18">
        <v>9.7799999999999994</v>
      </c>
      <c r="H59" s="18">
        <f t="shared" si="0"/>
        <v>32.721625000000003</v>
      </c>
      <c r="I59" s="5"/>
      <c r="J59" s="17">
        <v>259.7568</v>
      </c>
      <c r="K59" s="18">
        <v>31.878499999999999</v>
      </c>
      <c r="L59" s="18">
        <v>39.964799999999997</v>
      </c>
      <c r="M59" s="18">
        <v>40.822800000000001</v>
      </c>
      <c r="N59" s="18">
        <v>31.9438</v>
      </c>
      <c r="O59" s="18">
        <f t="shared" si="1"/>
        <v>34.007324999999994</v>
      </c>
      <c r="P59" s="7"/>
      <c r="Q59" s="10"/>
      <c r="R59" s="11"/>
      <c r="S59" s="11"/>
      <c r="T59" s="26"/>
      <c r="U59" s="28">
        <f t="shared" si="2"/>
        <v>2.2662372188139064</v>
      </c>
    </row>
    <row r="60" spans="1:21" ht="16.5" thickBot="1" x14ac:dyDescent="0.3">
      <c r="B60" s="12"/>
      <c r="C60" s="19">
        <v>105.12</v>
      </c>
      <c r="D60" s="20">
        <v>28.125</v>
      </c>
      <c r="E60" s="20">
        <v>37.539000000000001</v>
      </c>
      <c r="F60" s="20">
        <v>38.012999999999998</v>
      </c>
      <c r="G60" s="20">
        <v>14.07</v>
      </c>
      <c r="H60" s="20">
        <f t="shared" si="0"/>
        <v>30.537749999999999</v>
      </c>
      <c r="I60" s="5"/>
      <c r="J60" s="19">
        <v>123.08799999999999</v>
      </c>
      <c r="K60" s="20">
        <v>29.144100000000002</v>
      </c>
      <c r="L60" s="20">
        <v>38.421999999999997</v>
      </c>
      <c r="M60" s="20">
        <v>39.009700000000002</v>
      </c>
      <c r="N60" s="20">
        <v>48.931699999999999</v>
      </c>
      <c r="O60" s="20">
        <f t="shared" si="1"/>
        <v>31.5370375</v>
      </c>
      <c r="P60" s="7"/>
      <c r="Q60" s="13"/>
      <c r="R60" s="14"/>
      <c r="S60" s="14"/>
      <c r="T60" s="27"/>
      <c r="U60" s="28">
        <f t="shared" si="2"/>
        <v>2.4777327647476901</v>
      </c>
    </row>
    <row r="61" spans="1:21" x14ac:dyDescent="0.25">
      <c r="B61" s="6" t="s">
        <v>59</v>
      </c>
      <c r="C61" s="29">
        <v>624.79999999999995</v>
      </c>
      <c r="D61" s="30">
        <v>34.036000000000001</v>
      </c>
      <c r="E61" s="30">
        <v>37.768000000000001</v>
      </c>
      <c r="F61" s="30">
        <v>38.368000000000002</v>
      </c>
      <c r="G61" s="16">
        <v>4.37</v>
      </c>
      <c r="H61" s="16">
        <f t="shared" si="0"/>
        <v>35.044000000000004</v>
      </c>
      <c r="I61" s="5"/>
      <c r="J61" s="29">
        <v>655.45759999999996</v>
      </c>
      <c r="K61" s="30">
        <v>34.525500000000001</v>
      </c>
      <c r="L61" s="30">
        <v>39.045400000000001</v>
      </c>
      <c r="M61" s="30">
        <v>39.952399999999997</v>
      </c>
      <c r="N61" s="16">
        <v>16.409600000000001</v>
      </c>
      <c r="O61" s="16">
        <f t="shared" si="1"/>
        <v>35.76885</v>
      </c>
      <c r="P61" s="7"/>
      <c r="Q61" s="8">
        <f>bdrate(C61:C64,D61:D64,J61:J64,K61:K64)</f>
        <v>-0.11045140734042302</v>
      </c>
      <c r="R61" s="8">
        <f>bdrate(C61:C64,E61:E64,J61:J64,L61:L64)</f>
        <v>-0.32683253661905565</v>
      </c>
      <c r="S61" s="8">
        <f>bdrate(C61:C64,F61:F64,J61:J64,M61:M64)</f>
        <v>-0.39132421634367809</v>
      </c>
      <c r="T61" s="25">
        <f>bdrate(C61:C64,H61:H64,J61:J64,O61:O64)</f>
        <v>-0.16412311111912559</v>
      </c>
      <c r="U61" s="28">
        <f t="shared" si="2"/>
        <v>2.7550572082379863</v>
      </c>
    </row>
    <row r="62" spans="1:21" x14ac:dyDescent="0.25">
      <c r="B62" s="9"/>
      <c r="C62" s="31">
        <v>416.24</v>
      </c>
      <c r="D62" s="32">
        <v>32.357999999999997</v>
      </c>
      <c r="E62" s="32">
        <v>36.564999999999998</v>
      </c>
      <c r="F62" s="32">
        <v>37.155000000000001</v>
      </c>
      <c r="G62" s="18">
        <v>5.24</v>
      </c>
      <c r="H62" s="18">
        <f t="shared" si="0"/>
        <v>33.483499999999992</v>
      </c>
      <c r="I62" s="5"/>
      <c r="J62" s="31">
        <v>433.34879999999998</v>
      </c>
      <c r="K62" s="32">
        <v>32.9041</v>
      </c>
      <c r="L62" s="32">
        <v>37.7879</v>
      </c>
      <c r="M62" s="32">
        <v>38.691299999999998</v>
      </c>
      <c r="N62" s="18">
        <v>20.132100000000001</v>
      </c>
      <c r="O62" s="18">
        <f t="shared" si="1"/>
        <v>34.237974999999999</v>
      </c>
      <c r="P62" s="7"/>
      <c r="Q62" s="10"/>
      <c r="R62" s="11"/>
      <c r="S62" s="11"/>
      <c r="T62" s="26"/>
      <c r="U62" s="28">
        <f t="shared" si="2"/>
        <v>2.842003816793893</v>
      </c>
    </row>
    <row r="63" spans="1:21" x14ac:dyDescent="0.25">
      <c r="B63" s="9"/>
      <c r="C63" s="31">
        <v>259.62</v>
      </c>
      <c r="D63" s="32">
        <v>30.488</v>
      </c>
      <c r="E63" s="32">
        <v>35.401000000000003</v>
      </c>
      <c r="F63" s="32">
        <v>35.970999999999997</v>
      </c>
      <c r="G63" s="18">
        <v>6.64</v>
      </c>
      <c r="H63" s="18">
        <f t="shared" si="0"/>
        <v>31.787500000000001</v>
      </c>
      <c r="I63" s="5"/>
      <c r="J63" s="31">
        <v>271.44319999999999</v>
      </c>
      <c r="K63" s="32">
        <v>31.1218</v>
      </c>
      <c r="L63" s="32">
        <v>36.518900000000002</v>
      </c>
      <c r="M63" s="32">
        <v>37.355899999999998</v>
      </c>
      <c r="N63" s="18">
        <v>24.692599999999999</v>
      </c>
      <c r="O63" s="18">
        <f t="shared" si="1"/>
        <v>32.575699999999998</v>
      </c>
      <c r="P63" s="7"/>
      <c r="Q63" s="10"/>
      <c r="R63" s="11"/>
      <c r="S63" s="11"/>
      <c r="T63" s="26"/>
      <c r="U63" s="28">
        <f t="shared" si="2"/>
        <v>2.7187650602409636</v>
      </c>
    </row>
    <row r="64" spans="1:21" ht="16.5" thickBot="1" x14ac:dyDescent="0.3">
      <c r="B64" s="12"/>
      <c r="C64" s="33">
        <v>123.6</v>
      </c>
      <c r="D64" s="34">
        <v>27.891999999999999</v>
      </c>
      <c r="E64" s="34">
        <v>33.701000000000001</v>
      </c>
      <c r="F64" s="34">
        <v>34.186999999999998</v>
      </c>
      <c r="G64" s="20">
        <v>9.76</v>
      </c>
      <c r="H64" s="20">
        <f t="shared" si="0"/>
        <v>29.405000000000001</v>
      </c>
      <c r="I64" s="5"/>
      <c r="J64" s="33">
        <v>127.536</v>
      </c>
      <c r="K64" s="34">
        <v>28.501300000000001</v>
      </c>
      <c r="L64" s="34">
        <v>34.619999999999997</v>
      </c>
      <c r="M64" s="34">
        <v>35.459499999999998</v>
      </c>
      <c r="N64" s="20">
        <v>34.877200000000002</v>
      </c>
      <c r="O64" s="20">
        <f t="shared" si="1"/>
        <v>30.1359125</v>
      </c>
      <c r="P64" s="7"/>
      <c r="Q64" s="13"/>
      <c r="R64" s="14"/>
      <c r="S64" s="14"/>
      <c r="T64" s="27"/>
      <c r="U64" s="28">
        <f t="shared" si="2"/>
        <v>2.5734836065573776</v>
      </c>
    </row>
    <row r="65" spans="1:21" x14ac:dyDescent="0.25">
      <c r="B65" s="6" t="s">
        <v>60</v>
      </c>
      <c r="C65" s="15">
        <v>574.29999999999995</v>
      </c>
      <c r="D65" s="16">
        <v>35.735999999999997</v>
      </c>
      <c r="E65" s="16">
        <v>38.497999999999998</v>
      </c>
      <c r="F65" s="16">
        <v>39.68</v>
      </c>
      <c r="G65" s="16">
        <v>2.37</v>
      </c>
      <c r="H65" s="16">
        <f t="shared" si="0"/>
        <v>36.574249999999999</v>
      </c>
      <c r="I65" s="5"/>
      <c r="J65" s="15">
        <v>638.82240000000002</v>
      </c>
      <c r="K65" s="16">
        <v>35.936100000000003</v>
      </c>
      <c r="L65" s="16">
        <v>39.366100000000003</v>
      </c>
      <c r="M65" s="16">
        <v>40.522799999999997</v>
      </c>
      <c r="N65" s="16">
        <v>11.4587</v>
      </c>
      <c r="O65" s="16">
        <f t="shared" si="1"/>
        <v>36.938187500000005</v>
      </c>
      <c r="P65" s="7"/>
      <c r="Q65" s="8">
        <f>bdrate(C65:C68,D65:D68,J65:J68,K65:K68)</f>
        <v>8.9121149711098191E-2</v>
      </c>
      <c r="R65" s="8">
        <f>bdrate(C65:C68,E65:E68,J65:J68,L65:L68)</f>
        <v>-0.15106628939458278</v>
      </c>
      <c r="S65" s="8">
        <f>bdrate(C65:C68,F65:F68,J65:J68,M65:M68)</f>
        <v>-0.15204337345203101</v>
      </c>
      <c r="T65" s="25">
        <f>bdrate(C65:C68,H65:H68,J65:J68,O65:O68)</f>
        <v>3.8408700585299549E-2</v>
      </c>
      <c r="U65" s="28">
        <f t="shared" si="2"/>
        <v>3.8348945147679321</v>
      </c>
    </row>
    <row r="66" spans="1:21" x14ac:dyDescent="0.25">
      <c r="B66" s="9"/>
      <c r="C66" s="17">
        <v>385.43</v>
      </c>
      <c r="D66" s="18">
        <v>33.820999999999998</v>
      </c>
      <c r="E66" s="18">
        <v>37.154000000000003</v>
      </c>
      <c r="F66" s="18">
        <v>38.363</v>
      </c>
      <c r="G66" s="18">
        <v>2.81</v>
      </c>
      <c r="H66" s="18">
        <f t="shared" si="0"/>
        <v>34.805374999999998</v>
      </c>
      <c r="I66" s="5"/>
      <c r="J66" s="17">
        <v>425.78879999999998</v>
      </c>
      <c r="K66" s="18">
        <v>33.938600000000001</v>
      </c>
      <c r="L66" s="18">
        <v>37.961599999999997</v>
      </c>
      <c r="M66" s="18">
        <v>39.1601</v>
      </c>
      <c r="N66" s="18">
        <v>13.3827</v>
      </c>
      <c r="O66" s="18">
        <f t="shared" si="1"/>
        <v>35.094162499999996</v>
      </c>
      <c r="P66" s="7"/>
      <c r="Q66" s="10"/>
      <c r="R66" s="11"/>
      <c r="S66" s="11"/>
      <c r="T66" s="26"/>
      <c r="U66" s="28">
        <f t="shared" si="2"/>
        <v>3.7625266903914589</v>
      </c>
    </row>
    <row r="67" spans="1:21" x14ac:dyDescent="0.25">
      <c r="B67" s="9"/>
      <c r="C67" s="17">
        <v>242.74</v>
      </c>
      <c r="D67" s="18">
        <v>31.795999999999999</v>
      </c>
      <c r="E67" s="18">
        <v>35.781999999999996</v>
      </c>
      <c r="F67" s="18">
        <v>36.908000000000001</v>
      </c>
      <c r="G67" s="18">
        <v>3.45</v>
      </c>
      <c r="H67" s="18">
        <f t="shared" si="0"/>
        <v>32.933250000000001</v>
      </c>
      <c r="I67" s="5"/>
      <c r="J67" s="17">
        <v>263.19439999999997</v>
      </c>
      <c r="K67" s="18">
        <v>31.753599999999999</v>
      </c>
      <c r="L67" s="18">
        <v>36.485399999999998</v>
      </c>
      <c r="M67" s="18">
        <v>37.6661</v>
      </c>
      <c r="N67" s="18">
        <v>15.945600000000001</v>
      </c>
      <c r="O67" s="18">
        <f t="shared" si="1"/>
        <v>33.084137499999997</v>
      </c>
      <c r="P67" s="7"/>
      <c r="Q67" s="10"/>
      <c r="R67" s="11"/>
      <c r="S67" s="11"/>
      <c r="T67" s="26"/>
      <c r="U67" s="28">
        <f t="shared" si="2"/>
        <v>3.6219130434782607</v>
      </c>
    </row>
    <row r="68" spans="1:21" ht="16.5" thickBot="1" x14ac:dyDescent="0.3">
      <c r="B68" s="12"/>
      <c r="C68" s="19">
        <v>117.44</v>
      </c>
      <c r="D68" s="20">
        <v>29.042999999999999</v>
      </c>
      <c r="E68" s="20">
        <v>33.793999999999997</v>
      </c>
      <c r="F68" s="20">
        <v>34.783000000000001</v>
      </c>
      <c r="G68" s="20">
        <v>4.99</v>
      </c>
      <c r="H68" s="20">
        <f t="shared" si="0"/>
        <v>30.354374999999997</v>
      </c>
      <c r="I68" s="5"/>
      <c r="J68" s="19">
        <v>126.27679999999999</v>
      </c>
      <c r="K68" s="20">
        <v>28.9376</v>
      </c>
      <c r="L68" s="20">
        <v>34.514899999999997</v>
      </c>
      <c r="M68" s="20">
        <v>35.545400000000001</v>
      </c>
      <c r="N68" s="20">
        <v>20.836200000000002</v>
      </c>
      <c r="O68" s="20">
        <f t="shared" si="1"/>
        <v>30.460737499999997</v>
      </c>
      <c r="P68" s="7"/>
      <c r="Q68" s="13"/>
      <c r="R68" s="14"/>
      <c r="S68" s="14"/>
      <c r="T68" s="27"/>
      <c r="U68" s="28">
        <f t="shared" si="2"/>
        <v>3.1755911823647298</v>
      </c>
    </row>
    <row r="69" spans="1:21" x14ac:dyDescent="0.25">
      <c r="A69" s="6" t="s">
        <v>43</v>
      </c>
      <c r="B69" s="6" t="s">
        <v>61</v>
      </c>
      <c r="C69" s="15">
        <v>1363.41</v>
      </c>
      <c r="D69" s="16">
        <v>41.372</v>
      </c>
      <c r="E69" s="16">
        <v>45.173999999999999</v>
      </c>
      <c r="F69" s="16">
        <v>46.432000000000002</v>
      </c>
      <c r="G69" s="16">
        <v>2.65</v>
      </c>
      <c r="H69" s="16">
        <f t="shared" si="0"/>
        <v>42.479750000000003</v>
      </c>
      <c r="I69" s="5"/>
      <c r="J69" s="15">
        <v>1529.5424</v>
      </c>
      <c r="K69" s="16">
        <v>42.122199999999999</v>
      </c>
      <c r="L69" s="16">
        <v>46.302900000000001</v>
      </c>
      <c r="M69" s="16">
        <v>47.561399999999999</v>
      </c>
      <c r="N69" s="16">
        <v>5.4316000000000004</v>
      </c>
      <c r="O69" s="16">
        <f t="shared" si="1"/>
        <v>43.324687500000003</v>
      </c>
      <c r="P69" s="7"/>
      <c r="Q69" s="8">
        <f>bdrate(C69:C72,D69:D72,J69:J72,K69:K72)</f>
        <v>-0.12989338257270588</v>
      </c>
      <c r="R69" s="8">
        <f>bdrate(C69:C72,E69:E72,J69:J72,L69:L72)</f>
        <v>-0.26802965548870528</v>
      </c>
      <c r="S69" s="8">
        <f>bdrate(C69:C72,F69:F72,J69:J72,M69:M72)</f>
        <v>-0.25743571391379183</v>
      </c>
      <c r="T69" s="25">
        <f>bdrate(C69:C72,H69:H72,J69:J72,O69:O72)</f>
        <v>-0.15901581732355319</v>
      </c>
      <c r="U69" s="28">
        <f t="shared" si="2"/>
        <v>1.0496603773584907</v>
      </c>
    </row>
    <row r="70" spans="1:21" x14ac:dyDescent="0.25">
      <c r="A70" s="9" t="s">
        <v>44</v>
      </c>
      <c r="B70" s="9"/>
      <c r="C70" s="17">
        <v>891.58</v>
      </c>
      <c r="D70" s="18">
        <v>40.131</v>
      </c>
      <c r="E70" s="18">
        <v>44.067999999999998</v>
      </c>
      <c r="F70" s="18">
        <v>45.357999999999997</v>
      </c>
      <c r="G70" s="18">
        <v>3.17</v>
      </c>
      <c r="H70" s="18">
        <f t="shared" si="0"/>
        <v>41.276499999999999</v>
      </c>
      <c r="I70" s="5"/>
      <c r="J70" s="17">
        <v>1005.0288</v>
      </c>
      <c r="K70" s="18">
        <v>41.054600000000001</v>
      </c>
      <c r="L70" s="18">
        <v>45.295699999999997</v>
      </c>
      <c r="M70" s="18">
        <v>46.538200000000003</v>
      </c>
      <c r="N70" s="18">
        <v>6.8456999999999999</v>
      </c>
      <c r="O70" s="18">
        <f t="shared" si="1"/>
        <v>42.270187500000006</v>
      </c>
      <c r="P70" s="7"/>
      <c r="Q70" s="10"/>
      <c r="R70" s="11"/>
      <c r="S70" s="11"/>
      <c r="T70" s="26"/>
      <c r="U70" s="28">
        <f t="shared" si="2"/>
        <v>1.1595268138801262</v>
      </c>
    </row>
    <row r="71" spans="1:21" x14ac:dyDescent="0.25">
      <c r="B71" s="9"/>
      <c r="C71" s="17">
        <v>530.55999999999995</v>
      </c>
      <c r="D71" s="18">
        <v>38.22</v>
      </c>
      <c r="E71" s="18">
        <v>42.542000000000002</v>
      </c>
      <c r="F71" s="18">
        <v>43.686</v>
      </c>
      <c r="G71" s="18">
        <v>3.75</v>
      </c>
      <c r="H71" s="18">
        <f t="shared" si="0"/>
        <v>39.443499999999993</v>
      </c>
      <c r="I71" s="5"/>
      <c r="J71" s="17">
        <v>586.07920000000001</v>
      </c>
      <c r="K71" s="18">
        <v>39.189599999999999</v>
      </c>
      <c r="L71" s="18">
        <v>43.791400000000003</v>
      </c>
      <c r="M71" s="18">
        <v>44.984299999999998</v>
      </c>
      <c r="N71" s="18">
        <v>9.2516999999999996</v>
      </c>
      <c r="O71" s="18">
        <f t="shared" si="1"/>
        <v>40.489162499999999</v>
      </c>
      <c r="P71" s="7"/>
      <c r="Q71" s="10"/>
      <c r="R71" s="11"/>
      <c r="S71" s="11"/>
      <c r="T71" s="26"/>
      <c r="U71" s="28">
        <f t="shared" si="2"/>
        <v>1.46712</v>
      </c>
    </row>
    <row r="72" spans="1:21" ht="16.5" thickBot="1" x14ac:dyDescent="0.3">
      <c r="B72" s="12"/>
      <c r="C72" s="19">
        <v>264.51</v>
      </c>
      <c r="D72" s="20">
        <v>35.195</v>
      </c>
      <c r="E72" s="20">
        <v>40.573999999999998</v>
      </c>
      <c r="F72" s="20">
        <v>41.597999999999999</v>
      </c>
      <c r="G72" s="20">
        <v>5.21</v>
      </c>
      <c r="H72" s="20">
        <f t="shared" si="0"/>
        <v>36.667750000000005</v>
      </c>
      <c r="I72" s="5"/>
      <c r="J72" s="19">
        <v>285.85520000000002</v>
      </c>
      <c r="K72" s="20">
        <v>35.871000000000002</v>
      </c>
      <c r="L72" s="20">
        <v>41.475999999999999</v>
      </c>
      <c r="M72" s="20">
        <v>42.539200000000001</v>
      </c>
      <c r="N72" s="20">
        <v>13.308199999999999</v>
      </c>
      <c r="O72" s="20">
        <f t="shared" si="1"/>
        <v>37.405149999999999</v>
      </c>
      <c r="P72" s="7"/>
      <c r="Q72" s="13"/>
      <c r="R72" s="14"/>
      <c r="S72" s="14"/>
      <c r="T72" s="27"/>
      <c r="U72" s="28">
        <f t="shared" si="2"/>
        <v>1.5543570057581571</v>
      </c>
    </row>
    <row r="73" spans="1:21" x14ac:dyDescent="0.25">
      <c r="B73" s="6" t="s">
        <v>62</v>
      </c>
      <c r="C73" s="15">
        <v>1412.14</v>
      </c>
      <c r="D73" s="16">
        <v>42.680999999999997</v>
      </c>
      <c r="E73" s="16">
        <v>47.363</v>
      </c>
      <c r="F73" s="16">
        <v>48.045999999999999</v>
      </c>
      <c r="G73" s="16">
        <v>3.13</v>
      </c>
      <c r="H73" s="16">
        <f t="shared" si="0"/>
        <v>43.936875000000001</v>
      </c>
      <c r="I73" s="5"/>
      <c r="J73" s="15">
        <v>1523.9184</v>
      </c>
      <c r="K73" s="16">
        <v>43.043700000000001</v>
      </c>
      <c r="L73" s="16">
        <v>48.295099999999998</v>
      </c>
      <c r="M73" s="16">
        <v>49.000500000000002</v>
      </c>
      <c r="N73" s="16">
        <v>6.1394000000000002</v>
      </c>
      <c r="O73" s="16">
        <f t="shared" si="1"/>
        <v>44.444724999999998</v>
      </c>
      <c r="P73" s="7"/>
      <c r="Q73" s="8">
        <f>bdrate(C73:C76,D73:D76,J73:J76,K73:K76)</f>
        <v>-0.14669112493160397</v>
      </c>
      <c r="R73" s="8">
        <f>bdrate(C73:C76,E73:E76,J73:J76,L73:L76)</f>
        <v>-0.37376657089641119</v>
      </c>
      <c r="S73" s="8">
        <f>bdrate(C73:C76,F73:F76,J73:J76,M73:M76)</f>
        <v>-0.34559494366328036</v>
      </c>
      <c r="T73" s="25">
        <f>bdrate(C73:C76,H73:H76,J73:J76,O73:O76)</f>
        <v>-0.2111036998973852</v>
      </c>
      <c r="U73" s="28">
        <f t="shared" ref="U73:U232" si="3">(N73-G73)/G73</f>
        <v>0.96146964856230044</v>
      </c>
    </row>
    <row r="74" spans="1:21" x14ac:dyDescent="0.25">
      <c r="B74" s="9"/>
      <c r="C74" s="17">
        <v>923.81</v>
      </c>
      <c r="D74" s="18">
        <v>42.103000000000002</v>
      </c>
      <c r="E74" s="18">
        <v>46.707000000000001</v>
      </c>
      <c r="F74" s="18">
        <v>47.402999999999999</v>
      </c>
      <c r="G74" s="18">
        <v>3.64</v>
      </c>
      <c r="H74" s="18">
        <f t="shared" si="0"/>
        <v>43.341000000000001</v>
      </c>
      <c r="I74" s="5"/>
      <c r="J74" s="17">
        <v>992.072</v>
      </c>
      <c r="K74" s="18">
        <v>42.572899999999997</v>
      </c>
      <c r="L74" s="18">
        <v>47.831899999999997</v>
      </c>
      <c r="M74" s="18">
        <v>48.496899999999997</v>
      </c>
      <c r="N74" s="18">
        <v>7.782</v>
      </c>
      <c r="O74" s="18">
        <f t="shared" si="1"/>
        <v>43.970774999999996</v>
      </c>
      <c r="P74" s="7"/>
      <c r="Q74" s="10"/>
      <c r="R74" s="11"/>
      <c r="S74" s="11"/>
      <c r="T74" s="26"/>
      <c r="U74" s="28">
        <f t="shared" si="3"/>
        <v>1.1379120879120876</v>
      </c>
    </row>
    <row r="75" spans="1:21" x14ac:dyDescent="0.25">
      <c r="B75" s="9"/>
      <c r="C75" s="17">
        <v>540.89</v>
      </c>
      <c r="D75" s="18">
        <v>41.271000000000001</v>
      </c>
      <c r="E75" s="18">
        <v>45.726999999999997</v>
      </c>
      <c r="F75" s="18">
        <v>46.396000000000001</v>
      </c>
      <c r="G75" s="18">
        <v>4.32</v>
      </c>
      <c r="H75" s="18">
        <f t="shared" si="0"/>
        <v>42.468625000000003</v>
      </c>
      <c r="I75" s="5"/>
      <c r="J75" s="17">
        <v>585.64400000000001</v>
      </c>
      <c r="K75" s="18">
        <v>41.735599999999998</v>
      </c>
      <c r="L75" s="18">
        <v>46.885599999999997</v>
      </c>
      <c r="M75" s="18">
        <v>47.509700000000002</v>
      </c>
      <c r="N75" s="18">
        <v>10.3963</v>
      </c>
      <c r="O75" s="18">
        <f t="shared" si="1"/>
        <v>43.101112499999999</v>
      </c>
      <c r="P75" s="7"/>
      <c r="Q75" s="10"/>
      <c r="R75" s="11"/>
      <c r="S75" s="11"/>
      <c r="T75" s="26"/>
      <c r="U75" s="28">
        <f t="shared" si="3"/>
        <v>1.4065509259259259</v>
      </c>
    </row>
    <row r="76" spans="1:21" ht="16.5" thickBot="1" x14ac:dyDescent="0.3">
      <c r="B76" s="12"/>
      <c r="C76" s="19">
        <v>261.83999999999997</v>
      </c>
      <c r="D76" s="20">
        <v>39.57</v>
      </c>
      <c r="E76" s="20">
        <v>43.960999999999999</v>
      </c>
      <c r="F76" s="20">
        <v>44.582999999999998</v>
      </c>
      <c r="G76" s="20">
        <v>5.51</v>
      </c>
      <c r="H76" s="20">
        <f t="shared" si="0"/>
        <v>40.745500000000007</v>
      </c>
      <c r="I76" s="5"/>
      <c r="J76" s="19">
        <v>281.02480000000003</v>
      </c>
      <c r="K76" s="20">
        <v>39.878</v>
      </c>
      <c r="L76" s="20">
        <v>44.954700000000003</v>
      </c>
      <c r="M76" s="20">
        <v>45.4771</v>
      </c>
      <c r="N76" s="20">
        <v>15.6715</v>
      </c>
      <c r="O76" s="20">
        <f t="shared" si="1"/>
        <v>41.212475000000005</v>
      </c>
      <c r="P76" s="7"/>
      <c r="Q76" s="13"/>
      <c r="R76" s="14"/>
      <c r="S76" s="14"/>
      <c r="T76" s="27"/>
      <c r="U76" s="28">
        <f t="shared" si="3"/>
        <v>1.8441923774954629</v>
      </c>
    </row>
    <row r="77" spans="1:21" x14ac:dyDescent="0.25">
      <c r="B77" s="6" t="s">
        <v>63</v>
      </c>
      <c r="C77" s="15">
        <v>1470.72</v>
      </c>
      <c r="D77" s="16">
        <v>42.615000000000002</v>
      </c>
      <c r="E77" s="16">
        <v>46.622999999999998</v>
      </c>
      <c r="F77" s="16">
        <v>47.44</v>
      </c>
      <c r="G77" s="16">
        <v>2.56</v>
      </c>
      <c r="H77" s="16">
        <f t="shared" si="0"/>
        <v>43.719124999999998</v>
      </c>
      <c r="I77" s="5"/>
      <c r="J77" s="15">
        <v>1552.9703999999999</v>
      </c>
      <c r="K77" s="16">
        <v>43.010800000000003</v>
      </c>
      <c r="L77" s="16">
        <v>47.462600000000002</v>
      </c>
      <c r="M77" s="16">
        <v>48.385100000000001</v>
      </c>
      <c r="N77" s="16">
        <v>5.7596999999999996</v>
      </c>
      <c r="O77" s="16">
        <f t="shared" si="1"/>
        <v>44.239062500000003</v>
      </c>
      <c r="P77" s="7"/>
      <c r="Q77" s="8">
        <f>bdrate(C77:C80,D77:D80,J77:J80,K77:K80)</f>
        <v>-0.10049443737978958</v>
      </c>
      <c r="R77" s="8">
        <f>bdrate(C77:C80,E77:E80,J77:J80,L77:L80)</f>
        <v>-0.28003100379520496</v>
      </c>
      <c r="S77" s="8">
        <f>bdrate(C77:C80,F77:F80,J77:J80,M77:M80)</f>
        <v>-0.28163507294164247</v>
      </c>
      <c r="T77" s="25">
        <f>bdrate(C77:C80,H77:H80,J77:J80,O77:O80)</f>
        <v>-0.14675016538981089</v>
      </c>
      <c r="U77" s="28">
        <f t="shared" si="3"/>
        <v>1.2498828124999999</v>
      </c>
    </row>
    <row r="78" spans="1:21" x14ac:dyDescent="0.25">
      <c r="B78" s="9"/>
      <c r="C78" s="17">
        <v>969.48</v>
      </c>
      <c r="D78" s="18">
        <v>41.767000000000003</v>
      </c>
      <c r="E78" s="18">
        <v>45.691000000000003</v>
      </c>
      <c r="F78" s="18">
        <v>46.527999999999999</v>
      </c>
      <c r="G78" s="18">
        <v>3.06</v>
      </c>
      <c r="H78" s="18">
        <f t="shared" si="0"/>
        <v>42.852625000000003</v>
      </c>
      <c r="I78" s="5"/>
      <c r="J78" s="17">
        <v>1030.1559999999999</v>
      </c>
      <c r="K78" s="18">
        <v>42.254600000000003</v>
      </c>
      <c r="L78" s="18">
        <v>46.699800000000003</v>
      </c>
      <c r="M78" s="18">
        <v>47.595599999999997</v>
      </c>
      <c r="N78" s="18">
        <v>7.1660000000000004</v>
      </c>
      <c r="O78" s="18">
        <f t="shared" si="1"/>
        <v>43.477874999999997</v>
      </c>
      <c r="P78" s="7"/>
      <c r="Q78" s="10"/>
      <c r="R78" s="11"/>
      <c r="S78" s="11"/>
      <c r="T78" s="26"/>
      <c r="U78" s="28">
        <f t="shared" si="3"/>
        <v>1.341830065359477</v>
      </c>
    </row>
    <row r="79" spans="1:21" x14ac:dyDescent="0.25">
      <c r="B79" s="9"/>
      <c r="C79" s="17">
        <v>577.71</v>
      </c>
      <c r="D79" s="18">
        <v>40.460999999999999</v>
      </c>
      <c r="E79" s="18">
        <v>44.390999999999998</v>
      </c>
      <c r="F79" s="18">
        <v>45.249000000000002</v>
      </c>
      <c r="G79" s="18">
        <v>3.74</v>
      </c>
      <c r="H79" s="18">
        <f t="shared" si="0"/>
        <v>41.550750000000001</v>
      </c>
      <c r="I79" s="5"/>
      <c r="J79" s="17">
        <v>609.10080000000005</v>
      </c>
      <c r="K79" s="18">
        <v>40.890500000000003</v>
      </c>
      <c r="L79" s="18">
        <v>45.386899999999997</v>
      </c>
      <c r="M79" s="18">
        <v>46.235599999999998</v>
      </c>
      <c r="N79" s="18">
        <v>9.7167999999999992</v>
      </c>
      <c r="O79" s="18">
        <f t="shared" si="1"/>
        <v>42.120687500000003</v>
      </c>
      <c r="P79" s="7"/>
      <c r="Q79" s="10"/>
      <c r="R79" s="11"/>
      <c r="S79" s="11"/>
      <c r="T79" s="26"/>
      <c r="U79" s="28">
        <f t="shared" si="3"/>
        <v>1.59807486631016</v>
      </c>
    </row>
    <row r="80" spans="1:21" ht="16.5" thickBot="1" x14ac:dyDescent="0.3">
      <c r="B80" s="12"/>
      <c r="C80" s="19">
        <v>287.07</v>
      </c>
      <c r="D80" s="20">
        <v>38.03</v>
      </c>
      <c r="E80" s="20">
        <v>42.341000000000001</v>
      </c>
      <c r="F80" s="20">
        <v>43.161999999999999</v>
      </c>
      <c r="G80" s="20">
        <v>4.93</v>
      </c>
      <c r="H80" s="20">
        <f t="shared" si="0"/>
        <v>39.210374999999999</v>
      </c>
      <c r="I80" s="5"/>
      <c r="J80" s="19">
        <v>289.10000000000002</v>
      </c>
      <c r="K80" s="20">
        <v>38.3489</v>
      </c>
      <c r="L80" s="20">
        <v>43.229399999999998</v>
      </c>
      <c r="M80" s="20">
        <v>44.079700000000003</v>
      </c>
      <c r="N80" s="20">
        <v>13.8392</v>
      </c>
      <c r="O80" s="20">
        <f t="shared" si="1"/>
        <v>39.675312500000004</v>
      </c>
      <c r="P80" s="7"/>
      <c r="Q80" s="13"/>
      <c r="R80" s="14"/>
      <c r="S80" s="14"/>
      <c r="T80" s="27"/>
      <c r="U80" s="28">
        <f t="shared" si="3"/>
        <v>1.8071399594320487</v>
      </c>
    </row>
    <row r="81" spans="1:21" hidden="1" x14ac:dyDescent="0.25">
      <c r="A81" s="6" t="s">
        <v>67</v>
      </c>
      <c r="B81" s="6" t="s">
        <v>73</v>
      </c>
      <c r="C81" s="15">
        <v>1241.06</v>
      </c>
      <c r="D81" s="16">
        <v>35.901000000000003</v>
      </c>
      <c r="E81" s="16">
        <v>38.859000000000002</v>
      </c>
      <c r="F81" s="16">
        <v>38.956000000000003</v>
      </c>
      <c r="G81" s="16">
        <v>1.95</v>
      </c>
      <c r="H81" s="16">
        <f t="shared" ref="H81:H240" si="4">(6*D81+E81+F81)/8</f>
        <v>36.652625</v>
      </c>
      <c r="I81" s="5"/>
      <c r="J81" s="15">
        <v>1268.0735999999999</v>
      </c>
      <c r="K81" s="16">
        <v>36.872599999999998</v>
      </c>
      <c r="L81" s="16">
        <v>40.261800000000001</v>
      </c>
      <c r="M81" s="16">
        <v>40.298900000000003</v>
      </c>
      <c r="N81" s="16">
        <v>6.1939000000000002</v>
      </c>
      <c r="O81" s="16">
        <f t="shared" ref="O81:O240" si="5">(6*K81+L81+M81)/8</f>
        <v>37.724537499999997</v>
      </c>
      <c r="P81" s="7"/>
      <c r="Q81" s="8">
        <f>bdrate(C81:C84,D81:D84,J81:J84,K81:K84)</f>
        <v>-0.14886304031503106</v>
      </c>
      <c r="R81" s="8">
        <f>bdrate(C81:C84,E81:E84,J81:J84,L81:L84)</f>
        <v>-0.27060242141275503</v>
      </c>
      <c r="S81" s="8">
        <f>bdrate(C81:C84,F81:F84,J81:J84,M81:M84)</f>
        <v>-0.22685789906622222</v>
      </c>
      <c r="T81" s="25">
        <f>bdrate(C81:C84,H81:H84,J81:J84,O81:O84)</f>
        <v>-0.17281081931580455</v>
      </c>
      <c r="U81" s="28">
        <f t="shared" si="3"/>
        <v>2.1763589743589744</v>
      </c>
    </row>
    <row r="82" spans="1:21" hidden="1" x14ac:dyDescent="0.25">
      <c r="A82" s="9" t="s">
        <v>68</v>
      </c>
      <c r="B82" s="9"/>
      <c r="C82" s="17">
        <v>825.72</v>
      </c>
      <c r="D82" s="18">
        <v>34.167000000000002</v>
      </c>
      <c r="E82" s="18">
        <v>37.262999999999998</v>
      </c>
      <c r="F82" s="18">
        <v>37.262999999999998</v>
      </c>
      <c r="G82" s="18">
        <v>2.2200000000000002</v>
      </c>
      <c r="H82" s="18">
        <f t="shared" si="4"/>
        <v>34.941000000000003</v>
      </c>
      <c r="I82" s="5"/>
      <c r="J82" s="17">
        <v>843.58</v>
      </c>
      <c r="K82" s="18">
        <v>34.9529</v>
      </c>
      <c r="L82" s="18">
        <v>38.5304</v>
      </c>
      <c r="M82" s="18">
        <v>38.436999999999998</v>
      </c>
      <c r="N82" s="18">
        <v>7.2544000000000004</v>
      </c>
      <c r="O82" s="18">
        <f t="shared" si="5"/>
        <v>35.835599999999999</v>
      </c>
      <c r="P82" s="7"/>
      <c r="Q82" s="10"/>
      <c r="R82" s="11"/>
      <c r="S82" s="11"/>
      <c r="T82" s="26"/>
      <c r="U82" s="28">
        <f t="shared" si="3"/>
        <v>2.2677477477477472</v>
      </c>
    </row>
    <row r="83" spans="1:21" hidden="1" x14ac:dyDescent="0.25">
      <c r="B83" s="9"/>
      <c r="C83" s="17">
        <v>511.4</v>
      </c>
      <c r="D83" s="18">
        <v>32.151000000000003</v>
      </c>
      <c r="E83" s="18">
        <v>35.497999999999998</v>
      </c>
      <c r="F83" s="18">
        <v>35.445999999999998</v>
      </c>
      <c r="G83" s="18">
        <v>2.86</v>
      </c>
      <c r="H83" s="18">
        <f t="shared" si="4"/>
        <v>32.981250000000003</v>
      </c>
      <c r="I83" s="5"/>
      <c r="J83" s="17">
        <v>526.91039999999998</v>
      </c>
      <c r="K83" s="18">
        <v>32.940399999999997</v>
      </c>
      <c r="L83" s="18">
        <v>36.7742</v>
      </c>
      <c r="M83" s="18">
        <v>36.515300000000003</v>
      </c>
      <c r="N83" s="18">
        <v>8.7841000000000005</v>
      </c>
      <c r="O83" s="18">
        <f t="shared" si="5"/>
        <v>33.866487499999998</v>
      </c>
      <c r="P83" s="7"/>
      <c r="Q83" s="10"/>
      <c r="R83" s="11"/>
      <c r="S83" s="11"/>
      <c r="T83" s="26"/>
      <c r="U83" s="28">
        <f t="shared" si="3"/>
        <v>2.0713636363636367</v>
      </c>
    </row>
    <row r="84" spans="1:21" ht="16.5" hidden="1" thickBot="1" x14ac:dyDescent="0.3">
      <c r="B84" s="12"/>
      <c r="C84" s="19">
        <v>307.02999999999997</v>
      </c>
      <c r="D84" s="20">
        <v>30.219000000000001</v>
      </c>
      <c r="E84" s="20">
        <v>33.975000000000001</v>
      </c>
      <c r="F84" s="20">
        <v>33.859000000000002</v>
      </c>
      <c r="G84" s="20">
        <v>3.7</v>
      </c>
      <c r="H84" s="20">
        <f t="shared" si="4"/>
        <v>31.143500000000003</v>
      </c>
      <c r="I84" s="5"/>
      <c r="J84" s="19">
        <v>315.5136</v>
      </c>
      <c r="K84" s="20">
        <v>30.860299999999999</v>
      </c>
      <c r="L84" s="20">
        <v>34.923400000000001</v>
      </c>
      <c r="M84" s="20">
        <v>34.611899999999999</v>
      </c>
      <c r="N84" s="20">
        <v>11.0397</v>
      </c>
      <c r="O84" s="20">
        <f t="shared" si="5"/>
        <v>31.837137499999997</v>
      </c>
      <c r="P84" s="7"/>
      <c r="Q84" s="13"/>
      <c r="R84" s="14"/>
      <c r="S84" s="14"/>
      <c r="T84" s="27"/>
      <c r="U84" s="28">
        <f t="shared" si="3"/>
        <v>1.9837027027027025</v>
      </c>
    </row>
    <row r="85" spans="1:21" hidden="1" x14ac:dyDescent="0.25">
      <c r="B85" s="6" t="s">
        <v>74</v>
      </c>
      <c r="C85" s="15">
        <v>1142.74</v>
      </c>
      <c r="D85" s="16">
        <v>35.457000000000001</v>
      </c>
      <c r="E85" s="16">
        <v>40.649000000000001</v>
      </c>
      <c r="F85" s="16">
        <v>40.345999999999997</v>
      </c>
      <c r="G85" s="16">
        <v>1.3</v>
      </c>
      <c r="H85" s="16">
        <f t="shared" si="4"/>
        <v>36.717125000000003</v>
      </c>
      <c r="I85" s="5"/>
      <c r="J85" s="15">
        <v>1245.2366</v>
      </c>
      <c r="K85" s="16">
        <v>35.013100000000001</v>
      </c>
      <c r="L85" s="16">
        <v>41.611400000000003</v>
      </c>
      <c r="M85" s="16">
        <v>41.036700000000003</v>
      </c>
      <c r="N85" s="16">
        <v>4.1863999999999999</v>
      </c>
      <c r="O85" s="16">
        <f t="shared" si="5"/>
        <v>36.590837499999999</v>
      </c>
      <c r="P85" s="7"/>
      <c r="Q85" s="8">
        <f>bdrate(C85:C88,D85:D88,J85:J88,K85:K88)</f>
        <v>0.11135719994334292</v>
      </c>
      <c r="R85" s="8">
        <f>bdrate(C85:C88,E85:E88,J85:J88,L85:L88)</f>
        <v>-0.24589852201279505</v>
      </c>
      <c r="S85" s="8">
        <f>bdrate(C85:C88,F85:F88,J85:J88,M85:M88)</f>
        <v>-0.14680405193893253</v>
      </c>
      <c r="T85" s="25">
        <f>bdrate(C85:C88,H85:H88,J85:J88,O85:O88)</f>
        <v>4.4416689365233353E-2</v>
      </c>
      <c r="U85" s="28">
        <f t="shared" si="3"/>
        <v>2.2203076923076921</v>
      </c>
    </row>
    <row r="86" spans="1:21" hidden="1" x14ac:dyDescent="0.25">
      <c r="B86" s="9"/>
      <c r="C86" s="17">
        <v>750.12</v>
      </c>
      <c r="D86" s="18">
        <v>33.511000000000003</v>
      </c>
      <c r="E86" s="18">
        <v>39.317</v>
      </c>
      <c r="F86" s="18">
        <v>38.847000000000001</v>
      </c>
      <c r="G86" s="18">
        <v>1.66</v>
      </c>
      <c r="H86" s="18">
        <f t="shared" si="4"/>
        <v>34.903750000000002</v>
      </c>
      <c r="I86" s="5"/>
      <c r="J86" s="17">
        <v>828.92780000000005</v>
      </c>
      <c r="K86" s="18">
        <v>33.343600000000002</v>
      </c>
      <c r="L86" s="18">
        <v>40.406700000000001</v>
      </c>
      <c r="M86" s="18">
        <v>39.650700000000001</v>
      </c>
      <c r="N86" s="18">
        <v>5.0091000000000001</v>
      </c>
      <c r="O86" s="18">
        <f t="shared" si="5"/>
        <v>35.014875000000004</v>
      </c>
      <c r="P86" s="7"/>
      <c r="Q86" s="10"/>
      <c r="R86" s="11"/>
      <c r="S86" s="11"/>
      <c r="T86" s="26"/>
      <c r="U86" s="28">
        <f t="shared" si="3"/>
        <v>2.0175301204819278</v>
      </c>
    </row>
    <row r="87" spans="1:21" hidden="1" x14ac:dyDescent="0.25">
      <c r="B87" s="9"/>
      <c r="C87" s="17">
        <v>464.31</v>
      </c>
      <c r="D87" s="18">
        <v>31.477</v>
      </c>
      <c r="E87" s="18">
        <v>38.027999999999999</v>
      </c>
      <c r="F87" s="18">
        <v>37.176000000000002</v>
      </c>
      <c r="G87" s="18">
        <v>2.19</v>
      </c>
      <c r="H87" s="18">
        <f t="shared" si="4"/>
        <v>33.008249999999997</v>
      </c>
      <c r="I87" s="5"/>
      <c r="J87" s="17">
        <v>516.36</v>
      </c>
      <c r="K87" s="18">
        <v>31.612400000000001</v>
      </c>
      <c r="L87" s="18">
        <v>39.074800000000003</v>
      </c>
      <c r="M87" s="18">
        <v>38.116599999999998</v>
      </c>
      <c r="N87" s="18">
        <v>6.2366999999999999</v>
      </c>
      <c r="O87" s="18">
        <f t="shared" si="5"/>
        <v>33.358224999999997</v>
      </c>
      <c r="P87" s="7"/>
      <c r="Q87" s="10"/>
      <c r="R87" s="11"/>
      <c r="S87" s="11"/>
      <c r="T87" s="26"/>
      <c r="U87" s="28">
        <f t="shared" si="3"/>
        <v>1.847808219178082</v>
      </c>
    </row>
    <row r="88" spans="1:21" ht="16.5" hidden="1" thickBot="1" x14ac:dyDescent="0.3">
      <c r="B88" s="12"/>
      <c r="C88" s="19">
        <v>277.64999999999998</v>
      </c>
      <c r="D88" s="20">
        <v>29.649000000000001</v>
      </c>
      <c r="E88" s="20">
        <v>36.851999999999997</v>
      </c>
      <c r="F88" s="20">
        <v>35.773000000000003</v>
      </c>
      <c r="G88" s="20">
        <v>2.89</v>
      </c>
      <c r="H88" s="20">
        <f t="shared" si="4"/>
        <v>31.314875000000001</v>
      </c>
      <c r="I88" s="5"/>
      <c r="J88" s="19">
        <v>309.32159999999999</v>
      </c>
      <c r="K88" s="20">
        <v>29.852499999999999</v>
      </c>
      <c r="L88" s="20">
        <v>37.782400000000003</v>
      </c>
      <c r="M88" s="20">
        <v>36.530099999999997</v>
      </c>
      <c r="N88" s="20">
        <v>7.9032999999999998</v>
      </c>
      <c r="O88" s="20">
        <f t="shared" si="5"/>
        <v>31.678437500000001</v>
      </c>
      <c r="P88" s="7"/>
      <c r="Q88" s="13"/>
      <c r="R88" s="14"/>
      <c r="S88" s="14"/>
      <c r="T88" s="27"/>
      <c r="U88" s="28">
        <f t="shared" si="3"/>
        <v>1.7347058823529409</v>
      </c>
    </row>
    <row r="89" spans="1:21" hidden="1" x14ac:dyDescent="0.25">
      <c r="B89" s="6" t="s">
        <v>75</v>
      </c>
      <c r="C89" s="15">
        <v>924.96</v>
      </c>
      <c r="D89" s="16">
        <v>53.081000000000003</v>
      </c>
      <c r="E89" s="16">
        <v>52.819000000000003</v>
      </c>
      <c r="F89" s="16">
        <v>52.741999999999997</v>
      </c>
      <c r="G89" s="16">
        <v>4.0599999999999996</v>
      </c>
      <c r="H89" s="16">
        <f t="shared" si="4"/>
        <v>53.005875000000003</v>
      </c>
      <c r="I89" s="5"/>
      <c r="J89" s="15">
        <v>824.07039999999995</v>
      </c>
      <c r="K89" s="16">
        <v>50.619199999999999</v>
      </c>
      <c r="L89" s="16">
        <v>50.206600000000002</v>
      </c>
      <c r="M89" s="16">
        <v>50.092700000000001</v>
      </c>
      <c r="N89" s="16">
        <v>7.5286</v>
      </c>
      <c r="O89" s="16">
        <f t="shared" si="5"/>
        <v>50.501812499999993</v>
      </c>
      <c r="P89" s="7"/>
      <c r="Q89" s="8">
        <f>bdrate(C89:C92,D89:D92,J89:J92,K89:K92)</f>
        <v>0.21019431009784495</v>
      </c>
      <c r="R89" s="8">
        <f>bdrate(C89:C92,E89:E92,J89:J92,L89:L92)</f>
        <v>0.14439072584370027</v>
      </c>
      <c r="S89" s="8">
        <f>bdrate(C89:C92,F89:F92,J89:J92,M89:M92)</f>
        <v>0.15243114470275687</v>
      </c>
      <c r="T89" s="25">
        <f>bdrate(C89:C92,H89:H92,J89:J92,O89:O92)</f>
        <v>0.19663372898815967</v>
      </c>
      <c r="U89" s="28">
        <f t="shared" si="3"/>
        <v>0.85433497536945835</v>
      </c>
    </row>
    <row r="90" spans="1:21" hidden="1" x14ac:dyDescent="0.25">
      <c r="B90" s="9"/>
      <c r="C90" s="17">
        <v>531.88</v>
      </c>
      <c r="D90" s="18">
        <v>47.935000000000002</v>
      </c>
      <c r="E90" s="18">
        <v>47.682000000000002</v>
      </c>
      <c r="F90" s="18">
        <v>47.658999999999999</v>
      </c>
      <c r="G90" s="18">
        <v>4.97</v>
      </c>
      <c r="H90" s="18">
        <f t="shared" si="4"/>
        <v>47.868875000000003</v>
      </c>
      <c r="I90" s="5"/>
      <c r="J90" s="17">
        <v>683.38319999999999</v>
      </c>
      <c r="K90" s="18">
        <v>49.145699999999998</v>
      </c>
      <c r="L90" s="18">
        <v>48.838200000000001</v>
      </c>
      <c r="M90" s="18">
        <v>48.696199999999997</v>
      </c>
      <c r="N90" s="18">
        <v>9.3987999999999996</v>
      </c>
      <c r="O90" s="18">
        <f t="shared" si="5"/>
        <v>49.051074999999997</v>
      </c>
      <c r="P90" s="7"/>
      <c r="Q90" s="10"/>
      <c r="R90" s="11"/>
      <c r="S90" s="11"/>
      <c r="T90" s="26"/>
      <c r="U90" s="28">
        <f t="shared" si="3"/>
        <v>0.89110663983903426</v>
      </c>
    </row>
    <row r="91" spans="1:21" hidden="1" x14ac:dyDescent="0.25">
      <c r="B91" s="9"/>
      <c r="C91" s="17">
        <v>329.02</v>
      </c>
      <c r="D91" s="18">
        <v>42.088999999999999</v>
      </c>
      <c r="E91" s="18">
        <v>42.503999999999998</v>
      </c>
      <c r="F91" s="18">
        <v>42.411999999999999</v>
      </c>
      <c r="G91" s="18">
        <v>6.05</v>
      </c>
      <c r="H91" s="18">
        <f t="shared" si="4"/>
        <v>42.181249999999999</v>
      </c>
      <c r="I91" s="5"/>
      <c r="J91" s="17">
        <v>520.74480000000005</v>
      </c>
      <c r="K91" s="18">
        <v>45.466999999999999</v>
      </c>
      <c r="L91" s="18">
        <v>46.039700000000003</v>
      </c>
      <c r="M91" s="18">
        <v>45.932600000000001</v>
      </c>
      <c r="N91" s="18">
        <v>13.161899999999999</v>
      </c>
      <c r="O91" s="18">
        <f t="shared" si="5"/>
        <v>45.596787499999998</v>
      </c>
      <c r="P91" s="7"/>
      <c r="Q91" s="10"/>
      <c r="R91" s="11"/>
      <c r="S91" s="11"/>
      <c r="T91" s="26"/>
      <c r="U91" s="28">
        <f t="shared" si="3"/>
        <v>1.1755206611570248</v>
      </c>
    </row>
    <row r="92" spans="1:21" ht="16.5" hidden="1" thickBot="1" x14ac:dyDescent="0.3">
      <c r="B92" s="12"/>
      <c r="C92" s="19">
        <v>179.16</v>
      </c>
      <c r="D92" s="20">
        <v>34.466000000000001</v>
      </c>
      <c r="E92" s="20">
        <v>37.951000000000001</v>
      </c>
      <c r="F92" s="20">
        <v>37.398000000000003</v>
      </c>
      <c r="G92" s="20">
        <v>7.74</v>
      </c>
      <c r="H92" s="20">
        <f t="shared" si="4"/>
        <v>35.268124999999998</v>
      </c>
      <c r="I92" s="5"/>
      <c r="J92" s="19">
        <v>312.01760000000002</v>
      </c>
      <c r="K92" s="20">
        <v>38.401400000000002</v>
      </c>
      <c r="L92" s="20">
        <v>40.527900000000002</v>
      </c>
      <c r="M92" s="20">
        <v>40.337499999999999</v>
      </c>
      <c r="N92" s="20">
        <v>16.708400000000001</v>
      </c>
      <c r="O92" s="20">
        <f t="shared" si="5"/>
        <v>38.909224999999999</v>
      </c>
      <c r="P92" s="7"/>
      <c r="Q92" s="13"/>
      <c r="R92" s="14"/>
      <c r="S92" s="14"/>
      <c r="T92" s="27"/>
      <c r="U92" s="28">
        <f t="shared" si="3"/>
        <v>1.1587080103359173</v>
      </c>
    </row>
    <row r="93" spans="1:21" hidden="1" x14ac:dyDescent="0.25">
      <c r="B93" s="6" t="s">
        <v>76</v>
      </c>
      <c r="C93" s="15">
        <v>1353.11</v>
      </c>
      <c r="D93" s="16">
        <v>57.064</v>
      </c>
      <c r="E93" s="16">
        <v>59.851999999999997</v>
      </c>
      <c r="F93" s="16">
        <v>60.761000000000003</v>
      </c>
      <c r="G93" s="16">
        <v>2.2400000000000002</v>
      </c>
      <c r="H93" s="16">
        <f t="shared" si="4"/>
        <v>57.874625000000002</v>
      </c>
      <c r="I93" s="5"/>
      <c r="J93" s="15">
        <v>1066.7850000000001</v>
      </c>
      <c r="K93" s="16">
        <v>54.042299999999997</v>
      </c>
      <c r="L93" s="16">
        <v>56.993499999999997</v>
      </c>
      <c r="M93" s="16">
        <v>57.877200000000002</v>
      </c>
      <c r="N93" s="16">
        <v>6.8319999999999999</v>
      </c>
      <c r="O93" s="16">
        <f t="shared" si="5"/>
        <v>54.890562499999994</v>
      </c>
      <c r="P93" s="7"/>
      <c r="Q93" s="8">
        <f>bdrate(C93:C96,D93:D96,J93:J96,K93:K96)</f>
        <v>-1.5873885828083356E-2</v>
      </c>
      <c r="R93" s="8">
        <f>bdrate(C93:C96,E93:E96,J93:J96,L93:L96)</f>
        <v>-0.1140832673056974</v>
      </c>
      <c r="S93" s="8">
        <f>bdrate(C93:C96,F93:F96,J93:J96,M93:M96)</f>
        <v>-9.6836184758470334E-2</v>
      </c>
      <c r="T93" s="25">
        <f>bdrate(C93:C96,H93:H96,J93:J96,O93:O96)</f>
        <v>-3.6747740858381173E-2</v>
      </c>
      <c r="U93" s="28">
        <f t="shared" si="3"/>
        <v>2.0499999999999998</v>
      </c>
    </row>
    <row r="94" spans="1:21" hidden="1" x14ac:dyDescent="0.25">
      <c r="B94" s="9"/>
      <c r="C94" s="17">
        <v>916.9</v>
      </c>
      <c r="D94" s="18">
        <v>53.142000000000003</v>
      </c>
      <c r="E94" s="18">
        <v>55.924999999999997</v>
      </c>
      <c r="F94" s="18">
        <v>56.91</v>
      </c>
      <c r="G94" s="18">
        <v>2.52</v>
      </c>
      <c r="H94" s="18">
        <f t="shared" si="4"/>
        <v>53.960875000000001</v>
      </c>
      <c r="I94" s="5"/>
      <c r="J94" s="17">
        <v>755.13279999999997</v>
      </c>
      <c r="K94" s="18">
        <v>51.236899999999999</v>
      </c>
      <c r="L94" s="18">
        <v>54.670400000000001</v>
      </c>
      <c r="M94" s="18">
        <v>55.66</v>
      </c>
      <c r="N94" s="18">
        <v>7.5659000000000001</v>
      </c>
      <c r="O94" s="18">
        <f t="shared" si="5"/>
        <v>52.218975</v>
      </c>
      <c r="P94" s="7"/>
      <c r="Q94" s="10"/>
      <c r="R94" s="11"/>
      <c r="S94" s="11"/>
      <c r="T94" s="26"/>
      <c r="U94" s="28">
        <f t="shared" si="3"/>
        <v>2.0023412698412697</v>
      </c>
    </row>
    <row r="95" spans="1:21" hidden="1" x14ac:dyDescent="0.25">
      <c r="B95" s="9"/>
      <c r="C95" s="17">
        <v>564.37</v>
      </c>
      <c r="D95" s="18">
        <v>48.911999999999999</v>
      </c>
      <c r="E95" s="18">
        <v>51.939</v>
      </c>
      <c r="F95" s="18">
        <v>53.209000000000003</v>
      </c>
      <c r="G95" s="18">
        <v>2.93</v>
      </c>
      <c r="H95" s="18">
        <f t="shared" si="4"/>
        <v>49.827500000000001</v>
      </c>
      <c r="I95" s="5"/>
      <c r="J95" s="17">
        <v>470.16829999999999</v>
      </c>
      <c r="K95" s="18">
        <v>47.750799999999998</v>
      </c>
      <c r="L95" s="18">
        <v>51.738399999999999</v>
      </c>
      <c r="M95" s="18">
        <v>52.841099999999997</v>
      </c>
      <c r="N95" s="18">
        <v>9.2620000000000005</v>
      </c>
      <c r="O95" s="18">
        <f t="shared" si="5"/>
        <v>48.885537499999998</v>
      </c>
      <c r="P95" s="7"/>
      <c r="Q95" s="10"/>
      <c r="R95" s="11"/>
      <c r="S95" s="11"/>
      <c r="T95" s="26"/>
      <c r="U95" s="28">
        <f t="shared" si="3"/>
        <v>2.1610921501706488</v>
      </c>
    </row>
    <row r="96" spans="1:21" ht="16.5" hidden="1" thickBot="1" x14ac:dyDescent="0.3">
      <c r="B96" s="12"/>
      <c r="C96" s="19">
        <v>290.77999999999997</v>
      </c>
      <c r="D96" s="20">
        <v>43.463000000000001</v>
      </c>
      <c r="E96" s="20">
        <v>47.093000000000004</v>
      </c>
      <c r="F96" s="20">
        <v>48.558</v>
      </c>
      <c r="G96" s="20">
        <v>3.58</v>
      </c>
      <c r="H96" s="20">
        <f t="shared" si="4"/>
        <v>44.553625000000004</v>
      </c>
      <c r="I96" s="5"/>
      <c r="J96" s="19">
        <v>250.4752</v>
      </c>
      <c r="K96" s="20">
        <v>42.563099999999999</v>
      </c>
      <c r="L96" s="20">
        <v>47.543799999999997</v>
      </c>
      <c r="M96" s="20">
        <v>48.8035</v>
      </c>
      <c r="N96" s="20">
        <v>12.1174</v>
      </c>
      <c r="O96" s="20">
        <f t="shared" si="5"/>
        <v>43.965737499999996</v>
      </c>
      <c r="P96" s="7"/>
      <c r="Q96" s="13"/>
      <c r="R96" s="14"/>
      <c r="S96" s="14"/>
      <c r="T96" s="27"/>
      <c r="U96" s="28">
        <f t="shared" si="3"/>
        <v>2.3847486033519552</v>
      </c>
    </row>
    <row r="97" spans="1:21" hidden="1" x14ac:dyDescent="0.25">
      <c r="A97" s="6" t="s">
        <v>104</v>
      </c>
      <c r="B97" s="6" t="s">
        <v>105</v>
      </c>
      <c r="C97" s="15">
        <v>1007.67</v>
      </c>
      <c r="D97" s="16">
        <v>42.665999999999997</v>
      </c>
      <c r="E97" s="16">
        <v>48.795000000000002</v>
      </c>
      <c r="F97" s="16">
        <v>48.787999999999997</v>
      </c>
      <c r="G97" s="16">
        <v>1.19</v>
      </c>
      <c r="H97" s="16">
        <f t="shared" si="4"/>
        <v>44.197375000000001</v>
      </c>
      <c r="I97" s="5"/>
      <c r="J97" s="15">
        <v>1038.4919</v>
      </c>
      <c r="K97" s="16">
        <v>42.686599999999999</v>
      </c>
      <c r="L97" s="16">
        <v>49.167999999999999</v>
      </c>
      <c r="M97" s="16">
        <v>49.135100000000001</v>
      </c>
      <c r="N97" s="16">
        <v>3.9037000000000002</v>
      </c>
      <c r="O97" s="16">
        <f t="shared" si="5"/>
        <v>44.302837500000003</v>
      </c>
      <c r="P97" s="7"/>
      <c r="Q97" s="8">
        <f>bdrate(C97:C100,D97:D100,J97:J100,K97:K100)</f>
        <v>7.276096215410921E-2</v>
      </c>
      <c r="R97" s="8">
        <f>bdrate(C97:C100,E97:E100,J97:J100,L97:L100)</f>
        <v>-0.11915937283137168</v>
      </c>
      <c r="S97" s="8">
        <f>bdrate(C97:C100,F97:F100,J97:J100,M97:M100)</f>
        <v>-9.2364801029020671E-2</v>
      </c>
      <c r="T97" s="25">
        <f>bdrate(C97:C100,H97:H100,J97:J100,O97:O100)</f>
        <v>3.5308398536247676E-2</v>
      </c>
      <c r="U97" s="28">
        <f t="shared" si="3"/>
        <v>2.2804201680672271</v>
      </c>
    </row>
    <row r="98" spans="1:21" hidden="1" x14ac:dyDescent="0.25">
      <c r="A98" s="9"/>
      <c r="B98" s="9"/>
      <c r="C98" s="17">
        <v>597.25</v>
      </c>
      <c r="D98" s="18">
        <v>40.353000000000002</v>
      </c>
      <c r="E98" s="18">
        <v>46.975999999999999</v>
      </c>
      <c r="F98" s="18">
        <v>46.857999999999997</v>
      </c>
      <c r="G98" s="18">
        <v>1.43</v>
      </c>
      <c r="H98" s="18">
        <f t="shared" si="4"/>
        <v>41.994</v>
      </c>
      <c r="I98" s="5"/>
      <c r="J98" s="17">
        <v>618.15530000000001</v>
      </c>
      <c r="K98" s="18">
        <v>40.244799999999998</v>
      </c>
      <c r="L98" s="18">
        <v>47.446800000000003</v>
      </c>
      <c r="M98" s="18">
        <v>47.255000000000003</v>
      </c>
      <c r="N98" s="18">
        <v>4.7793000000000001</v>
      </c>
      <c r="O98" s="18">
        <f t="shared" si="5"/>
        <v>42.021324999999997</v>
      </c>
      <c r="P98" s="7"/>
      <c r="Q98" s="10"/>
      <c r="R98" s="11"/>
      <c r="S98" s="11"/>
      <c r="T98" s="26"/>
      <c r="U98" s="28">
        <f t="shared" si="3"/>
        <v>2.3421678321678328</v>
      </c>
    </row>
    <row r="99" spans="1:21" hidden="1" x14ac:dyDescent="0.25">
      <c r="B99" s="9"/>
      <c r="C99" s="17">
        <v>395.57</v>
      </c>
      <c r="D99" s="18">
        <v>38.496000000000002</v>
      </c>
      <c r="E99" s="18">
        <v>45.566000000000003</v>
      </c>
      <c r="F99" s="18">
        <v>45.357999999999997</v>
      </c>
      <c r="G99" s="18">
        <v>1.66</v>
      </c>
      <c r="H99" s="18">
        <f t="shared" si="4"/>
        <v>40.237500000000004</v>
      </c>
      <c r="I99" s="5"/>
      <c r="J99" s="17">
        <v>409.9076</v>
      </c>
      <c r="K99" s="18">
        <v>38.3003</v>
      </c>
      <c r="L99" s="18">
        <v>46.163200000000003</v>
      </c>
      <c r="M99" s="18">
        <v>45.878599999999999</v>
      </c>
      <c r="N99" s="18">
        <v>5.6252000000000004</v>
      </c>
      <c r="O99" s="18">
        <f t="shared" si="5"/>
        <v>40.230450000000005</v>
      </c>
      <c r="P99" s="7"/>
      <c r="Q99" s="10"/>
      <c r="R99" s="11"/>
      <c r="S99" s="11"/>
      <c r="T99" s="26"/>
      <c r="U99" s="28">
        <f t="shared" si="3"/>
        <v>2.3886746987951808</v>
      </c>
    </row>
    <row r="100" spans="1:21" ht="16.5" hidden="1" thickBot="1" x14ac:dyDescent="0.3">
      <c r="B100" s="12"/>
      <c r="C100" s="19">
        <v>197.72</v>
      </c>
      <c r="D100" s="20">
        <v>35.363</v>
      </c>
      <c r="E100" s="20">
        <v>43.286000000000001</v>
      </c>
      <c r="F100" s="20">
        <v>42.893000000000001</v>
      </c>
      <c r="G100" s="20">
        <v>2.1800000000000002</v>
      </c>
      <c r="H100" s="20">
        <f t="shared" si="4"/>
        <v>37.294624999999996</v>
      </c>
      <c r="I100" s="5"/>
      <c r="J100" s="19">
        <v>203.02250000000001</v>
      </c>
      <c r="K100" s="20">
        <v>34.978499999999997</v>
      </c>
      <c r="L100" s="20">
        <v>43.861199999999997</v>
      </c>
      <c r="M100" s="20">
        <v>43.4116</v>
      </c>
      <c r="N100" s="20">
        <v>7.5023999999999997</v>
      </c>
      <c r="O100" s="20">
        <f t="shared" si="5"/>
        <v>37.142975</v>
      </c>
      <c r="P100" s="7"/>
      <c r="Q100" s="13"/>
      <c r="R100" s="14"/>
      <c r="S100" s="14"/>
      <c r="T100" s="27"/>
      <c r="U100" s="28">
        <f t="shared" si="3"/>
        <v>2.4414678899082567</v>
      </c>
    </row>
    <row r="101" spans="1:21" hidden="1" x14ac:dyDescent="0.25">
      <c r="B101" s="6" t="s">
        <v>106</v>
      </c>
      <c r="C101" s="15">
        <v>986.11</v>
      </c>
      <c r="D101" s="16">
        <v>41.414000000000001</v>
      </c>
      <c r="E101" s="16">
        <v>50.53</v>
      </c>
      <c r="F101" s="16">
        <v>48.570999999999998</v>
      </c>
      <c r="G101" s="16">
        <v>1.37</v>
      </c>
      <c r="H101" s="16">
        <f t="shared" si="4"/>
        <v>43.448125000000005</v>
      </c>
      <c r="I101" s="5"/>
      <c r="J101" s="15">
        <v>1025.9439</v>
      </c>
      <c r="K101" s="16">
        <v>41.4238</v>
      </c>
      <c r="L101" s="16">
        <v>50.895699999999998</v>
      </c>
      <c r="M101" s="16">
        <v>48.8461</v>
      </c>
      <c r="N101" s="16">
        <v>4.3982000000000001</v>
      </c>
      <c r="O101" s="16">
        <f t="shared" si="5"/>
        <v>43.535574999999994</v>
      </c>
      <c r="P101" s="7"/>
      <c r="Q101" s="8">
        <f>bdrate(C101:C104,D101:D104,J101:J104,K101:K104)</f>
        <v>5.5400059460549489E-2</v>
      </c>
      <c r="R101" s="8">
        <f>bdrate(C101:C104,E101:E104,J101:J104,L101:L104)</f>
        <v>-0.17449930609922315</v>
      </c>
      <c r="S101" s="8">
        <f>bdrate(C101:C104,F101:F104,J101:J104,M101:M104)</f>
        <v>-9.3577912976423816E-2</v>
      </c>
      <c r="T101" s="25">
        <f>bdrate(C101:C104,H101:H104,J101:J104,O101:O104)</f>
        <v>1.7508152972901758E-2</v>
      </c>
      <c r="U101" s="28">
        <f t="shared" si="3"/>
        <v>2.2103649635036495</v>
      </c>
    </row>
    <row r="102" spans="1:21" hidden="1" x14ac:dyDescent="0.25">
      <c r="B102" s="9"/>
      <c r="C102" s="17">
        <v>588.84</v>
      </c>
      <c r="D102" s="18">
        <v>39.14</v>
      </c>
      <c r="E102" s="18">
        <v>49.052</v>
      </c>
      <c r="F102" s="18">
        <v>46.762</v>
      </c>
      <c r="G102" s="18">
        <v>1.65</v>
      </c>
      <c r="H102" s="18">
        <f t="shared" si="4"/>
        <v>41.33175</v>
      </c>
      <c r="I102" s="5"/>
      <c r="J102" s="17">
        <v>615.77380000000005</v>
      </c>
      <c r="K102" s="18">
        <v>39.1267</v>
      </c>
      <c r="L102" s="18">
        <v>49.571199999999997</v>
      </c>
      <c r="M102" s="18">
        <v>47.1402</v>
      </c>
      <c r="N102" s="18">
        <v>5.4786999999999999</v>
      </c>
      <c r="O102" s="18">
        <f t="shared" si="5"/>
        <v>41.433949999999996</v>
      </c>
      <c r="P102" s="7"/>
      <c r="Q102" s="10"/>
      <c r="R102" s="11"/>
      <c r="S102" s="11"/>
      <c r="T102" s="26"/>
      <c r="U102" s="28">
        <f t="shared" si="3"/>
        <v>2.3204242424242425</v>
      </c>
    </row>
    <row r="103" spans="1:21" hidden="1" x14ac:dyDescent="0.25">
      <c r="B103" s="9"/>
      <c r="C103" s="17">
        <v>392.14</v>
      </c>
      <c r="D103" s="18">
        <v>37.423999999999999</v>
      </c>
      <c r="E103" s="18">
        <v>47.875999999999998</v>
      </c>
      <c r="F103" s="18">
        <v>45.393000000000001</v>
      </c>
      <c r="G103" s="18">
        <v>1.93</v>
      </c>
      <c r="H103" s="18">
        <f t="shared" si="4"/>
        <v>39.726624999999999</v>
      </c>
      <c r="I103" s="5"/>
      <c r="J103" s="17">
        <v>410.56700000000001</v>
      </c>
      <c r="K103" s="18">
        <v>37.364699999999999</v>
      </c>
      <c r="L103" s="18">
        <v>48.616900000000001</v>
      </c>
      <c r="M103" s="18">
        <v>45.921500000000002</v>
      </c>
      <c r="N103" s="18">
        <v>6.5324999999999998</v>
      </c>
      <c r="O103" s="18">
        <f t="shared" si="5"/>
        <v>39.840824999999995</v>
      </c>
      <c r="P103" s="7"/>
      <c r="Q103" s="10"/>
      <c r="R103" s="11"/>
      <c r="S103" s="11"/>
      <c r="T103" s="26"/>
      <c r="U103" s="28">
        <f t="shared" si="3"/>
        <v>2.3847150259067358</v>
      </c>
    </row>
    <row r="104" spans="1:21" ht="16.5" hidden="1" thickBot="1" x14ac:dyDescent="0.3">
      <c r="B104" s="12"/>
      <c r="C104" s="19">
        <v>195.54</v>
      </c>
      <c r="D104" s="20">
        <v>34.664000000000001</v>
      </c>
      <c r="E104" s="20">
        <v>46.11</v>
      </c>
      <c r="F104" s="20">
        <v>43.244</v>
      </c>
      <c r="G104" s="20">
        <v>2.54</v>
      </c>
      <c r="H104" s="20">
        <f t="shared" si="4"/>
        <v>37.167249999999996</v>
      </c>
      <c r="I104" s="5"/>
      <c r="J104" s="19">
        <v>204.8117</v>
      </c>
      <c r="K104" s="20">
        <v>34.596899999999998</v>
      </c>
      <c r="L104" s="20">
        <v>46.805999999999997</v>
      </c>
      <c r="M104" s="20">
        <v>43.825499999999998</v>
      </c>
      <c r="N104" s="20">
        <v>8.7156000000000002</v>
      </c>
      <c r="O104" s="20">
        <f t="shared" si="5"/>
        <v>37.276612499999992</v>
      </c>
      <c r="P104" s="7"/>
      <c r="Q104" s="13"/>
      <c r="R104" s="14"/>
      <c r="S104" s="14"/>
      <c r="T104" s="27"/>
      <c r="U104" s="28">
        <f t="shared" si="3"/>
        <v>2.4313385826771654</v>
      </c>
    </row>
    <row r="105" spans="1:21" hidden="1" x14ac:dyDescent="0.25">
      <c r="B105" s="6" t="s">
        <v>107</v>
      </c>
      <c r="C105" s="15">
        <v>1047.78</v>
      </c>
      <c r="D105" s="16">
        <v>44.991999999999997</v>
      </c>
      <c r="E105" s="16">
        <v>48.750999999999998</v>
      </c>
      <c r="F105" s="16">
        <v>49.027000000000001</v>
      </c>
      <c r="G105" s="16">
        <v>1.27</v>
      </c>
      <c r="H105" s="16">
        <f t="shared" si="4"/>
        <v>45.966249999999995</v>
      </c>
      <c r="I105" s="5"/>
      <c r="J105" s="15">
        <v>1032.1025</v>
      </c>
      <c r="K105" s="16">
        <v>44.936700000000002</v>
      </c>
      <c r="L105" s="16">
        <v>48.846200000000003</v>
      </c>
      <c r="M105" s="16">
        <v>49.113500000000002</v>
      </c>
      <c r="N105" s="16">
        <v>3.6806000000000001</v>
      </c>
      <c r="O105" s="16">
        <f t="shared" si="5"/>
        <v>45.947487500000001</v>
      </c>
      <c r="P105" s="7"/>
      <c r="Q105" s="8">
        <f>bdrate(C105:C108,D105:D108,J105:J108,K105:K108)</f>
        <v>3.8350101906258427E-2</v>
      </c>
      <c r="R105" s="8">
        <f>bdrate(C105:C108,E105:E108,J105:J108,L105:L108)</f>
        <v>-5.1731377685933611E-2</v>
      </c>
      <c r="S105" s="8">
        <f>bdrate(C105:C108,F105:F108,J105:J108,M105:M108)</f>
        <v>-4.5303792329699499E-2</v>
      </c>
      <c r="T105" s="25">
        <f>bdrate(C105:C108,H105:H108,J105:J108,O105:O108)</f>
        <v>2.183068373972552E-2</v>
      </c>
      <c r="U105" s="28">
        <f t="shared" si="3"/>
        <v>1.8981102362204725</v>
      </c>
    </row>
    <row r="106" spans="1:21" hidden="1" x14ac:dyDescent="0.25">
      <c r="B106" s="9"/>
      <c r="C106" s="17">
        <v>625.39</v>
      </c>
      <c r="D106" s="18">
        <v>43.095999999999997</v>
      </c>
      <c r="E106" s="18">
        <v>47.307000000000002</v>
      </c>
      <c r="F106" s="18">
        <v>47.695</v>
      </c>
      <c r="G106" s="18">
        <v>1.54</v>
      </c>
      <c r="H106" s="18">
        <f t="shared" si="4"/>
        <v>44.197249999999997</v>
      </c>
      <c r="I106" s="5"/>
      <c r="J106" s="17">
        <v>616.61839999999995</v>
      </c>
      <c r="K106" s="18">
        <v>42.9602</v>
      </c>
      <c r="L106" s="18">
        <v>47.405200000000001</v>
      </c>
      <c r="M106" s="18">
        <v>47.762799999999999</v>
      </c>
      <c r="N106" s="18">
        <v>4.5171000000000001</v>
      </c>
      <c r="O106" s="18">
        <f t="shared" si="5"/>
        <v>44.116150000000005</v>
      </c>
      <c r="P106" s="7"/>
      <c r="Q106" s="10"/>
      <c r="R106" s="11"/>
      <c r="S106" s="11"/>
      <c r="T106" s="26"/>
      <c r="U106" s="28">
        <f t="shared" si="3"/>
        <v>1.9331818181818181</v>
      </c>
    </row>
    <row r="107" spans="1:21" hidden="1" x14ac:dyDescent="0.25">
      <c r="B107" s="9"/>
      <c r="C107" s="17">
        <v>413.78</v>
      </c>
      <c r="D107" s="18">
        <v>41.533000000000001</v>
      </c>
      <c r="E107" s="18">
        <v>46.173999999999999</v>
      </c>
      <c r="F107" s="18">
        <v>46.636000000000003</v>
      </c>
      <c r="G107" s="18">
        <v>1.81</v>
      </c>
      <c r="H107" s="18">
        <f t="shared" si="4"/>
        <v>42.751000000000005</v>
      </c>
      <c r="I107" s="5"/>
      <c r="J107" s="17">
        <v>409.94040000000001</v>
      </c>
      <c r="K107" s="18">
        <v>41.323399999999999</v>
      </c>
      <c r="L107" s="18">
        <v>46.293500000000002</v>
      </c>
      <c r="M107" s="18">
        <v>46.731400000000001</v>
      </c>
      <c r="N107" s="18">
        <v>5.4444999999999997</v>
      </c>
      <c r="O107" s="18">
        <f t="shared" si="5"/>
        <v>42.620662500000002</v>
      </c>
      <c r="P107" s="7"/>
      <c r="Q107" s="10"/>
      <c r="R107" s="11"/>
      <c r="S107" s="11"/>
      <c r="T107" s="26"/>
      <c r="U107" s="28">
        <f t="shared" si="3"/>
        <v>2.0080110497237564</v>
      </c>
    </row>
    <row r="108" spans="1:21" ht="16.5" hidden="1" thickBot="1" x14ac:dyDescent="0.3">
      <c r="B108" s="12"/>
      <c r="C108" s="19">
        <v>204.69</v>
      </c>
      <c r="D108" s="20">
        <v>38.643000000000001</v>
      </c>
      <c r="E108" s="20">
        <v>44.155999999999999</v>
      </c>
      <c r="F108" s="20">
        <v>44.692999999999998</v>
      </c>
      <c r="G108" s="20">
        <v>2.4900000000000002</v>
      </c>
      <c r="H108" s="20">
        <f t="shared" si="4"/>
        <v>40.088374999999999</v>
      </c>
      <c r="I108" s="5"/>
      <c r="J108" s="19">
        <v>204.14580000000001</v>
      </c>
      <c r="K108" s="20">
        <v>38.289499999999997</v>
      </c>
      <c r="L108" s="20">
        <v>44.335900000000002</v>
      </c>
      <c r="M108" s="20">
        <v>44.8474</v>
      </c>
      <c r="N108" s="20">
        <v>7.6089000000000002</v>
      </c>
      <c r="O108" s="20">
        <f t="shared" si="5"/>
        <v>39.865037499999993</v>
      </c>
      <c r="P108" s="7"/>
      <c r="Q108" s="13"/>
      <c r="R108" s="14"/>
      <c r="S108" s="14"/>
      <c r="T108" s="27"/>
      <c r="U108" s="28">
        <f t="shared" si="3"/>
        <v>2.0557831325301201</v>
      </c>
    </row>
    <row r="109" spans="1:21" hidden="1" x14ac:dyDescent="0.25">
      <c r="B109" s="6" t="s">
        <v>108</v>
      </c>
      <c r="C109" s="29">
        <v>981.33</v>
      </c>
      <c r="D109" s="30">
        <v>40.697000000000003</v>
      </c>
      <c r="E109" s="30">
        <v>47.171999999999997</v>
      </c>
      <c r="F109" s="30">
        <v>47.017000000000003</v>
      </c>
      <c r="G109" s="16">
        <v>1.47</v>
      </c>
      <c r="H109" s="16">
        <f t="shared" si="4"/>
        <v>42.296375000000005</v>
      </c>
      <c r="I109" s="5"/>
      <c r="J109" s="29">
        <v>1034.9221</v>
      </c>
      <c r="K109" s="30">
        <v>40.976799999999997</v>
      </c>
      <c r="L109" s="30">
        <v>47.623399999999997</v>
      </c>
      <c r="M109" s="30">
        <v>47.4711</v>
      </c>
      <c r="N109" s="16">
        <v>4.4602000000000004</v>
      </c>
      <c r="O109" s="16">
        <f t="shared" si="5"/>
        <v>42.619412499999996</v>
      </c>
      <c r="P109" s="7"/>
      <c r="Q109" s="8">
        <f>bdrate(C109:C112,D109:D112,J109:J112,K109:K112)</f>
        <v>1.6857081404929364E-2</v>
      </c>
      <c r="R109" s="8">
        <f>bdrate(C109:C112,E109:E112,J109:J112,L109:L112)</f>
        <v>-0.16355372319917183</v>
      </c>
      <c r="S109" s="8">
        <f>bdrate(C109:C112,F109:F112,J109:J112,M109:M112)</f>
        <v>-0.1593373629024879</v>
      </c>
      <c r="T109" s="25">
        <f>bdrate(C109:C112,H109:H112,J109:J112,O109:O112)</f>
        <v>-1.7590703512232131E-2</v>
      </c>
      <c r="U109" s="28">
        <f t="shared" si="3"/>
        <v>2.0341496598639459</v>
      </c>
    </row>
    <row r="110" spans="1:21" hidden="1" x14ac:dyDescent="0.25">
      <c r="B110" s="9"/>
      <c r="C110" s="31">
        <v>586.84</v>
      </c>
      <c r="D110" s="32">
        <v>38.393999999999998</v>
      </c>
      <c r="E110" s="32">
        <v>45.688000000000002</v>
      </c>
      <c r="F110" s="32">
        <v>45.554000000000002</v>
      </c>
      <c r="G110" s="18">
        <v>1.8</v>
      </c>
      <c r="H110" s="18">
        <f t="shared" si="4"/>
        <v>40.200749999999999</v>
      </c>
      <c r="I110" s="5"/>
      <c r="J110" s="31">
        <v>620.69759999999997</v>
      </c>
      <c r="K110" s="32">
        <v>38.599699999999999</v>
      </c>
      <c r="L110" s="32">
        <v>46.2836</v>
      </c>
      <c r="M110" s="32">
        <v>46.133899999999997</v>
      </c>
      <c r="N110" s="18">
        <v>5.5541</v>
      </c>
      <c r="O110" s="18">
        <f t="shared" si="5"/>
        <v>40.501962499999998</v>
      </c>
      <c r="P110" s="7"/>
      <c r="Q110" s="10"/>
      <c r="R110" s="11"/>
      <c r="S110" s="11"/>
      <c r="T110" s="26"/>
      <c r="U110" s="28">
        <f t="shared" si="3"/>
        <v>2.0856111111111111</v>
      </c>
    </row>
    <row r="111" spans="1:21" hidden="1" x14ac:dyDescent="0.25">
      <c r="B111" s="9"/>
      <c r="C111" s="31">
        <v>390.41</v>
      </c>
      <c r="D111" s="32">
        <v>36.718000000000004</v>
      </c>
      <c r="E111" s="32">
        <v>44.537999999999997</v>
      </c>
      <c r="F111" s="32">
        <v>44.387</v>
      </c>
      <c r="G111" s="18">
        <v>2.14</v>
      </c>
      <c r="H111" s="18">
        <f t="shared" si="4"/>
        <v>38.654125000000001</v>
      </c>
      <c r="I111" s="5"/>
      <c r="J111" s="31">
        <v>412.66300000000001</v>
      </c>
      <c r="K111" s="32">
        <v>36.862699999999997</v>
      </c>
      <c r="L111" s="32">
        <v>45.224299999999999</v>
      </c>
      <c r="M111" s="32">
        <v>45.071199999999997</v>
      </c>
      <c r="N111" s="18">
        <v>6.6479999999999997</v>
      </c>
      <c r="O111" s="18">
        <f t="shared" si="5"/>
        <v>38.933962499999993</v>
      </c>
      <c r="P111" s="7"/>
      <c r="Q111" s="10"/>
      <c r="R111" s="11"/>
      <c r="S111" s="11"/>
      <c r="T111" s="26"/>
      <c r="U111" s="28">
        <f t="shared" si="3"/>
        <v>2.1065420560747659</v>
      </c>
    </row>
    <row r="112" spans="1:21" ht="16.5" hidden="1" thickBot="1" x14ac:dyDescent="0.3">
      <c r="B112" s="12"/>
      <c r="C112" s="33">
        <v>194.91</v>
      </c>
      <c r="D112" s="34">
        <v>33.890999999999998</v>
      </c>
      <c r="E112" s="34">
        <v>42.524000000000001</v>
      </c>
      <c r="F112" s="34">
        <v>42.411999999999999</v>
      </c>
      <c r="G112" s="20">
        <v>2.89</v>
      </c>
      <c r="H112" s="20">
        <f t="shared" si="4"/>
        <v>36.035249999999998</v>
      </c>
      <c r="I112" s="5"/>
      <c r="J112" s="33">
        <v>205.23079999999999</v>
      </c>
      <c r="K112" s="34">
        <v>33.9482</v>
      </c>
      <c r="L112" s="34">
        <v>43.298499999999997</v>
      </c>
      <c r="M112" s="34">
        <v>43.1145</v>
      </c>
      <c r="N112" s="20">
        <v>8.9979999999999993</v>
      </c>
      <c r="O112" s="20">
        <f t="shared" si="5"/>
        <v>36.262774999999998</v>
      </c>
      <c r="P112" s="7"/>
      <c r="Q112" s="13"/>
      <c r="R112" s="14"/>
      <c r="S112" s="14"/>
      <c r="T112" s="27"/>
      <c r="U112" s="28">
        <f t="shared" si="3"/>
        <v>2.1134948096885808</v>
      </c>
    </row>
    <row r="113" spans="2:21" hidden="1" x14ac:dyDescent="0.25">
      <c r="B113" s="6" t="s">
        <v>109</v>
      </c>
      <c r="C113" s="15">
        <v>1003.52</v>
      </c>
      <c r="D113" s="16">
        <v>39.901000000000003</v>
      </c>
      <c r="E113" s="16">
        <v>48.075000000000003</v>
      </c>
      <c r="F113" s="16">
        <v>46.793999999999997</v>
      </c>
      <c r="G113" s="16">
        <v>1.37</v>
      </c>
      <c r="H113" s="16">
        <f t="shared" si="4"/>
        <v>41.784374999999997</v>
      </c>
      <c r="I113" s="5"/>
      <c r="J113" s="15">
        <v>1027.7456999999999</v>
      </c>
      <c r="K113" s="16">
        <v>39.974299999999999</v>
      </c>
      <c r="L113" s="16">
        <v>48.2209</v>
      </c>
      <c r="M113" s="16">
        <v>46.936100000000003</v>
      </c>
      <c r="N113" s="16">
        <v>4.0206</v>
      </c>
      <c r="O113" s="16">
        <f t="shared" si="5"/>
        <v>41.875349999999997</v>
      </c>
      <c r="P113" s="7"/>
      <c r="Q113" s="8">
        <f>bdrate(C113:C116,D113:D116,J113:J116,K113:K116)</f>
        <v>2.940375133571016E-2</v>
      </c>
      <c r="R113" s="8">
        <f>bdrate(C113:C116,E113:E116,J113:J116,L113:L116)</f>
        <v>-6.1928532152273563E-2</v>
      </c>
      <c r="S113" s="8">
        <f>bdrate(C113:C116,F113:F116,J113:J116,M113:M116)</f>
        <v>-3.0455438735397578E-2</v>
      </c>
      <c r="T113" s="25">
        <f>bdrate(C113:C116,H113:H116,J113:J116,O113:O116)</f>
        <v>1.4075360101889478E-2</v>
      </c>
      <c r="U113" s="28">
        <f t="shared" si="3"/>
        <v>1.9347445255474449</v>
      </c>
    </row>
    <row r="114" spans="2:21" hidden="1" x14ac:dyDescent="0.25">
      <c r="B114" s="9"/>
      <c r="C114" s="17">
        <v>602.16</v>
      </c>
      <c r="D114" s="18">
        <v>38.469000000000001</v>
      </c>
      <c r="E114" s="18">
        <v>47.192999999999998</v>
      </c>
      <c r="F114" s="18">
        <v>45.808999999999997</v>
      </c>
      <c r="G114" s="18">
        <v>1.62</v>
      </c>
      <c r="H114" s="18">
        <f t="shared" si="4"/>
        <v>40.477000000000004</v>
      </c>
      <c r="I114" s="5"/>
      <c r="J114" s="17">
        <v>617.59879999999998</v>
      </c>
      <c r="K114" s="18">
        <v>38.500900000000001</v>
      </c>
      <c r="L114" s="18">
        <v>47.365600000000001</v>
      </c>
      <c r="M114" s="18">
        <v>45.922600000000003</v>
      </c>
      <c r="N114" s="18">
        <v>4.9946999999999999</v>
      </c>
      <c r="O114" s="18">
        <f t="shared" si="5"/>
        <v>40.536699999999996</v>
      </c>
      <c r="P114" s="7"/>
      <c r="Q114" s="10"/>
      <c r="R114" s="11"/>
      <c r="S114" s="11"/>
      <c r="T114" s="26"/>
      <c r="U114" s="28">
        <f t="shared" si="3"/>
        <v>2.083148148148148</v>
      </c>
    </row>
    <row r="115" spans="2:21" hidden="1" x14ac:dyDescent="0.25">
      <c r="B115" s="9"/>
      <c r="C115" s="17">
        <v>401.12</v>
      </c>
      <c r="D115" s="18">
        <v>37.508000000000003</v>
      </c>
      <c r="E115" s="18">
        <v>46.517000000000003</v>
      </c>
      <c r="F115" s="18">
        <v>45.012999999999998</v>
      </c>
      <c r="G115" s="18">
        <v>1.88</v>
      </c>
      <c r="H115" s="18">
        <f t="shared" si="4"/>
        <v>39.572249999999997</v>
      </c>
      <c r="I115" s="5"/>
      <c r="J115" s="17">
        <v>411.00970000000001</v>
      </c>
      <c r="K115" s="18">
        <v>37.486699999999999</v>
      </c>
      <c r="L115" s="18">
        <v>46.664900000000003</v>
      </c>
      <c r="M115" s="18">
        <v>45.124899999999997</v>
      </c>
      <c r="N115" s="18">
        <v>6.0002000000000004</v>
      </c>
      <c r="O115" s="18">
        <f t="shared" si="5"/>
        <v>39.588750000000005</v>
      </c>
      <c r="P115" s="7"/>
      <c r="Q115" s="10"/>
      <c r="R115" s="11"/>
      <c r="S115" s="11"/>
      <c r="T115" s="26"/>
      <c r="U115" s="28">
        <f t="shared" si="3"/>
        <v>2.1915957446808516</v>
      </c>
    </row>
    <row r="116" spans="2:21" ht="16.5" hidden="1" thickBot="1" x14ac:dyDescent="0.3">
      <c r="B116" s="12"/>
      <c r="C116" s="19">
        <v>200.14</v>
      </c>
      <c r="D116" s="20">
        <v>35.920999999999999</v>
      </c>
      <c r="E116" s="20">
        <v>45.11</v>
      </c>
      <c r="F116" s="20">
        <v>43.517000000000003</v>
      </c>
      <c r="G116" s="20">
        <v>2.4300000000000002</v>
      </c>
      <c r="H116" s="20">
        <f t="shared" si="4"/>
        <v>38.019125000000003</v>
      </c>
      <c r="I116" s="5"/>
      <c r="J116" s="19">
        <v>204.68270000000001</v>
      </c>
      <c r="K116" s="20">
        <v>35.787700000000001</v>
      </c>
      <c r="L116" s="20">
        <v>45.3</v>
      </c>
      <c r="M116" s="20">
        <v>43.610999999999997</v>
      </c>
      <c r="N116" s="20">
        <v>8.0977999999999994</v>
      </c>
      <c r="O116" s="20">
        <f t="shared" si="5"/>
        <v>37.954650000000001</v>
      </c>
      <c r="P116" s="7"/>
      <c r="Q116" s="13"/>
      <c r="R116" s="14"/>
      <c r="S116" s="14"/>
      <c r="T116" s="27"/>
      <c r="U116" s="28">
        <f t="shared" si="3"/>
        <v>2.3324279835390942</v>
      </c>
    </row>
    <row r="117" spans="2:21" hidden="1" x14ac:dyDescent="0.25">
      <c r="B117" s="6" t="s">
        <v>110</v>
      </c>
      <c r="C117" s="15">
        <v>1562.22</v>
      </c>
      <c r="D117" s="16">
        <v>39.637</v>
      </c>
      <c r="E117" s="16">
        <v>45.372999999999998</v>
      </c>
      <c r="F117" s="16">
        <v>44.776000000000003</v>
      </c>
      <c r="G117" s="16">
        <v>0.82</v>
      </c>
      <c r="H117" s="16">
        <f t="shared" si="4"/>
        <v>40.996375</v>
      </c>
      <c r="I117" s="5"/>
      <c r="J117" s="15">
        <v>1538.8916999999999</v>
      </c>
      <c r="K117" s="16">
        <v>39.876100000000001</v>
      </c>
      <c r="L117" s="16">
        <v>45.860199999999999</v>
      </c>
      <c r="M117" s="16">
        <v>45.254100000000001</v>
      </c>
      <c r="N117" s="16">
        <v>2.3553999999999999</v>
      </c>
      <c r="O117" s="16">
        <f t="shared" si="5"/>
        <v>41.296362500000001</v>
      </c>
      <c r="P117" s="7"/>
      <c r="Q117" s="8">
        <f>bdrate(C117:C120,D117:D120,J117:J120,K117:K120)</f>
        <v>-9.1934105102563279E-2</v>
      </c>
      <c r="R117" s="8">
        <f>bdrate(C117:C120,E117:E120,J117:J120,L117:L120)</f>
        <v>-0.20384158237124217</v>
      </c>
      <c r="S117" s="8">
        <f>bdrate(C117:C120,F117:F120,J117:J120,M117:M120)</f>
        <v>-0.14727477177271009</v>
      </c>
      <c r="T117" s="25">
        <f>bdrate(C117:C120,H117:H120,J117:J120,O117:O120)</f>
        <v>-0.10802762521031584</v>
      </c>
      <c r="U117" s="28">
        <f t="shared" si="3"/>
        <v>1.8724390243902442</v>
      </c>
    </row>
    <row r="118" spans="2:21" hidden="1" x14ac:dyDescent="0.25">
      <c r="B118" s="9"/>
      <c r="C118" s="17">
        <v>1040.52</v>
      </c>
      <c r="D118" s="18">
        <v>37.845999999999997</v>
      </c>
      <c r="E118" s="18">
        <v>44.110999999999997</v>
      </c>
      <c r="F118" s="18">
        <v>43.451999999999998</v>
      </c>
      <c r="G118" s="18">
        <v>1</v>
      </c>
      <c r="H118" s="18">
        <f t="shared" si="4"/>
        <v>39.329874999999994</v>
      </c>
      <c r="I118" s="5"/>
      <c r="J118" s="17">
        <v>1013.3054</v>
      </c>
      <c r="K118" s="18">
        <v>38.111199999999997</v>
      </c>
      <c r="L118" s="18">
        <v>44.664400000000001</v>
      </c>
      <c r="M118" s="18">
        <v>43.912100000000002</v>
      </c>
      <c r="N118" s="18">
        <v>2.8938000000000001</v>
      </c>
      <c r="O118" s="18">
        <f t="shared" si="5"/>
        <v>39.655462499999999</v>
      </c>
      <c r="P118" s="7"/>
      <c r="Q118" s="10"/>
      <c r="R118" s="11"/>
      <c r="S118" s="11"/>
      <c r="T118" s="26"/>
      <c r="U118" s="28">
        <f t="shared" si="3"/>
        <v>1.8938000000000001</v>
      </c>
    </row>
    <row r="119" spans="2:21" hidden="1" x14ac:dyDescent="0.25">
      <c r="B119" s="9"/>
      <c r="C119" s="17">
        <v>623.21</v>
      </c>
      <c r="D119" s="18">
        <v>35.581000000000003</v>
      </c>
      <c r="E119" s="18">
        <v>42.636000000000003</v>
      </c>
      <c r="F119" s="18">
        <v>41.883000000000003</v>
      </c>
      <c r="G119" s="18">
        <v>1.28</v>
      </c>
      <c r="H119" s="18">
        <f t="shared" si="4"/>
        <v>37.250624999999999</v>
      </c>
      <c r="I119" s="5"/>
      <c r="J119" s="17">
        <v>603.82079999999996</v>
      </c>
      <c r="K119" s="18">
        <v>35.889699999999998</v>
      </c>
      <c r="L119" s="18">
        <v>43.223599999999998</v>
      </c>
      <c r="M119" s="18">
        <v>42.2697</v>
      </c>
      <c r="N119" s="18">
        <v>3.6637</v>
      </c>
      <c r="O119" s="18">
        <f t="shared" si="5"/>
        <v>37.603937499999994</v>
      </c>
      <c r="P119" s="7"/>
      <c r="Q119" s="10"/>
      <c r="R119" s="11"/>
      <c r="S119" s="11"/>
      <c r="T119" s="26"/>
      <c r="U119" s="28">
        <f t="shared" si="3"/>
        <v>1.862265625</v>
      </c>
    </row>
    <row r="120" spans="2:21" ht="16.5" hidden="1" thickBot="1" x14ac:dyDescent="0.3">
      <c r="B120" s="12"/>
      <c r="C120" s="19">
        <v>311.33</v>
      </c>
      <c r="D120" s="20">
        <v>32.598999999999997</v>
      </c>
      <c r="E120" s="20">
        <v>40.738999999999997</v>
      </c>
      <c r="F120" s="20">
        <v>39.767000000000003</v>
      </c>
      <c r="G120" s="20">
        <v>1.78</v>
      </c>
      <c r="H120" s="20">
        <f t="shared" si="4"/>
        <v>34.512500000000003</v>
      </c>
      <c r="I120" s="5"/>
      <c r="J120" s="19">
        <v>301.64499999999998</v>
      </c>
      <c r="K120" s="20">
        <v>32.919800000000002</v>
      </c>
      <c r="L120" s="20">
        <v>41.281500000000001</v>
      </c>
      <c r="M120" s="20">
        <v>40.107799999999997</v>
      </c>
      <c r="N120" s="20">
        <v>4.9462999999999999</v>
      </c>
      <c r="O120" s="20">
        <f t="shared" si="5"/>
        <v>34.863512499999999</v>
      </c>
      <c r="P120" s="7"/>
      <c r="Q120" s="13"/>
      <c r="R120" s="14"/>
      <c r="S120" s="14"/>
      <c r="T120" s="27"/>
      <c r="U120" s="28">
        <f t="shared" si="3"/>
        <v>1.778820224719101</v>
      </c>
    </row>
    <row r="121" spans="2:21" hidden="1" x14ac:dyDescent="0.25">
      <c r="B121" s="6" t="s">
        <v>111</v>
      </c>
      <c r="C121" s="15">
        <v>1032.72</v>
      </c>
      <c r="D121" s="16">
        <v>41.405000000000001</v>
      </c>
      <c r="E121" s="16">
        <v>46.45</v>
      </c>
      <c r="F121" s="16">
        <v>45.96</v>
      </c>
      <c r="G121" s="16">
        <v>1.32</v>
      </c>
      <c r="H121" s="16">
        <f t="shared" si="4"/>
        <v>42.604999999999997</v>
      </c>
      <c r="I121" s="5"/>
      <c r="J121" s="15">
        <v>1038.8290999999999</v>
      </c>
      <c r="K121" s="16">
        <v>41.504899999999999</v>
      </c>
      <c r="L121" s="16">
        <v>46.683399999999999</v>
      </c>
      <c r="M121" s="16">
        <v>46.191499999999998</v>
      </c>
      <c r="N121" s="16">
        <v>4.1360000000000001</v>
      </c>
      <c r="O121" s="16">
        <f t="shared" si="5"/>
        <v>42.738037500000004</v>
      </c>
      <c r="P121" s="7"/>
      <c r="Q121" s="8">
        <f>bdrate(C121:C124,D121:D124,J121:J124,K121:K124)</f>
        <v>5.7923791253475798E-3</v>
      </c>
      <c r="R121" s="8">
        <f>bdrate(C121:C124,E121:E124,J121:J124,L121:L124)</f>
        <v>-9.9927003502590095E-2</v>
      </c>
      <c r="S121" s="8">
        <f>bdrate(C121:C124,F121:F124,J121:J124,M121:M124)</f>
        <v>-9.2830048508422247E-2</v>
      </c>
      <c r="T121" s="25">
        <f>bdrate(C121:C124,H121:H124,J121:J124,O121:O124)</f>
        <v>-1.4951511827614117E-2</v>
      </c>
      <c r="U121" s="28">
        <f t="shared" si="3"/>
        <v>2.1333333333333333</v>
      </c>
    </row>
    <row r="122" spans="2:21" hidden="1" x14ac:dyDescent="0.25">
      <c r="B122" s="9"/>
      <c r="C122" s="17">
        <v>613.22</v>
      </c>
      <c r="D122" s="18">
        <v>39.408000000000001</v>
      </c>
      <c r="E122" s="18">
        <v>45.058999999999997</v>
      </c>
      <c r="F122" s="18">
        <v>44.55</v>
      </c>
      <c r="G122" s="18">
        <v>1.65</v>
      </c>
      <c r="H122" s="18">
        <f t="shared" si="4"/>
        <v>40.757125000000002</v>
      </c>
      <c r="I122" s="5"/>
      <c r="J122" s="17">
        <v>620.83420000000001</v>
      </c>
      <c r="K122" s="18">
        <v>39.484299999999998</v>
      </c>
      <c r="L122" s="18">
        <v>45.363500000000002</v>
      </c>
      <c r="M122" s="18">
        <v>44.8337</v>
      </c>
      <c r="N122" s="18">
        <v>5.0029000000000003</v>
      </c>
      <c r="O122" s="18">
        <f t="shared" si="5"/>
        <v>40.887875000000001</v>
      </c>
      <c r="P122" s="7"/>
      <c r="Q122" s="10"/>
      <c r="R122" s="11"/>
      <c r="S122" s="11"/>
      <c r="T122" s="26"/>
      <c r="U122" s="28">
        <f t="shared" si="3"/>
        <v>2.0320606060606066</v>
      </c>
    </row>
    <row r="123" spans="2:21" hidden="1" x14ac:dyDescent="0.25">
      <c r="B123" s="9"/>
      <c r="C123" s="17">
        <v>405.81</v>
      </c>
      <c r="D123" s="18">
        <v>37.96</v>
      </c>
      <c r="E123" s="18">
        <v>43.996000000000002</v>
      </c>
      <c r="F123" s="18">
        <v>43.481000000000002</v>
      </c>
      <c r="G123" s="18">
        <v>1.97</v>
      </c>
      <c r="H123" s="18">
        <f t="shared" si="4"/>
        <v>39.404624999999996</v>
      </c>
      <c r="I123" s="5"/>
      <c r="J123" s="17">
        <v>413.17779999999999</v>
      </c>
      <c r="K123" s="18">
        <v>37.995800000000003</v>
      </c>
      <c r="L123" s="18">
        <v>44.3215</v>
      </c>
      <c r="M123" s="18">
        <v>43.794600000000003</v>
      </c>
      <c r="N123" s="18">
        <v>6.0682999999999998</v>
      </c>
      <c r="O123" s="18">
        <f t="shared" si="5"/>
        <v>39.511362500000004</v>
      </c>
      <c r="P123" s="7"/>
      <c r="Q123" s="10"/>
      <c r="R123" s="11"/>
      <c r="S123" s="11"/>
      <c r="T123" s="26"/>
      <c r="U123" s="28">
        <f t="shared" si="3"/>
        <v>2.0803553299492386</v>
      </c>
    </row>
    <row r="124" spans="2:21" ht="16.5" hidden="1" thickBot="1" x14ac:dyDescent="0.3">
      <c r="B124" s="12"/>
      <c r="C124" s="19">
        <v>200.39</v>
      </c>
      <c r="D124" s="20">
        <v>35.479999999999997</v>
      </c>
      <c r="E124" s="20">
        <v>42.018999999999998</v>
      </c>
      <c r="F124" s="20">
        <v>41.491</v>
      </c>
      <c r="G124" s="20">
        <v>2.66</v>
      </c>
      <c r="H124" s="20">
        <f t="shared" si="4"/>
        <v>37.048749999999998</v>
      </c>
      <c r="I124" s="5"/>
      <c r="J124" s="19">
        <v>206.06219999999999</v>
      </c>
      <c r="K124" s="20">
        <v>35.418300000000002</v>
      </c>
      <c r="L124" s="20">
        <v>42.445500000000003</v>
      </c>
      <c r="M124" s="20">
        <v>41.877899999999997</v>
      </c>
      <c r="N124" s="20">
        <v>8.3497000000000003</v>
      </c>
      <c r="O124" s="20">
        <f t="shared" si="5"/>
        <v>37.104150000000004</v>
      </c>
      <c r="P124" s="7"/>
      <c r="Q124" s="13"/>
      <c r="R124" s="14"/>
      <c r="S124" s="14"/>
      <c r="T124" s="27"/>
      <c r="U124" s="28">
        <f t="shared" si="3"/>
        <v>2.1389849624060151</v>
      </c>
    </row>
    <row r="125" spans="2:21" hidden="1" x14ac:dyDescent="0.25">
      <c r="B125" s="6" t="s">
        <v>112</v>
      </c>
      <c r="C125" s="15">
        <v>984.43</v>
      </c>
      <c r="D125" s="16">
        <v>44.823999999999998</v>
      </c>
      <c r="E125" s="16">
        <v>49.027999999999999</v>
      </c>
      <c r="F125" s="16">
        <v>48.223999999999997</v>
      </c>
      <c r="G125" s="16">
        <v>1.31</v>
      </c>
      <c r="H125" s="16">
        <f t="shared" si="4"/>
        <v>45.774499999999996</v>
      </c>
      <c r="I125" s="5"/>
      <c r="J125" s="15">
        <v>1032.5962</v>
      </c>
      <c r="K125" s="16">
        <v>45.092300000000002</v>
      </c>
      <c r="L125" s="16">
        <v>49.334899999999998</v>
      </c>
      <c r="M125" s="16">
        <v>48.5702</v>
      </c>
      <c r="N125" s="16">
        <v>3.9413999999999998</v>
      </c>
      <c r="O125" s="16">
        <f t="shared" si="5"/>
        <v>46.057362500000004</v>
      </c>
      <c r="P125" s="7"/>
      <c r="Q125" s="8">
        <f>bdrate(C125:C128,D125:D128,J125:J128,K125:K128)</f>
        <v>1.4875957210611634E-3</v>
      </c>
      <c r="R125" s="8">
        <f>bdrate(C125:C128,E125:E128,J125:J128,L125:L128)</f>
        <v>-5.4751961155747542E-2</v>
      </c>
      <c r="S125" s="8">
        <f>bdrate(C125:C128,F125:F128,J125:J128,M125:M128)</f>
        <v>-5.4579319875062038E-2</v>
      </c>
      <c r="T125" s="25">
        <f>bdrate(C125:C128,H125:H128,J125:J128,O125:O128)</f>
        <v>-1.0756647168883027E-2</v>
      </c>
      <c r="U125" s="28">
        <f t="shared" si="3"/>
        <v>2.0087022900763354</v>
      </c>
    </row>
    <row r="126" spans="2:21" hidden="1" x14ac:dyDescent="0.25">
      <c r="B126" s="9"/>
      <c r="C126" s="17">
        <v>589.95000000000005</v>
      </c>
      <c r="D126" s="18">
        <v>43.005000000000003</v>
      </c>
      <c r="E126" s="18">
        <v>47.566000000000003</v>
      </c>
      <c r="F126" s="18">
        <v>46.713999999999999</v>
      </c>
      <c r="G126" s="18">
        <v>1.67</v>
      </c>
      <c r="H126" s="18">
        <f t="shared" si="4"/>
        <v>44.03875</v>
      </c>
      <c r="I126" s="5"/>
      <c r="J126" s="17">
        <v>618.27919999999995</v>
      </c>
      <c r="K126" s="18">
        <v>43.213299999999997</v>
      </c>
      <c r="L126" s="18">
        <v>47.869500000000002</v>
      </c>
      <c r="M126" s="18">
        <v>47.030799999999999</v>
      </c>
      <c r="N126" s="18">
        <v>4.7891000000000004</v>
      </c>
      <c r="O126" s="18">
        <f t="shared" si="5"/>
        <v>44.272512499999998</v>
      </c>
      <c r="P126" s="7"/>
      <c r="Q126" s="10"/>
      <c r="R126" s="11"/>
      <c r="S126" s="11"/>
      <c r="T126" s="26"/>
      <c r="U126" s="28">
        <f t="shared" si="3"/>
        <v>1.8677245508982039</v>
      </c>
    </row>
    <row r="127" spans="2:21" hidden="1" x14ac:dyDescent="0.25">
      <c r="B127" s="9"/>
      <c r="C127" s="17">
        <v>394.14</v>
      </c>
      <c r="D127" s="18">
        <v>41.576000000000001</v>
      </c>
      <c r="E127" s="18">
        <v>46.405999999999999</v>
      </c>
      <c r="F127" s="18">
        <v>45.514000000000003</v>
      </c>
      <c r="G127" s="18">
        <v>1.95</v>
      </c>
      <c r="H127" s="18">
        <f t="shared" si="4"/>
        <v>42.672000000000004</v>
      </c>
      <c r="I127" s="5"/>
      <c r="J127" s="17">
        <v>410.72890000000001</v>
      </c>
      <c r="K127" s="18">
        <v>41.718899999999998</v>
      </c>
      <c r="L127" s="18">
        <v>46.682600000000001</v>
      </c>
      <c r="M127" s="18">
        <v>45.8035</v>
      </c>
      <c r="N127" s="18">
        <v>5.7259000000000002</v>
      </c>
      <c r="O127" s="18">
        <f t="shared" si="5"/>
        <v>42.849937499999996</v>
      </c>
      <c r="P127" s="7"/>
      <c r="Q127" s="10"/>
      <c r="R127" s="11"/>
      <c r="S127" s="11"/>
      <c r="T127" s="26"/>
      <c r="U127" s="28">
        <f t="shared" si="3"/>
        <v>1.9363589743589744</v>
      </c>
    </row>
    <row r="128" spans="2:21" ht="16.5" hidden="1" thickBot="1" x14ac:dyDescent="0.3">
      <c r="B128" s="12"/>
      <c r="C128" s="19">
        <v>198.74</v>
      </c>
      <c r="D128" s="20">
        <v>38.85</v>
      </c>
      <c r="E128" s="20">
        <v>44.201000000000001</v>
      </c>
      <c r="F128" s="20">
        <v>43.219000000000001</v>
      </c>
      <c r="G128" s="20">
        <v>2.56</v>
      </c>
      <c r="H128" s="20">
        <f t="shared" si="4"/>
        <v>40.065000000000005</v>
      </c>
      <c r="I128" s="5"/>
      <c r="J128" s="19">
        <v>204.2432</v>
      </c>
      <c r="K128" s="20">
        <v>38.840400000000002</v>
      </c>
      <c r="L128" s="20">
        <v>44.508400000000002</v>
      </c>
      <c r="M128" s="20">
        <v>43.511899999999997</v>
      </c>
      <c r="N128" s="20">
        <v>7.9135</v>
      </c>
      <c r="O128" s="20">
        <f t="shared" si="5"/>
        <v>40.132837500000008</v>
      </c>
      <c r="P128" s="7"/>
      <c r="Q128" s="13"/>
      <c r="R128" s="14"/>
      <c r="S128" s="14"/>
      <c r="T128" s="27"/>
      <c r="U128" s="28">
        <f t="shared" si="3"/>
        <v>2.0912109375000001</v>
      </c>
    </row>
    <row r="129" spans="2:21" hidden="1" x14ac:dyDescent="0.25">
      <c r="B129" s="6" t="s">
        <v>113</v>
      </c>
      <c r="C129" s="15">
        <v>1461.49</v>
      </c>
      <c r="D129" s="16">
        <v>38.69</v>
      </c>
      <c r="E129" s="16">
        <v>43.715000000000003</v>
      </c>
      <c r="F129" s="16">
        <v>44.411999999999999</v>
      </c>
      <c r="G129" s="16">
        <v>0.56000000000000005</v>
      </c>
      <c r="H129" s="16">
        <f t="shared" si="4"/>
        <v>40.033374999999999</v>
      </c>
      <c r="I129" s="5"/>
      <c r="J129" s="15">
        <v>1546.0284999999999</v>
      </c>
      <c r="K129" s="16">
        <v>38.773400000000002</v>
      </c>
      <c r="L129" s="16">
        <v>44.453499999999998</v>
      </c>
      <c r="M129" s="16">
        <v>45.1449</v>
      </c>
      <c r="N129" s="16">
        <v>1.9312</v>
      </c>
      <c r="O129" s="16">
        <f t="shared" si="5"/>
        <v>40.279850000000003</v>
      </c>
      <c r="P129" s="7"/>
      <c r="Q129" s="8">
        <f>bdrate(C129:C132,D129:D132,J129:J132,K129:K132)</f>
        <v>4.8391433082803692E-2</v>
      </c>
      <c r="R129" s="8">
        <f>bdrate(C129:C132,E129:E132,J129:J132,L129:L132)</f>
        <v>-0.2261287305512808</v>
      </c>
      <c r="S129" s="8">
        <f>bdrate(C129:C132,F129:F132,J129:J132,M129:M132)</f>
        <v>-0.22805678072026614</v>
      </c>
      <c r="T129" s="25">
        <f>bdrate(C129:C132,H129:H132,J129:J132,O129:O132)</f>
        <v>-5.481849295751795E-3</v>
      </c>
      <c r="U129" s="28">
        <f t="shared" si="3"/>
        <v>2.4485714285714284</v>
      </c>
    </row>
    <row r="130" spans="2:21" hidden="1" x14ac:dyDescent="0.25">
      <c r="B130" s="9"/>
      <c r="C130" s="17">
        <v>973.6</v>
      </c>
      <c r="D130" s="18">
        <v>36.966999999999999</v>
      </c>
      <c r="E130" s="18">
        <v>42.432000000000002</v>
      </c>
      <c r="F130" s="18">
        <v>43.189</v>
      </c>
      <c r="G130" s="18">
        <v>0.68</v>
      </c>
      <c r="H130" s="18">
        <f t="shared" si="4"/>
        <v>38.427875</v>
      </c>
      <c r="I130" s="5"/>
      <c r="J130" s="17">
        <v>1028.5433</v>
      </c>
      <c r="K130" s="18">
        <v>37.006100000000004</v>
      </c>
      <c r="L130" s="18">
        <v>43.277900000000002</v>
      </c>
      <c r="M130" s="18">
        <v>44.021599999999999</v>
      </c>
      <c r="N130" s="18">
        <v>2.3671000000000002</v>
      </c>
      <c r="O130" s="18">
        <f t="shared" si="5"/>
        <v>38.667012499999998</v>
      </c>
      <c r="P130" s="7"/>
      <c r="Q130" s="10"/>
      <c r="R130" s="11"/>
      <c r="S130" s="11"/>
      <c r="T130" s="26"/>
      <c r="U130" s="28">
        <f t="shared" si="3"/>
        <v>2.4810294117647058</v>
      </c>
    </row>
    <row r="131" spans="2:21" hidden="1" x14ac:dyDescent="0.25">
      <c r="B131" s="9"/>
      <c r="C131" s="17">
        <v>583.77</v>
      </c>
      <c r="D131" s="18">
        <v>34.774999999999999</v>
      </c>
      <c r="E131" s="18">
        <v>40.975000000000001</v>
      </c>
      <c r="F131" s="18">
        <v>41.798999999999999</v>
      </c>
      <c r="G131" s="18">
        <v>0.89</v>
      </c>
      <c r="H131" s="18">
        <f t="shared" si="4"/>
        <v>36.427999999999997</v>
      </c>
      <c r="I131" s="5"/>
      <c r="J131" s="17">
        <v>615.19820000000004</v>
      </c>
      <c r="K131" s="18">
        <v>34.793199999999999</v>
      </c>
      <c r="L131" s="18">
        <v>41.841200000000001</v>
      </c>
      <c r="M131" s="18">
        <v>42.628999999999998</v>
      </c>
      <c r="N131" s="18">
        <v>2.9876999999999998</v>
      </c>
      <c r="O131" s="18">
        <f t="shared" si="5"/>
        <v>36.653675</v>
      </c>
      <c r="P131" s="7"/>
      <c r="Q131" s="10"/>
      <c r="R131" s="11"/>
      <c r="S131" s="11"/>
      <c r="T131" s="26"/>
      <c r="U131" s="28">
        <f t="shared" si="3"/>
        <v>2.3569662921348309</v>
      </c>
    </row>
    <row r="132" spans="2:21" ht="16.5" hidden="1" thickBot="1" x14ac:dyDescent="0.3">
      <c r="B132" s="12"/>
      <c r="C132" s="19">
        <v>291.89</v>
      </c>
      <c r="D132" s="20">
        <v>31.867999999999999</v>
      </c>
      <c r="E132" s="20">
        <v>39.268999999999998</v>
      </c>
      <c r="F132" s="20">
        <v>40.162999999999997</v>
      </c>
      <c r="G132" s="20">
        <v>1.32</v>
      </c>
      <c r="H132" s="20">
        <f t="shared" si="4"/>
        <v>33.83</v>
      </c>
      <c r="I132" s="5"/>
      <c r="J132" s="19">
        <v>307.31479999999999</v>
      </c>
      <c r="K132" s="20">
        <v>31.863</v>
      </c>
      <c r="L132" s="20">
        <v>40.105200000000004</v>
      </c>
      <c r="M132" s="20">
        <v>40.955100000000002</v>
      </c>
      <c r="N132" s="20">
        <v>4.0460000000000003</v>
      </c>
      <c r="O132" s="20">
        <f t="shared" si="5"/>
        <v>34.029787499999998</v>
      </c>
      <c r="P132" s="7"/>
      <c r="Q132" s="13"/>
      <c r="R132" s="14"/>
      <c r="S132" s="14"/>
      <c r="T132" s="27"/>
      <c r="U132" s="28">
        <f t="shared" si="3"/>
        <v>2.065151515151515</v>
      </c>
    </row>
    <row r="133" spans="2:21" hidden="1" x14ac:dyDescent="0.25">
      <c r="B133" s="6" t="s">
        <v>114</v>
      </c>
      <c r="C133" s="15">
        <v>1556.08</v>
      </c>
      <c r="D133" s="16">
        <v>37.130000000000003</v>
      </c>
      <c r="E133" s="16">
        <v>41.813000000000002</v>
      </c>
      <c r="F133" s="16">
        <v>40.189</v>
      </c>
      <c r="G133" s="16">
        <v>0.65</v>
      </c>
      <c r="H133" s="16">
        <f t="shared" si="4"/>
        <v>38.097750000000005</v>
      </c>
      <c r="I133" s="5"/>
      <c r="J133" s="15">
        <v>1551.9804999999999</v>
      </c>
      <c r="K133" s="16">
        <v>36.733699999999999</v>
      </c>
      <c r="L133" s="16">
        <v>41.820900000000002</v>
      </c>
      <c r="M133" s="16">
        <v>39.991300000000003</v>
      </c>
      <c r="N133" s="16">
        <v>2.1503000000000001</v>
      </c>
      <c r="O133" s="16">
        <f t="shared" si="5"/>
        <v>37.776800000000001</v>
      </c>
      <c r="P133" s="7"/>
      <c r="Q133" s="8">
        <f>bdrate(C133:C136,D133:D136,J133:J136,K133:K136)</f>
        <v>0.10511660943044832</v>
      </c>
      <c r="R133" s="8">
        <f>bdrate(C133:C136,E133:E136,J133:J136,L133:L136)</f>
        <v>0.11885700108155262</v>
      </c>
      <c r="S133" s="8">
        <f>bdrate(C133:C136,F133:F136,J133:J136,M133:M136)</f>
        <v>0.1936173494247917</v>
      </c>
      <c r="T133" s="25">
        <f>bdrate(C133:C136,H133:H136,J133:J136,O133:O136)</f>
        <v>0.11644340747780713</v>
      </c>
      <c r="U133" s="28">
        <f t="shared" si="3"/>
        <v>2.3081538461538464</v>
      </c>
    </row>
    <row r="134" spans="2:21" hidden="1" x14ac:dyDescent="0.25">
      <c r="B134" s="9"/>
      <c r="C134" s="17">
        <v>1039.3900000000001</v>
      </c>
      <c r="D134" s="18">
        <v>35.189</v>
      </c>
      <c r="E134" s="18">
        <v>40.494</v>
      </c>
      <c r="F134" s="18">
        <v>38.743000000000002</v>
      </c>
      <c r="G134" s="18">
        <v>0.77</v>
      </c>
      <c r="H134" s="18">
        <f t="shared" si="4"/>
        <v>36.296375000000005</v>
      </c>
      <c r="I134" s="5"/>
      <c r="J134" s="17">
        <v>1032.0509</v>
      </c>
      <c r="K134" s="18">
        <v>34.719299999999997</v>
      </c>
      <c r="L134" s="18">
        <v>40.215299999999999</v>
      </c>
      <c r="M134" s="18">
        <v>38.196599999999997</v>
      </c>
      <c r="N134" s="18">
        <v>2.5171999999999999</v>
      </c>
      <c r="O134" s="18">
        <f t="shared" si="5"/>
        <v>35.840962499999996</v>
      </c>
      <c r="P134" s="7"/>
      <c r="Q134" s="10"/>
      <c r="R134" s="11"/>
      <c r="S134" s="11"/>
      <c r="T134" s="26"/>
      <c r="U134" s="28">
        <f t="shared" si="3"/>
        <v>2.269090909090909</v>
      </c>
    </row>
    <row r="135" spans="2:21" hidden="1" x14ac:dyDescent="0.25">
      <c r="B135" s="9"/>
      <c r="C135" s="17">
        <v>623.88</v>
      </c>
      <c r="D135" s="18">
        <v>32.914000000000001</v>
      </c>
      <c r="E135" s="18">
        <v>38.920999999999999</v>
      </c>
      <c r="F135" s="18">
        <v>36.997</v>
      </c>
      <c r="G135" s="18">
        <v>0.95</v>
      </c>
      <c r="H135" s="18">
        <f t="shared" si="4"/>
        <v>34.175249999999998</v>
      </c>
      <c r="I135" s="5"/>
      <c r="J135" s="17">
        <v>617.90369999999996</v>
      </c>
      <c r="K135" s="18">
        <v>32.453800000000001</v>
      </c>
      <c r="L135" s="18">
        <v>38.396900000000002</v>
      </c>
      <c r="M135" s="18">
        <v>36.173900000000003</v>
      </c>
      <c r="N135" s="18">
        <v>3.0154000000000001</v>
      </c>
      <c r="O135" s="18">
        <f t="shared" si="5"/>
        <v>33.661700000000003</v>
      </c>
      <c r="P135" s="7"/>
      <c r="Q135" s="10"/>
      <c r="R135" s="11"/>
      <c r="S135" s="11"/>
      <c r="T135" s="26"/>
      <c r="U135" s="28">
        <f t="shared" si="3"/>
        <v>2.174105263157895</v>
      </c>
    </row>
    <row r="136" spans="2:21" ht="16.5" hidden="1" thickBot="1" x14ac:dyDescent="0.3">
      <c r="B136" s="12"/>
      <c r="C136" s="19">
        <v>309.38</v>
      </c>
      <c r="D136" s="20">
        <v>30.285</v>
      </c>
      <c r="E136" s="20">
        <v>36.878999999999998</v>
      </c>
      <c r="F136" s="20">
        <v>34.597000000000001</v>
      </c>
      <c r="G136" s="20">
        <v>1.31</v>
      </c>
      <c r="H136" s="20">
        <f t="shared" si="4"/>
        <v>31.648250000000001</v>
      </c>
      <c r="I136" s="5"/>
      <c r="J136" s="19">
        <v>307.3854</v>
      </c>
      <c r="K136" s="20">
        <v>29.8201</v>
      </c>
      <c r="L136" s="20">
        <v>36.444099999999999</v>
      </c>
      <c r="M136" s="20">
        <v>33.839599999999997</v>
      </c>
      <c r="N136" s="20">
        <v>4.0515999999999996</v>
      </c>
      <c r="O136" s="20">
        <f t="shared" si="5"/>
        <v>31.150537499999999</v>
      </c>
      <c r="P136" s="7"/>
      <c r="Q136" s="13"/>
      <c r="R136" s="14"/>
      <c r="S136" s="14"/>
      <c r="T136" s="27"/>
      <c r="U136" s="28">
        <f t="shared" si="3"/>
        <v>2.0928244274809158</v>
      </c>
    </row>
    <row r="137" spans="2:21" hidden="1" x14ac:dyDescent="0.25">
      <c r="B137" s="6" t="s">
        <v>115</v>
      </c>
      <c r="C137" s="15">
        <v>1559.33</v>
      </c>
      <c r="D137" s="16">
        <v>41.558999999999997</v>
      </c>
      <c r="E137" s="16">
        <v>47.826000000000001</v>
      </c>
      <c r="F137" s="16">
        <v>47.762999999999998</v>
      </c>
      <c r="G137" s="16">
        <v>0.54</v>
      </c>
      <c r="H137" s="16">
        <f t="shared" si="4"/>
        <v>43.117874999999998</v>
      </c>
      <c r="I137" s="5"/>
      <c r="J137" s="15">
        <v>1547.3752999999999</v>
      </c>
      <c r="K137" s="16">
        <v>41.312100000000001</v>
      </c>
      <c r="L137" s="16">
        <v>48.0319</v>
      </c>
      <c r="M137" s="16">
        <v>47.958399999999997</v>
      </c>
      <c r="N137" s="16">
        <v>1.8251999999999999</v>
      </c>
      <c r="O137" s="16">
        <f t="shared" si="5"/>
        <v>42.982862499999996</v>
      </c>
      <c r="P137" s="7"/>
      <c r="Q137" s="8">
        <f>bdrate(C137:C140,D137:D140,J137:J140,K137:K140)</f>
        <v>8.372654672212132E-2</v>
      </c>
      <c r="R137" s="8">
        <f>bdrate(C137:C140,E137:E140,J137:J140,L137:L140)</f>
        <v>-9.2467721950933446E-2</v>
      </c>
      <c r="S137" s="8">
        <f>bdrate(C137:C140,F137:F140,J137:J140,M137:M140)</f>
        <v>-7.1857739954543032E-2</v>
      </c>
      <c r="T137" s="25">
        <f>bdrate(C137:C140,H137:H140,J137:J140,O137:O140)</f>
        <v>4.3567146939122781E-2</v>
      </c>
      <c r="U137" s="28">
        <f t="shared" si="3"/>
        <v>2.3799999999999994</v>
      </c>
    </row>
    <row r="138" spans="2:21" hidden="1" x14ac:dyDescent="0.25">
      <c r="B138" s="9"/>
      <c r="C138" s="17">
        <v>1040.69</v>
      </c>
      <c r="D138" s="18">
        <v>40.323</v>
      </c>
      <c r="E138" s="18">
        <v>46.719000000000001</v>
      </c>
      <c r="F138" s="18">
        <v>46.610999999999997</v>
      </c>
      <c r="G138" s="18">
        <v>0.64</v>
      </c>
      <c r="H138" s="18">
        <f t="shared" si="4"/>
        <v>41.908499999999997</v>
      </c>
      <c r="I138" s="5"/>
      <c r="J138" s="17">
        <v>1029.1596</v>
      </c>
      <c r="K138" s="18">
        <v>40.030099999999997</v>
      </c>
      <c r="L138" s="18">
        <v>46.930100000000003</v>
      </c>
      <c r="M138" s="18">
        <v>46.807400000000001</v>
      </c>
      <c r="N138" s="18">
        <v>2.1857000000000002</v>
      </c>
      <c r="O138" s="18">
        <f t="shared" si="5"/>
        <v>41.739762499999998</v>
      </c>
      <c r="P138" s="7"/>
      <c r="Q138" s="10"/>
      <c r="R138" s="11"/>
      <c r="S138" s="11"/>
      <c r="T138" s="26"/>
      <c r="U138" s="28">
        <f t="shared" si="3"/>
        <v>2.4151562499999999</v>
      </c>
    </row>
    <row r="139" spans="2:21" hidden="1" x14ac:dyDescent="0.25">
      <c r="B139" s="9"/>
      <c r="C139" s="17">
        <v>625.02</v>
      </c>
      <c r="D139" s="18">
        <v>38.658000000000001</v>
      </c>
      <c r="E139" s="18">
        <v>45.198</v>
      </c>
      <c r="F139" s="18">
        <v>45.033000000000001</v>
      </c>
      <c r="G139" s="18">
        <v>0.79</v>
      </c>
      <c r="H139" s="18">
        <f t="shared" si="4"/>
        <v>40.272375000000004</v>
      </c>
      <c r="I139" s="5"/>
      <c r="J139" s="17">
        <v>614.38350000000003</v>
      </c>
      <c r="K139" s="18">
        <v>38.309800000000003</v>
      </c>
      <c r="L139" s="18">
        <v>45.471699999999998</v>
      </c>
      <c r="M139" s="18">
        <v>45.241199999999999</v>
      </c>
      <c r="N139" s="18">
        <v>2.7671000000000001</v>
      </c>
      <c r="O139" s="18">
        <f t="shared" si="5"/>
        <v>40.071462500000003</v>
      </c>
      <c r="P139" s="7"/>
      <c r="Q139" s="10"/>
      <c r="R139" s="11"/>
      <c r="S139" s="11"/>
      <c r="T139" s="26"/>
      <c r="U139" s="28">
        <f t="shared" si="3"/>
        <v>2.5026582278481011</v>
      </c>
    </row>
    <row r="140" spans="2:21" ht="16.5" hidden="1" thickBot="1" x14ac:dyDescent="0.3">
      <c r="B140" s="12"/>
      <c r="C140" s="19">
        <v>312.37</v>
      </c>
      <c r="D140" s="20">
        <v>36.079000000000001</v>
      </c>
      <c r="E140" s="20">
        <v>43.113</v>
      </c>
      <c r="F140" s="20">
        <v>42.817999999999998</v>
      </c>
      <c r="G140" s="20">
        <v>1.1200000000000001</v>
      </c>
      <c r="H140" s="20">
        <f t="shared" si="4"/>
        <v>37.800624999999997</v>
      </c>
      <c r="I140" s="5"/>
      <c r="J140" s="19">
        <v>305.97359999999998</v>
      </c>
      <c r="K140" s="20">
        <v>35.704900000000002</v>
      </c>
      <c r="L140" s="20">
        <v>43.305900000000001</v>
      </c>
      <c r="M140" s="20">
        <v>42.895699999999998</v>
      </c>
      <c r="N140" s="20">
        <v>3.8407</v>
      </c>
      <c r="O140" s="20">
        <f t="shared" si="5"/>
        <v>37.553874999999998</v>
      </c>
      <c r="P140" s="7"/>
      <c r="Q140" s="13"/>
      <c r="R140" s="14"/>
      <c r="S140" s="14"/>
      <c r="T140" s="27"/>
      <c r="U140" s="28">
        <f t="shared" si="3"/>
        <v>2.4291964285714283</v>
      </c>
    </row>
    <row r="141" spans="2:21" hidden="1" x14ac:dyDescent="0.25">
      <c r="B141" s="6" t="s">
        <v>116</v>
      </c>
      <c r="C141" s="29">
        <v>1504.33</v>
      </c>
      <c r="D141" s="30">
        <v>47.734999999999999</v>
      </c>
      <c r="E141" s="30">
        <v>52.551000000000002</v>
      </c>
      <c r="F141" s="30">
        <v>52.447000000000003</v>
      </c>
      <c r="G141" s="16">
        <v>0.62</v>
      </c>
      <c r="H141" s="16">
        <f t="shared" si="4"/>
        <v>48.925999999999995</v>
      </c>
      <c r="I141" s="5"/>
      <c r="J141" s="29">
        <v>1556.1088999999999</v>
      </c>
      <c r="K141" s="30">
        <v>47.671399999999998</v>
      </c>
      <c r="L141" s="30">
        <v>52.665199999999999</v>
      </c>
      <c r="M141" s="30">
        <v>52.520800000000001</v>
      </c>
      <c r="N141" s="16">
        <v>1.8843000000000001</v>
      </c>
      <c r="O141" s="16">
        <f t="shared" si="5"/>
        <v>48.901799999999994</v>
      </c>
      <c r="P141" s="7"/>
      <c r="Q141" s="8">
        <f>bdrate(C141:C144,D141:D144,J141:J144,K141:K144)</f>
        <v>3.5916523877566942E-2</v>
      </c>
      <c r="R141" s="8">
        <f>bdrate(C141:C144,E141:E144,J141:J144,L141:L144)</f>
        <v>-6.3296665009863085E-2</v>
      </c>
      <c r="S141" s="8">
        <f>bdrate(C141:C144,F141:F144,J141:J144,M141:M144)</f>
        <v>-4.1642912412417799E-2</v>
      </c>
      <c r="T141" s="25">
        <f>bdrate(C141:C144,H141:H144,J141:J144,O141:O144)</f>
        <v>1.6534752291835764E-2</v>
      </c>
      <c r="U141" s="28">
        <f t="shared" si="3"/>
        <v>2.0391935483870967</v>
      </c>
    </row>
    <row r="142" spans="2:21" hidden="1" x14ac:dyDescent="0.25">
      <c r="B142" s="9"/>
      <c r="C142" s="31">
        <v>1001.59</v>
      </c>
      <c r="D142" s="32">
        <v>46.908000000000001</v>
      </c>
      <c r="E142" s="32">
        <v>51.838999999999999</v>
      </c>
      <c r="F142" s="32">
        <v>51.741999999999997</v>
      </c>
      <c r="G142" s="18">
        <v>0.75</v>
      </c>
      <c r="H142" s="18">
        <f t="shared" si="4"/>
        <v>48.128625</v>
      </c>
      <c r="I142" s="5"/>
      <c r="J142" s="31">
        <v>1029.1123</v>
      </c>
      <c r="K142" s="32">
        <v>46.858800000000002</v>
      </c>
      <c r="L142" s="32">
        <v>51.967100000000002</v>
      </c>
      <c r="M142" s="32">
        <v>51.825800000000001</v>
      </c>
      <c r="N142" s="18">
        <v>2.2599</v>
      </c>
      <c r="O142" s="18">
        <f t="shared" si="5"/>
        <v>48.118212500000006</v>
      </c>
      <c r="P142" s="7"/>
      <c r="Q142" s="10"/>
      <c r="R142" s="11"/>
      <c r="S142" s="11"/>
      <c r="T142" s="26"/>
      <c r="U142" s="28">
        <f t="shared" si="3"/>
        <v>2.0131999999999999</v>
      </c>
    </row>
    <row r="143" spans="2:21" hidden="1" x14ac:dyDescent="0.25">
      <c r="B143" s="9"/>
      <c r="C143" s="31">
        <v>602.70000000000005</v>
      </c>
      <c r="D143" s="32">
        <v>45.875999999999998</v>
      </c>
      <c r="E143" s="32">
        <v>50.968000000000004</v>
      </c>
      <c r="F143" s="32">
        <v>50.901000000000003</v>
      </c>
      <c r="G143" s="18">
        <v>1</v>
      </c>
      <c r="H143" s="18">
        <f t="shared" si="4"/>
        <v>47.140625</v>
      </c>
      <c r="I143" s="5"/>
      <c r="J143" s="31">
        <v>613.16809999999998</v>
      </c>
      <c r="K143" s="32">
        <v>45.857900000000001</v>
      </c>
      <c r="L143" s="32">
        <v>51.107900000000001</v>
      </c>
      <c r="M143" s="32">
        <v>50.996400000000001</v>
      </c>
      <c r="N143" s="18">
        <v>2.9127999999999998</v>
      </c>
      <c r="O143" s="18">
        <f t="shared" si="5"/>
        <v>47.156462500000004</v>
      </c>
      <c r="P143" s="7"/>
      <c r="Q143" s="10"/>
      <c r="R143" s="11"/>
      <c r="S143" s="11"/>
      <c r="T143" s="26"/>
      <c r="U143" s="28">
        <f t="shared" si="3"/>
        <v>1.9127999999999998</v>
      </c>
    </row>
    <row r="144" spans="2:21" ht="16.5" hidden="1" thickBot="1" x14ac:dyDescent="0.3">
      <c r="B144" s="12"/>
      <c r="C144" s="33">
        <v>301.62</v>
      </c>
      <c r="D144" s="34">
        <v>44.314</v>
      </c>
      <c r="E144" s="34">
        <v>49.67</v>
      </c>
      <c r="F144" s="34">
        <v>49.783999999999999</v>
      </c>
      <c r="G144" s="20">
        <v>1.43</v>
      </c>
      <c r="H144" s="20">
        <f t="shared" si="4"/>
        <v>45.667250000000003</v>
      </c>
      <c r="I144" s="5"/>
      <c r="J144" s="33">
        <v>303.73070000000001</v>
      </c>
      <c r="K144" s="34">
        <v>44.273600000000002</v>
      </c>
      <c r="L144" s="34">
        <v>49.909100000000002</v>
      </c>
      <c r="M144" s="34">
        <v>49.9587</v>
      </c>
      <c r="N144" s="20">
        <v>4.3076999999999996</v>
      </c>
      <c r="O144" s="20">
        <f t="shared" si="5"/>
        <v>45.688675000000011</v>
      </c>
      <c r="P144" s="7"/>
      <c r="Q144" s="13"/>
      <c r="R144" s="14"/>
      <c r="S144" s="14"/>
      <c r="T144" s="27"/>
      <c r="U144" s="28">
        <f t="shared" si="3"/>
        <v>2.0123776223776226</v>
      </c>
    </row>
    <row r="145" spans="1:21" hidden="1" x14ac:dyDescent="0.25">
      <c r="A145" s="6" t="s">
        <v>117</v>
      </c>
      <c r="B145" s="6" t="s">
        <v>118</v>
      </c>
      <c r="C145" s="15">
        <v>999.65</v>
      </c>
      <c r="D145" s="16">
        <v>40.883000000000003</v>
      </c>
      <c r="E145" s="16">
        <v>47.673999999999999</v>
      </c>
      <c r="F145" s="16">
        <v>47.552</v>
      </c>
      <c r="G145" s="16">
        <v>1.66</v>
      </c>
      <c r="H145" s="16">
        <f t="shared" si="4"/>
        <v>42.5655</v>
      </c>
      <c r="I145" s="5"/>
      <c r="J145" s="15">
        <v>1027.8851999999999</v>
      </c>
      <c r="K145" s="16">
        <v>40.808999999999997</v>
      </c>
      <c r="L145" s="16">
        <v>48.322099999999999</v>
      </c>
      <c r="M145" s="16">
        <v>48.1479</v>
      </c>
      <c r="N145" s="16">
        <v>5.8867000000000003</v>
      </c>
      <c r="O145" s="16">
        <f t="shared" si="5"/>
        <v>42.665499999999994</v>
      </c>
      <c r="P145" s="7"/>
      <c r="Q145" s="8">
        <f>bdrate(C145:C148,D145:D148,J145:J148,K145:K148)</f>
        <v>7.4226600231456663E-2</v>
      </c>
      <c r="R145" s="8">
        <f>bdrate(C145:C148,E145:E148,J145:J148,L145:L148)</f>
        <v>-0.22233053424514604</v>
      </c>
      <c r="S145" s="8">
        <f>bdrate(C145:C148,F145:F148,J145:J148,M145:M148)</f>
        <v>-0.18978919875653744</v>
      </c>
      <c r="T145" s="25">
        <f>bdrate(C145:C148,H145:H148,J145:J148,O145:O148)</f>
        <v>1.0537562545095192E-2</v>
      </c>
      <c r="U145" s="28">
        <f t="shared" si="3"/>
        <v>2.5462048192771087</v>
      </c>
    </row>
    <row r="146" spans="1:21" hidden="1" x14ac:dyDescent="0.25">
      <c r="A146" s="9"/>
      <c r="B146" s="9"/>
      <c r="C146" s="17">
        <v>593.87</v>
      </c>
      <c r="D146" s="18">
        <v>38.765000000000001</v>
      </c>
      <c r="E146" s="18">
        <v>45.975999999999999</v>
      </c>
      <c r="F146" s="18">
        <v>45.741</v>
      </c>
      <c r="G146" s="18">
        <v>2.0499999999999998</v>
      </c>
      <c r="H146" s="18">
        <f t="shared" si="4"/>
        <v>40.538375000000002</v>
      </c>
      <c r="I146" s="5"/>
      <c r="J146" s="17">
        <v>614.92079999999999</v>
      </c>
      <c r="K146" s="18">
        <v>38.646700000000003</v>
      </c>
      <c r="L146" s="18">
        <v>46.826999999999998</v>
      </c>
      <c r="M146" s="18">
        <v>46.551400000000001</v>
      </c>
      <c r="N146" s="18">
        <v>7.4092000000000002</v>
      </c>
      <c r="O146" s="18">
        <f t="shared" si="5"/>
        <v>40.657325</v>
      </c>
      <c r="P146" s="7"/>
      <c r="Q146" s="10"/>
      <c r="R146" s="11"/>
      <c r="S146" s="11"/>
      <c r="T146" s="26"/>
      <c r="U146" s="28">
        <f t="shared" si="3"/>
        <v>2.6142439024390249</v>
      </c>
    </row>
    <row r="147" spans="1:21" hidden="1" x14ac:dyDescent="0.25">
      <c r="B147" s="9"/>
      <c r="C147" s="17">
        <v>393.85</v>
      </c>
      <c r="D147" s="18">
        <v>37.051000000000002</v>
      </c>
      <c r="E147" s="18">
        <v>44.601999999999997</v>
      </c>
      <c r="F147" s="18">
        <v>44.359000000000002</v>
      </c>
      <c r="G147" s="18">
        <v>2.44</v>
      </c>
      <c r="H147" s="18">
        <f t="shared" si="4"/>
        <v>38.908374999999999</v>
      </c>
      <c r="I147" s="5"/>
      <c r="J147" s="17">
        <v>407.90559999999999</v>
      </c>
      <c r="K147" s="18">
        <v>36.868400000000001</v>
      </c>
      <c r="L147" s="18">
        <v>45.5625</v>
      </c>
      <c r="M147" s="18">
        <v>45.1922</v>
      </c>
      <c r="N147" s="18">
        <v>8.8747000000000007</v>
      </c>
      <c r="O147" s="18">
        <f t="shared" si="5"/>
        <v>38.995637500000001</v>
      </c>
      <c r="P147" s="7"/>
      <c r="Q147" s="10"/>
      <c r="R147" s="11"/>
      <c r="S147" s="11"/>
      <c r="T147" s="26"/>
      <c r="U147" s="28">
        <f t="shared" si="3"/>
        <v>2.6371721311475413</v>
      </c>
    </row>
    <row r="148" spans="1:21" ht="16.5" hidden="1" thickBot="1" x14ac:dyDescent="0.3">
      <c r="B148" s="12"/>
      <c r="C148" s="19">
        <v>195.41</v>
      </c>
      <c r="D148" s="20">
        <v>34.058999999999997</v>
      </c>
      <c r="E148" s="20">
        <v>42.377000000000002</v>
      </c>
      <c r="F148" s="20">
        <v>41.981000000000002</v>
      </c>
      <c r="G148" s="20">
        <v>3.35</v>
      </c>
      <c r="H148" s="20">
        <f t="shared" si="4"/>
        <v>36.088999999999999</v>
      </c>
      <c r="I148" s="5"/>
      <c r="J148" s="19">
        <v>203.2106</v>
      </c>
      <c r="K148" s="20">
        <v>33.844200000000001</v>
      </c>
      <c r="L148" s="20">
        <v>43.400199999999998</v>
      </c>
      <c r="M148" s="20">
        <v>42.912300000000002</v>
      </c>
      <c r="N148" s="20">
        <v>12.017300000000001</v>
      </c>
      <c r="O148" s="20">
        <f t="shared" si="5"/>
        <v>36.172212500000001</v>
      </c>
      <c r="P148" s="7"/>
      <c r="Q148" s="13"/>
      <c r="R148" s="14"/>
      <c r="S148" s="14"/>
      <c r="T148" s="27"/>
      <c r="U148" s="28">
        <f t="shared" si="3"/>
        <v>2.5872537313432837</v>
      </c>
    </row>
    <row r="149" spans="1:21" hidden="1" x14ac:dyDescent="0.25">
      <c r="B149" s="6" t="s">
        <v>119</v>
      </c>
      <c r="C149" s="15">
        <v>980.98</v>
      </c>
      <c r="D149" s="16">
        <v>39.506</v>
      </c>
      <c r="E149" s="16">
        <v>49.505000000000003</v>
      </c>
      <c r="F149" s="16">
        <v>47.223999999999997</v>
      </c>
      <c r="G149" s="16">
        <v>1.9</v>
      </c>
      <c r="H149" s="16">
        <f t="shared" si="4"/>
        <v>41.720624999999998</v>
      </c>
      <c r="I149" s="5"/>
      <c r="J149" s="15">
        <v>1025.4880000000001</v>
      </c>
      <c r="K149" s="16">
        <v>39.451799999999999</v>
      </c>
      <c r="L149" s="16">
        <v>50.189700000000002</v>
      </c>
      <c r="M149" s="16">
        <v>47.742400000000004</v>
      </c>
      <c r="N149" s="16">
        <v>6.9378000000000002</v>
      </c>
      <c r="O149" s="16">
        <f t="shared" si="5"/>
        <v>41.830362500000007</v>
      </c>
      <c r="P149" s="7"/>
      <c r="Q149" s="8">
        <f>bdrate(C149:C152,D149:D152,J149:J152,K149:K152)</f>
        <v>4.7366422923217355E-2</v>
      </c>
      <c r="R149" s="8">
        <f>bdrate(C149:C152,E149:E152,J149:J152,L149:L152)</f>
        <v>-0.29221993938210689</v>
      </c>
      <c r="S149" s="8">
        <f>bdrate(C149:C152,F149:F152,J149:J152,M149:M152)</f>
        <v>-0.19825731207025521</v>
      </c>
      <c r="T149" s="25">
        <f>bdrate(C149:C152,H149:H152,J149:J152,O149:O152)</f>
        <v>-1.6400197761262447E-2</v>
      </c>
      <c r="U149" s="28">
        <f t="shared" si="3"/>
        <v>2.6514736842105266</v>
      </c>
    </row>
    <row r="150" spans="1:21" hidden="1" x14ac:dyDescent="0.25">
      <c r="B150" s="9"/>
      <c r="C150" s="17">
        <v>587.29999999999995</v>
      </c>
      <c r="D150" s="18">
        <v>37.524000000000001</v>
      </c>
      <c r="E150" s="18">
        <v>48.195</v>
      </c>
      <c r="F150" s="18">
        <v>45.665999999999997</v>
      </c>
      <c r="G150" s="18">
        <v>2.33</v>
      </c>
      <c r="H150" s="18">
        <f t="shared" si="4"/>
        <v>39.875624999999999</v>
      </c>
      <c r="I150" s="5"/>
      <c r="J150" s="17">
        <v>614.55520000000001</v>
      </c>
      <c r="K150" s="18">
        <v>37.508600000000001</v>
      </c>
      <c r="L150" s="18">
        <v>49.085500000000003</v>
      </c>
      <c r="M150" s="18">
        <v>46.410299999999999</v>
      </c>
      <c r="N150" s="18">
        <v>8.7439999999999998</v>
      </c>
      <c r="O150" s="18">
        <f t="shared" si="5"/>
        <v>40.068425000000005</v>
      </c>
      <c r="P150" s="7"/>
      <c r="Q150" s="10"/>
      <c r="R150" s="11"/>
      <c r="S150" s="11"/>
      <c r="T150" s="26"/>
      <c r="U150" s="28">
        <f t="shared" si="3"/>
        <v>2.7527896995708154</v>
      </c>
    </row>
    <row r="151" spans="1:21" hidden="1" x14ac:dyDescent="0.25">
      <c r="B151" s="9"/>
      <c r="C151" s="17">
        <v>390.84</v>
      </c>
      <c r="D151" s="18">
        <v>36.020000000000003</v>
      </c>
      <c r="E151" s="18">
        <v>47.066000000000003</v>
      </c>
      <c r="F151" s="18">
        <v>44.463000000000001</v>
      </c>
      <c r="G151" s="18">
        <v>2.76</v>
      </c>
      <c r="H151" s="18">
        <f t="shared" si="4"/>
        <v>38.456125000000007</v>
      </c>
      <c r="I151" s="5"/>
      <c r="J151" s="17">
        <v>409.54340000000002</v>
      </c>
      <c r="K151" s="18">
        <v>36.027900000000002</v>
      </c>
      <c r="L151" s="18">
        <v>48.141100000000002</v>
      </c>
      <c r="M151" s="18">
        <v>45.249499999999998</v>
      </c>
      <c r="N151" s="18">
        <v>10.442299999999999</v>
      </c>
      <c r="O151" s="18">
        <f t="shared" si="5"/>
        <v>38.694750000000006</v>
      </c>
      <c r="P151" s="7"/>
      <c r="Q151" s="10"/>
      <c r="R151" s="11"/>
      <c r="S151" s="11"/>
      <c r="T151" s="26"/>
      <c r="U151" s="28">
        <f t="shared" si="3"/>
        <v>2.7834420289855073</v>
      </c>
    </row>
    <row r="152" spans="1:21" ht="16.5" hidden="1" thickBot="1" x14ac:dyDescent="0.3">
      <c r="B152" s="12"/>
      <c r="C152" s="19">
        <v>195.48</v>
      </c>
      <c r="D152" s="20">
        <v>33.581000000000003</v>
      </c>
      <c r="E152" s="20">
        <v>45.451999999999998</v>
      </c>
      <c r="F152" s="20">
        <v>42.493000000000002</v>
      </c>
      <c r="G152" s="20">
        <v>3.77</v>
      </c>
      <c r="H152" s="20">
        <f t="shared" si="4"/>
        <v>36.178875000000005</v>
      </c>
      <c r="I152" s="5"/>
      <c r="J152" s="19">
        <v>204.68530000000001</v>
      </c>
      <c r="K152" s="20">
        <v>33.618400000000001</v>
      </c>
      <c r="L152" s="20">
        <v>46.387</v>
      </c>
      <c r="M152" s="20">
        <v>43.3705</v>
      </c>
      <c r="N152" s="20">
        <v>14.167</v>
      </c>
      <c r="O152" s="20">
        <f t="shared" si="5"/>
        <v>36.433487499999998</v>
      </c>
      <c r="P152" s="7"/>
      <c r="Q152" s="13"/>
      <c r="R152" s="14"/>
      <c r="S152" s="14"/>
      <c r="T152" s="27"/>
      <c r="U152" s="28">
        <f t="shared" si="3"/>
        <v>2.7578249336870027</v>
      </c>
    </row>
    <row r="153" spans="1:21" hidden="1" x14ac:dyDescent="0.25">
      <c r="B153" s="6" t="s">
        <v>120</v>
      </c>
      <c r="C153" s="15">
        <v>1029.68</v>
      </c>
      <c r="D153" s="16">
        <v>43.515000000000001</v>
      </c>
      <c r="E153" s="16">
        <v>47.655999999999999</v>
      </c>
      <c r="F153" s="16">
        <v>48.027999999999999</v>
      </c>
      <c r="G153" s="16">
        <v>1.83</v>
      </c>
      <c r="H153" s="16">
        <f t="shared" si="4"/>
        <v>44.596750000000007</v>
      </c>
      <c r="I153" s="5"/>
      <c r="J153" s="15">
        <v>1027.5006000000001</v>
      </c>
      <c r="K153" s="16">
        <v>43.462200000000003</v>
      </c>
      <c r="L153" s="16">
        <v>47.916899999999998</v>
      </c>
      <c r="M153" s="16">
        <v>48.287300000000002</v>
      </c>
      <c r="N153" s="16">
        <v>5.5351999999999997</v>
      </c>
      <c r="O153" s="16">
        <f t="shared" si="5"/>
        <v>44.622175000000006</v>
      </c>
      <c r="P153" s="7"/>
      <c r="Q153" s="8">
        <f>bdrate(C153:C156,D153:D156,J153:J156,K153:K156)</f>
        <v>3.6851959888508423E-2</v>
      </c>
      <c r="R153" s="8">
        <f>bdrate(C153:C156,E153:E156,J153:J156,L153:L156)</f>
        <v>-0.13351833040195227</v>
      </c>
      <c r="S153" s="8">
        <f>bdrate(C153:C156,F153:F156,J153:J156,M153:M156)</f>
        <v>-0.13845844325393231</v>
      </c>
      <c r="T153" s="25">
        <f>bdrate(C153:C156,H153:H156,J153:J156,O153:O156)</f>
        <v>3.0624906026170962E-3</v>
      </c>
      <c r="U153" s="28">
        <f t="shared" si="3"/>
        <v>2.0246994535519121</v>
      </c>
    </row>
    <row r="154" spans="1:21" hidden="1" x14ac:dyDescent="0.25">
      <c r="B154" s="9"/>
      <c r="C154" s="17">
        <v>613.46</v>
      </c>
      <c r="D154" s="18">
        <v>41.823999999999998</v>
      </c>
      <c r="E154" s="18">
        <v>46.442999999999998</v>
      </c>
      <c r="F154" s="18">
        <v>46.890999999999998</v>
      </c>
      <c r="G154" s="18">
        <v>2.29</v>
      </c>
      <c r="H154" s="18">
        <f t="shared" si="4"/>
        <v>43.034750000000003</v>
      </c>
      <c r="I154" s="5"/>
      <c r="J154" s="17">
        <v>616.649</v>
      </c>
      <c r="K154" s="18">
        <v>41.735799999999998</v>
      </c>
      <c r="L154" s="18">
        <v>46.7727</v>
      </c>
      <c r="M154" s="18">
        <v>47.227400000000003</v>
      </c>
      <c r="N154" s="18">
        <v>7.1352000000000002</v>
      </c>
      <c r="O154" s="18">
        <f t="shared" si="5"/>
        <v>43.051862499999999</v>
      </c>
      <c r="P154" s="7"/>
      <c r="Q154" s="10"/>
      <c r="R154" s="11"/>
      <c r="S154" s="11"/>
      <c r="T154" s="26"/>
      <c r="U154" s="28">
        <f t="shared" si="3"/>
        <v>2.115807860262009</v>
      </c>
    </row>
    <row r="155" spans="1:21" hidden="1" x14ac:dyDescent="0.25">
      <c r="B155" s="9"/>
      <c r="C155" s="17">
        <v>407.29</v>
      </c>
      <c r="D155" s="18">
        <v>40.390999999999998</v>
      </c>
      <c r="E155" s="18">
        <v>45.405999999999999</v>
      </c>
      <c r="F155" s="18">
        <v>45.915999999999997</v>
      </c>
      <c r="G155" s="18">
        <v>2.78</v>
      </c>
      <c r="H155" s="18">
        <f t="shared" si="4"/>
        <v>41.708500000000001</v>
      </c>
      <c r="I155" s="5"/>
      <c r="J155" s="17">
        <v>410.52319999999997</v>
      </c>
      <c r="K155" s="18">
        <v>40.275300000000001</v>
      </c>
      <c r="L155" s="18">
        <v>45.810099999999998</v>
      </c>
      <c r="M155" s="18">
        <v>46.310899999999997</v>
      </c>
      <c r="N155" s="18">
        <v>8.9120000000000008</v>
      </c>
      <c r="O155" s="18">
        <f t="shared" si="5"/>
        <v>41.721600000000002</v>
      </c>
      <c r="P155" s="7"/>
      <c r="Q155" s="10"/>
      <c r="R155" s="11"/>
      <c r="S155" s="11"/>
      <c r="T155" s="26"/>
      <c r="U155" s="28">
        <f t="shared" si="3"/>
        <v>2.2057553956834539</v>
      </c>
    </row>
    <row r="156" spans="1:21" ht="16.5" hidden="1" thickBot="1" x14ac:dyDescent="0.3">
      <c r="B156" s="12"/>
      <c r="C156" s="19">
        <v>201.21</v>
      </c>
      <c r="D156" s="20">
        <v>37.557000000000002</v>
      </c>
      <c r="E156" s="20">
        <v>43.43</v>
      </c>
      <c r="F156" s="20">
        <v>43.975000000000001</v>
      </c>
      <c r="G156" s="20">
        <v>4.01</v>
      </c>
      <c r="H156" s="20">
        <f t="shared" si="4"/>
        <v>39.093375000000002</v>
      </c>
      <c r="I156" s="5"/>
      <c r="J156" s="19">
        <v>204.31120000000001</v>
      </c>
      <c r="K156" s="20">
        <v>37.407400000000003</v>
      </c>
      <c r="L156" s="20">
        <v>43.923499999999997</v>
      </c>
      <c r="M156" s="20">
        <v>44.467300000000002</v>
      </c>
      <c r="N156" s="20">
        <v>12.917999999999999</v>
      </c>
      <c r="O156" s="20">
        <f t="shared" si="5"/>
        <v>39.104400000000005</v>
      </c>
      <c r="P156" s="7"/>
      <c r="Q156" s="13"/>
      <c r="R156" s="14"/>
      <c r="S156" s="14"/>
      <c r="T156" s="27"/>
      <c r="U156" s="28">
        <f t="shared" si="3"/>
        <v>2.2214463840399001</v>
      </c>
    </row>
    <row r="157" spans="1:21" hidden="1" x14ac:dyDescent="0.25">
      <c r="B157" s="6" t="s">
        <v>121</v>
      </c>
      <c r="C157" s="29">
        <v>973.83</v>
      </c>
      <c r="D157" s="30">
        <v>39.006999999999998</v>
      </c>
      <c r="E157" s="30">
        <v>46.320999999999998</v>
      </c>
      <c r="F157" s="30">
        <v>46.168999999999997</v>
      </c>
      <c r="G157" s="16">
        <v>2.2000000000000002</v>
      </c>
      <c r="H157" s="16">
        <f t="shared" si="4"/>
        <v>40.816499999999991</v>
      </c>
      <c r="I157" s="5"/>
      <c r="J157" s="29">
        <v>1026.0085999999999</v>
      </c>
      <c r="K157" s="30">
        <v>39.156399999999998</v>
      </c>
      <c r="L157" s="30">
        <v>47.095700000000001</v>
      </c>
      <c r="M157" s="30">
        <v>46.947000000000003</v>
      </c>
      <c r="N157" s="16">
        <v>7.0084</v>
      </c>
      <c r="O157" s="16">
        <f t="shared" si="5"/>
        <v>41.122637500000003</v>
      </c>
      <c r="P157" s="7"/>
      <c r="Q157" s="8">
        <f>bdrate(C157:C160,D157:D160,J157:J160,K157:K160)</f>
        <v>1.5991709602629633E-3</v>
      </c>
      <c r="R157" s="8">
        <f>bdrate(C157:C160,E157:E160,J157:J160,L157:L160)</f>
        <v>-0.28250629085837131</v>
      </c>
      <c r="S157" s="8">
        <f>bdrate(C157:C160,F157:F160,J157:J160,M157:M160)</f>
        <v>-0.27467696548273945</v>
      </c>
      <c r="T157" s="25">
        <f>bdrate(C157:C160,H157:H160,J157:J160,O157:O160)</f>
        <v>-5.87076370484787E-2</v>
      </c>
      <c r="U157" s="28">
        <f t="shared" si="3"/>
        <v>2.1856363636363634</v>
      </c>
    </row>
    <row r="158" spans="1:21" hidden="1" x14ac:dyDescent="0.25">
      <c r="B158" s="9"/>
      <c r="C158" s="31">
        <v>583.1</v>
      </c>
      <c r="D158" s="32">
        <v>37.045999999999999</v>
      </c>
      <c r="E158" s="32">
        <v>44.911999999999999</v>
      </c>
      <c r="F158" s="32">
        <v>44.780999999999999</v>
      </c>
      <c r="G158" s="18">
        <v>2.78</v>
      </c>
      <c r="H158" s="18">
        <f t="shared" si="4"/>
        <v>38.996124999999999</v>
      </c>
      <c r="I158" s="5"/>
      <c r="J158" s="31">
        <v>613.19590000000005</v>
      </c>
      <c r="K158" s="32">
        <v>37.209600000000002</v>
      </c>
      <c r="L158" s="32">
        <v>45.868499999999997</v>
      </c>
      <c r="M158" s="32">
        <v>45.717300000000002</v>
      </c>
      <c r="N158" s="18">
        <v>8.9512999999999998</v>
      </c>
      <c r="O158" s="18">
        <f t="shared" si="5"/>
        <v>39.355425000000004</v>
      </c>
      <c r="P158" s="7"/>
      <c r="Q158" s="10"/>
      <c r="R158" s="11"/>
      <c r="S158" s="11"/>
      <c r="T158" s="26"/>
      <c r="U158" s="28">
        <f t="shared" si="3"/>
        <v>2.2198920863309355</v>
      </c>
    </row>
    <row r="159" spans="1:21" hidden="1" x14ac:dyDescent="0.25">
      <c r="B159" s="9"/>
      <c r="C159" s="31">
        <v>388.39</v>
      </c>
      <c r="D159" s="32">
        <v>35.533000000000001</v>
      </c>
      <c r="E159" s="32">
        <v>43.802</v>
      </c>
      <c r="F159" s="32">
        <v>43.670999999999999</v>
      </c>
      <c r="G159" s="18">
        <v>3.35</v>
      </c>
      <c r="H159" s="18">
        <f t="shared" si="4"/>
        <v>37.583874999999999</v>
      </c>
      <c r="I159" s="5"/>
      <c r="J159" s="31">
        <v>407.7912</v>
      </c>
      <c r="K159" s="32">
        <v>35.724299999999999</v>
      </c>
      <c r="L159" s="32">
        <v>44.865200000000002</v>
      </c>
      <c r="M159" s="32">
        <v>44.714100000000002</v>
      </c>
      <c r="N159" s="18">
        <v>10.911799999999999</v>
      </c>
      <c r="O159" s="18">
        <f t="shared" si="5"/>
        <v>37.990637500000005</v>
      </c>
      <c r="P159" s="7"/>
      <c r="Q159" s="10"/>
      <c r="R159" s="11"/>
      <c r="S159" s="11"/>
      <c r="T159" s="26"/>
      <c r="U159" s="28">
        <f t="shared" si="3"/>
        <v>2.2572537313432837</v>
      </c>
    </row>
    <row r="160" spans="1:21" ht="16.5" hidden="1" thickBot="1" x14ac:dyDescent="0.3">
      <c r="B160" s="12"/>
      <c r="C160" s="33">
        <v>194.23</v>
      </c>
      <c r="D160" s="34">
        <v>32.802</v>
      </c>
      <c r="E160" s="34">
        <v>41.752000000000002</v>
      </c>
      <c r="F160" s="34">
        <v>41.640999999999998</v>
      </c>
      <c r="G160" s="20">
        <v>4.67</v>
      </c>
      <c r="H160" s="20">
        <f t="shared" si="4"/>
        <v>35.025625000000005</v>
      </c>
      <c r="I160" s="5"/>
      <c r="J160" s="33">
        <v>204.0112</v>
      </c>
      <c r="K160" s="34">
        <v>33.025799999999997</v>
      </c>
      <c r="L160" s="34">
        <v>42.957099999999997</v>
      </c>
      <c r="M160" s="34">
        <v>42.741199999999999</v>
      </c>
      <c r="N160" s="20">
        <v>15.423</v>
      </c>
      <c r="O160" s="20">
        <f t="shared" si="5"/>
        <v>35.481637499999998</v>
      </c>
      <c r="P160" s="7"/>
      <c r="Q160" s="13"/>
      <c r="R160" s="14"/>
      <c r="S160" s="14"/>
      <c r="T160" s="27"/>
      <c r="U160" s="28">
        <f t="shared" si="3"/>
        <v>2.3025695931477514</v>
      </c>
    </row>
    <row r="161" spans="2:21" hidden="1" x14ac:dyDescent="0.25">
      <c r="B161" s="6" t="s">
        <v>122</v>
      </c>
      <c r="C161" s="15">
        <v>1002.89</v>
      </c>
      <c r="D161" s="16">
        <v>38.485999999999997</v>
      </c>
      <c r="E161" s="16">
        <v>47.368000000000002</v>
      </c>
      <c r="F161" s="16">
        <v>45.963999999999999</v>
      </c>
      <c r="G161" s="16">
        <v>1.92</v>
      </c>
      <c r="H161" s="16">
        <f t="shared" si="4"/>
        <v>40.530999999999999</v>
      </c>
      <c r="I161" s="5"/>
      <c r="J161" s="15">
        <v>1025.6811</v>
      </c>
      <c r="K161" s="16">
        <v>38.453499999999998</v>
      </c>
      <c r="L161" s="16">
        <v>47.738700000000001</v>
      </c>
      <c r="M161" s="16">
        <v>46.314399999999999</v>
      </c>
      <c r="N161" s="16">
        <v>6.3960999999999997</v>
      </c>
      <c r="O161" s="16">
        <f t="shared" si="5"/>
        <v>40.596762499999997</v>
      </c>
      <c r="P161" s="7"/>
      <c r="Q161" s="8">
        <f>bdrate(C161:C164,D161:D164,J161:J164,K161:K164)</f>
        <v>4.6828082954134542E-2</v>
      </c>
      <c r="R161" s="8">
        <f>bdrate(C161:C164,E161:E164,J161:J164,L161:L164)</f>
        <v>-0.204093872829194</v>
      </c>
      <c r="S161" s="8">
        <f>bdrate(C161:C164,F161:F164,J161:J164,M161:M164)</f>
        <v>-0.1839717239152</v>
      </c>
      <c r="T161" s="25">
        <f>bdrate(C161:C164,H161:H164,J161:J164,O161:O164)</f>
        <v>-1.3555773696059759E-2</v>
      </c>
      <c r="U161" s="28">
        <f t="shared" si="3"/>
        <v>2.3313020833333331</v>
      </c>
    </row>
    <row r="162" spans="2:21" hidden="1" x14ac:dyDescent="0.25">
      <c r="B162" s="9"/>
      <c r="C162" s="17">
        <v>600.84</v>
      </c>
      <c r="D162" s="18">
        <v>37.451000000000001</v>
      </c>
      <c r="E162" s="18">
        <v>46.566000000000003</v>
      </c>
      <c r="F162" s="18">
        <v>45.05</v>
      </c>
      <c r="G162" s="18">
        <v>2.35</v>
      </c>
      <c r="H162" s="18">
        <f t="shared" si="4"/>
        <v>39.540250000000007</v>
      </c>
      <c r="I162" s="5"/>
      <c r="J162" s="17">
        <v>615.00969999999995</v>
      </c>
      <c r="K162" s="18">
        <v>37.408900000000003</v>
      </c>
      <c r="L162" s="18">
        <v>47.002000000000002</v>
      </c>
      <c r="M162" s="18">
        <v>45.4636</v>
      </c>
      <c r="N162" s="18">
        <v>8.1374999999999993</v>
      </c>
      <c r="O162" s="18">
        <f t="shared" si="5"/>
        <v>39.614874999999998</v>
      </c>
      <c r="P162" s="7"/>
      <c r="Q162" s="10"/>
      <c r="R162" s="11"/>
      <c r="S162" s="11"/>
      <c r="T162" s="26"/>
      <c r="U162" s="28">
        <f t="shared" si="3"/>
        <v>2.4627659574468082</v>
      </c>
    </row>
    <row r="163" spans="2:21" hidden="1" x14ac:dyDescent="0.25">
      <c r="B163" s="9"/>
      <c r="C163" s="17">
        <v>400.32</v>
      </c>
      <c r="D163" s="18">
        <v>36.662999999999997</v>
      </c>
      <c r="E163" s="18">
        <v>45.844000000000001</v>
      </c>
      <c r="F163" s="18">
        <v>44.234000000000002</v>
      </c>
      <c r="G163" s="18">
        <v>2.74</v>
      </c>
      <c r="H163" s="18">
        <f t="shared" si="4"/>
        <v>38.756999999999998</v>
      </c>
      <c r="I163" s="5"/>
      <c r="J163" s="17">
        <v>409.19540000000001</v>
      </c>
      <c r="K163" s="18">
        <v>36.604599999999998</v>
      </c>
      <c r="L163" s="18">
        <v>46.3108</v>
      </c>
      <c r="M163" s="18">
        <v>44.703499999999998</v>
      </c>
      <c r="N163" s="18">
        <v>9.9527999999999999</v>
      </c>
      <c r="O163" s="18">
        <f t="shared" si="5"/>
        <v>38.830237500000003</v>
      </c>
      <c r="P163" s="7"/>
      <c r="Q163" s="10"/>
      <c r="R163" s="11"/>
      <c r="S163" s="11"/>
      <c r="T163" s="26"/>
      <c r="U163" s="28">
        <f t="shared" si="3"/>
        <v>2.6324087591240874</v>
      </c>
    </row>
    <row r="164" spans="2:21" ht="16.5" hidden="1" thickBot="1" x14ac:dyDescent="0.3">
      <c r="B164" s="12"/>
      <c r="C164" s="19">
        <v>199.91</v>
      </c>
      <c r="D164" s="20">
        <v>35.098999999999997</v>
      </c>
      <c r="E164" s="20">
        <v>44.432000000000002</v>
      </c>
      <c r="F164" s="20">
        <v>42.771999999999998</v>
      </c>
      <c r="G164" s="20">
        <v>3.59</v>
      </c>
      <c r="H164" s="20">
        <f t="shared" si="4"/>
        <v>37.22475</v>
      </c>
      <c r="I164" s="5"/>
      <c r="J164" s="19">
        <v>203.8391</v>
      </c>
      <c r="K164" s="20">
        <v>35.046100000000003</v>
      </c>
      <c r="L164" s="20">
        <v>44.886400000000002</v>
      </c>
      <c r="M164" s="20">
        <v>43.215800000000002</v>
      </c>
      <c r="N164" s="20">
        <v>13.758599999999999</v>
      </c>
      <c r="O164" s="20">
        <f t="shared" si="5"/>
        <v>37.297350000000009</v>
      </c>
      <c r="P164" s="7"/>
      <c r="Q164" s="13"/>
      <c r="R164" s="14"/>
      <c r="S164" s="14"/>
      <c r="T164" s="27"/>
      <c r="U164" s="28">
        <f t="shared" si="3"/>
        <v>2.8324791086350976</v>
      </c>
    </row>
    <row r="165" spans="2:21" hidden="1" x14ac:dyDescent="0.25">
      <c r="B165" s="6" t="s">
        <v>123</v>
      </c>
      <c r="C165" s="15">
        <v>1530.43</v>
      </c>
      <c r="D165" s="16">
        <v>38.802999999999997</v>
      </c>
      <c r="E165" s="16">
        <v>44.695999999999998</v>
      </c>
      <c r="F165" s="16">
        <v>44.024000000000001</v>
      </c>
      <c r="G165" s="16">
        <v>1.32</v>
      </c>
      <c r="H165" s="16">
        <f t="shared" si="4"/>
        <v>40.192250000000001</v>
      </c>
      <c r="I165" s="5"/>
      <c r="J165" s="15">
        <v>1530.3421000000001</v>
      </c>
      <c r="K165" s="16">
        <v>39.105400000000003</v>
      </c>
      <c r="L165" s="16">
        <v>45.314500000000002</v>
      </c>
      <c r="M165" s="16">
        <v>44.615600000000001</v>
      </c>
      <c r="N165" s="16">
        <v>3.9030999999999998</v>
      </c>
      <c r="O165" s="16">
        <f t="shared" si="5"/>
        <v>40.5703125</v>
      </c>
      <c r="P165" s="7"/>
      <c r="Q165" s="8">
        <f>bdrate(C165:C168,D165:D168,J165:J168,K165:K168)</f>
        <v>-3.7927136771253922E-2</v>
      </c>
      <c r="R165" s="8">
        <f>bdrate(C165:C168,E165:E168,J165:J168,L165:L168)</f>
        <v>-0.19827545596381779</v>
      </c>
      <c r="S165" s="8">
        <f>bdrate(C165:C168,F165:F168,J165:J168,M165:M168)</f>
        <v>-0.14885049085433288</v>
      </c>
      <c r="T165" s="25">
        <f>bdrate(C165:C168,H165:H168,J165:J168,O165:O168)</f>
        <v>-6.5060889458280591E-2</v>
      </c>
      <c r="U165" s="28">
        <f t="shared" si="3"/>
        <v>1.9568939393939393</v>
      </c>
    </row>
    <row r="166" spans="2:21" hidden="1" x14ac:dyDescent="0.25">
      <c r="B166" s="9"/>
      <c r="C166" s="17">
        <v>1017.6</v>
      </c>
      <c r="D166" s="18">
        <v>37.125999999999998</v>
      </c>
      <c r="E166" s="18">
        <v>43.57</v>
      </c>
      <c r="F166" s="18">
        <v>42.823999999999998</v>
      </c>
      <c r="G166" s="18">
        <v>1.57</v>
      </c>
      <c r="H166" s="18">
        <f t="shared" si="4"/>
        <v>38.643749999999997</v>
      </c>
      <c r="I166" s="5"/>
      <c r="J166" s="17">
        <v>1021.9883</v>
      </c>
      <c r="K166" s="18">
        <v>37.4116</v>
      </c>
      <c r="L166" s="18">
        <v>44.213299999999997</v>
      </c>
      <c r="M166" s="18">
        <v>43.357100000000003</v>
      </c>
      <c r="N166" s="18">
        <v>4.7961</v>
      </c>
      <c r="O166" s="18">
        <f t="shared" si="5"/>
        <v>39.005000000000003</v>
      </c>
      <c r="P166" s="7"/>
      <c r="Q166" s="10"/>
      <c r="R166" s="11"/>
      <c r="S166" s="11"/>
      <c r="T166" s="26"/>
      <c r="U166" s="28">
        <f t="shared" si="3"/>
        <v>2.0548407643312099</v>
      </c>
    </row>
    <row r="167" spans="2:21" hidden="1" x14ac:dyDescent="0.25">
      <c r="B167" s="9"/>
      <c r="C167" s="17">
        <v>608.83000000000004</v>
      </c>
      <c r="D167" s="18">
        <v>35.003</v>
      </c>
      <c r="E167" s="18">
        <v>42.18</v>
      </c>
      <c r="F167" s="18">
        <v>41.320999999999998</v>
      </c>
      <c r="G167" s="18">
        <v>1.97</v>
      </c>
      <c r="H167" s="18">
        <f t="shared" si="4"/>
        <v>36.689875000000001</v>
      </c>
      <c r="I167" s="5"/>
      <c r="J167" s="17">
        <v>611.29300000000001</v>
      </c>
      <c r="K167" s="18">
        <v>35.147300000000001</v>
      </c>
      <c r="L167" s="18">
        <v>42.752200000000002</v>
      </c>
      <c r="M167" s="18">
        <v>41.7742</v>
      </c>
      <c r="N167" s="18">
        <v>6.1749999999999998</v>
      </c>
      <c r="O167" s="18">
        <f t="shared" si="5"/>
        <v>36.926275000000004</v>
      </c>
      <c r="P167" s="7"/>
      <c r="Q167" s="10"/>
      <c r="R167" s="11"/>
      <c r="S167" s="11"/>
      <c r="T167" s="26"/>
      <c r="U167" s="28">
        <f t="shared" si="3"/>
        <v>2.1345177664974622</v>
      </c>
    </row>
    <row r="168" spans="2:21" ht="16.5" hidden="1" thickBot="1" x14ac:dyDescent="0.3">
      <c r="B168" s="12"/>
      <c r="C168" s="19">
        <v>304.36</v>
      </c>
      <c r="D168" s="20">
        <v>32.183999999999997</v>
      </c>
      <c r="E168" s="20">
        <v>40.203000000000003</v>
      </c>
      <c r="F168" s="20">
        <v>39.179000000000002</v>
      </c>
      <c r="G168" s="20">
        <v>2.69</v>
      </c>
      <c r="H168" s="20">
        <f t="shared" si="4"/>
        <v>34.060749999999999</v>
      </c>
      <c r="I168" s="5"/>
      <c r="J168" s="19">
        <v>306.24119999999999</v>
      </c>
      <c r="K168" s="20">
        <v>32.225999999999999</v>
      </c>
      <c r="L168" s="20">
        <v>40.955100000000002</v>
      </c>
      <c r="M168" s="20">
        <v>39.7333</v>
      </c>
      <c r="N168" s="20">
        <v>8.5932999999999993</v>
      </c>
      <c r="O168" s="20">
        <f t="shared" si="5"/>
        <v>34.255549999999999</v>
      </c>
      <c r="P168" s="7"/>
      <c r="Q168" s="13"/>
      <c r="R168" s="14"/>
      <c r="S168" s="14"/>
      <c r="T168" s="27"/>
      <c r="U168" s="28">
        <f t="shared" si="3"/>
        <v>2.1945353159851302</v>
      </c>
    </row>
    <row r="169" spans="2:21" hidden="1" x14ac:dyDescent="0.25">
      <c r="B169" s="6" t="s">
        <v>124</v>
      </c>
      <c r="C169" s="15">
        <v>1030.6500000000001</v>
      </c>
      <c r="D169" s="16">
        <v>40.146999999999998</v>
      </c>
      <c r="E169" s="16">
        <v>45.695</v>
      </c>
      <c r="F169" s="16">
        <v>45.195</v>
      </c>
      <c r="G169" s="16">
        <v>2.08</v>
      </c>
      <c r="H169" s="16">
        <f t="shared" si="4"/>
        <v>41.471499999999999</v>
      </c>
      <c r="I169" s="5"/>
      <c r="J169" s="15">
        <v>1036.2943</v>
      </c>
      <c r="K169" s="16">
        <v>40.216000000000001</v>
      </c>
      <c r="L169" s="16">
        <v>46.134999999999998</v>
      </c>
      <c r="M169" s="16">
        <v>45.604399999999998</v>
      </c>
      <c r="N169" s="16">
        <v>6.5000999999999998</v>
      </c>
      <c r="O169" s="16">
        <f t="shared" si="5"/>
        <v>41.629424999999998</v>
      </c>
      <c r="P169" s="7"/>
      <c r="Q169" s="8">
        <f>bdrate(C169:C172,D169:D172,J169:J172,K169:K172)</f>
        <v>-1.1555015662136792E-2</v>
      </c>
      <c r="R169" s="8">
        <f>bdrate(C169:C172,E169:E172,J169:J172,L169:L172)</f>
        <v>-0.21637885641568233</v>
      </c>
      <c r="S169" s="8">
        <f>bdrate(C169:C172,F169:F172,J169:J172,M169:M172)</f>
        <v>-0.21342879881974941</v>
      </c>
      <c r="T169" s="25">
        <f>bdrate(C169:C172,H169:H172,J169:J172,O169:O172)</f>
        <v>-5.6957330721951194E-2</v>
      </c>
      <c r="U169" s="28">
        <f t="shared" si="3"/>
        <v>2.1250480769230768</v>
      </c>
    </row>
    <row r="170" spans="2:21" hidden="1" x14ac:dyDescent="0.25">
      <c r="B170" s="9"/>
      <c r="C170" s="17">
        <v>614.16</v>
      </c>
      <c r="D170" s="18">
        <v>38.421999999999997</v>
      </c>
      <c r="E170" s="18">
        <v>44.360999999999997</v>
      </c>
      <c r="F170" s="18">
        <v>43.831000000000003</v>
      </c>
      <c r="G170" s="18">
        <v>2.63</v>
      </c>
      <c r="H170" s="18">
        <f t="shared" si="4"/>
        <v>39.840499999999999</v>
      </c>
      <c r="I170" s="5"/>
      <c r="J170" s="17">
        <v>621.39490000000001</v>
      </c>
      <c r="K170" s="18">
        <v>38.508699999999997</v>
      </c>
      <c r="L170" s="18">
        <v>44.952300000000001</v>
      </c>
      <c r="M170" s="18">
        <v>44.388599999999997</v>
      </c>
      <c r="N170" s="18">
        <v>8.2039000000000009</v>
      </c>
      <c r="O170" s="18">
        <f t="shared" si="5"/>
        <v>40.049137499999993</v>
      </c>
      <c r="P170" s="7"/>
      <c r="Q170" s="10"/>
      <c r="R170" s="11"/>
      <c r="S170" s="11"/>
      <c r="T170" s="26"/>
      <c r="U170" s="28">
        <f t="shared" si="3"/>
        <v>2.1193536121673007</v>
      </c>
    </row>
    <row r="171" spans="2:21" hidden="1" x14ac:dyDescent="0.25">
      <c r="B171" s="9"/>
      <c r="C171" s="17">
        <v>405.86</v>
      </c>
      <c r="D171" s="18">
        <v>37.081000000000003</v>
      </c>
      <c r="E171" s="18">
        <v>43.241</v>
      </c>
      <c r="F171" s="18">
        <v>42.685000000000002</v>
      </c>
      <c r="G171" s="18">
        <v>3.13</v>
      </c>
      <c r="H171" s="18">
        <f t="shared" si="4"/>
        <v>38.551500000000004</v>
      </c>
      <c r="I171" s="5"/>
      <c r="J171" s="17">
        <v>414.17649999999998</v>
      </c>
      <c r="K171" s="18">
        <v>37.192700000000002</v>
      </c>
      <c r="L171" s="18">
        <v>43.987200000000001</v>
      </c>
      <c r="M171" s="18">
        <v>43.4465</v>
      </c>
      <c r="N171" s="18">
        <v>10.011900000000001</v>
      </c>
      <c r="O171" s="18">
        <f t="shared" si="5"/>
        <v>38.823737500000007</v>
      </c>
      <c r="P171" s="7"/>
      <c r="Q171" s="10"/>
      <c r="R171" s="11"/>
      <c r="S171" s="11"/>
      <c r="T171" s="26"/>
      <c r="U171" s="28">
        <f t="shared" si="3"/>
        <v>2.1986900958466458</v>
      </c>
    </row>
    <row r="172" spans="2:21" ht="16.5" hidden="1" thickBot="1" x14ac:dyDescent="0.3">
      <c r="B172" s="12"/>
      <c r="C172" s="19">
        <v>199.48</v>
      </c>
      <c r="D172" s="20">
        <v>34.591000000000001</v>
      </c>
      <c r="E172" s="20">
        <v>41.28</v>
      </c>
      <c r="F172" s="20">
        <v>40.703000000000003</v>
      </c>
      <c r="G172" s="20">
        <v>4.29</v>
      </c>
      <c r="H172" s="20">
        <f t="shared" si="4"/>
        <v>36.191125</v>
      </c>
      <c r="I172" s="5"/>
      <c r="J172" s="19">
        <v>206.87049999999999</v>
      </c>
      <c r="K172" s="20">
        <v>34.727800000000002</v>
      </c>
      <c r="L172" s="20">
        <v>42.103000000000002</v>
      </c>
      <c r="M172" s="20">
        <v>41.559100000000001</v>
      </c>
      <c r="N172" s="20">
        <v>14.2403</v>
      </c>
      <c r="O172" s="20">
        <f t="shared" si="5"/>
        <v>36.503612500000003</v>
      </c>
      <c r="P172" s="7"/>
      <c r="Q172" s="13"/>
      <c r="R172" s="14"/>
      <c r="S172" s="14"/>
      <c r="T172" s="27"/>
      <c r="U172" s="28">
        <f t="shared" si="3"/>
        <v>2.3194172494172491</v>
      </c>
    </row>
    <row r="173" spans="2:21" hidden="1" x14ac:dyDescent="0.25">
      <c r="B173" s="6" t="s">
        <v>125</v>
      </c>
      <c r="C173" s="15">
        <v>983.81</v>
      </c>
      <c r="D173" s="16">
        <v>43.683999999999997</v>
      </c>
      <c r="E173" s="16">
        <v>48.182000000000002</v>
      </c>
      <c r="F173" s="16">
        <v>47.38</v>
      </c>
      <c r="G173" s="16">
        <v>2.11</v>
      </c>
      <c r="H173" s="16">
        <f t="shared" si="4"/>
        <v>44.70825</v>
      </c>
      <c r="I173" s="5"/>
      <c r="J173" s="15">
        <v>1028.1481000000001</v>
      </c>
      <c r="K173" s="16">
        <v>43.916800000000002</v>
      </c>
      <c r="L173" s="16">
        <v>48.7806</v>
      </c>
      <c r="M173" s="16">
        <v>47.932099999999998</v>
      </c>
      <c r="N173" s="16">
        <v>6.2119</v>
      </c>
      <c r="O173" s="16">
        <f t="shared" si="5"/>
        <v>45.026687500000001</v>
      </c>
      <c r="P173" s="7"/>
      <c r="Q173" s="8">
        <f>bdrate(C173:C176,D173:D176,J173:J176,K173:K176)</f>
        <v>-3.203224462814569E-2</v>
      </c>
      <c r="R173" s="8">
        <f>bdrate(C173:C176,E173:E176,J173:J176,L173:L176)</f>
        <v>-0.19088683345320256</v>
      </c>
      <c r="S173" s="8">
        <f>bdrate(C173:C176,F173:F176,J173:J176,M173:M176)</f>
        <v>-0.17004964596272953</v>
      </c>
      <c r="T173" s="25">
        <f>bdrate(C173:C176,H173:H176,J173:J176,O173:O176)</f>
        <v>-6.6023463148815242E-2</v>
      </c>
      <c r="U173" s="28">
        <f t="shared" si="3"/>
        <v>1.9440284360189577</v>
      </c>
    </row>
    <row r="174" spans="2:21" hidden="1" x14ac:dyDescent="0.25">
      <c r="B174" s="9"/>
      <c r="C174" s="17">
        <v>591.76</v>
      </c>
      <c r="D174" s="18">
        <v>41.996000000000002</v>
      </c>
      <c r="E174" s="18">
        <v>46.746000000000002</v>
      </c>
      <c r="F174" s="18">
        <v>45.902000000000001</v>
      </c>
      <c r="G174" s="18">
        <v>2.6</v>
      </c>
      <c r="H174" s="18">
        <f t="shared" si="4"/>
        <v>43.077999999999996</v>
      </c>
      <c r="I174" s="5"/>
      <c r="J174" s="17">
        <v>615.66049999999996</v>
      </c>
      <c r="K174" s="18">
        <v>42.237499999999997</v>
      </c>
      <c r="L174" s="18">
        <v>47.433599999999998</v>
      </c>
      <c r="M174" s="18">
        <v>46.541499999999999</v>
      </c>
      <c r="N174" s="18">
        <v>7.7762000000000002</v>
      </c>
      <c r="O174" s="18">
        <f t="shared" si="5"/>
        <v>43.425012499999994</v>
      </c>
      <c r="P174" s="7"/>
      <c r="Q174" s="10"/>
      <c r="R174" s="11"/>
      <c r="S174" s="11"/>
      <c r="T174" s="26"/>
      <c r="U174" s="28">
        <f t="shared" si="3"/>
        <v>1.9908461538461537</v>
      </c>
    </row>
    <row r="175" spans="2:21" hidden="1" x14ac:dyDescent="0.25">
      <c r="B175" s="9"/>
      <c r="C175" s="17">
        <v>395.59</v>
      </c>
      <c r="D175" s="18">
        <v>40.567</v>
      </c>
      <c r="E175" s="18">
        <v>45.54</v>
      </c>
      <c r="F175" s="18">
        <v>44.671999999999997</v>
      </c>
      <c r="G175" s="18">
        <v>3.06</v>
      </c>
      <c r="H175" s="18">
        <f t="shared" si="4"/>
        <v>41.701750000000004</v>
      </c>
      <c r="I175" s="5"/>
      <c r="J175" s="17">
        <v>410.07780000000002</v>
      </c>
      <c r="K175" s="18">
        <v>40.833500000000001</v>
      </c>
      <c r="L175" s="18">
        <v>46.307899999999997</v>
      </c>
      <c r="M175" s="18">
        <v>45.381700000000002</v>
      </c>
      <c r="N175" s="18">
        <v>9.4893999999999998</v>
      </c>
      <c r="O175" s="18">
        <f t="shared" si="5"/>
        <v>42.086325000000002</v>
      </c>
      <c r="P175" s="7"/>
      <c r="Q175" s="10"/>
      <c r="R175" s="11"/>
      <c r="S175" s="11"/>
      <c r="T175" s="26"/>
      <c r="U175" s="28">
        <f t="shared" si="3"/>
        <v>2.1011111111111109</v>
      </c>
    </row>
    <row r="176" spans="2:21" ht="16.5" hidden="1" thickBot="1" x14ac:dyDescent="0.3">
      <c r="B176" s="12"/>
      <c r="C176" s="19">
        <v>199.62</v>
      </c>
      <c r="D176" s="20">
        <v>37.710999999999999</v>
      </c>
      <c r="E176" s="20">
        <v>43.235999999999997</v>
      </c>
      <c r="F176" s="20">
        <v>42.261000000000003</v>
      </c>
      <c r="G176" s="20">
        <v>4.1399999999999997</v>
      </c>
      <c r="H176" s="20">
        <f t="shared" si="4"/>
        <v>38.970375000000004</v>
      </c>
      <c r="I176" s="5"/>
      <c r="J176" s="19">
        <v>204.08369999999999</v>
      </c>
      <c r="K176" s="20">
        <v>37.943100000000001</v>
      </c>
      <c r="L176" s="20">
        <v>44.0809</v>
      </c>
      <c r="M176" s="20">
        <v>43.057299999999998</v>
      </c>
      <c r="N176" s="20">
        <v>13.595800000000001</v>
      </c>
      <c r="O176" s="20">
        <f t="shared" si="5"/>
        <v>39.349600000000002</v>
      </c>
      <c r="P176" s="7"/>
      <c r="Q176" s="13"/>
      <c r="R176" s="14"/>
      <c r="S176" s="14"/>
      <c r="T176" s="27"/>
      <c r="U176" s="28">
        <f t="shared" si="3"/>
        <v>2.284009661835749</v>
      </c>
    </row>
    <row r="177" spans="2:21" hidden="1" x14ac:dyDescent="0.25">
      <c r="B177" s="6" t="s">
        <v>126</v>
      </c>
      <c r="C177" s="15">
        <v>1461.44</v>
      </c>
      <c r="D177" s="16">
        <v>37.722999999999999</v>
      </c>
      <c r="E177" s="16">
        <v>42.886000000000003</v>
      </c>
      <c r="F177" s="16">
        <v>43.603999999999999</v>
      </c>
      <c r="G177" s="16">
        <v>0.88</v>
      </c>
      <c r="H177" s="16">
        <f t="shared" si="4"/>
        <v>39.103499999999997</v>
      </c>
      <c r="I177" s="5"/>
      <c r="J177" s="15">
        <v>1543.1351</v>
      </c>
      <c r="K177" s="16">
        <v>37.887900000000002</v>
      </c>
      <c r="L177" s="16">
        <v>44.086599999999997</v>
      </c>
      <c r="M177" s="16">
        <v>44.796500000000002</v>
      </c>
      <c r="N177" s="16">
        <v>3.0478999999999998</v>
      </c>
      <c r="O177" s="16">
        <f t="shared" si="5"/>
        <v>39.526312499999996</v>
      </c>
      <c r="P177" s="7"/>
      <c r="Q177" s="8">
        <f>bdrate(C177:C180,D177:D180,J177:J180,K177:K180)</f>
        <v>7.4633181633940726E-3</v>
      </c>
      <c r="R177" s="8">
        <f>bdrate(C177:C180,E177:E180,J177:J180,L177:L180)</f>
        <v>-0.36128086464445552</v>
      </c>
      <c r="S177" s="8">
        <f>bdrate(C177:C180,F177:F180,J177:J180,M177:M180)</f>
        <v>-0.36195570498260887</v>
      </c>
      <c r="T177" s="25">
        <f>bdrate(C177:C180,H177:H180,J177:J180,O177:O180)</f>
        <v>-6.9647506810831761E-2</v>
      </c>
      <c r="U177" s="28">
        <f t="shared" si="3"/>
        <v>2.4635227272727271</v>
      </c>
    </row>
    <row r="178" spans="2:21" hidden="1" x14ac:dyDescent="0.25">
      <c r="B178" s="9"/>
      <c r="C178" s="17">
        <v>973.38</v>
      </c>
      <c r="D178" s="18">
        <v>36.026000000000003</v>
      </c>
      <c r="E178" s="18">
        <v>41.68</v>
      </c>
      <c r="F178" s="18">
        <v>42.459000000000003</v>
      </c>
      <c r="G178" s="18">
        <v>1.0900000000000001</v>
      </c>
      <c r="H178" s="18">
        <f t="shared" si="4"/>
        <v>37.536875000000002</v>
      </c>
      <c r="I178" s="5"/>
      <c r="J178" s="17">
        <v>1027.5085999999999</v>
      </c>
      <c r="K178" s="18">
        <v>36.215499999999999</v>
      </c>
      <c r="L178" s="18">
        <v>42.970599999999997</v>
      </c>
      <c r="M178" s="18">
        <v>43.716900000000003</v>
      </c>
      <c r="N178" s="18">
        <v>3.7233000000000001</v>
      </c>
      <c r="O178" s="18">
        <f t="shared" si="5"/>
        <v>37.997562500000001</v>
      </c>
      <c r="P178" s="7"/>
      <c r="Q178" s="10"/>
      <c r="R178" s="11"/>
      <c r="S178" s="11"/>
      <c r="T178" s="26"/>
      <c r="U178" s="28">
        <f t="shared" si="3"/>
        <v>2.4158715596330276</v>
      </c>
    </row>
    <row r="179" spans="2:21" hidden="1" x14ac:dyDescent="0.25">
      <c r="B179" s="9"/>
      <c r="C179" s="17">
        <v>583.88</v>
      </c>
      <c r="D179" s="18">
        <v>33.866999999999997</v>
      </c>
      <c r="E179" s="18">
        <v>40.267000000000003</v>
      </c>
      <c r="F179" s="18">
        <v>41.125999999999998</v>
      </c>
      <c r="G179" s="18">
        <v>1.44</v>
      </c>
      <c r="H179" s="18">
        <f t="shared" si="4"/>
        <v>35.574374999999996</v>
      </c>
      <c r="I179" s="5"/>
      <c r="J179" s="17">
        <v>615.98609999999996</v>
      </c>
      <c r="K179" s="18">
        <v>34.081499999999998</v>
      </c>
      <c r="L179" s="18">
        <v>41.629800000000003</v>
      </c>
      <c r="M179" s="18">
        <v>42.415999999999997</v>
      </c>
      <c r="N179" s="18">
        <v>4.7519</v>
      </c>
      <c r="O179" s="18">
        <f t="shared" si="5"/>
        <v>36.066849999999995</v>
      </c>
      <c r="P179" s="7"/>
      <c r="Q179" s="10"/>
      <c r="R179" s="11"/>
      <c r="S179" s="11"/>
      <c r="T179" s="26"/>
      <c r="U179" s="28">
        <f t="shared" si="3"/>
        <v>2.2999305555555556</v>
      </c>
    </row>
    <row r="180" spans="2:21" ht="16.5" hidden="1" thickBot="1" x14ac:dyDescent="0.3">
      <c r="B180" s="12"/>
      <c r="C180" s="19">
        <v>292.38</v>
      </c>
      <c r="D180" s="20">
        <v>31.053999999999998</v>
      </c>
      <c r="E180" s="20">
        <v>38.47</v>
      </c>
      <c r="F180" s="20">
        <v>39.375</v>
      </c>
      <c r="G180" s="20">
        <v>2.13</v>
      </c>
      <c r="H180" s="20">
        <f t="shared" si="4"/>
        <v>33.021124999999998</v>
      </c>
      <c r="I180" s="5"/>
      <c r="J180" s="19">
        <v>307.65960000000001</v>
      </c>
      <c r="K180" s="20">
        <v>31.190200000000001</v>
      </c>
      <c r="L180" s="20">
        <v>39.914400000000001</v>
      </c>
      <c r="M180" s="20">
        <v>40.7776</v>
      </c>
      <c r="N180" s="20">
        <v>6.5204000000000004</v>
      </c>
      <c r="O180" s="20">
        <f t="shared" si="5"/>
        <v>33.479149999999997</v>
      </c>
      <c r="P180" s="7"/>
      <c r="Q180" s="13"/>
      <c r="R180" s="14"/>
      <c r="S180" s="14"/>
      <c r="T180" s="27"/>
      <c r="U180" s="28">
        <f t="shared" si="3"/>
        <v>2.0612206572769955</v>
      </c>
    </row>
    <row r="181" spans="2:21" hidden="1" x14ac:dyDescent="0.25">
      <c r="B181" s="6" t="s">
        <v>127</v>
      </c>
      <c r="C181" s="15">
        <v>1557.81</v>
      </c>
      <c r="D181" s="16">
        <v>35.664000000000001</v>
      </c>
      <c r="E181" s="16">
        <v>40.786999999999999</v>
      </c>
      <c r="F181" s="16">
        <v>39.073999999999998</v>
      </c>
      <c r="G181" s="16">
        <v>1.01</v>
      </c>
      <c r="H181" s="16">
        <f t="shared" si="4"/>
        <v>36.730625000000003</v>
      </c>
      <c r="I181" s="5"/>
      <c r="J181" s="15">
        <v>1543.4384</v>
      </c>
      <c r="K181" s="16">
        <v>35.357799999999997</v>
      </c>
      <c r="L181" s="16">
        <v>40.7759</v>
      </c>
      <c r="M181" s="16">
        <v>38.824199999999998</v>
      </c>
      <c r="N181" s="16">
        <v>3.3481000000000001</v>
      </c>
      <c r="O181" s="16">
        <f t="shared" si="5"/>
        <v>36.468362499999998</v>
      </c>
      <c r="P181" s="7"/>
      <c r="Q181" s="8">
        <f>bdrate(C181:C184,D181:D184,J181:J184,K181:K184)</f>
        <v>6.6232375125072629E-2</v>
      </c>
      <c r="R181" s="8">
        <f>bdrate(C181:C184,E181:E184,J181:J184,L181:L184)</f>
        <v>1.4661451103925804E-2</v>
      </c>
      <c r="S181" s="8">
        <f>bdrate(C181:C184,F181:F184,J181:J184,M181:M184)</f>
        <v>0.10051248798493573</v>
      </c>
      <c r="T181" s="25">
        <f>bdrate(C181:C184,H181:H184,J181:J184,O181:O184)</f>
        <v>6.4890682340856376E-2</v>
      </c>
      <c r="U181" s="28">
        <f t="shared" si="3"/>
        <v>2.3149504950495046</v>
      </c>
    </row>
    <row r="182" spans="2:21" hidden="1" x14ac:dyDescent="0.25">
      <c r="B182" s="9"/>
      <c r="C182" s="17">
        <v>1037.6300000000001</v>
      </c>
      <c r="D182" s="18">
        <v>33.844000000000001</v>
      </c>
      <c r="E182" s="18">
        <v>39.518000000000001</v>
      </c>
      <c r="F182" s="18">
        <v>37.677999999999997</v>
      </c>
      <c r="G182" s="18">
        <v>1.2</v>
      </c>
      <c r="H182" s="18">
        <f t="shared" si="4"/>
        <v>35.032499999999999</v>
      </c>
      <c r="I182" s="5"/>
      <c r="J182" s="17">
        <v>1028.3656000000001</v>
      </c>
      <c r="K182" s="18">
        <v>33.555300000000003</v>
      </c>
      <c r="L182" s="18">
        <v>39.412599999999998</v>
      </c>
      <c r="M182" s="18">
        <v>37.297199999999997</v>
      </c>
      <c r="N182" s="18">
        <v>3.9146000000000001</v>
      </c>
      <c r="O182" s="18">
        <f t="shared" si="5"/>
        <v>34.755200000000002</v>
      </c>
      <c r="P182" s="7"/>
      <c r="Q182" s="10"/>
      <c r="R182" s="11"/>
      <c r="S182" s="11"/>
      <c r="T182" s="26"/>
      <c r="U182" s="28">
        <f t="shared" si="3"/>
        <v>2.2621666666666669</v>
      </c>
    </row>
    <row r="183" spans="2:21" hidden="1" x14ac:dyDescent="0.25">
      <c r="B183" s="9"/>
      <c r="C183" s="17">
        <v>619.70000000000005</v>
      </c>
      <c r="D183" s="18">
        <v>31.766999999999999</v>
      </c>
      <c r="E183" s="18">
        <v>37.972999999999999</v>
      </c>
      <c r="F183" s="18">
        <v>35.947000000000003</v>
      </c>
      <c r="G183" s="18">
        <v>1.52</v>
      </c>
      <c r="H183" s="18">
        <f t="shared" si="4"/>
        <v>33.065249999999999</v>
      </c>
      <c r="I183" s="5"/>
      <c r="J183" s="17">
        <v>616.48040000000003</v>
      </c>
      <c r="K183" s="18">
        <v>31.5136</v>
      </c>
      <c r="L183" s="18">
        <v>37.855800000000002</v>
      </c>
      <c r="M183" s="18">
        <v>35.5306</v>
      </c>
      <c r="N183" s="18">
        <v>4.8048999999999999</v>
      </c>
      <c r="O183" s="18">
        <f t="shared" si="5"/>
        <v>32.808500000000002</v>
      </c>
      <c r="P183" s="7"/>
      <c r="Q183" s="10"/>
      <c r="R183" s="11"/>
      <c r="S183" s="11"/>
      <c r="T183" s="26"/>
      <c r="U183" s="28">
        <f t="shared" si="3"/>
        <v>2.1611184210526315</v>
      </c>
    </row>
    <row r="184" spans="2:21" ht="16.5" hidden="1" thickBot="1" x14ac:dyDescent="0.3">
      <c r="B184" s="12"/>
      <c r="C184" s="19">
        <v>307.37</v>
      </c>
      <c r="D184" s="20">
        <v>29.385999999999999</v>
      </c>
      <c r="E184" s="20">
        <v>35.935000000000002</v>
      </c>
      <c r="F184" s="20">
        <v>33.521000000000001</v>
      </c>
      <c r="G184" s="20">
        <v>2.16</v>
      </c>
      <c r="H184" s="20">
        <f t="shared" si="4"/>
        <v>30.721499999999999</v>
      </c>
      <c r="I184" s="5"/>
      <c r="J184" s="19">
        <v>307.72579999999999</v>
      </c>
      <c r="K184" s="20">
        <v>29.1113</v>
      </c>
      <c r="L184" s="20">
        <v>36.092799999999997</v>
      </c>
      <c r="M184" s="20">
        <v>33.410299999999999</v>
      </c>
      <c r="N184" s="20">
        <v>6.6173999999999999</v>
      </c>
      <c r="O184" s="20">
        <f t="shared" si="5"/>
        <v>30.521362500000002</v>
      </c>
      <c r="P184" s="7"/>
      <c r="Q184" s="13"/>
      <c r="R184" s="14"/>
      <c r="S184" s="14"/>
      <c r="T184" s="27"/>
      <c r="U184" s="28">
        <f t="shared" si="3"/>
        <v>2.0636111111111108</v>
      </c>
    </row>
    <row r="185" spans="2:21" hidden="1" x14ac:dyDescent="0.25">
      <c r="B185" s="6" t="s">
        <v>128</v>
      </c>
      <c r="C185" s="15">
        <v>1548.08</v>
      </c>
      <c r="D185" s="16">
        <v>40.335000000000001</v>
      </c>
      <c r="E185" s="16">
        <v>46.823999999999998</v>
      </c>
      <c r="F185" s="16">
        <v>46.715000000000003</v>
      </c>
      <c r="G185" s="16">
        <v>0.84</v>
      </c>
      <c r="H185" s="16">
        <f t="shared" si="4"/>
        <v>41.943624999999997</v>
      </c>
      <c r="I185" s="5"/>
      <c r="J185" s="15">
        <v>1544.5932</v>
      </c>
      <c r="K185" s="16">
        <v>40.0246</v>
      </c>
      <c r="L185" s="16">
        <v>47.164200000000001</v>
      </c>
      <c r="M185" s="16">
        <v>47.011699999999998</v>
      </c>
      <c r="N185" s="16">
        <v>2.8403</v>
      </c>
      <c r="O185" s="16">
        <f t="shared" si="5"/>
        <v>41.790437500000003</v>
      </c>
      <c r="P185" s="7"/>
      <c r="Q185" s="8">
        <f>bdrate(C185:C188,D185:D188,J185:J188,K185:K188)</f>
        <v>9.2892134756292544E-2</v>
      </c>
      <c r="R185" s="8">
        <f>bdrate(C185:C188,E185:E188,J185:J188,L185:L188)</f>
        <v>-0.15761955081852919</v>
      </c>
      <c r="S185" s="8">
        <f>bdrate(C185:C188,F185:F188,J185:J188,M185:M188)</f>
        <v>-0.11882264177769408</v>
      </c>
      <c r="T185" s="25">
        <f>bdrate(C185:C188,H185:H188,J185:J188,O185:O188)</f>
        <v>3.5839782556388311E-2</v>
      </c>
      <c r="U185" s="28">
        <f t="shared" si="3"/>
        <v>2.3813095238095241</v>
      </c>
    </row>
    <row r="186" spans="2:21" hidden="1" x14ac:dyDescent="0.25">
      <c r="B186" s="9"/>
      <c r="C186" s="17">
        <v>1031.76</v>
      </c>
      <c r="D186" s="18">
        <v>39.185000000000002</v>
      </c>
      <c r="E186" s="18">
        <v>45.744999999999997</v>
      </c>
      <c r="F186" s="18">
        <v>45.58</v>
      </c>
      <c r="G186" s="18">
        <v>1.01</v>
      </c>
      <c r="H186" s="18">
        <f t="shared" si="4"/>
        <v>40.804375</v>
      </c>
      <c r="I186" s="5"/>
      <c r="J186" s="17">
        <v>1027.2402999999999</v>
      </c>
      <c r="K186" s="18">
        <v>38.8645</v>
      </c>
      <c r="L186" s="18">
        <v>46.174599999999998</v>
      </c>
      <c r="M186" s="18">
        <v>45.950699999999998</v>
      </c>
      <c r="N186" s="18">
        <v>3.4508000000000001</v>
      </c>
      <c r="O186" s="18">
        <f t="shared" si="5"/>
        <v>40.664037499999999</v>
      </c>
      <c r="P186" s="7"/>
      <c r="Q186" s="10"/>
      <c r="R186" s="11"/>
      <c r="S186" s="11"/>
      <c r="T186" s="26"/>
      <c r="U186" s="28">
        <f t="shared" si="3"/>
        <v>2.416633663366337</v>
      </c>
    </row>
    <row r="187" spans="2:21" hidden="1" x14ac:dyDescent="0.25">
      <c r="B187" s="9"/>
      <c r="C187" s="17">
        <v>618.83000000000004</v>
      </c>
      <c r="D187" s="18">
        <v>37.551000000000002</v>
      </c>
      <c r="E187" s="18">
        <v>44.290999999999997</v>
      </c>
      <c r="F187" s="18">
        <v>44.066000000000003</v>
      </c>
      <c r="G187" s="18">
        <v>1.3</v>
      </c>
      <c r="H187" s="18">
        <f t="shared" si="4"/>
        <v>39.207875000000001</v>
      </c>
      <c r="I187" s="5"/>
      <c r="J187" s="17">
        <v>615.01750000000004</v>
      </c>
      <c r="K187" s="18">
        <v>37.231499999999997</v>
      </c>
      <c r="L187" s="18">
        <v>44.772500000000001</v>
      </c>
      <c r="M187" s="18">
        <v>44.4251</v>
      </c>
      <c r="N187" s="18">
        <v>4.4142999999999999</v>
      </c>
      <c r="O187" s="18">
        <f t="shared" si="5"/>
        <v>39.073324999999997</v>
      </c>
      <c r="P187" s="7"/>
      <c r="Q187" s="10"/>
      <c r="R187" s="11"/>
      <c r="S187" s="11"/>
      <c r="T187" s="26"/>
      <c r="U187" s="28">
        <f t="shared" si="3"/>
        <v>2.3956153846153847</v>
      </c>
    </row>
    <row r="188" spans="2:21" ht="16.5" hidden="1" thickBot="1" x14ac:dyDescent="0.3">
      <c r="B188" s="12"/>
      <c r="C188" s="19">
        <v>309.10000000000002</v>
      </c>
      <c r="D188" s="20">
        <v>34.975999999999999</v>
      </c>
      <c r="E188" s="20">
        <v>42.198999999999998</v>
      </c>
      <c r="F188" s="20">
        <v>41.84</v>
      </c>
      <c r="G188" s="20">
        <v>1.87</v>
      </c>
      <c r="H188" s="20">
        <f t="shared" si="4"/>
        <v>36.736874999999998</v>
      </c>
      <c r="I188" s="5"/>
      <c r="J188" s="19">
        <v>306.33339999999998</v>
      </c>
      <c r="K188" s="20">
        <v>34.688299999999998</v>
      </c>
      <c r="L188" s="20">
        <v>42.737400000000001</v>
      </c>
      <c r="M188" s="20">
        <v>42.220300000000002</v>
      </c>
      <c r="N188" s="20">
        <v>6.2205000000000004</v>
      </c>
      <c r="O188" s="20">
        <f t="shared" si="5"/>
        <v>36.635937499999997</v>
      </c>
      <c r="P188" s="7"/>
      <c r="Q188" s="13"/>
      <c r="R188" s="14"/>
      <c r="S188" s="14"/>
      <c r="T188" s="27"/>
      <c r="U188" s="28">
        <f t="shared" si="3"/>
        <v>2.3264705882352943</v>
      </c>
    </row>
    <row r="189" spans="2:21" hidden="1" x14ac:dyDescent="0.25">
      <c r="B189" s="6" t="s">
        <v>129</v>
      </c>
      <c r="C189" s="29">
        <v>1506.12</v>
      </c>
      <c r="D189" s="30">
        <v>46.853000000000002</v>
      </c>
      <c r="E189" s="30">
        <v>51.713999999999999</v>
      </c>
      <c r="F189" s="30">
        <v>51.545999999999999</v>
      </c>
      <c r="G189" s="16">
        <v>1.05</v>
      </c>
      <c r="H189" s="16">
        <f t="shared" si="4"/>
        <v>48.047249999999998</v>
      </c>
      <c r="I189" s="5"/>
      <c r="J189" s="29">
        <v>1538.421</v>
      </c>
      <c r="K189" s="30">
        <v>46.750799999999998</v>
      </c>
      <c r="L189" s="30">
        <v>52.040900000000001</v>
      </c>
      <c r="M189" s="30">
        <v>51.817599999999999</v>
      </c>
      <c r="N189" s="16">
        <v>2.94</v>
      </c>
      <c r="O189" s="16">
        <f t="shared" si="5"/>
        <v>48.045412499999998</v>
      </c>
      <c r="P189" s="7"/>
      <c r="Q189" s="8">
        <f>bdrate(C189:C192,D189:D192,J189:J192,K189:K192)</f>
        <v>2.2369199634960646E-2</v>
      </c>
      <c r="R189" s="8">
        <f>bdrate(C189:C192,E189:E192,J189:J192,L189:L192)</f>
        <v>-0.27362365585042692</v>
      </c>
      <c r="S189" s="8">
        <f>bdrate(C189:C192,F189:F192,J189:J192,M189:M192)</f>
        <v>-0.26608215651703426</v>
      </c>
      <c r="T189" s="25">
        <f>bdrate(C189:C192,H189:H192,J189:J192,O189:O192)</f>
        <v>-4.4410141060909902E-2</v>
      </c>
      <c r="U189" s="28">
        <f t="shared" si="3"/>
        <v>1.7999999999999998</v>
      </c>
    </row>
    <row r="190" spans="2:21" hidden="1" x14ac:dyDescent="0.25">
      <c r="B190" s="9"/>
      <c r="C190" s="31">
        <v>1004.75</v>
      </c>
      <c r="D190" s="32">
        <v>46.146000000000001</v>
      </c>
      <c r="E190" s="32">
        <v>51.069000000000003</v>
      </c>
      <c r="F190" s="32">
        <v>50.905000000000001</v>
      </c>
      <c r="G190" s="18">
        <v>1.32</v>
      </c>
      <c r="H190" s="18">
        <f t="shared" si="4"/>
        <v>47.356250000000003</v>
      </c>
      <c r="I190" s="5"/>
      <c r="J190" s="31">
        <v>1023.0072</v>
      </c>
      <c r="K190" s="32">
        <v>46.0871</v>
      </c>
      <c r="L190" s="32">
        <v>51.485599999999998</v>
      </c>
      <c r="M190" s="32">
        <v>51.276499999999999</v>
      </c>
      <c r="N190" s="18">
        <v>3.6655000000000002</v>
      </c>
      <c r="O190" s="18">
        <f t="shared" si="5"/>
        <v>47.410587499999998</v>
      </c>
      <c r="P190" s="7"/>
      <c r="Q190" s="10"/>
      <c r="R190" s="11"/>
      <c r="S190" s="11"/>
      <c r="T190" s="26"/>
      <c r="U190" s="28">
        <f t="shared" si="3"/>
        <v>1.7768939393939396</v>
      </c>
    </row>
    <row r="191" spans="2:21" hidden="1" x14ac:dyDescent="0.25">
      <c r="B191" s="9"/>
      <c r="C191" s="31">
        <v>601.62</v>
      </c>
      <c r="D191" s="32">
        <v>45.213000000000001</v>
      </c>
      <c r="E191" s="32">
        <v>50.2</v>
      </c>
      <c r="F191" s="32">
        <v>50.131</v>
      </c>
      <c r="G191" s="18">
        <v>1.75</v>
      </c>
      <c r="H191" s="18">
        <f t="shared" si="4"/>
        <v>46.451125000000005</v>
      </c>
      <c r="I191" s="5"/>
      <c r="J191" s="31">
        <v>611.93020000000001</v>
      </c>
      <c r="K191" s="32">
        <v>45.2136</v>
      </c>
      <c r="L191" s="32">
        <v>50.801299999999998</v>
      </c>
      <c r="M191" s="32">
        <v>50.653500000000001</v>
      </c>
      <c r="N191" s="18">
        <v>4.8304999999999998</v>
      </c>
      <c r="O191" s="18">
        <f t="shared" si="5"/>
        <v>46.59205</v>
      </c>
      <c r="P191" s="7"/>
      <c r="Q191" s="10"/>
      <c r="R191" s="11"/>
      <c r="S191" s="11"/>
      <c r="T191" s="26"/>
      <c r="U191" s="28">
        <f t="shared" si="3"/>
        <v>1.7602857142857142</v>
      </c>
    </row>
    <row r="192" spans="2:21" ht="16.5" hidden="1" thickBot="1" x14ac:dyDescent="0.3">
      <c r="B192" s="12"/>
      <c r="C192" s="33">
        <v>301.58999999999997</v>
      </c>
      <c r="D192" s="34">
        <v>43.639000000000003</v>
      </c>
      <c r="E192" s="34">
        <v>48.938000000000002</v>
      </c>
      <c r="F192" s="34">
        <v>49.189</v>
      </c>
      <c r="G192" s="20">
        <v>2.4700000000000002</v>
      </c>
      <c r="H192" s="20">
        <f t="shared" si="4"/>
        <v>44.995125000000002</v>
      </c>
      <c r="I192" s="5"/>
      <c r="J192" s="33">
        <v>300.596</v>
      </c>
      <c r="K192" s="34">
        <v>43.677100000000003</v>
      </c>
      <c r="L192" s="34">
        <v>49.570099999999996</v>
      </c>
      <c r="M192" s="34">
        <v>49.644199999999998</v>
      </c>
      <c r="N192" s="20">
        <v>7.4199000000000002</v>
      </c>
      <c r="O192" s="20">
        <f t="shared" si="5"/>
        <v>45.159612500000001</v>
      </c>
      <c r="P192" s="7"/>
      <c r="Q192" s="13"/>
      <c r="R192" s="14"/>
      <c r="S192" s="14"/>
      <c r="T192" s="27"/>
      <c r="U192" s="28">
        <f t="shared" si="3"/>
        <v>2.0040080971659915</v>
      </c>
    </row>
    <row r="193" spans="1:21" hidden="1" x14ac:dyDescent="0.25">
      <c r="A193" s="6" t="s">
        <v>100</v>
      </c>
      <c r="B193" s="6" t="s">
        <v>77</v>
      </c>
      <c r="C193" s="15">
        <v>759.4</v>
      </c>
      <c r="D193" s="16">
        <v>41.701000000000001</v>
      </c>
      <c r="E193" s="16">
        <v>45.883000000000003</v>
      </c>
      <c r="F193" s="16">
        <v>46.493000000000002</v>
      </c>
      <c r="G193" s="16">
        <v>1.92</v>
      </c>
      <c r="H193" s="16">
        <f t="shared" si="4"/>
        <v>42.822749999999999</v>
      </c>
      <c r="I193" s="5"/>
      <c r="J193" s="15">
        <v>836.43719999999996</v>
      </c>
      <c r="K193" s="16">
        <v>41.854199999999999</v>
      </c>
      <c r="L193" s="16">
        <v>46.475700000000003</v>
      </c>
      <c r="M193" s="16">
        <v>47.0899</v>
      </c>
      <c r="N193" s="16">
        <v>7.2568999999999999</v>
      </c>
      <c r="O193" s="16">
        <f t="shared" si="5"/>
        <v>43.086350000000003</v>
      </c>
      <c r="P193" s="7"/>
      <c r="Q193" s="8">
        <f>bdrate(C193:C196,D193:D196,J193:J196,K193:K196)</f>
        <v>5.9953695077941793E-2</v>
      </c>
      <c r="R193" s="8">
        <f>bdrate(C193:C196,E193:E196,J193:J196,L193:L196)</f>
        <v>-0.1261174947831597</v>
      </c>
      <c r="S193" s="8">
        <f>bdrate(C193:C196,F193:F196,J193:J196,M193:M196)</f>
        <v>-0.12353404347290131</v>
      </c>
      <c r="T193" s="25">
        <f>bdrate(C193:C196,H193:H196,J193:J196,O193:O196)</f>
        <v>1.3553437708407223E-2</v>
      </c>
      <c r="U193" s="28">
        <f t="shared" si="3"/>
        <v>2.7796354166666668</v>
      </c>
    </row>
    <row r="194" spans="1:21" hidden="1" x14ac:dyDescent="0.25">
      <c r="A194" s="9"/>
      <c r="B194" s="9"/>
      <c r="C194" s="17">
        <v>471.24</v>
      </c>
      <c r="D194" s="18">
        <v>39.762999999999998</v>
      </c>
      <c r="E194" s="18">
        <v>44.152999999999999</v>
      </c>
      <c r="F194" s="18">
        <v>44.726999999999997</v>
      </c>
      <c r="G194" s="18">
        <v>2.29</v>
      </c>
      <c r="H194" s="18">
        <f t="shared" si="4"/>
        <v>40.932249999999996</v>
      </c>
      <c r="I194" s="5"/>
      <c r="J194" s="17">
        <v>521.80079999999998</v>
      </c>
      <c r="K194" s="18">
        <v>39.933900000000001</v>
      </c>
      <c r="L194" s="18">
        <v>44.885399999999997</v>
      </c>
      <c r="M194" s="18">
        <v>45.512300000000003</v>
      </c>
      <c r="N194" s="18">
        <v>8.9091000000000005</v>
      </c>
      <c r="O194" s="18">
        <f t="shared" si="5"/>
        <v>41.250137500000001</v>
      </c>
      <c r="P194" s="7"/>
      <c r="Q194" s="10"/>
      <c r="R194" s="11"/>
      <c r="S194" s="11"/>
      <c r="T194" s="26"/>
      <c r="U194" s="28">
        <f t="shared" si="3"/>
        <v>2.8904366812227074</v>
      </c>
    </row>
    <row r="195" spans="1:21" hidden="1" x14ac:dyDescent="0.25">
      <c r="B195" s="9"/>
      <c r="C195" s="17">
        <v>283.72000000000003</v>
      </c>
      <c r="D195" s="18">
        <v>37.597999999999999</v>
      </c>
      <c r="E195" s="18">
        <v>42.183999999999997</v>
      </c>
      <c r="F195" s="18">
        <v>42.723999999999997</v>
      </c>
      <c r="G195" s="18">
        <v>2.82</v>
      </c>
      <c r="H195" s="18">
        <f t="shared" si="4"/>
        <v>38.811999999999998</v>
      </c>
      <c r="I195" s="5"/>
      <c r="J195" s="17">
        <v>310.66860000000003</v>
      </c>
      <c r="K195" s="18">
        <v>37.724200000000003</v>
      </c>
      <c r="L195" s="18">
        <v>43.016800000000003</v>
      </c>
      <c r="M195" s="18">
        <v>43.549599999999998</v>
      </c>
      <c r="N195" s="18">
        <v>11.195399999999999</v>
      </c>
      <c r="O195" s="18">
        <f t="shared" si="5"/>
        <v>39.113950000000003</v>
      </c>
      <c r="P195" s="7"/>
      <c r="Q195" s="10"/>
      <c r="R195" s="11"/>
      <c r="S195" s="11"/>
      <c r="T195" s="26"/>
      <c r="U195" s="28">
        <f t="shared" si="3"/>
        <v>2.9699999999999998</v>
      </c>
    </row>
    <row r="196" spans="1:21" ht="16.5" hidden="1" thickBot="1" x14ac:dyDescent="0.3">
      <c r="B196" s="12"/>
      <c r="C196" s="19">
        <v>142.25</v>
      </c>
      <c r="D196" s="20">
        <v>34.493000000000002</v>
      </c>
      <c r="E196" s="20">
        <v>39.253999999999998</v>
      </c>
      <c r="F196" s="20">
        <v>39.561999999999998</v>
      </c>
      <c r="G196" s="20">
        <v>3.88</v>
      </c>
      <c r="H196" s="20">
        <f t="shared" si="4"/>
        <v>35.72175</v>
      </c>
      <c r="I196" s="5"/>
      <c r="J196" s="19">
        <v>153.03479999999999</v>
      </c>
      <c r="K196" s="20">
        <v>34.625599999999999</v>
      </c>
      <c r="L196" s="20">
        <v>40.694800000000001</v>
      </c>
      <c r="M196" s="20">
        <v>41.06</v>
      </c>
      <c r="N196" s="20">
        <v>15.1837</v>
      </c>
      <c r="O196" s="20">
        <f t="shared" si="5"/>
        <v>36.188549999999999</v>
      </c>
      <c r="P196" s="7"/>
      <c r="Q196" s="13"/>
      <c r="R196" s="14"/>
      <c r="S196" s="14"/>
      <c r="T196" s="27"/>
      <c r="U196" s="28">
        <f t="shared" si="3"/>
        <v>2.9133247422680411</v>
      </c>
    </row>
    <row r="197" spans="1:21" hidden="1" x14ac:dyDescent="0.25">
      <c r="B197" s="6" t="s">
        <v>78</v>
      </c>
      <c r="C197" s="15">
        <v>774.09</v>
      </c>
      <c r="D197" s="16">
        <v>43.180999999999997</v>
      </c>
      <c r="E197" s="16">
        <v>47.811</v>
      </c>
      <c r="F197" s="16">
        <v>48.472999999999999</v>
      </c>
      <c r="G197" s="16">
        <v>2.75</v>
      </c>
      <c r="H197" s="16">
        <f t="shared" si="4"/>
        <v>44.421250000000001</v>
      </c>
      <c r="I197" s="5"/>
      <c r="J197" s="15">
        <v>851.91660000000002</v>
      </c>
      <c r="K197" s="16">
        <v>43.680300000000003</v>
      </c>
      <c r="L197" s="16">
        <v>48.572699999999998</v>
      </c>
      <c r="M197" s="16">
        <v>49.140599999999999</v>
      </c>
      <c r="N197" s="16">
        <v>8.3597999999999999</v>
      </c>
      <c r="O197" s="16">
        <f t="shared" si="5"/>
        <v>44.974387500000006</v>
      </c>
      <c r="P197" s="7"/>
      <c r="Q197" s="8">
        <f>bdrate(C197:C200,D197:D200,J197:J200,K197:K200)</f>
        <v>-0.10434247163442989</v>
      </c>
      <c r="R197" s="8">
        <f>bdrate(C197:C200,E197:E200,J197:J200,L197:L200)</f>
        <v>-0.25033627096829825</v>
      </c>
      <c r="S197" s="8">
        <f>bdrate(C197:C200,F197:F200,J197:J200,M197:M200)</f>
        <v>-0.23396289717031049</v>
      </c>
      <c r="T197" s="25">
        <f>bdrate(C197:C200,H197:H200,J197:J200,O197:O200)</f>
        <v>-0.13751762256757871</v>
      </c>
      <c r="U197" s="28">
        <f t="shared" si="3"/>
        <v>2.0399272727272728</v>
      </c>
    </row>
    <row r="198" spans="1:21" hidden="1" x14ac:dyDescent="0.25">
      <c r="B198" s="9"/>
      <c r="C198" s="17">
        <v>479.24</v>
      </c>
      <c r="D198" s="18">
        <v>41.735999999999997</v>
      </c>
      <c r="E198" s="18">
        <v>46.475000000000001</v>
      </c>
      <c r="F198" s="18">
        <v>47.25</v>
      </c>
      <c r="G198" s="18">
        <v>3.4</v>
      </c>
      <c r="H198" s="18">
        <f t="shared" si="4"/>
        <v>43.017625000000002</v>
      </c>
      <c r="I198" s="5"/>
      <c r="J198" s="17">
        <v>530.57640000000004</v>
      </c>
      <c r="K198" s="18">
        <v>42.391800000000003</v>
      </c>
      <c r="L198" s="18">
        <v>47.498899999999999</v>
      </c>
      <c r="M198" s="18">
        <v>48.192999999999998</v>
      </c>
      <c r="N198" s="18">
        <v>10.2677</v>
      </c>
      <c r="O198" s="18">
        <f t="shared" si="5"/>
        <v>43.755337500000003</v>
      </c>
      <c r="P198" s="7"/>
      <c r="Q198" s="10"/>
      <c r="R198" s="11"/>
      <c r="S198" s="11"/>
      <c r="T198" s="26"/>
      <c r="U198" s="28">
        <f t="shared" si="3"/>
        <v>2.0199117647058822</v>
      </c>
    </row>
    <row r="199" spans="1:21" hidden="1" x14ac:dyDescent="0.25">
      <c r="B199" s="9"/>
      <c r="C199" s="17">
        <v>284.20999999999998</v>
      </c>
      <c r="D199" s="18">
        <v>39.920999999999999</v>
      </c>
      <c r="E199" s="18">
        <v>44.695999999999998</v>
      </c>
      <c r="F199" s="18">
        <v>45.676000000000002</v>
      </c>
      <c r="G199" s="18">
        <v>4.33</v>
      </c>
      <c r="H199" s="18">
        <f t="shared" si="4"/>
        <v>41.237249999999996</v>
      </c>
      <c r="I199" s="5"/>
      <c r="J199" s="17">
        <v>314.05500000000001</v>
      </c>
      <c r="K199" s="18">
        <v>40.695999999999998</v>
      </c>
      <c r="L199" s="18">
        <v>46.036799999999999</v>
      </c>
      <c r="M199" s="18">
        <v>46.813800000000001</v>
      </c>
      <c r="N199" s="18">
        <v>13.223599999999999</v>
      </c>
      <c r="O199" s="18">
        <f t="shared" si="5"/>
        <v>42.128325000000004</v>
      </c>
      <c r="P199" s="7"/>
      <c r="Q199" s="10"/>
      <c r="R199" s="11"/>
      <c r="S199" s="11"/>
      <c r="T199" s="26"/>
      <c r="U199" s="28">
        <f t="shared" si="3"/>
        <v>2.0539491916859118</v>
      </c>
    </row>
    <row r="200" spans="1:21" ht="16.5" hidden="1" thickBot="1" x14ac:dyDescent="0.3">
      <c r="B200" s="12"/>
      <c r="C200" s="19">
        <v>141.37</v>
      </c>
      <c r="D200" s="20">
        <v>36.97</v>
      </c>
      <c r="E200" s="20">
        <v>42.014000000000003</v>
      </c>
      <c r="F200" s="20">
        <v>43.116</v>
      </c>
      <c r="G200" s="20">
        <v>6.16</v>
      </c>
      <c r="H200" s="20">
        <f t="shared" si="4"/>
        <v>38.368749999999999</v>
      </c>
      <c r="I200" s="5"/>
      <c r="J200" s="19">
        <v>154.1832</v>
      </c>
      <c r="K200" s="20">
        <v>37.852400000000003</v>
      </c>
      <c r="L200" s="20">
        <v>43.541699999999999</v>
      </c>
      <c r="M200" s="20">
        <v>44.448999999999998</v>
      </c>
      <c r="N200" s="20">
        <v>18.8537</v>
      </c>
      <c r="O200" s="20">
        <f t="shared" si="5"/>
        <v>39.388137500000006</v>
      </c>
      <c r="P200" s="7"/>
      <c r="Q200" s="13"/>
      <c r="R200" s="14"/>
      <c r="S200" s="14"/>
      <c r="T200" s="27"/>
      <c r="U200" s="28">
        <f t="shared" si="3"/>
        <v>2.0606655844155841</v>
      </c>
    </row>
    <row r="201" spans="1:21" hidden="1" x14ac:dyDescent="0.25">
      <c r="B201" s="6" t="s">
        <v>79</v>
      </c>
      <c r="C201" s="15">
        <v>987.41</v>
      </c>
      <c r="D201" s="16">
        <v>41.548000000000002</v>
      </c>
      <c r="E201" s="16">
        <v>47.722000000000001</v>
      </c>
      <c r="F201" s="16">
        <v>47.423000000000002</v>
      </c>
      <c r="G201" s="16">
        <v>2.86</v>
      </c>
      <c r="H201" s="16">
        <f t="shared" si="4"/>
        <v>43.054124999999999</v>
      </c>
      <c r="I201" s="5"/>
      <c r="J201" s="15">
        <v>1029.5690999999999</v>
      </c>
      <c r="K201" s="16">
        <v>41.716799999999999</v>
      </c>
      <c r="L201" s="16">
        <v>48.110799999999998</v>
      </c>
      <c r="M201" s="16">
        <v>47.702300000000001</v>
      </c>
      <c r="N201" s="16">
        <v>7.1837999999999997</v>
      </c>
      <c r="O201" s="16">
        <f t="shared" si="5"/>
        <v>43.264237499999993</v>
      </c>
      <c r="P201" s="7"/>
      <c r="Q201" s="8">
        <f>bdrate(C201:C204,D201:D204,J201:J204,K201:K204)</f>
        <v>-8.3397962694846894E-2</v>
      </c>
      <c r="R201" s="8">
        <f>bdrate(C201:C204,E201:E204,J201:J204,L201:L204)</f>
        <v>-0.24861260754789927</v>
      </c>
      <c r="S201" s="8">
        <f>bdrate(C201:C204,F201:F204,J201:J204,M201:M204)</f>
        <v>-0.23390100243932599</v>
      </c>
      <c r="T201" s="25">
        <f>bdrate(C201:C204,H201:H204,J201:J204,O201:O204)</f>
        <v>-0.11378349235066254</v>
      </c>
      <c r="U201" s="28">
        <f t="shared" si="3"/>
        <v>1.5118181818181819</v>
      </c>
    </row>
    <row r="202" spans="1:21" hidden="1" x14ac:dyDescent="0.25">
      <c r="B202" s="9"/>
      <c r="C202" s="17">
        <v>589.82000000000005</v>
      </c>
      <c r="D202" s="18">
        <v>40.612000000000002</v>
      </c>
      <c r="E202" s="18">
        <v>47.031999999999996</v>
      </c>
      <c r="F202" s="18">
        <v>46.848999999999997</v>
      </c>
      <c r="G202" s="18">
        <v>3.38</v>
      </c>
      <c r="H202" s="18">
        <f t="shared" si="4"/>
        <v>42.194125</v>
      </c>
      <c r="I202" s="5"/>
      <c r="J202" s="17">
        <v>611.86580000000004</v>
      </c>
      <c r="K202" s="18">
        <v>40.870199999999997</v>
      </c>
      <c r="L202" s="18">
        <v>47.620399999999997</v>
      </c>
      <c r="M202" s="18">
        <v>47.284599999999998</v>
      </c>
      <c r="N202" s="18">
        <v>9.2161000000000008</v>
      </c>
      <c r="O202" s="18">
        <f t="shared" si="5"/>
        <v>42.515774999999998</v>
      </c>
      <c r="P202" s="7"/>
      <c r="Q202" s="10"/>
      <c r="R202" s="11"/>
      <c r="S202" s="11"/>
      <c r="T202" s="26"/>
      <c r="U202" s="28">
        <f t="shared" si="3"/>
        <v>1.7266568047337281</v>
      </c>
    </row>
    <row r="203" spans="1:21" hidden="1" x14ac:dyDescent="0.25">
      <c r="B203" s="9"/>
      <c r="C203" s="17">
        <v>391.36</v>
      </c>
      <c r="D203" s="18">
        <v>39.735999999999997</v>
      </c>
      <c r="E203" s="18">
        <v>46.441000000000003</v>
      </c>
      <c r="F203" s="18">
        <v>46.375999999999998</v>
      </c>
      <c r="G203" s="18">
        <v>3.88</v>
      </c>
      <c r="H203" s="18">
        <f t="shared" si="4"/>
        <v>41.404124999999993</v>
      </c>
      <c r="I203" s="5"/>
      <c r="J203" s="17">
        <v>405.04230000000001</v>
      </c>
      <c r="K203" s="18">
        <v>40.034100000000002</v>
      </c>
      <c r="L203" s="18">
        <v>46.981499999999997</v>
      </c>
      <c r="M203" s="18">
        <v>46.808100000000003</v>
      </c>
      <c r="N203" s="18">
        <v>11.281700000000001</v>
      </c>
      <c r="O203" s="18">
        <f t="shared" si="5"/>
        <v>41.749275000000004</v>
      </c>
      <c r="P203" s="7"/>
      <c r="Q203" s="10"/>
      <c r="R203" s="11"/>
      <c r="S203" s="11"/>
      <c r="T203" s="26"/>
      <c r="U203" s="28">
        <f t="shared" si="3"/>
        <v>1.907654639175258</v>
      </c>
    </row>
    <row r="204" spans="1:21" ht="16.5" hidden="1" thickBot="1" x14ac:dyDescent="0.3">
      <c r="B204" s="12"/>
      <c r="C204" s="19">
        <v>194.19</v>
      </c>
      <c r="D204" s="20">
        <v>37.664999999999999</v>
      </c>
      <c r="E204" s="20">
        <v>45.070999999999998</v>
      </c>
      <c r="F204" s="20">
        <v>45.271000000000001</v>
      </c>
      <c r="G204" s="20">
        <v>4.93</v>
      </c>
      <c r="H204" s="20">
        <f t="shared" si="4"/>
        <v>39.541500000000006</v>
      </c>
      <c r="I204" s="5"/>
      <c r="J204" s="19">
        <v>201.971</v>
      </c>
      <c r="K204" s="20">
        <v>38.035899999999998</v>
      </c>
      <c r="L204" s="20">
        <v>45.507199999999997</v>
      </c>
      <c r="M204" s="20">
        <v>45.546500000000002</v>
      </c>
      <c r="N204" s="20">
        <v>15.9656</v>
      </c>
      <c r="O204" s="20">
        <f t="shared" si="5"/>
        <v>39.908637499999998</v>
      </c>
      <c r="P204" s="7"/>
      <c r="Q204" s="13"/>
      <c r="R204" s="14"/>
      <c r="S204" s="14"/>
      <c r="T204" s="27"/>
      <c r="U204" s="28">
        <f t="shared" si="3"/>
        <v>2.2384584178498987</v>
      </c>
    </row>
    <row r="205" spans="1:21" hidden="1" x14ac:dyDescent="0.25">
      <c r="B205" s="6" t="s">
        <v>80</v>
      </c>
      <c r="C205" s="15">
        <v>1012.54</v>
      </c>
      <c r="D205" s="16">
        <v>40.749000000000002</v>
      </c>
      <c r="E205" s="16">
        <v>46.837000000000003</v>
      </c>
      <c r="F205" s="16">
        <v>46.636000000000003</v>
      </c>
      <c r="G205" s="16">
        <v>1.52</v>
      </c>
      <c r="H205" s="16">
        <f t="shared" si="4"/>
        <v>42.245875000000005</v>
      </c>
      <c r="I205" s="5"/>
      <c r="J205" s="15">
        <v>1031.3894</v>
      </c>
      <c r="K205" s="16">
        <v>40.6068</v>
      </c>
      <c r="L205" s="16">
        <v>47.211199999999998</v>
      </c>
      <c r="M205" s="16">
        <v>46.985500000000002</v>
      </c>
      <c r="N205" s="16">
        <v>5.04</v>
      </c>
      <c r="O205" s="16">
        <f t="shared" si="5"/>
        <v>42.229687500000004</v>
      </c>
      <c r="P205" s="7"/>
      <c r="Q205" s="8">
        <f>bdrate(C205:C208,D205:D208,J205:J208,K205:K208)</f>
        <v>7.4478579295707004E-2</v>
      </c>
      <c r="R205" s="8">
        <f>bdrate(C205:C208,E205:E208,J205:J208,L205:L208)</f>
        <v>-0.23287086765309672</v>
      </c>
      <c r="S205" s="8">
        <f>bdrate(C205:C208,F205:F208,J205:J208,M205:M208)</f>
        <v>-0.24197055665557421</v>
      </c>
      <c r="T205" s="25">
        <f>bdrate(C205:C208,H205:H208,J205:J208,O205:O208)</f>
        <v>1.0578408559716035E-2</v>
      </c>
      <c r="U205" s="28">
        <f t="shared" si="3"/>
        <v>2.3157894736842106</v>
      </c>
    </row>
    <row r="206" spans="1:21" hidden="1" x14ac:dyDescent="0.25">
      <c r="B206" s="9"/>
      <c r="C206" s="17">
        <v>601.97</v>
      </c>
      <c r="D206" s="18">
        <v>39.188000000000002</v>
      </c>
      <c r="E206" s="18">
        <v>45.764000000000003</v>
      </c>
      <c r="F206" s="18">
        <v>45.619</v>
      </c>
      <c r="G206" s="18">
        <v>1.88</v>
      </c>
      <c r="H206" s="18">
        <f t="shared" si="4"/>
        <v>40.813874999999996</v>
      </c>
      <c r="I206" s="5"/>
      <c r="J206" s="17">
        <v>615.22940000000006</v>
      </c>
      <c r="K206" s="18">
        <v>39.036799999999999</v>
      </c>
      <c r="L206" s="18">
        <v>46.280700000000003</v>
      </c>
      <c r="M206" s="18">
        <v>46.139200000000002</v>
      </c>
      <c r="N206" s="18">
        <v>6.4782999999999999</v>
      </c>
      <c r="O206" s="18">
        <f t="shared" si="5"/>
        <v>40.830087500000005</v>
      </c>
      <c r="P206" s="7"/>
      <c r="Q206" s="10"/>
      <c r="R206" s="11"/>
      <c r="S206" s="11"/>
      <c r="T206" s="26"/>
      <c r="U206" s="28">
        <f t="shared" si="3"/>
        <v>2.445904255319149</v>
      </c>
    </row>
    <row r="207" spans="1:21" hidden="1" x14ac:dyDescent="0.25">
      <c r="B207" s="9"/>
      <c r="C207" s="17">
        <v>398.73</v>
      </c>
      <c r="D207" s="18">
        <v>37.872999999999998</v>
      </c>
      <c r="E207" s="18">
        <v>44.787999999999997</v>
      </c>
      <c r="F207" s="18">
        <v>44.661000000000001</v>
      </c>
      <c r="G207" s="18">
        <v>2.2599999999999998</v>
      </c>
      <c r="H207" s="18">
        <f t="shared" si="4"/>
        <v>39.585875000000001</v>
      </c>
      <c r="I207" s="5"/>
      <c r="J207" s="17">
        <v>407.76080000000002</v>
      </c>
      <c r="K207" s="18">
        <v>37.713299999999997</v>
      </c>
      <c r="L207" s="18">
        <v>45.461799999999997</v>
      </c>
      <c r="M207" s="18">
        <v>45.345599999999997</v>
      </c>
      <c r="N207" s="18">
        <v>7.9024999999999999</v>
      </c>
      <c r="O207" s="18">
        <f t="shared" si="5"/>
        <v>39.635899999999992</v>
      </c>
      <c r="P207" s="7"/>
      <c r="Q207" s="10"/>
      <c r="R207" s="11"/>
      <c r="S207" s="11"/>
      <c r="T207" s="26"/>
      <c r="U207" s="28">
        <f t="shared" si="3"/>
        <v>2.4966814159292037</v>
      </c>
    </row>
    <row r="208" spans="1:21" ht="16.5" hidden="1" thickBot="1" x14ac:dyDescent="0.3">
      <c r="B208" s="12"/>
      <c r="C208" s="19">
        <v>196.92</v>
      </c>
      <c r="D208" s="20">
        <v>35.465000000000003</v>
      </c>
      <c r="E208" s="20">
        <v>43.165999999999997</v>
      </c>
      <c r="F208" s="20">
        <v>42.99</v>
      </c>
      <c r="G208" s="20">
        <v>3.19</v>
      </c>
      <c r="H208" s="20">
        <f t="shared" si="4"/>
        <v>37.368250000000003</v>
      </c>
      <c r="I208" s="5"/>
      <c r="J208" s="19">
        <v>202.3897</v>
      </c>
      <c r="K208" s="20">
        <v>35.276000000000003</v>
      </c>
      <c r="L208" s="20">
        <v>43.984900000000003</v>
      </c>
      <c r="M208" s="20">
        <v>43.874600000000001</v>
      </c>
      <c r="N208" s="20">
        <v>11.068899999999999</v>
      </c>
      <c r="O208" s="20">
        <f t="shared" si="5"/>
        <v>37.439437500000004</v>
      </c>
      <c r="P208" s="7"/>
      <c r="Q208" s="13"/>
      <c r="R208" s="14"/>
      <c r="S208" s="14"/>
      <c r="T208" s="27"/>
      <c r="U208" s="28">
        <f t="shared" si="3"/>
        <v>2.4698746081504703</v>
      </c>
    </row>
    <row r="209" spans="2:21" hidden="1" x14ac:dyDescent="0.25">
      <c r="B209" s="6" t="s">
        <v>81</v>
      </c>
      <c r="C209" s="15">
        <v>1196.33</v>
      </c>
      <c r="D209" s="16">
        <v>44.1</v>
      </c>
      <c r="E209" s="16">
        <v>45.359000000000002</v>
      </c>
      <c r="F209" s="16">
        <v>45.787999999999997</v>
      </c>
      <c r="G209" s="16">
        <v>1.3</v>
      </c>
      <c r="H209" s="16">
        <f t="shared" si="4"/>
        <v>44.468375000000002</v>
      </c>
      <c r="I209" s="5"/>
      <c r="J209" s="15">
        <v>1072.9952000000001</v>
      </c>
      <c r="K209" s="16">
        <v>43.170400000000001</v>
      </c>
      <c r="L209" s="16">
        <v>44.944200000000002</v>
      </c>
      <c r="M209" s="16">
        <v>45.3748</v>
      </c>
      <c r="N209" s="16">
        <v>6.1749000000000001</v>
      </c>
      <c r="O209" s="16">
        <f t="shared" si="5"/>
        <v>43.667675000000003</v>
      </c>
      <c r="P209" s="7"/>
      <c r="Q209" s="8">
        <f>bdrate(C209:C212,D209:D212,J209:J212,K209:K212)</f>
        <v>7.9147751529396349E-2</v>
      </c>
      <c r="R209" s="8">
        <f>bdrate(C209:C212,E209:E212,J209:J212,L209:L212)</f>
        <v>-4.0848060645432782E-2</v>
      </c>
      <c r="S209" s="8">
        <f>bdrate(C209:C212,F209:F212,J209:J212,M209:M212)</f>
        <v>-4.1560265623956649E-2</v>
      </c>
      <c r="T209" s="25">
        <f>bdrate(C209:C212,H209:H212,J209:J212,O209:O212)</f>
        <v>5.479367571362026E-2</v>
      </c>
      <c r="U209" s="28">
        <f t="shared" si="3"/>
        <v>3.7499230769230771</v>
      </c>
    </row>
    <row r="210" spans="2:21" hidden="1" x14ac:dyDescent="0.25">
      <c r="B210" s="9"/>
      <c r="C210" s="17">
        <v>724.49</v>
      </c>
      <c r="D210" s="18">
        <v>41.88</v>
      </c>
      <c r="E210" s="18">
        <v>43.725999999999999</v>
      </c>
      <c r="F210" s="18">
        <v>44.112000000000002</v>
      </c>
      <c r="G210" s="18">
        <v>1.54</v>
      </c>
      <c r="H210" s="18">
        <f t="shared" si="4"/>
        <v>42.389750000000006</v>
      </c>
      <c r="I210" s="5"/>
      <c r="J210" s="17">
        <v>643.11400000000003</v>
      </c>
      <c r="K210" s="18">
        <v>40.9497</v>
      </c>
      <c r="L210" s="18">
        <v>43.425600000000003</v>
      </c>
      <c r="M210" s="18">
        <v>43.838000000000001</v>
      </c>
      <c r="N210" s="18">
        <v>7.4466999999999999</v>
      </c>
      <c r="O210" s="18">
        <f t="shared" si="5"/>
        <v>41.620224999999998</v>
      </c>
      <c r="P210" s="7"/>
      <c r="Q210" s="10"/>
      <c r="R210" s="11"/>
      <c r="S210" s="11"/>
      <c r="T210" s="26"/>
      <c r="U210" s="28">
        <f t="shared" si="3"/>
        <v>3.8355194805194803</v>
      </c>
    </row>
    <row r="211" spans="2:21" hidden="1" x14ac:dyDescent="0.25">
      <c r="B211" s="9"/>
      <c r="C211" s="17">
        <v>480.41</v>
      </c>
      <c r="D211" s="18">
        <v>40.002000000000002</v>
      </c>
      <c r="E211" s="18">
        <v>42.353000000000002</v>
      </c>
      <c r="F211" s="18">
        <v>42.731999999999999</v>
      </c>
      <c r="G211" s="18">
        <v>1.79</v>
      </c>
      <c r="H211" s="18">
        <f t="shared" si="4"/>
        <v>40.637124999999997</v>
      </c>
      <c r="I211" s="5"/>
      <c r="J211" s="17">
        <v>425.40359999999998</v>
      </c>
      <c r="K211" s="18">
        <v>39.123399999999997</v>
      </c>
      <c r="L211" s="18">
        <v>42.148299999999999</v>
      </c>
      <c r="M211" s="18">
        <v>42.526899999999998</v>
      </c>
      <c r="N211" s="18">
        <v>8.7835999999999999</v>
      </c>
      <c r="O211" s="18">
        <f t="shared" si="5"/>
        <v>39.926949999999998</v>
      </c>
      <c r="P211" s="7"/>
      <c r="Q211" s="10"/>
      <c r="R211" s="11"/>
      <c r="S211" s="11"/>
      <c r="T211" s="26"/>
      <c r="U211" s="28">
        <f t="shared" si="3"/>
        <v>3.9070391061452514</v>
      </c>
    </row>
    <row r="212" spans="2:21" ht="16.5" hidden="1" thickBot="1" x14ac:dyDescent="0.3">
      <c r="B212" s="12"/>
      <c r="C212" s="19">
        <v>235.86</v>
      </c>
      <c r="D212" s="20">
        <v>36.631</v>
      </c>
      <c r="E212" s="20">
        <v>40.029000000000003</v>
      </c>
      <c r="F212" s="20">
        <v>40.372999999999998</v>
      </c>
      <c r="G212" s="20">
        <v>2.37</v>
      </c>
      <c r="H212" s="20">
        <f t="shared" si="4"/>
        <v>37.523499999999999</v>
      </c>
      <c r="I212" s="5"/>
      <c r="J212" s="19">
        <v>209.80959999999999</v>
      </c>
      <c r="K212" s="20">
        <v>35.806399999999996</v>
      </c>
      <c r="L212" s="20">
        <v>39.842300000000002</v>
      </c>
      <c r="M212" s="20">
        <v>40.121499999999997</v>
      </c>
      <c r="N212" s="20">
        <v>11.679500000000001</v>
      </c>
      <c r="O212" s="20">
        <f t="shared" si="5"/>
        <v>36.850274999999996</v>
      </c>
      <c r="P212" s="7"/>
      <c r="Q212" s="13"/>
      <c r="R212" s="14"/>
      <c r="S212" s="14"/>
      <c r="T212" s="27"/>
      <c r="U212" s="28">
        <f t="shared" si="3"/>
        <v>3.9280590717299577</v>
      </c>
    </row>
    <row r="213" spans="2:21" hidden="1" x14ac:dyDescent="0.25">
      <c r="B213" s="6" t="s">
        <v>82</v>
      </c>
      <c r="C213" s="29">
        <v>959.09</v>
      </c>
      <c r="D213" s="30">
        <v>41.014000000000003</v>
      </c>
      <c r="E213" s="30">
        <v>44.256</v>
      </c>
      <c r="F213" s="30">
        <v>45.448</v>
      </c>
      <c r="G213" s="16">
        <v>2.3199999999999998</v>
      </c>
      <c r="H213" s="16">
        <f t="shared" si="4"/>
        <v>41.973500000000001</v>
      </c>
      <c r="I213" s="5"/>
      <c r="J213" s="29">
        <v>1040.3552</v>
      </c>
      <c r="K213" s="30">
        <v>41.254100000000001</v>
      </c>
      <c r="L213" s="30">
        <v>44.420499999999997</v>
      </c>
      <c r="M213" s="30">
        <v>45.6965</v>
      </c>
      <c r="N213" s="16">
        <v>7.1889000000000003</v>
      </c>
      <c r="O213" s="16">
        <f t="shared" si="5"/>
        <v>42.205200000000005</v>
      </c>
      <c r="P213" s="7"/>
      <c r="Q213" s="8">
        <f>bdrate(C213:C216,D213:D216,J213:J216,K213:K216)</f>
        <v>3.2276434101700557E-2</v>
      </c>
      <c r="R213" s="8">
        <f>bdrate(C213:C216,E213:E216,J213:J216,L213:L216)</f>
        <v>-6.5773907152250288E-2</v>
      </c>
      <c r="S213" s="8">
        <f>bdrate(C213:C216,F213:F216,J213:J216,M213:M216)</f>
        <v>-0.10212837417959264</v>
      </c>
      <c r="T213" s="25">
        <f>bdrate(C213:C216,H213:H216,J213:J216,O213:O216)</f>
        <v>8.3143446792883768E-3</v>
      </c>
      <c r="U213" s="28">
        <f t="shared" si="3"/>
        <v>2.0986637931034484</v>
      </c>
    </row>
    <row r="214" spans="2:21" hidden="1" x14ac:dyDescent="0.25">
      <c r="B214" s="9"/>
      <c r="C214" s="31">
        <v>575.84</v>
      </c>
      <c r="D214" s="32">
        <v>39.966999999999999</v>
      </c>
      <c r="E214" s="32">
        <v>43.517000000000003</v>
      </c>
      <c r="F214" s="32">
        <v>44.534999999999997</v>
      </c>
      <c r="G214" s="18">
        <v>2.85</v>
      </c>
      <c r="H214" s="18">
        <f t="shared" si="4"/>
        <v>40.981750000000005</v>
      </c>
      <c r="I214" s="5"/>
      <c r="J214" s="31">
        <v>626.82039999999995</v>
      </c>
      <c r="K214" s="32">
        <v>40.116300000000003</v>
      </c>
      <c r="L214" s="32">
        <v>43.737499999999997</v>
      </c>
      <c r="M214" s="32">
        <v>44.901800000000001</v>
      </c>
      <c r="N214" s="18">
        <v>9.1986000000000008</v>
      </c>
      <c r="O214" s="18">
        <f t="shared" si="5"/>
        <v>41.167137500000003</v>
      </c>
      <c r="P214" s="7"/>
      <c r="Q214" s="10"/>
      <c r="R214" s="11"/>
      <c r="S214" s="11"/>
      <c r="T214" s="26"/>
      <c r="U214" s="28">
        <f t="shared" si="3"/>
        <v>2.2275789473684213</v>
      </c>
    </row>
    <row r="215" spans="2:21" hidden="1" x14ac:dyDescent="0.25">
      <c r="B215" s="9"/>
      <c r="C215" s="31">
        <v>384.57</v>
      </c>
      <c r="D215" s="32">
        <v>38.988</v>
      </c>
      <c r="E215" s="32">
        <v>42.826999999999998</v>
      </c>
      <c r="F215" s="32">
        <v>43.731999999999999</v>
      </c>
      <c r="G215" s="18">
        <v>3.33</v>
      </c>
      <c r="H215" s="18">
        <f t="shared" si="4"/>
        <v>40.060874999999996</v>
      </c>
      <c r="I215" s="5"/>
      <c r="J215" s="31">
        <v>406.80200000000002</v>
      </c>
      <c r="K215" s="32">
        <v>39.030299999999997</v>
      </c>
      <c r="L215" s="32">
        <v>43.057200000000002</v>
      </c>
      <c r="M215" s="32">
        <v>44.083199999999998</v>
      </c>
      <c r="N215" s="18">
        <v>11.4726</v>
      </c>
      <c r="O215" s="18">
        <f t="shared" si="5"/>
        <v>40.165274999999994</v>
      </c>
      <c r="P215" s="7"/>
      <c r="Q215" s="10"/>
      <c r="R215" s="11"/>
      <c r="S215" s="11"/>
      <c r="T215" s="26"/>
      <c r="U215" s="28">
        <f t="shared" si="3"/>
        <v>2.4452252252252253</v>
      </c>
    </row>
    <row r="216" spans="2:21" ht="16.5" hidden="1" thickBot="1" x14ac:dyDescent="0.3">
      <c r="B216" s="12"/>
      <c r="C216" s="33">
        <v>192.67</v>
      </c>
      <c r="D216" s="34">
        <v>36.768999999999998</v>
      </c>
      <c r="E216" s="34">
        <v>41.249000000000002</v>
      </c>
      <c r="F216" s="34">
        <v>41.953000000000003</v>
      </c>
      <c r="G216" s="20">
        <v>4.43</v>
      </c>
      <c r="H216" s="20">
        <f t="shared" si="4"/>
        <v>37.977000000000004</v>
      </c>
      <c r="I216" s="5"/>
      <c r="J216" s="33">
        <v>199.40719999999999</v>
      </c>
      <c r="K216" s="34">
        <v>36.727200000000003</v>
      </c>
      <c r="L216" s="34">
        <v>41.541800000000002</v>
      </c>
      <c r="M216" s="34">
        <v>42.349600000000002</v>
      </c>
      <c r="N216" s="20">
        <v>16.169699999999999</v>
      </c>
      <c r="O216" s="20">
        <f t="shared" si="5"/>
        <v>38.031825000000005</v>
      </c>
      <c r="P216" s="7"/>
      <c r="Q216" s="13"/>
      <c r="R216" s="14"/>
      <c r="S216" s="14"/>
      <c r="T216" s="27"/>
      <c r="U216" s="28">
        <f t="shared" si="3"/>
        <v>2.6500451467268622</v>
      </c>
    </row>
    <row r="217" spans="2:21" hidden="1" x14ac:dyDescent="0.25">
      <c r="B217" s="6" t="s">
        <v>83</v>
      </c>
      <c r="C217" s="15">
        <v>1141.96</v>
      </c>
      <c r="D217" s="16">
        <v>43.948999999999998</v>
      </c>
      <c r="E217" s="16">
        <v>46.018000000000001</v>
      </c>
      <c r="F217" s="16">
        <v>46.033999999999999</v>
      </c>
      <c r="G217" s="16">
        <v>1.19</v>
      </c>
      <c r="H217" s="16">
        <f t="shared" si="4"/>
        <v>44.468249999999998</v>
      </c>
      <c r="I217" s="5"/>
      <c r="J217" s="15">
        <v>1188.5171</v>
      </c>
      <c r="K217" s="16">
        <v>44.066800000000001</v>
      </c>
      <c r="L217" s="16">
        <v>46.4129</v>
      </c>
      <c r="M217" s="16">
        <v>46.375</v>
      </c>
      <c r="N217" s="16">
        <v>4.0091999999999999</v>
      </c>
      <c r="O217" s="16">
        <f t="shared" si="5"/>
        <v>44.648587499999998</v>
      </c>
      <c r="P217" s="7"/>
      <c r="Q217" s="8">
        <f>bdrate(C217:C220,D217:D220,J217:J220,K217:K220)</f>
        <v>-5.4594082654808807E-2</v>
      </c>
      <c r="R217" s="8">
        <f>bdrate(C217:C220,E217:E220,J217:J220,L217:L220)</f>
        <v>-0.24145068184919583</v>
      </c>
      <c r="S217" s="8">
        <f>bdrate(C217:C220,F217:F220,J217:J220,M217:M220)</f>
        <v>-0.22689646875634906</v>
      </c>
      <c r="T217" s="25">
        <f>bdrate(C217:C220,H217:H220,J217:J220,O217:O220)</f>
        <v>-8.6501525779999366E-2</v>
      </c>
      <c r="U217" s="28">
        <f t="shared" si="3"/>
        <v>2.3690756302521008</v>
      </c>
    </row>
    <row r="218" spans="2:21" hidden="1" x14ac:dyDescent="0.25">
      <c r="B218" s="9"/>
      <c r="C218" s="17">
        <v>773.99</v>
      </c>
      <c r="D218" s="18">
        <v>42.368000000000002</v>
      </c>
      <c r="E218" s="18">
        <v>44.99</v>
      </c>
      <c r="F218" s="18">
        <v>45.033000000000001</v>
      </c>
      <c r="G218" s="18">
        <v>1.38</v>
      </c>
      <c r="H218" s="18">
        <f t="shared" si="4"/>
        <v>43.028875000000006</v>
      </c>
      <c r="I218" s="5"/>
      <c r="J218" s="17">
        <v>786.9171</v>
      </c>
      <c r="K218" s="18">
        <v>42.569299999999998</v>
      </c>
      <c r="L218" s="18">
        <v>45.5886</v>
      </c>
      <c r="M218" s="18">
        <v>45.573999999999998</v>
      </c>
      <c r="N218" s="18">
        <v>4.7785000000000002</v>
      </c>
      <c r="O218" s="18">
        <f t="shared" si="5"/>
        <v>43.322299999999998</v>
      </c>
      <c r="P218" s="7"/>
      <c r="Q218" s="10"/>
      <c r="R218" s="11"/>
      <c r="S218" s="11"/>
      <c r="T218" s="26"/>
      <c r="U218" s="28">
        <f t="shared" si="3"/>
        <v>2.4626811594202902</v>
      </c>
    </row>
    <row r="219" spans="2:21" hidden="1" x14ac:dyDescent="0.25">
      <c r="B219" s="9"/>
      <c r="C219" s="17">
        <v>488.28</v>
      </c>
      <c r="D219" s="18">
        <v>40.372999999999998</v>
      </c>
      <c r="E219" s="18">
        <v>43.758000000000003</v>
      </c>
      <c r="F219" s="18">
        <v>43.820999999999998</v>
      </c>
      <c r="G219" s="18">
        <v>1.66</v>
      </c>
      <c r="H219" s="18">
        <f t="shared" si="4"/>
        <v>41.227125000000001</v>
      </c>
      <c r="I219" s="5"/>
      <c r="J219" s="17">
        <v>491.10109999999997</v>
      </c>
      <c r="K219" s="18">
        <v>40.706000000000003</v>
      </c>
      <c r="L219" s="18">
        <v>44.563800000000001</v>
      </c>
      <c r="M219" s="18">
        <v>44.566400000000002</v>
      </c>
      <c r="N219" s="18">
        <v>5.9169999999999998</v>
      </c>
      <c r="O219" s="18">
        <f t="shared" si="5"/>
        <v>41.670774999999999</v>
      </c>
      <c r="P219" s="7"/>
      <c r="Q219" s="10"/>
      <c r="R219" s="11"/>
      <c r="S219" s="11"/>
      <c r="T219" s="26"/>
      <c r="U219" s="28">
        <f t="shared" si="3"/>
        <v>2.564457831325301</v>
      </c>
    </row>
    <row r="220" spans="2:21" ht="16.5" hidden="1" thickBot="1" x14ac:dyDescent="0.3">
      <c r="B220" s="12"/>
      <c r="C220" s="19">
        <v>295.70999999999998</v>
      </c>
      <c r="D220" s="20">
        <v>38.06</v>
      </c>
      <c r="E220" s="20">
        <v>42.381</v>
      </c>
      <c r="F220" s="20">
        <v>42.454999999999998</v>
      </c>
      <c r="G220" s="20">
        <v>2.0499999999999998</v>
      </c>
      <c r="H220" s="20">
        <f t="shared" si="4"/>
        <v>39.149499999999996</v>
      </c>
      <c r="I220" s="5"/>
      <c r="J220" s="19">
        <v>294.6275</v>
      </c>
      <c r="K220" s="20">
        <v>38.534999999999997</v>
      </c>
      <c r="L220" s="20">
        <v>43.329799999999999</v>
      </c>
      <c r="M220" s="20">
        <v>43.358699999999999</v>
      </c>
      <c r="N220" s="20">
        <v>7.4745999999999997</v>
      </c>
      <c r="O220" s="20">
        <f t="shared" si="5"/>
        <v>39.737312499999994</v>
      </c>
      <c r="P220" s="7"/>
      <c r="Q220" s="13"/>
      <c r="R220" s="14"/>
      <c r="S220" s="14"/>
      <c r="T220" s="27"/>
      <c r="U220" s="28">
        <f t="shared" si="3"/>
        <v>2.6461463414634148</v>
      </c>
    </row>
    <row r="221" spans="2:21" hidden="1" x14ac:dyDescent="0.25">
      <c r="B221" s="6" t="s">
        <v>84</v>
      </c>
      <c r="C221" s="15">
        <v>1601.2</v>
      </c>
      <c r="D221" s="16">
        <v>49.665999999999997</v>
      </c>
      <c r="E221" s="16">
        <v>51.582999999999998</v>
      </c>
      <c r="F221" s="16">
        <v>51.728000000000002</v>
      </c>
      <c r="G221" s="16">
        <v>1.57</v>
      </c>
      <c r="H221" s="16">
        <f t="shared" si="4"/>
        <v>50.163374999999995</v>
      </c>
      <c r="I221" s="5"/>
      <c r="J221" s="15">
        <v>1640.6729</v>
      </c>
      <c r="K221" s="16">
        <v>49.475000000000001</v>
      </c>
      <c r="L221" s="16">
        <v>51.641500000000001</v>
      </c>
      <c r="M221" s="16">
        <v>51.801000000000002</v>
      </c>
      <c r="N221" s="16">
        <v>4.4715999999999996</v>
      </c>
      <c r="O221" s="16">
        <f t="shared" si="5"/>
        <v>50.036562500000002</v>
      </c>
      <c r="P221" s="7"/>
      <c r="Q221" s="8">
        <f>bdrate(C221:C224,D221:D224,J221:J224,K221:K224)</f>
        <v>4.8241061468700996E-2</v>
      </c>
      <c r="R221" s="8">
        <f>bdrate(C221:C224,E221:E224,J221:J224,L221:L224)</f>
        <v>-2.809367984742428E-2</v>
      </c>
      <c r="S221" s="8">
        <f>bdrate(C221:C224,F221:F224,J221:J224,M221:M224)</f>
        <v>-3.2928195363330026E-2</v>
      </c>
      <c r="T221" s="25">
        <f>bdrate(C221:C224,H221:H224,J221:J224,O221:O224)</f>
        <v>2.9943996424246722E-2</v>
      </c>
      <c r="U221" s="28">
        <f t="shared" si="3"/>
        <v>1.8481528662420377</v>
      </c>
    </row>
    <row r="222" spans="2:21" hidden="1" x14ac:dyDescent="0.25">
      <c r="B222" s="9"/>
      <c r="C222" s="17">
        <v>1074.6600000000001</v>
      </c>
      <c r="D222" s="18">
        <v>47.543999999999997</v>
      </c>
      <c r="E222" s="18">
        <v>49.631</v>
      </c>
      <c r="F222" s="18">
        <v>49.822000000000003</v>
      </c>
      <c r="G222" s="18">
        <v>1.85</v>
      </c>
      <c r="H222" s="18">
        <f t="shared" si="4"/>
        <v>48.089624999999998</v>
      </c>
      <c r="I222" s="5"/>
      <c r="J222" s="17">
        <v>1076.6741999999999</v>
      </c>
      <c r="K222" s="18">
        <v>47.449399999999997</v>
      </c>
      <c r="L222" s="18">
        <v>49.848599999999998</v>
      </c>
      <c r="M222" s="18">
        <v>50.058300000000003</v>
      </c>
      <c r="N222" s="18">
        <v>5.4291999999999998</v>
      </c>
      <c r="O222" s="18">
        <f t="shared" si="5"/>
        <v>48.075412499999999</v>
      </c>
      <c r="P222" s="7"/>
      <c r="Q222" s="10"/>
      <c r="R222" s="11"/>
      <c r="S222" s="11"/>
      <c r="T222" s="26"/>
      <c r="U222" s="28">
        <f t="shared" si="3"/>
        <v>1.9347027027027024</v>
      </c>
    </row>
    <row r="223" spans="2:21" hidden="1" x14ac:dyDescent="0.25">
      <c r="B223" s="9"/>
      <c r="C223" s="17">
        <v>648</v>
      </c>
      <c r="D223" s="18">
        <v>44.889000000000003</v>
      </c>
      <c r="E223" s="18">
        <v>47.182000000000002</v>
      </c>
      <c r="F223" s="18">
        <v>47.433999999999997</v>
      </c>
      <c r="G223" s="18">
        <v>2.27</v>
      </c>
      <c r="H223" s="18">
        <f t="shared" si="4"/>
        <v>45.493750000000006</v>
      </c>
      <c r="I223" s="5"/>
      <c r="J223" s="17">
        <v>646.1671</v>
      </c>
      <c r="K223" s="18">
        <v>44.5563</v>
      </c>
      <c r="L223" s="18">
        <v>47.295400000000001</v>
      </c>
      <c r="M223" s="18">
        <v>47.560400000000001</v>
      </c>
      <c r="N223" s="18">
        <v>6.6622000000000003</v>
      </c>
      <c r="O223" s="18">
        <f t="shared" si="5"/>
        <v>45.2742</v>
      </c>
      <c r="P223" s="7"/>
      <c r="Q223" s="10"/>
      <c r="R223" s="11"/>
      <c r="S223" s="11"/>
      <c r="T223" s="26"/>
      <c r="U223" s="28">
        <f t="shared" si="3"/>
        <v>1.9348898678414099</v>
      </c>
    </row>
    <row r="224" spans="2:21" ht="16.5" hidden="1" thickBot="1" x14ac:dyDescent="0.3">
      <c r="B224" s="12"/>
      <c r="C224" s="19">
        <v>322.86</v>
      </c>
      <c r="D224" s="20">
        <v>41.195</v>
      </c>
      <c r="E224" s="20">
        <v>43.969000000000001</v>
      </c>
      <c r="F224" s="20">
        <v>44.363999999999997</v>
      </c>
      <c r="G224" s="20">
        <v>2.99</v>
      </c>
      <c r="H224" s="20">
        <f t="shared" si="4"/>
        <v>41.937874999999998</v>
      </c>
      <c r="I224" s="5"/>
      <c r="J224" s="19">
        <v>322.16770000000002</v>
      </c>
      <c r="K224" s="20">
        <v>40.901299999999999</v>
      </c>
      <c r="L224" s="20">
        <v>44.079599999999999</v>
      </c>
      <c r="M224" s="20">
        <v>44.505400000000002</v>
      </c>
      <c r="N224" s="20">
        <v>8.8202999999999996</v>
      </c>
      <c r="O224" s="20">
        <f t="shared" si="5"/>
        <v>41.749099999999999</v>
      </c>
      <c r="P224" s="7"/>
      <c r="Q224" s="13"/>
      <c r="R224" s="14"/>
      <c r="S224" s="14"/>
      <c r="T224" s="27"/>
      <c r="U224" s="28">
        <f t="shared" si="3"/>
        <v>1.9499331103678925</v>
      </c>
    </row>
    <row r="225" spans="2:21" hidden="1" x14ac:dyDescent="0.25">
      <c r="B225" s="6" t="s">
        <v>85</v>
      </c>
      <c r="C225" s="15">
        <v>1408.75</v>
      </c>
      <c r="D225" s="16">
        <v>48.548999999999999</v>
      </c>
      <c r="E225" s="16">
        <v>50.133000000000003</v>
      </c>
      <c r="F225" s="16">
        <v>50.466000000000001</v>
      </c>
      <c r="G225" s="16">
        <v>1.84</v>
      </c>
      <c r="H225" s="16">
        <f t="shared" si="4"/>
        <v>48.986624999999997</v>
      </c>
      <c r="I225" s="5"/>
      <c r="J225" s="15">
        <v>1575.2330999999999</v>
      </c>
      <c r="K225" s="16">
        <v>48.833799999999997</v>
      </c>
      <c r="L225" s="16">
        <v>50.690800000000003</v>
      </c>
      <c r="M225" s="16">
        <v>51.0349</v>
      </c>
      <c r="N225" s="16">
        <v>4.875</v>
      </c>
      <c r="O225" s="16">
        <f t="shared" si="5"/>
        <v>49.3410625</v>
      </c>
      <c r="P225" s="7"/>
      <c r="Q225" s="8">
        <f>bdrate(C225:C228,D225:D228,J225:J228,K225:K228)</f>
        <v>7.2807541625701688E-2</v>
      </c>
      <c r="R225" s="8">
        <f>bdrate(C225:C228,E225:E228,J225:J228,L225:L228)</f>
        <v>-1.1759056376057342E-2</v>
      </c>
      <c r="S225" s="8">
        <f>bdrate(C225:C228,F225:F228,J225:J228,M225:M228)</f>
        <v>-1.1884876404835931E-2</v>
      </c>
      <c r="T225" s="25">
        <f>bdrate(C225:C228,H225:H228,J225:J228,O225:O228)</f>
        <v>5.2581614225466033E-2</v>
      </c>
      <c r="U225" s="28">
        <f t="shared" si="3"/>
        <v>1.6494565217391304</v>
      </c>
    </row>
    <row r="226" spans="2:21" hidden="1" x14ac:dyDescent="0.25">
      <c r="B226" s="9"/>
      <c r="C226" s="17">
        <v>932.93</v>
      </c>
      <c r="D226" s="18">
        <v>46.491</v>
      </c>
      <c r="E226" s="18">
        <v>48.238999999999997</v>
      </c>
      <c r="F226" s="18">
        <v>48.506999999999998</v>
      </c>
      <c r="G226" s="18">
        <v>2.19</v>
      </c>
      <c r="H226" s="18">
        <f t="shared" si="4"/>
        <v>46.961500000000001</v>
      </c>
      <c r="I226" s="5"/>
      <c r="J226" s="17">
        <v>1041.1957</v>
      </c>
      <c r="K226" s="18">
        <v>46.746000000000002</v>
      </c>
      <c r="L226" s="18">
        <v>48.816600000000001</v>
      </c>
      <c r="M226" s="18">
        <v>49.113599999999998</v>
      </c>
      <c r="N226" s="18">
        <v>5.7725</v>
      </c>
      <c r="O226" s="18">
        <f t="shared" si="5"/>
        <v>47.300775000000002</v>
      </c>
      <c r="P226" s="7"/>
      <c r="Q226" s="10"/>
      <c r="R226" s="11"/>
      <c r="S226" s="11"/>
      <c r="T226" s="26"/>
      <c r="U226" s="28">
        <f t="shared" si="3"/>
        <v>1.6358447488584476</v>
      </c>
    </row>
    <row r="227" spans="2:21" hidden="1" x14ac:dyDescent="0.25">
      <c r="B227" s="9"/>
      <c r="C227" s="17">
        <v>555.08000000000004</v>
      </c>
      <c r="D227" s="18">
        <v>43.953000000000003</v>
      </c>
      <c r="E227" s="18">
        <v>45.938000000000002</v>
      </c>
      <c r="F227" s="18">
        <v>46.11</v>
      </c>
      <c r="G227" s="18">
        <v>2.67</v>
      </c>
      <c r="H227" s="18">
        <f t="shared" si="4"/>
        <v>44.470750000000002</v>
      </c>
      <c r="I227" s="5"/>
      <c r="J227" s="17">
        <v>629.50969999999995</v>
      </c>
      <c r="K227" s="18">
        <v>44.160499999999999</v>
      </c>
      <c r="L227" s="18">
        <v>46.494599999999998</v>
      </c>
      <c r="M227" s="18">
        <v>46.686</v>
      </c>
      <c r="N227" s="18">
        <v>6.8956999999999997</v>
      </c>
      <c r="O227" s="18">
        <f t="shared" si="5"/>
        <v>44.767949999999992</v>
      </c>
      <c r="P227" s="7"/>
      <c r="Q227" s="10"/>
      <c r="R227" s="11"/>
      <c r="S227" s="11"/>
      <c r="T227" s="26"/>
      <c r="U227" s="28">
        <f t="shared" si="3"/>
        <v>1.5826591760299624</v>
      </c>
    </row>
    <row r="228" spans="2:21" ht="16.5" hidden="1" thickBot="1" x14ac:dyDescent="0.3">
      <c r="B228" s="12"/>
      <c r="C228" s="19">
        <v>273.99</v>
      </c>
      <c r="D228" s="20">
        <v>40.47</v>
      </c>
      <c r="E228" s="20">
        <v>42.968000000000004</v>
      </c>
      <c r="F228" s="20">
        <v>42.981000000000002</v>
      </c>
      <c r="G228" s="20">
        <v>3.46</v>
      </c>
      <c r="H228" s="20">
        <f t="shared" si="4"/>
        <v>41.096125000000001</v>
      </c>
      <c r="I228" s="5"/>
      <c r="J228" s="19">
        <v>318.83100000000002</v>
      </c>
      <c r="K228" s="20">
        <v>40.914900000000003</v>
      </c>
      <c r="L228" s="20">
        <v>43.7194</v>
      </c>
      <c r="M228" s="20">
        <v>43.783700000000003</v>
      </c>
      <c r="N228" s="20">
        <v>8.7542000000000009</v>
      </c>
      <c r="O228" s="20">
        <f t="shared" si="5"/>
        <v>41.624062500000001</v>
      </c>
      <c r="P228" s="7"/>
      <c r="Q228" s="13"/>
      <c r="R228" s="14"/>
      <c r="S228" s="14"/>
      <c r="T228" s="27"/>
      <c r="U228" s="28">
        <f t="shared" si="3"/>
        <v>1.5301156069364166</v>
      </c>
    </row>
    <row r="229" spans="2:21" hidden="1" x14ac:dyDescent="0.25">
      <c r="B229" s="6" t="s">
        <v>86</v>
      </c>
      <c r="C229" s="15">
        <v>1483.85</v>
      </c>
      <c r="D229" s="16">
        <v>40.325000000000003</v>
      </c>
      <c r="E229" s="16">
        <v>43.070999999999998</v>
      </c>
      <c r="F229" s="16">
        <v>41.767000000000003</v>
      </c>
      <c r="G229" s="16">
        <v>1.45</v>
      </c>
      <c r="H229" s="16">
        <f t="shared" si="4"/>
        <v>40.848500000000001</v>
      </c>
      <c r="I229" s="5"/>
      <c r="J229" s="15">
        <v>1578.4522999999999</v>
      </c>
      <c r="K229" s="16">
        <v>40.542499999999997</v>
      </c>
      <c r="L229" s="16">
        <v>43.481999999999999</v>
      </c>
      <c r="M229" s="16">
        <v>42.292299999999997</v>
      </c>
      <c r="N229" s="16">
        <v>4.0065</v>
      </c>
      <c r="O229" s="16">
        <f t="shared" si="5"/>
        <v>41.128662499999997</v>
      </c>
      <c r="P229" s="7"/>
      <c r="Q229" s="8">
        <f>bdrate(C229:C232,D229:D232,J229:J232,K229:K232)</f>
        <v>2.0848003436905627E-2</v>
      </c>
      <c r="R229" s="8">
        <f>bdrate(C229:C232,E229:E232,J229:J232,L229:L232)</f>
        <v>9.1135126166739244E-3</v>
      </c>
      <c r="S229" s="8">
        <f>bdrate(C229:C232,F229:F232,J229:J232,M229:M232)</f>
        <v>-8.5946769951030788E-3</v>
      </c>
      <c r="T229" s="25">
        <f>bdrate(C229:C232,H229:H232,J229:J232,O229:O232)</f>
        <v>1.6080224165753165E-2</v>
      </c>
      <c r="U229" s="28">
        <f t="shared" si="3"/>
        <v>1.7631034482758621</v>
      </c>
    </row>
    <row r="230" spans="2:21" hidden="1" x14ac:dyDescent="0.25">
      <c r="B230" s="9"/>
      <c r="C230" s="17">
        <v>987.5</v>
      </c>
      <c r="D230" s="18">
        <v>38.158999999999999</v>
      </c>
      <c r="E230" s="18">
        <v>41.192999999999998</v>
      </c>
      <c r="F230" s="18">
        <v>39.828000000000003</v>
      </c>
      <c r="G230" s="18">
        <v>1.69</v>
      </c>
      <c r="H230" s="18">
        <f t="shared" si="4"/>
        <v>38.746875000000003</v>
      </c>
      <c r="I230" s="5"/>
      <c r="J230" s="17">
        <v>1053.0112999999999</v>
      </c>
      <c r="K230" s="18">
        <v>38.364400000000003</v>
      </c>
      <c r="L230" s="18">
        <v>41.610700000000001</v>
      </c>
      <c r="M230" s="18">
        <v>40.325800000000001</v>
      </c>
      <c r="N230" s="18">
        <v>4.6835000000000004</v>
      </c>
      <c r="O230" s="18">
        <f t="shared" si="5"/>
        <v>39.015362500000002</v>
      </c>
      <c r="P230" s="7"/>
      <c r="Q230" s="10"/>
      <c r="R230" s="11"/>
      <c r="S230" s="11"/>
      <c r="T230" s="26"/>
      <c r="U230" s="28">
        <f t="shared" si="3"/>
        <v>1.7713017751479294</v>
      </c>
    </row>
    <row r="231" spans="2:21" hidden="1" x14ac:dyDescent="0.25">
      <c r="B231" s="9"/>
      <c r="C231" s="17">
        <v>593.86</v>
      </c>
      <c r="D231" s="18">
        <v>35.627000000000002</v>
      </c>
      <c r="E231" s="18">
        <v>39.18</v>
      </c>
      <c r="F231" s="18">
        <v>37.747999999999998</v>
      </c>
      <c r="G231" s="18">
        <v>2.04</v>
      </c>
      <c r="H231" s="18">
        <f t="shared" si="4"/>
        <v>36.33625</v>
      </c>
      <c r="I231" s="5"/>
      <c r="J231" s="17">
        <v>627.678</v>
      </c>
      <c r="K231" s="18">
        <v>35.793700000000001</v>
      </c>
      <c r="L231" s="18">
        <v>39.326999999999998</v>
      </c>
      <c r="M231" s="18">
        <v>37.974499999999999</v>
      </c>
      <c r="N231" s="18">
        <v>5.5747999999999998</v>
      </c>
      <c r="O231" s="18">
        <f t="shared" si="5"/>
        <v>36.507962499999998</v>
      </c>
      <c r="P231" s="7"/>
      <c r="Q231" s="10"/>
      <c r="R231" s="11"/>
      <c r="S231" s="11"/>
      <c r="T231" s="26"/>
      <c r="U231" s="28">
        <f t="shared" si="3"/>
        <v>1.7327450980392156</v>
      </c>
    </row>
    <row r="232" spans="2:21" ht="16.5" hidden="1" thickBot="1" x14ac:dyDescent="0.3">
      <c r="B232" s="12"/>
      <c r="C232" s="19">
        <v>299.32</v>
      </c>
      <c r="D232" s="20">
        <v>32.243000000000002</v>
      </c>
      <c r="E232" s="20">
        <v>36.518000000000001</v>
      </c>
      <c r="F232" s="20">
        <v>35.15</v>
      </c>
      <c r="G232" s="20">
        <v>2.62</v>
      </c>
      <c r="H232" s="20">
        <f t="shared" si="4"/>
        <v>33.140750000000004</v>
      </c>
      <c r="I232" s="5"/>
      <c r="J232" s="19">
        <v>313.60050000000001</v>
      </c>
      <c r="K232" s="20">
        <v>32.423699999999997</v>
      </c>
      <c r="L232" s="20">
        <v>36.410499999999999</v>
      </c>
      <c r="M232" s="20">
        <v>35.115699999999997</v>
      </c>
      <c r="N232" s="20">
        <v>7.0509000000000004</v>
      </c>
      <c r="O232" s="20">
        <f t="shared" si="5"/>
        <v>33.25855</v>
      </c>
      <c r="P232" s="7"/>
      <c r="Q232" s="13"/>
      <c r="R232" s="14"/>
      <c r="S232" s="14"/>
      <c r="T232" s="27"/>
      <c r="U232" s="28">
        <f t="shared" si="3"/>
        <v>1.6911832061068703</v>
      </c>
    </row>
    <row r="233" spans="2:21" hidden="1" x14ac:dyDescent="0.25">
      <c r="B233" s="6" t="s">
        <v>87</v>
      </c>
      <c r="C233" s="15">
        <v>1462.49</v>
      </c>
      <c r="D233" s="16">
        <v>37.963000000000001</v>
      </c>
      <c r="E233" s="16">
        <v>43.151000000000003</v>
      </c>
      <c r="F233" s="16">
        <v>43.152000000000001</v>
      </c>
      <c r="G233" s="16">
        <v>1.58</v>
      </c>
      <c r="H233" s="16">
        <f t="shared" si="4"/>
        <v>39.260125000000002</v>
      </c>
      <c r="I233" s="5"/>
      <c r="J233" s="15">
        <v>1575.7488000000001</v>
      </c>
      <c r="K233" s="16">
        <v>38.295499999999997</v>
      </c>
      <c r="L233" s="16">
        <v>44.0334</v>
      </c>
      <c r="M233" s="16">
        <v>43.996699999999997</v>
      </c>
      <c r="N233" s="16">
        <v>4.1401000000000003</v>
      </c>
      <c r="O233" s="16">
        <f t="shared" si="5"/>
        <v>39.725387499999989</v>
      </c>
      <c r="P233" s="7"/>
      <c r="Q233" s="8">
        <f>bdrate(C233:C236,D233:D236,J233:J236,K233:K236)</f>
        <v>-4.6978480877937767E-2</v>
      </c>
      <c r="R233" s="8">
        <f>bdrate(C233:C236,E233:E236,J233:J236,L233:L236)</f>
        <v>-0.24037239388478526</v>
      </c>
      <c r="S233" s="8">
        <f>bdrate(C233:C236,F233:F236,J233:J236,M233:M236)</f>
        <v>-0.24413271217227206</v>
      </c>
      <c r="T233" s="25">
        <f>bdrate(C233:C236,H233:H236,J233:J236,O233:O236)</f>
        <v>-9.596113841497067E-2</v>
      </c>
      <c r="U233" s="28">
        <f t="shared" ref="U233:U260" si="6">(N233-G233)/G233</f>
        <v>1.6203164556962026</v>
      </c>
    </row>
    <row r="234" spans="2:21" hidden="1" x14ac:dyDescent="0.25">
      <c r="B234" s="9"/>
      <c r="C234" s="17">
        <v>970.12</v>
      </c>
      <c r="D234" s="18">
        <v>36.744</v>
      </c>
      <c r="E234" s="18">
        <v>42.070999999999998</v>
      </c>
      <c r="F234" s="18">
        <v>42.173999999999999</v>
      </c>
      <c r="G234" s="18">
        <v>1.97</v>
      </c>
      <c r="H234" s="18">
        <f t="shared" si="4"/>
        <v>38.088624999999993</v>
      </c>
      <c r="I234" s="5"/>
      <c r="J234" s="17">
        <v>1040.4936</v>
      </c>
      <c r="K234" s="18">
        <v>37.0886</v>
      </c>
      <c r="L234" s="18">
        <v>42.9968</v>
      </c>
      <c r="M234" s="18">
        <v>43.036799999999999</v>
      </c>
      <c r="N234" s="18">
        <v>4.9627999999999997</v>
      </c>
      <c r="O234" s="18">
        <f t="shared" si="5"/>
        <v>38.570650000000001</v>
      </c>
      <c r="P234" s="7"/>
      <c r="Q234" s="10"/>
      <c r="R234" s="11"/>
      <c r="S234" s="11"/>
      <c r="T234" s="26"/>
      <c r="U234" s="28">
        <f t="shared" si="6"/>
        <v>1.5191878172588833</v>
      </c>
    </row>
    <row r="235" spans="2:21" hidden="1" x14ac:dyDescent="0.25">
      <c r="B235" s="9"/>
      <c r="C235" s="17">
        <v>578.21</v>
      </c>
      <c r="D235" s="18">
        <v>35.292999999999999</v>
      </c>
      <c r="E235" s="18">
        <v>40.68</v>
      </c>
      <c r="F235" s="18">
        <v>40.94</v>
      </c>
      <c r="G235" s="18">
        <v>2.44</v>
      </c>
      <c r="H235" s="18">
        <f t="shared" si="4"/>
        <v>36.672249999999998</v>
      </c>
      <c r="I235" s="5"/>
      <c r="J235" s="17">
        <v>614.62080000000003</v>
      </c>
      <c r="K235" s="18">
        <v>35.603299999999997</v>
      </c>
      <c r="L235" s="18">
        <v>41.579300000000003</v>
      </c>
      <c r="M235" s="18">
        <v>41.755699999999997</v>
      </c>
      <c r="N235" s="18">
        <v>6.1860999999999997</v>
      </c>
      <c r="O235" s="18">
        <f t="shared" si="5"/>
        <v>37.119349999999997</v>
      </c>
      <c r="P235" s="7"/>
      <c r="Q235" s="10"/>
      <c r="R235" s="11"/>
      <c r="S235" s="11"/>
      <c r="T235" s="26"/>
      <c r="U235" s="28">
        <f t="shared" si="6"/>
        <v>1.5352868852459016</v>
      </c>
    </row>
    <row r="236" spans="2:21" ht="16.5" hidden="1" thickBot="1" x14ac:dyDescent="0.3">
      <c r="B236" s="12"/>
      <c r="C236" s="19">
        <v>286.13</v>
      </c>
      <c r="D236" s="20">
        <v>33.380000000000003</v>
      </c>
      <c r="E236" s="20">
        <v>38.841999999999999</v>
      </c>
      <c r="F236" s="20">
        <v>39.344000000000001</v>
      </c>
      <c r="G236" s="20">
        <v>3.21</v>
      </c>
      <c r="H236" s="20">
        <f t="shared" si="4"/>
        <v>34.808250000000001</v>
      </c>
      <c r="I236" s="5"/>
      <c r="J236" s="19">
        <v>302.57920000000001</v>
      </c>
      <c r="K236" s="20">
        <v>33.644799999999996</v>
      </c>
      <c r="L236" s="20">
        <v>39.680199999999999</v>
      </c>
      <c r="M236" s="20">
        <v>40.044199999999996</v>
      </c>
      <c r="N236" s="20">
        <v>8.1465999999999994</v>
      </c>
      <c r="O236" s="20">
        <f t="shared" si="5"/>
        <v>35.199149999999996</v>
      </c>
      <c r="P236" s="7"/>
      <c r="Q236" s="13"/>
      <c r="R236" s="14"/>
      <c r="S236" s="14"/>
      <c r="T236" s="27"/>
      <c r="U236" s="28">
        <f t="shared" si="6"/>
        <v>1.5378816199376946</v>
      </c>
    </row>
    <row r="237" spans="2:21" hidden="1" x14ac:dyDescent="0.25">
      <c r="B237" s="6" t="s">
        <v>88</v>
      </c>
      <c r="C237" s="15">
        <v>1543.68</v>
      </c>
      <c r="D237" s="16">
        <v>34.72</v>
      </c>
      <c r="E237" s="16">
        <v>39.209000000000003</v>
      </c>
      <c r="F237" s="16">
        <v>41.759</v>
      </c>
      <c r="G237" s="16">
        <v>2.21</v>
      </c>
      <c r="H237" s="16">
        <f t="shared" si="4"/>
        <v>36.161000000000001</v>
      </c>
      <c r="I237" s="5"/>
      <c r="J237" s="15">
        <v>1545.4176</v>
      </c>
      <c r="K237" s="16">
        <v>35.042299999999997</v>
      </c>
      <c r="L237" s="16">
        <v>40.104399999999998</v>
      </c>
      <c r="M237" s="16">
        <v>42.565899999999999</v>
      </c>
      <c r="N237" s="16">
        <v>5.0160999999999998</v>
      </c>
      <c r="O237" s="16">
        <f t="shared" si="5"/>
        <v>36.615512499999994</v>
      </c>
      <c r="P237" s="7"/>
      <c r="Q237" s="8">
        <f>bdrate(C237:C240,D237:D240,J237:J240,K237:K240)</f>
        <v>-6.3469520116950506E-2</v>
      </c>
      <c r="R237" s="8">
        <f>bdrate(C237:C240,E237:E240,J237:J240,L237:L240)</f>
        <v>-0.2610354186390017</v>
      </c>
      <c r="S237" s="8">
        <f>bdrate(C237:C240,F237:F240,J237:J240,M237:M240)</f>
        <v>-0.28595886313530394</v>
      </c>
      <c r="T237" s="25">
        <f>bdrate(C237:C240,H237:H240,J237:J240,O237:O240)</f>
        <v>-0.10395509080716414</v>
      </c>
      <c r="U237" s="28">
        <f t="shared" si="6"/>
        <v>1.2697285067873303</v>
      </c>
    </row>
    <row r="238" spans="2:21" hidden="1" x14ac:dyDescent="0.25">
      <c r="B238" s="9"/>
      <c r="C238" s="17">
        <v>1026.31</v>
      </c>
      <c r="D238" s="18">
        <v>33.655000000000001</v>
      </c>
      <c r="E238" s="18">
        <v>38.348999999999997</v>
      </c>
      <c r="F238" s="18">
        <v>40.988999999999997</v>
      </c>
      <c r="G238" s="18">
        <v>2.63</v>
      </c>
      <c r="H238" s="18">
        <f t="shared" si="4"/>
        <v>35.158499999999997</v>
      </c>
      <c r="I238" s="5"/>
      <c r="J238" s="17">
        <v>1029.6056000000001</v>
      </c>
      <c r="K238" s="18">
        <v>33.9604</v>
      </c>
      <c r="L238" s="18">
        <v>39.125799999999998</v>
      </c>
      <c r="M238" s="18">
        <v>41.6676</v>
      </c>
      <c r="N238" s="18">
        <v>6.1455000000000002</v>
      </c>
      <c r="O238" s="18">
        <f t="shared" si="5"/>
        <v>35.569475000000004</v>
      </c>
      <c r="P238" s="7"/>
      <c r="Q238" s="10"/>
      <c r="R238" s="11"/>
      <c r="S238" s="11"/>
      <c r="T238" s="26"/>
      <c r="U238" s="28">
        <f t="shared" si="6"/>
        <v>1.3366920152091257</v>
      </c>
    </row>
    <row r="239" spans="2:21" hidden="1" x14ac:dyDescent="0.25">
      <c r="B239" s="9"/>
      <c r="C239" s="17">
        <v>614.71</v>
      </c>
      <c r="D239" s="18">
        <v>32.323999999999998</v>
      </c>
      <c r="E239" s="18">
        <v>37.417000000000002</v>
      </c>
      <c r="F239" s="18">
        <v>40.171999999999997</v>
      </c>
      <c r="G239" s="18">
        <v>3.29</v>
      </c>
      <c r="H239" s="18">
        <f t="shared" si="4"/>
        <v>33.941625000000002</v>
      </c>
      <c r="I239" s="5"/>
      <c r="J239" s="17">
        <v>605.38720000000001</v>
      </c>
      <c r="K239" s="18">
        <v>32.447800000000001</v>
      </c>
      <c r="L239" s="18">
        <v>37.957500000000003</v>
      </c>
      <c r="M239" s="18">
        <v>40.718600000000002</v>
      </c>
      <c r="N239" s="18">
        <v>7.8973000000000004</v>
      </c>
      <c r="O239" s="18">
        <f t="shared" si="5"/>
        <v>34.170362500000003</v>
      </c>
      <c r="P239" s="7"/>
      <c r="Q239" s="10"/>
      <c r="R239" s="11"/>
      <c r="S239" s="11"/>
      <c r="T239" s="26"/>
      <c r="U239" s="28">
        <f t="shared" si="6"/>
        <v>1.4003951367781156</v>
      </c>
    </row>
    <row r="240" spans="2:21" ht="16.5" hidden="1" thickBot="1" x14ac:dyDescent="0.3">
      <c r="B240" s="12"/>
      <c r="C240" s="19">
        <v>308.61</v>
      </c>
      <c r="D240" s="20">
        <v>30.443999999999999</v>
      </c>
      <c r="E240" s="20">
        <v>36.33</v>
      </c>
      <c r="F240" s="20">
        <v>39.167000000000002</v>
      </c>
      <c r="G240" s="20">
        <v>4.4800000000000004</v>
      </c>
      <c r="H240" s="20">
        <f t="shared" si="4"/>
        <v>32.270124999999993</v>
      </c>
      <c r="I240" s="5"/>
      <c r="J240" s="19">
        <v>292.06319999999999</v>
      </c>
      <c r="K240" s="20">
        <v>30.243600000000001</v>
      </c>
      <c r="L240" s="20">
        <v>36.522199999999998</v>
      </c>
      <c r="M240" s="20">
        <v>39.434199999999997</v>
      </c>
      <c r="N240" s="20">
        <v>11.951499999999999</v>
      </c>
      <c r="O240" s="20">
        <f t="shared" si="5"/>
        <v>32.177250000000001</v>
      </c>
      <c r="P240" s="7"/>
      <c r="Q240" s="13"/>
      <c r="R240" s="14"/>
      <c r="S240" s="14"/>
      <c r="T240" s="27"/>
      <c r="U240" s="28">
        <f t="shared" si="6"/>
        <v>1.6677455357142854</v>
      </c>
    </row>
    <row r="241" spans="2:21" hidden="1" x14ac:dyDescent="0.25">
      <c r="B241" s="6" t="s">
        <v>89</v>
      </c>
      <c r="C241" s="15">
        <v>1625.28</v>
      </c>
      <c r="D241" s="16">
        <v>37.375</v>
      </c>
      <c r="E241" s="16">
        <v>42.546999999999997</v>
      </c>
      <c r="F241" s="16">
        <v>42.360999999999997</v>
      </c>
      <c r="G241" s="16">
        <v>1.26</v>
      </c>
      <c r="H241" s="16">
        <f t="shared" ref="H241:H260" si="7">(6*D241+E241+F241)/8</f>
        <v>38.644750000000002</v>
      </c>
      <c r="I241" s="5"/>
      <c r="J241" s="15">
        <v>1544.1279999999999</v>
      </c>
      <c r="K241" s="16">
        <v>37.266599999999997</v>
      </c>
      <c r="L241" s="16">
        <v>42.705399999999997</v>
      </c>
      <c r="M241" s="16">
        <v>42.787799999999997</v>
      </c>
      <c r="N241" s="16">
        <v>3.9701</v>
      </c>
      <c r="O241" s="16">
        <f t="shared" ref="O241:O260" si="8">(6*K241+L241+M241)/8</f>
        <v>38.636599999999994</v>
      </c>
      <c r="P241" s="7"/>
      <c r="Q241" s="8">
        <f>bdrate(C241:C244,D241:D244,J241:J244,K241:K244)</f>
        <v>-1.6108741749880973E-2</v>
      </c>
      <c r="R241" s="8">
        <f>bdrate(C241:C244,E241:E244,J241:J244,L241:L244)</f>
        <v>-0.11982761295130373</v>
      </c>
      <c r="S241" s="8">
        <f>bdrate(C241:C244,F241:F244,J241:J244,M241:M244)</f>
        <v>-0.15872682073438593</v>
      </c>
      <c r="T241" s="25">
        <f>bdrate(C241:C244,H241:H244,J241:J244,O241:O244)</f>
        <v>-4.5735715135408639E-2</v>
      </c>
      <c r="U241" s="28">
        <f t="shared" si="6"/>
        <v>2.1508730158730156</v>
      </c>
    </row>
    <row r="242" spans="2:21" hidden="1" x14ac:dyDescent="0.25">
      <c r="B242" s="9"/>
      <c r="C242" s="17">
        <v>1093.43</v>
      </c>
      <c r="D242" s="18">
        <v>36.234000000000002</v>
      </c>
      <c r="E242" s="18">
        <v>41.805999999999997</v>
      </c>
      <c r="F242" s="18">
        <v>41.204000000000001</v>
      </c>
      <c r="G242" s="18">
        <v>1.53</v>
      </c>
      <c r="H242" s="18">
        <f t="shared" si="7"/>
        <v>37.551749999999998</v>
      </c>
      <c r="I242" s="5"/>
      <c r="J242" s="17">
        <v>1023.728</v>
      </c>
      <c r="K242" s="18">
        <v>36.104999999999997</v>
      </c>
      <c r="L242" s="18">
        <v>41.995399999999997</v>
      </c>
      <c r="M242" s="18">
        <v>41.552999999999997</v>
      </c>
      <c r="N242" s="18">
        <v>4.8472</v>
      </c>
      <c r="O242" s="18">
        <f t="shared" si="8"/>
        <v>37.522300000000001</v>
      </c>
      <c r="P242" s="7"/>
      <c r="Q242" s="10"/>
      <c r="R242" s="11"/>
      <c r="S242" s="11"/>
      <c r="T242" s="26"/>
      <c r="U242" s="28">
        <f t="shared" si="6"/>
        <v>2.1681045751633983</v>
      </c>
    </row>
    <row r="243" spans="2:21" hidden="1" x14ac:dyDescent="0.25">
      <c r="B243" s="9"/>
      <c r="C243" s="17">
        <v>660.59</v>
      </c>
      <c r="D243" s="18">
        <v>34.719000000000001</v>
      </c>
      <c r="E243" s="18">
        <v>40.843000000000004</v>
      </c>
      <c r="F243" s="18">
        <v>39.735999999999997</v>
      </c>
      <c r="G243" s="18">
        <v>2</v>
      </c>
      <c r="H243" s="18">
        <f t="shared" si="7"/>
        <v>36.111625000000004</v>
      </c>
      <c r="I243" s="5"/>
      <c r="J243" s="17">
        <v>611.37040000000002</v>
      </c>
      <c r="K243" s="18">
        <v>34.538600000000002</v>
      </c>
      <c r="L243" s="18">
        <v>40.955300000000001</v>
      </c>
      <c r="M243" s="18">
        <v>39.993699999999997</v>
      </c>
      <c r="N243" s="18">
        <v>6.2241999999999997</v>
      </c>
      <c r="O243" s="18">
        <f t="shared" si="8"/>
        <v>36.022575000000003</v>
      </c>
      <c r="P243" s="7"/>
      <c r="Q243" s="10"/>
      <c r="R243" s="11"/>
      <c r="S243" s="11"/>
      <c r="T243" s="26"/>
      <c r="U243" s="28">
        <f t="shared" si="6"/>
        <v>2.1120999999999999</v>
      </c>
    </row>
    <row r="244" spans="2:21" ht="16.5" hidden="1" thickBot="1" x14ac:dyDescent="0.3">
      <c r="B244" s="12"/>
      <c r="C244" s="19">
        <v>330.4</v>
      </c>
      <c r="D244" s="20">
        <v>32.616999999999997</v>
      </c>
      <c r="E244" s="20">
        <v>39.347999999999999</v>
      </c>
      <c r="F244" s="20">
        <v>37.527999999999999</v>
      </c>
      <c r="G244" s="20">
        <v>2.92</v>
      </c>
      <c r="H244" s="20">
        <f t="shared" si="7"/>
        <v>34.072250000000004</v>
      </c>
      <c r="I244" s="5"/>
      <c r="J244" s="19">
        <v>304.17439999999999</v>
      </c>
      <c r="K244" s="20">
        <v>32.364100000000001</v>
      </c>
      <c r="L244" s="20">
        <v>39.293100000000003</v>
      </c>
      <c r="M244" s="20">
        <v>37.8386</v>
      </c>
      <c r="N244" s="20">
        <v>9.0242000000000004</v>
      </c>
      <c r="O244" s="20">
        <f t="shared" si="8"/>
        <v>33.914537500000002</v>
      </c>
      <c r="P244" s="7"/>
      <c r="Q244" s="13"/>
      <c r="R244" s="14"/>
      <c r="S244" s="14"/>
      <c r="T244" s="27"/>
      <c r="U244" s="28">
        <f t="shared" si="6"/>
        <v>2.0904794520547947</v>
      </c>
    </row>
    <row r="245" spans="2:21" hidden="1" x14ac:dyDescent="0.25">
      <c r="B245" s="6" t="s">
        <v>90</v>
      </c>
      <c r="C245" s="29">
        <v>1557.32</v>
      </c>
      <c r="D245" s="30">
        <v>47.847000000000001</v>
      </c>
      <c r="E245" s="30">
        <v>52.424999999999997</v>
      </c>
      <c r="F245" s="30">
        <v>52.661999999999999</v>
      </c>
      <c r="G245" s="16">
        <v>1.42</v>
      </c>
      <c r="H245" s="16">
        <f t="shared" si="7"/>
        <v>49.021124999999998</v>
      </c>
      <c r="I245" s="5"/>
      <c r="J245" s="29">
        <v>1542.1031</v>
      </c>
      <c r="K245" s="30">
        <v>47.899799999999999</v>
      </c>
      <c r="L245" s="30">
        <v>52.7502</v>
      </c>
      <c r="M245" s="30">
        <v>52.9666</v>
      </c>
      <c r="N245" s="16">
        <v>3.2437999999999998</v>
      </c>
      <c r="O245" s="16">
        <f t="shared" si="8"/>
        <v>49.139449999999997</v>
      </c>
      <c r="P245" s="7"/>
      <c r="Q245" s="8">
        <f>bdrate(C245:C248,D245:D248,J245:J248,K245:K248)</f>
        <v>-6.2317053722148685E-2</v>
      </c>
      <c r="R245" s="8">
        <f>bdrate(C245:C248,E245:E248,J245:J248,L245:L248)</f>
        <v>-0.23158215169080187</v>
      </c>
      <c r="S245" s="8">
        <f>bdrate(C245:C248,F245:F248,J245:J248,M245:M248)</f>
        <v>-0.21390170527355212</v>
      </c>
      <c r="T245" s="25">
        <f>bdrate(C245:C248,H245:H248,J245:J248,O245:O248)</f>
        <v>-9.5052688968213062E-2</v>
      </c>
      <c r="U245" s="28">
        <f t="shared" si="6"/>
        <v>1.2843661971830986</v>
      </c>
    </row>
    <row r="246" spans="2:21" hidden="1" x14ac:dyDescent="0.25">
      <c r="B246" s="9"/>
      <c r="C246" s="31">
        <v>1034.68</v>
      </c>
      <c r="D246" s="32">
        <v>46.636000000000003</v>
      </c>
      <c r="E246" s="32">
        <v>51.566000000000003</v>
      </c>
      <c r="F246" s="32">
        <v>51.741</v>
      </c>
      <c r="G246" s="18">
        <v>1.76</v>
      </c>
      <c r="H246" s="18">
        <f t="shared" si="7"/>
        <v>47.890375000000006</v>
      </c>
      <c r="I246" s="5"/>
      <c r="J246" s="31">
        <v>1026.6925000000001</v>
      </c>
      <c r="K246" s="32">
        <v>46.814700000000002</v>
      </c>
      <c r="L246" s="32">
        <v>52.065199999999997</v>
      </c>
      <c r="M246" s="32">
        <v>52.2226</v>
      </c>
      <c r="N246" s="18">
        <v>4.0697000000000001</v>
      </c>
      <c r="O246" s="18">
        <f t="shared" si="8"/>
        <v>48.146999999999998</v>
      </c>
      <c r="P246" s="7"/>
      <c r="Q246" s="10"/>
      <c r="R246" s="11"/>
      <c r="S246" s="11"/>
      <c r="T246" s="26"/>
      <c r="U246" s="28">
        <f t="shared" si="6"/>
        <v>1.3123295454545456</v>
      </c>
    </row>
    <row r="247" spans="2:21" hidden="1" x14ac:dyDescent="0.25">
      <c r="B247" s="9"/>
      <c r="C247" s="31">
        <v>613.49</v>
      </c>
      <c r="D247" s="32">
        <v>44.994999999999997</v>
      </c>
      <c r="E247" s="32">
        <v>50.466000000000001</v>
      </c>
      <c r="F247" s="32">
        <v>50.518999999999998</v>
      </c>
      <c r="G247" s="18">
        <v>2.23</v>
      </c>
      <c r="H247" s="18">
        <f t="shared" si="7"/>
        <v>46.369374999999998</v>
      </c>
      <c r="I247" s="5"/>
      <c r="J247" s="31">
        <v>617.54340000000002</v>
      </c>
      <c r="K247" s="32">
        <v>45.261000000000003</v>
      </c>
      <c r="L247" s="32">
        <v>51.088299999999997</v>
      </c>
      <c r="M247" s="32">
        <v>51.151299999999999</v>
      </c>
      <c r="N247" s="18">
        <v>5.4547999999999996</v>
      </c>
      <c r="O247" s="18">
        <f t="shared" si="8"/>
        <v>46.725700000000003</v>
      </c>
      <c r="P247" s="7"/>
      <c r="Q247" s="10"/>
      <c r="R247" s="11"/>
      <c r="S247" s="11"/>
      <c r="T247" s="26"/>
      <c r="U247" s="28">
        <f t="shared" si="6"/>
        <v>1.4460986547085199</v>
      </c>
    </row>
    <row r="248" spans="2:21" ht="16.5" hidden="1" thickBot="1" x14ac:dyDescent="0.3">
      <c r="B248" s="12"/>
      <c r="C248" s="33">
        <v>299.77</v>
      </c>
      <c r="D248" s="34">
        <v>42.378</v>
      </c>
      <c r="E248" s="34">
        <v>48.515999999999998</v>
      </c>
      <c r="F248" s="34">
        <v>48.527000000000001</v>
      </c>
      <c r="G248" s="20">
        <v>3.11</v>
      </c>
      <c r="H248" s="20">
        <f t="shared" si="7"/>
        <v>43.913874999999997</v>
      </c>
      <c r="I248" s="5"/>
      <c r="J248" s="33">
        <v>300.73939999999999</v>
      </c>
      <c r="K248" s="34">
        <v>42.579099999999997</v>
      </c>
      <c r="L248" s="34">
        <v>49.2699</v>
      </c>
      <c r="M248" s="34">
        <v>49.207799999999999</v>
      </c>
      <c r="N248" s="20">
        <v>8.0925999999999991</v>
      </c>
      <c r="O248" s="20">
        <f t="shared" si="8"/>
        <v>44.244037499999997</v>
      </c>
      <c r="P248" s="7"/>
      <c r="Q248" s="13"/>
      <c r="R248" s="14"/>
      <c r="S248" s="14"/>
      <c r="T248" s="27"/>
      <c r="U248" s="28">
        <f t="shared" si="6"/>
        <v>1.6021221864951769</v>
      </c>
    </row>
    <row r="249" spans="2:21" hidden="1" x14ac:dyDescent="0.25">
      <c r="B249" s="6" t="s">
        <v>91</v>
      </c>
      <c r="C249" s="15">
        <v>2349.65</v>
      </c>
      <c r="D249" s="16">
        <v>44.356000000000002</v>
      </c>
      <c r="E249" s="16">
        <v>47.960999999999999</v>
      </c>
      <c r="F249" s="16">
        <v>50.162999999999997</v>
      </c>
      <c r="G249" s="16">
        <v>0.52</v>
      </c>
      <c r="H249" s="16">
        <f t="shared" si="7"/>
        <v>45.532500000000006</v>
      </c>
      <c r="I249" s="5"/>
      <c r="J249" s="15">
        <v>2412.9110000000001</v>
      </c>
      <c r="K249" s="16">
        <v>44.389400000000002</v>
      </c>
      <c r="L249" s="16">
        <v>48.529699999999998</v>
      </c>
      <c r="M249" s="16">
        <v>50.628500000000003</v>
      </c>
      <c r="N249" s="16">
        <v>1.5835999999999999</v>
      </c>
      <c r="O249" s="16">
        <f t="shared" si="8"/>
        <v>45.686824999999999</v>
      </c>
      <c r="P249" s="7"/>
      <c r="Q249" s="8">
        <f>bdrate(C249:C252,D249:D252,J249:J252,K249:K252)</f>
        <v>4.3267489278009386E-4</v>
      </c>
      <c r="R249" s="8">
        <f>bdrate(C249:C252,E249:E252,J249:J252,L249:L252)</f>
        <v>-0.22084102732098343</v>
      </c>
      <c r="S249" s="8">
        <f>bdrate(C249:C252,F249:F252,J249:J252,M249:M252)</f>
        <v>-0.20593410037402493</v>
      </c>
      <c r="T249" s="25">
        <f>bdrate(C249:C252,H249:H252,J249:J252,O249:O252)</f>
        <v>-4.8179206856045487E-2</v>
      </c>
      <c r="U249" s="28">
        <f t="shared" si="6"/>
        <v>2.0453846153846151</v>
      </c>
    </row>
    <row r="250" spans="2:21" hidden="1" x14ac:dyDescent="0.25">
      <c r="B250" s="9"/>
      <c r="C250" s="17">
        <v>1568.45</v>
      </c>
      <c r="D250" s="18">
        <v>42.802</v>
      </c>
      <c r="E250" s="18">
        <v>46.637999999999998</v>
      </c>
      <c r="F250" s="18">
        <v>48.738</v>
      </c>
      <c r="G250" s="18">
        <v>0.64</v>
      </c>
      <c r="H250" s="18">
        <f t="shared" si="7"/>
        <v>44.023499999999999</v>
      </c>
      <c r="I250" s="5"/>
      <c r="J250" s="17">
        <v>1609.4347</v>
      </c>
      <c r="K250" s="18">
        <v>42.8733</v>
      </c>
      <c r="L250" s="18">
        <v>47.416499999999999</v>
      </c>
      <c r="M250" s="18">
        <v>49.480200000000004</v>
      </c>
      <c r="N250" s="18">
        <v>1.9312</v>
      </c>
      <c r="O250" s="18">
        <f t="shared" si="8"/>
        <v>44.267062500000002</v>
      </c>
      <c r="P250" s="7"/>
      <c r="Q250" s="10"/>
      <c r="R250" s="11"/>
      <c r="S250" s="11"/>
      <c r="T250" s="26"/>
      <c r="U250" s="28">
        <f t="shared" si="6"/>
        <v>2.0174999999999996</v>
      </c>
    </row>
    <row r="251" spans="2:21" hidden="1" x14ac:dyDescent="0.25">
      <c r="B251" s="9"/>
      <c r="C251" s="17">
        <v>981.77</v>
      </c>
      <c r="D251" s="18">
        <v>40.945</v>
      </c>
      <c r="E251" s="18">
        <v>45.174999999999997</v>
      </c>
      <c r="F251" s="18">
        <v>47.375</v>
      </c>
      <c r="G251" s="18">
        <v>0.8</v>
      </c>
      <c r="H251" s="18">
        <f t="shared" si="7"/>
        <v>42.277500000000003</v>
      </c>
      <c r="I251" s="5"/>
      <c r="J251" s="17">
        <v>1002.6602</v>
      </c>
      <c r="K251" s="18">
        <v>41.042299999999997</v>
      </c>
      <c r="L251" s="18">
        <v>46.086799999999997</v>
      </c>
      <c r="M251" s="18">
        <v>48.24</v>
      </c>
      <c r="N251" s="18">
        <v>2.4302999999999999</v>
      </c>
      <c r="O251" s="18">
        <f t="shared" si="8"/>
        <v>42.572575000000001</v>
      </c>
      <c r="P251" s="7"/>
      <c r="Q251" s="10"/>
      <c r="R251" s="11"/>
      <c r="S251" s="11"/>
      <c r="T251" s="26"/>
      <c r="U251" s="28">
        <f t="shared" si="6"/>
        <v>2.0378749999999997</v>
      </c>
    </row>
    <row r="252" spans="2:21" ht="16.5" hidden="1" thickBot="1" x14ac:dyDescent="0.3">
      <c r="B252" s="12"/>
      <c r="C252" s="19">
        <v>589.30999999999995</v>
      </c>
      <c r="D252" s="20">
        <v>38.865000000000002</v>
      </c>
      <c r="E252" s="20">
        <v>43.457999999999998</v>
      </c>
      <c r="F252" s="20">
        <v>45.427</v>
      </c>
      <c r="G252" s="20">
        <v>1.04</v>
      </c>
      <c r="H252" s="20">
        <f t="shared" si="7"/>
        <v>40.259375000000006</v>
      </c>
      <c r="I252" s="5"/>
      <c r="J252" s="19">
        <v>594.11090000000002</v>
      </c>
      <c r="K252" s="20">
        <v>38.965400000000002</v>
      </c>
      <c r="L252" s="20">
        <v>44.3611</v>
      </c>
      <c r="M252" s="20">
        <v>46.329000000000001</v>
      </c>
      <c r="N252" s="20">
        <v>3.1757</v>
      </c>
      <c r="O252" s="20">
        <f t="shared" si="8"/>
        <v>40.560312500000002</v>
      </c>
      <c r="P252" s="7"/>
      <c r="Q252" s="13"/>
      <c r="R252" s="14"/>
      <c r="S252" s="14"/>
      <c r="T252" s="27"/>
      <c r="U252" s="28">
        <f t="shared" si="6"/>
        <v>2.0535576923076921</v>
      </c>
    </row>
    <row r="253" spans="2:21" hidden="1" x14ac:dyDescent="0.25">
      <c r="B253" s="6" t="s">
        <v>92</v>
      </c>
      <c r="C253" s="15">
        <v>2226.4</v>
      </c>
      <c r="D253" s="16">
        <v>39.466999999999999</v>
      </c>
      <c r="E253" s="16">
        <v>41.511000000000003</v>
      </c>
      <c r="F253" s="16">
        <v>43.037999999999997</v>
      </c>
      <c r="G253" s="16">
        <v>0.66</v>
      </c>
      <c r="H253" s="16">
        <f t="shared" si="7"/>
        <v>40.168875</v>
      </c>
      <c r="I253" s="5"/>
      <c r="J253" s="15">
        <v>2478.6810999999998</v>
      </c>
      <c r="K253" s="16">
        <v>40.119300000000003</v>
      </c>
      <c r="L253" s="16">
        <v>42.206499999999998</v>
      </c>
      <c r="M253" s="16">
        <v>43.845700000000001</v>
      </c>
      <c r="N253" s="16">
        <v>1.6609</v>
      </c>
      <c r="O253" s="16">
        <f t="shared" si="8"/>
        <v>40.846000000000004</v>
      </c>
      <c r="P253" s="7"/>
      <c r="Q253" s="8">
        <f>bdrate(C253:C256,D253:D256,J253:J256,K253:K256)</f>
        <v>-0.43026125065152743</v>
      </c>
      <c r="R253" s="8">
        <f>bdrate(C253:C256,E253:E256,J253:J256,L253:L256)</f>
        <v>-0.59716745138767435</v>
      </c>
      <c r="S253" s="8">
        <f>bdrate(C253:C256,F253:F256,J253:J256,M253:M256)</f>
        <v>-0.65856852065341853</v>
      </c>
      <c r="T253" s="25">
        <f>bdrate(C253:C256,H253:H256,J253:J256,O253:O256)</f>
        <v>-0.46644311956761697</v>
      </c>
      <c r="U253" s="28">
        <f t="shared" si="6"/>
        <v>1.5165151515151516</v>
      </c>
    </row>
    <row r="254" spans="2:21" hidden="1" x14ac:dyDescent="0.25">
      <c r="B254" s="9"/>
      <c r="C254" s="17">
        <v>1484.7</v>
      </c>
      <c r="D254" s="18">
        <v>38.719000000000001</v>
      </c>
      <c r="E254" s="18">
        <v>41.127000000000002</v>
      </c>
      <c r="F254" s="18">
        <v>42.616999999999997</v>
      </c>
      <c r="G254" s="18">
        <v>0.81</v>
      </c>
      <c r="H254" s="18">
        <f t="shared" si="7"/>
        <v>39.507250000000006</v>
      </c>
      <c r="I254" s="5"/>
      <c r="J254" s="17">
        <v>1627.5443</v>
      </c>
      <c r="K254" s="18">
        <v>39.611199999999997</v>
      </c>
      <c r="L254" s="18">
        <v>41.905799999999999</v>
      </c>
      <c r="M254" s="18">
        <v>43.560499999999998</v>
      </c>
      <c r="N254" s="18">
        <v>2.0318000000000001</v>
      </c>
      <c r="O254" s="18">
        <f t="shared" si="8"/>
        <v>40.391687499999996</v>
      </c>
      <c r="P254" s="7"/>
      <c r="Q254" s="10"/>
      <c r="R254" s="11"/>
      <c r="S254" s="11"/>
      <c r="T254" s="26"/>
      <c r="U254" s="28">
        <f t="shared" si="6"/>
        <v>1.508395061728395</v>
      </c>
    </row>
    <row r="255" spans="2:21" hidden="1" x14ac:dyDescent="0.25">
      <c r="B255" s="9"/>
      <c r="C255" s="17">
        <v>938.45</v>
      </c>
      <c r="D255" s="18">
        <v>37.764000000000003</v>
      </c>
      <c r="E255" s="18">
        <v>40.686</v>
      </c>
      <c r="F255" s="18">
        <v>42.097999999999999</v>
      </c>
      <c r="G255" s="18">
        <v>1.02</v>
      </c>
      <c r="H255" s="18">
        <f t="shared" si="7"/>
        <v>38.670999999999999</v>
      </c>
      <c r="I255" s="5"/>
      <c r="J255" s="17">
        <v>963.13630000000001</v>
      </c>
      <c r="K255" s="18">
        <v>38.926900000000003</v>
      </c>
      <c r="L255" s="18">
        <v>41.524900000000002</v>
      </c>
      <c r="M255" s="18">
        <v>43.204500000000003</v>
      </c>
      <c r="N255" s="18">
        <v>2.6493000000000002</v>
      </c>
      <c r="O255" s="18">
        <f t="shared" si="8"/>
        <v>39.786350000000006</v>
      </c>
      <c r="P255" s="7"/>
      <c r="Q255" s="10"/>
      <c r="R255" s="11"/>
      <c r="S255" s="11"/>
      <c r="T255" s="26"/>
      <c r="U255" s="28">
        <f t="shared" si="6"/>
        <v>1.5973529411764706</v>
      </c>
    </row>
    <row r="256" spans="2:21" ht="16.5" hidden="1" thickBot="1" x14ac:dyDescent="0.3">
      <c r="B256" s="12"/>
      <c r="C256" s="19">
        <v>569.74</v>
      </c>
      <c r="D256" s="20">
        <v>36.658000000000001</v>
      </c>
      <c r="E256" s="20">
        <v>40.116999999999997</v>
      </c>
      <c r="F256" s="20">
        <v>41.491</v>
      </c>
      <c r="G256" s="20">
        <v>1.28</v>
      </c>
      <c r="H256" s="20">
        <f t="shared" si="7"/>
        <v>37.694499999999998</v>
      </c>
      <c r="I256" s="5"/>
      <c r="J256" s="19">
        <v>553.85739999999998</v>
      </c>
      <c r="K256" s="20">
        <v>38.072099999999999</v>
      </c>
      <c r="L256" s="20">
        <v>41.100099999999998</v>
      </c>
      <c r="M256" s="20">
        <v>42.729700000000001</v>
      </c>
      <c r="N256" s="20">
        <v>3.4727000000000001</v>
      </c>
      <c r="O256" s="20">
        <f t="shared" si="8"/>
        <v>39.032799999999995</v>
      </c>
      <c r="P256" s="7"/>
      <c r="Q256" s="13"/>
      <c r="R256" s="14"/>
      <c r="S256" s="14"/>
      <c r="T256" s="27"/>
      <c r="U256" s="28">
        <f t="shared" si="6"/>
        <v>1.7130468750000003</v>
      </c>
    </row>
    <row r="257" spans="2:21" hidden="1" x14ac:dyDescent="0.25">
      <c r="B257" s="6" t="s">
        <v>93</v>
      </c>
      <c r="C257" s="15">
        <v>2256.91</v>
      </c>
      <c r="D257" s="16">
        <v>35.728000000000002</v>
      </c>
      <c r="E257" s="16">
        <v>39.83</v>
      </c>
      <c r="F257" s="16">
        <v>41.051000000000002</v>
      </c>
      <c r="G257" s="16">
        <v>0.87</v>
      </c>
      <c r="H257" s="16">
        <f t="shared" si="7"/>
        <v>36.906124999999996</v>
      </c>
      <c r="I257" s="5"/>
      <c r="J257" s="15">
        <v>2456.3222000000001</v>
      </c>
      <c r="K257" s="16">
        <v>36.691800000000001</v>
      </c>
      <c r="L257" s="16">
        <v>41.190800000000003</v>
      </c>
      <c r="M257" s="16">
        <v>42.395299999999999</v>
      </c>
      <c r="N257" s="16">
        <v>2.1065</v>
      </c>
      <c r="O257" s="16">
        <f t="shared" si="8"/>
        <v>37.967112500000006</v>
      </c>
      <c r="P257" s="7"/>
      <c r="Q257" s="8">
        <f>bdrate(C257:C260,D257:D260,J257:J260,K257:K260)</f>
        <v>-0.1827820847981978</v>
      </c>
      <c r="R257" s="8">
        <f>bdrate(C257:C260,E257:E260,J257:J260,L257:L260)</f>
        <v>-0.38611645308113474</v>
      </c>
      <c r="S257" s="8">
        <f>bdrate(C257:C260,F257:F260,J257:J260,M257:M260)</f>
        <v>-0.40194483222033206</v>
      </c>
      <c r="T257" s="25">
        <f>bdrate(C257:C260,H257:H260,J257:J260,O257:O260)</f>
        <v>-0.22878799537404038</v>
      </c>
      <c r="U257" s="28">
        <f t="shared" si="6"/>
        <v>1.4212643678160919</v>
      </c>
    </row>
    <row r="258" spans="2:21" hidden="1" x14ac:dyDescent="0.25">
      <c r="B258" s="9"/>
      <c r="C258" s="17">
        <v>1506.97</v>
      </c>
      <c r="D258" s="18">
        <v>34.183999999999997</v>
      </c>
      <c r="E258" s="18">
        <v>38.624000000000002</v>
      </c>
      <c r="F258" s="18">
        <v>39.968000000000004</v>
      </c>
      <c r="G258" s="18">
        <v>1.04</v>
      </c>
      <c r="H258" s="18">
        <f t="shared" si="7"/>
        <v>35.461999999999996</v>
      </c>
      <c r="I258" s="5"/>
      <c r="J258" s="17">
        <v>1642.4943000000001</v>
      </c>
      <c r="K258" s="18">
        <v>35.197400000000002</v>
      </c>
      <c r="L258" s="18">
        <v>40.113999999999997</v>
      </c>
      <c r="M258" s="18">
        <v>41.388500000000001</v>
      </c>
      <c r="N258" s="18">
        <v>2.5754000000000001</v>
      </c>
      <c r="O258" s="18">
        <f t="shared" si="8"/>
        <v>36.585862500000005</v>
      </c>
      <c r="P258" s="7"/>
      <c r="Q258" s="10"/>
      <c r="R258" s="11"/>
      <c r="S258" s="11"/>
      <c r="T258" s="26"/>
      <c r="U258" s="28">
        <f t="shared" si="6"/>
        <v>1.476346153846154</v>
      </c>
    </row>
    <row r="259" spans="2:21" hidden="1" x14ac:dyDescent="0.25">
      <c r="B259" s="9"/>
      <c r="C259" s="17">
        <v>942.98</v>
      </c>
      <c r="D259" s="18">
        <v>32.520000000000003</v>
      </c>
      <c r="E259" s="18">
        <v>37.348999999999997</v>
      </c>
      <c r="F259" s="18">
        <v>38.822000000000003</v>
      </c>
      <c r="G259" s="18">
        <v>1.27</v>
      </c>
      <c r="H259" s="18">
        <f t="shared" si="7"/>
        <v>33.911375</v>
      </c>
      <c r="I259" s="5"/>
      <c r="J259" s="17">
        <v>1026.1895</v>
      </c>
      <c r="K259" s="18">
        <v>33.549199999999999</v>
      </c>
      <c r="L259" s="18">
        <v>38.904000000000003</v>
      </c>
      <c r="M259" s="18">
        <v>40.287599999999998</v>
      </c>
      <c r="N259" s="18">
        <v>3.2162000000000002</v>
      </c>
      <c r="O259" s="18">
        <f t="shared" si="8"/>
        <v>35.060850000000002</v>
      </c>
      <c r="P259" s="7"/>
      <c r="Q259" s="10"/>
      <c r="R259" s="11"/>
      <c r="S259" s="11"/>
      <c r="T259" s="26"/>
      <c r="U259" s="28">
        <f t="shared" si="6"/>
        <v>1.5324409448818899</v>
      </c>
    </row>
    <row r="260" spans="2:21" ht="16.5" hidden="1" thickBot="1" x14ac:dyDescent="0.3">
      <c r="B260" s="12"/>
      <c r="C260" s="19">
        <v>565.65</v>
      </c>
      <c r="D260" s="20">
        <v>30.91</v>
      </c>
      <c r="E260" s="20">
        <v>36.146000000000001</v>
      </c>
      <c r="F260" s="20">
        <v>37.706000000000003</v>
      </c>
      <c r="G260" s="20">
        <v>1.59</v>
      </c>
      <c r="H260" s="20">
        <f t="shared" si="7"/>
        <v>32.414000000000001</v>
      </c>
      <c r="I260" s="5"/>
      <c r="J260" s="19">
        <v>614.11270000000002</v>
      </c>
      <c r="K260" s="20">
        <v>31.799499999999998</v>
      </c>
      <c r="L260" s="20">
        <v>37.633000000000003</v>
      </c>
      <c r="M260" s="20">
        <v>39.117400000000004</v>
      </c>
      <c r="N260" s="20">
        <v>4.0907</v>
      </c>
      <c r="O260" s="20">
        <f t="shared" si="8"/>
        <v>33.443425000000005</v>
      </c>
      <c r="P260" s="7"/>
      <c r="Q260" s="13"/>
      <c r="R260" s="14"/>
      <c r="S260" s="14"/>
      <c r="T260" s="27"/>
      <c r="U260" s="28">
        <f t="shared" si="6"/>
        <v>1.5727672955974843</v>
      </c>
    </row>
    <row r="261" spans="2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 t="shared" ref="Q261:T261" si="9">AVERAGE(Q9:Q80)</f>
        <v>-6.4272237284728806E-2</v>
      </c>
      <c r="R261" s="21">
        <f t="shared" si="9"/>
        <v>-0.3163020155734792</v>
      </c>
      <c r="S261" s="21">
        <f t="shared" si="9"/>
        <v>-0.29826469896128388</v>
      </c>
      <c r="T261" s="21">
        <f t="shared" si="9"/>
        <v>-0.115330620165012</v>
      </c>
      <c r="U261" s="21">
        <f>AVERAGE(U9:U80)</f>
        <v>2.0361343659071127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89" priority="255" operator="greaterThan">
      <formula>0.03</formula>
    </cfRule>
    <cfRule type="cellIs" dxfId="88" priority="256" stopIfTrue="1" operator="lessThan">
      <formula>-0.03</formula>
    </cfRule>
  </conditionalFormatting>
  <conditionalFormatting sqref="Q33:T36">
    <cfRule type="cellIs" dxfId="87" priority="253" operator="greaterThan">
      <formula>0.03</formula>
    </cfRule>
    <cfRule type="cellIs" dxfId="86" priority="254" stopIfTrue="1" operator="lessThan">
      <formula>-0.03</formula>
    </cfRule>
  </conditionalFormatting>
  <conditionalFormatting sqref="Q45:T48 Q61:T64">
    <cfRule type="cellIs" dxfId="85" priority="251" operator="greaterThan">
      <formula>0.03</formula>
    </cfRule>
    <cfRule type="cellIs" dxfId="84" priority="252" stopIfTrue="1" operator="lessThan">
      <formula>-0.03</formula>
    </cfRule>
  </conditionalFormatting>
  <conditionalFormatting sqref="Q49:T60">
    <cfRule type="cellIs" dxfId="83" priority="249" operator="greaterThan">
      <formula>0.03</formula>
    </cfRule>
    <cfRule type="cellIs" dxfId="82" priority="250" stopIfTrue="1" operator="lessThan">
      <formula>-0.03</formula>
    </cfRule>
  </conditionalFormatting>
  <conditionalFormatting sqref="Q69:T76">
    <cfRule type="cellIs" dxfId="81" priority="247" operator="greaterThan">
      <formula>0.03</formula>
    </cfRule>
    <cfRule type="cellIs" dxfId="80" priority="248" stopIfTrue="1" operator="lessThan">
      <formula>-0.03</formula>
    </cfRule>
  </conditionalFormatting>
  <conditionalFormatting sqref="Q65:T68">
    <cfRule type="cellIs" dxfId="79" priority="245" operator="greaterThan">
      <formula>0.03</formula>
    </cfRule>
    <cfRule type="cellIs" dxfId="78" priority="246" stopIfTrue="1" operator="lessThan">
      <formula>-0.03</formula>
    </cfRule>
  </conditionalFormatting>
  <conditionalFormatting sqref="Q77:T80">
    <cfRule type="cellIs" dxfId="77" priority="243" operator="greaterThan">
      <formula>0.03</formula>
    </cfRule>
    <cfRule type="cellIs" dxfId="76" priority="244" stopIfTrue="1" operator="lessThan">
      <formula>-0.03</formula>
    </cfRule>
  </conditionalFormatting>
  <conditionalFormatting sqref="Q21:T28">
    <cfRule type="cellIs" dxfId="75" priority="241" operator="greaterThan">
      <formula>0.03</formula>
    </cfRule>
    <cfRule type="cellIs" dxfId="74" priority="242" stopIfTrue="1" operator="lessThan">
      <formula>-0.03</formula>
    </cfRule>
  </conditionalFormatting>
  <conditionalFormatting sqref="Q93:T96">
    <cfRule type="cellIs" dxfId="73" priority="213" operator="greaterThan">
      <formula>0.03</formula>
    </cfRule>
    <cfRule type="cellIs" dxfId="72" priority="214" stopIfTrue="1" operator="lessThan">
      <formula>-0.03</formula>
    </cfRule>
  </conditionalFormatting>
  <conditionalFormatting sqref="Q81:T92">
    <cfRule type="cellIs" dxfId="71" priority="211" operator="greaterThan">
      <formula>0.03</formula>
    </cfRule>
    <cfRule type="cellIs" dxfId="70" priority="212" stopIfTrue="1" operator="lessThan">
      <formula>-0.03</formula>
    </cfRule>
  </conditionalFormatting>
  <conditionalFormatting sqref="Q213:T216 Q221:T228 Q193:T204">
    <cfRule type="cellIs" dxfId="69" priority="149" operator="greaterThan">
      <formula>0.03</formula>
    </cfRule>
    <cfRule type="cellIs" dxfId="68" priority="150" stopIfTrue="1" operator="lessThan">
      <formula>-0.03</formula>
    </cfRule>
  </conditionalFormatting>
  <conditionalFormatting sqref="Q217:T220">
    <cfRule type="cellIs" dxfId="67" priority="147" operator="greaterThan">
      <formula>0.03</formula>
    </cfRule>
    <cfRule type="cellIs" dxfId="66" priority="148" stopIfTrue="1" operator="lessThan">
      <formula>-0.03</formula>
    </cfRule>
  </conditionalFormatting>
  <conditionalFormatting sqref="Q230:T232 Q246:T248">
    <cfRule type="cellIs" dxfId="65" priority="145" operator="greaterThan">
      <formula>0.03</formula>
    </cfRule>
    <cfRule type="cellIs" dxfId="64" priority="146" stopIfTrue="1" operator="lessThan">
      <formula>-0.03</formula>
    </cfRule>
  </conditionalFormatting>
  <conditionalFormatting sqref="Q234:T236 Q238:T240 Q242:T244">
    <cfRule type="cellIs" dxfId="63" priority="143" operator="greaterThan">
      <formula>0.03</formula>
    </cfRule>
    <cfRule type="cellIs" dxfId="62" priority="144" stopIfTrue="1" operator="lessThan">
      <formula>-0.03</formula>
    </cfRule>
  </conditionalFormatting>
  <conditionalFormatting sqref="Q254:T256 Q258:T260">
    <cfRule type="cellIs" dxfId="61" priority="141" operator="greaterThan">
      <formula>0.03</formula>
    </cfRule>
    <cfRule type="cellIs" dxfId="60" priority="142" stopIfTrue="1" operator="lessThan">
      <formula>-0.03</formula>
    </cfRule>
  </conditionalFormatting>
  <conditionalFormatting sqref="Q250:T252">
    <cfRule type="cellIs" dxfId="59" priority="139" operator="greaterThan">
      <formula>0.03</formula>
    </cfRule>
    <cfRule type="cellIs" dxfId="58" priority="140" stopIfTrue="1" operator="lessThan">
      <formula>-0.03</formula>
    </cfRule>
  </conditionalFormatting>
  <conditionalFormatting sqref="Q205:T212">
    <cfRule type="cellIs" dxfId="57" priority="137" operator="greaterThan">
      <formula>0.03</formula>
    </cfRule>
    <cfRule type="cellIs" dxfId="56" priority="138" stopIfTrue="1" operator="lessThan">
      <formula>-0.03</formula>
    </cfRule>
  </conditionalFormatting>
  <conditionalFormatting sqref="Q229:T229">
    <cfRule type="cellIs" dxfId="55" priority="135" operator="greaterThan">
      <formula>0.03</formula>
    </cfRule>
    <cfRule type="cellIs" dxfId="54" priority="136" stopIfTrue="1" operator="lessThan">
      <formula>-0.03</formula>
    </cfRule>
  </conditionalFormatting>
  <conditionalFormatting sqref="Q233:T233">
    <cfRule type="cellIs" dxfId="53" priority="133" operator="greaterThan">
      <formula>0.03</formula>
    </cfRule>
    <cfRule type="cellIs" dxfId="52" priority="134" stopIfTrue="1" operator="lessThan">
      <formula>-0.03</formula>
    </cfRule>
  </conditionalFormatting>
  <conditionalFormatting sqref="Q237:T237">
    <cfRule type="cellIs" dxfId="51" priority="131" operator="greaterThan">
      <formula>0.03</formula>
    </cfRule>
    <cfRule type="cellIs" dxfId="50" priority="132" stopIfTrue="1" operator="lessThan">
      <formula>-0.03</formula>
    </cfRule>
  </conditionalFormatting>
  <conditionalFormatting sqref="Q241:T241">
    <cfRule type="cellIs" dxfId="49" priority="129" operator="greaterThan">
      <formula>0.03</formula>
    </cfRule>
    <cfRule type="cellIs" dxfId="48" priority="130" stopIfTrue="1" operator="lessThan">
      <formula>-0.03</formula>
    </cfRule>
  </conditionalFormatting>
  <conditionalFormatting sqref="Q245:T245">
    <cfRule type="cellIs" dxfId="47" priority="127" operator="greaterThan">
      <formula>0.03</formula>
    </cfRule>
    <cfRule type="cellIs" dxfId="46" priority="128" stopIfTrue="1" operator="lessThan">
      <formula>-0.03</formula>
    </cfRule>
  </conditionalFormatting>
  <conditionalFormatting sqref="Q249:T249">
    <cfRule type="cellIs" dxfId="45" priority="125" operator="greaterThan">
      <formula>0.03</formula>
    </cfRule>
    <cfRule type="cellIs" dxfId="44" priority="126" stopIfTrue="1" operator="lessThan">
      <formula>-0.03</formula>
    </cfRule>
  </conditionalFormatting>
  <conditionalFormatting sqref="Q253:T253">
    <cfRule type="cellIs" dxfId="43" priority="123" operator="greaterThan">
      <formula>0.03</formula>
    </cfRule>
    <cfRule type="cellIs" dxfId="42" priority="124" stopIfTrue="1" operator="lessThan">
      <formula>-0.03</formula>
    </cfRule>
  </conditionalFormatting>
  <conditionalFormatting sqref="Q257:T257">
    <cfRule type="cellIs" dxfId="41" priority="121" operator="greaterThan">
      <formula>0.03</formula>
    </cfRule>
    <cfRule type="cellIs" dxfId="40" priority="122" stopIfTrue="1" operator="lessThan">
      <formula>-0.03</formula>
    </cfRule>
  </conditionalFormatting>
  <conditionalFormatting sqref="Q109:T112 Q117:T124 Q97:T100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Q113:T116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Q126:T128 Q142:T144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Q130:T132 Q134:T136 Q138:T140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101:T108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125:T125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129:T129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133:T13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137:T13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141:T141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157:T160 Q165:T172 Q145:T14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161:T164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Q174:T176 Q190:T192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Q178:T180 Q182:T184 Q186:T188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Q149:T156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Q173:T173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Q177:T177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Q181:T181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Q185:T185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Q189:T18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Intra All-I</vt:lpstr>
      <vt:lpstr>Summary</vt:lpstr>
      <vt:lpstr>X264vsQY265_offline_veryfast</vt:lpstr>
      <vt:lpstr>X264vsQY265_offline_slow</vt:lpstr>
      <vt:lpstr>X264vsQY265_offline_placebo</vt:lpstr>
      <vt:lpstr>X265vsQY265_offline_ultrafast</vt:lpstr>
      <vt:lpstr>X265vsQY265_offline_slow</vt:lpstr>
      <vt:lpstr>X265vsQY265_offline_placebo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cp:lastPrinted>2016-06-16T03:18:42Z</cp:lastPrinted>
  <dcterms:created xsi:type="dcterms:W3CDTF">2011-06-30T00:09:01Z</dcterms:created>
  <dcterms:modified xsi:type="dcterms:W3CDTF">2016-06-17T03:35:54Z</dcterms:modified>
</cp:coreProperties>
</file>